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e808872\Desktop\AT\Comissões\"/>
    </mc:Choice>
  </mc:AlternateContent>
  <xr:revisionPtr revIDLastSave="0" documentId="11_463B0E98F8ABCFEB02533769078EC4F138E16D5C" xr6:coauthVersionLast="47" xr6:coauthVersionMax="47" xr10:uidLastSave="{00000000-0000-0000-0000-000000000000}"/>
  <bookViews>
    <workbookView xWindow="-110" yWindow="-110" windowWidth="23260" windowHeight="12580" xr2:uid="{00000000-000D-0000-FFFF-FFFF00000000}"/>
  </bookViews>
  <sheets>
    <sheet name="QUERY_FOR_TRNSTRANSPOSED_000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QUERY_FOR_TRNSTRANSPOSED_0008!$A$3:$Y$1236</definedName>
    <definedName name="acumulad">[1]Portada!$C$22</definedName>
    <definedName name="ECms">[2]ECms!$C$3:$AA$1154</definedName>
    <definedName name="ECmsAcum">[2]ECms!$AC$3:$AZ$1154</definedName>
    <definedName name="EManuais">[3]EManuais!$C$3:$AA$61</definedName>
    <definedName name="EManuaisAcum">[3]EManuais!$AC$3:$AZ$61</definedName>
    <definedName name="ENeg">[2]ENeg!$C$3:$AA$777</definedName>
    <definedName name="ENegAcum">[2]ENeg!$AC$3:$AZ$777</definedName>
    <definedName name="ERnd">[3]ERnd!$C$3:$AA$622</definedName>
    <definedName name="ERndAcum">[3]ERnd!$AC$3:$AZ$622</definedName>
    <definedName name="ERsc">[3]ERsc!$C$3:$AA$31</definedName>
    <definedName name="ERscAcum">[3]ERsc!$AC$3:$AZ$31</definedName>
    <definedName name="EssLatest">"112002"</definedName>
    <definedName name="EssOptions">"A1100000000120000000001100020_010010"</definedName>
    <definedName name="EVE">[3]EVE!$C$3:$AA$7</definedName>
    <definedName name="MES_ACTUAL">[4]Portada!$C$22</definedName>
    <definedName name="OCms">[2]OCms!$C$3:$AA$1154</definedName>
    <definedName name="OCmsAcum">[2]OCms!$AC$3:$AZ$1154</definedName>
    <definedName name="OManuais">[3]OManuais!$C$3:$AA$61</definedName>
    <definedName name="OManuaisAcum">[3]OManuais!$AC$3:$AZ$61</definedName>
    <definedName name="ONeg">[2]ONeg!$C$3:$AA$777</definedName>
    <definedName name="ONegAcum">[2]ONeg!$AC$3:$AZ$777</definedName>
    <definedName name="ORnd">[3]ORnd!$C$3:$AA$622</definedName>
    <definedName name="ORndAcum">[3]ORnd!$AC$3:$AZ$622</definedName>
    <definedName name="ORsc">[3]ORsc!$C$3:$AA$31</definedName>
    <definedName name="ORscAcum">[3]ORsc!$AC$3:$AZ$31</definedName>
    <definedName name="OVE">[3]OVE!$C$3:$AA$7</definedName>
    <definedName name="RRPPMM_ML">[5]AVANCEPAIS!$A$15:$D$30</definedName>
    <definedName name="RRPPMMUS">[5]AVANCEPAIS!$C$5:$C$9</definedName>
    <definedName name="ver">[1]Portada!$C$22</definedName>
    <definedName name="wrn.GERAL." hidden="1">{#N/A,#N/A,FALSE,"bsp";#N/A,#N/A,FALSE,"BSNP";#N/A,#N/A,FALSE,"cpp";#N/A,#N/A,FALSE,"BTA";#N/A,#N/A,FALSE,"resumo grupo BSCH Portugal (2)"}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87" i="1" l="1"/>
  <c r="F1286" i="1"/>
  <c r="G1281" i="1"/>
  <c r="F1281" i="1"/>
  <c r="G1278" i="1"/>
  <c r="F1278" i="1"/>
  <c r="G1275" i="1"/>
  <c r="F1275" i="1"/>
  <c r="G1272" i="1"/>
  <c r="F1272" i="1"/>
  <c r="F1251" i="1"/>
  <c r="F1270" i="1" s="1"/>
  <c r="F1248" i="1"/>
  <c r="F1268" i="1" s="1"/>
  <c r="F1245" i="1"/>
  <c r="F1266" i="1" s="1"/>
  <c r="G1239" i="1"/>
  <c r="H1235" i="1"/>
  <c r="P1234" i="1"/>
  <c r="O1234" i="1"/>
  <c r="E1234" i="1"/>
  <c r="B1234" i="1"/>
  <c r="T1233" i="1"/>
  <c r="P1233" i="1"/>
  <c r="O1233" i="1"/>
  <c r="I1233" i="1"/>
  <c r="J1233" i="1" s="1"/>
  <c r="F1233" i="1"/>
  <c r="E1233" i="1"/>
  <c r="B1233" i="1"/>
  <c r="Q1232" i="1"/>
  <c r="P1232" i="1"/>
  <c r="O1232" i="1"/>
  <c r="E1232" i="1"/>
  <c r="B1232" i="1"/>
  <c r="S1231" i="1"/>
  <c r="P1231" i="1"/>
  <c r="O1231" i="1"/>
  <c r="E1231" i="1"/>
  <c r="B1231" i="1"/>
  <c r="S1230" i="1"/>
  <c r="P1230" i="1"/>
  <c r="O1230" i="1"/>
  <c r="E1230" i="1"/>
  <c r="B1230" i="1"/>
  <c r="P1229" i="1"/>
  <c r="O1229" i="1"/>
  <c r="E1229" i="1"/>
  <c r="B1229" i="1"/>
  <c r="Q1228" i="1"/>
  <c r="P1228" i="1"/>
  <c r="O1228" i="1"/>
  <c r="E1228" i="1"/>
  <c r="B1228" i="1"/>
  <c r="Q1227" i="1"/>
  <c r="P1227" i="1"/>
  <c r="O1227" i="1"/>
  <c r="E1227" i="1"/>
  <c r="B1227" i="1"/>
  <c r="S1226" i="1"/>
  <c r="P1226" i="1"/>
  <c r="O1226" i="1"/>
  <c r="E1226" i="1"/>
  <c r="B1226" i="1"/>
  <c r="P1225" i="1"/>
  <c r="O1225" i="1"/>
  <c r="E1225" i="1"/>
  <c r="B1225" i="1"/>
  <c r="Q1224" i="1"/>
  <c r="P1224" i="1"/>
  <c r="O1224" i="1"/>
  <c r="E1224" i="1"/>
  <c r="B1224" i="1"/>
  <c r="Q1223" i="1"/>
  <c r="P1223" i="1"/>
  <c r="O1223" i="1"/>
  <c r="E1223" i="1"/>
  <c r="B1223" i="1"/>
  <c r="Q1222" i="1"/>
  <c r="P1222" i="1"/>
  <c r="O1222" i="1"/>
  <c r="E1222" i="1"/>
  <c r="B1222" i="1"/>
  <c r="S1221" i="1"/>
  <c r="P1221" i="1"/>
  <c r="O1221" i="1"/>
  <c r="E1221" i="1"/>
  <c r="B1221" i="1"/>
  <c r="Q1220" i="1"/>
  <c r="P1220" i="1"/>
  <c r="O1220" i="1"/>
  <c r="E1220" i="1"/>
  <c r="B1220" i="1"/>
  <c r="Q1219" i="1"/>
  <c r="P1219" i="1"/>
  <c r="O1219" i="1"/>
  <c r="E1219" i="1"/>
  <c r="B1219" i="1"/>
  <c r="P1218" i="1"/>
  <c r="O1218" i="1"/>
  <c r="E1218" i="1"/>
  <c r="B1218" i="1"/>
  <c r="Q1217" i="1"/>
  <c r="P1217" i="1"/>
  <c r="O1217" i="1"/>
  <c r="E1217" i="1"/>
  <c r="B1217" i="1"/>
  <c r="S1216" i="1"/>
  <c r="P1216" i="1"/>
  <c r="O1216" i="1"/>
  <c r="E1216" i="1"/>
  <c r="B1216" i="1"/>
  <c r="P1215" i="1"/>
  <c r="O1215" i="1"/>
  <c r="E1215" i="1"/>
  <c r="B1215" i="1"/>
  <c r="P1214" i="1"/>
  <c r="O1214" i="1"/>
  <c r="E1214" i="1"/>
  <c r="B1214" i="1"/>
  <c r="P1213" i="1"/>
  <c r="O1213" i="1"/>
  <c r="E1213" i="1"/>
  <c r="B1213" i="1"/>
  <c r="P1212" i="1"/>
  <c r="O1212" i="1"/>
  <c r="E1212" i="1"/>
  <c r="B1212" i="1"/>
  <c r="P1211" i="1"/>
  <c r="O1211" i="1"/>
  <c r="E1211" i="1"/>
  <c r="B1211" i="1"/>
  <c r="P1210" i="1"/>
  <c r="O1210" i="1"/>
  <c r="E1210" i="1"/>
  <c r="B1210" i="1"/>
  <c r="P1209" i="1"/>
  <c r="O1209" i="1"/>
  <c r="E1209" i="1"/>
  <c r="B1209" i="1"/>
  <c r="Q1208" i="1"/>
  <c r="P1208" i="1"/>
  <c r="O1208" i="1"/>
  <c r="E1208" i="1"/>
  <c r="B1208" i="1"/>
  <c r="Q1207" i="1"/>
  <c r="P1207" i="1"/>
  <c r="O1207" i="1"/>
  <c r="E1207" i="1"/>
  <c r="B1207" i="1"/>
  <c r="P1206" i="1"/>
  <c r="O1206" i="1"/>
  <c r="E1206" i="1"/>
  <c r="B1206" i="1"/>
  <c r="P1205" i="1"/>
  <c r="O1205" i="1"/>
  <c r="E1205" i="1"/>
  <c r="B1205" i="1"/>
  <c r="P1204" i="1"/>
  <c r="O1204" i="1"/>
  <c r="E1204" i="1"/>
  <c r="B1204" i="1"/>
  <c r="P1203" i="1"/>
  <c r="O1203" i="1"/>
  <c r="E1203" i="1"/>
  <c r="B1203" i="1"/>
  <c r="P1202" i="1"/>
  <c r="O1202" i="1"/>
  <c r="E1202" i="1"/>
  <c r="B1202" i="1"/>
  <c r="P1201" i="1"/>
  <c r="O1201" i="1"/>
  <c r="E1201" i="1"/>
  <c r="B1201" i="1"/>
  <c r="P1200" i="1"/>
  <c r="O1200" i="1"/>
  <c r="E1200" i="1"/>
  <c r="B1200" i="1"/>
  <c r="Q1199" i="1"/>
  <c r="P1199" i="1"/>
  <c r="O1199" i="1"/>
  <c r="E1199" i="1"/>
  <c r="B1199" i="1"/>
  <c r="Q1198" i="1"/>
  <c r="P1198" i="1"/>
  <c r="O1198" i="1"/>
  <c r="E1198" i="1"/>
  <c r="B1198" i="1"/>
  <c r="P1197" i="1"/>
  <c r="O1197" i="1"/>
  <c r="E1197" i="1"/>
  <c r="B1197" i="1"/>
  <c r="P1196" i="1"/>
  <c r="O1196" i="1"/>
  <c r="E1196" i="1"/>
  <c r="B1196" i="1"/>
  <c r="P1195" i="1"/>
  <c r="O1195" i="1"/>
  <c r="E1195" i="1"/>
  <c r="B1195" i="1"/>
  <c r="Q1194" i="1"/>
  <c r="P1194" i="1"/>
  <c r="O1194" i="1"/>
  <c r="E1194" i="1"/>
  <c r="B1194" i="1"/>
  <c r="Q1193" i="1"/>
  <c r="P1193" i="1"/>
  <c r="O1193" i="1"/>
  <c r="E1193" i="1"/>
  <c r="B1193" i="1"/>
  <c r="S1192" i="1"/>
  <c r="P1192" i="1"/>
  <c r="O1192" i="1"/>
  <c r="E1192" i="1"/>
  <c r="B1192" i="1"/>
  <c r="S1191" i="1"/>
  <c r="P1191" i="1"/>
  <c r="O1191" i="1"/>
  <c r="E1191" i="1"/>
  <c r="B1191" i="1"/>
  <c r="S1190" i="1"/>
  <c r="P1190" i="1"/>
  <c r="O1190" i="1"/>
  <c r="E1190" i="1"/>
  <c r="B1190" i="1"/>
  <c r="S1189" i="1"/>
  <c r="P1189" i="1"/>
  <c r="O1189" i="1"/>
  <c r="E1189" i="1"/>
  <c r="B1189" i="1"/>
  <c r="S1188" i="1"/>
  <c r="P1188" i="1"/>
  <c r="O1188" i="1"/>
  <c r="E1188" i="1"/>
  <c r="B1188" i="1"/>
  <c r="S1187" i="1"/>
  <c r="P1187" i="1"/>
  <c r="O1187" i="1"/>
  <c r="E1187" i="1"/>
  <c r="B1187" i="1"/>
  <c r="Q1186" i="1"/>
  <c r="P1186" i="1"/>
  <c r="O1186" i="1"/>
  <c r="E1186" i="1"/>
  <c r="B1186" i="1"/>
  <c r="Q1185" i="1"/>
  <c r="P1185" i="1"/>
  <c r="O1185" i="1"/>
  <c r="E1185" i="1"/>
  <c r="B1185" i="1"/>
  <c r="Q1184" i="1"/>
  <c r="P1184" i="1"/>
  <c r="O1184" i="1"/>
  <c r="E1184" i="1"/>
  <c r="B1184" i="1"/>
  <c r="S1183" i="1"/>
  <c r="P1183" i="1"/>
  <c r="O1183" i="1"/>
  <c r="E1183" i="1"/>
  <c r="B1183" i="1"/>
  <c r="Q1182" i="1"/>
  <c r="P1182" i="1"/>
  <c r="O1182" i="1"/>
  <c r="E1182" i="1"/>
  <c r="B1182" i="1"/>
  <c r="Q1181" i="1"/>
  <c r="P1181" i="1"/>
  <c r="O1181" i="1"/>
  <c r="E1181" i="1"/>
  <c r="B1181" i="1"/>
  <c r="S1180" i="1"/>
  <c r="P1180" i="1"/>
  <c r="O1180" i="1"/>
  <c r="E1180" i="1"/>
  <c r="B1180" i="1"/>
  <c r="S1179" i="1"/>
  <c r="P1179" i="1"/>
  <c r="O1179" i="1"/>
  <c r="E1179" i="1"/>
  <c r="B1179" i="1"/>
  <c r="R1178" i="1"/>
  <c r="P1178" i="1"/>
  <c r="O1178" i="1"/>
  <c r="E1178" i="1"/>
  <c r="B1178" i="1"/>
  <c r="R1177" i="1"/>
  <c r="P1177" i="1"/>
  <c r="O1177" i="1"/>
  <c r="E1177" i="1"/>
  <c r="B1177" i="1"/>
  <c r="R1176" i="1"/>
  <c r="P1176" i="1"/>
  <c r="O1176" i="1"/>
  <c r="E1176" i="1"/>
  <c r="B1176" i="1"/>
  <c r="R1175" i="1"/>
  <c r="P1175" i="1"/>
  <c r="O1175" i="1"/>
  <c r="E1175" i="1"/>
  <c r="B1175" i="1"/>
  <c r="P1174" i="1"/>
  <c r="O1174" i="1"/>
  <c r="E1174" i="1"/>
  <c r="B1174" i="1"/>
  <c r="Q1173" i="1"/>
  <c r="P1173" i="1"/>
  <c r="O1173" i="1"/>
  <c r="E1173" i="1"/>
  <c r="B1173" i="1"/>
  <c r="P1172" i="1"/>
  <c r="O1172" i="1"/>
  <c r="E1172" i="1"/>
  <c r="B1172" i="1"/>
  <c r="R1171" i="1"/>
  <c r="P1171" i="1"/>
  <c r="O1171" i="1"/>
  <c r="E1171" i="1"/>
  <c r="B1171" i="1"/>
  <c r="P1170" i="1"/>
  <c r="O1170" i="1"/>
  <c r="E1170" i="1"/>
  <c r="B1170" i="1"/>
  <c r="R1169" i="1"/>
  <c r="P1169" i="1"/>
  <c r="O1169" i="1"/>
  <c r="E1169" i="1"/>
  <c r="B1169" i="1"/>
  <c r="P1168" i="1"/>
  <c r="O1168" i="1"/>
  <c r="I1168" i="1"/>
  <c r="E1168" i="1"/>
  <c r="B1168" i="1"/>
  <c r="P1167" i="1"/>
  <c r="O1167" i="1"/>
  <c r="E1167" i="1"/>
  <c r="B1167" i="1"/>
  <c r="P1166" i="1"/>
  <c r="O1166" i="1"/>
  <c r="I1166" i="1"/>
  <c r="E1166" i="1"/>
  <c r="B1166" i="1"/>
  <c r="T1165" i="1"/>
  <c r="P1165" i="1"/>
  <c r="O1165" i="1"/>
  <c r="E1165" i="1"/>
  <c r="B1165" i="1"/>
  <c r="P1164" i="1"/>
  <c r="O1164" i="1"/>
  <c r="E1164" i="1"/>
  <c r="B1164" i="1"/>
  <c r="P1163" i="1"/>
  <c r="O1163" i="1"/>
  <c r="E1163" i="1"/>
  <c r="B1163" i="1"/>
  <c r="P1162" i="1"/>
  <c r="O1162" i="1"/>
  <c r="I1162" i="1"/>
  <c r="E1162" i="1"/>
  <c r="B1162" i="1"/>
  <c r="P1161" i="1"/>
  <c r="O1161" i="1"/>
  <c r="E1161" i="1"/>
  <c r="B1161" i="1"/>
  <c r="P1160" i="1"/>
  <c r="O1160" i="1"/>
  <c r="I1160" i="1"/>
  <c r="E1160" i="1"/>
  <c r="B1160" i="1"/>
  <c r="S1159" i="1"/>
  <c r="P1159" i="1"/>
  <c r="O1159" i="1"/>
  <c r="E1159" i="1"/>
  <c r="B1159" i="1"/>
  <c r="S1158" i="1"/>
  <c r="P1158" i="1"/>
  <c r="O1158" i="1"/>
  <c r="E1158" i="1"/>
  <c r="B1158" i="1"/>
  <c r="Q1157" i="1"/>
  <c r="P1157" i="1"/>
  <c r="O1157" i="1"/>
  <c r="E1157" i="1"/>
  <c r="B1157" i="1"/>
  <c r="Q1156" i="1"/>
  <c r="P1156" i="1"/>
  <c r="O1156" i="1"/>
  <c r="E1156" i="1"/>
  <c r="B1156" i="1"/>
  <c r="S1155" i="1"/>
  <c r="P1155" i="1"/>
  <c r="O1155" i="1"/>
  <c r="E1155" i="1"/>
  <c r="B1155" i="1"/>
  <c r="S1154" i="1"/>
  <c r="P1154" i="1"/>
  <c r="O1154" i="1"/>
  <c r="E1154" i="1"/>
  <c r="B1154" i="1"/>
  <c r="Q1153" i="1"/>
  <c r="P1153" i="1"/>
  <c r="O1153" i="1"/>
  <c r="E1153" i="1"/>
  <c r="B1153" i="1"/>
  <c r="Q1152" i="1"/>
  <c r="P1152" i="1"/>
  <c r="O1152" i="1"/>
  <c r="E1152" i="1"/>
  <c r="B1152" i="1"/>
  <c r="S1151" i="1"/>
  <c r="P1151" i="1"/>
  <c r="O1151" i="1"/>
  <c r="E1151" i="1"/>
  <c r="B1151" i="1"/>
  <c r="S1150" i="1"/>
  <c r="P1150" i="1"/>
  <c r="O1150" i="1"/>
  <c r="E1150" i="1"/>
  <c r="B1150" i="1"/>
  <c r="S1149" i="1"/>
  <c r="P1149" i="1"/>
  <c r="O1149" i="1"/>
  <c r="E1149" i="1"/>
  <c r="B1149" i="1"/>
  <c r="S1148" i="1"/>
  <c r="P1148" i="1"/>
  <c r="O1148" i="1"/>
  <c r="E1148" i="1"/>
  <c r="B1148" i="1"/>
  <c r="Q1147" i="1"/>
  <c r="P1147" i="1"/>
  <c r="O1147" i="1"/>
  <c r="E1147" i="1"/>
  <c r="B1147" i="1"/>
  <c r="Q1146" i="1"/>
  <c r="P1146" i="1"/>
  <c r="O1146" i="1"/>
  <c r="E1146" i="1"/>
  <c r="B1146" i="1"/>
  <c r="S1145" i="1"/>
  <c r="P1145" i="1"/>
  <c r="O1145" i="1"/>
  <c r="E1145" i="1"/>
  <c r="B1145" i="1"/>
  <c r="S1144" i="1"/>
  <c r="P1144" i="1"/>
  <c r="O1144" i="1"/>
  <c r="I1144" i="1"/>
  <c r="E1144" i="1"/>
  <c r="B1144" i="1"/>
  <c r="P1143" i="1"/>
  <c r="O1143" i="1"/>
  <c r="E1143" i="1"/>
  <c r="B1143" i="1"/>
  <c r="P1142" i="1"/>
  <c r="O1142" i="1"/>
  <c r="E1142" i="1"/>
  <c r="B1142" i="1"/>
  <c r="P1141" i="1"/>
  <c r="O1141" i="1"/>
  <c r="E1141" i="1"/>
  <c r="B1141" i="1"/>
  <c r="P1140" i="1"/>
  <c r="O1140" i="1"/>
  <c r="E1140" i="1"/>
  <c r="B1140" i="1"/>
  <c r="P1139" i="1"/>
  <c r="O1139" i="1"/>
  <c r="E1139" i="1"/>
  <c r="B1139" i="1"/>
  <c r="P1138" i="1"/>
  <c r="O1138" i="1"/>
  <c r="E1138" i="1"/>
  <c r="B1138" i="1"/>
  <c r="P1137" i="1"/>
  <c r="O1137" i="1"/>
  <c r="E1137" i="1"/>
  <c r="B1137" i="1"/>
  <c r="P1136" i="1"/>
  <c r="O1136" i="1"/>
  <c r="E1136" i="1"/>
  <c r="B1136" i="1"/>
  <c r="P1135" i="1"/>
  <c r="O1135" i="1"/>
  <c r="E1135" i="1"/>
  <c r="B1135" i="1"/>
  <c r="P1134" i="1"/>
  <c r="O1134" i="1"/>
  <c r="I1134" i="1"/>
  <c r="E1134" i="1"/>
  <c r="B1134" i="1"/>
  <c r="R1133" i="1"/>
  <c r="P1133" i="1"/>
  <c r="O1133" i="1"/>
  <c r="E1133" i="1"/>
  <c r="B1133" i="1"/>
  <c r="R1132" i="1"/>
  <c r="P1132" i="1"/>
  <c r="O1132" i="1"/>
  <c r="E1132" i="1"/>
  <c r="B1132" i="1"/>
  <c r="R1131" i="1"/>
  <c r="P1131" i="1"/>
  <c r="O1131" i="1"/>
  <c r="E1131" i="1"/>
  <c r="B1131" i="1"/>
  <c r="R1130" i="1"/>
  <c r="P1130" i="1"/>
  <c r="O1130" i="1"/>
  <c r="E1130" i="1"/>
  <c r="B1130" i="1"/>
  <c r="R1129" i="1"/>
  <c r="P1129" i="1"/>
  <c r="O1129" i="1"/>
  <c r="E1129" i="1"/>
  <c r="B1129" i="1"/>
  <c r="R1128" i="1"/>
  <c r="P1128" i="1"/>
  <c r="O1128" i="1"/>
  <c r="E1128" i="1"/>
  <c r="B1128" i="1"/>
  <c r="R1127" i="1"/>
  <c r="P1127" i="1"/>
  <c r="O1127" i="1"/>
  <c r="E1127" i="1"/>
  <c r="B1127" i="1"/>
  <c r="R1126" i="1"/>
  <c r="P1126" i="1"/>
  <c r="O1126" i="1"/>
  <c r="E1126" i="1"/>
  <c r="B1126" i="1"/>
  <c r="R1125" i="1"/>
  <c r="P1125" i="1"/>
  <c r="O1125" i="1"/>
  <c r="E1125" i="1"/>
  <c r="B1125" i="1"/>
  <c r="R1124" i="1"/>
  <c r="P1124" i="1"/>
  <c r="O1124" i="1"/>
  <c r="E1124" i="1"/>
  <c r="B1124" i="1"/>
  <c r="R1123" i="1"/>
  <c r="P1123" i="1"/>
  <c r="O1123" i="1"/>
  <c r="E1123" i="1"/>
  <c r="B1123" i="1"/>
  <c r="R1122" i="1"/>
  <c r="P1122" i="1"/>
  <c r="O1122" i="1"/>
  <c r="E1122" i="1"/>
  <c r="B1122" i="1"/>
  <c r="R1121" i="1"/>
  <c r="P1121" i="1"/>
  <c r="O1121" i="1"/>
  <c r="E1121" i="1"/>
  <c r="B1121" i="1"/>
  <c r="R1120" i="1"/>
  <c r="P1120" i="1"/>
  <c r="O1120" i="1"/>
  <c r="E1120" i="1"/>
  <c r="B1120" i="1"/>
  <c r="R1119" i="1"/>
  <c r="P1119" i="1"/>
  <c r="O1119" i="1"/>
  <c r="E1119" i="1"/>
  <c r="B1119" i="1"/>
  <c r="R1118" i="1"/>
  <c r="P1118" i="1"/>
  <c r="O1118" i="1"/>
  <c r="E1118" i="1"/>
  <c r="B1118" i="1"/>
  <c r="R1117" i="1"/>
  <c r="P1117" i="1"/>
  <c r="O1117" i="1"/>
  <c r="E1117" i="1"/>
  <c r="B1117" i="1"/>
  <c r="P1116" i="1"/>
  <c r="O1116" i="1"/>
  <c r="E1116" i="1"/>
  <c r="B1116" i="1"/>
  <c r="P1115" i="1"/>
  <c r="O1115" i="1"/>
  <c r="E1115" i="1"/>
  <c r="B1115" i="1"/>
  <c r="P1114" i="1"/>
  <c r="O1114" i="1"/>
  <c r="M1114" i="1"/>
  <c r="E1114" i="1"/>
  <c r="B1114" i="1"/>
  <c r="P1113" i="1"/>
  <c r="O1113" i="1"/>
  <c r="M1113" i="1"/>
  <c r="E1113" i="1"/>
  <c r="B1113" i="1"/>
  <c r="P1112" i="1"/>
  <c r="O1112" i="1"/>
  <c r="M1112" i="1"/>
  <c r="E1112" i="1"/>
  <c r="B1112" i="1"/>
  <c r="P1111" i="1"/>
  <c r="O1111" i="1"/>
  <c r="M1111" i="1"/>
  <c r="E1111" i="1"/>
  <c r="B1111" i="1"/>
  <c r="P1110" i="1"/>
  <c r="O1110" i="1"/>
  <c r="M1110" i="1"/>
  <c r="E1110" i="1"/>
  <c r="B1110" i="1"/>
  <c r="P1109" i="1"/>
  <c r="O1109" i="1"/>
  <c r="M1109" i="1"/>
  <c r="E1109" i="1"/>
  <c r="B1109" i="1"/>
  <c r="P1108" i="1"/>
  <c r="O1108" i="1"/>
  <c r="M1108" i="1"/>
  <c r="E1108" i="1"/>
  <c r="B1108" i="1"/>
  <c r="P1107" i="1"/>
  <c r="O1107" i="1"/>
  <c r="M1107" i="1"/>
  <c r="E1107" i="1"/>
  <c r="B1107" i="1"/>
  <c r="P1106" i="1"/>
  <c r="O1106" i="1"/>
  <c r="M1106" i="1"/>
  <c r="E1106" i="1"/>
  <c r="B1106" i="1"/>
  <c r="P1105" i="1"/>
  <c r="O1105" i="1"/>
  <c r="M1105" i="1"/>
  <c r="E1105" i="1"/>
  <c r="B1105" i="1"/>
  <c r="P1104" i="1"/>
  <c r="O1104" i="1"/>
  <c r="M1104" i="1"/>
  <c r="E1104" i="1"/>
  <c r="B1104" i="1"/>
  <c r="P1103" i="1"/>
  <c r="O1103" i="1"/>
  <c r="M1103" i="1"/>
  <c r="E1103" i="1"/>
  <c r="B1103" i="1"/>
  <c r="P1102" i="1"/>
  <c r="O1102" i="1"/>
  <c r="M1102" i="1"/>
  <c r="E1102" i="1"/>
  <c r="B1102" i="1"/>
  <c r="P1101" i="1"/>
  <c r="O1101" i="1"/>
  <c r="M1101" i="1"/>
  <c r="E1101" i="1"/>
  <c r="B1101" i="1"/>
  <c r="P1100" i="1"/>
  <c r="O1100" i="1"/>
  <c r="M1100" i="1"/>
  <c r="E1100" i="1"/>
  <c r="B1100" i="1"/>
  <c r="P1099" i="1"/>
  <c r="O1099" i="1"/>
  <c r="M1099" i="1"/>
  <c r="E1099" i="1"/>
  <c r="B1099" i="1"/>
  <c r="P1098" i="1"/>
  <c r="O1098" i="1"/>
  <c r="M1098" i="1"/>
  <c r="E1098" i="1"/>
  <c r="B1098" i="1"/>
  <c r="P1097" i="1"/>
  <c r="O1097" i="1"/>
  <c r="M1097" i="1"/>
  <c r="E1097" i="1"/>
  <c r="B1097" i="1"/>
  <c r="P1096" i="1"/>
  <c r="O1096" i="1"/>
  <c r="M1096" i="1"/>
  <c r="E1096" i="1"/>
  <c r="B1096" i="1"/>
  <c r="P1095" i="1"/>
  <c r="O1095" i="1"/>
  <c r="M1095" i="1"/>
  <c r="E1095" i="1"/>
  <c r="B1095" i="1"/>
  <c r="P1094" i="1"/>
  <c r="O1094" i="1"/>
  <c r="M1094" i="1"/>
  <c r="E1094" i="1"/>
  <c r="B1094" i="1"/>
  <c r="P1093" i="1"/>
  <c r="O1093" i="1"/>
  <c r="M1093" i="1"/>
  <c r="E1093" i="1"/>
  <c r="B1093" i="1"/>
  <c r="P1092" i="1"/>
  <c r="O1092" i="1"/>
  <c r="M1092" i="1"/>
  <c r="E1092" i="1"/>
  <c r="B1092" i="1"/>
  <c r="P1091" i="1"/>
  <c r="O1091" i="1"/>
  <c r="M1091" i="1"/>
  <c r="E1091" i="1"/>
  <c r="B1091" i="1"/>
  <c r="P1090" i="1"/>
  <c r="O1090" i="1"/>
  <c r="M1090" i="1"/>
  <c r="E1090" i="1"/>
  <c r="B1090" i="1"/>
  <c r="P1089" i="1"/>
  <c r="O1089" i="1"/>
  <c r="M1089" i="1"/>
  <c r="E1089" i="1"/>
  <c r="B1089" i="1"/>
  <c r="P1088" i="1"/>
  <c r="O1088" i="1"/>
  <c r="M1088" i="1"/>
  <c r="E1088" i="1"/>
  <c r="B1088" i="1"/>
  <c r="P1087" i="1"/>
  <c r="O1087" i="1"/>
  <c r="M1087" i="1"/>
  <c r="E1087" i="1"/>
  <c r="B1087" i="1"/>
  <c r="P1086" i="1"/>
  <c r="O1086" i="1"/>
  <c r="M1086" i="1"/>
  <c r="E1086" i="1"/>
  <c r="B1086" i="1"/>
  <c r="P1085" i="1"/>
  <c r="O1085" i="1"/>
  <c r="M1085" i="1"/>
  <c r="E1085" i="1"/>
  <c r="B1085" i="1"/>
  <c r="P1084" i="1"/>
  <c r="O1084" i="1"/>
  <c r="M1084" i="1"/>
  <c r="E1084" i="1"/>
  <c r="B1084" i="1"/>
  <c r="P1083" i="1"/>
  <c r="O1083" i="1"/>
  <c r="M1083" i="1"/>
  <c r="E1083" i="1"/>
  <c r="B1083" i="1"/>
  <c r="P1082" i="1"/>
  <c r="O1082" i="1"/>
  <c r="M1082" i="1"/>
  <c r="E1082" i="1"/>
  <c r="B1082" i="1"/>
  <c r="P1081" i="1"/>
  <c r="O1081" i="1"/>
  <c r="M1081" i="1"/>
  <c r="E1081" i="1"/>
  <c r="B1081" i="1"/>
  <c r="P1080" i="1"/>
  <c r="O1080" i="1"/>
  <c r="M1080" i="1"/>
  <c r="E1080" i="1"/>
  <c r="B1080" i="1"/>
  <c r="P1079" i="1"/>
  <c r="O1079" i="1"/>
  <c r="M1079" i="1"/>
  <c r="E1079" i="1"/>
  <c r="B1079" i="1"/>
  <c r="P1078" i="1"/>
  <c r="O1078" i="1"/>
  <c r="M1078" i="1"/>
  <c r="E1078" i="1"/>
  <c r="B1078" i="1"/>
  <c r="P1077" i="1"/>
  <c r="O1077" i="1"/>
  <c r="M1077" i="1"/>
  <c r="E1077" i="1"/>
  <c r="B1077" i="1"/>
  <c r="P1076" i="1"/>
  <c r="O1076" i="1"/>
  <c r="M1076" i="1"/>
  <c r="E1076" i="1"/>
  <c r="B1076" i="1"/>
  <c r="P1075" i="1"/>
  <c r="O1075" i="1"/>
  <c r="M1075" i="1"/>
  <c r="E1075" i="1"/>
  <c r="B1075" i="1"/>
  <c r="P1074" i="1"/>
  <c r="O1074" i="1"/>
  <c r="M1074" i="1"/>
  <c r="E1074" i="1"/>
  <c r="B1074" i="1"/>
  <c r="P1073" i="1"/>
  <c r="O1073" i="1"/>
  <c r="M1073" i="1"/>
  <c r="E1073" i="1"/>
  <c r="B1073" i="1"/>
  <c r="P1072" i="1"/>
  <c r="O1072" i="1"/>
  <c r="M1072" i="1"/>
  <c r="E1072" i="1"/>
  <c r="B1072" i="1"/>
  <c r="P1071" i="1"/>
  <c r="O1071" i="1"/>
  <c r="M1071" i="1"/>
  <c r="E1071" i="1"/>
  <c r="B1071" i="1"/>
  <c r="P1070" i="1"/>
  <c r="O1070" i="1"/>
  <c r="M1070" i="1"/>
  <c r="E1070" i="1"/>
  <c r="B1070" i="1"/>
  <c r="P1069" i="1"/>
  <c r="O1069" i="1"/>
  <c r="M1069" i="1"/>
  <c r="E1069" i="1"/>
  <c r="B1069" i="1"/>
  <c r="P1068" i="1"/>
  <c r="O1068" i="1"/>
  <c r="M1068" i="1"/>
  <c r="E1068" i="1"/>
  <c r="B1068" i="1"/>
  <c r="P1067" i="1"/>
  <c r="O1067" i="1"/>
  <c r="M1067" i="1"/>
  <c r="E1067" i="1"/>
  <c r="B1067" i="1"/>
  <c r="P1066" i="1"/>
  <c r="O1066" i="1"/>
  <c r="M1066" i="1"/>
  <c r="I1066" i="1"/>
  <c r="E1066" i="1"/>
  <c r="B1066" i="1"/>
  <c r="P1065" i="1"/>
  <c r="O1065" i="1"/>
  <c r="M1065" i="1"/>
  <c r="E1065" i="1"/>
  <c r="B1065" i="1"/>
  <c r="P1064" i="1"/>
  <c r="O1064" i="1"/>
  <c r="M1064" i="1"/>
  <c r="E1064" i="1"/>
  <c r="B1064" i="1"/>
  <c r="P1063" i="1"/>
  <c r="O1063" i="1"/>
  <c r="M1063" i="1"/>
  <c r="E1063" i="1"/>
  <c r="B1063" i="1"/>
  <c r="P1062" i="1"/>
  <c r="O1062" i="1"/>
  <c r="M1062" i="1"/>
  <c r="E1062" i="1"/>
  <c r="B1062" i="1"/>
  <c r="P1061" i="1"/>
  <c r="O1061" i="1"/>
  <c r="M1061" i="1"/>
  <c r="E1061" i="1"/>
  <c r="B1061" i="1"/>
  <c r="P1060" i="1"/>
  <c r="O1060" i="1"/>
  <c r="M1060" i="1"/>
  <c r="E1060" i="1"/>
  <c r="B1060" i="1"/>
  <c r="P1059" i="1"/>
  <c r="O1059" i="1"/>
  <c r="M1059" i="1"/>
  <c r="E1059" i="1"/>
  <c r="B1059" i="1"/>
  <c r="P1058" i="1"/>
  <c r="O1058" i="1"/>
  <c r="M1058" i="1"/>
  <c r="E1058" i="1"/>
  <c r="B1058" i="1"/>
  <c r="P1057" i="1"/>
  <c r="O1057" i="1"/>
  <c r="M1057" i="1"/>
  <c r="E1057" i="1"/>
  <c r="B1057" i="1"/>
  <c r="P1056" i="1"/>
  <c r="O1056" i="1"/>
  <c r="M1056" i="1"/>
  <c r="E1056" i="1"/>
  <c r="B1056" i="1"/>
  <c r="P1055" i="1"/>
  <c r="O1055" i="1"/>
  <c r="M1055" i="1"/>
  <c r="E1055" i="1"/>
  <c r="B1055" i="1"/>
  <c r="P1054" i="1"/>
  <c r="O1054" i="1"/>
  <c r="M1054" i="1"/>
  <c r="E1054" i="1"/>
  <c r="B1054" i="1"/>
  <c r="P1053" i="1"/>
  <c r="O1053" i="1"/>
  <c r="M1053" i="1"/>
  <c r="E1053" i="1"/>
  <c r="B1053" i="1"/>
  <c r="P1052" i="1"/>
  <c r="O1052" i="1"/>
  <c r="M1052" i="1"/>
  <c r="E1052" i="1"/>
  <c r="B1052" i="1"/>
  <c r="P1051" i="1"/>
  <c r="O1051" i="1"/>
  <c r="M1051" i="1"/>
  <c r="E1051" i="1"/>
  <c r="B1051" i="1"/>
  <c r="P1050" i="1"/>
  <c r="O1050" i="1"/>
  <c r="M1050" i="1"/>
  <c r="E1050" i="1"/>
  <c r="B1050" i="1"/>
  <c r="P1049" i="1"/>
  <c r="O1049" i="1"/>
  <c r="M1049" i="1"/>
  <c r="E1049" i="1"/>
  <c r="B1049" i="1"/>
  <c r="P1048" i="1"/>
  <c r="O1048" i="1"/>
  <c r="M1048" i="1"/>
  <c r="E1048" i="1"/>
  <c r="B1048" i="1"/>
  <c r="P1047" i="1"/>
  <c r="O1047" i="1"/>
  <c r="M1047" i="1"/>
  <c r="E1047" i="1"/>
  <c r="B1047" i="1"/>
  <c r="P1046" i="1"/>
  <c r="O1046" i="1"/>
  <c r="M1046" i="1"/>
  <c r="E1046" i="1"/>
  <c r="B1046" i="1"/>
  <c r="P1045" i="1"/>
  <c r="O1045" i="1"/>
  <c r="M1045" i="1"/>
  <c r="E1045" i="1"/>
  <c r="B1045" i="1"/>
  <c r="P1044" i="1"/>
  <c r="O1044" i="1"/>
  <c r="M1044" i="1"/>
  <c r="E1044" i="1"/>
  <c r="B1044" i="1"/>
  <c r="P1043" i="1"/>
  <c r="O1043" i="1"/>
  <c r="M1043" i="1"/>
  <c r="E1043" i="1"/>
  <c r="B1043" i="1"/>
  <c r="P1042" i="1"/>
  <c r="O1042" i="1"/>
  <c r="M1042" i="1"/>
  <c r="E1042" i="1"/>
  <c r="B1042" i="1"/>
  <c r="P1041" i="1"/>
  <c r="O1041" i="1"/>
  <c r="M1041" i="1"/>
  <c r="E1041" i="1"/>
  <c r="B1041" i="1"/>
  <c r="P1040" i="1"/>
  <c r="O1040" i="1"/>
  <c r="M1040" i="1"/>
  <c r="E1040" i="1"/>
  <c r="B1040" i="1"/>
  <c r="P1039" i="1"/>
  <c r="O1039" i="1"/>
  <c r="M1039" i="1"/>
  <c r="E1039" i="1"/>
  <c r="B1039" i="1"/>
  <c r="P1038" i="1"/>
  <c r="O1038" i="1"/>
  <c r="M1038" i="1"/>
  <c r="E1038" i="1"/>
  <c r="B1038" i="1"/>
  <c r="P1037" i="1"/>
  <c r="O1037" i="1"/>
  <c r="M1037" i="1"/>
  <c r="E1037" i="1"/>
  <c r="B1037" i="1"/>
  <c r="P1036" i="1"/>
  <c r="O1036" i="1"/>
  <c r="M1036" i="1"/>
  <c r="E1036" i="1"/>
  <c r="B1036" i="1"/>
  <c r="P1035" i="1"/>
  <c r="O1035" i="1"/>
  <c r="M1035" i="1"/>
  <c r="E1035" i="1"/>
  <c r="B1035" i="1"/>
  <c r="P1034" i="1"/>
  <c r="O1034" i="1"/>
  <c r="M1034" i="1"/>
  <c r="E1034" i="1"/>
  <c r="B1034" i="1"/>
  <c r="P1033" i="1"/>
  <c r="O1033" i="1"/>
  <c r="M1033" i="1"/>
  <c r="E1033" i="1"/>
  <c r="B1033" i="1"/>
  <c r="P1032" i="1"/>
  <c r="O1032" i="1"/>
  <c r="M1032" i="1"/>
  <c r="E1032" i="1"/>
  <c r="B1032" i="1"/>
  <c r="P1031" i="1"/>
  <c r="O1031" i="1"/>
  <c r="M1031" i="1"/>
  <c r="E1031" i="1"/>
  <c r="B1031" i="1"/>
  <c r="P1030" i="1"/>
  <c r="O1030" i="1"/>
  <c r="M1030" i="1"/>
  <c r="E1030" i="1"/>
  <c r="B1030" i="1"/>
  <c r="P1029" i="1"/>
  <c r="O1029" i="1"/>
  <c r="M1029" i="1"/>
  <c r="E1029" i="1"/>
  <c r="B1029" i="1"/>
  <c r="P1028" i="1"/>
  <c r="O1028" i="1"/>
  <c r="M1028" i="1"/>
  <c r="E1028" i="1"/>
  <c r="B1028" i="1"/>
  <c r="P1027" i="1"/>
  <c r="O1027" i="1"/>
  <c r="M1027" i="1"/>
  <c r="E1027" i="1"/>
  <c r="B1027" i="1"/>
  <c r="P1026" i="1"/>
  <c r="O1026" i="1"/>
  <c r="M1026" i="1"/>
  <c r="E1026" i="1"/>
  <c r="B1026" i="1"/>
  <c r="P1025" i="1"/>
  <c r="O1025" i="1"/>
  <c r="M1025" i="1"/>
  <c r="E1025" i="1"/>
  <c r="B1025" i="1"/>
  <c r="P1024" i="1"/>
  <c r="O1024" i="1"/>
  <c r="M1024" i="1"/>
  <c r="E1024" i="1"/>
  <c r="B1024" i="1"/>
  <c r="P1023" i="1"/>
  <c r="O1023" i="1"/>
  <c r="M1023" i="1"/>
  <c r="E1023" i="1"/>
  <c r="B1023" i="1"/>
  <c r="P1022" i="1"/>
  <c r="O1022" i="1"/>
  <c r="M1022" i="1"/>
  <c r="E1022" i="1"/>
  <c r="B1022" i="1"/>
  <c r="P1021" i="1"/>
  <c r="O1021" i="1"/>
  <c r="M1021" i="1"/>
  <c r="E1021" i="1"/>
  <c r="B1021" i="1"/>
  <c r="P1020" i="1"/>
  <c r="O1020" i="1"/>
  <c r="M1020" i="1"/>
  <c r="I1020" i="1"/>
  <c r="E1020" i="1"/>
  <c r="B1020" i="1"/>
  <c r="P1019" i="1"/>
  <c r="O1019" i="1"/>
  <c r="M1019" i="1"/>
  <c r="E1019" i="1"/>
  <c r="B1019" i="1"/>
  <c r="P1018" i="1"/>
  <c r="O1018" i="1"/>
  <c r="M1018" i="1"/>
  <c r="E1018" i="1"/>
  <c r="B1018" i="1"/>
  <c r="P1017" i="1"/>
  <c r="O1017" i="1"/>
  <c r="M1017" i="1"/>
  <c r="E1017" i="1"/>
  <c r="B1017" i="1"/>
  <c r="P1016" i="1"/>
  <c r="O1016" i="1"/>
  <c r="M1016" i="1"/>
  <c r="E1016" i="1"/>
  <c r="B1016" i="1"/>
  <c r="P1015" i="1"/>
  <c r="O1015" i="1"/>
  <c r="M1015" i="1"/>
  <c r="E1015" i="1"/>
  <c r="B1015" i="1"/>
  <c r="P1014" i="1"/>
  <c r="O1014" i="1"/>
  <c r="M1014" i="1"/>
  <c r="E1014" i="1"/>
  <c r="B1014" i="1"/>
  <c r="P1013" i="1"/>
  <c r="O1013" i="1"/>
  <c r="M1013" i="1"/>
  <c r="E1013" i="1"/>
  <c r="B1013" i="1"/>
  <c r="P1012" i="1"/>
  <c r="O1012" i="1"/>
  <c r="M1012" i="1"/>
  <c r="E1012" i="1"/>
  <c r="B1012" i="1"/>
  <c r="P1011" i="1"/>
  <c r="O1011" i="1"/>
  <c r="M1011" i="1"/>
  <c r="E1011" i="1"/>
  <c r="B1011" i="1"/>
  <c r="P1010" i="1"/>
  <c r="O1010" i="1"/>
  <c r="M1010" i="1"/>
  <c r="E1010" i="1"/>
  <c r="B1010" i="1"/>
  <c r="P1009" i="1"/>
  <c r="O1009" i="1"/>
  <c r="M1009" i="1"/>
  <c r="E1009" i="1"/>
  <c r="B1009" i="1"/>
  <c r="P1008" i="1"/>
  <c r="O1008" i="1"/>
  <c r="M1008" i="1"/>
  <c r="E1008" i="1"/>
  <c r="B1008" i="1"/>
  <c r="P1007" i="1"/>
  <c r="O1007" i="1"/>
  <c r="M1007" i="1"/>
  <c r="E1007" i="1"/>
  <c r="B1007" i="1"/>
  <c r="P1006" i="1"/>
  <c r="O1006" i="1"/>
  <c r="M1006" i="1"/>
  <c r="E1006" i="1"/>
  <c r="B1006" i="1"/>
  <c r="P1005" i="1"/>
  <c r="O1005" i="1"/>
  <c r="M1005" i="1"/>
  <c r="E1005" i="1"/>
  <c r="B1005" i="1"/>
  <c r="P1004" i="1"/>
  <c r="O1004" i="1"/>
  <c r="M1004" i="1"/>
  <c r="E1004" i="1"/>
  <c r="B1004" i="1"/>
  <c r="P1003" i="1"/>
  <c r="O1003" i="1"/>
  <c r="M1003" i="1"/>
  <c r="E1003" i="1"/>
  <c r="B1003" i="1"/>
  <c r="P1002" i="1"/>
  <c r="O1002" i="1"/>
  <c r="M1002" i="1"/>
  <c r="E1002" i="1"/>
  <c r="B1002" i="1"/>
  <c r="P1001" i="1"/>
  <c r="O1001" i="1"/>
  <c r="M1001" i="1"/>
  <c r="E1001" i="1"/>
  <c r="B1001" i="1"/>
  <c r="P1000" i="1"/>
  <c r="O1000" i="1"/>
  <c r="M1000" i="1"/>
  <c r="E1000" i="1"/>
  <c r="B1000" i="1"/>
  <c r="P999" i="1"/>
  <c r="O999" i="1"/>
  <c r="M999" i="1"/>
  <c r="E999" i="1"/>
  <c r="B999" i="1"/>
  <c r="P998" i="1"/>
  <c r="O998" i="1"/>
  <c r="M998" i="1"/>
  <c r="E998" i="1"/>
  <c r="B998" i="1"/>
  <c r="P997" i="1"/>
  <c r="O997" i="1"/>
  <c r="M997" i="1"/>
  <c r="E997" i="1"/>
  <c r="B997" i="1"/>
  <c r="P996" i="1"/>
  <c r="O996" i="1"/>
  <c r="M996" i="1"/>
  <c r="E996" i="1"/>
  <c r="B996" i="1"/>
  <c r="P995" i="1"/>
  <c r="O995" i="1"/>
  <c r="M995" i="1"/>
  <c r="E995" i="1"/>
  <c r="B995" i="1"/>
  <c r="P994" i="1"/>
  <c r="O994" i="1"/>
  <c r="M994" i="1"/>
  <c r="E994" i="1"/>
  <c r="B994" i="1"/>
  <c r="P993" i="1"/>
  <c r="O993" i="1"/>
  <c r="M993" i="1"/>
  <c r="E993" i="1"/>
  <c r="B993" i="1"/>
  <c r="P992" i="1"/>
  <c r="O992" i="1"/>
  <c r="M992" i="1"/>
  <c r="E992" i="1"/>
  <c r="B992" i="1"/>
  <c r="P991" i="1"/>
  <c r="O991" i="1"/>
  <c r="M991" i="1"/>
  <c r="E991" i="1"/>
  <c r="B991" i="1"/>
  <c r="P990" i="1"/>
  <c r="O990" i="1"/>
  <c r="M990" i="1"/>
  <c r="I990" i="1"/>
  <c r="E990" i="1"/>
  <c r="B990" i="1"/>
  <c r="P989" i="1"/>
  <c r="O989" i="1"/>
  <c r="E989" i="1"/>
  <c r="B989" i="1"/>
  <c r="P988" i="1"/>
  <c r="O988" i="1"/>
  <c r="E988" i="1"/>
  <c r="B988" i="1"/>
  <c r="P987" i="1"/>
  <c r="O987" i="1"/>
  <c r="J987" i="1"/>
  <c r="E987" i="1"/>
  <c r="B987" i="1"/>
  <c r="P986" i="1"/>
  <c r="O986" i="1"/>
  <c r="M986" i="1"/>
  <c r="E986" i="1"/>
  <c r="B986" i="1"/>
  <c r="P985" i="1"/>
  <c r="O985" i="1"/>
  <c r="M985" i="1"/>
  <c r="E985" i="1"/>
  <c r="B985" i="1"/>
  <c r="P984" i="1"/>
  <c r="O984" i="1"/>
  <c r="M984" i="1"/>
  <c r="E984" i="1"/>
  <c r="B984" i="1"/>
  <c r="P983" i="1"/>
  <c r="O983" i="1"/>
  <c r="M983" i="1"/>
  <c r="E983" i="1"/>
  <c r="B983" i="1"/>
  <c r="P982" i="1"/>
  <c r="O982" i="1"/>
  <c r="M982" i="1"/>
  <c r="E982" i="1"/>
  <c r="B982" i="1"/>
  <c r="P981" i="1"/>
  <c r="O981" i="1"/>
  <c r="M981" i="1"/>
  <c r="E981" i="1"/>
  <c r="B981" i="1"/>
  <c r="P980" i="1"/>
  <c r="O980" i="1"/>
  <c r="M980" i="1"/>
  <c r="E980" i="1"/>
  <c r="B980" i="1"/>
  <c r="P979" i="1"/>
  <c r="O979" i="1"/>
  <c r="M979" i="1"/>
  <c r="E979" i="1"/>
  <c r="B979" i="1"/>
  <c r="P978" i="1"/>
  <c r="O978" i="1"/>
  <c r="M978" i="1"/>
  <c r="E978" i="1"/>
  <c r="B978" i="1"/>
  <c r="P977" i="1"/>
  <c r="O977" i="1"/>
  <c r="M977" i="1"/>
  <c r="E977" i="1"/>
  <c r="B977" i="1"/>
  <c r="P976" i="1"/>
  <c r="O976" i="1"/>
  <c r="M976" i="1"/>
  <c r="E976" i="1"/>
  <c r="B976" i="1"/>
  <c r="P975" i="1"/>
  <c r="O975" i="1"/>
  <c r="M975" i="1"/>
  <c r="E975" i="1"/>
  <c r="B975" i="1"/>
  <c r="P974" i="1"/>
  <c r="O974" i="1"/>
  <c r="M974" i="1"/>
  <c r="E974" i="1"/>
  <c r="B974" i="1"/>
  <c r="P973" i="1"/>
  <c r="O973" i="1"/>
  <c r="M973" i="1"/>
  <c r="E973" i="1"/>
  <c r="B973" i="1"/>
  <c r="P972" i="1"/>
  <c r="O972" i="1"/>
  <c r="M972" i="1"/>
  <c r="E972" i="1"/>
  <c r="B972" i="1"/>
  <c r="P971" i="1"/>
  <c r="O971" i="1"/>
  <c r="M971" i="1"/>
  <c r="E971" i="1"/>
  <c r="B971" i="1"/>
  <c r="P970" i="1"/>
  <c r="O970" i="1"/>
  <c r="M970" i="1"/>
  <c r="E970" i="1"/>
  <c r="B970" i="1"/>
  <c r="P969" i="1"/>
  <c r="O969" i="1"/>
  <c r="M969" i="1"/>
  <c r="E969" i="1"/>
  <c r="B969" i="1"/>
  <c r="P968" i="1"/>
  <c r="O968" i="1"/>
  <c r="M968" i="1"/>
  <c r="J968" i="1"/>
  <c r="E968" i="1"/>
  <c r="B968" i="1"/>
  <c r="P967" i="1"/>
  <c r="O967" i="1"/>
  <c r="M967" i="1"/>
  <c r="E967" i="1"/>
  <c r="B967" i="1"/>
  <c r="P966" i="1"/>
  <c r="O966" i="1"/>
  <c r="M966" i="1"/>
  <c r="E966" i="1"/>
  <c r="B966" i="1"/>
  <c r="P965" i="1"/>
  <c r="O965" i="1"/>
  <c r="M965" i="1"/>
  <c r="E965" i="1"/>
  <c r="B965" i="1"/>
  <c r="P964" i="1"/>
  <c r="O964" i="1"/>
  <c r="M964" i="1"/>
  <c r="E964" i="1"/>
  <c r="B964" i="1"/>
  <c r="P963" i="1"/>
  <c r="O963" i="1"/>
  <c r="M963" i="1"/>
  <c r="I963" i="1"/>
  <c r="E963" i="1"/>
  <c r="B963" i="1"/>
  <c r="P962" i="1"/>
  <c r="O962" i="1"/>
  <c r="M962" i="1"/>
  <c r="E962" i="1"/>
  <c r="B962" i="1"/>
  <c r="P961" i="1"/>
  <c r="O961" i="1"/>
  <c r="M961" i="1"/>
  <c r="E961" i="1"/>
  <c r="B961" i="1"/>
  <c r="P960" i="1"/>
  <c r="O960" i="1"/>
  <c r="M960" i="1"/>
  <c r="E960" i="1"/>
  <c r="B960" i="1"/>
  <c r="P959" i="1"/>
  <c r="O959" i="1"/>
  <c r="M959" i="1"/>
  <c r="E959" i="1"/>
  <c r="B959" i="1"/>
  <c r="P958" i="1"/>
  <c r="O958" i="1"/>
  <c r="M958" i="1"/>
  <c r="E958" i="1"/>
  <c r="B958" i="1"/>
  <c r="P957" i="1"/>
  <c r="O957" i="1"/>
  <c r="M957" i="1"/>
  <c r="E957" i="1"/>
  <c r="B957" i="1"/>
  <c r="P956" i="1"/>
  <c r="O956" i="1"/>
  <c r="M956" i="1"/>
  <c r="E956" i="1"/>
  <c r="B956" i="1"/>
  <c r="P955" i="1"/>
  <c r="O955" i="1"/>
  <c r="M955" i="1"/>
  <c r="E955" i="1"/>
  <c r="B955" i="1"/>
  <c r="P954" i="1"/>
  <c r="O954" i="1"/>
  <c r="M954" i="1"/>
  <c r="E954" i="1"/>
  <c r="B954" i="1"/>
  <c r="P953" i="1"/>
  <c r="O953" i="1"/>
  <c r="M953" i="1"/>
  <c r="I953" i="1"/>
  <c r="E953" i="1"/>
  <c r="B953" i="1"/>
  <c r="P952" i="1"/>
  <c r="O952" i="1"/>
  <c r="M952" i="1"/>
  <c r="E952" i="1"/>
  <c r="B952" i="1"/>
  <c r="P951" i="1"/>
  <c r="O951" i="1"/>
  <c r="M951" i="1"/>
  <c r="E951" i="1"/>
  <c r="B951" i="1"/>
  <c r="P950" i="1"/>
  <c r="O950" i="1"/>
  <c r="M950" i="1"/>
  <c r="E950" i="1"/>
  <c r="B950" i="1"/>
  <c r="P949" i="1"/>
  <c r="O949" i="1"/>
  <c r="M949" i="1"/>
  <c r="E949" i="1"/>
  <c r="B949" i="1"/>
  <c r="P948" i="1"/>
  <c r="O948" i="1"/>
  <c r="M948" i="1"/>
  <c r="E948" i="1"/>
  <c r="B948" i="1"/>
  <c r="P947" i="1"/>
  <c r="O947" i="1"/>
  <c r="M947" i="1"/>
  <c r="I947" i="1"/>
  <c r="E947" i="1"/>
  <c r="B947" i="1"/>
  <c r="P946" i="1"/>
  <c r="O946" i="1"/>
  <c r="M946" i="1"/>
  <c r="I946" i="1"/>
  <c r="E946" i="1"/>
  <c r="B946" i="1"/>
  <c r="P945" i="1"/>
  <c r="O945" i="1"/>
  <c r="M945" i="1"/>
  <c r="E945" i="1"/>
  <c r="B945" i="1"/>
  <c r="P944" i="1"/>
  <c r="O944" i="1"/>
  <c r="M944" i="1"/>
  <c r="E944" i="1"/>
  <c r="B944" i="1"/>
  <c r="P943" i="1"/>
  <c r="O943" i="1"/>
  <c r="M943" i="1"/>
  <c r="E943" i="1"/>
  <c r="B943" i="1"/>
  <c r="P942" i="1"/>
  <c r="O942" i="1"/>
  <c r="M942" i="1"/>
  <c r="E942" i="1"/>
  <c r="B942" i="1"/>
  <c r="P941" i="1"/>
  <c r="O941" i="1"/>
  <c r="M941" i="1"/>
  <c r="E941" i="1"/>
  <c r="B941" i="1"/>
  <c r="P940" i="1"/>
  <c r="O940" i="1"/>
  <c r="M940" i="1"/>
  <c r="E940" i="1"/>
  <c r="B940" i="1"/>
  <c r="P939" i="1"/>
  <c r="O939" i="1"/>
  <c r="M939" i="1"/>
  <c r="E939" i="1"/>
  <c r="B939" i="1"/>
  <c r="P938" i="1"/>
  <c r="O938" i="1"/>
  <c r="M938" i="1"/>
  <c r="E938" i="1"/>
  <c r="B938" i="1"/>
  <c r="P937" i="1"/>
  <c r="O937" i="1"/>
  <c r="M937" i="1"/>
  <c r="E937" i="1"/>
  <c r="B937" i="1"/>
  <c r="P936" i="1"/>
  <c r="O936" i="1"/>
  <c r="M936" i="1"/>
  <c r="E936" i="1"/>
  <c r="B936" i="1"/>
  <c r="P935" i="1"/>
  <c r="O935" i="1"/>
  <c r="M935" i="1"/>
  <c r="E935" i="1"/>
  <c r="B935" i="1"/>
  <c r="P934" i="1"/>
  <c r="O934" i="1"/>
  <c r="M934" i="1"/>
  <c r="E934" i="1"/>
  <c r="B934" i="1"/>
  <c r="P933" i="1"/>
  <c r="O933" i="1"/>
  <c r="M933" i="1"/>
  <c r="E933" i="1"/>
  <c r="B933" i="1"/>
  <c r="P932" i="1"/>
  <c r="O932" i="1"/>
  <c r="M932" i="1"/>
  <c r="E932" i="1"/>
  <c r="B932" i="1"/>
  <c r="P931" i="1"/>
  <c r="O931" i="1"/>
  <c r="M931" i="1"/>
  <c r="E931" i="1"/>
  <c r="B931" i="1"/>
  <c r="P930" i="1"/>
  <c r="O930" i="1"/>
  <c r="M930" i="1"/>
  <c r="E930" i="1"/>
  <c r="B930" i="1"/>
  <c r="P929" i="1"/>
  <c r="O929" i="1"/>
  <c r="M929" i="1"/>
  <c r="E929" i="1"/>
  <c r="B929" i="1"/>
  <c r="P928" i="1"/>
  <c r="O928" i="1"/>
  <c r="M928" i="1"/>
  <c r="E928" i="1"/>
  <c r="B928" i="1"/>
  <c r="P927" i="1"/>
  <c r="O927" i="1"/>
  <c r="M927" i="1"/>
  <c r="E927" i="1"/>
  <c r="B927" i="1"/>
  <c r="P926" i="1"/>
  <c r="O926" i="1"/>
  <c r="M926" i="1"/>
  <c r="E926" i="1"/>
  <c r="B926" i="1"/>
  <c r="P925" i="1"/>
  <c r="O925" i="1"/>
  <c r="M925" i="1"/>
  <c r="E925" i="1"/>
  <c r="B925" i="1"/>
  <c r="P924" i="1"/>
  <c r="O924" i="1"/>
  <c r="M924" i="1"/>
  <c r="E924" i="1"/>
  <c r="B924" i="1"/>
  <c r="P923" i="1"/>
  <c r="O923" i="1"/>
  <c r="M923" i="1"/>
  <c r="E923" i="1"/>
  <c r="B923" i="1"/>
  <c r="P922" i="1"/>
  <c r="O922" i="1"/>
  <c r="M922" i="1"/>
  <c r="E922" i="1"/>
  <c r="B922" i="1"/>
  <c r="P921" i="1"/>
  <c r="O921" i="1"/>
  <c r="M921" i="1"/>
  <c r="E921" i="1"/>
  <c r="B921" i="1"/>
  <c r="P920" i="1"/>
  <c r="O920" i="1"/>
  <c r="M920" i="1"/>
  <c r="E920" i="1"/>
  <c r="B920" i="1"/>
  <c r="P919" i="1"/>
  <c r="O919" i="1"/>
  <c r="M919" i="1"/>
  <c r="E919" i="1"/>
  <c r="B919" i="1"/>
  <c r="P918" i="1"/>
  <c r="O918" i="1"/>
  <c r="M918" i="1"/>
  <c r="E918" i="1"/>
  <c r="B918" i="1"/>
  <c r="P917" i="1"/>
  <c r="O917" i="1"/>
  <c r="M917" i="1"/>
  <c r="E917" i="1"/>
  <c r="B917" i="1"/>
  <c r="P916" i="1"/>
  <c r="O916" i="1"/>
  <c r="M916" i="1"/>
  <c r="E916" i="1"/>
  <c r="B916" i="1"/>
  <c r="P915" i="1"/>
  <c r="O915" i="1"/>
  <c r="M915" i="1"/>
  <c r="E915" i="1"/>
  <c r="B915" i="1"/>
  <c r="P914" i="1"/>
  <c r="O914" i="1"/>
  <c r="M914" i="1"/>
  <c r="E914" i="1"/>
  <c r="B914" i="1"/>
  <c r="P913" i="1"/>
  <c r="O913" i="1"/>
  <c r="M913" i="1"/>
  <c r="E913" i="1"/>
  <c r="B913" i="1"/>
  <c r="P912" i="1"/>
  <c r="O912" i="1"/>
  <c r="M912" i="1"/>
  <c r="E912" i="1"/>
  <c r="B912" i="1"/>
  <c r="P911" i="1"/>
  <c r="O911" i="1"/>
  <c r="M911" i="1"/>
  <c r="E911" i="1"/>
  <c r="B911" i="1"/>
  <c r="P910" i="1"/>
  <c r="O910" i="1"/>
  <c r="M910" i="1"/>
  <c r="E910" i="1"/>
  <c r="B910" i="1"/>
  <c r="P909" i="1"/>
  <c r="O909" i="1"/>
  <c r="M909" i="1"/>
  <c r="E909" i="1"/>
  <c r="B909" i="1"/>
  <c r="P908" i="1"/>
  <c r="O908" i="1"/>
  <c r="M908" i="1"/>
  <c r="E908" i="1"/>
  <c r="B908" i="1"/>
  <c r="P907" i="1"/>
  <c r="O907" i="1"/>
  <c r="M907" i="1"/>
  <c r="E907" i="1"/>
  <c r="B907" i="1"/>
  <c r="P906" i="1"/>
  <c r="O906" i="1"/>
  <c r="M906" i="1"/>
  <c r="E906" i="1"/>
  <c r="B906" i="1"/>
  <c r="P905" i="1"/>
  <c r="O905" i="1"/>
  <c r="M905" i="1"/>
  <c r="E905" i="1"/>
  <c r="B905" i="1"/>
  <c r="P904" i="1"/>
  <c r="O904" i="1"/>
  <c r="M904" i="1"/>
  <c r="E904" i="1"/>
  <c r="B904" i="1"/>
  <c r="P903" i="1"/>
  <c r="O903" i="1"/>
  <c r="M903" i="1"/>
  <c r="E903" i="1"/>
  <c r="B903" i="1"/>
  <c r="P902" i="1"/>
  <c r="O902" i="1"/>
  <c r="M902" i="1"/>
  <c r="E902" i="1"/>
  <c r="B902" i="1"/>
  <c r="P901" i="1"/>
  <c r="O901" i="1"/>
  <c r="M901" i="1"/>
  <c r="E901" i="1"/>
  <c r="B901" i="1"/>
  <c r="P900" i="1"/>
  <c r="O900" i="1"/>
  <c r="M900" i="1"/>
  <c r="E900" i="1"/>
  <c r="B900" i="1"/>
  <c r="P899" i="1"/>
  <c r="O899" i="1"/>
  <c r="M899" i="1"/>
  <c r="E899" i="1"/>
  <c r="B899" i="1"/>
  <c r="P898" i="1"/>
  <c r="O898" i="1"/>
  <c r="M898" i="1"/>
  <c r="E898" i="1"/>
  <c r="B898" i="1"/>
  <c r="P897" i="1"/>
  <c r="O897" i="1"/>
  <c r="M897" i="1"/>
  <c r="E897" i="1"/>
  <c r="B897" i="1"/>
  <c r="P896" i="1"/>
  <c r="O896" i="1"/>
  <c r="M896" i="1"/>
  <c r="E896" i="1"/>
  <c r="B896" i="1"/>
  <c r="P895" i="1"/>
  <c r="O895" i="1"/>
  <c r="M895" i="1"/>
  <c r="E895" i="1"/>
  <c r="B895" i="1"/>
  <c r="P894" i="1"/>
  <c r="O894" i="1"/>
  <c r="M894" i="1"/>
  <c r="E894" i="1"/>
  <c r="B894" i="1"/>
  <c r="P893" i="1"/>
  <c r="O893" i="1"/>
  <c r="M893" i="1"/>
  <c r="E893" i="1"/>
  <c r="B893" i="1"/>
  <c r="P892" i="1"/>
  <c r="O892" i="1"/>
  <c r="M892" i="1"/>
  <c r="E892" i="1"/>
  <c r="B892" i="1"/>
  <c r="P891" i="1"/>
  <c r="O891" i="1"/>
  <c r="M891" i="1"/>
  <c r="E891" i="1"/>
  <c r="B891" i="1"/>
  <c r="P890" i="1"/>
  <c r="O890" i="1"/>
  <c r="M890" i="1"/>
  <c r="E890" i="1"/>
  <c r="B890" i="1"/>
  <c r="P889" i="1"/>
  <c r="O889" i="1"/>
  <c r="M889" i="1"/>
  <c r="E889" i="1"/>
  <c r="B889" i="1"/>
  <c r="P888" i="1"/>
  <c r="O888" i="1"/>
  <c r="M888" i="1"/>
  <c r="E888" i="1"/>
  <c r="B888" i="1"/>
  <c r="P887" i="1"/>
  <c r="O887" i="1"/>
  <c r="M887" i="1"/>
  <c r="E887" i="1"/>
  <c r="B887" i="1"/>
  <c r="P886" i="1"/>
  <c r="O886" i="1"/>
  <c r="M886" i="1"/>
  <c r="E886" i="1"/>
  <c r="B886" i="1"/>
  <c r="P885" i="1"/>
  <c r="O885" i="1"/>
  <c r="M885" i="1"/>
  <c r="E885" i="1"/>
  <c r="B885" i="1"/>
  <c r="P884" i="1"/>
  <c r="O884" i="1"/>
  <c r="E884" i="1"/>
  <c r="B884" i="1"/>
  <c r="P883" i="1"/>
  <c r="O883" i="1"/>
  <c r="E883" i="1"/>
  <c r="B883" i="1"/>
  <c r="P882" i="1"/>
  <c r="O882" i="1"/>
  <c r="E882" i="1"/>
  <c r="B882" i="1"/>
  <c r="P881" i="1"/>
  <c r="O881" i="1"/>
  <c r="E881" i="1"/>
  <c r="B881" i="1"/>
  <c r="P880" i="1"/>
  <c r="O880" i="1"/>
  <c r="E880" i="1"/>
  <c r="B880" i="1"/>
  <c r="P879" i="1"/>
  <c r="O879" i="1"/>
  <c r="E879" i="1"/>
  <c r="B879" i="1"/>
  <c r="P878" i="1"/>
  <c r="O878" i="1"/>
  <c r="I878" i="1"/>
  <c r="E878" i="1"/>
  <c r="B878" i="1"/>
  <c r="P877" i="1"/>
  <c r="O877" i="1"/>
  <c r="J877" i="1"/>
  <c r="E877" i="1"/>
  <c r="B877" i="1"/>
  <c r="P876" i="1"/>
  <c r="O876" i="1"/>
  <c r="J876" i="1"/>
  <c r="E876" i="1"/>
  <c r="B876" i="1"/>
  <c r="P875" i="1"/>
  <c r="O875" i="1"/>
  <c r="J875" i="1"/>
  <c r="E875" i="1"/>
  <c r="B875" i="1"/>
  <c r="P874" i="1"/>
  <c r="O874" i="1"/>
  <c r="I874" i="1"/>
  <c r="E874" i="1"/>
  <c r="B874" i="1"/>
  <c r="P873" i="1"/>
  <c r="O873" i="1"/>
  <c r="E873" i="1"/>
  <c r="B873" i="1"/>
  <c r="P872" i="1"/>
  <c r="O872" i="1"/>
  <c r="E872" i="1"/>
  <c r="B872" i="1"/>
  <c r="P871" i="1"/>
  <c r="O871" i="1"/>
  <c r="E871" i="1"/>
  <c r="B871" i="1"/>
  <c r="P870" i="1"/>
  <c r="O870" i="1"/>
  <c r="E870" i="1"/>
  <c r="B870" i="1"/>
  <c r="R869" i="1"/>
  <c r="P869" i="1"/>
  <c r="O869" i="1"/>
  <c r="I869" i="1"/>
  <c r="E869" i="1"/>
  <c r="B869" i="1"/>
  <c r="P868" i="1"/>
  <c r="O868" i="1"/>
  <c r="E868" i="1"/>
  <c r="B868" i="1"/>
  <c r="P867" i="1"/>
  <c r="O867" i="1"/>
  <c r="I867" i="1"/>
  <c r="E867" i="1"/>
  <c r="B867" i="1"/>
  <c r="P866" i="1"/>
  <c r="O866" i="1"/>
  <c r="I866" i="1"/>
  <c r="E866" i="1"/>
  <c r="B866" i="1"/>
  <c r="P865" i="1"/>
  <c r="O865" i="1"/>
  <c r="E865" i="1"/>
  <c r="B865" i="1"/>
  <c r="P864" i="1"/>
  <c r="O864" i="1"/>
  <c r="E864" i="1"/>
  <c r="B864" i="1"/>
  <c r="P863" i="1"/>
  <c r="O863" i="1"/>
  <c r="I863" i="1"/>
  <c r="E863" i="1"/>
  <c r="B863" i="1"/>
  <c r="P862" i="1"/>
  <c r="O862" i="1"/>
  <c r="E862" i="1"/>
  <c r="B862" i="1"/>
  <c r="P861" i="1"/>
  <c r="O861" i="1"/>
  <c r="E861" i="1"/>
  <c r="B861" i="1"/>
  <c r="P860" i="1"/>
  <c r="O860" i="1"/>
  <c r="E860" i="1"/>
  <c r="B860" i="1"/>
  <c r="P859" i="1"/>
  <c r="O859" i="1"/>
  <c r="E859" i="1"/>
  <c r="B859" i="1"/>
  <c r="P858" i="1"/>
  <c r="O858" i="1"/>
  <c r="M858" i="1"/>
  <c r="J858" i="1"/>
  <c r="E858" i="1"/>
  <c r="B858" i="1"/>
  <c r="P857" i="1"/>
  <c r="O857" i="1"/>
  <c r="M857" i="1"/>
  <c r="J857" i="1"/>
  <c r="E857" i="1"/>
  <c r="B857" i="1"/>
  <c r="P856" i="1"/>
  <c r="O856" i="1"/>
  <c r="E856" i="1"/>
  <c r="B856" i="1"/>
  <c r="P855" i="1"/>
  <c r="O855" i="1"/>
  <c r="E855" i="1"/>
  <c r="B855" i="1"/>
  <c r="P854" i="1"/>
  <c r="O854" i="1"/>
  <c r="J854" i="1"/>
  <c r="E854" i="1"/>
  <c r="B854" i="1"/>
  <c r="Q853" i="1"/>
  <c r="P853" i="1"/>
  <c r="O853" i="1"/>
  <c r="E853" i="1"/>
  <c r="B853" i="1"/>
  <c r="P852" i="1"/>
  <c r="O852" i="1"/>
  <c r="E852" i="1"/>
  <c r="B852" i="1"/>
  <c r="P851" i="1"/>
  <c r="O851" i="1"/>
  <c r="I851" i="1"/>
  <c r="E851" i="1"/>
  <c r="B851" i="1"/>
  <c r="P850" i="1"/>
  <c r="O850" i="1"/>
  <c r="I850" i="1"/>
  <c r="E850" i="1"/>
  <c r="B850" i="1"/>
  <c r="Q849" i="1"/>
  <c r="P849" i="1"/>
  <c r="O849" i="1"/>
  <c r="E849" i="1"/>
  <c r="B849" i="1"/>
  <c r="P848" i="1"/>
  <c r="O848" i="1"/>
  <c r="E848" i="1"/>
  <c r="B848" i="1"/>
  <c r="P847" i="1"/>
  <c r="O847" i="1"/>
  <c r="E847" i="1"/>
  <c r="B847" i="1"/>
  <c r="P846" i="1"/>
  <c r="O846" i="1"/>
  <c r="E846" i="1"/>
  <c r="B846" i="1"/>
  <c r="P845" i="1"/>
  <c r="O845" i="1"/>
  <c r="E845" i="1"/>
  <c r="B845" i="1"/>
  <c r="Q844" i="1"/>
  <c r="P844" i="1"/>
  <c r="O844" i="1"/>
  <c r="I844" i="1"/>
  <c r="E844" i="1"/>
  <c r="B844" i="1"/>
  <c r="P843" i="1"/>
  <c r="O843" i="1"/>
  <c r="E843" i="1"/>
  <c r="B843" i="1"/>
  <c r="P842" i="1"/>
  <c r="O842" i="1"/>
  <c r="E842" i="1"/>
  <c r="B842" i="1"/>
  <c r="P841" i="1"/>
  <c r="O841" i="1"/>
  <c r="E841" i="1"/>
  <c r="B841" i="1"/>
  <c r="P840" i="1"/>
  <c r="O840" i="1"/>
  <c r="E840" i="1"/>
  <c r="B840" i="1"/>
  <c r="P839" i="1"/>
  <c r="O839" i="1"/>
  <c r="E839" i="1"/>
  <c r="B839" i="1"/>
  <c r="P838" i="1"/>
  <c r="O838" i="1"/>
  <c r="E838" i="1"/>
  <c r="B838" i="1"/>
  <c r="P837" i="1"/>
  <c r="O837" i="1"/>
  <c r="E837" i="1"/>
  <c r="B837" i="1"/>
  <c r="P836" i="1"/>
  <c r="O836" i="1"/>
  <c r="E836" i="1"/>
  <c r="B836" i="1"/>
  <c r="P835" i="1"/>
  <c r="O835" i="1"/>
  <c r="E835" i="1"/>
  <c r="B835" i="1"/>
  <c r="P834" i="1"/>
  <c r="O834" i="1"/>
  <c r="E834" i="1"/>
  <c r="B834" i="1"/>
  <c r="P833" i="1"/>
  <c r="O833" i="1"/>
  <c r="E833" i="1"/>
  <c r="B833" i="1"/>
  <c r="P832" i="1"/>
  <c r="O832" i="1"/>
  <c r="I832" i="1"/>
  <c r="E832" i="1"/>
  <c r="B832" i="1"/>
  <c r="P831" i="1"/>
  <c r="O831" i="1"/>
  <c r="E831" i="1"/>
  <c r="B831" i="1"/>
  <c r="P830" i="1"/>
  <c r="O830" i="1"/>
  <c r="E830" i="1"/>
  <c r="B830" i="1"/>
  <c r="P829" i="1"/>
  <c r="O829" i="1"/>
  <c r="I829" i="1"/>
  <c r="E829" i="1"/>
  <c r="B829" i="1"/>
  <c r="P828" i="1"/>
  <c r="O828" i="1"/>
  <c r="I828" i="1"/>
  <c r="E828" i="1"/>
  <c r="B828" i="1"/>
  <c r="P827" i="1"/>
  <c r="O827" i="1"/>
  <c r="E827" i="1"/>
  <c r="B827" i="1"/>
  <c r="P826" i="1"/>
  <c r="O826" i="1"/>
  <c r="I826" i="1"/>
  <c r="E826" i="1"/>
  <c r="B826" i="1"/>
  <c r="P825" i="1"/>
  <c r="O825" i="1"/>
  <c r="I825" i="1"/>
  <c r="E825" i="1"/>
  <c r="B825" i="1"/>
  <c r="R824" i="1"/>
  <c r="P824" i="1"/>
  <c r="O824" i="1"/>
  <c r="E824" i="1"/>
  <c r="B824" i="1"/>
  <c r="P823" i="1"/>
  <c r="O823" i="1"/>
  <c r="E823" i="1"/>
  <c r="B823" i="1"/>
  <c r="P822" i="1"/>
  <c r="O822" i="1"/>
  <c r="E822" i="1"/>
  <c r="B822" i="1"/>
  <c r="P821" i="1"/>
  <c r="O821" i="1"/>
  <c r="E821" i="1"/>
  <c r="B821" i="1"/>
  <c r="P820" i="1"/>
  <c r="O820" i="1"/>
  <c r="E820" i="1"/>
  <c r="B820" i="1"/>
  <c r="P819" i="1"/>
  <c r="O819" i="1"/>
  <c r="E819" i="1"/>
  <c r="B819" i="1"/>
  <c r="P818" i="1"/>
  <c r="O818" i="1"/>
  <c r="I818" i="1"/>
  <c r="E818" i="1"/>
  <c r="B818" i="1"/>
  <c r="Q817" i="1"/>
  <c r="P817" i="1"/>
  <c r="O817" i="1"/>
  <c r="E817" i="1"/>
  <c r="B817" i="1"/>
  <c r="Q816" i="1"/>
  <c r="P816" i="1"/>
  <c r="O816" i="1"/>
  <c r="E816" i="1"/>
  <c r="B816" i="1"/>
  <c r="Q815" i="1"/>
  <c r="P815" i="1"/>
  <c r="O815" i="1"/>
  <c r="I815" i="1"/>
  <c r="E815" i="1"/>
  <c r="B815" i="1"/>
  <c r="Q814" i="1"/>
  <c r="P814" i="1"/>
  <c r="O814" i="1"/>
  <c r="E814" i="1"/>
  <c r="B814" i="1"/>
  <c r="Q813" i="1"/>
  <c r="P813" i="1"/>
  <c r="O813" i="1"/>
  <c r="E813" i="1"/>
  <c r="B813" i="1"/>
  <c r="Q812" i="1"/>
  <c r="P812" i="1"/>
  <c r="O812" i="1"/>
  <c r="E812" i="1"/>
  <c r="B812" i="1"/>
  <c r="Q811" i="1"/>
  <c r="P811" i="1"/>
  <c r="O811" i="1"/>
  <c r="E811" i="1"/>
  <c r="B811" i="1"/>
  <c r="P810" i="1"/>
  <c r="O810" i="1"/>
  <c r="E810" i="1"/>
  <c r="B810" i="1"/>
  <c r="P809" i="1"/>
  <c r="O809" i="1"/>
  <c r="E809" i="1"/>
  <c r="B809" i="1"/>
  <c r="P808" i="1"/>
  <c r="O808" i="1"/>
  <c r="E808" i="1"/>
  <c r="B808" i="1"/>
  <c r="P807" i="1"/>
  <c r="O807" i="1"/>
  <c r="E807" i="1"/>
  <c r="B807" i="1"/>
  <c r="P806" i="1"/>
  <c r="O806" i="1"/>
  <c r="E806" i="1"/>
  <c r="B806" i="1"/>
  <c r="P805" i="1"/>
  <c r="O805" i="1"/>
  <c r="I805" i="1"/>
  <c r="E805" i="1"/>
  <c r="B805" i="1"/>
  <c r="P804" i="1"/>
  <c r="O804" i="1"/>
  <c r="E804" i="1"/>
  <c r="B804" i="1"/>
  <c r="P803" i="1"/>
  <c r="O803" i="1"/>
  <c r="E803" i="1"/>
  <c r="B803" i="1"/>
  <c r="P802" i="1"/>
  <c r="O802" i="1"/>
  <c r="E802" i="1"/>
  <c r="B802" i="1"/>
  <c r="R801" i="1"/>
  <c r="P801" i="1"/>
  <c r="O801" i="1"/>
  <c r="I801" i="1"/>
  <c r="E801" i="1"/>
  <c r="B801" i="1"/>
  <c r="P800" i="1"/>
  <c r="O800" i="1"/>
  <c r="E800" i="1"/>
  <c r="B800" i="1"/>
  <c r="P799" i="1"/>
  <c r="O799" i="1"/>
  <c r="E799" i="1"/>
  <c r="B799" i="1"/>
  <c r="P798" i="1"/>
  <c r="O798" i="1"/>
  <c r="E798" i="1"/>
  <c r="B798" i="1"/>
  <c r="P797" i="1"/>
  <c r="O797" i="1"/>
  <c r="E797" i="1"/>
  <c r="B797" i="1"/>
  <c r="P796" i="1"/>
  <c r="O796" i="1"/>
  <c r="E796" i="1"/>
  <c r="B796" i="1"/>
  <c r="P795" i="1"/>
  <c r="O795" i="1"/>
  <c r="E795" i="1"/>
  <c r="B795" i="1"/>
  <c r="P794" i="1"/>
  <c r="O794" i="1"/>
  <c r="E794" i="1"/>
  <c r="B794" i="1"/>
  <c r="P793" i="1"/>
  <c r="O793" i="1"/>
  <c r="E793" i="1"/>
  <c r="B793" i="1"/>
  <c r="P792" i="1"/>
  <c r="O792" i="1"/>
  <c r="E792" i="1"/>
  <c r="B792" i="1"/>
  <c r="P791" i="1"/>
  <c r="O791" i="1"/>
  <c r="I791" i="1"/>
  <c r="E791" i="1"/>
  <c r="B791" i="1"/>
  <c r="P790" i="1"/>
  <c r="O790" i="1"/>
  <c r="E790" i="1"/>
  <c r="B790" i="1"/>
  <c r="P789" i="1"/>
  <c r="O789" i="1"/>
  <c r="E789" i="1"/>
  <c r="B789" i="1"/>
  <c r="P788" i="1"/>
  <c r="O788" i="1"/>
  <c r="E788" i="1"/>
  <c r="B788" i="1"/>
  <c r="P787" i="1"/>
  <c r="O787" i="1"/>
  <c r="E787" i="1"/>
  <c r="B787" i="1"/>
  <c r="P786" i="1"/>
  <c r="O786" i="1"/>
  <c r="E786" i="1"/>
  <c r="B786" i="1"/>
  <c r="P785" i="1"/>
  <c r="O785" i="1"/>
  <c r="E785" i="1"/>
  <c r="B785" i="1"/>
  <c r="P784" i="1"/>
  <c r="O784" i="1"/>
  <c r="E784" i="1"/>
  <c r="B784" i="1"/>
  <c r="P783" i="1"/>
  <c r="O783" i="1"/>
  <c r="I783" i="1"/>
  <c r="E783" i="1"/>
  <c r="B783" i="1"/>
  <c r="P782" i="1"/>
  <c r="O782" i="1"/>
  <c r="E782" i="1"/>
  <c r="B782" i="1"/>
  <c r="P781" i="1"/>
  <c r="O781" i="1"/>
  <c r="E781" i="1"/>
  <c r="B781" i="1"/>
  <c r="P780" i="1"/>
  <c r="O780" i="1"/>
  <c r="E780" i="1"/>
  <c r="B780" i="1"/>
  <c r="P779" i="1"/>
  <c r="O779" i="1"/>
  <c r="E779" i="1"/>
  <c r="B779" i="1"/>
  <c r="P778" i="1"/>
  <c r="O778" i="1"/>
  <c r="I778" i="1"/>
  <c r="E778" i="1"/>
  <c r="B778" i="1"/>
  <c r="P777" i="1"/>
  <c r="O777" i="1"/>
  <c r="I777" i="1"/>
  <c r="E777" i="1"/>
  <c r="B777" i="1"/>
  <c r="P776" i="1"/>
  <c r="O776" i="1"/>
  <c r="I776" i="1"/>
  <c r="E776" i="1"/>
  <c r="B776" i="1"/>
  <c r="P775" i="1"/>
  <c r="O775" i="1"/>
  <c r="I775" i="1"/>
  <c r="E775" i="1"/>
  <c r="B775" i="1"/>
  <c r="P774" i="1"/>
  <c r="O774" i="1"/>
  <c r="E774" i="1"/>
  <c r="B774" i="1"/>
  <c r="P773" i="1"/>
  <c r="O773" i="1"/>
  <c r="I773" i="1"/>
  <c r="E773" i="1"/>
  <c r="B773" i="1"/>
  <c r="S772" i="1"/>
  <c r="P772" i="1"/>
  <c r="O772" i="1"/>
  <c r="I772" i="1"/>
  <c r="E772" i="1"/>
  <c r="B772" i="1"/>
  <c r="P771" i="1"/>
  <c r="O771" i="1"/>
  <c r="E771" i="1"/>
  <c r="B771" i="1"/>
  <c r="R770" i="1"/>
  <c r="P770" i="1"/>
  <c r="O770" i="1"/>
  <c r="E770" i="1"/>
  <c r="B770" i="1"/>
  <c r="Q769" i="1"/>
  <c r="P769" i="1"/>
  <c r="O769" i="1"/>
  <c r="E769" i="1"/>
  <c r="B769" i="1"/>
  <c r="P768" i="1"/>
  <c r="O768" i="1"/>
  <c r="E768" i="1"/>
  <c r="B768" i="1"/>
  <c r="Q767" i="1"/>
  <c r="P767" i="1"/>
  <c r="O767" i="1"/>
  <c r="E767" i="1"/>
  <c r="B767" i="1"/>
  <c r="Q766" i="1"/>
  <c r="P766" i="1"/>
  <c r="O766" i="1"/>
  <c r="E766" i="1"/>
  <c r="B766" i="1"/>
  <c r="R765" i="1"/>
  <c r="P765" i="1"/>
  <c r="O765" i="1"/>
  <c r="E765" i="1"/>
  <c r="B765" i="1"/>
  <c r="R764" i="1"/>
  <c r="P764" i="1"/>
  <c r="O764" i="1"/>
  <c r="E764" i="1"/>
  <c r="B764" i="1"/>
  <c r="P763" i="1"/>
  <c r="O763" i="1"/>
  <c r="E763" i="1"/>
  <c r="B763" i="1"/>
  <c r="P762" i="1"/>
  <c r="O762" i="1"/>
  <c r="E762" i="1"/>
  <c r="B762" i="1"/>
  <c r="P761" i="1"/>
  <c r="O761" i="1"/>
  <c r="E761" i="1"/>
  <c r="B761" i="1"/>
  <c r="P760" i="1"/>
  <c r="O760" i="1"/>
  <c r="E760" i="1"/>
  <c r="B760" i="1"/>
  <c r="P759" i="1"/>
  <c r="O759" i="1"/>
  <c r="E759" i="1"/>
  <c r="B759" i="1"/>
  <c r="P758" i="1"/>
  <c r="O758" i="1"/>
  <c r="E758" i="1"/>
  <c r="B758" i="1"/>
  <c r="Q757" i="1"/>
  <c r="P757" i="1"/>
  <c r="O757" i="1"/>
  <c r="E757" i="1"/>
  <c r="B757" i="1"/>
  <c r="P756" i="1"/>
  <c r="O756" i="1"/>
  <c r="E756" i="1"/>
  <c r="B756" i="1"/>
  <c r="P755" i="1"/>
  <c r="O755" i="1"/>
  <c r="E755" i="1"/>
  <c r="B755" i="1"/>
  <c r="R754" i="1"/>
  <c r="P754" i="1"/>
  <c r="O754" i="1"/>
  <c r="E754" i="1"/>
  <c r="B754" i="1"/>
  <c r="P753" i="1"/>
  <c r="O753" i="1"/>
  <c r="E753" i="1"/>
  <c r="B753" i="1"/>
  <c r="Q752" i="1"/>
  <c r="P752" i="1"/>
  <c r="O752" i="1"/>
  <c r="E752" i="1"/>
  <c r="B752" i="1"/>
  <c r="Q751" i="1"/>
  <c r="P751" i="1"/>
  <c r="O751" i="1"/>
  <c r="E751" i="1"/>
  <c r="B751" i="1"/>
  <c r="Q750" i="1"/>
  <c r="P750" i="1"/>
  <c r="O750" i="1"/>
  <c r="E750" i="1"/>
  <c r="B750" i="1"/>
  <c r="Q749" i="1"/>
  <c r="P749" i="1"/>
  <c r="O749" i="1"/>
  <c r="E749" i="1"/>
  <c r="B749" i="1"/>
  <c r="P748" i="1"/>
  <c r="O748" i="1"/>
  <c r="I748" i="1"/>
  <c r="E748" i="1"/>
  <c r="B748" i="1"/>
  <c r="P747" i="1"/>
  <c r="O747" i="1"/>
  <c r="E747" i="1"/>
  <c r="B747" i="1"/>
  <c r="P746" i="1"/>
  <c r="O746" i="1"/>
  <c r="E746" i="1"/>
  <c r="B746" i="1"/>
  <c r="P745" i="1"/>
  <c r="O745" i="1"/>
  <c r="E745" i="1"/>
  <c r="B745" i="1"/>
  <c r="P744" i="1"/>
  <c r="O744" i="1"/>
  <c r="E744" i="1"/>
  <c r="B744" i="1"/>
  <c r="P743" i="1"/>
  <c r="O743" i="1"/>
  <c r="E743" i="1"/>
  <c r="B743" i="1"/>
  <c r="P742" i="1"/>
  <c r="O742" i="1"/>
  <c r="E742" i="1"/>
  <c r="B742" i="1"/>
  <c r="Q741" i="1"/>
  <c r="P741" i="1"/>
  <c r="O741" i="1"/>
  <c r="E741" i="1"/>
  <c r="B741" i="1"/>
  <c r="P740" i="1"/>
  <c r="O740" i="1"/>
  <c r="E740" i="1"/>
  <c r="B740" i="1"/>
  <c r="P739" i="1"/>
  <c r="O739" i="1"/>
  <c r="E739" i="1"/>
  <c r="B739" i="1"/>
  <c r="P738" i="1"/>
  <c r="O738" i="1"/>
  <c r="E738" i="1"/>
  <c r="B738" i="1"/>
  <c r="P737" i="1"/>
  <c r="O737" i="1"/>
  <c r="E737" i="1"/>
  <c r="B737" i="1"/>
  <c r="P736" i="1"/>
  <c r="O736" i="1"/>
  <c r="E736" i="1"/>
  <c r="B736" i="1"/>
  <c r="P735" i="1"/>
  <c r="O735" i="1"/>
  <c r="I735" i="1"/>
  <c r="E735" i="1"/>
  <c r="B735" i="1"/>
  <c r="P734" i="1"/>
  <c r="O734" i="1"/>
  <c r="E734" i="1"/>
  <c r="B734" i="1"/>
  <c r="P733" i="1"/>
  <c r="O733" i="1"/>
  <c r="E733" i="1"/>
  <c r="B733" i="1"/>
  <c r="P732" i="1"/>
  <c r="O732" i="1"/>
  <c r="J732" i="1"/>
  <c r="E732" i="1"/>
  <c r="B732" i="1"/>
  <c r="P731" i="1"/>
  <c r="O731" i="1"/>
  <c r="E731" i="1"/>
  <c r="B731" i="1"/>
  <c r="P730" i="1"/>
  <c r="O730" i="1"/>
  <c r="E730" i="1"/>
  <c r="B730" i="1"/>
  <c r="P729" i="1"/>
  <c r="O729" i="1"/>
  <c r="E729" i="1"/>
  <c r="B729" i="1"/>
  <c r="P728" i="1"/>
  <c r="O728" i="1"/>
  <c r="E728" i="1"/>
  <c r="B728" i="1"/>
  <c r="P727" i="1"/>
  <c r="O727" i="1"/>
  <c r="J727" i="1"/>
  <c r="E727" i="1"/>
  <c r="B727" i="1"/>
  <c r="P726" i="1"/>
  <c r="O726" i="1"/>
  <c r="I726" i="1"/>
  <c r="J726" i="1" s="1"/>
  <c r="E726" i="1"/>
  <c r="B726" i="1"/>
  <c r="P725" i="1"/>
  <c r="O725" i="1"/>
  <c r="E725" i="1"/>
  <c r="B725" i="1"/>
  <c r="P724" i="1"/>
  <c r="O724" i="1"/>
  <c r="E724" i="1"/>
  <c r="B724" i="1"/>
  <c r="P723" i="1"/>
  <c r="O723" i="1"/>
  <c r="E723" i="1"/>
  <c r="B723" i="1"/>
  <c r="P722" i="1"/>
  <c r="O722" i="1"/>
  <c r="E722" i="1"/>
  <c r="B722" i="1"/>
  <c r="P721" i="1"/>
  <c r="O721" i="1"/>
  <c r="I721" i="1"/>
  <c r="E721" i="1"/>
  <c r="B721" i="1"/>
  <c r="P720" i="1"/>
  <c r="O720" i="1"/>
  <c r="E720" i="1"/>
  <c r="B720" i="1"/>
  <c r="P719" i="1"/>
  <c r="O719" i="1"/>
  <c r="E719" i="1"/>
  <c r="B719" i="1"/>
  <c r="P718" i="1"/>
  <c r="O718" i="1"/>
  <c r="I718" i="1"/>
  <c r="E718" i="1"/>
  <c r="B718" i="1"/>
  <c r="P717" i="1"/>
  <c r="O717" i="1"/>
  <c r="E717" i="1"/>
  <c r="B717" i="1"/>
  <c r="P716" i="1"/>
  <c r="O716" i="1"/>
  <c r="E716" i="1"/>
  <c r="B716" i="1"/>
  <c r="P715" i="1"/>
  <c r="O715" i="1"/>
  <c r="E715" i="1"/>
  <c r="B715" i="1"/>
  <c r="P714" i="1"/>
  <c r="O714" i="1"/>
  <c r="E714" i="1"/>
  <c r="B714" i="1"/>
  <c r="P713" i="1"/>
  <c r="O713" i="1"/>
  <c r="E713" i="1"/>
  <c r="B713" i="1"/>
  <c r="P712" i="1"/>
  <c r="O712" i="1"/>
  <c r="E712" i="1"/>
  <c r="B712" i="1"/>
  <c r="P711" i="1"/>
  <c r="O711" i="1"/>
  <c r="E711" i="1"/>
  <c r="B711" i="1"/>
  <c r="P710" i="1"/>
  <c r="O710" i="1"/>
  <c r="E710" i="1"/>
  <c r="B710" i="1"/>
  <c r="P709" i="1"/>
  <c r="O709" i="1"/>
  <c r="E709" i="1"/>
  <c r="B709" i="1"/>
  <c r="P708" i="1"/>
  <c r="O708" i="1"/>
  <c r="E708" i="1"/>
  <c r="B708" i="1"/>
  <c r="P707" i="1"/>
  <c r="O707" i="1"/>
  <c r="E707" i="1"/>
  <c r="B707" i="1"/>
  <c r="P706" i="1"/>
  <c r="O706" i="1"/>
  <c r="E706" i="1"/>
  <c r="B706" i="1"/>
  <c r="P705" i="1"/>
  <c r="O705" i="1"/>
  <c r="E705" i="1"/>
  <c r="B705" i="1"/>
  <c r="P704" i="1"/>
  <c r="O704" i="1"/>
  <c r="E704" i="1"/>
  <c r="B704" i="1"/>
  <c r="P703" i="1"/>
  <c r="O703" i="1"/>
  <c r="E703" i="1"/>
  <c r="B703" i="1"/>
  <c r="P702" i="1"/>
  <c r="O702" i="1"/>
  <c r="I702" i="1"/>
  <c r="E702" i="1"/>
  <c r="B702" i="1"/>
  <c r="P701" i="1"/>
  <c r="O701" i="1"/>
  <c r="E701" i="1"/>
  <c r="B701" i="1"/>
  <c r="P700" i="1"/>
  <c r="O700" i="1"/>
  <c r="E700" i="1"/>
  <c r="B700" i="1"/>
  <c r="P699" i="1"/>
  <c r="O699" i="1"/>
  <c r="E699" i="1"/>
  <c r="B699" i="1"/>
  <c r="P698" i="1"/>
  <c r="O698" i="1"/>
  <c r="I698" i="1"/>
  <c r="E698" i="1"/>
  <c r="B698" i="1"/>
  <c r="P697" i="1"/>
  <c r="O697" i="1"/>
  <c r="E697" i="1"/>
  <c r="B697" i="1"/>
  <c r="P696" i="1"/>
  <c r="O696" i="1"/>
  <c r="E696" i="1"/>
  <c r="B696" i="1"/>
  <c r="P695" i="1"/>
  <c r="O695" i="1"/>
  <c r="E695" i="1"/>
  <c r="B695" i="1"/>
  <c r="P694" i="1"/>
  <c r="O694" i="1"/>
  <c r="I694" i="1"/>
  <c r="E694" i="1"/>
  <c r="B694" i="1"/>
  <c r="P693" i="1"/>
  <c r="O693" i="1"/>
  <c r="I693" i="1"/>
  <c r="E693" i="1"/>
  <c r="B693" i="1"/>
  <c r="P692" i="1"/>
  <c r="O692" i="1"/>
  <c r="E692" i="1"/>
  <c r="B692" i="1"/>
  <c r="P691" i="1"/>
  <c r="O691" i="1"/>
  <c r="E691" i="1"/>
  <c r="B691" i="1"/>
  <c r="P690" i="1"/>
  <c r="O690" i="1"/>
  <c r="E690" i="1"/>
  <c r="B690" i="1"/>
  <c r="T689" i="1"/>
  <c r="P689" i="1"/>
  <c r="O689" i="1"/>
  <c r="E689" i="1"/>
  <c r="B689" i="1"/>
  <c r="P688" i="1"/>
  <c r="O688" i="1"/>
  <c r="E688" i="1"/>
  <c r="B688" i="1"/>
  <c r="P687" i="1"/>
  <c r="O687" i="1"/>
  <c r="E687" i="1"/>
  <c r="B687" i="1"/>
  <c r="P686" i="1"/>
  <c r="O686" i="1"/>
  <c r="E686" i="1"/>
  <c r="B686" i="1"/>
  <c r="P685" i="1"/>
  <c r="O685" i="1"/>
  <c r="E685" i="1"/>
  <c r="B685" i="1"/>
  <c r="P684" i="1"/>
  <c r="O684" i="1"/>
  <c r="E684" i="1"/>
  <c r="B684" i="1"/>
  <c r="P683" i="1"/>
  <c r="O683" i="1"/>
  <c r="E683" i="1"/>
  <c r="B683" i="1"/>
  <c r="P682" i="1"/>
  <c r="O682" i="1"/>
  <c r="I682" i="1"/>
  <c r="E682" i="1"/>
  <c r="B682" i="1"/>
  <c r="Q681" i="1"/>
  <c r="P681" i="1"/>
  <c r="O681" i="1"/>
  <c r="E681" i="1"/>
  <c r="B681" i="1"/>
  <c r="Q680" i="1"/>
  <c r="P680" i="1"/>
  <c r="O680" i="1"/>
  <c r="E680" i="1"/>
  <c r="B680" i="1"/>
  <c r="R679" i="1"/>
  <c r="P679" i="1"/>
  <c r="O679" i="1"/>
  <c r="E679" i="1"/>
  <c r="B679" i="1"/>
  <c r="R678" i="1"/>
  <c r="P678" i="1"/>
  <c r="O678" i="1"/>
  <c r="E678" i="1"/>
  <c r="B678" i="1"/>
  <c r="R677" i="1"/>
  <c r="P677" i="1"/>
  <c r="O677" i="1"/>
  <c r="E677" i="1"/>
  <c r="B677" i="1"/>
  <c r="P676" i="1"/>
  <c r="O676" i="1"/>
  <c r="E676" i="1"/>
  <c r="B676" i="1"/>
  <c r="Q675" i="1"/>
  <c r="P675" i="1"/>
  <c r="O675" i="1"/>
  <c r="E675" i="1"/>
  <c r="B675" i="1"/>
  <c r="R674" i="1"/>
  <c r="P674" i="1"/>
  <c r="O674" i="1"/>
  <c r="E674" i="1"/>
  <c r="B674" i="1"/>
  <c r="R673" i="1"/>
  <c r="P673" i="1"/>
  <c r="O673" i="1"/>
  <c r="E673" i="1"/>
  <c r="B673" i="1"/>
  <c r="Q672" i="1"/>
  <c r="P672" i="1"/>
  <c r="O672" i="1"/>
  <c r="E672" i="1"/>
  <c r="B672" i="1"/>
  <c r="S671" i="1"/>
  <c r="P671" i="1"/>
  <c r="O671" i="1"/>
  <c r="E671" i="1"/>
  <c r="B671" i="1"/>
  <c r="S670" i="1"/>
  <c r="P670" i="1"/>
  <c r="O670" i="1"/>
  <c r="E670" i="1"/>
  <c r="B670" i="1"/>
  <c r="Q669" i="1"/>
  <c r="P669" i="1"/>
  <c r="O669" i="1"/>
  <c r="E669" i="1"/>
  <c r="B669" i="1"/>
  <c r="Q668" i="1"/>
  <c r="P668" i="1"/>
  <c r="O668" i="1"/>
  <c r="E668" i="1"/>
  <c r="B668" i="1"/>
  <c r="Q667" i="1"/>
  <c r="P667" i="1"/>
  <c r="O667" i="1"/>
  <c r="E667" i="1"/>
  <c r="B667" i="1"/>
  <c r="P666" i="1"/>
  <c r="O666" i="1"/>
  <c r="E666" i="1"/>
  <c r="B666" i="1"/>
  <c r="P665" i="1"/>
  <c r="O665" i="1"/>
  <c r="E665" i="1"/>
  <c r="B665" i="1"/>
  <c r="R664" i="1"/>
  <c r="P664" i="1"/>
  <c r="O664" i="1"/>
  <c r="I664" i="1"/>
  <c r="E664" i="1"/>
  <c r="B664" i="1"/>
  <c r="Q663" i="1"/>
  <c r="P663" i="1"/>
  <c r="O663" i="1"/>
  <c r="E663" i="1"/>
  <c r="B663" i="1"/>
  <c r="Q662" i="1"/>
  <c r="P662" i="1"/>
  <c r="O662" i="1"/>
  <c r="E662" i="1"/>
  <c r="B662" i="1"/>
  <c r="Q661" i="1"/>
  <c r="P661" i="1"/>
  <c r="O661" i="1"/>
  <c r="E661" i="1"/>
  <c r="B661" i="1"/>
  <c r="Q660" i="1"/>
  <c r="P660" i="1"/>
  <c r="O660" i="1"/>
  <c r="E660" i="1"/>
  <c r="B660" i="1"/>
  <c r="P659" i="1"/>
  <c r="O659" i="1"/>
  <c r="E659" i="1"/>
  <c r="B659" i="1"/>
  <c r="P658" i="1"/>
  <c r="O658" i="1"/>
  <c r="E658" i="1"/>
  <c r="B658" i="1"/>
  <c r="P657" i="1"/>
  <c r="O657" i="1"/>
  <c r="E657" i="1"/>
  <c r="B657" i="1"/>
  <c r="P656" i="1"/>
  <c r="O656" i="1"/>
  <c r="E656" i="1"/>
  <c r="B656" i="1"/>
  <c r="P655" i="1"/>
  <c r="O655" i="1"/>
  <c r="E655" i="1"/>
  <c r="B655" i="1"/>
  <c r="P654" i="1"/>
  <c r="O654" i="1"/>
  <c r="E654" i="1"/>
  <c r="B654" i="1"/>
  <c r="P653" i="1"/>
  <c r="O653" i="1"/>
  <c r="E653" i="1"/>
  <c r="B653" i="1"/>
  <c r="P652" i="1"/>
  <c r="O652" i="1"/>
  <c r="I652" i="1"/>
  <c r="E652" i="1"/>
  <c r="B652" i="1"/>
  <c r="R651" i="1"/>
  <c r="P651" i="1"/>
  <c r="O651" i="1"/>
  <c r="E651" i="1"/>
  <c r="B651" i="1"/>
  <c r="R650" i="1"/>
  <c r="P650" i="1"/>
  <c r="O650" i="1"/>
  <c r="E650" i="1"/>
  <c r="B650" i="1"/>
  <c r="P649" i="1"/>
  <c r="O649" i="1"/>
  <c r="E649" i="1"/>
  <c r="B649" i="1"/>
  <c r="P648" i="1"/>
  <c r="O648" i="1"/>
  <c r="E648" i="1"/>
  <c r="B648" i="1"/>
  <c r="P647" i="1"/>
  <c r="O647" i="1"/>
  <c r="E647" i="1"/>
  <c r="B647" i="1"/>
  <c r="P646" i="1"/>
  <c r="O646" i="1"/>
  <c r="E646" i="1"/>
  <c r="B646" i="1"/>
  <c r="R645" i="1"/>
  <c r="P645" i="1"/>
  <c r="O645" i="1"/>
  <c r="E645" i="1"/>
  <c r="B645" i="1"/>
  <c r="P644" i="1"/>
  <c r="O644" i="1"/>
  <c r="E644" i="1"/>
  <c r="B644" i="1"/>
  <c r="P643" i="1"/>
  <c r="O643" i="1"/>
  <c r="E643" i="1"/>
  <c r="B643" i="1"/>
  <c r="P642" i="1"/>
  <c r="O642" i="1"/>
  <c r="E642" i="1"/>
  <c r="B642" i="1"/>
  <c r="R641" i="1"/>
  <c r="P641" i="1"/>
  <c r="O641" i="1"/>
  <c r="E641" i="1"/>
  <c r="B641" i="1"/>
  <c r="P640" i="1"/>
  <c r="O640" i="1"/>
  <c r="E640" i="1"/>
  <c r="B640" i="1"/>
  <c r="P639" i="1"/>
  <c r="O639" i="1"/>
  <c r="I639" i="1"/>
  <c r="E639" i="1"/>
  <c r="B639" i="1"/>
  <c r="P638" i="1"/>
  <c r="O638" i="1"/>
  <c r="I638" i="1"/>
  <c r="E638" i="1"/>
  <c r="B638" i="1"/>
  <c r="R637" i="1"/>
  <c r="P637" i="1"/>
  <c r="O637" i="1"/>
  <c r="E637" i="1"/>
  <c r="B637" i="1"/>
  <c r="R636" i="1"/>
  <c r="P636" i="1"/>
  <c r="O636" i="1"/>
  <c r="E636" i="1"/>
  <c r="B636" i="1"/>
  <c r="P635" i="1"/>
  <c r="O635" i="1"/>
  <c r="E635" i="1"/>
  <c r="B635" i="1"/>
  <c r="P634" i="1"/>
  <c r="O634" i="1"/>
  <c r="E634" i="1"/>
  <c r="B634" i="1"/>
  <c r="P633" i="1"/>
  <c r="O633" i="1"/>
  <c r="E633" i="1"/>
  <c r="B633" i="1"/>
  <c r="P632" i="1"/>
  <c r="O632" i="1"/>
  <c r="E632" i="1"/>
  <c r="B632" i="1"/>
  <c r="R631" i="1"/>
  <c r="P631" i="1"/>
  <c r="O631" i="1"/>
  <c r="E631" i="1"/>
  <c r="B631" i="1"/>
  <c r="R630" i="1"/>
  <c r="P630" i="1"/>
  <c r="O630" i="1"/>
  <c r="E630" i="1"/>
  <c r="B630" i="1"/>
  <c r="P629" i="1"/>
  <c r="O629" i="1"/>
  <c r="E629" i="1"/>
  <c r="B629" i="1"/>
  <c r="P628" i="1"/>
  <c r="O628" i="1"/>
  <c r="E628" i="1"/>
  <c r="B628" i="1"/>
  <c r="P627" i="1"/>
  <c r="O627" i="1"/>
  <c r="E627" i="1"/>
  <c r="B627" i="1"/>
  <c r="P626" i="1"/>
  <c r="O626" i="1"/>
  <c r="E626" i="1"/>
  <c r="B626" i="1"/>
  <c r="P625" i="1"/>
  <c r="O625" i="1"/>
  <c r="I625" i="1"/>
  <c r="E625" i="1"/>
  <c r="B625" i="1"/>
  <c r="P624" i="1"/>
  <c r="O624" i="1"/>
  <c r="E624" i="1"/>
  <c r="B624" i="1"/>
  <c r="R623" i="1"/>
  <c r="P623" i="1"/>
  <c r="O623" i="1"/>
  <c r="E623" i="1"/>
  <c r="B623" i="1"/>
  <c r="P622" i="1"/>
  <c r="O622" i="1"/>
  <c r="E622" i="1"/>
  <c r="B622" i="1"/>
  <c r="R621" i="1"/>
  <c r="P621" i="1"/>
  <c r="O621" i="1"/>
  <c r="E621" i="1"/>
  <c r="B621" i="1"/>
  <c r="R620" i="1"/>
  <c r="P620" i="1"/>
  <c r="O620" i="1"/>
  <c r="E620" i="1"/>
  <c r="B620" i="1"/>
  <c r="P619" i="1"/>
  <c r="O619" i="1"/>
  <c r="E619" i="1"/>
  <c r="B619" i="1"/>
  <c r="R618" i="1"/>
  <c r="P618" i="1"/>
  <c r="O618" i="1"/>
  <c r="E618" i="1"/>
  <c r="B618" i="1"/>
  <c r="P617" i="1"/>
  <c r="O617" i="1"/>
  <c r="E617" i="1"/>
  <c r="B617" i="1"/>
  <c r="R616" i="1"/>
  <c r="P616" i="1"/>
  <c r="O616" i="1"/>
  <c r="I616" i="1"/>
  <c r="E616" i="1"/>
  <c r="B616" i="1"/>
  <c r="T615" i="1"/>
  <c r="P615" i="1"/>
  <c r="O615" i="1"/>
  <c r="E615" i="1"/>
  <c r="B615" i="1"/>
  <c r="R614" i="1"/>
  <c r="P614" i="1"/>
  <c r="O614" i="1"/>
  <c r="E614" i="1"/>
  <c r="B614" i="1"/>
  <c r="R613" i="1"/>
  <c r="P613" i="1"/>
  <c r="O613" i="1"/>
  <c r="I613" i="1"/>
  <c r="E613" i="1"/>
  <c r="B613" i="1"/>
  <c r="T612" i="1"/>
  <c r="P612" i="1"/>
  <c r="O612" i="1"/>
  <c r="E612" i="1"/>
  <c r="B612" i="1"/>
  <c r="T611" i="1"/>
  <c r="P611" i="1"/>
  <c r="O611" i="1"/>
  <c r="E611" i="1"/>
  <c r="B611" i="1"/>
  <c r="T610" i="1"/>
  <c r="P610" i="1"/>
  <c r="O610" i="1"/>
  <c r="E610" i="1"/>
  <c r="B610" i="1"/>
  <c r="T609" i="1"/>
  <c r="P609" i="1"/>
  <c r="O609" i="1"/>
  <c r="I609" i="1"/>
  <c r="E609" i="1"/>
  <c r="B609" i="1"/>
  <c r="P608" i="1"/>
  <c r="O608" i="1"/>
  <c r="E608" i="1"/>
  <c r="B608" i="1"/>
  <c r="R607" i="1"/>
  <c r="P607" i="1"/>
  <c r="O607" i="1"/>
  <c r="E607" i="1"/>
  <c r="B607" i="1"/>
  <c r="P606" i="1"/>
  <c r="O606" i="1"/>
  <c r="E606" i="1"/>
  <c r="B606" i="1"/>
  <c r="R605" i="1"/>
  <c r="P605" i="1"/>
  <c r="O605" i="1"/>
  <c r="E605" i="1"/>
  <c r="B605" i="1"/>
  <c r="R604" i="1"/>
  <c r="P604" i="1"/>
  <c r="O604" i="1"/>
  <c r="E604" i="1"/>
  <c r="B604" i="1"/>
  <c r="R603" i="1"/>
  <c r="P603" i="1"/>
  <c r="O603" i="1"/>
  <c r="E603" i="1"/>
  <c r="B603" i="1"/>
  <c r="R602" i="1"/>
  <c r="P602" i="1"/>
  <c r="O602" i="1"/>
  <c r="E602" i="1"/>
  <c r="B602" i="1"/>
  <c r="P601" i="1"/>
  <c r="O601" i="1"/>
  <c r="I601" i="1"/>
  <c r="E601" i="1"/>
  <c r="B601" i="1"/>
  <c r="R600" i="1"/>
  <c r="P600" i="1"/>
  <c r="O600" i="1"/>
  <c r="E600" i="1"/>
  <c r="B600" i="1"/>
  <c r="R599" i="1"/>
  <c r="P599" i="1"/>
  <c r="O599" i="1"/>
  <c r="E599" i="1"/>
  <c r="B599" i="1"/>
  <c r="P598" i="1"/>
  <c r="O598" i="1"/>
  <c r="E598" i="1"/>
  <c r="B598" i="1"/>
  <c r="R597" i="1"/>
  <c r="P597" i="1"/>
  <c r="O597" i="1"/>
  <c r="E597" i="1"/>
  <c r="B597" i="1"/>
  <c r="R596" i="1"/>
  <c r="P596" i="1"/>
  <c r="O596" i="1"/>
  <c r="E596" i="1"/>
  <c r="B596" i="1"/>
  <c r="P595" i="1"/>
  <c r="O595" i="1"/>
  <c r="E595" i="1"/>
  <c r="B595" i="1"/>
  <c r="R594" i="1"/>
  <c r="P594" i="1"/>
  <c r="O594" i="1"/>
  <c r="E594" i="1"/>
  <c r="B594" i="1"/>
  <c r="R593" i="1"/>
  <c r="P593" i="1"/>
  <c r="O593" i="1"/>
  <c r="E593" i="1"/>
  <c r="B593" i="1"/>
  <c r="P592" i="1"/>
  <c r="O592" i="1"/>
  <c r="E592" i="1"/>
  <c r="B592" i="1"/>
  <c r="P591" i="1"/>
  <c r="O591" i="1"/>
  <c r="E591" i="1"/>
  <c r="B591" i="1"/>
  <c r="P590" i="1"/>
  <c r="O590" i="1"/>
  <c r="E590" i="1"/>
  <c r="B590" i="1"/>
  <c r="P589" i="1"/>
  <c r="O589" i="1"/>
  <c r="E589" i="1"/>
  <c r="B589" i="1"/>
  <c r="P588" i="1"/>
  <c r="O588" i="1"/>
  <c r="E588" i="1"/>
  <c r="B588" i="1"/>
  <c r="P587" i="1"/>
  <c r="O587" i="1"/>
  <c r="I587" i="1"/>
  <c r="E587" i="1"/>
  <c r="B587" i="1"/>
  <c r="P586" i="1"/>
  <c r="O586" i="1"/>
  <c r="E586" i="1"/>
  <c r="B586" i="1"/>
  <c r="P585" i="1"/>
  <c r="O585" i="1"/>
  <c r="E585" i="1"/>
  <c r="B585" i="1"/>
  <c r="P584" i="1"/>
  <c r="O584" i="1"/>
  <c r="E584" i="1"/>
  <c r="B584" i="1"/>
  <c r="P583" i="1"/>
  <c r="O583" i="1"/>
  <c r="E583" i="1"/>
  <c r="B583" i="1"/>
  <c r="Q582" i="1"/>
  <c r="P582" i="1"/>
  <c r="O582" i="1"/>
  <c r="E582" i="1"/>
  <c r="B582" i="1"/>
  <c r="P581" i="1"/>
  <c r="O581" i="1"/>
  <c r="I581" i="1"/>
  <c r="E581" i="1"/>
  <c r="B581" i="1"/>
  <c r="R580" i="1"/>
  <c r="P580" i="1"/>
  <c r="O580" i="1"/>
  <c r="E580" i="1"/>
  <c r="B580" i="1"/>
  <c r="P579" i="1"/>
  <c r="O579" i="1"/>
  <c r="E579" i="1"/>
  <c r="B579" i="1"/>
  <c r="R578" i="1"/>
  <c r="P578" i="1"/>
  <c r="O578" i="1"/>
  <c r="E578" i="1"/>
  <c r="B578" i="1"/>
  <c r="R577" i="1"/>
  <c r="P577" i="1"/>
  <c r="O577" i="1"/>
  <c r="E577" i="1"/>
  <c r="B577" i="1"/>
  <c r="P576" i="1"/>
  <c r="O576" i="1"/>
  <c r="E576" i="1"/>
  <c r="B576" i="1"/>
  <c r="P575" i="1"/>
  <c r="O575" i="1"/>
  <c r="E575" i="1"/>
  <c r="B575" i="1"/>
  <c r="P574" i="1"/>
  <c r="O574" i="1"/>
  <c r="E574" i="1"/>
  <c r="B574" i="1"/>
  <c r="P573" i="1"/>
  <c r="O573" i="1"/>
  <c r="E573" i="1"/>
  <c r="B573" i="1"/>
  <c r="P572" i="1"/>
  <c r="O572" i="1"/>
  <c r="E572" i="1"/>
  <c r="B572" i="1"/>
  <c r="P571" i="1"/>
  <c r="O571" i="1"/>
  <c r="E571" i="1"/>
  <c r="B571" i="1"/>
  <c r="P570" i="1"/>
  <c r="O570" i="1"/>
  <c r="E570" i="1"/>
  <c r="B570" i="1"/>
  <c r="R569" i="1"/>
  <c r="P569" i="1"/>
  <c r="O569" i="1"/>
  <c r="E569" i="1"/>
  <c r="B569" i="1"/>
  <c r="R568" i="1"/>
  <c r="P568" i="1"/>
  <c r="O568" i="1"/>
  <c r="E568" i="1"/>
  <c r="B568" i="1"/>
  <c r="R567" i="1"/>
  <c r="P567" i="1"/>
  <c r="O567" i="1"/>
  <c r="E567" i="1"/>
  <c r="B567" i="1"/>
  <c r="P566" i="1"/>
  <c r="O566" i="1"/>
  <c r="E566" i="1"/>
  <c r="B566" i="1"/>
  <c r="P565" i="1"/>
  <c r="O565" i="1"/>
  <c r="E565" i="1"/>
  <c r="B565" i="1"/>
  <c r="P564" i="1"/>
  <c r="O564" i="1"/>
  <c r="E564" i="1"/>
  <c r="B564" i="1"/>
  <c r="P563" i="1"/>
  <c r="O563" i="1"/>
  <c r="E563" i="1"/>
  <c r="B563" i="1"/>
  <c r="P562" i="1"/>
  <c r="O562" i="1"/>
  <c r="E562" i="1"/>
  <c r="B562" i="1"/>
  <c r="R561" i="1"/>
  <c r="P561" i="1"/>
  <c r="O561" i="1"/>
  <c r="E561" i="1"/>
  <c r="B561" i="1"/>
  <c r="P560" i="1"/>
  <c r="O560" i="1"/>
  <c r="E560" i="1"/>
  <c r="B560" i="1"/>
  <c r="P559" i="1"/>
  <c r="O559" i="1"/>
  <c r="E559" i="1"/>
  <c r="B559" i="1"/>
  <c r="P558" i="1"/>
  <c r="O558" i="1"/>
  <c r="E558" i="1"/>
  <c r="B558" i="1"/>
  <c r="T557" i="1"/>
  <c r="P557" i="1"/>
  <c r="O557" i="1"/>
  <c r="E557" i="1"/>
  <c r="B557" i="1"/>
  <c r="P556" i="1"/>
  <c r="O556" i="1"/>
  <c r="E556" i="1"/>
  <c r="B556" i="1"/>
  <c r="P555" i="1"/>
  <c r="O555" i="1"/>
  <c r="E555" i="1"/>
  <c r="B555" i="1"/>
  <c r="P554" i="1"/>
  <c r="O554" i="1"/>
  <c r="E554" i="1"/>
  <c r="B554" i="1"/>
  <c r="R553" i="1"/>
  <c r="P553" i="1"/>
  <c r="O553" i="1"/>
  <c r="E553" i="1"/>
  <c r="B553" i="1"/>
  <c r="P552" i="1"/>
  <c r="O552" i="1"/>
  <c r="I552" i="1"/>
  <c r="E552" i="1"/>
  <c r="B552" i="1"/>
  <c r="T551" i="1"/>
  <c r="P551" i="1"/>
  <c r="O551" i="1"/>
  <c r="E551" i="1"/>
  <c r="B551" i="1"/>
  <c r="P550" i="1"/>
  <c r="O550" i="1"/>
  <c r="E550" i="1"/>
  <c r="B550" i="1"/>
  <c r="T549" i="1"/>
  <c r="P549" i="1"/>
  <c r="O549" i="1"/>
  <c r="E549" i="1"/>
  <c r="B549" i="1"/>
  <c r="T548" i="1"/>
  <c r="P548" i="1"/>
  <c r="O548" i="1"/>
  <c r="F548" i="1"/>
  <c r="F1239" i="1" s="1"/>
  <c r="E548" i="1"/>
  <c r="B548" i="1"/>
  <c r="T547" i="1"/>
  <c r="P547" i="1"/>
  <c r="O547" i="1"/>
  <c r="E547" i="1"/>
  <c r="B547" i="1"/>
  <c r="T546" i="1"/>
  <c r="P546" i="1"/>
  <c r="O546" i="1"/>
  <c r="E546" i="1"/>
  <c r="B546" i="1"/>
  <c r="T545" i="1"/>
  <c r="P545" i="1"/>
  <c r="O545" i="1"/>
  <c r="E545" i="1"/>
  <c r="B545" i="1"/>
  <c r="Q544" i="1"/>
  <c r="P544" i="1"/>
  <c r="O544" i="1"/>
  <c r="E544" i="1"/>
  <c r="B544" i="1"/>
  <c r="T543" i="1"/>
  <c r="P543" i="1"/>
  <c r="O543" i="1"/>
  <c r="J543" i="1"/>
  <c r="E543" i="1"/>
  <c r="B543" i="1"/>
  <c r="T542" i="1"/>
  <c r="P542" i="1"/>
  <c r="O542" i="1"/>
  <c r="E542" i="1"/>
  <c r="B542" i="1"/>
  <c r="T541" i="1"/>
  <c r="P541" i="1"/>
  <c r="O541" i="1"/>
  <c r="E541" i="1"/>
  <c r="B541" i="1"/>
  <c r="T540" i="1"/>
  <c r="P540" i="1"/>
  <c r="O540" i="1"/>
  <c r="E540" i="1"/>
  <c r="B540" i="1"/>
  <c r="P539" i="1"/>
  <c r="O539" i="1"/>
  <c r="E539" i="1"/>
  <c r="B539" i="1"/>
  <c r="T538" i="1"/>
  <c r="P538" i="1"/>
  <c r="O538" i="1"/>
  <c r="E538" i="1"/>
  <c r="B538" i="1"/>
  <c r="P537" i="1"/>
  <c r="O537" i="1"/>
  <c r="E537" i="1"/>
  <c r="B537" i="1"/>
  <c r="T536" i="1"/>
  <c r="P536" i="1"/>
  <c r="O536" i="1"/>
  <c r="E536" i="1"/>
  <c r="B536" i="1"/>
  <c r="T535" i="1"/>
  <c r="P535" i="1"/>
  <c r="O535" i="1"/>
  <c r="E535" i="1"/>
  <c r="B535" i="1"/>
  <c r="T534" i="1"/>
  <c r="P534" i="1"/>
  <c r="O534" i="1"/>
  <c r="E534" i="1"/>
  <c r="B534" i="1"/>
  <c r="P533" i="1"/>
  <c r="O533" i="1"/>
  <c r="E533" i="1"/>
  <c r="B533" i="1"/>
  <c r="T532" i="1"/>
  <c r="P532" i="1"/>
  <c r="O532" i="1"/>
  <c r="E532" i="1"/>
  <c r="B532" i="1"/>
  <c r="P531" i="1"/>
  <c r="O531" i="1"/>
  <c r="E531" i="1"/>
  <c r="B531" i="1"/>
  <c r="T530" i="1"/>
  <c r="P530" i="1"/>
  <c r="O530" i="1"/>
  <c r="E530" i="1"/>
  <c r="B530" i="1"/>
  <c r="P529" i="1"/>
  <c r="O529" i="1"/>
  <c r="E529" i="1"/>
  <c r="B529" i="1"/>
  <c r="P528" i="1"/>
  <c r="O528" i="1"/>
  <c r="E528" i="1"/>
  <c r="B528" i="1"/>
  <c r="P527" i="1"/>
  <c r="O527" i="1"/>
  <c r="E527" i="1"/>
  <c r="B527" i="1"/>
  <c r="P526" i="1"/>
  <c r="O526" i="1"/>
  <c r="E526" i="1"/>
  <c r="B526" i="1"/>
  <c r="P525" i="1"/>
  <c r="O525" i="1"/>
  <c r="E525" i="1"/>
  <c r="B525" i="1"/>
  <c r="P524" i="1"/>
  <c r="O524" i="1"/>
  <c r="E524" i="1"/>
  <c r="B524" i="1"/>
  <c r="P523" i="1"/>
  <c r="O523" i="1"/>
  <c r="E523" i="1"/>
  <c r="B523" i="1"/>
  <c r="P522" i="1"/>
  <c r="O522" i="1"/>
  <c r="E522" i="1"/>
  <c r="B522" i="1"/>
  <c r="P521" i="1"/>
  <c r="O521" i="1"/>
  <c r="I521" i="1"/>
  <c r="E521" i="1"/>
  <c r="B521" i="1"/>
  <c r="T520" i="1"/>
  <c r="P520" i="1"/>
  <c r="O520" i="1"/>
  <c r="E520" i="1"/>
  <c r="B520" i="1"/>
  <c r="P519" i="1"/>
  <c r="O519" i="1"/>
  <c r="E519" i="1"/>
  <c r="B519" i="1"/>
  <c r="P518" i="1"/>
  <c r="O518" i="1"/>
  <c r="E518" i="1"/>
  <c r="B518" i="1"/>
  <c r="P517" i="1"/>
  <c r="O517" i="1"/>
  <c r="E517" i="1"/>
  <c r="B517" i="1"/>
  <c r="T516" i="1"/>
  <c r="P516" i="1"/>
  <c r="O516" i="1"/>
  <c r="E516" i="1"/>
  <c r="B516" i="1"/>
  <c r="T515" i="1"/>
  <c r="P515" i="1"/>
  <c r="O515" i="1"/>
  <c r="E515" i="1"/>
  <c r="B515" i="1"/>
  <c r="T514" i="1"/>
  <c r="P514" i="1"/>
  <c r="O514" i="1"/>
  <c r="E514" i="1"/>
  <c r="B514" i="1"/>
  <c r="T513" i="1"/>
  <c r="P513" i="1"/>
  <c r="O513" i="1"/>
  <c r="E513" i="1"/>
  <c r="B513" i="1"/>
  <c r="T512" i="1"/>
  <c r="P512" i="1"/>
  <c r="O512" i="1"/>
  <c r="E512" i="1"/>
  <c r="B512" i="1"/>
  <c r="T511" i="1"/>
  <c r="P511" i="1"/>
  <c r="O511" i="1"/>
  <c r="I511" i="1"/>
  <c r="E511" i="1"/>
  <c r="B511" i="1"/>
  <c r="P510" i="1"/>
  <c r="O510" i="1"/>
  <c r="E510" i="1"/>
  <c r="B510" i="1"/>
  <c r="T509" i="1"/>
  <c r="P509" i="1"/>
  <c r="O509" i="1"/>
  <c r="E509" i="1"/>
  <c r="B509" i="1"/>
  <c r="P508" i="1"/>
  <c r="O508" i="1"/>
  <c r="E508" i="1"/>
  <c r="B508" i="1"/>
  <c r="P507" i="1"/>
  <c r="O507" i="1"/>
  <c r="I507" i="1"/>
  <c r="E507" i="1"/>
  <c r="B507" i="1"/>
  <c r="P506" i="1"/>
  <c r="O506" i="1"/>
  <c r="E506" i="1"/>
  <c r="B506" i="1"/>
  <c r="P505" i="1"/>
  <c r="O505" i="1"/>
  <c r="E505" i="1"/>
  <c r="B505" i="1"/>
  <c r="P504" i="1"/>
  <c r="O504" i="1"/>
  <c r="E504" i="1"/>
  <c r="B504" i="1"/>
  <c r="P503" i="1"/>
  <c r="O503" i="1"/>
  <c r="E503" i="1"/>
  <c r="B503" i="1"/>
  <c r="P502" i="1"/>
  <c r="O502" i="1"/>
  <c r="E502" i="1"/>
  <c r="B502" i="1"/>
  <c r="T501" i="1"/>
  <c r="P501" i="1"/>
  <c r="O501" i="1"/>
  <c r="E501" i="1"/>
  <c r="B501" i="1"/>
  <c r="P500" i="1"/>
  <c r="O500" i="1"/>
  <c r="E500" i="1"/>
  <c r="B500" i="1"/>
  <c r="P499" i="1"/>
  <c r="O499" i="1"/>
  <c r="E499" i="1"/>
  <c r="B499" i="1"/>
  <c r="P498" i="1"/>
  <c r="O498" i="1"/>
  <c r="E498" i="1"/>
  <c r="B498" i="1"/>
  <c r="P497" i="1"/>
  <c r="O497" i="1"/>
  <c r="E497" i="1"/>
  <c r="B497" i="1"/>
  <c r="P496" i="1"/>
  <c r="O496" i="1"/>
  <c r="I496" i="1"/>
  <c r="E496" i="1"/>
  <c r="B496" i="1"/>
  <c r="T495" i="1"/>
  <c r="P495" i="1"/>
  <c r="O495" i="1"/>
  <c r="E495" i="1"/>
  <c r="B495" i="1"/>
  <c r="T494" i="1"/>
  <c r="P494" i="1"/>
  <c r="O494" i="1"/>
  <c r="I494" i="1"/>
  <c r="E494" i="1"/>
  <c r="B494" i="1"/>
  <c r="T493" i="1"/>
  <c r="P493" i="1"/>
  <c r="O493" i="1"/>
  <c r="E493" i="1"/>
  <c r="B493" i="1"/>
  <c r="T492" i="1"/>
  <c r="P492" i="1"/>
  <c r="O492" i="1"/>
  <c r="I492" i="1"/>
  <c r="E492" i="1"/>
  <c r="B492" i="1"/>
  <c r="P491" i="1"/>
  <c r="O491" i="1"/>
  <c r="E491" i="1"/>
  <c r="B491" i="1"/>
  <c r="T490" i="1"/>
  <c r="P490" i="1"/>
  <c r="O490" i="1"/>
  <c r="E490" i="1"/>
  <c r="B490" i="1"/>
  <c r="T489" i="1"/>
  <c r="P489" i="1"/>
  <c r="O489" i="1"/>
  <c r="I489" i="1"/>
  <c r="E489" i="1"/>
  <c r="B489" i="1"/>
  <c r="T488" i="1"/>
  <c r="P488" i="1"/>
  <c r="O488" i="1"/>
  <c r="E488" i="1"/>
  <c r="B488" i="1"/>
  <c r="T487" i="1"/>
  <c r="P487" i="1"/>
  <c r="O487" i="1"/>
  <c r="E487" i="1"/>
  <c r="B487" i="1"/>
  <c r="T486" i="1"/>
  <c r="P486" i="1"/>
  <c r="O486" i="1"/>
  <c r="E486" i="1"/>
  <c r="B486" i="1"/>
  <c r="T485" i="1"/>
  <c r="P485" i="1"/>
  <c r="O485" i="1"/>
  <c r="E485" i="1"/>
  <c r="B485" i="1"/>
  <c r="T484" i="1"/>
  <c r="P484" i="1"/>
  <c r="O484" i="1"/>
  <c r="E484" i="1"/>
  <c r="B484" i="1"/>
  <c r="P483" i="1"/>
  <c r="O483" i="1"/>
  <c r="I483" i="1"/>
  <c r="E483" i="1"/>
  <c r="B483" i="1"/>
  <c r="T482" i="1"/>
  <c r="P482" i="1"/>
  <c r="O482" i="1"/>
  <c r="I482" i="1"/>
  <c r="E482" i="1"/>
  <c r="B482" i="1"/>
  <c r="T481" i="1"/>
  <c r="P481" i="1"/>
  <c r="O481" i="1"/>
  <c r="E481" i="1"/>
  <c r="B481" i="1"/>
  <c r="T480" i="1"/>
  <c r="P480" i="1"/>
  <c r="O480" i="1"/>
  <c r="I480" i="1"/>
  <c r="E480" i="1"/>
  <c r="B480" i="1"/>
  <c r="P479" i="1"/>
  <c r="O479" i="1"/>
  <c r="E479" i="1"/>
  <c r="B479" i="1"/>
  <c r="P478" i="1"/>
  <c r="O478" i="1"/>
  <c r="I478" i="1"/>
  <c r="E478" i="1"/>
  <c r="B478" i="1"/>
  <c r="P477" i="1"/>
  <c r="O477" i="1"/>
  <c r="E477" i="1"/>
  <c r="B477" i="1"/>
  <c r="P476" i="1"/>
  <c r="O476" i="1"/>
  <c r="E476" i="1"/>
  <c r="B476" i="1"/>
  <c r="P475" i="1"/>
  <c r="O475" i="1"/>
  <c r="E475" i="1"/>
  <c r="B475" i="1"/>
  <c r="P474" i="1"/>
  <c r="O474" i="1"/>
  <c r="I474" i="1"/>
  <c r="E474" i="1"/>
  <c r="B474" i="1"/>
  <c r="P473" i="1"/>
  <c r="O473" i="1"/>
  <c r="E473" i="1"/>
  <c r="B473" i="1"/>
  <c r="P472" i="1"/>
  <c r="O472" i="1"/>
  <c r="I472" i="1"/>
  <c r="E472" i="1"/>
  <c r="B472" i="1"/>
  <c r="T471" i="1"/>
  <c r="P471" i="1"/>
  <c r="O471" i="1"/>
  <c r="E471" i="1"/>
  <c r="B471" i="1"/>
  <c r="T470" i="1"/>
  <c r="P470" i="1"/>
  <c r="O470" i="1"/>
  <c r="E470" i="1"/>
  <c r="B470" i="1"/>
  <c r="T469" i="1"/>
  <c r="P469" i="1"/>
  <c r="O469" i="1"/>
  <c r="E469" i="1"/>
  <c r="B469" i="1"/>
  <c r="T468" i="1"/>
  <c r="P468" i="1"/>
  <c r="O468" i="1"/>
  <c r="E468" i="1"/>
  <c r="B468" i="1"/>
  <c r="T467" i="1"/>
  <c r="P467" i="1"/>
  <c r="O467" i="1"/>
  <c r="E467" i="1"/>
  <c r="B467" i="1"/>
  <c r="P466" i="1"/>
  <c r="O466" i="1"/>
  <c r="E466" i="1"/>
  <c r="B466" i="1"/>
  <c r="T465" i="1"/>
  <c r="P465" i="1"/>
  <c r="O465" i="1"/>
  <c r="E465" i="1"/>
  <c r="B465" i="1"/>
  <c r="T464" i="1"/>
  <c r="P464" i="1"/>
  <c r="O464" i="1"/>
  <c r="I464" i="1"/>
  <c r="E464" i="1"/>
  <c r="B464" i="1"/>
  <c r="T463" i="1"/>
  <c r="P463" i="1"/>
  <c r="O463" i="1"/>
  <c r="E463" i="1"/>
  <c r="B463" i="1"/>
  <c r="T462" i="1"/>
  <c r="P462" i="1"/>
  <c r="O462" i="1"/>
  <c r="E462" i="1"/>
  <c r="B462" i="1"/>
  <c r="P461" i="1"/>
  <c r="O461" i="1"/>
  <c r="E461" i="1"/>
  <c r="B461" i="1"/>
  <c r="T460" i="1"/>
  <c r="P460" i="1"/>
  <c r="O460" i="1"/>
  <c r="E460" i="1"/>
  <c r="B460" i="1"/>
  <c r="T459" i="1"/>
  <c r="P459" i="1"/>
  <c r="O459" i="1"/>
  <c r="E459" i="1"/>
  <c r="B459" i="1"/>
  <c r="P458" i="1"/>
  <c r="O458" i="1"/>
  <c r="E458" i="1"/>
  <c r="B458" i="1"/>
  <c r="T457" i="1"/>
  <c r="P457" i="1"/>
  <c r="O457" i="1"/>
  <c r="I457" i="1"/>
  <c r="E457" i="1"/>
  <c r="B457" i="1"/>
  <c r="P456" i="1"/>
  <c r="O456" i="1"/>
  <c r="E456" i="1"/>
  <c r="B456" i="1"/>
  <c r="Q455" i="1"/>
  <c r="P455" i="1"/>
  <c r="O455" i="1"/>
  <c r="E455" i="1"/>
  <c r="B455" i="1"/>
  <c r="P454" i="1"/>
  <c r="O454" i="1"/>
  <c r="E454" i="1"/>
  <c r="B454" i="1"/>
  <c r="P453" i="1"/>
  <c r="O453" i="1"/>
  <c r="E453" i="1"/>
  <c r="B453" i="1"/>
  <c r="P452" i="1"/>
  <c r="O452" i="1"/>
  <c r="E452" i="1"/>
  <c r="B452" i="1"/>
  <c r="P451" i="1"/>
  <c r="O451" i="1"/>
  <c r="E451" i="1"/>
  <c r="B451" i="1"/>
  <c r="Q450" i="1"/>
  <c r="P450" i="1"/>
  <c r="O450" i="1"/>
  <c r="E450" i="1"/>
  <c r="B450" i="1"/>
  <c r="P449" i="1"/>
  <c r="O449" i="1"/>
  <c r="E449" i="1"/>
  <c r="B449" i="1"/>
  <c r="P448" i="1"/>
  <c r="O448" i="1"/>
  <c r="E448" i="1"/>
  <c r="B448" i="1"/>
  <c r="P447" i="1"/>
  <c r="O447" i="1"/>
  <c r="E447" i="1"/>
  <c r="B447" i="1"/>
  <c r="P446" i="1"/>
  <c r="O446" i="1"/>
  <c r="E446" i="1"/>
  <c r="B446" i="1"/>
  <c r="P445" i="1"/>
  <c r="O445" i="1"/>
  <c r="E445" i="1"/>
  <c r="B445" i="1"/>
  <c r="P444" i="1"/>
  <c r="O444" i="1"/>
  <c r="I444" i="1"/>
  <c r="E444" i="1"/>
  <c r="B444" i="1"/>
  <c r="T443" i="1"/>
  <c r="P443" i="1"/>
  <c r="O443" i="1"/>
  <c r="E443" i="1"/>
  <c r="B443" i="1"/>
  <c r="T442" i="1"/>
  <c r="P442" i="1"/>
  <c r="O442" i="1"/>
  <c r="E442" i="1"/>
  <c r="B442" i="1"/>
  <c r="T441" i="1"/>
  <c r="P441" i="1"/>
  <c r="O441" i="1"/>
  <c r="E441" i="1"/>
  <c r="B441" i="1"/>
  <c r="T440" i="1"/>
  <c r="P440" i="1"/>
  <c r="O440" i="1"/>
  <c r="I440" i="1"/>
  <c r="E440" i="1"/>
  <c r="B440" i="1"/>
  <c r="T439" i="1"/>
  <c r="P439" i="1"/>
  <c r="O439" i="1"/>
  <c r="E439" i="1"/>
  <c r="B439" i="1"/>
  <c r="T438" i="1"/>
  <c r="P438" i="1"/>
  <c r="O438" i="1"/>
  <c r="I438" i="1"/>
  <c r="E438" i="1"/>
  <c r="B438" i="1"/>
  <c r="P437" i="1"/>
  <c r="O437" i="1"/>
  <c r="M437" i="1"/>
  <c r="E437" i="1"/>
  <c r="B437" i="1"/>
  <c r="P436" i="1"/>
  <c r="O436" i="1"/>
  <c r="E436" i="1"/>
  <c r="B436" i="1"/>
  <c r="P435" i="1"/>
  <c r="O435" i="1"/>
  <c r="E435" i="1"/>
  <c r="B435" i="1"/>
  <c r="P434" i="1"/>
  <c r="O434" i="1"/>
  <c r="M434" i="1"/>
  <c r="E434" i="1"/>
  <c r="B434" i="1"/>
  <c r="P433" i="1"/>
  <c r="O433" i="1"/>
  <c r="E433" i="1"/>
  <c r="B433" i="1"/>
  <c r="P432" i="1"/>
  <c r="O432" i="1"/>
  <c r="I432" i="1"/>
  <c r="E432" i="1"/>
  <c r="B432" i="1"/>
  <c r="P431" i="1"/>
  <c r="O431" i="1"/>
  <c r="M431" i="1"/>
  <c r="E431" i="1"/>
  <c r="B431" i="1"/>
  <c r="T430" i="1"/>
  <c r="P430" i="1"/>
  <c r="O430" i="1"/>
  <c r="E430" i="1"/>
  <c r="B430" i="1"/>
  <c r="T429" i="1"/>
  <c r="P429" i="1"/>
  <c r="O429" i="1"/>
  <c r="E429" i="1"/>
  <c r="B429" i="1"/>
  <c r="T428" i="1"/>
  <c r="P428" i="1"/>
  <c r="O428" i="1"/>
  <c r="I428" i="1"/>
  <c r="E428" i="1"/>
  <c r="B428" i="1"/>
  <c r="P427" i="1"/>
  <c r="O427" i="1"/>
  <c r="M427" i="1"/>
  <c r="E427" i="1"/>
  <c r="B427" i="1"/>
  <c r="T426" i="1"/>
  <c r="P426" i="1"/>
  <c r="O426" i="1"/>
  <c r="E426" i="1"/>
  <c r="B426" i="1"/>
  <c r="T425" i="1"/>
  <c r="P425" i="1"/>
  <c r="O425" i="1"/>
  <c r="E425" i="1"/>
  <c r="B425" i="1"/>
  <c r="P424" i="1"/>
  <c r="O424" i="1"/>
  <c r="E424" i="1"/>
  <c r="B424" i="1"/>
  <c r="P423" i="1"/>
  <c r="O423" i="1"/>
  <c r="E423" i="1"/>
  <c r="B423" i="1"/>
  <c r="P422" i="1"/>
  <c r="O422" i="1"/>
  <c r="E422" i="1"/>
  <c r="B422" i="1"/>
  <c r="P421" i="1"/>
  <c r="O421" i="1"/>
  <c r="E421" i="1"/>
  <c r="B421" i="1"/>
  <c r="P420" i="1"/>
  <c r="O420" i="1"/>
  <c r="M420" i="1"/>
  <c r="E420" i="1"/>
  <c r="B420" i="1"/>
  <c r="P419" i="1"/>
  <c r="O419" i="1"/>
  <c r="I419" i="1"/>
  <c r="E419" i="1"/>
  <c r="B419" i="1"/>
  <c r="P418" i="1"/>
  <c r="O418" i="1"/>
  <c r="M418" i="1"/>
  <c r="E418" i="1"/>
  <c r="B418" i="1"/>
  <c r="P417" i="1"/>
  <c r="O417" i="1"/>
  <c r="I417" i="1"/>
  <c r="E417" i="1"/>
  <c r="B417" i="1"/>
  <c r="P416" i="1"/>
  <c r="O416" i="1"/>
  <c r="E416" i="1"/>
  <c r="B416" i="1"/>
  <c r="P415" i="1"/>
  <c r="O415" i="1"/>
  <c r="I415" i="1"/>
  <c r="E415" i="1"/>
  <c r="B415" i="1"/>
  <c r="P414" i="1"/>
  <c r="O414" i="1"/>
  <c r="M414" i="1"/>
  <c r="E414" i="1"/>
  <c r="B414" i="1"/>
  <c r="P413" i="1"/>
  <c r="O413" i="1"/>
  <c r="M413" i="1"/>
  <c r="E413" i="1"/>
  <c r="B413" i="1"/>
  <c r="P412" i="1"/>
  <c r="O412" i="1"/>
  <c r="M412" i="1"/>
  <c r="E412" i="1"/>
  <c r="B412" i="1"/>
  <c r="P411" i="1"/>
  <c r="O411" i="1"/>
  <c r="M411" i="1"/>
  <c r="E411" i="1"/>
  <c r="B411" i="1"/>
  <c r="P410" i="1"/>
  <c r="O410" i="1"/>
  <c r="M410" i="1"/>
  <c r="E410" i="1"/>
  <c r="B410" i="1"/>
  <c r="P409" i="1"/>
  <c r="O409" i="1"/>
  <c r="M409" i="1"/>
  <c r="E409" i="1"/>
  <c r="B409" i="1"/>
  <c r="P408" i="1"/>
  <c r="O408" i="1"/>
  <c r="M408" i="1"/>
  <c r="E408" i="1"/>
  <c r="B408" i="1"/>
  <c r="P407" i="1"/>
  <c r="O407" i="1"/>
  <c r="M407" i="1"/>
  <c r="E407" i="1"/>
  <c r="B407" i="1"/>
  <c r="P406" i="1"/>
  <c r="O406" i="1"/>
  <c r="M406" i="1"/>
  <c r="E406" i="1"/>
  <c r="B406" i="1"/>
  <c r="P405" i="1"/>
  <c r="O405" i="1"/>
  <c r="M405" i="1"/>
  <c r="E405" i="1"/>
  <c r="B405" i="1"/>
  <c r="P404" i="1"/>
  <c r="O404" i="1"/>
  <c r="M404" i="1"/>
  <c r="E404" i="1"/>
  <c r="B404" i="1"/>
  <c r="P403" i="1"/>
  <c r="O403" i="1"/>
  <c r="M403" i="1"/>
  <c r="E403" i="1"/>
  <c r="B403" i="1"/>
  <c r="P402" i="1"/>
  <c r="O402" i="1"/>
  <c r="M402" i="1"/>
  <c r="E402" i="1"/>
  <c r="B402" i="1"/>
  <c r="P401" i="1"/>
  <c r="O401" i="1"/>
  <c r="M401" i="1"/>
  <c r="E401" i="1"/>
  <c r="B401" i="1"/>
  <c r="P400" i="1"/>
  <c r="O400" i="1"/>
  <c r="M400" i="1"/>
  <c r="E400" i="1"/>
  <c r="B400" i="1"/>
  <c r="P399" i="1"/>
  <c r="O399" i="1"/>
  <c r="M399" i="1"/>
  <c r="I399" i="1"/>
  <c r="E399" i="1"/>
  <c r="B399" i="1"/>
  <c r="P398" i="1"/>
  <c r="O398" i="1"/>
  <c r="M398" i="1"/>
  <c r="E398" i="1"/>
  <c r="B398" i="1"/>
  <c r="P397" i="1"/>
  <c r="O397" i="1"/>
  <c r="M397" i="1"/>
  <c r="E397" i="1"/>
  <c r="B397" i="1"/>
  <c r="P396" i="1"/>
  <c r="O396" i="1"/>
  <c r="M396" i="1"/>
  <c r="E396" i="1"/>
  <c r="B396" i="1"/>
  <c r="P395" i="1"/>
  <c r="O395" i="1"/>
  <c r="M395" i="1"/>
  <c r="E395" i="1"/>
  <c r="B395" i="1"/>
  <c r="P394" i="1"/>
  <c r="O394" i="1"/>
  <c r="M394" i="1"/>
  <c r="E394" i="1"/>
  <c r="B394" i="1"/>
  <c r="P393" i="1"/>
  <c r="O393" i="1"/>
  <c r="M393" i="1"/>
  <c r="E393" i="1"/>
  <c r="B393" i="1"/>
  <c r="P392" i="1"/>
  <c r="O392" i="1"/>
  <c r="M392" i="1"/>
  <c r="E392" i="1"/>
  <c r="B392" i="1"/>
  <c r="P391" i="1"/>
  <c r="O391" i="1"/>
  <c r="M391" i="1"/>
  <c r="E391" i="1"/>
  <c r="B391" i="1"/>
  <c r="P390" i="1"/>
  <c r="O390" i="1"/>
  <c r="M390" i="1"/>
  <c r="E390" i="1"/>
  <c r="B390" i="1"/>
  <c r="P389" i="1"/>
  <c r="O389" i="1"/>
  <c r="M389" i="1"/>
  <c r="E389" i="1"/>
  <c r="B389" i="1"/>
  <c r="P388" i="1"/>
  <c r="O388" i="1"/>
  <c r="M388" i="1"/>
  <c r="E388" i="1"/>
  <c r="B388" i="1"/>
  <c r="P387" i="1"/>
  <c r="O387" i="1"/>
  <c r="M387" i="1"/>
  <c r="E387" i="1"/>
  <c r="B387" i="1"/>
  <c r="P386" i="1"/>
  <c r="O386" i="1"/>
  <c r="M386" i="1"/>
  <c r="E386" i="1"/>
  <c r="B386" i="1"/>
  <c r="P385" i="1"/>
  <c r="O385" i="1"/>
  <c r="M385" i="1"/>
  <c r="E385" i="1"/>
  <c r="B385" i="1"/>
  <c r="P384" i="1"/>
  <c r="O384" i="1"/>
  <c r="M384" i="1"/>
  <c r="E384" i="1"/>
  <c r="B384" i="1"/>
  <c r="P383" i="1"/>
  <c r="O383" i="1"/>
  <c r="M383" i="1"/>
  <c r="I383" i="1"/>
  <c r="E383" i="1"/>
  <c r="B383" i="1"/>
  <c r="P382" i="1"/>
  <c r="O382" i="1"/>
  <c r="M382" i="1"/>
  <c r="E382" i="1"/>
  <c r="B382" i="1"/>
  <c r="P381" i="1"/>
  <c r="O381" i="1"/>
  <c r="M381" i="1"/>
  <c r="E381" i="1"/>
  <c r="B381" i="1"/>
  <c r="P380" i="1"/>
  <c r="O380" i="1"/>
  <c r="M380" i="1"/>
  <c r="I380" i="1"/>
  <c r="E380" i="1"/>
  <c r="B380" i="1"/>
  <c r="P379" i="1"/>
  <c r="O379" i="1"/>
  <c r="M379" i="1"/>
  <c r="I379" i="1"/>
  <c r="E379" i="1"/>
  <c r="B379" i="1"/>
  <c r="P378" i="1"/>
  <c r="O378" i="1"/>
  <c r="M378" i="1"/>
  <c r="E378" i="1"/>
  <c r="B378" i="1"/>
  <c r="P377" i="1"/>
  <c r="O377" i="1"/>
  <c r="M377" i="1"/>
  <c r="E377" i="1"/>
  <c r="B377" i="1"/>
  <c r="P376" i="1"/>
  <c r="O376" i="1"/>
  <c r="M376" i="1"/>
  <c r="E376" i="1"/>
  <c r="B376" i="1"/>
  <c r="P375" i="1"/>
  <c r="O375" i="1"/>
  <c r="M375" i="1"/>
  <c r="E375" i="1"/>
  <c r="B375" i="1"/>
  <c r="P374" i="1"/>
  <c r="O374" i="1"/>
  <c r="M374" i="1"/>
  <c r="E374" i="1"/>
  <c r="B374" i="1"/>
  <c r="P373" i="1"/>
  <c r="O373" i="1"/>
  <c r="M373" i="1"/>
  <c r="E373" i="1"/>
  <c r="B373" i="1"/>
  <c r="P372" i="1"/>
  <c r="O372" i="1"/>
  <c r="M372" i="1"/>
  <c r="E372" i="1"/>
  <c r="B372" i="1"/>
  <c r="P371" i="1"/>
  <c r="O371" i="1"/>
  <c r="M371" i="1"/>
  <c r="E371" i="1"/>
  <c r="B371" i="1"/>
  <c r="P370" i="1"/>
  <c r="O370" i="1"/>
  <c r="M370" i="1"/>
  <c r="E370" i="1"/>
  <c r="B370" i="1"/>
  <c r="P369" i="1"/>
  <c r="O369" i="1"/>
  <c r="M369" i="1"/>
  <c r="E369" i="1"/>
  <c r="B369" i="1"/>
  <c r="P368" i="1"/>
  <c r="O368" i="1"/>
  <c r="M368" i="1"/>
  <c r="E368" i="1"/>
  <c r="B368" i="1"/>
  <c r="P367" i="1"/>
  <c r="O367" i="1"/>
  <c r="M367" i="1"/>
  <c r="E367" i="1"/>
  <c r="B367" i="1"/>
  <c r="P366" i="1"/>
  <c r="O366" i="1"/>
  <c r="M366" i="1"/>
  <c r="E366" i="1"/>
  <c r="B366" i="1"/>
  <c r="P365" i="1"/>
  <c r="O365" i="1"/>
  <c r="M365" i="1"/>
  <c r="E365" i="1"/>
  <c r="B365" i="1"/>
  <c r="P364" i="1"/>
  <c r="O364" i="1"/>
  <c r="M364" i="1"/>
  <c r="E364" i="1"/>
  <c r="B364" i="1"/>
  <c r="P363" i="1"/>
  <c r="O363" i="1"/>
  <c r="M363" i="1"/>
  <c r="E363" i="1"/>
  <c r="B363" i="1"/>
  <c r="P362" i="1"/>
  <c r="O362" i="1"/>
  <c r="E362" i="1"/>
  <c r="B362" i="1"/>
  <c r="P361" i="1"/>
  <c r="O361" i="1"/>
  <c r="E361" i="1"/>
  <c r="B361" i="1"/>
  <c r="P360" i="1"/>
  <c r="O360" i="1"/>
  <c r="E360" i="1"/>
  <c r="B360" i="1"/>
  <c r="P359" i="1"/>
  <c r="O359" i="1"/>
  <c r="E359" i="1"/>
  <c r="B359" i="1"/>
  <c r="P358" i="1"/>
  <c r="O358" i="1"/>
  <c r="E358" i="1"/>
  <c r="B358" i="1"/>
  <c r="P357" i="1"/>
  <c r="O357" i="1"/>
  <c r="E357" i="1"/>
  <c r="B357" i="1"/>
  <c r="R356" i="1"/>
  <c r="P356" i="1"/>
  <c r="O356" i="1"/>
  <c r="E356" i="1"/>
  <c r="B356" i="1"/>
  <c r="P355" i="1"/>
  <c r="O355" i="1"/>
  <c r="E355" i="1"/>
  <c r="B355" i="1"/>
  <c r="P354" i="1"/>
  <c r="O354" i="1"/>
  <c r="E354" i="1"/>
  <c r="B354" i="1"/>
  <c r="P353" i="1"/>
  <c r="O353" i="1"/>
  <c r="E353" i="1"/>
  <c r="B353" i="1"/>
  <c r="P352" i="1"/>
  <c r="O352" i="1"/>
  <c r="E352" i="1"/>
  <c r="B352" i="1"/>
  <c r="P351" i="1"/>
  <c r="O351" i="1"/>
  <c r="E351" i="1"/>
  <c r="B351" i="1"/>
  <c r="P350" i="1"/>
  <c r="O350" i="1"/>
  <c r="E350" i="1"/>
  <c r="B350" i="1"/>
  <c r="P349" i="1"/>
  <c r="O349" i="1"/>
  <c r="E349" i="1"/>
  <c r="B349" i="1"/>
  <c r="P348" i="1"/>
  <c r="O348" i="1"/>
  <c r="E348" i="1"/>
  <c r="B348" i="1"/>
  <c r="P347" i="1"/>
  <c r="O347" i="1"/>
  <c r="E347" i="1"/>
  <c r="B347" i="1"/>
  <c r="P346" i="1"/>
  <c r="O346" i="1"/>
  <c r="E346" i="1"/>
  <c r="B346" i="1"/>
  <c r="P345" i="1"/>
  <c r="O345" i="1"/>
  <c r="E345" i="1"/>
  <c r="B345" i="1"/>
  <c r="P344" i="1"/>
  <c r="O344" i="1"/>
  <c r="E344" i="1"/>
  <c r="B344" i="1"/>
  <c r="P343" i="1"/>
  <c r="O343" i="1"/>
  <c r="E343" i="1"/>
  <c r="B343" i="1"/>
  <c r="R342" i="1"/>
  <c r="P342" i="1"/>
  <c r="O342" i="1"/>
  <c r="E342" i="1"/>
  <c r="B342" i="1"/>
  <c r="P341" i="1"/>
  <c r="O341" i="1"/>
  <c r="E341" i="1"/>
  <c r="B341" i="1"/>
  <c r="P340" i="1"/>
  <c r="O340" i="1"/>
  <c r="E340" i="1"/>
  <c r="B340" i="1"/>
  <c r="P339" i="1"/>
  <c r="O339" i="1"/>
  <c r="E339" i="1"/>
  <c r="B339" i="1"/>
  <c r="P338" i="1"/>
  <c r="O338" i="1"/>
  <c r="E338" i="1"/>
  <c r="B338" i="1"/>
  <c r="P337" i="1"/>
  <c r="O337" i="1"/>
  <c r="E337" i="1"/>
  <c r="B337" i="1"/>
  <c r="P336" i="1"/>
  <c r="O336" i="1"/>
  <c r="I336" i="1"/>
  <c r="E336" i="1"/>
  <c r="B336" i="1"/>
  <c r="P335" i="1"/>
  <c r="O335" i="1"/>
  <c r="E335" i="1"/>
  <c r="B335" i="1"/>
  <c r="P334" i="1"/>
  <c r="O334" i="1"/>
  <c r="I334" i="1"/>
  <c r="E334" i="1"/>
  <c r="B334" i="1"/>
  <c r="T333" i="1"/>
  <c r="P333" i="1"/>
  <c r="O333" i="1"/>
  <c r="E333" i="1"/>
  <c r="B333" i="1"/>
  <c r="T332" i="1"/>
  <c r="P332" i="1"/>
  <c r="O332" i="1"/>
  <c r="E332" i="1"/>
  <c r="B332" i="1"/>
  <c r="T331" i="1"/>
  <c r="P331" i="1"/>
  <c r="O331" i="1"/>
  <c r="E331" i="1"/>
  <c r="B331" i="1"/>
  <c r="T330" i="1"/>
  <c r="P330" i="1"/>
  <c r="O330" i="1"/>
  <c r="E330" i="1"/>
  <c r="B330" i="1"/>
  <c r="T329" i="1"/>
  <c r="P329" i="1"/>
  <c r="O329" i="1"/>
  <c r="I329" i="1"/>
  <c r="E329" i="1"/>
  <c r="B329" i="1"/>
  <c r="R328" i="1"/>
  <c r="P328" i="1"/>
  <c r="O328" i="1"/>
  <c r="E328" i="1"/>
  <c r="B328" i="1"/>
  <c r="P327" i="1"/>
  <c r="O327" i="1"/>
  <c r="E327" i="1"/>
  <c r="B327" i="1"/>
  <c r="P326" i="1"/>
  <c r="O326" i="1"/>
  <c r="E326" i="1"/>
  <c r="B326" i="1"/>
  <c r="P325" i="1"/>
  <c r="O325" i="1"/>
  <c r="E325" i="1"/>
  <c r="B325" i="1"/>
  <c r="P324" i="1"/>
  <c r="O324" i="1"/>
  <c r="E324" i="1"/>
  <c r="B324" i="1"/>
  <c r="P323" i="1"/>
  <c r="O323" i="1"/>
  <c r="E323" i="1"/>
  <c r="B323" i="1"/>
  <c r="P322" i="1"/>
  <c r="O322" i="1"/>
  <c r="E322" i="1"/>
  <c r="B322" i="1"/>
  <c r="P321" i="1"/>
  <c r="O321" i="1"/>
  <c r="E321" i="1"/>
  <c r="B321" i="1"/>
  <c r="P320" i="1"/>
  <c r="O320" i="1"/>
  <c r="E320" i="1"/>
  <c r="B320" i="1"/>
  <c r="P319" i="1"/>
  <c r="O319" i="1"/>
  <c r="E319" i="1"/>
  <c r="B319" i="1"/>
  <c r="P318" i="1"/>
  <c r="O318" i="1"/>
  <c r="E318" i="1"/>
  <c r="B318" i="1"/>
  <c r="P317" i="1"/>
  <c r="O317" i="1"/>
  <c r="I317" i="1"/>
  <c r="E317" i="1"/>
  <c r="B317" i="1"/>
  <c r="P316" i="1"/>
  <c r="O316" i="1"/>
  <c r="E316" i="1"/>
  <c r="B316" i="1"/>
  <c r="P315" i="1"/>
  <c r="O315" i="1"/>
  <c r="I315" i="1"/>
  <c r="E315" i="1"/>
  <c r="B315" i="1"/>
  <c r="T314" i="1"/>
  <c r="P314" i="1"/>
  <c r="O314" i="1"/>
  <c r="I314" i="1"/>
  <c r="E314" i="1"/>
  <c r="B314" i="1"/>
  <c r="P313" i="1"/>
  <c r="O313" i="1"/>
  <c r="E313" i="1"/>
  <c r="B313" i="1"/>
  <c r="T312" i="1"/>
  <c r="P312" i="1"/>
  <c r="O312" i="1"/>
  <c r="E312" i="1"/>
  <c r="B312" i="1"/>
  <c r="P311" i="1"/>
  <c r="O311" i="1"/>
  <c r="E311" i="1"/>
  <c r="B311" i="1"/>
  <c r="T310" i="1"/>
  <c r="P310" i="1"/>
  <c r="O310" i="1"/>
  <c r="E310" i="1"/>
  <c r="B310" i="1"/>
  <c r="T309" i="1"/>
  <c r="P309" i="1"/>
  <c r="O309" i="1"/>
  <c r="I309" i="1"/>
  <c r="E309" i="1"/>
  <c r="B309" i="1"/>
  <c r="P308" i="1"/>
  <c r="O308" i="1"/>
  <c r="E308" i="1"/>
  <c r="B308" i="1"/>
  <c r="P307" i="1"/>
  <c r="O307" i="1"/>
  <c r="E307" i="1"/>
  <c r="B307" i="1"/>
  <c r="P306" i="1"/>
  <c r="O306" i="1"/>
  <c r="E306" i="1"/>
  <c r="B306" i="1"/>
  <c r="P305" i="1"/>
  <c r="O305" i="1"/>
  <c r="E305" i="1"/>
  <c r="B305" i="1"/>
  <c r="P304" i="1"/>
  <c r="O304" i="1"/>
  <c r="E304" i="1"/>
  <c r="B304" i="1"/>
  <c r="P303" i="1"/>
  <c r="O303" i="1"/>
  <c r="E303" i="1"/>
  <c r="B303" i="1"/>
  <c r="P302" i="1"/>
  <c r="O302" i="1"/>
  <c r="E302" i="1"/>
  <c r="B302" i="1"/>
  <c r="P301" i="1"/>
  <c r="O301" i="1"/>
  <c r="E301" i="1"/>
  <c r="B301" i="1"/>
  <c r="P300" i="1"/>
  <c r="O300" i="1"/>
  <c r="E300" i="1"/>
  <c r="B300" i="1"/>
  <c r="P299" i="1"/>
  <c r="O299" i="1"/>
  <c r="E299" i="1"/>
  <c r="B299" i="1"/>
  <c r="P298" i="1"/>
  <c r="O298" i="1"/>
  <c r="I298" i="1"/>
  <c r="E298" i="1"/>
  <c r="B298" i="1"/>
  <c r="T297" i="1"/>
  <c r="P297" i="1"/>
  <c r="O297" i="1"/>
  <c r="E297" i="1"/>
  <c r="B297" i="1"/>
  <c r="T296" i="1"/>
  <c r="P296" i="1"/>
  <c r="O296" i="1"/>
  <c r="E296" i="1"/>
  <c r="B296" i="1"/>
  <c r="P295" i="1"/>
  <c r="O295" i="1"/>
  <c r="E295" i="1"/>
  <c r="B295" i="1"/>
  <c r="P294" i="1"/>
  <c r="O294" i="1"/>
  <c r="E294" i="1"/>
  <c r="B294" i="1"/>
  <c r="P293" i="1"/>
  <c r="O293" i="1"/>
  <c r="E293" i="1"/>
  <c r="B293" i="1"/>
  <c r="P292" i="1"/>
  <c r="O292" i="1"/>
  <c r="E292" i="1"/>
  <c r="B292" i="1"/>
  <c r="P291" i="1"/>
  <c r="O291" i="1"/>
  <c r="E291" i="1"/>
  <c r="B291" i="1"/>
  <c r="P290" i="1"/>
  <c r="O290" i="1"/>
  <c r="E290" i="1"/>
  <c r="B290" i="1"/>
  <c r="P289" i="1"/>
  <c r="O289" i="1"/>
  <c r="E289" i="1"/>
  <c r="B289" i="1"/>
  <c r="T288" i="1"/>
  <c r="P288" i="1"/>
  <c r="O288" i="1"/>
  <c r="I288" i="1"/>
  <c r="E288" i="1"/>
  <c r="B288" i="1"/>
  <c r="T287" i="1"/>
  <c r="P287" i="1"/>
  <c r="O287" i="1"/>
  <c r="E287" i="1"/>
  <c r="B287" i="1"/>
  <c r="T286" i="1"/>
  <c r="P286" i="1"/>
  <c r="O286" i="1"/>
  <c r="E286" i="1"/>
  <c r="B286" i="1"/>
  <c r="P285" i="1"/>
  <c r="O285" i="1"/>
  <c r="I285" i="1"/>
  <c r="E285" i="1"/>
  <c r="B285" i="1"/>
  <c r="T284" i="1"/>
  <c r="P284" i="1"/>
  <c r="O284" i="1"/>
  <c r="E284" i="1"/>
  <c r="B284" i="1"/>
  <c r="T283" i="1"/>
  <c r="P283" i="1"/>
  <c r="O283" i="1"/>
  <c r="E283" i="1"/>
  <c r="B283" i="1"/>
  <c r="T282" i="1"/>
  <c r="P282" i="1"/>
  <c r="O282" i="1"/>
  <c r="E282" i="1"/>
  <c r="B282" i="1"/>
  <c r="T281" i="1"/>
  <c r="P281" i="1"/>
  <c r="O281" i="1"/>
  <c r="E281" i="1"/>
  <c r="B281" i="1"/>
  <c r="T280" i="1"/>
  <c r="P280" i="1"/>
  <c r="O280" i="1"/>
  <c r="E280" i="1"/>
  <c r="B280" i="1"/>
  <c r="T279" i="1"/>
  <c r="P279" i="1"/>
  <c r="O279" i="1"/>
  <c r="E279" i="1"/>
  <c r="B279" i="1"/>
  <c r="T278" i="1"/>
  <c r="P278" i="1"/>
  <c r="O278" i="1"/>
  <c r="E278" i="1"/>
  <c r="B278" i="1"/>
  <c r="P277" i="1"/>
  <c r="O277" i="1"/>
  <c r="E277" i="1"/>
  <c r="B277" i="1"/>
  <c r="P276" i="1"/>
  <c r="O276" i="1"/>
  <c r="E276" i="1"/>
  <c r="B276" i="1"/>
  <c r="T275" i="1"/>
  <c r="P275" i="1"/>
  <c r="O275" i="1"/>
  <c r="E275" i="1"/>
  <c r="B275" i="1"/>
  <c r="T274" i="1"/>
  <c r="P274" i="1"/>
  <c r="O274" i="1"/>
  <c r="E274" i="1"/>
  <c r="B274" i="1"/>
  <c r="T273" i="1"/>
  <c r="P273" i="1"/>
  <c r="O273" i="1"/>
  <c r="E273" i="1"/>
  <c r="B273" i="1"/>
  <c r="T272" i="1"/>
  <c r="P272" i="1"/>
  <c r="O272" i="1"/>
  <c r="E272" i="1"/>
  <c r="B272" i="1"/>
  <c r="P271" i="1"/>
  <c r="O271" i="1"/>
  <c r="E271" i="1"/>
  <c r="B271" i="1"/>
  <c r="P270" i="1"/>
  <c r="O270" i="1"/>
  <c r="E270" i="1"/>
  <c r="B270" i="1"/>
  <c r="P269" i="1"/>
  <c r="O269" i="1"/>
  <c r="E269" i="1"/>
  <c r="B269" i="1"/>
  <c r="P268" i="1"/>
  <c r="O268" i="1"/>
  <c r="E268" i="1"/>
  <c r="B268" i="1"/>
  <c r="P267" i="1"/>
  <c r="O267" i="1"/>
  <c r="I267" i="1"/>
  <c r="J267" i="1" s="1"/>
  <c r="E267" i="1"/>
  <c r="B267" i="1"/>
  <c r="T266" i="1"/>
  <c r="P266" i="1"/>
  <c r="O266" i="1"/>
  <c r="E266" i="1"/>
  <c r="B266" i="1"/>
  <c r="T265" i="1"/>
  <c r="P265" i="1"/>
  <c r="O265" i="1"/>
  <c r="E265" i="1"/>
  <c r="B265" i="1"/>
  <c r="P264" i="1"/>
  <c r="O264" i="1"/>
  <c r="I264" i="1"/>
  <c r="E264" i="1"/>
  <c r="B264" i="1"/>
  <c r="T263" i="1"/>
  <c r="P263" i="1"/>
  <c r="O263" i="1"/>
  <c r="E263" i="1"/>
  <c r="B263" i="1"/>
  <c r="T262" i="1"/>
  <c r="P262" i="1"/>
  <c r="O262" i="1"/>
  <c r="E262" i="1"/>
  <c r="B262" i="1"/>
  <c r="T261" i="1"/>
  <c r="P261" i="1"/>
  <c r="O261" i="1"/>
  <c r="E261" i="1"/>
  <c r="B261" i="1"/>
  <c r="T260" i="1"/>
  <c r="P260" i="1"/>
  <c r="O260" i="1"/>
  <c r="E260" i="1"/>
  <c r="B260" i="1"/>
  <c r="T259" i="1"/>
  <c r="P259" i="1"/>
  <c r="O259" i="1"/>
  <c r="E259" i="1"/>
  <c r="B259" i="1"/>
  <c r="T258" i="1"/>
  <c r="P258" i="1"/>
  <c r="O258" i="1"/>
  <c r="E258" i="1"/>
  <c r="B258" i="1"/>
  <c r="T257" i="1"/>
  <c r="P257" i="1"/>
  <c r="O257" i="1"/>
  <c r="E257" i="1"/>
  <c r="B257" i="1"/>
  <c r="T256" i="1"/>
  <c r="P256" i="1"/>
  <c r="O256" i="1"/>
  <c r="E256" i="1"/>
  <c r="B256" i="1"/>
  <c r="T255" i="1"/>
  <c r="P255" i="1"/>
  <c r="O255" i="1"/>
  <c r="E255" i="1"/>
  <c r="B255" i="1"/>
  <c r="T254" i="1"/>
  <c r="P254" i="1"/>
  <c r="O254" i="1"/>
  <c r="E254" i="1"/>
  <c r="B254" i="1"/>
  <c r="T253" i="1"/>
  <c r="P253" i="1"/>
  <c r="O253" i="1"/>
  <c r="E253" i="1"/>
  <c r="B253" i="1"/>
  <c r="T252" i="1"/>
  <c r="P252" i="1"/>
  <c r="O252" i="1"/>
  <c r="E252" i="1"/>
  <c r="B252" i="1"/>
  <c r="T251" i="1"/>
  <c r="P251" i="1"/>
  <c r="O251" i="1"/>
  <c r="E251" i="1"/>
  <c r="B251" i="1"/>
  <c r="T250" i="1"/>
  <c r="P250" i="1"/>
  <c r="O250" i="1"/>
  <c r="E250" i="1"/>
  <c r="B250" i="1"/>
  <c r="T249" i="1"/>
  <c r="P249" i="1"/>
  <c r="O249" i="1"/>
  <c r="E249" i="1"/>
  <c r="B249" i="1"/>
  <c r="T248" i="1"/>
  <c r="P248" i="1"/>
  <c r="O248" i="1"/>
  <c r="E248" i="1"/>
  <c r="B248" i="1"/>
  <c r="T247" i="1"/>
  <c r="P247" i="1"/>
  <c r="O247" i="1"/>
  <c r="I247" i="1"/>
  <c r="E247" i="1"/>
  <c r="B247" i="1"/>
  <c r="P246" i="1"/>
  <c r="O246" i="1"/>
  <c r="E246" i="1"/>
  <c r="B246" i="1"/>
  <c r="P245" i="1"/>
  <c r="O245" i="1"/>
  <c r="E245" i="1"/>
  <c r="B245" i="1"/>
  <c r="P244" i="1"/>
  <c r="O244" i="1"/>
  <c r="E244" i="1"/>
  <c r="B244" i="1"/>
  <c r="P243" i="1"/>
  <c r="O243" i="1"/>
  <c r="I243" i="1"/>
  <c r="E243" i="1"/>
  <c r="B243" i="1"/>
  <c r="P242" i="1"/>
  <c r="O242" i="1"/>
  <c r="E242" i="1"/>
  <c r="B242" i="1"/>
  <c r="P241" i="1"/>
  <c r="O241" i="1"/>
  <c r="M241" i="1"/>
  <c r="E241" i="1"/>
  <c r="B241" i="1"/>
  <c r="P240" i="1"/>
  <c r="O240" i="1"/>
  <c r="E240" i="1"/>
  <c r="B240" i="1"/>
  <c r="P239" i="1"/>
  <c r="O239" i="1"/>
  <c r="E239" i="1"/>
  <c r="B239" i="1"/>
  <c r="P238" i="1"/>
  <c r="O238" i="1"/>
  <c r="E238" i="1"/>
  <c r="B238" i="1"/>
  <c r="P237" i="1"/>
  <c r="O237" i="1"/>
  <c r="E237" i="1"/>
  <c r="B237" i="1"/>
  <c r="P236" i="1"/>
  <c r="O236" i="1"/>
  <c r="I236" i="1"/>
  <c r="E236" i="1"/>
  <c r="B236" i="1"/>
  <c r="Q235" i="1"/>
  <c r="P235" i="1"/>
  <c r="O235" i="1"/>
  <c r="E235" i="1"/>
  <c r="B235" i="1"/>
  <c r="P234" i="1"/>
  <c r="O234" i="1"/>
  <c r="E234" i="1"/>
  <c r="B234" i="1"/>
  <c r="P233" i="1"/>
  <c r="O233" i="1"/>
  <c r="E233" i="1"/>
  <c r="B233" i="1"/>
  <c r="P232" i="1"/>
  <c r="O232" i="1"/>
  <c r="E232" i="1"/>
  <c r="B232" i="1"/>
  <c r="P231" i="1"/>
  <c r="O231" i="1"/>
  <c r="E231" i="1"/>
  <c r="B231" i="1"/>
  <c r="P230" i="1"/>
  <c r="O230" i="1"/>
  <c r="E230" i="1"/>
  <c r="B230" i="1"/>
  <c r="P229" i="1"/>
  <c r="O229" i="1"/>
  <c r="E229" i="1"/>
  <c r="B229" i="1"/>
  <c r="P228" i="1"/>
  <c r="O228" i="1"/>
  <c r="E228" i="1"/>
  <c r="B228" i="1"/>
  <c r="P227" i="1"/>
  <c r="O227" i="1"/>
  <c r="E227" i="1"/>
  <c r="B227" i="1"/>
  <c r="P226" i="1"/>
  <c r="O226" i="1"/>
  <c r="E226" i="1"/>
  <c r="B226" i="1"/>
  <c r="P225" i="1"/>
  <c r="O225" i="1"/>
  <c r="I225" i="1"/>
  <c r="E225" i="1"/>
  <c r="B225" i="1"/>
  <c r="P224" i="1"/>
  <c r="O224" i="1"/>
  <c r="E224" i="1"/>
  <c r="B224" i="1"/>
  <c r="P223" i="1"/>
  <c r="O223" i="1"/>
  <c r="E223" i="1"/>
  <c r="B223" i="1"/>
  <c r="P222" i="1"/>
  <c r="O222" i="1"/>
  <c r="E222" i="1"/>
  <c r="B222" i="1"/>
  <c r="P221" i="1"/>
  <c r="O221" i="1"/>
  <c r="E221" i="1"/>
  <c r="B221" i="1"/>
  <c r="P220" i="1"/>
  <c r="O220" i="1"/>
  <c r="I220" i="1"/>
  <c r="E220" i="1"/>
  <c r="B220" i="1"/>
  <c r="P219" i="1"/>
  <c r="O219" i="1"/>
  <c r="E219" i="1"/>
  <c r="B219" i="1"/>
  <c r="P218" i="1"/>
  <c r="O218" i="1"/>
  <c r="E218" i="1"/>
  <c r="B218" i="1"/>
  <c r="P217" i="1"/>
  <c r="O217" i="1"/>
  <c r="E217" i="1"/>
  <c r="B217" i="1"/>
  <c r="P216" i="1"/>
  <c r="O216" i="1"/>
  <c r="I216" i="1"/>
  <c r="E216" i="1"/>
  <c r="B216" i="1"/>
  <c r="R215" i="1"/>
  <c r="P215" i="1"/>
  <c r="O215" i="1"/>
  <c r="E215" i="1"/>
  <c r="B215" i="1"/>
  <c r="R214" i="1"/>
  <c r="P214" i="1"/>
  <c r="O214" i="1"/>
  <c r="E214" i="1"/>
  <c r="B214" i="1"/>
  <c r="R213" i="1"/>
  <c r="P213" i="1"/>
  <c r="O213" i="1"/>
  <c r="I213" i="1"/>
  <c r="E213" i="1"/>
  <c r="B213" i="1"/>
  <c r="P212" i="1"/>
  <c r="O212" i="1"/>
  <c r="E212" i="1"/>
  <c r="B212" i="1"/>
  <c r="P211" i="1"/>
  <c r="O211" i="1"/>
  <c r="E211" i="1"/>
  <c r="B211" i="1"/>
  <c r="P210" i="1"/>
  <c r="O210" i="1"/>
  <c r="E210" i="1"/>
  <c r="B210" i="1"/>
  <c r="P209" i="1"/>
  <c r="O209" i="1"/>
  <c r="E209" i="1"/>
  <c r="B209" i="1"/>
  <c r="P208" i="1"/>
  <c r="O208" i="1"/>
  <c r="I208" i="1"/>
  <c r="E208" i="1"/>
  <c r="B208" i="1"/>
  <c r="P207" i="1"/>
  <c r="O207" i="1"/>
  <c r="E207" i="1"/>
  <c r="B207" i="1"/>
  <c r="P206" i="1"/>
  <c r="O206" i="1"/>
  <c r="E206" i="1"/>
  <c r="B206" i="1"/>
  <c r="P205" i="1"/>
  <c r="O205" i="1"/>
  <c r="E205" i="1"/>
  <c r="B205" i="1"/>
  <c r="P204" i="1"/>
  <c r="O204" i="1"/>
  <c r="E204" i="1"/>
  <c r="B204" i="1"/>
  <c r="P203" i="1"/>
  <c r="O203" i="1"/>
  <c r="E203" i="1"/>
  <c r="B203" i="1"/>
  <c r="P202" i="1"/>
  <c r="O202" i="1"/>
  <c r="E202" i="1"/>
  <c r="B202" i="1"/>
  <c r="P201" i="1"/>
  <c r="O201" i="1"/>
  <c r="I201" i="1"/>
  <c r="E201" i="1"/>
  <c r="B201" i="1"/>
  <c r="P200" i="1"/>
  <c r="O200" i="1"/>
  <c r="E200" i="1"/>
  <c r="B200" i="1"/>
  <c r="Q199" i="1"/>
  <c r="P199" i="1"/>
  <c r="O199" i="1"/>
  <c r="E199" i="1"/>
  <c r="B199" i="1"/>
  <c r="P198" i="1"/>
  <c r="O198" i="1"/>
  <c r="E198" i="1"/>
  <c r="B198" i="1"/>
  <c r="P197" i="1"/>
  <c r="O197" i="1"/>
  <c r="E197" i="1"/>
  <c r="B197" i="1"/>
  <c r="P196" i="1"/>
  <c r="O196" i="1"/>
  <c r="E196" i="1"/>
  <c r="B196" i="1"/>
  <c r="P195" i="1"/>
  <c r="O195" i="1"/>
  <c r="E195" i="1"/>
  <c r="B195" i="1"/>
  <c r="P194" i="1"/>
  <c r="O194" i="1"/>
  <c r="I194" i="1"/>
  <c r="E194" i="1"/>
  <c r="B194" i="1"/>
  <c r="P193" i="1"/>
  <c r="O193" i="1"/>
  <c r="E193" i="1"/>
  <c r="B193" i="1"/>
  <c r="S192" i="1"/>
  <c r="P192" i="1"/>
  <c r="O192" i="1"/>
  <c r="E192" i="1"/>
  <c r="B192" i="1"/>
  <c r="S191" i="1"/>
  <c r="P191" i="1"/>
  <c r="O191" i="1"/>
  <c r="E191" i="1"/>
  <c r="B191" i="1"/>
  <c r="S190" i="1"/>
  <c r="P190" i="1"/>
  <c r="O190" i="1"/>
  <c r="E190" i="1"/>
  <c r="B190" i="1"/>
  <c r="P189" i="1"/>
  <c r="O189" i="1"/>
  <c r="E189" i="1"/>
  <c r="B189" i="1"/>
  <c r="P188" i="1"/>
  <c r="O188" i="1"/>
  <c r="E188" i="1"/>
  <c r="B188" i="1"/>
  <c r="S187" i="1"/>
  <c r="P187" i="1"/>
  <c r="O187" i="1"/>
  <c r="E187" i="1"/>
  <c r="B187" i="1"/>
  <c r="S186" i="1"/>
  <c r="P186" i="1"/>
  <c r="O186" i="1"/>
  <c r="E186" i="1"/>
  <c r="B186" i="1"/>
  <c r="S185" i="1"/>
  <c r="P185" i="1"/>
  <c r="O185" i="1"/>
  <c r="E185" i="1"/>
  <c r="B185" i="1"/>
  <c r="S184" i="1"/>
  <c r="P184" i="1"/>
  <c r="O184" i="1"/>
  <c r="E184" i="1"/>
  <c r="B184" i="1"/>
  <c r="S183" i="1"/>
  <c r="P183" i="1"/>
  <c r="O183" i="1"/>
  <c r="E183" i="1"/>
  <c r="B183" i="1"/>
  <c r="S182" i="1"/>
  <c r="P182" i="1"/>
  <c r="O182" i="1"/>
  <c r="E182" i="1"/>
  <c r="B182" i="1"/>
  <c r="S181" i="1"/>
  <c r="P181" i="1"/>
  <c r="O181" i="1"/>
  <c r="E181" i="1"/>
  <c r="B181" i="1"/>
  <c r="S180" i="1"/>
  <c r="P180" i="1"/>
  <c r="O180" i="1"/>
  <c r="E180" i="1"/>
  <c r="B180" i="1"/>
  <c r="S179" i="1"/>
  <c r="P179" i="1"/>
  <c r="O179" i="1"/>
  <c r="I179" i="1"/>
  <c r="E179" i="1"/>
  <c r="B179" i="1"/>
  <c r="P178" i="1"/>
  <c r="O178" i="1"/>
  <c r="E178" i="1"/>
  <c r="B178" i="1"/>
  <c r="P177" i="1"/>
  <c r="O177" i="1"/>
  <c r="J177" i="1"/>
  <c r="E177" i="1"/>
  <c r="B177" i="1"/>
  <c r="P176" i="1"/>
  <c r="O176" i="1"/>
  <c r="E176" i="1"/>
  <c r="B176" i="1"/>
  <c r="P175" i="1"/>
  <c r="O175" i="1"/>
  <c r="I175" i="1"/>
  <c r="E175" i="1"/>
  <c r="B175" i="1"/>
  <c r="P174" i="1"/>
  <c r="O174" i="1"/>
  <c r="E174" i="1"/>
  <c r="B174" i="1"/>
  <c r="P173" i="1"/>
  <c r="O173" i="1"/>
  <c r="J173" i="1"/>
  <c r="E173" i="1"/>
  <c r="B173" i="1"/>
  <c r="P172" i="1"/>
  <c r="O172" i="1"/>
  <c r="E172" i="1"/>
  <c r="B172" i="1"/>
  <c r="P171" i="1"/>
  <c r="O171" i="1"/>
  <c r="E171" i="1"/>
  <c r="B171" i="1"/>
  <c r="P170" i="1"/>
  <c r="O170" i="1"/>
  <c r="E170" i="1"/>
  <c r="B170" i="1"/>
  <c r="P169" i="1"/>
  <c r="O169" i="1"/>
  <c r="E169" i="1"/>
  <c r="B169" i="1"/>
  <c r="P168" i="1"/>
  <c r="O168" i="1"/>
  <c r="E168" i="1"/>
  <c r="B168" i="1"/>
  <c r="P167" i="1"/>
  <c r="O167" i="1"/>
  <c r="E167" i="1"/>
  <c r="B167" i="1"/>
  <c r="P166" i="1"/>
  <c r="O166" i="1"/>
  <c r="E166" i="1"/>
  <c r="B166" i="1"/>
  <c r="P165" i="1"/>
  <c r="O165" i="1"/>
  <c r="E165" i="1"/>
  <c r="B165" i="1"/>
  <c r="P164" i="1"/>
  <c r="O164" i="1"/>
  <c r="E164" i="1"/>
  <c r="B164" i="1"/>
  <c r="P163" i="1"/>
  <c r="O163" i="1"/>
  <c r="E163" i="1"/>
  <c r="B163" i="1"/>
  <c r="P162" i="1"/>
  <c r="O162" i="1"/>
  <c r="E162" i="1"/>
  <c r="B162" i="1"/>
  <c r="P161" i="1"/>
  <c r="O161" i="1"/>
  <c r="E161" i="1"/>
  <c r="B161" i="1"/>
  <c r="P160" i="1"/>
  <c r="O160" i="1"/>
  <c r="I160" i="1"/>
  <c r="E160" i="1"/>
  <c r="B160" i="1"/>
  <c r="P159" i="1"/>
  <c r="O159" i="1"/>
  <c r="E159" i="1"/>
  <c r="B159" i="1"/>
  <c r="P158" i="1"/>
  <c r="O158" i="1"/>
  <c r="E158" i="1"/>
  <c r="B158" i="1"/>
  <c r="P157" i="1"/>
  <c r="O157" i="1"/>
  <c r="E157" i="1"/>
  <c r="B157" i="1"/>
  <c r="P156" i="1"/>
  <c r="O156" i="1"/>
  <c r="E156" i="1"/>
  <c r="B156" i="1"/>
  <c r="P155" i="1"/>
  <c r="O155" i="1"/>
  <c r="E155" i="1"/>
  <c r="B155" i="1"/>
  <c r="P154" i="1"/>
  <c r="O154" i="1"/>
  <c r="E154" i="1"/>
  <c r="B154" i="1"/>
  <c r="P153" i="1"/>
  <c r="O153" i="1"/>
  <c r="E153" i="1"/>
  <c r="B153" i="1"/>
  <c r="P152" i="1"/>
  <c r="O152" i="1"/>
  <c r="E152" i="1"/>
  <c r="B152" i="1"/>
  <c r="P151" i="1"/>
  <c r="O151" i="1"/>
  <c r="E151" i="1"/>
  <c r="B151" i="1"/>
  <c r="P150" i="1"/>
  <c r="O150" i="1"/>
  <c r="E150" i="1"/>
  <c r="B150" i="1"/>
  <c r="P149" i="1"/>
  <c r="O149" i="1"/>
  <c r="E149" i="1"/>
  <c r="B149" i="1"/>
  <c r="P148" i="1"/>
  <c r="O148" i="1"/>
  <c r="E148" i="1"/>
  <c r="B148" i="1"/>
  <c r="P147" i="1"/>
  <c r="O147" i="1"/>
  <c r="E147" i="1"/>
  <c r="B147" i="1"/>
  <c r="P146" i="1"/>
  <c r="O146" i="1"/>
  <c r="E146" i="1"/>
  <c r="B146" i="1"/>
  <c r="P145" i="1"/>
  <c r="O145" i="1"/>
  <c r="E145" i="1"/>
  <c r="B145" i="1"/>
  <c r="P144" i="1"/>
  <c r="O144" i="1"/>
  <c r="E144" i="1"/>
  <c r="B144" i="1"/>
  <c r="P143" i="1"/>
  <c r="O143" i="1"/>
  <c r="E143" i="1"/>
  <c r="B143" i="1"/>
  <c r="P142" i="1"/>
  <c r="O142" i="1"/>
  <c r="E142" i="1"/>
  <c r="B142" i="1"/>
  <c r="P141" i="1"/>
  <c r="O141" i="1"/>
  <c r="I141" i="1"/>
  <c r="E141" i="1"/>
  <c r="B141" i="1"/>
  <c r="P140" i="1"/>
  <c r="O140" i="1"/>
  <c r="E140" i="1"/>
  <c r="B140" i="1"/>
  <c r="P139" i="1"/>
  <c r="O139" i="1"/>
  <c r="I139" i="1"/>
  <c r="E139" i="1"/>
  <c r="B139" i="1"/>
  <c r="P138" i="1"/>
  <c r="O138" i="1"/>
  <c r="E138" i="1"/>
  <c r="B138" i="1"/>
  <c r="P137" i="1"/>
  <c r="O137" i="1"/>
  <c r="E137" i="1"/>
  <c r="B137" i="1"/>
  <c r="P136" i="1"/>
  <c r="O136" i="1"/>
  <c r="I136" i="1"/>
  <c r="E136" i="1"/>
  <c r="B136" i="1"/>
  <c r="P135" i="1"/>
  <c r="O135" i="1"/>
  <c r="E135" i="1"/>
  <c r="B135" i="1"/>
  <c r="P134" i="1"/>
  <c r="O134" i="1"/>
  <c r="I134" i="1"/>
  <c r="E134" i="1"/>
  <c r="B134" i="1"/>
  <c r="P133" i="1"/>
  <c r="O133" i="1"/>
  <c r="E133" i="1"/>
  <c r="B133" i="1"/>
  <c r="P132" i="1"/>
  <c r="O132" i="1"/>
  <c r="E132" i="1"/>
  <c r="B132" i="1"/>
  <c r="P131" i="1"/>
  <c r="O131" i="1"/>
  <c r="I131" i="1"/>
  <c r="E131" i="1"/>
  <c r="B131" i="1"/>
  <c r="P130" i="1"/>
  <c r="O130" i="1"/>
  <c r="E130" i="1"/>
  <c r="B130" i="1"/>
  <c r="P129" i="1"/>
  <c r="O129" i="1"/>
  <c r="I129" i="1"/>
  <c r="E129" i="1"/>
  <c r="B129" i="1"/>
  <c r="P128" i="1"/>
  <c r="O128" i="1"/>
  <c r="E128" i="1"/>
  <c r="B128" i="1"/>
  <c r="P127" i="1"/>
  <c r="O127" i="1"/>
  <c r="E127" i="1"/>
  <c r="B127" i="1"/>
  <c r="P126" i="1"/>
  <c r="O126" i="1"/>
  <c r="E126" i="1"/>
  <c r="B126" i="1"/>
  <c r="P125" i="1"/>
  <c r="O125" i="1"/>
  <c r="E125" i="1"/>
  <c r="B125" i="1"/>
  <c r="P124" i="1"/>
  <c r="O124" i="1"/>
  <c r="I124" i="1"/>
  <c r="E124" i="1"/>
  <c r="B124" i="1"/>
  <c r="P123" i="1"/>
  <c r="O123" i="1"/>
  <c r="E123" i="1"/>
  <c r="B123" i="1"/>
  <c r="P122" i="1"/>
  <c r="O122" i="1"/>
  <c r="E122" i="1"/>
  <c r="B122" i="1"/>
  <c r="P121" i="1"/>
  <c r="O121" i="1"/>
  <c r="E121" i="1"/>
  <c r="B121" i="1"/>
  <c r="P120" i="1"/>
  <c r="O120" i="1"/>
  <c r="I120" i="1"/>
  <c r="E120" i="1"/>
  <c r="B120" i="1"/>
  <c r="P119" i="1"/>
  <c r="O119" i="1"/>
  <c r="E119" i="1"/>
  <c r="B119" i="1"/>
  <c r="P118" i="1"/>
  <c r="O118" i="1"/>
  <c r="I118" i="1"/>
  <c r="E118" i="1"/>
  <c r="B118" i="1"/>
  <c r="P117" i="1"/>
  <c r="O117" i="1"/>
  <c r="E117" i="1"/>
  <c r="B117" i="1"/>
  <c r="P116" i="1"/>
  <c r="O116" i="1"/>
  <c r="E116" i="1"/>
  <c r="B116" i="1"/>
  <c r="P115" i="1"/>
  <c r="O115" i="1"/>
  <c r="I115" i="1"/>
  <c r="E115" i="1"/>
  <c r="B115" i="1"/>
  <c r="P114" i="1"/>
  <c r="O114" i="1"/>
  <c r="E114" i="1"/>
  <c r="B114" i="1"/>
  <c r="P113" i="1"/>
  <c r="O113" i="1"/>
  <c r="E113" i="1"/>
  <c r="B113" i="1"/>
  <c r="P112" i="1"/>
  <c r="O112" i="1"/>
  <c r="E112" i="1"/>
  <c r="B112" i="1"/>
  <c r="P111" i="1"/>
  <c r="O111" i="1"/>
  <c r="I111" i="1"/>
  <c r="E111" i="1"/>
  <c r="B111" i="1"/>
  <c r="P110" i="1"/>
  <c r="O110" i="1"/>
  <c r="E110" i="1"/>
  <c r="B110" i="1"/>
  <c r="P109" i="1"/>
  <c r="O109" i="1"/>
  <c r="I109" i="1"/>
  <c r="E109" i="1"/>
  <c r="B109" i="1"/>
  <c r="P108" i="1"/>
  <c r="O108" i="1"/>
  <c r="E108" i="1"/>
  <c r="B108" i="1"/>
  <c r="P107" i="1"/>
  <c r="O107" i="1"/>
  <c r="E107" i="1"/>
  <c r="B107" i="1"/>
  <c r="P106" i="1"/>
  <c r="O106" i="1"/>
  <c r="E106" i="1"/>
  <c r="B106" i="1"/>
  <c r="P105" i="1"/>
  <c r="O105" i="1"/>
  <c r="E105" i="1"/>
  <c r="B105" i="1"/>
  <c r="P104" i="1"/>
  <c r="O104" i="1"/>
  <c r="I104" i="1"/>
  <c r="J830" i="1" s="1"/>
  <c r="E104" i="1"/>
  <c r="B104" i="1"/>
  <c r="P103" i="1"/>
  <c r="O103" i="1"/>
  <c r="E103" i="1"/>
  <c r="B103" i="1"/>
  <c r="P102" i="1"/>
  <c r="O102" i="1"/>
  <c r="E102" i="1"/>
  <c r="B102" i="1"/>
  <c r="P101" i="1"/>
  <c r="O101" i="1"/>
  <c r="E101" i="1"/>
  <c r="B101" i="1"/>
  <c r="P100" i="1"/>
  <c r="O100" i="1"/>
  <c r="E100" i="1"/>
  <c r="B100" i="1"/>
  <c r="P99" i="1"/>
  <c r="O99" i="1"/>
  <c r="E99" i="1"/>
  <c r="B99" i="1"/>
  <c r="P98" i="1"/>
  <c r="O98" i="1"/>
  <c r="E98" i="1"/>
  <c r="B98" i="1"/>
  <c r="P97" i="1"/>
  <c r="O97" i="1"/>
  <c r="E97" i="1"/>
  <c r="B97" i="1"/>
  <c r="P96" i="1"/>
  <c r="O96" i="1"/>
  <c r="E96" i="1"/>
  <c r="B96" i="1"/>
  <c r="P95" i="1"/>
  <c r="O95" i="1"/>
  <c r="E95" i="1"/>
  <c r="B95" i="1"/>
  <c r="P94" i="1"/>
  <c r="O94" i="1"/>
  <c r="E94" i="1"/>
  <c r="B94" i="1"/>
  <c r="P93" i="1"/>
  <c r="O93" i="1"/>
  <c r="E93" i="1"/>
  <c r="B93" i="1"/>
  <c r="P92" i="1"/>
  <c r="O92" i="1"/>
  <c r="E92" i="1"/>
  <c r="B92" i="1"/>
  <c r="P91" i="1"/>
  <c r="O91" i="1"/>
  <c r="E91" i="1"/>
  <c r="B91" i="1"/>
  <c r="P90" i="1"/>
  <c r="O90" i="1"/>
  <c r="E90" i="1"/>
  <c r="B90" i="1"/>
  <c r="P89" i="1"/>
  <c r="O89" i="1"/>
  <c r="E89" i="1"/>
  <c r="B89" i="1"/>
  <c r="P88" i="1"/>
  <c r="O88" i="1"/>
  <c r="E88" i="1"/>
  <c r="B88" i="1"/>
  <c r="P87" i="1"/>
  <c r="O87" i="1"/>
  <c r="E87" i="1"/>
  <c r="B87" i="1"/>
  <c r="P86" i="1"/>
  <c r="O86" i="1"/>
  <c r="E86" i="1"/>
  <c r="B86" i="1"/>
  <c r="P85" i="1"/>
  <c r="O85" i="1"/>
  <c r="I85" i="1"/>
  <c r="E85" i="1"/>
  <c r="B85" i="1"/>
  <c r="P84" i="1"/>
  <c r="O84" i="1"/>
  <c r="E84" i="1"/>
  <c r="B84" i="1"/>
  <c r="P83" i="1"/>
  <c r="O83" i="1"/>
  <c r="E83" i="1"/>
  <c r="B83" i="1"/>
  <c r="P82" i="1"/>
  <c r="O82" i="1"/>
  <c r="E82" i="1"/>
  <c r="B82" i="1"/>
  <c r="P81" i="1"/>
  <c r="O81" i="1"/>
  <c r="E81" i="1"/>
  <c r="B81" i="1"/>
  <c r="P80" i="1"/>
  <c r="O80" i="1"/>
  <c r="E80" i="1"/>
  <c r="B80" i="1"/>
  <c r="P79" i="1"/>
  <c r="O79" i="1"/>
  <c r="E79" i="1"/>
  <c r="B79" i="1"/>
  <c r="P78" i="1"/>
  <c r="O78" i="1"/>
  <c r="E78" i="1"/>
  <c r="B78" i="1"/>
  <c r="P77" i="1"/>
  <c r="O77" i="1"/>
  <c r="E77" i="1"/>
  <c r="B77" i="1"/>
  <c r="P76" i="1"/>
  <c r="O76" i="1"/>
  <c r="E76" i="1"/>
  <c r="B76" i="1"/>
  <c r="P75" i="1"/>
  <c r="O75" i="1"/>
  <c r="E75" i="1"/>
  <c r="B75" i="1"/>
  <c r="P74" i="1"/>
  <c r="O74" i="1"/>
  <c r="E74" i="1"/>
  <c r="B74" i="1"/>
  <c r="P73" i="1"/>
  <c r="O73" i="1"/>
  <c r="E73" i="1"/>
  <c r="B73" i="1"/>
  <c r="P72" i="1"/>
  <c r="O72" i="1"/>
  <c r="E72" i="1"/>
  <c r="B72" i="1"/>
  <c r="P71" i="1"/>
  <c r="O71" i="1"/>
  <c r="E71" i="1"/>
  <c r="B71" i="1"/>
  <c r="P70" i="1"/>
  <c r="O70" i="1"/>
  <c r="E70" i="1"/>
  <c r="B70" i="1"/>
  <c r="P69" i="1"/>
  <c r="O69" i="1"/>
  <c r="E69" i="1"/>
  <c r="B69" i="1"/>
  <c r="P68" i="1"/>
  <c r="O68" i="1"/>
  <c r="E68" i="1"/>
  <c r="B68" i="1"/>
  <c r="R67" i="1"/>
  <c r="P67" i="1"/>
  <c r="O67" i="1"/>
  <c r="E67" i="1"/>
  <c r="B67" i="1"/>
  <c r="P66" i="1"/>
  <c r="O66" i="1"/>
  <c r="E66" i="1"/>
  <c r="B66" i="1"/>
  <c r="P65" i="1"/>
  <c r="O65" i="1"/>
  <c r="I65" i="1"/>
  <c r="E65" i="1"/>
  <c r="B65" i="1"/>
  <c r="P64" i="1"/>
  <c r="O64" i="1"/>
  <c r="E64" i="1"/>
  <c r="B64" i="1"/>
  <c r="P63" i="1"/>
  <c r="O63" i="1"/>
  <c r="E63" i="1"/>
  <c r="B63" i="1"/>
  <c r="P62" i="1"/>
  <c r="O62" i="1"/>
  <c r="E62" i="1"/>
  <c r="B62" i="1"/>
  <c r="P61" i="1"/>
  <c r="O61" i="1"/>
  <c r="E61" i="1"/>
  <c r="B61" i="1"/>
  <c r="P60" i="1"/>
  <c r="O60" i="1"/>
  <c r="I60" i="1"/>
  <c r="E60" i="1"/>
  <c r="B60" i="1"/>
  <c r="P59" i="1"/>
  <c r="O59" i="1"/>
  <c r="E59" i="1"/>
  <c r="B59" i="1"/>
  <c r="P58" i="1"/>
  <c r="O58" i="1"/>
  <c r="E58" i="1"/>
  <c r="B58" i="1"/>
  <c r="P57" i="1"/>
  <c r="O57" i="1"/>
  <c r="E57" i="1"/>
  <c r="B57" i="1"/>
  <c r="P56" i="1"/>
  <c r="O56" i="1"/>
  <c r="E56" i="1"/>
  <c r="B56" i="1"/>
  <c r="P55" i="1"/>
  <c r="O55" i="1"/>
  <c r="E55" i="1"/>
  <c r="B55" i="1"/>
  <c r="P54" i="1"/>
  <c r="O54" i="1"/>
  <c r="E54" i="1"/>
  <c r="B54" i="1"/>
  <c r="P53" i="1"/>
  <c r="O53" i="1"/>
  <c r="E53" i="1"/>
  <c r="B53" i="1"/>
  <c r="P52" i="1"/>
  <c r="O52" i="1"/>
  <c r="E52" i="1"/>
  <c r="B52" i="1"/>
  <c r="P51" i="1"/>
  <c r="O51" i="1"/>
  <c r="I51" i="1"/>
  <c r="E51" i="1"/>
  <c r="B51" i="1"/>
  <c r="P50" i="1"/>
  <c r="O50" i="1"/>
  <c r="E50" i="1"/>
  <c r="B50" i="1"/>
  <c r="P49" i="1"/>
  <c r="O49" i="1"/>
  <c r="E49" i="1"/>
  <c r="B49" i="1"/>
  <c r="P48" i="1"/>
  <c r="O48" i="1"/>
  <c r="E48" i="1"/>
  <c r="B48" i="1"/>
  <c r="P47" i="1"/>
  <c r="O47" i="1"/>
  <c r="E47" i="1"/>
  <c r="B47" i="1"/>
  <c r="P46" i="1"/>
  <c r="O46" i="1"/>
  <c r="E46" i="1"/>
  <c r="B46" i="1"/>
  <c r="P45" i="1"/>
  <c r="O45" i="1"/>
  <c r="E45" i="1"/>
  <c r="B45" i="1"/>
  <c r="P44" i="1"/>
  <c r="O44" i="1"/>
  <c r="E44" i="1"/>
  <c r="B44" i="1"/>
  <c r="P43" i="1"/>
  <c r="O43" i="1"/>
  <c r="E43" i="1"/>
  <c r="B43" i="1"/>
  <c r="P42" i="1"/>
  <c r="O42" i="1"/>
  <c r="E42" i="1"/>
  <c r="B42" i="1"/>
  <c r="P41" i="1"/>
  <c r="O41" i="1"/>
  <c r="E41" i="1"/>
  <c r="B41" i="1"/>
  <c r="P40" i="1"/>
  <c r="O40" i="1"/>
  <c r="E40" i="1"/>
  <c r="B40" i="1"/>
  <c r="P39" i="1"/>
  <c r="O39" i="1"/>
  <c r="E39" i="1"/>
  <c r="B39" i="1"/>
  <c r="P38" i="1"/>
  <c r="O38" i="1"/>
  <c r="E38" i="1"/>
  <c r="B38" i="1"/>
  <c r="P37" i="1"/>
  <c r="O37" i="1"/>
  <c r="E37" i="1"/>
  <c r="B37" i="1"/>
  <c r="P36" i="1"/>
  <c r="O36" i="1"/>
  <c r="E36" i="1"/>
  <c r="B36" i="1"/>
  <c r="P35" i="1"/>
  <c r="O35" i="1"/>
  <c r="E35" i="1"/>
  <c r="B35" i="1"/>
  <c r="P34" i="1"/>
  <c r="O34" i="1"/>
  <c r="E34" i="1"/>
  <c r="B34" i="1"/>
  <c r="P33" i="1"/>
  <c r="O33" i="1"/>
  <c r="E33" i="1"/>
  <c r="B33" i="1"/>
  <c r="P32" i="1"/>
  <c r="O32" i="1"/>
  <c r="I32" i="1"/>
  <c r="E32" i="1"/>
  <c r="B32" i="1"/>
  <c r="P31" i="1"/>
  <c r="O31" i="1"/>
  <c r="E31" i="1"/>
  <c r="B31" i="1"/>
  <c r="P30" i="1"/>
  <c r="O30" i="1"/>
  <c r="E30" i="1"/>
  <c r="B30" i="1"/>
  <c r="P29" i="1"/>
  <c r="O29" i="1"/>
  <c r="E29" i="1"/>
  <c r="B29" i="1"/>
  <c r="P28" i="1"/>
  <c r="O28" i="1"/>
  <c r="E28" i="1"/>
  <c r="B28" i="1"/>
  <c r="P27" i="1"/>
  <c r="O27" i="1"/>
  <c r="I27" i="1"/>
  <c r="E27" i="1"/>
  <c r="B27" i="1"/>
  <c r="P26" i="1"/>
  <c r="O26" i="1"/>
  <c r="E26" i="1"/>
  <c r="B26" i="1"/>
  <c r="P25" i="1"/>
  <c r="O25" i="1"/>
  <c r="E25" i="1"/>
  <c r="B25" i="1"/>
  <c r="P24" i="1"/>
  <c r="O24" i="1"/>
  <c r="I24" i="1"/>
  <c r="E24" i="1"/>
  <c r="B24" i="1"/>
  <c r="P23" i="1"/>
  <c r="O23" i="1"/>
  <c r="E23" i="1"/>
  <c r="B23" i="1"/>
  <c r="P22" i="1"/>
  <c r="O22" i="1"/>
  <c r="E22" i="1"/>
  <c r="B22" i="1"/>
  <c r="P21" i="1"/>
  <c r="O21" i="1"/>
  <c r="E21" i="1"/>
  <c r="B21" i="1"/>
  <c r="P20" i="1"/>
  <c r="O20" i="1"/>
  <c r="E20" i="1"/>
  <c r="B20" i="1"/>
  <c r="P19" i="1"/>
  <c r="O19" i="1"/>
  <c r="E19" i="1"/>
  <c r="B19" i="1"/>
  <c r="P18" i="1"/>
  <c r="O18" i="1"/>
  <c r="E18" i="1"/>
  <c r="B18" i="1"/>
  <c r="Q17" i="1"/>
  <c r="P17" i="1"/>
  <c r="O17" i="1"/>
  <c r="E17" i="1"/>
  <c r="B17" i="1"/>
  <c r="Q16" i="1"/>
  <c r="P16" i="1"/>
  <c r="O16" i="1"/>
  <c r="E16" i="1"/>
  <c r="B16" i="1"/>
  <c r="Q15" i="1"/>
  <c r="P15" i="1"/>
  <c r="O15" i="1"/>
  <c r="E15" i="1"/>
  <c r="B15" i="1"/>
  <c r="Q14" i="1"/>
  <c r="P14" i="1"/>
  <c r="O14" i="1"/>
  <c r="E14" i="1"/>
  <c r="B14" i="1"/>
  <c r="Q13" i="1"/>
  <c r="P13" i="1"/>
  <c r="O13" i="1"/>
  <c r="E13" i="1"/>
  <c r="B13" i="1"/>
  <c r="P12" i="1"/>
  <c r="O12" i="1"/>
  <c r="E12" i="1"/>
  <c r="B12" i="1"/>
  <c r="P11" i="1"/>
  <c r="O11" i="1"/>
  <c r="E11" i="1"/>
  <c r="B11" i="1"/>
  <c r="P10" i="1"/>
  <c r="O10" i="1"/>
  <c r="E10" i="1"/>
  <c r="B10" i="1"/>
  <c r="P9" i="1"/>
  <c r="O9" i="1"/>
  <c r="E9" i="1"/>
  <c r="B9" i="1"/>
  <c r="P8" i="1"/>
  <c r="O8" i="1"/>
  <c r="E8" i="1"/>
  <c r="B8" i="1"/>
  <c r="P7" i="1"/>
  <c r="O7" i="1"/>
  <c r="E7" i="1"/>
  <c r="B7" i="1"/>
  <c r="P6" i="1"/>
  <c r="O6" i="1"/>
  <c r="I6" i="1"/>
  <c r="E6" i="1"/>
  <c r="B6" i="1"/>
  <c r="P5" i="1"/>
  <c r="O5" i="1"/>
  <c r="E5" i="1"/>
  <c r="B5" i="1"/>
  <c r="I2" i="1"/>
  <c r="H1" i="1"/>
  <c r="G1" i="1"/>
  <c r="M1" i="1" l="1"/>
  <c r="J652" i="1"/>
  <c r="J721" i="1"/>
  <c r="J288" i="1"/>
  <c r="J1086" i="1"/>
  <c r="J336" i="1"/>
  <c r="I1" i="1"/>
  <c r="L2" i="1" s="1"/>
  <c r="J285" i="1"/>
  <c r="J722" i="1"/>
  <c r="J334" i="1"/>
  <c r="J90" i="1"/>
  <c r="J947" i="1"/>
  <c r="J963" i="1"/>
  <c r="J104" i="1"/>
  <c r="J115" i="1"/>
  <c r="J1030" i="1"/>
  <c r="J1084" i="1"/>
  <c r="J718" i="1"/>
  <c r="J1071" i="1"/>
  <c r="J1080" i="1"/>
  <c r="J967" i="1"/>
  <c r="J1054" i="1"/>
  <c r="J1078" i="1"/>
  <c r="J1089" i="1"/>
  <c r="J1091" i="1"/>
  <c r="F1" i="1"/>
  <c r="J1049" i="1"/>
  <c r="J1056" i="1"/>
  <c r="J959" i="1"/>
  <c r="J961" i="1"/>
  <c r="J1065" i="1"/>
  <c r="I1235" i="1"/>
  <c r="H1236" i="1" s="1"/>
  <c r="J1061" i="1"/>
  <c r="J878" i="1"/>
  <c r="J946" i="1"/>
  <c r="J1050" i="1"/>
  <c r="J1059" i="1"/>
  <c r="J1083" i="1"/>
  <c r="J638" i="1"/>
  <c r="J1022" i="1"/>
  <c r="J280" i="1"/>
  <c r="J1020" i="1"/>
  <c r="J1070" i="1"/>
  <c r="J120" i="1"/>
  <c r="J953" i="1"/>
  <c r="J966" i="1"/>
  <c r="J1077" i="1"/>
  <c r="J1090" i="1"/>
  <c r="J960" i="1"/>
  <c r="J962" i="1"/>
  <c r="J1016" i="1"/>
  <c r="J1064" i="1"/>
  <c r="J885" i="1"/>
  <c r="J990" i="1"/>
  <c r="J1062" i="1"/>
  <c r="J1066" i="1"/>
  <c r="L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Clara Azevedo</author>
  </authors>
  <commentList>
    <comment ref="H4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Esta combinação coperac / conta estava parametrizada para INFORM quando foi feito o registo contabilístico o que significa que o MIS não registou esta comissão porque em tempos se definiu que isto não interessava ao MIS
</t>
        </r>
      </text>
    </comment>
    <comment ref="I9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CC1020 + CC1200 + CC1210</t>
        </r>
      </text>
    </comment>
    <comment ref="I10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MM1021 + MM7200</t>
        </r>
      </text>
    </comment>
    <comment ref="I11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CC1020 + CC1200 + CC1210 </t>
        </r>
      </text>
    </comment>
    <comment ref="I120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CC1020 + CC1200 + CC1210 </t>
        </r>
      </text>
    </comment>
    <comment ref="I17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correcção posterior na contabilidade</t>
        </r>
      </text>
    </comment>
    <comment ref="I177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correcção posterior na Contabilidade</t>
        </r>
      </text>
    </comment>
    <comment ref="I26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Coperac / Conta (CBH/71904017 - EE1310) registos alocados a contratos / clientes que já não estavam no Banco</t>
        </r>
      </text>
    </comment>
    <comment ref="I267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Partenon! Registo do Cash que depois é anulado na periodificação: EE2010 + EE2020</t>
        </r>
      </text>
    </comment>
    <comment ref="I280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Partenon! Registo do Cash que depois é anulado na periodificação: EE2010 + EE2020</t>
        </r>
      </text>
    </comment>
    <comment ref="I28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Partenon! Registo do Cash que depois é anulado na periodificação: EE2110 + EE2120
</t>
        </r>
      </text>
    </comment>
    <comment ref="I288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Partenon! Registo do Cash que depois é anulado na periodificação: EE2110 + EE2120</t>
        </r>
      </text>
    </comment>
    <comment ref="I334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Partenon! Registo do Cash que depois é anulado na periodificação: EE6110 + EE6120</t>
        </r>
      </text>
    </comment>
    <comment ref="I336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Partenon! Registo do Cash que depois é anulado na periodificação: EE6110 + EE6120</t>
        </r>
      </text>
    </comment>
    <comment ref="I543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Em Julho não foi parametrizado e ficou em genéricas - GH4210 + UMCGP0
</t>
        </r>
      </text>
    </comment>
    <comment ref="I638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Partenon! Registo do Cash que depois é anulado na periodificação: JJ5000 + JJ5100</t>
        </r>
      </text>
    </comment>
    <comment ref="I652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Partenon! Registo do Cash que depois é anulado na periodificação: JJ5000 + JJ5100</t>
        </r>
      </text>
    </comment>
    <comment ref="I718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MM1411 + MM1412
</t>
        </r>
      </text>
    </comment>
    <comment ref="I721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MM1411 + MM1412</t>
        </r>
      </text>
    </comment>
    <comment ref="I722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MM1415 + MM1416</t>
        </r>
      </text>
    </comment>
    <comment ref="I726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MM1415 + MM1416</t>
        </r>
      </text>
    </comment>
    <comment ref="I727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MM1431 + MM1432: a diferença corresponde à Irlanda</t>
        </r>
      </text>
    </comment>
    <comment ref="I732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MM1431 + MM1432: a diferença corresponde à Irlanda</t>
        </r>
      </text>
    </comment>
    <comment ref="I830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MM1021 + MM7200</t>
        </r>
      </text>
    </comment>
    <comment ref="I854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MM7961 + MM7962 + MM7963</t>
        </r>
      </text>
    </comment>
    <comment ref="I857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MM7961 + MM7962 + MM7963</t>
        </r>
      </text>
    </comment>
    <comment ref="I858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MM7961 + MM7962 + MM7963</t>
        </r>
      </text>
    </comment>
    <comment ref="I875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SS0100 + SS0111 + SS0121 + SS2300 + SS2301</t>
        </r>
      </text>
    </comment>
    <comment ref="I876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SS0100 + SS0111 + SS0121 + SS2300 + SS2301</t>
        </r>
      </text>
    </comment>
    <comment ref="I877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SS0100 + SS0111 + SS0121 + SS2300 + SS2301 </t>
        </r>
      </text>
    </comment>
    <comment ref="I878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885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946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947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953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959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960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961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962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963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966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967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968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SS0100 + SS0111 + SS0121 + SS1000 + SS2301</t>
        </r>
      </text>
    </comment>
    <comment ref="I987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SS0100 + SS0111 + SS0121 + SS2300 + SS2301</t>
        </r>
      </text>
    </comment>
    <comment ref="I990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16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20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22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30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49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50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54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56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59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61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62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64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65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66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70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71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77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78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80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83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84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86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89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90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91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115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SX1100 + SX1200</t>
        </r>
      </text>
    </comment>
    <comment ref="I1116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SX1100 + SX1200</t>
        </r>
      </text>
    </comment>
    <comment ref="I1233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Em Julho não foi parametrizado e ficou em genéricas - GH4210 + UMCGP0
</t>
        </r>
      </text>
    </comment>
  </commentList>
</comments>
</file>

<file path=xl/sharedStrings.xml><?xml version="1.0" encoding="utf-8"?>
<sst xmlns="http://schemas.openxmlformats.org/spreadsheetml/2006/main" count="4103" uniqueCount="1524">
  <si>
    <t>METACOM</t>
  </si>
  <si>
    <t>COPERAC</t>
  </si>
  <si>
    <t>CONTA</t>
  </si>
  <si>
    <t>CONTA IFRS</t>
  </si>
  <si>
    <t>TOTAL_MIS 2024 Ajustado</t>
  </si>
  <si>
    <t>TOTAL_CONTABILIDADE 2024</t>
  </si>
  <si>
    <t>MIS_vs_CONTABILIDADE</t>
  </si>
  <si>
    <t>Análise</t>
  </si>
  <si>
    <t>Produtos Fora da Contabilidade</t>
  </si>
  <si>
    <t>Valor</t>
  </si>
  <si>
    <t>Classificação Financeiras / Não Financeiras</t>
  </si>
  <si>
    <t>Classe Contas Contabilisticas</t>
  </si>
  <si>
    <t>OREX</t>
  </si>
  <si>
    <t>GG</t>
  </si>
  <si>
    <t>RO</t>
  </si>
  <si>
    <t>Reclassificadas Margem</t>
  </si>
  <si>
    <t>AA1000</t>
  </si>
  <si>
    <t>046</t>
  </si>
  <si>
    <t>825942</t>
  </si>
  <si>
    <t>AA1100</t>
  </si>
  <si>
    <t>24L</t>
  </si>
  <si>
    <t>41H</t>
  </si>
  <si>
    <t>AA1150</t>
  </si>
  <si>
    <t>CTM</t>
  </si>
  <si>
    <t>AA1190</t>
  </si>
  <si>
    <t>2AE</t>
  </si>
  <si>
    <t>825933</t>
  </si>
  <si>
    <t>2AG</t>
  </si>
  <si>
    <t>8NY</t>
  </si>
  <si>
    <t>VFF</t>
  </si>
  <si>
    <t>AA1200</t>
  </si>
  <si>
    <t>!NY</t>
  </si>
  <si>
    <t>89223</t>
  </si>
  <si>
    <t>3EX</t>
  </si>
  <si>
    <t>8NW</t>
  </si>
  <si>
    <t>8P2</t>
  </si>
  <si>
    <t>EX1</t>
  </si>
  <si>
    <t>AA1300</t>
  </si>
  <si>
    <t>!OX</t>
  </si>
  <si>
    <t>825979</t>
  </si>
  <si>
    <t>8NP</t>
  </si>
  <si>
    <t>AVB</t>
  </si>
  <si>
    <t>AA1310</t>
  </si>
  <si>
    <t>3MM</t>
  </si>
  <si>
    <t>825949</t>
  </si>
  <si>
    <t>3MN</t>
  </si>
  <si>
    <t>3MO</t>
  </si>
  <si>
    <t>AA1410</t>
  </si>
  <si>
    <t>23L</t>
  </si>
  <si>
    <t>825946</t>
  </si>
  <si>
    <t>23O</t>
  </si>
  <si>
    <t>CTP</t>
  </si>
  <si>
    <t>AA1420</t>
  </si>
  <si>
    <t>!PE</t>
  </si>
  <si>
    <t>825943</t>
  </si>
  <si>
    <t>23K</t>
  </si>
  <si>
    <t>23R</t>
  </si>
  <si>
    <t>EGE</t>
  </si>
  <si>
    <t>AA1431</t>
  </si>
  <si>
    <t>BBE</t>
  </si>
  <si>
    <t>71904011</t>
  </si>
  <si>
    <t>AA1432</t>
  </si>
  <si>
    <t>BBB</t>
  </si>
  <si>
    <t>71904010</t>
  </si>
  <si>
    <t>BBC</t>
  </si>
  <si>
    <t>71904013</t>
  </si>
  <si>
    <t>BBX</t>
  </si>
  <si>
    <t>ONL</t>
  </si>
  <si>
    <t>AA1433</t>
  </si>
  <si>
    <t>S9K</t>
  </si>
  <si>
    <t>71904015</t>
  </si>
  <si>
    <t>AA1434</t>
  </si>
  <si>
    <t>BBI</t>
  </si>
  <si>
    <t>71904018</t>
  </si>
  <si>
    <t>AA1480</t>
  </si>
  <si>
    <t>LD6</t>
  </si>
  <si>
    <t>8251212</t>
  </si>
  <si>
    <t>AA1490</t>
  </si>
  <si>
    <t>!67</t>
  </si>
  <si>
    <t>825945</t>
  </si>
  <si>
    <t>38A</t>
  </si>
  <si>
    <t>71904081</t>
  </si>
  <si>
    <t>L01</t>
  </si>
  <si>
    <t>71904070</t>
  </si>
  <si>
    <t/>
  </si>
  <si>
    <t>71904080</t>
  </si>
  <si>
    <t>71909</t>
  </si>
  <si>
    <t>NRJ</t>
  </si>
  <si>
    <t>OF9</t>
  </si>
  <si>
    <t>71904082</t>
  </si>
  <si>
    <t>AA2000</t>
  </si>
  <si>
    <t>42A</t>
  </si>
  <si>
    <t>825970</t>
  </si>
  <si>
    <t>4LD</t>
  </si>
  <si>
    <t>EAD</t>
  </si>
  <si>
    <t>AA2100</t>
  </si>
  <si>
    <t>!91</t>
  </si>
  <si>
    <t>825972</t>
  </si>
  <si>
    <t>825976</t>
  </si>
  <si>
    <t>8NQ</t>
  </si>
  <si>
    <t>8NR</t>
  </si>
  <si>
    <t>8NV</t>
  </si>
  <si>
    <t>D8C</t>
  </si>
  <si>
    <t>AA2200</t>
  </si>
  <si>
    <t>!YM</t>
  </si>
  <si>
    <t>825975</t>
  </si>
  <si>
    <t>8NU</t>
  </si>
  <si>
    <t>AA2290</t>
  </si>
  <si>
    <t>!NC</t>
  </si>
  <si>
    <t>8259412</t>
  </si>
  <si>
    <t>8NX</t>
  </si>
  <si>
    <t>EEE</t>
  </si>
  <si>
    <t>AA2300</t>
  </si>
  <si>
    <t>257</t>
  </si>
  <si>
    <t>77961</t>
  </si>
  <si>
    <t>491</t>
  </si>
  <si>
    <t>825974</t>
  </si>
  <si>
    <t>ALH</t>
  </si>
  <si>
    <t>89341</t>
  </si>
  <si>
    <t>CCD</t>
  </si>
  <si>
    <t>8995</t>
  </si>
  <si>
    <t>JNC</t>
  </si>
  <si>
    <t>825978</t>
  </si>
  <si>
    <t>71615</t>
  </si>
  <si>
    <t>AA3000</t>
  </si>
  <si>
    <t>!MN</t>
  </si>
  <si>
    <t>518510</t>
  </si>
  <si>
    <t>!NB</t>
  </si>
  <si>
    <t>8259411</t>
  </si>
  <si>
    <t>23S</t>
  </si>
  <si>
    <t>AA3001</t>
  </si>
  <si>
    <t>VE4</t>
  </si>
  <si>
    <t>VEJ</t>
  </si>
  <si>
    <t>AA3002</t>
  </si>
  <si>
    <t>!75</t>
  </si>
  <si>
    <t>825944</t>
  </si>
  <si>
    <t>AA3100</t>
  </si>
  <si>
    <t>!71</t>
  </si>
  <si>
    <t>!CY</t>
  </si>
  <si>
    <t>579910324</t>
  </si>
  <si>
    <t>244</t>
  </si>
  <si>
    <t>JUE</t>
  </si>
  <si>
    <t>AA3101</t>
  </si>
  <si>
    <t>VEF</t>
  </si>
  <si>
    <t>VEK</t>
  </si>
  <si>
    <t>CC1010</t>
  </si>
  <si>
    <t>S7S</t>
  </si>
  <si>
    <t>82590020</t>
  </si>
  <si>
    <t>SQ1</t>
  </si>
  <si>
    <t>SQG</t>
  </si>
  <si>
    <t>YAB</t>
  </si>
  <si>
    <t>YEW</t>
  </si>
  <si>
    <t>CC1020</t>
  </si>
  <si>
    <t>111</t>
  </si>
  <si>
    <t>MV1</t>
  </si>
  <si>
    <t>82590021</t>
  </si>
  <si>
    <t>8255</t>
  </si>
  <si>
    <t>S72</t>
  </si>
  <si>
    <t>7169002</t>
  </si>
  <si>
    <t>S7L</t>
  </si>
  <si>
    <t>SH6</t>
  </si>
  <si>
    <t>Y82</t>
  </si>
  <si>
    <t>YAF</t>
  </si>
  <si>
    <t>YDJ</t>
  </si>
  <si>
    <t>YDK</t>
  </si>
  <si>
    <t>YDN</t>
  </si>
  <si>
    <t>YDO</t>
  </si>
  <si>
    <t>YDS</t>
  </si>
  <si>
    <t>YDT</t>
  </si>
  <si>
    <t>CC1021</t>
  </si>
  <si>
    <t>DBR</t>
  </si>
  <si>
    <t>YDI</t>
  </si>
  <si>
    <t>YDR</t>
  </si>
  <si>
    <t>YEC</t>
  </si>
  <si>
    <t>8259009</t>
  </si>
  <si>
    <t>YED</t>
  </si>
  <si>
    <t>CC1022</t>
  </si>
  <si>
    <t>REG</t>
  </si>
  <si>
    <t>825902</t>
  </si>
  <si>
    <t>SJT</t>
  </si>
  <si>
    <t>CC1111</t>
  </si>
  <si>
    <t>ESX</t>
  </si>
  <si>
    <t>82561</t>
  </si>
  <si>
    <t>TXC</t>
  </si>
  <si>
    <t>Y86</t>
  </si>
  <si>
    <t>82563</t>
  </si>
  <si>
    <t>YHE</t>
  </si>
  <si>
    <t>CC1200</t>
  </si>
  <si>
    <t>YGO</t>
  </si>
  <si>
    <t>CC1201</t>
  </si>
  <si>
    <t>YGP</t>
  </si>
  <si>
    <t>CC1210</t>
  </si>
  <si>
    <t>MA1</t>
  </si>
  <si>
    <t>MV8</t>
  </si>
  <si>
    <t>YEA</t>
  </si>
  <si>
    <t>CC1212</t>
  </si>
  <si>
    <t>MV7</t>
  </si>
  <si>
    <t>YEB</t>
  </si>
  <si>
    <t>CC1220</t>
  </si>
  <si>
    <t>MRH</t>
  </si>
  <si>
    <t>825901</t>
  </si>
  <si>
    <t>CC1310</t>
  </si>
  <si>
    <t>S7N</t>
  </si>
  <si>
    <t>82560</t>
  </si>
  <si>
    <t>YAZ</t>
  </si>
  <si>
    <t>CC1311</t>
  </si>
  <si>
    <t>SC9</t>
  </si>
  <si>
    <t>Y22</t>
  </si>
  <si>
    <t>CC1312</t>
  </si>
  <si>
    <t>Y88</t>
  </si>
  <si>
    <t>Y8A</t>
  </si>
  <si>
    <t>Y8C</t>
  </si>
  <si>
    <t>CC1320</t>
  </si>
  <si>
    <t>ELN</t>
  </si>
  <si>
    <t>8921</t>
  </si>
  <si>
    <t>YIL</t>
  </si>
  <si>
    <t>CC1330</t>
  </si>
  <si>
    <t>SJV</t>
  </si>
  <si>
    <t>SJW</t>
  </si>
  <si>
    <t>CC1351</t>
  </si>
  <si>
    <t>SRI</t>
  </si>
  <si>
    <t>CC1410</t>
  </si>
  <si>
    <t>X11</t>
  </si>
  <si>
    <t>7169000</t>
  </si>
  <si>
    <t>YDC</t>
  </si>
  <si>
    <t>CC1420</t>
  </si>
  <si>
    <t>X12</t>
  </si>
  <si>
    <t>7169001</t>
  </si>
  <si>
    <t>YDE</t>
  </si>
  <si>
    <t>YDF</t>
  </si>
  <si>
    <t>YGM</t>
  </si>
  <si>
    <t>CC1430</t>
  </si>
  <si>
    <t>YCY</t>
  </si>
  <si>
    <t>YDD</t>
  </si>
  <si>
    <t>YDG</t>
  </si>
  <si>
    <t>YDP</t>
  </si>
  <si>
    <t>YDQ</t>
  </si>
  <si>
    <t>YDV</t>
  </si>
  <si>
    <t>YG3</t>
  </si>
  <si>
    <t>CC1440</t>
  </si>
  <si>
    <t>7169500</t>
  </si>
  <si>
    <t>CC1525</t>
  </si>
  <si>
    <t>BBN</t>
  </si>
  <si>
    <t>71904020</t>
  </si>
  <si>
    <t>BBO</t>
  </si>
  <si>
    <t>Y8N</t>
  </si>
  <si>
    <t>71904021</t>
  </si>
  <si>
    <t>CC1540</t>
  </si>
  <si>
    <t>7169012</t>
  </si>
  <si>
    <t>YK2</t>
  </si>
  <si>
    <t>YK7</t>
  </si>
  <si>
    <t>CC1546</t>
  </si>
  <si>
    <t>BBG</t>
  </si>
  <si>
    <t>71904012</t>
  </si>
  <si>
    <t>CC1547</t>
  </si>
  <si>
    <t>BBP</t>
  </si>
  <si>
    <t>71904014</t>
  </si>
  <si>
    <t>CC155A</t>
  </si>
  <si>
    <t>7169010</t>
  </si>
  <si>
    <t>CC155B</t>
  </si>
  <si>
    <t>7169011</t>
  </si>
  <si>
    <t>CC1560</t>
  </si>
  <si>
    <t>719044</t>
  </si>
  <si>
    <t>S8S</t>
  </si>
  <si>
    <t>CC1565</t>
  </si>
  <si>
    <t>719400</t>
  </si>
  <si>
    <t>719403</t>
  </si>
  <si>
    <t>CC1568</t>
  </si>
  <si>
    <t>7169014</t>
  </si>
  <si>
    <t>CC1570</t>
  </si>
  <si>
    <t>71696</t>
  </si>
  <si>
    <t>CC1580</t>
  </si>
  <si>
    <t>7190640</t>
  </si>
  <si>
    <t>CC1600</t>
  </si>
  <si>
    <t>779811</t>
  </si>
  <si>
    <t>89811</t>
  </si>
  <si>
    <t>S7P</t>
  </si>
  <si>
    <t>SQT</t>
  </si>
  <si>
    <t>SQU</t>
  </si>
  <si>
    <t>SQX</t>
  </si>
  <si>
    <t>YAW</t>
  </si>
  <si>
    <t>YEI</t>
  </si>
  <si>
    <t>YFF</t>
  </si>
  <si>
    <t>YFH</t>
  </si>
  <si>
    <t>77940</t>
  </si>
  <si>
    <t>YHJ</t>
  </si>
  <si>
    <t>YHK</t>
  </si>
  <si>
    <t>YHN</t>
  </si>
  <si>
    <t>CC1700</t>
  </si>
  <si>
    <t>SCQ</t>
  </si>
  <si>
    <t>CC1800</t>
  </si>
  <si>
    <t>7169009</t>
  </si>
  <si>
    <t>716951</t>
  </si>
  <si>
    <t>RBE</t>
  </si>
  <si>
    <t>89990</t>
  </si>
  <si>
    <t>YA2</t>
  </si>
  <si>
    <t>CC1810</t>
  </si>
  <si>
    <t>Y33</t>
  </si>
  <si>
    <t>Y49</t>
  </si>
  <si>
    <t>CC1950</t>
  </si>
  <si>
    <t>Y8J</t>
  </si>
  <si>
    <t>825905</t>
  </si>
  <si>
    <t>YE2</t>
  </si>
  <si>
    <t>YE4</t>
  </si>
  <si>
    <t>YE6</t>
  </si>
  <si>
    <t>YE8</t>
  </si>
  <si>
    <t>CC2000</t>
  </si>
  <si>
    <t>X21</t>
  </si>
  <si>
    <t>8259005</t>
  </si>
  <si>
    <t>X22</t>
  </si>
  <si>
    <t>YER</t>
  </si>
  <si>
    <t>YES</t>
  </si>
  <si>
    <t>YET</t>
  </si>
  <si>
    <t>CC2100</t>
  </si>
  <si>
    <t>8936</t>
  </si>
  <si>
    <t>MAA</t>
  </si>
  <si>
    <t>CC2200</t>
  </si>
  <si>
    <t>7794110</t>
  </si>
  <si>
    <t>779540</t>
  </si>
  <si>
    <t>YA5</t>
  </si>
  <si>
    <t>CC2300</t>
  </si>
  <si>
    <t>7794100</t>
  </si>
  <si>
    <t>7794101</t>
  </si>
  <si>
    <t>7794102</t>
  </si>
  <si>
    <t>CC3000</t>
  </si>
  <si>
    <t>00N</t>
  </si>
  <si>
    <t>89940</t>
  </si>
  <si>
    <t>8298</t>
  </si>
  <si>
    <t>EYL</t>
  </si>
  <si>
    <t>YL2</t>
  </si>
  <si>
    <t>YLL</t>
  </si>
  <si>
    <t>YLY</t>
  </si>
  <si>
    <t>YM1</t>
  </si>
  <si>
    <t>YM3</t>
  </si>
  <si>
    <t>CC3001</t>
  </si>
  <si>
    <t>MVA</t>
  </si>
  <si>
    <t>CC3002</t>
  </si>
  <si>
    <t>CC3052</t>
  </si>
  <si>
    <t>7169501</t>
  </si>
  <si>
    <t>CC3071</t>
  </si>
  <si>
    <t>YG9</t>
  </si>
  <si>
    <t>89941</t>
  </si>
  <si>
    <t>CC3072</t>
  </si>
  <si>
    <t>G90</t>
  </si>
  <si>
    <t>NET</t>
  </si>
  <si>
    <t>GNE</t>
  </si>
  <si>
    <t>GetNet 90%</t>
  </si>
  <si>
    <t>CC3100</t>
  </si>
  <si>
    <t>716902</t>
  </si>
  <si>
    <t>CCC000</t>
  </si>
  <si>
    <t>S2B</t>
  </si>
  <si>
    <t>SQZ</t>
  </si>
  <si>
    <t>SRB</t>
  </si>
  <si>
    <t>CCC001</t>
  </si>
  <si>
    <t>YZZ</t>
  </si>
  <si>
    <t>EE1000</t>
  </si>
  <si>
    <t>610</t>
  </si>
  <si>
    <t>8259100</t>
  </si>
  <si>
    <t>6AT</t>
  </si>
  <si>
    <t>6EM</t>
  </si>
  <si>
    <t>856</t>
  </si>
  <si>
    <t>EE1100</t>
  </si>
  <si>
    <t>!64</t>
  </si>
  <si>
    <t>6IA</t>
  </si>
  <si>
    <t>82591720</t>
  </si>
  <si>
    <t>6IL</t>
  </si>
  <si>
    <t>6IR</t>
  </si>
  <si>
    <t>ANB</t>
  </si>
  <si>
    <t>ANE</t>
  </si>
  <si>
    <t>EE1210</t>
  </si>
  <si>
    <t>6MA</t>
  </si>
  <si>
    <t>8259102</t>
  </si>
  <si>
    <t>EE1220</t>
  </si>
  <si>
    <t>6IY</t>
  </si>
  <si>
    <t>EE1310</t>
  </si>
  <si>
    <t>CBH</t>
  </si>
  <si>
    <t>71904017</t>
  </si>
  <si>
    <t>EE1320</t>
  </si>
  <si>
    <t>BHP</t>
  </si>
  <si>
    <t>EE1500</t>
  </si>
  <si>
    <t>825936</t>
  </si>
  <si>
    <t>8NZ</t>
  </si>
  <si>
    <t>825931</t>
  </si>
  <si>
    <t>A7B</t>
  </si>
  <si>
    <t>EE2010</t>
  </si>
  <si>
    <t>!D3</t>
  </si>
  <si>
    <t>5499641</t>
  </si>
  <si>
    <t>!JI</t>
  </si>
  <si>
    <t>5499630</t>
  </si>
  <si>
    <t>!PD</t>
  </si>
  <si>
    <t>8NT</t>
  </si>
  <si>
    <t>A76</t>
  </si>
  <si>
    <t>A77</t>
  </si>
  <si>
    <t>XWX</t>
  </si>
  <si>
    <t>XWZ</t>
  </si>
  <si>
    <t>EE2011</t>
  </si>
  <si>
    <t>VE2</t>
  </si>
  <si>
    <t>VEH</t>
  </si>
  <si>
    <t>EE2020</t>
  </si>
  <si>
    <t>!PC</t>
  </si>
  <si>
    <t>EE2021</t>
  </si>
  <si>
    <t>VE3</t>
  </si>
  <si>
    <t>VEI</t>
  </si>
  <si>
    <t>EE2110</t>
  </si>
  <si>
    <t>!JK</t>
  </si>
  <si>
    <t>5499631</t>
  </si>
  <si>
    <t>23D</t>
  </si>
  <si>
    <t>825930</t>
  </si>
  <si>
    <t>853</t>
  </si>
  <si>
    <t>EE2120</t>
  </si>
  <si>
    <t>!93</t>
  </si>
  <si>
    <t>EE2200</t>
  </si>
  <si>
    <t>!72</t>
  </si>
  <si>
    <t>825932</t>
  </si>
  <si>
    <t>!CZ</t>
  </si>
  <si>
    <t>579910322</t>
  </si>
  <si>
    <t>8NS</t>
  </si>
  <si>
    <t>EE2201</t>
  </si>
  <si>
    <t>VE1</t>
  </si>
  <si>
    <t>VEG</t>
  </si>
  <si>
    <t>EE2300</t>
  </si>
  <si>
    <t>71990</t>
  </si>
  <si>
    <t>A7A</t>
  </si>
  <si>
    <t>XTP</t>
  </si>
  <si>
    <t>EE3000</t>
  </si>
  <si>
    <t>!N8</t>
  </si>
  <si>
    <t>8259140</t>
  </si>
  <si>
    <t>675</t>
  </si>
  <si>
    <t>677</t>
  </si>
  <si>
    <t>8NK</t>
  </si>
  <si>
    <t>EE4000</t>
  </si>
  <si>
    <t>!N9</t>
  </si>
  <si>
    <t>825919</t>
  </si>
  <si>
    <t>!NA</t>
  </si>
  <si>
    <t>614</t>
  </si>
  <si>
    <t>82591721</t>
  </si>
  <si>
    <t>8NJ</t>
  </si>
  <si>
    <t>BB5</t>
  </si>
  <si>
    <t>CRR</t>
  </si>
  <si>
    <t>EE5111</t>
  </si>
  <si>
    <t>E3X</t>
  </si>
  <si>
    <t>8251000</t>
  </si>
  <si>
    <t>EF1</t>
  </si>
  <si>
    <t>825101</t>
  </si>
  <si>
    <t>EF2</t>
  </si>
  <si>
    <t>EE5112</t>
  </si>
  <si>
    <t>E3N</t>
  </si>
  <si>
    <t>EE5120</t>
  </si>
  <si>
    <t>E6F</t>
  </si>
  <si>
    <t>8251001</t>
  </si>
  <si>
    <t>EE5130</t>
  </si>
  <si>
    <t>DEF</t>
  </si>
  <si>
    <t>825920</t>
  </si>
  <si>
    <t>825921</t>
  </si>
  <si>
    <t>EF3</t>
  </si>
  <si>
    <t>EF4</t>
  </si>
  <si>
    <t>7169502</t>
  </si>
  <si>
    <t>779501</t>
  </si>
  <si>
    <t>77951</t>
  </si>
  <si>
    <t>TL5</t>
  </si>
  <si>
    <t>TL6</t>
  </si>
  <si>
    <t>89343</t>
  </si>
  <si>
    <t>EE5210</t>
  </si>
  <si>
    <t>E3J</t>
  </si>
  <si>
    <t>8251002</t>
  </si>
  <si>
    <t>E3M</t>
  </si>
  <si>
    <t>EE5220</t>
  </si>
  <si>
    <t>EE6110</t>
  </si>
  <si>
    <t>!JM</t>
  </si>
  <si>
    <t>5499605</t>
  </si>
  <si>
    <t>5499606</t>
  </si>
  <si>
    <t>EE6120</t>
  </si>
  <si>
    <t>!A3</t>
  </si>
  <si>
    <t>82000</t>
  </si>
  <si>
    <t>82005</t>
  </si>
  <si>
    <t>82006</t>
  </si>
  <si>
    <t>EE6200</t>
  </si>
  <si>
    <t>!65</t>
  </si>
  <si>
    <t>!GL</t>
  </si>
  <si>
    <t>89354</t>
  </si>
  <si>
    <t>!O6</t>
  </si>
  <si>
    <t>!OA</t>
  </si>
  <si>
    <t>82004</t>
  </si>
  <si>
    <t>!OB</t>
  </si>
  <si>
    <t>041</t>
  </si>
  <si>
    <t>7100</t>
  </si>
  <si>
    <t>8MX</t>
  </si>
  <si>
    <t>8NI</t>
  </si>
  <si>
    <t>CAC</t>
  </si>
  <si>
    <t>ODX</t>
  </si>
  <si>
    <t>EE7210</t>
  </si>
  <si>
    <t>JOP</t>
  </si>
  <si>
    <t>SCH</t>
  </si>
  <si>
    <t>Factoring &amp; Leasing</t>
  </si>
  <si>
    <t>EE7221</t>
  </si>
  <si>
    <t>CGA</t>
  </si>
  <si>
    <t>CGX</t>
  </si>
  <si>
    <t>EE7222</t>
  </si>
  <si>
    <t>CTT</t>
  </si>
  <si>
    <t>POR</t>
  </si>
  <si>
    <t>EE7223</t>
  </si>
  <si>
    <t>NDR</t>
  </si>
  <si>
    <t>PEN</t>
  </si>
  <si>
    <t>PER</t>
  </si>
  <si>
    <t>RC1</t>
  </si>
  <si>
    <t>RSC</t>
  </si>
  <si>
    <t>EE7224</t>
  </si>
  <si>
    <t>ANS</t>
  </si>
  <si>
    <t>ATS</t>
  </si>
  <si>
    <t>CPC</t>
  </si>
  <si>
    <t>DFI</t>
  </si>
  <si>
    <t>NIB</t>
  </si>
  <si>
    <t>SVV</t>
  </si>
  <si>
    <t>EE7231</t>
  </si>
  <si>
    <t>DIN</t>
  </si>
  <si>
    <t>EE7232</t>
  </si>
  <si>
    <t>DRR</t>
  </si>
  <si>
    <t>INC</t>
  </si>
  <si>
    <t>EE7241</t>
  </si>
  <si>
    <t>AVA</t>
  </si>
  <si>
    <t>EE7242</t>
  </si>
  <si>
    <t>SL2</t>
  </si>
  <si>
    <t>SL3</t>
  </si>
  <si>
    <t>SL4</t>
  </si>
  <si>
    <t>SL5</t>
  </si>
  <si>
    <t>SL7</t>
  </si>
  <si>
    <t>EE7243</t>
  </si>
  <si>
    <t>CAD</t>
  </si>
  <si>
    <t>DCM</t>
  </si>
  <si>
    <t>DIV</t>
  </si>
  <si>
    <t>EE7251</t>
  </si>
  <si>
    <t>SB0</t>
  </si>
  <si>
    <t>EE7252</t>
  </si>
  <si>
    <t>SO1</t>
  </si>
  <si>
    <t>EE7253</t>
  </si>
  <si>
    <t>SCR</t>
  </si>
  <si>
    <t>EE7254</t>
  </si>
  <si>
    <t>SD0</t>
  </si>
  <si>
    <t>SN9</t>
  </si>
  <si>
    <t>EE7255</t>
  </si>
  <si>
    <t>SI4</t>
  </si>
  <si>
    <t>SK8</t>
  </si>
  <si>
    <t>EE7258</t>
  </si>
  <si>
    <t>SA1</t>
  </si>
  <si>
    <t>SA2</t>
  </si>
  <si>
    <t>SA5</t>
  </si>
  <si>
    <t>SA7</t>
  </si>
  <si>
    <t>SA8</t>
  </si>
  <si>
    <t>SC7</t>
  </si>
  <si>
    <t>SC8</t>
  </si>
  <si>
    <t>SM9</t>
  </si>
  <si>
    <t>SN1</t>
  </si>
  <si>
    <t>EE725A</t>
  </si>
  <si>
    <t>SA0</t>
  </si>
  <si>
    <t>SA9</t>
  </si>
  <si>
    <t>SB1</t>
  </si>
  <si>
    <t>SD6</t>
  </si>
  <si>
    <t>SN7</t>
  </si>
  <si>
    <t>SQ2</t>
  </si>
  <si>
    <t>EE7261</t>
  </si>
  <si>
    <t>QPI</t>
  </si>
  <si>
    <t>8259570</t>
  </si>
  <si>
    <t>8259572</t>
  </si>
  <si>
    <t>EE7265</t>
  </si>
  <si>
    <t>EJC</t>
  </si>
  <si>
    <t>82595503</t>
  </si>
  <si>
    <t>SN2</t>
  </si>
  <si>
    <t>EE7266</t>
  </si>
  <si>
    <t>QEB</t>
  </si>
  <si>
    <t>FCS</t>
  </si>
  <si>
    <t>Double Accounting Confirming</t>
  </si>
  <si>
    <t>EE7267</t>
  </si>
  <si>
    <t>QE1</t>
  </si>
  <si>
    <t>EE7268</t>
  </si>
  <si>
    <t>QE2</t>
  </si>
  <si>
    <t>QEM</t>
  </si>
  <si>
    <t>EE726B</t>
  </si>
  <si>
    <t>QEQ</t>
  </si>
  <si>
    <t>8259571</t>
  </si>
  <si>
    <t>8259573</t>
  </si>
  <si>
    <t>EE726C</t>
  </si>
  <si>
    <t>QPC</t>
  </si>
  <si>
    <t>EE726D</t>
  </si>
  <si>
    <t>QHB</t>
  </si>
  <si>
    <t>719032</t>
  </si>
  <si>
    <t>719033</t>
  </si>
  <si>
    <t>QPF</t>
  </si>
  <si>
    <t>EE726X</t>
  </si>
  <si>
    <t>QPH</t>
  </si>
  <si>
    <t>EE726Y</t>
  </si>
  <si>
    <t>QPP</t>
  </si>
  <si>
    <t>EE727B</t>
  </si>
  <si>
    <t>71906300</t>
  </si>
  <si>
    <t>EE727E</t>
  </si>
  <si>
    <t>71906310</t>
  </si>
  <si>
    <t>EE8000</t>
  </si>
  <si>
    <t>82599</t>
  </si>
  <si>
    <t>611</t>
  </si>
  <si>
    <t>APG</t>
  </si>
  <si>
    <t>CAG</t>
  </si>
  <si>
    <t>LRA</t>
  </si>
  <si>
    <t>779900</t>
  </si>
  <si>
    <t>EE9000</t>
  </si>
  <si>
    <t>C0K</t>
  </si>
  <si>
    <t>EE9040</t>
  </si>
  <si>
    <t>C0O</t>
  </si>
  <si>
    <t>GH1010</t>
  </si>
  <si>
    <t>!YC</t>
  </si>
  <si>
    <t>82591420</t>
  </si>
  <si>
    <t>61A</t>
  </si>
  <si>
    <t>6PR</t>
  </si>
  <si>
    <t>GH1020</t>
  </si>
  <si>
    <t>6IE</t>
  </si>
  <si>
    <t>GH1110</t>
  </si>
  <si>
    <t>82591450</t>
  </si>
  <si>
    <t>61D</t>
  </si>
  <si>
    <t>871</t>
  </si>
  <si>
    <t>GH1120</t>
  </si>
  <si>
    <t>6IF</t>
  </si>
  <si>
    <t>ANC</t>
  </si>
  <si>
    <t>ANF</t>
  </si>
  <si>
    <t>GH1200</t>
  </si>
  <si>
    <t>61S</t>
  </si>
  <si>
    <t>8259143</t>
  </si>
  <si>
    <t>874</t>
  </si>
  <si>
    <t>GH2000</t>
  </si>
  <si>
    <t>61K</t>
  </si>
  <si>
    <t>8259101</t>
  </si>
  <si>
    <t>67N</t>
  </si>
  <si>
    <t>825916</t>
  </si>
  <si>
    <t>67P</t>
  </si>
  <si>
    <t>825915</t>
  </si>
  <si>
    <t>GH2210</t>
  </si>
  <si>
    <t>67W</t>
  </si>
  <si>
    <t>H90</t>
  </si>
  <si>
    <t>825911</t>
  </si>
  <si>
    <t>GH2221</t>
  </si>
  <si>
    <t>67X</t>
  </si>
  <si>
    <t>8259170</t>
  </si>
  <si>
    <t>GH2231</t>
  </si>
  <si>
    <t>67Z</t>
  </si>
  <si>
    <t>GH2310</t>
  </si>
  <si>
    <t>60L</t>
  </si>
  <si>
    <t>67R</t>
  </si>
  <si>
    <t>GH2320</t>
  </si>
  <si>
    <t>6IH</t>
  </si>
  <si>
    <t>GH2410</t>
  </si>
  <si>
    <t>6PL</t>
  </si>
  <si>
    <t>GH2420</t>
  </si>
  <si>
    <t>6II</t>
  </si>
  <si>
    <t>GH2600</t>
  </si>
  <si>
    <t>IF6</t>
  </si>
  <si>
    <t>GH3010</t>
  </si>
  <si>
    <t>61V</t>
  </si>
  <si>
    <t>82591460</t>
  </si>
  <si>
    <t>GH3020</t>
  </si>
  <si>
    <t>6IG</t>
  </si>
  <si>
    <t>GH3100</t>
  </si>
  <si>
    <t>6DC</t>
  </si>
  <si>
    <t>CCW</t>
  </si>
  <si>
    <t>GH3200</t>
  </si>
  <si>
    <t>612</t>
  </si>
  <si>
    <t>6FX</t>
  </si>
  <si>
    <t>862</t>
  </si>
  <si>
    <t>8NL</t>
  </si>
  <si>
    <t>DAU</t>
  </si>
  <si>
    <t>LQA</t>
  </si>
  <si>
    <t>GH3300</t>
  </si>
  <si>
    <t>6TD</t>
  </si>
  <si>
    <t>GH3410</t>
  </si>
  <si>
    <t>!N7</t>
  </si>
  <si>
    <t>82591200</t>
  </si>
  <si>
    <t>613</t>
  </si>
  <si>
    <t>GH3510</t>
  </si>
  <si>
    <t>8259130</t>
  </si>
  <si>
    <t>6PH</t>
  </si>
  <si>
    <t>CAL</t>
  </si>
  <si>
    <t>GH3520</t>
  </si>
  <si>
    <t>6IC</t>
  </si>
  <si>
    <t>GH4001</t>
  </si>
  <si>
    <t>718900</t>
  </si>
  <si>
    <t>718902</t>
  </si>
  <si>
    <t>718909</t>
  </si>
  <si>
    <t>GH4002</t>
  </si>
  <si>
    <t>HNC</t>
  </si>
  <si>
    <t>718913</t>
  </si>
  <si>
    <t>HNS</t>
  </si>
  <si>
    <t>718912</t>
  </si>
  <si>
    <t>IDR</t>
  </si>
  <si>
    <t>IHS</t>
  </si>
  <si>
    <t>IPR</t>
  </si>
  <si>
    <t>GH410A</t>
  </si>
  <si>
    <t>719000</t>
  </si>
  <si>
    <t>719003</t>
  </si>
  <si>
    <t>719004</t>
  </si>
  <si>
    <t>VI1</t>
  </si>
  <si>
    <t>VI4</t>
  </si>
  <si>
    <t>VI8</t>
  </si>
  <si>
    <t>VI9</t>
  </si>
  <si>
    <t>GH410B</t>
  </si>
  <si>
    <t>719001</t>
  </si>
  <si>
    <t>719002</t>
  </si>
  <si>
    <t>VI6</t>
  </si>
  <si>
    <t>GH411A</t>
  </si>
  <si>
    <t>7190600</t>
  </si>
  <si>
    <t>GH412A</t>
  </si>
  <si>
    <t>7190610</t>
  </si>
  <si>
    <t>GH4210</t>
  </si>
  <si>
    <t>!MF</t>
  </si>
  <si>
    <t>7190420</t>
  </si>
  <si>
    <t>181</t>
  </si>
  <si>
    <t>6AX</t>
  </si>
  <si>
    <t>6PV</t>
  </si>
  <si>
    <t>6TR</t>
  </si>
  <si>
    <t>DPF</t>
  </si>
  <si>
    <t>GH4220</t>
  </si>
  <si>
    <t>6MP</t>
  </si>
  <si>
    <t>7190423</t>
  </si>
  <si>
    <t>6VV</t>
  </si>
  <si>
    <t>GH5100</t>
  </si>
  <si>
    <t>6DE</t>
  </si>
  <si>
    <t>858</t>
  </si>
  <si>
    <t>89351</t>
  </si>
  <si>
    <t>N62</t>
  </si>
  <si>
    <t>77965</t>
  </si>
  <si>
    <t>RCS</t>
  </si>
  <si>
    <t>GH5990</t>
  </si>
  <si>
    <t>GH5996</t>
  </si>
  <si>
    <t>719402</t>
  </si>
  <si>
    <t>GH5997</t>
  </si>
  <si>
    <t>719405</t>
  </si>
  <si>
    <t>GH599B</t>
  </si>
  <si>
    <t>71894</t>
  </si>
  <si>
    <t>JJ1000</t>
  </si>
  <si>
    <t>!GK</t>
  </si>
  <si>
    <t>89342</t>
  </si>
  <si>
    <t>!OE</t>
  </si>
  <si>
    <t>82540</t>
  </si>
  <si>
    <t>217</t>
  </si>
  <si>
    <t>8MZ</t>
  </si>
  <si>
    <t>8NM</t>
  </si>
  <si>
    <t>OE2</t>
  </si>
  <si>
    <t>RQ7</t>
  </si>
  <si>
    <t>89340</t>
  </si>
  <si>
    <t>RQ8</t>
  </si>
  <si>
    <t>RRD</t>
  </si>
  <si>
    <t>RRT</t>
  </si>
  <si>
    <t>UP8</t>
  </si>
  <si>
    <t>JJ1100</t>
  </si>
  <si>
    <t>!AK</t>
  </si>
  <si>
    <t>8251202</t>
  </si>
  <si>
    <t>8N7</t>
  </si>
  <si>
    <t>TAN</t>
  </si>
  <si>
    <t>71691</t>
  </si>
  <si>
    <t>TAR</t>
  </si>
  <si>
    <t>TBA</t>
  </si>
  <si>
    <t>89308</t>
  </si>
  <si>
    <t>TBN</t>
  </si>
  <si>
    <t>TBP</t>
  </si>
  <si>
    <t>UTB</t>
  </si>
  <si>
    <t>JJ1200</t>
  </si>
  <si>
    <t>EX8</t>
  </si>
  <si>
    <t>8251203</t>
  </si>
  <si>
    <t>EXS</t>
  </si>
  <si>
    <t>IS7</t>
  </si>
  <si>
    <t>ITS</t>
  </si>
  <si>
    <t>IXX</t>
  </si>
  <si>
    <t>NRS</t>
  </si>
  <si>
    <t>JJ2000</t>
  </si>
  <si>
    <t>A1B</t>
  </si>
  <si>
    <t>825112</t>
  </si>
  <si>
    <t>A1C</t>
  </si>
  <si>
    <t>825113</t>
  </si>
  <si>
    <t>AAQ</t>
  </si>
  <si>
    <t>AEM</t>
  </si>
  <si>
    <t>OGX</t>
  </si>
  <si>
    <t>JJ2100</t>
  </si>
  <si>
    <t>!AJ</t>
  </si>
  <si>
    <t>825110</t>
  </si>
  <si>
    <t>334</t>
  </si>
  <si>
    <t>8NF</t>
  </si>
  <si>
    <t>8NG</t>
  </si>
  <si>
    <t>89344</t>
  </si>
  <si>
    <t>S1F</t>
  </si>
  <si>
    <t>S1G</t>
  </si>
  <si>
    <t>S1H</t>
  </si>
  <si>
    <t>JJ3000</t>
  </si>
  <si>
    <t>82512000</t>
  </si>
  <si>
    <t>U1F</t>
  </si>
  <si>
    <t>U1H</t>
  </si>
  <si>
    <t>UA8</t>
  </si>
  <si>
    <t>UA9</t>
  </si>
  <si>
    <t>UAR</t>
  </si>
  <si>
    <t>UAT</t>
  </si>
  <si>
    <t>UP2</t>
  </si>
  <si>
    <t>JJ3110</t>
  </si>
  <si>
    <t>82512001</t>
  </si>
  <si>
    <t>ULF</t>
  </si>
  <si>
    <t>UP4</t>
  </si>
  <si>
    <t>JJ3120</t>
  </si>
  <si>
    <t>UMA</t>
  </si>
  <si>
    <t>JJ3150</t>
  </si>
  <si>
    <t>ULG</t>
  </si>
  <si>
    <t>ULH</t>
  </si>
  <si>
    <t>ULI</t>
  </si>
  <si>
    <t>JJ4000</t>
  </si>
  <si>
    <t>8NH</t>
  </si>
  <si>
    <t>82040</t>
  </si>
  <si>
    <t>UDB</t>
  </si>
  <si>
    <t>UDC</t>
  </si>
  <si>
    <t>UDD</t>
  </si>
  <si>
    <t>UDK</t>
  </si>
  <si>
    <t>UE6</t>
  </si>
  <si>
    <t>89300</t>
  </si>
  <si>
    <t>UP6</t>
  </si>
  <si>
    <t>JJ4100</t>
  </si>
  <si>
    <t>82041</t>
  </si>
  <si>
    <t>POF</t>
  </si>
  <si>
    <t>U52</t>
  </si>
  <si>
    <t>U53</t>
  </si>
  <si>
    <t>U54</t>
  </si>
  <si>
    <t>UEC</t>
  </si>
  <si>
    <t>UED</t>
  </si>
  <si>
    <t>UEF</t>
  </si>
  <si>
    <t>UEG</t>
  </si>
  <si>
    <t>UEH</t>
  </si>
  <si>
    <t>JJ4200</t>
  </si>
  <si>
    <t>UOF</t>
  </si>
  <si>
    <t>UOG</t>
  </si>
  <si>
    <t>UOI</t>
  </si>
  <si>
    <t>JJ5000</t>
  </si>
  <si>
    <t>5499608</t>
  </si>
  <si>
    <t>JJ500B</t>
  </si>
  <si>
    <t>82003</t>
  </si>
  <si>
    <t>!ON</t>
  </si>
  <si>
    <t>82007</t>
  </si>
  <si>
    <t>UJH</t>
  </si>
  <si>
    <t>JJ5100</t>
  </si>
  <si>
    <t>JJ6000</t>
  </si>
  <si>
    <t>!PG</t>
  </si>
  <si>
    <t>8251204</t>
  </si>
  <si>
    <t>JJ7000</t>
  </si>
  <si>
    <t>!66</t>
  </si>
  <si>
    <t>82810</t>
  </si>
  <si>
    <t>302</t>
  </si>
  <si>
    <t>76U</t>
  </si>
  <si>
    <t>76V</t>
  </si>
  <si>
    <t>86U</t>
  </si>
  <si>
    <t>86V</t>
  </si>
  <si>
    <t>JJ8000</t>
  </si>
  <si>
    <t>8N0</t>
  </si>
  <si>
    <t>716980</t>
  </si>
  <si>
    <t>77953</t>
  </si>
  <si>
    <t>8990</t>
  </si>
  <si>
    <t>77985</t>
  </si>
  <si>
    <t>77986</t>
  </si>
  <si>
    <t>UCJ</t>
  </si>
  <si>
    <t>UCL</t>
  </si>
  <si>
    <t>UPR</t>
  </si>
  <si>
    <t>UPS</t>
  </si>
  <si>
    <t>MM1000</t>
  </si>
  <si>
    <t>00T</t>
  </si>
  <si>
    <t>825000</t>
  </si>
  <si>
    <t>06K</t>
  </si>
  <si>
    <t>0EK</t>
  </si>
  <si>
    <t>82502</t>
  </si>
  <si>
    <t>AZD</t>
  </si>
  <si>
    <t>AZE</t>
  </si>
  <si>
    <t>8250011</t>
  </si>
  <si>
    <t>TIT</t>
  </si>
  <si>
    <t>ZC8</t>
  </si>
  <si>
    <t>ZCB</t>
  </si>
  <si>
    <t>MM1050</t>
  </si>
  <si>
    <t>CDC</t>
  </si>
  <si>
    <t>MM1100</t>
  </si>
  <si>
    <t>06T</t>
  </si>
  <si>
    <t>828001</t>
  </si>
  <si>
    <t>47T</t>
  </si>
  <si>
    <t>ECU</t>
  </si>
  <si>
    <t>W45</t>
  </si>
  <si>
    <t>MM1200</t>
  </si>
  <si>
    <t>82W</t>
  </si>
  <si>
    <t>82801</t>
  </si>
  <si>
    <t>T6D</t>
  </si>
  <si>
    <t>TT2</t>
  </si>
  <si>
    <t>MM1310</t>
  </si>
  <si>
    <t>30T</t>
  </si>
  <si>
    <t>71809</t>
  </si>
  <si>
    <t>76N</t>
  </si>
  <si>
    <t>77T</t>
  </si>
  <si>
    <t>86N</t>
  </si>
  <si>
    <t>86T</t>
  </si>
  <si>
    <t>DDB</t>
  </si>
  <si>
    <t>WWT</t>
  </si>
  <si>
    <t>MM1320</t>
  </si>
  <si>
    <t>BTA</t>
  </si>
  <si>
    <t>BTF</t>
  </si>
  <si>
    <t>BUF</t>
  </si>
  <si>
    <t>BUH</t>
  </si>
  <si>
    <t>BUW</t>
  </si>
  <si>
    <t>BUY</t>
  </si>
  <si>
    <t>T6K</t>
  </si>
  <si>
    <t>MM1350</t>
  </si>
  <si>
    <t>ZZP</t>
  </si>
  <si>
    <t>82803</t>
  </si>
  <si>
    <t>ZZT</t>
  </si>
  <si>
    <t>MM1411</t>
  </si>
  <si>
    <t>K1C</t>
  </si>
  <si>
    <t>8280000</t>
  </si>
  <si>
    <t>K7C</t>
  </si>
  <si>
    <t>5899706</t>
  </si>
  <si>
    <t>58997060</t>
  </si>
  <si>
    <t>MM1412</t>
  </si>
  <si>
    <t>K7D</t>
  </si>
  <si>
    <t>MM1415</t>
  </si>
  <si>
    <t>K3C</t>
  </si>
  <si>
    <t>8280002</t>
  </si>
  <si>
    <t>K5C</t>
  </si>
  <si>
    <t>MM1416</t>
  </si>
  <si>
    <t>K5D</t>
  </si>
  <si>
    <t>MM1431</t>
  </si>
  <si>
    <t>8280001</t>
  </si>
  <si>
    <t>K0S</t>
  </si>
  <si>
    <t>K88</t>
  </si>
  <si>
    <t>PPC Irlanda</t>
  </si>
  <si>
    <t>MM1432</t>
  </si>
  <si>
    <t>K00</t>
  </si>
  <si>
    <t>MM1440</t>
  </si>
  <si>
    <t>8280003</t>
  </si>
  <si>
    <t>K2C</t>
  </si>
  <si>
    <t>MM1510</t>
  </si>
  <si>
    <t>718000</t>
  </si>
  <si>
    <t>718001</t>
  </si>
  <si>
    <t>MM1520</t>
  </si>
  <si>
    <t>71802</t>
  </si>
  <si>
    <t>IUC</t>
  </si>
  <si>
    <t>MM1525</t>
  </si>
  <si>
    <t>71612</t>
  </si>
  <si>
    <t>AZN</t>
  </si>
  <si>
    <t>MM1530</t>
  </si>
  <si>
    <t>76P</t>
  </si>
  <si>
    <t>86P</t>
  </si>
  <si>
    <t>DDC</t>
  </si>
  <si>
    <t>DFC</t>
  </si>
  <si>
    <t>FQY</t>
  </si>
  <si>
    <t>FQZ</t>
  </si>
  <si>
    <t>TIR</t>
  </si>
  <si>
    <t>MM1531</t>
  </si>
  <si>
    <t>7TT</t>
  </si>
  <si>
    <t>MM1532</t>
  </si>
  <si>
    <t>02K</t>
  </si>
  <si>
    <t>AZM</t>
  </si>
  <si>
    <t>ZC7</t>
  </si>
  <si>
    <t>MM1533</t>
  </si>
  <si>
    <t>CTW</t>
  </si>
  <si>
    <t>MM1534</t>
  </si>
  <si>
    <t>08K</t>
  </si>
  <si>
    <t>7TO</t>
  </si>
  <si>
    <t>TEF</t>
  </si>
  <si>
    <t>89224</t>
  </si>
  <si>
    <t>TEH</t>
  </si>
  <si>
    <t>71999</t>
  </si>
  <si>
    <t>MM1536</t>
  </si>
  <si>
    <t>07K</t>
  </si>
  <si>
    <t>MM1537</t>
  </si>
  <si>
    <t>8985</t>
  </si>
  <si>
    <t>MM1538</t>
  </si>
  <si>
    <t>AZ2</t>
  </si>
  <si>
    <t>AZO</t>
  </si>
  <si>
    <t>MM2000</t>
  </si>
  <si>
    <t>9DC</t>
  </si>
  <si>
    <t>82993</t>
  </si>
  <si>
    <t>MM2111</t>
  </si>
  <si>
    <t>956</t>
  </si>
  <si>
    <t>71610</t>
  </si>
  <si>
    <t>MM2112</t>
  </si>
  <si>
    <t>957</t>
  </si>
  <si>
    <t>82512100</t>
  </si>
  <si>
    <t>MM2120</t>
  </si>
  <si>
    <t>LD5</t>
  </si>
  <si>
    <t>LH9</t>
  </si>
  <si>
    <t>LHE</t>
  </si>
  <si>
    <t>LHH</t>
  </si>
  <si>
    <t>LHO</t>
  </si>
  <si>
    <t>MM3010</t>
  </si>
  <si>
    <t>00M</t>
  </si>
  <si>
    <t>LHK</t>
  </si>
  <si>
    <t>RRI</t>
  </si>
  <si>
    <t>RRN</t>
  </si>
  <si>
    <t>UXE</t>
  </si>
  <si>
    <t>XEU</t>
  </si>
  <si>
    <t>MM3021</t>
  </si>
  <si>
    <t>UZD</t>
  </si>
  <si>
    <t>MM3022</t>
  </si>
  <si>
    <t>UZF</t>
  </si>
  <si>
    <t>MM3023</t>
  </si>
  <si>
    <t>UZN</t>
  </si>
  <si>
    <t>MM3032</t>
  </si>
  <si>
    <t>4T5</t>
  </si>
  <si>
    <t>4UN</t>
  </si>
  <si>
    <t>4UP</t>
  </si>
  <si>
    <t>4UT</t>
  </si>
  <si>
    <t>MM3034</t>
  </si>
  <si>
    <t>4VF</t>
  </si>
  <si>
    <t>4VH</t>
  </si>
  <si>
    <t>MM3037</t>
  </si>
  <si>
    <t>4UQ</t>
  </si>
  <si>
    <t>4UR</t>
  </si>
  <si>
    <t>RRC</t>
  </si>
  <si>
    <t>MM3100</t>
  </si>
  <si>
    <t>870</t>
  </si>
  <si>
    <t>8933</t>
  </si>
  <si>
    <t>OAU</t>
  </si>
  <si>
    <t>YDU</t>
  </si>
  <si>
    <t>7169003</t>
  </si>
  <si>
    <t>MM4000</t>
  </si>
  <si>
    <t>00X</t>
  </si>
  <si>
    <t>8920</t>
  </si>
  <si>
    <t>OA8</t>
  </si>
  <si>
    <t>OAG</t>
  </si>
  <si>
    <t>OAI</t>
  </si>
  <si>
    <t>MM5100</t>
  </si>
  <si>
    <t>!NX</t>
  </si>
  <si>
    <t>89220</t>
  </si>
  <si>
    <t>367</t>
  </si>
  <si>
    <t>CUP</t>
  </si>
  <si>
    <t>MM5201</t>
  </si>
  <si>
    <t>DCF</t>
  </si>
  <si>
    <t>89222</t>
  </si>
  <si>
    <t>GAB</t>
  </si>
  <si>
    <t>MM5202</t>
  </si>
  <si>
    <t>CHH</t>
  </si>
  <si>
    <t>MM6000</t>
  </si>
  <si>
    <t>1PD</t>
  </si>
  <si>
    <t>825102</t>
  </si>
  <si>
    <t>2PD</t>
  </si>
  <si>
    <t>8PD</t>
  </si>
  <si>
    <t>GVC</t>
  </si>
  <si>
    <t>MM7000</t>
  </si>
  <si>
    <t>291</t>
  </si>
  <si>
    <t>82990</t>
  </si>
  <si>
    <t>CF2</t>
  </si>
  <si>
    <t>825977</t>
  </si>
  <si>
    <t>MAN</t>
  </si>
  <si>
    <t>MM7110</t>
  </si>
  <si>
    <t>YLT</t>
  </si>
  <si>
    <t>8251219</t>
  </si>
  <si>
    <t>MM7120</t>
  </si>
  <si>
    <t>MPD</t>
  </si>
  <si>
    <t>7169004</t>
  </si>
  <si>
    <t>MYB</t>
  </si>
  <si>
    <t>8259004</t>
  </si>
  <si>
    <t>MM7131</t>
  </si>
  <si>
    <t>YKH</t>
  </si>
  <si>
    <t>MM7132</t>
  </si>
  <si>
    <t>YKJ</t>
  </si>
  <si>
    <t>MM7200</t>
  </si>
  <si>
    <t>YG5</t>
  </si>
  <si>
    <t>MM7300</t>
  </si>
  <si>
    <t>829400</t>
  </si>
  <si>
    <t>82947</t>
  </si>
  <si>
    <t>6EW</t>
  </si>
  <si>
    <t>MM7301</t>
  </si>
  <si>
    <t>829402</t>
  </si>
  <si>
    <t>6EK</t>
  </si>
  <si>
    <t>MM7400</t>
  </si>
  <si>
    <t>HDA</t>
  </si>
  <si>
    <t>8996</t>
  </si>
  <si>
    <t>HDP</t>
  </si>
  <si>
    <t>825947</t>
  </si>
  <si>
    <t>77972</t>
  </si>
  <si>
    <t>MM7500</t>
  </si>
  <si>
    <t>JIC</t>
  </si>
  <si>
    <t>82992</t>
  </si>
  <si>
    <t>MM7600</t>
  </si>
  <si>
    <t>8P1</t>
  </si>
  <si>
    <t>MM7720</t>
  </si>
  <si>
    <t>SV4</t>
  </si>
  <si>
    <t>MM7800</t>
  </si>
  <si>
    <t>SV7</t>
  </si>
  <si>
    <t>825903</t>
  </si>
  <si>
    <t>MM7850</t>
  </si>
  <si>
    <t>7169503</t>
  </si>
  <si>
    <t>MM7900</t>
  </si>
  <si>
    <t>00O</t>
  </si>
  <si>
    <t>MM7961</t>
  </si>
  <si>
    <t>825955995</t>
  </si>
  <si>
    <t>RP0</t>
  </si>
  <si>
    <t>TM0</t>
  </si>
  <si>
    <t>MM7962</t>
  </si>
  <si>
    <t>SCF</t>
  </si>
  <si>
    <t>Renting Santander Consumer</t>
  </si>
  <si>
    <t>MM7963</t>
  </si>
  <si>
    <t>MM7970</t>
  </si>
  <si>
    <t>716981</t>
  </si>
  <si>
    <t>716982</t>
  </si>
  <si>
    <t>PP1000</t>
  </si>
  <si>
    <t>5FB</t>
  </si>
  <si>
    <t>825300</t>
  </si>
  <si>
    <t>PP2000</t>
  </si>
  <si>
    <t>82532</t>
  </si>
  <si>
    <t>PP3000</t>
  </si>
  <si>
    <t>F5J</t>
  </si>
  <si>
    <t>82535</t>
  </si>
  <si>
    <t>PP4000</t>
  </si>
  <si>
    <t>FR4</t>
  </si>
  <si>
    <t>QQ0110</t>
  </si>
  <si>
    <t>GR7</t>
  </si>
  <si>
    <t>7183</t>
  </si>
  <si>
    <t>GR8</t>
  </si>
  <si>
    <t>825304</t>
  </si>
  <si>
    <t>QQ0120</t>
  </si>
  <si>
    <t>GR5</t>
  </si>
  <si>
    <t>GR6</t>
  </si>
  <si>
    <t>QQ1000</t>
  </si>
  <si>
    <t>825309</t>
  </si>
  <si>
    <t>SS0100</t>
  </si>
  <si>
    <t>82901</t>
  </si>
  <si>
    <t>SS0111</t>
  </si>
  <si>
    <t>ZZZ</t>
  </si>
  <si>
    <t>SS0121</t>
  </si>
  <si>
    <t>ZZW</t>
  </si>
  <si>
    <t>SS1000</t>
  </si>
  <si>
    <t>82900</t>
  </si>
  <si>
    <t>829000</t>
  </si>
  <si>
    <t>829003</t>
  </si>
  <si>
    <t>829004</t>
  </si>
  <si>
    <t>Y8L</t>
  </si>
  <si>
    <t>7190621</t>
  </si>
  <si>
    <t>SS1002</t>
  </si>
  <si>
    <t>719401</t>
  </si>
  <si>
    <t>SS1003</t>
  </si>
  <si>
    <t>719404</t>
  </si>
  <si>
    <t>SS2100</t>
  </si>
  <si>
    <t>P67</t>
  </si>
  <si>
    <t>SEG</t>
  </si>
  <si>
    <t>Seguradora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</si>
  <si>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</si>
  <si>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</si>
  <si>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</si>
  <si>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</si>
  <si>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</si>
  <si>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</si>
  <si>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</si>
  <si>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</si>
  <si>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</si>
  <si>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</si>
  <si>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</si>
  <si>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</si>
  <si>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</si>
  <si>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</si>
  <si>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</si>
  <si>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</si>
  <si>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</si>
  <si>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</si>
  <si>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</si>
  <si>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</si>
  <si>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</si>
  <si>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</si>
  <si>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</si>
  <si>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S17</t>
  </si>
  <si>
    <t>S18</t>
  </si>
  <si>
    <t>S21</t>
  </si>
  <si>
    <t>S22</t>
  </si>
  <si>
    <t>S23</t>
  </si>
  <si>
    <t>S24</t>
  </si>
  <si>
    <t>S27</t>
  </si>
  <si>
    <t>S29</t>
  </si>
  <si>
    <t>S30</t>
  </si>
  <si>
    <t>S75</t>
  </si>
  <si>
    <t>S76</t>
  </si>
  <si>
    <t>S77</t>
  </si>
  <si>
    <t>S78</t>
  </si>
  <si>
    <t>S83</t>
  </si>
  <si>
    <t>S84</t>
  </si>
  <si>
    <t>S85</t>
  </si>
  <si>
    <t>S86</t>
  </si>
  <si>
    <t>S87</t>
  </si>
  <si>
    <t>ST2</t>
  </si>
  <si>
    <t>ST3</t>
  </si>
  <si>
    <t>ST4</t>
  </si>
  <si>
    <t>SU3</t>
  </si>
  <si>
    <t>SU4</t>
  </si>
  <si>
    <t>T08</t>
  </si>
  <si>
    <t>T22</t>
  </si>
  <si>
    <t>T23</t>
  </si>
  <si>
    <t>T24</t>
  </si>
  <si>
    <t>T26</t>
  </si>
  <si>
    <t>T27</t>
  </si>
  <si>
    <t>T28</t>
  </si>
  <si>
    <t>T29</t>
  </si>
  <si>
    <t>T55</t>
  </si>
  <si>
    <t>T56</t>
  </si>
  <si>
    <t>T77</t>
  </si>
  <si>
    <t>T78</t>
  </si>
  <si>
    <t>TT0</t>
  </si>
  <si>
    <t>TT1</t>
  </si>
  <si>
    <t>SS2101</t>
  </si>
  <si>
    <t>T46</t>
  </si>
  <si>
    <t>SS2102</t>
  </si>
  <si>
    <t>T39</t>
  </si>
  <si>
    <t>T40</t>
  </si>
  <si>
    <t>T53</t>
  </si>
  <si>
    <t>T54</t>
  </si>
  <si>
    <t>TT3</t>
  </si>
  <si>
    <t>SS2210</t>
  </si>
  <si>
    <t>P83</t>
  </si>
  <si>
    <t>S99</t>
  </si>
  <si>
    <t>T61</t>
  </si>
  <si>
    <t>T64</t>
  </si>
  <si>
    <t>T65</t>
  </si>
  <si>
    <t>T80</t>
  </si>
  <si>
    <t>SS2220</t>
  </si>
  <si>
    <t>S98</t>
  </si>
  <si>
    <t>SS2241</t>
  </si>
  <si>
    <t>T72</t>
  </si>
  <si>
    <t>SS2242</t>
  </si>
  <si>
    <t>T73</t>
  </si>
  <si>
    <t>SS2243</t>
  </si>
  <si>
    <t>M07</t>
  </si>
  <si>
    <t>SS2250</t>
  </si>
  <si>
    <t>P88</t>
  </si>
  <si>
    <t>P90</t>
  </si>
  <si>
    <t>P91</t>
  </si>
  <si>
    <t>SS2261</t>
  </si>
  <si>
    <t>M10</t>
  </si>
  <si>
    <t>SS2262</t>
  </si>
  <si>
    <t>M09</t>
  </si>
  <si>
    <t>SS2300</t>
  </si>
  <si>
    <t>S34</t>
  </si>
  <si>
    <t>S35</t>
  </si>
  <si>
    <t>S38</t>
  </si>
  <si>
    <t>S39</t>
  </si>
  <si>
    <t>S40</t>
  </si>
  <si>
    <t>S41</t>
  </si>
  <si>
    <t>S42</t>
  </si>
  <si>
    <t>S43</t>
  </si>
  <si>
    <t>S44</t>
  </si>
  <si>
    <t>S45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</si>
  <si>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</si>
  <si>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</si>
  <si>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</si>
  <si>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</si>
  <si>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</si>
  <si>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</si>
  <si>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</si>
  <si>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</si>
  <si>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</si>
  <si>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SS2301</t>
  </si>
  <si>
    <t>5FT</t>
  </si>
  <si>
    <t>82536</t>
  </si>
  <si>
    <t>F5K</t>
  </si>
  <si>
    <t>SS2510</t>
  </si>
  <si>
    <t>P44</t>
  </si>
  <si>
    <t>P45</t>
  </si>
  <si>
    <t>P46</t>
  </si>
  <si>
    <t>P48</t>
  </si>
  <si>
    <t>P50</t>
  </si>
  <si>
    <t>S71</t>
  </si>
  <si>
    <t>S73</t>
  </si>
  <si>
    <t>S74</t>
  </si>
  <si>
    <t>T10</t>
  </si>
  <si>
    <t>T11</t>
  </si>
  <si>
    <t>T12</t>
  </si>
  <si>
    <t>T13</t>
  </si>
  <si>
    <t>T14</t>
  </si>
  <si>
    <t>T15</t>
  </si>
  <si>
    <t>T16</t>
  </si>
  <si>
    <t>T17</t>
  </si>
  <si>
    <t>T35</t>
  </si>
  <si>
    <t>T36</t>
  </si>
  <si>
    <t>T47</t>
  </si>
  <si>
    <t>T48</t>
  </si>
  <si>
    <t>T59</t>
  </si>
  <si>
    <t>T60</t>
  </si>
  <si>
    <t>T68</t>
  </si>
  <si>
    <t>T71</t>
  </si>
  <si>
    <t>T84</t>
  </si>
  <si>
    <t>SS2520</t>
  </si>
  <si>
    <t>SU2</t>
  </si>
  <si>
    <t>T30</t>
  </si>
  <si>
    <t>T32</t>
  </si>
  <si>
    <t>T43</t>
  </si>
  <si>
    <t>SS2530</t>
  </si>
  <si>
    <t>P01</t>
  </si>
  <si>
    <t>T58</t>
  </si>
  <si>
    <t>SS2540</t>
  </si>
  <si>
    <t>P41</t>
  </si>
  <si>
    <t>P42</t>
  </si>
  <si>
    <t>T00</t>
  </si>
  <si>
    <t>T37</t>
  </si>
  <si>
    <t>T50</t>
  </si>
  <si>
    <t>T57</t>
  </si>
  <si>
    <t>T66</t>
  </si>
  <si>
    <t>T90</t>
  </si>
  <si>
    <t>SS2550</t>
  </si>
  <si>
    <t>P02</t>
  </si>
  <si>
    <t>P03</t>
  </si>
  <si>
    <t>P04</t>
  </si>
  <si>
    <t>P06</t>
  </si>
  <si>
    <t>P07</t>
  </si>
  <si>
    <t>P08</t>
  </si>
  <si>
    <t>P09</t>
  </si>
  <si>
    <t>P10</t>
  </si>
  <si>
    <t>P11</t>
  </si>
  <si>
    <t>P13</t>
  </si>
  <si>
    <t>P14</t>
  </si>
  <si>
    <t>P15</t>
  </si>
  <si>
    <t>P96</t>
  </si>
  <si>
    <t>T01</t>
  </si>
  <si>
    <t>T41</t>
  </si>
  <si>
    <t>T42</t>
  </si>
  <si>
    <t>T49</t>
  </si>
  <si>
    <t>T89</t>
  </si>
  <si>
    <t>T99</t>
  </si>
  <si>
    <t>SS2555</t>
  </si>
  <si>
    <t>SS2560</t>
  </si>
  <si>
    <t>P86</t>
  </si>
  <si>
    <t>P89</t>
  </si>
  <si>
    <t>T63</t>
  </si>
  <si>
    <t>T76</t>
  </si>
  <si>
    <t>SS2570</t>
  </si>
  <si>
    <t>T67</t>
  </si>
  <si>
    <t>T69</t>
  </si>
  <si>
    <t>SS2580</t>
  </si>
  <si>
    <t>G05</t>
  </si>
  <si>
    <t>GEN</t>
  </si>
  <si>
    <t>M01</t>
  </si>
  <si>
    <t>M06</t>
  </si>
  <si>
    <t>SS2590</t>
  </si>
  <si>
    <t>P85</t>
  </si>
  <si>
    <t>T85</t>
  </si>
  <si>
    <t>SS2591</t>
  </si>
  <si>
    <t>M05</t>
  </si>
  <si>
    <t>SS2700</t>
  </si>
  <si>
    <t>A03</t>
  </si>
  <si>
    <t>AXA</t>
  </si>
  <si>
    <t>A04</t>
  </si>
  <si>
    <t>SS2710</t>
  </si>
  <si>
    <t>T06</t>
  </si>
  <si>
    <t>SS2711</t>
  </si>
  <si>
    <t>T07</t>
  </si>
  <si>
    <t>SS280A</t>
  </si>
  <si>
    <t>LI2</t>
  </si>
  <si>
    <t>P93</t>
  </si>
  <si>
    <t>P95</t>
  </si>
  <si>
    <t>T86</t>
  </si>
  <si>
    <t>SS280B</t>
  </si>
  <si>
    <t>LIB</t>
  </si>
  <si>
    <t>SS280C</t>
  </si>
  <si>
    <t>LI1</t>
  </si>
  <si>
    <t>P94</t>
  </si>
  <si>
    <t>T74</t>
  </si>
  <si>
    <t>T75</t>
  </si>
  <si>
    <t>T87</t>
  </si>
  <si>
    <t>T88</t>
  </si>
  <si>
    <t>SS280D</t>
  </si>
  <si>
    <t>LIA</t>
  </si>
  <si>
    <t>SS2810</t>
  </si>
  <si>
    <t>M00</t>
  </si>
  <si>
    <t>M02</t>
  </si>
  <si>
    <t>SS2910</t>
  </si>
  <si>
    <t>M03</t>
  </si>
  <si>
    <t>P97</t>
  </si>
  <si>
    <t>T02</t>
  </si>
  <si>
    <t>SS2911</t>
  </si>
  <si>
    <t>M08</t>
  </si>
  <si>
    <t>SS2930</t>
  </si>
  <si>
    <t>M04</t>
  </si>
  <si>
    <t>M11</t>
  </si>
  <si>
    <t>SS2950</t>
  </si>
  <si>
    <t>P98</t>
  </si>
  <si>
    <t>T03</t>
  </si>
  <si>
    <t>T04</t>
  </si>
  <si>
    <t>SS2951</t>
  </si>
  <si>
    <t>P99</t>
  </si>
  <si>
    <t>SS2952</t>
  </si>
  <si>
    <t>T05</t>
  </si>
  <si>
    <t>SS2999</t>
  </si>
  <si>
    <t>P16</t>
  </si>
  <si>
    <t>P17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</si>
  <si>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</si>
  <si>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</si>
  <si>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</si>
  <si>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</si>
  <si>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</si>
  <si>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</si>
  <si>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</si>
  <si>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</si>
  <si>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</si>
  <si>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</si>
  <si>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</si>
  <si>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</si>
  <si>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</si>
  <si>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</si>
  <si>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</si>
  <si>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</si>
  <si>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</si>
  <si>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</si>
  <si>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</si>
  <si>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</si>
  <si>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</si>
  <si>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P55</t>
  </si>
  <si>
    <t>SX1100</t>
  </si>
  <si>
    <t>82903</t>
  </si>
  <si>
    <t>SX1200</t>
  </si>
  <si>
    <t>FP0</t>
  </si>
  <si>
    <t>TT1000</t>
  </si>
  <si>
    <t>!GH</t>
  </si>
  <si>
    <t>POE</t>
  </si>
  <si>
    <t>TT1100</t>
  </si>
  <si>
    <t>07T</t>
  </si>
  <si>
    <t>368</t>
  </si>
  <si>
    <t>539</t>
  </si>
  <si>
    <t>BTD</t>
  </si>
  <si>
    <t>BTI</t>
  </si>
  <si>
    <t>BUD</t>
  </si>
  <si>
    <t>BUJ</t>
  </si>
  <si>
    <t>T6C</t>
  </si>
  <si>
    <t>TAU</t>
  </si>
  <si>
    <t>TBJ</t>
  </si>
  <si>
    <t>TES</t>
  </si>
  <si>
    <t>TT2000</t>
  </si>
  <si>
    <t>1CP</t>
  </si>
  <si>
    <t>4CG</t>
  </si>
  <si>
    <t>5DG</t>
  </si>
  <si>
    <t>5DH</t>
  </si>
  <si>
    <t>5DP</t>
  </si>
  <si>
    <t>C4G</t>
  </si>
  <si>
    <t>D5H</t>
  </si>
  <si>
    <t>D5M</t>
  </si>
  <si>
    <t>D5P</t>
  </si>
  <si>
    <t>GD5</t>
  </si>
  <si>
    <t>TT2200</t>
  </si>
  <si>
    <t>!L1</t>
  </si>
  <si>
    <t>779810</t>
  </si>
  <si>
    <t>!L5</t>
  </si>
  <si>
    <t>01L</t>
  </si>
  <si>
    <t>70R</t>
  </si>
  <si>
    <t>77980</t>
  </si>
  <si>
    <t>71R</t>
  </si>
  <si>
    <t>75R</t>
  </si>
  <si>
    <t>77R</t>
  </si>
  <si>
    <t>89R</t>
  </si>
  <si>
    <t>RBA</t>
  </si>
  <si>
    <t>RBB</t>
  </si>
  <si>
    <t>TT3100</t>
  </si>
  <si>
    <t>71905</t>
  </si>
  <si>
    <t>TT3200</t>
  </si>
  <si>
    <t>719020</t>
  </si>
  <si>
    <t>719021</t>
  </si>
  <si>
    <t>719022</t>
  </si>
  <si>
    <t>TT4100</t>
  </si>
  <si>
    <t>71692</t>
  </si>
  <si>
    <t>TT4210</t>
  </si>
  <si>
    <t>B90</t>
  </si>
  <si>
    <t>89307</t>
  </si>
  <si>
    <t>UKU</t>
  </si>
  <si>
    <t>TT4220</t>
  </si>
  <si>
    <t>B91</t>
  </si>
  <si>
    <t>B92</t>
  </si>
  <si>
    <t>B93</t>
  </si>
  <si>
    <t>B94</t>
  </si>
  <si>
    <t>TT5100</t>
  </si>
  <si>
    <t>!30</t>
  </si>
  <si>
    <t>!L0</t>
  </si>
  <si>
    <t>8997</t>
  </si>
  <si>
    <t>89225</t>
  </si>
  <si>
    <t>72R</t>
  </si>
  <si>
    <t>77982</t>
  </si>
  <si>
    <t>73R</t>
  </si>
  <si>
    <t>77983</t>
  </si>
  <si>
    <t>76R</t>
  </si>
  <si>
    <t>86R</t>
  </si>
  <si>
    <t>8986</t>
  </si>
  <si>
    <t>AP9</t>
  </si>
  <si>
    <t>BOF</t>
  </si>
  <si>
    <t>71699</t>
  </si>
  <si>
    <t>7190400</t>
  </si>
  <si>
    <t>DEC</t>
  </si>
  <si>
    <t>77960</t>
  </si>
  <si>
    <t>GEC</t>
  </si>
  <si>
    <t>89293</t>
  </si>
  <si>
    <t>IDV</t>
  </si>
  <si>
    <t>8993</t>
  </si>
  <si>
    <t>IRI</t>
  </si>
  <si>
    <t>779908</t>
  </si>
  <si>
    <t>7151</t>
  </si>
  <si>
    <t>71904030</t>
  </si>
  <si>
    <t>71904031</t>
  </si>
  <si>
    <t>7190409</t>
  </si>
  <si>
    <t>77966</t>
  </si>
  <si>
    <t>779905</t>
  </si>
  <si>
    <t>82994</t>
  </si>
  <si>
    <t>RBD</t>
  </si>
  <si>
    <t>VCP</t>
  </si>
  <si>
    <t>UMCGP0</t>
  </si>
  <si>
    <t>Valida:</t>
  </si>
  <si>
    <t>Total de Comissões</t>
  </si>
  <si>
    <t>Comissões Financeiras</t>
  </si>
  <si>
    <t>Comissões Financeiras Mistas</t>
  </si>
  <si>
    <t>Comissões Não Financeiras</t>
  </si>
  <si>
    <t>Comissões Não Financeiras Mistas</t>
  </si>
  <si>
    <t>Factoring + Lease</t>
  </si>
  <si>
    <t>Conta 82 Financeiras + Mistas</t>
  </si>
  <si>
    <t>Conta 89 Financeiras + Mistas</t>
  </si>
  <si>
    <t>Conta 82 + 89 Não Financeiras * Mistas</t>
  </si>
  <si>
    <t>Conta 5 Financeiras</t>
  </si>
  <si>
    <t>Conta 5 Não Financeiras</t>
  </si>
  <si>
    <t>Conta 71 Financeiras</t>
  </si>
  <si>
    <t>Conta 71 + 77 Não Financeiras</t>
  </si>
  <si>
    <t>Seguros (AXA + SEG + GEN)</t>
  </si>
  <si>
    <t>Double Accountig Confirming (FCS)</t>
  </si>
  <si>
    <t>GetNet (90%) (GNE)</t>
  </si>
  <si>
    <t>Factoring + Leasing (SCH)</t>
  </si>
  <si>
    <t>Renting (SCF)</t>
  </si>
  <si>
    <t>Irlanda (Empresa 80)</t>
  </si>
  <si>
    <t>Proveitos</t>
  </si>
  <si>
    <t>Custos</t>
  </si>
  <si>
    <t>GG (IFRS 431)</t>
  </si>
  <si>
    <t>Reclassificadas Margem Financeira</t>
  </si>
  <si>
    <t>Justificação das Diferenças</t>
  </si>
  <si>
    <r>
      <t>Coperac / Conta (</t>
    </r>
    <r>
      <rPr>
        <b/>
        <i/>
        <sz val="11"/>
        <rFont val="Calibri"/>
        <family val="2"/>
      </rPr>
      <t>L01/71909 - AA1490</t>
    </r>
    <r>
      <rPr>
        <i/>
        <sz val="11"/>
        <rFont val="Calibri"/>
        <family val="2"/>
      </rPr>
      <t xml:space="preserve">) em </t>
    </r>
    <r>
      <rPr>
        <b/>
        <i/>
        <sz val="11"/>
        <rFont val="Calibri"/>
        <family val="2"/>
      </rPr>
      <t>INFORM</t>
    </r>
    <r>
      <rPr>
        <i/>
        <sz val="11"/>
        <rFont val="Calibri"/>
        <family val="2"/>
      </rPr>
      <t xml:space="preserve"> quando foi feito o registo contabilistico </t>
    </r>
  </si>
  <si>
    <r>
      <t>Coperac / Conta (</t>
    </r>
    <r>
      <rPr>
        <b/>
        <i/>
        <sz val="11"/>
        <rFont val="Calibri"/>
        <family val="2"/>
      </rPr>
      <t>CBH/71904017 - EE1310</t>
    </r>
    <r>
      <rPr>
        <i/>
        <sz val="11"/>
        <rFont val="Calibri"/>
        <family val="2"/>
      </rPr>
      <t>) registos alocados a contratos / clientes que já não estavam no Banco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</si>
</sst>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b/>
      <sz val="11"/>
      <color rgb="FFFF0000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i/>
      <sz val="11"/>
      <name val="Calibri"/>
      <family val="2"/>
    </font>
    <font>
      <i/>
      <sz val="11"/>
      <color rgb="FFFF0000"/>
      <name val="Calibri"/>
      <family val="2"/>
    </font>
    <font>
      <sz val="11"/>
      <color rgb="FFFF0000"/>
      <name val="Calibri"/>
      <family val="2"/>
    </font>
    <font>
      <b/>
      <i/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33">
    <xf numFmtId="0" fontId="0" fillId="0" borderId="0" xfId="0"/>
    <xf numFmtId="4" fontId="1" fillId="0" borderId="0" xfId="0" applyNumberFormat="1" applyFont="1"/>
    <xf numFmtId="4" fontId="0" fillId="0" borderId="0" xfId="0" applyNumberFormat="1"/>
    <xf numFmtId="0" fontId="0" fillId="0" borderId="0" xfId="0" quotePrefix="1" applyAlignment="1">
      <alignment horizontal="left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4" xfId="0" quotePrefix="1" applyFont="1" applyFill="1" applyBorder="1" applyAlignment="1">
      <alignment horizontal="center" vertical="center"/>
    </xf>
    <xf numFmtId="0" fontId="2" fillId="2" borderId="4" xfId="0" quotePrefix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" fontId="2" fillId="2" borderId="7" xfId="0" applyNumberFormat="1" applyFont="1" applyFill="1" applyBorder="1" applyAlignment="1">
      <alignment horizontal="center" vertical="center"/>
    </xf>
    <xf numFmtId="0" fontId="0" fillId="3" borderId="8" xfId="0" applyFill="1" applyBorder="1"/>
    <xf numFmtId="4" fontId="0" fillId="0" borderId="8" xfId="0" applyNumberFormat="1" applyBorder="1"/>
    <xf numFmtId="4" fontId="0" fillId="0" borderId="9" xfId="0" applyNumberFormat="1" applyBorder="1"/>
    <xf numFmtId="4" fontId="0" fillId="0" borderId="10" xfId="0" applyNumberFormat="1" applyBorder="1"/>
    <xf numFmtId="0" fontId="0" fillId="0" borderId="9" xfId="0" applyBorder="1"/>
    <xf numFmtId="4" fontId="0" fillId="0" borderId="11" xfId="0" applyNumberFormat="1" applyBorder="1"/>
    <xf numFmtId="0" fontId="0" fillId="0" borderId="8" xfId="0" applyBorder="1" applyAlignment="1">
      <alignment horizontal="center" vertical="center"/>
    </xf>
    <xf numFmtId="0" fontId="0" fillId="3" borderId="12" xfId="0" applyFill="1" applyBorder="1"/>
    <xf numFmtId="4" fontId="0" fillId="0" borderId="12" xfId="0" applyNumberFormat="1" applyBorder="1"/>
    <xf numFmtId="4" fontId="0" fillId="0" borderId="13" xfId="0" applyNumberFormat="1" applyBorder="1"/>
    <xf numFmtId="4" fontId="0" fillId="0" borderId="0" xfId="0" applyNumberFormat="1" applyAlignment="1">
      <alignment horizontal="right" vertical="center"/>
    </xf>
    <xf numFmtId="0" fontId="0" fillId="0" borderId="13" xfId="0" applyBorder="1"/>
    <xf numFmtId="4" fontId="0" fillId="0" borderId="15" xfId="0" applyNumberFormat="1" applyBorder="1"/>
    <xf numFmtId="0" fontId="0" fillId="0" borderId="12" xfId="0" applyBorder="1" applyAlignment="1">
      <alignment horizontal="center" vertical="center"/>
    </xf>
    <xf numFmtId="0" fontId="0" fillId="3" borderId="16" xfId="0" applyFill="1" applyBorder="1"/>
    <xf numFmtId="4" fontId="0" fillId="0" borderId="16" xfId="0" applyNumberFormat="1" applyBorder="1"/>
    <xf numFmtId="4" fontId="0" fillId="0" borderId="17" xfId="0" applyNumberFormat="1" applyBorder="1"/>
    <xf numFmtId="4" fontId="0" fillId="0" borderId="18" xfId="0" applyNumberFormat="1" applyBorder="1"/>
    <xf numFmtId="0" fontId="0" fillId="0" borderId="17" xfId="0" applyBorder="1"/>
    <xf numFmtId="4" fontId="0" fillId="0" borderId="19" xfId="0" applyNumberFormat="1" applyBorder="1"/>
    <xf numFmtId="0" fontId="0" fillId="0" borderId="16" xfId="0" applyBorder="1" applyAlignment="1">
      <alignment horizontal="center" vertical="center"/>
    </xf>
    <xf numFmtId="0" fontId="0" fillId="4" borderId="12" xfId="0" applyFill="1" applyBorder="1"/>
    <xf numFmtId="4" fontId="0" fillId="4" borderId="12" xfId="0" applyNumberFormat="1" applyFill="1" applyBorder="1"/>
    <xf numFmtId="4" fontId="0" fillId="4" borderId="13" xfId="0" applyNumberFormat="1" applyFill="1" applyBorder="1"/>
    <xf numFmtId="0" fontId="0" fillId="4" borderId="8" xfId="0" applyFill="1" applyBorder="1"/>
    <xf numFmtId="4" fontId="0" fillId="4" borderId="8" xfId="0" applyNumberFormat="1" applyFill="1" applyBorder="1"/>
    <xf numFmtId="4" fontId="0" fillId="4" borderId="9" xfId="0" applyNumberFormat="1" applyFill="1" applyBorder="1"/>
    <xf numFmtId="0" fontId="0" fillId="3" borderId="21" xfId="0" applyFill="1" applyBorder="1"/>
    <xf numFmtId="4" fontId="0" fillId="0" borderId="21" xfId="0" applyNumberFormat="1" applyBorder="1"/>
    <xf numFmtId="4" fontId="0" fillId="0" borderId="22" xfId="0" applyNumberFormat="1" applyBorder="1"/>
    <xf numFmtId="0" fontId="0" fillId="0" borderId="22" xfId="0" applyBorder="1"/>
    <xf numFmtId="4" fontId="0" fillId="0" borderId="23" xfId="0" applyNumberFormat="1" applyBorder="1"/>
    <xf numFmtId="0" fontId="0" fillId="0" borderId="21" xfId="0" applyBorder="1" applyAlignment="1">
      <alignment horizontal="center" vertical="center"/>
    </xf>
    <xf numFmtId="0" fontId="0" fillId="4" borderId="16" xfId="0" applyFill="1" applyBorder="1"/>
    <xf numFmtId="4" fontId="0" fillId="4" borderId="16" xfId="0" applyNumberFormat="1" applyFill="1" applyBorder="1"/>
    <xf numFmtId="4" fontId="0" fillId="4" borderId="17" xfId="0" applyNumberFormat="1" applyFill="1" applyBorder="1"/>
    <xf numFmtId="4" fontId="0" fillId="0" borderId="10" xfId="0" applyNumberFormat="1" applyBorder="1" applyAlignment="1">
      <alignment horizontal="right" vertical="center"/>
    </xf>
    <xf numFmtId="4" fontId="0" fillId="5" borderId="13" xfId="0" applyNumberFormat="1" applyFill="1" applyBorder="1"/>
    <xf numFmtId="0" fontId="0" fillId="4" borderId="21" xfId="0" applyFill="1" applyBorder="1"/>
    <xf numFmtId="4" fontId="0" fillId="4" borderId="21" xfId="0" applyNumberFormat="1" applyFill="1" applyBorder="1"/>
    <xf numFmtId="4" fontId="0" fillId="4" borderId="22" xfId="0" applyNumberFormat="1" applyFill="1" applyBorder="1"/>
    <xf numFmtId="4" fontId="0" fillId="0" borderId="20" xfId="0" applyNumberFormat="1" applyBorder="1" applyAlignment="1">
      <alignment horizontal="right" vertical="center"/>
    </xf>
    <xf numFmtId="4" fontId="0" fillId="0" borderId="18" xfId="0" applyNumberFormat="1" applyBorder="1" applyAlignment="1">
      <alignment horizontal="right" vertical="center"/>
    </xf>
    <xf numFmtId="4" fontId="0" fillId="0" borderId="14" xfId="0" applyNumberFormat="1" applyBorder="1" applyAlignment="1">
      <alignment horizontal="right" vertical="center"/>
    </xf>
    <xf numFmtId="4" fontId="0" fillId="0" borderId="18" xfId="0" applyNumberFormat="1" applyBorder="1" applyAlignment="1">
      <alignment vertical="center"/>
    </xf>
    <xf numFmtId="4" fontId="0" fillId="0" borderId="0" xfId="0" applyNumberFormat="1" applyAlignment="1">
      <alignment vertical="center"/>
    </xf>
    <xf numFmtId="4" fontId="0" fillId="5" borderId="20" xfId="0" applyNumberFormat="1" applyFill="1" applyBorder="1" applyAlignment="1">
      <alignment horizontal="right" vertical="center"/>
    </xf>
    <xf numFmtId="4" fontId="0" fillId="6" borderId="20" xfId="0" applyNumberFormat="1" applyFill="1" applyBorder="1" applyAlignment="1">
      <alignment horizontal="right" vertical="center"/>
    </xf>
    <xf numFmtId="4" fontId="0" fillId="6" borderId="18" xfId="0" applyNumberFormat="1" applyFill="1" applyBorder="1" applyAlignment="1">
      <alignment horizontal="right" vertical="center"/>
    </xf>
    <xf numFmtId="4" fontId="0" fillId="6" borderId="18" xfId="0" applyNumberFormat="1" applyFill="1" applyBorder="1" applyAlignment="1">
      <alignment vertical="center"/>
    </xf>
    <xf numFmtId="4" fontId="0" fillId="5" borderId="12" xfId="0" applyNumberFormat="1" applyFill="1" applyBorder="1"/>
    <xf numFmtId="4" fontId="0" fillId="5" borderId="14" xfId="0" applyNumberFormat="1" applyFill="1" applyBorder="1" applyAlignment="1">
      <alignment horizontal="right" vertical="center"/>
    </xf>
    <xf numFmtId="4" fontId="1" fillId="0" borderId="12" xfId="0" applyNumberFormat="1" applyFont="1" applyBorder="1" applyAlignment="1">
      <alignment horizontal="center"/>
    </xf>
    <xf numFmtId="0" fontId="0" fillId="4" borderId="4" xfId="0" applyFill="1" applyBorder="1"/>
    <xf numFmtId="4" fontId="0" fillId="4" borderId="4" xfId="0" applyNumberFormat="1" applyFill="1" applyBorder="1"/>
    <xf numFmtId="4" fontId="0" fillId="4" borderId="6" xfId="0" applyNumberFormat="1" applyFill="1" applyBorder="1"/>
    <xf numFmtId="4" fontId="0" fillId="0" borderId="4" xfId="0" applyNumberFormat="1" applyBorder="1"/>
    <xf numFmtId="0" fontId="0" fillId="0" borderId="6" xfId="0" applyBorder="1"/>
    <xf numFmtId="4" fontId="0" fillId="0" borderId="2" xfId="0" applyNumberFormat="1" applyBorder="1"/>
    <xf numFmtId="0" fontId="0" fillId="0" borderId="4" xfId="0" applyBorder="1" applyAlignment="1">
      <alignment horizontal="center" vertical="center"/>
    </xf>
    <xf numFmtId="4" fontId="0" fillId="5" borderId="18" xfId="0" applyNumberFormat="1" applyFill="1" applyBorder="1" applyAlignment="1">
      <alignment horizontal="right" vertical="center"/>
    </xf>
    <xf numFmtId="4" fontId="1" fillId="0" borderId="16" xfId="0" applyNumberFormat="1" applyFont="1" applyBorder="1" applyAlignment="1">
      <alignment horizontal="center"/>
    </xf>
    <xf numFmtId="4" fontId="0" fillId="5" borderId="10" xfId="0" applyNumberFormat="1" applyFill="1" applyBorder="1" applyAlignment="1">
      <alignment horizontal="right" vertical="center"/>
    </xf>
    <xf numFmtId="0" fontId="4" fillId="0" borderId="13" xfId="0" applyFont="1" applyBorder="1"/>
    <xf numFmtId="4" fontId="1" fillId="0" borderId="21" xfId="0" applyNumberFormat="1" applyFont="1" applyBorder="1" applyAlignment="1">
      <alignment horizontal="center"/>
    </xf>
    <xf numFmtId="0" fontId="4" fillId="0" borderId="22" xfId="0" applyFont="1" applyBorder="1"/>
    <xf numFmtId="4" fontId="0" fillId="5" borderId="18" xfId="0" applyNumberFormat="1" applyFill="1" applyBorder="1"/>
    <xf numFmtId="4" fontId="1" fillId="0" borderId="16" xfId="0" applyNumberFormat="1" applyFont="1" applyBorder="1" applyAlignment="1">
      <alignment horizontal="center" vertical="center"/>
    </xf>
    <xf numFmtId="4" fontId="1" fillId="0" borderId="8" xfId="0" applyNumberFormat="1" applyFont="1" applyBorder="1" applyAlignment="1">
      <alignment horizontal="center" vertical="center"/>
    </xf>
    <xf numFmtId="4" fontId="1" fillId="0" borderId="12" xfId="0" applyNumberFormat="1" applyFont="1" applyBorder="1" applyAlignment="1">
      <alignment horizontal="center" vertical="center"/>
    </xf>
    <xf numFmtId="0" fontId="4" fillId="3" borderId="21" xfId="0" quotePrefix="1" applyFont="1" applyFill="1" applyBorder="1" applyAlignment="1">
      <alignment horizontal="left"/>
    </xf>
    <xf numFmtId="4" fontId="0" fillId="5" borderId="21" xfId="0" applyNumberFormat="1" applyFill="1" applyBorder="1"/>
    <xf numFmtId="0" fontId="4" fillId="0" borderId="0" xfId="0" applyFont="1" applyAlignment="1">
      <alignment horizontal="right"/>
    </xf>
    <xf numFmtId="4" fontId="3" fillId="0" borderId="0" xfId="0" applyNumberFormat="1" applyFont="1" applyAlignment="1">
      <alignment horizontal="center"/>
    </xf>
    <xf numFmtId="0" fontId="4" fillId="0" borderId="0" xfId="0" applyFont="1"/>
    <xf numFmtId="4" fontId="5" fillId="0" borderId="0" xfId="0" applyNumberFormat="1" applyFont="1"/>
    <xf numFmtId="4" fontId="4" fillId="0" borderId="0" xfId="0" applyNumberFormat="1" applyFont="1"/>
    <xf numFmtId="4" fontId="3" fillId="0" borderId="0" xfId="0" applyNumberFormat="1" applyFont="1"/>
    <xf numFmtId="0" fontId="5" fillId="0" borderId="0" xfId="0" applyFont="1"/>
    <xf numFmtId="0" fontId="5" fillId="0" borderId="0" xfId="0" quotePrefix="1" applyFont="1"/>
    <xf numFmtId="4" fontId="5" fillId="0" borderId="0" xfId="0" quotePrefix="1" applyNumberFormat="1" applyFont="1" applyAlignment="1">
      <alignment vertical="center" wrapText="1"/>
    </xf>
    <xf numFmtId="0" fontId="8" fillId="0" borderId="0" xfId="0" applyFont="1"/>
    <xf numFmtId="4" fontId="7" fillId="0" borderId="0" xfId="0" applyNumberFormat="1" applyFont="1"/>
    <xf numFmtId="4" fontId="8" fillId="0" borderId="0" xfId="0" applyNumberFormat="1" applyFont="1"/>
    <xf numFmtId="4" fontId="6" fillId="0" borderId="0" xfId="0" applyNumberFormat="1" applyFont="1"/>
    <xf numFmtId="0" fontId="6" fillId="0" borderId="0" xfId="0" applyFont="1" applyAlignment="1">
      <alignment horizontal="right" wrapText="1"/>
    </xf>
    <xf numFmtId="4" fontId="4" fillId="0" borderId="0" xfId="0" applyNumberFormat="1" applyFont="1" applyAlignment="1">
      <alignment vertical="center"/>
    </xf>
    <xf numFmtId="0" fontId="7" fillId="0" borderId="0" xfId="0" applyFont="1" applyAlignment="1">
      <alignment horizontal="right"/>
    </xf>
    <xf numFmtId="0" fontId="6" fillId="0" borderId="0" xfId="0" quotePrefix="1" applyFont="1" applyAlignment="1">
      <alignment horizontal="right" wrapText="1"/>
    </xf>
    <xf numFmtId="0" fontId="6" fillId="0" borderId="0" xfId="0" applyFont="1" applyAlignment="1">
      <alignment horizontal="right" wrapText="1"/>
    </xf>
    <xf numFmtId="0" fontId="4" fillId="0" borderId="0" xfId="0" applyFont="1" applyAlignment="1">
      <alignment horizontal="left"/>
    </xf>
    <xf numFmtId="4" fontId="4" fillId="0" borderId="0" xfId="0" applyNumberFormat="1" applyFont="1" applyAlignment="1">
      <alignment horizontal="left"/>
    </xf>
    <xf numFmtId="4" fontId="4" fillId="0" borderId="0" xfId="0" quotePrefix="1" applyNumberFormat="1" applyFont="1" applyAlignment="1">
      <alignment horizontal="left"/>
    </xf>
    <xf numFmtId="0" fontId="4" fillId="0" borderId="0" xfId="0" quotePrefix="1" applyFont="1" applyAlignment="1">
      <alignment horizontal="left"/>
    </xf>
    <xf numFmtId="4" fontId="4" fillId="0" borderId="0" xfId="0" quotePrefix="1" applyNumberFormat="1" applyFont="1" applyAlignment="1">
      <alignment horizontal="right"/>
    </xf>
    <xf numFmtId="4" fontId="6" fillId="0" borderId="0" xfId="0" quotePrefix="1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0" fillId="0" borderId="20" xfId="0" applyNumberFormat="1" applyBorder="1" applyAlignment="1">
      <alignment horizontal="right" vertical="center"/>
    </xf>
    <xf numFmtId="4" fontId="0" fillId="0" borderId="10" xfId="0" applyNumberFormat="1" applyBorder="1" applyAlignment="1">
      <alignment horizontal="right" vertical="center"/>
    </xf>
    <xf numFmtId="4" fontId="1" fillId="0" borderId="21" xfId="0" applyNumberFormat="1" applyFont="1" applyBorder="1" applyAlignment="1">
      <alignment horizontal="center" vertical="center"/>
    </xf>
    <xf numFmtId="4" fontId="1" fillId="0" borderId="8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right"/>
    </xf>
    <xf numFmtId="4" fontId="0" fillId="0" borderId="14" xfId="0" applyNumberFormat="1" applyBorder="1" applyAlignment="1">
      <alignment horizontal="right" vertical="center"/>
    </xf>
    <xf numFmtId="4" fontId="0" fillId="5" borderId="20" xfId="0" applyNumberFormat="1" applyFill="1" applyBorder="1" applyAlignment="1">
      <alignment horizontal="right" vertical="center"/>
    </xf>
    <xf numFmtId="4" fontId="0" fillId="5" borderId="14" xfId="0" applyNumberFormat="1" applyFill="1" applyBorder="1" applyAlignment="1">
      <alignment horizontal="right" vertical="center"/>
    </xf>
    <xf numFmtId="4" fontId="1" fillId="0" borderId="12" xfId="0" applyNumberFormat="1" applyFont="1" applyBorder="1" applyAlignment="1">
      <alignment horizontal="center" vertical="center"/>
    </xf>
    <xf numFmtId="4" fontId="0" fillId="5" borderId="10" xfId="0" applyNumberFormat="1" applyFill="1" applyBorder="1" applyAlignment="1">
      <alignment horizontal="right" vertical="center"/>
    </xf>
    <xf numFmtId="4" fontId="1" fillId="5" borderId="20" xfId="0" applyNumberFormat="1" applyFont="1" applyFill="1" applyBorder="1" applyAlignment="1">
      <alignment horizontal="right" vertical="center"/>
    </xf>
    <xf numFmtId="4" fontId="1" fillId="5" borderId="14" xfId="0" applyNumberFormat="1" applyFont="1" applyFill="1" applyBorder="1" applyAlignment="1">
      <alignment horizontal="right" vertical="center"/>
    </xf>
    <xf numFmtId="4" fontId="1" fillId="0" borderId="24" xfId="0" applyNumberFormat="1" applyFont="1" applyBorder="1" applyAlignment="1">
      <alignment horizontal="center" vertical="center"/>
    </xf>
    <xf numFmtId="4" fontId="0" fillId="6" borderId="20" xfId="0" applyNumberFormat="1" applyFill="1" applyBorder="1" applyAlignment="1">
      <alignment horizontal="right" vertical="center"/>
    </xf>
    <xf numFmtId="4" fontId="0" fillId="6" borderId="10" xfId="0" applyNumberFormat="1" applyFill="1" applyBorder="1" applyAlignment="1">
      <alignment horizontal="right" vertical="center"/>
    </xf>
    <xf numFmtId="4" fontId="0" fillId="6" borderId="14" xfId="0" applyNumberFormat="1" applyFill="1" applyBorder="1" applyAlignment="1">
      <alignment horizontal="right" vertical="center"/>
    </xf>
    <xf numFmtId="4" fontId="0" fillId="2" borderId="20" xfId="0" applyNumberFormat="1" applyFill="1" applyBorder="1" applyAlignment="1">
      <alignment horizontal="right" vertical="center"/>
    </xf>
    <xf numFmtId="4" fontId="0" fillId="2" borderId="10" xfId="0" applyNumberFormat="1" applyFill="1" applyBorder="1" applyAlignment="1">
      <alignment horizontal="right" vertical="center"/>
    </xf>
    <xf numFmtId="4" fontId="1" fillId="0" borderId="21" xfId="0" quotePrefix="1" applyNumberFormat="1" applyFont="1" applyBorder="1" applyAlignment="1">
      <alignment horizontal="center" vertical="center"/>
    </xf>
    <xf numFmtId="4" fontId="3" fillId="2" borderId="20" xfId="0" applyNumberFormat="1" applyFont="1" applyFill="1" applyBorder="1" applyAlignment="1">
      <alignment horizontal="right" vertical="center"/>
    </xf>
    <xf numFmtId="4" fontId="3" fillId="2" borderId="14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Balanc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ntral.rinterna.local\flsstore\Orccontrolo\Report%20&#193;reas%20de%20Neg&#243;cio\Reportes%20Gerados\CentrosGestores-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OrcControlo/Relatorios/Report%20&#193;reas%20de%20Neg&#243;cio/Reportes%20Gerados/CentrosGestores-ST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c_tec_serv\SERVIDOR\para%20compartir\uri\EQUIPO%20ANALISIS\Iberoamerica\Semanal\050599\Tot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_Analisis/EQUIPO%20ANALISIS/Iberoamerica/May00/Real0005/Avance/aven00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personal/e804781_corp_santander_pt/Documents/Microsoft%20Teams%20Chat%20Files/PILAR_3_COMISSOES_23A0_ANO_2024_Anali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"/>
      <sheetName val="Tipos de cambio"/>
      <sheetName val="Activo"/>
      <sheetName val="Pasivo"/>
      <sheetName val="ActivoUSD"/>
      <sheetName val="PasivoUSD"/>
      <sheetName val="ActivoVar"/>
      <sheetName val="PasivoVar"/>
      <sheetName val="ActivoAjustes"/>
      <sheetName val="PasivoAjustes "/>
      <sheetName val="ActivoEspaña"/>
      <sheetName val="PasivoEspaña"/>
      <sheetName val="ActivoUSDEspaña"/>
      <sheetName val="PasivoUSDEspaña"/>
      <sheetName val="ActivoVarEspaña"/>
      <sheetName val="PasivoVarEspaña"/>
      <sheetName val="ActivoMedioAcum"/>
      <sheetName val="PasivoMedioAcum"/>
      <sheetName val="ActivoUSDMedioAcum"/>
      <sheetName val="PasivoUSDMedioAcum"/>
      <sheetName val="ActivoVarMedioAcum"/>
      <sheetName val="PasivoVarMedioAcum"/>
      <sheetName val="ActivoEstructura"/>
      <sheetName val="PasivoEstructura"/>
      <sheetName val="ActivoGrafML"/>
      <sheetName val="ActivoGrafUSD"/>
      <sheetName val="PasivoGrafML"/>
      <sheetName val="PasivoGrafUSD"/>
      <sheetName val="BalanceActEstGraf"/>
      <sheetName val="BalancePasEstGraf "/>
      <sheetName val="BalanceEstMedGraf"/>
      <sheetName val="CarteraTitML"/>
      <sheetName val="CarteraTitUSD"/>
      <sheetName val="CarteraTitVar"/>
      <sheetName val="CréditoClientesML"/>
      <sheetName val="CréditoClientesUSD"/>
      <sheetName val="CréditoClientesAcumML"/>
      <sheetName val="CréditoClientesAcumUSD"/>
      <sheetName val="CréditoGrafML"/>
      <sheetName val="CréditoGrafUSD"/>
      <sheetName val="CréditoClientesSegmentosML"/>
      <sheetName val="CréditoClientesSegmentosUSD"/>
      <sheetName val="CréditoClientesSegmentosVar"/>
      <sheetName val="CréditoClientesSegAcumML"/>
      <sheetName val="CréditoClientesSegAcumUSD"/>
      <sheetName val="CréditoClientesSegGrafML"/>
      <sheetName val="CréditoClientesSegGrafUSD"/>
      <sheetName val="IFCOAML"/>
      <sheetName val="IFCOAUSD"/>
      <sheetName val="DebitosML"/>
      <sheetName val="DebitosUSD"/>
      <sheetName val="DéditoGrafML"/>
      <sheetName val="DéditoGrafUSD"/>
      <sheetName val="FondosEspML"/>
      <sheetName val="FondosEspUSD"/>
      <sheetName val="RRPPYOPML"/>
      <sheetName val="RRPPYOPUSD"/>
      <sheetName val="ActivoMonedasML"/>
      <sheetName val="ActivoMonedasUSD"/>
      <sheetName val="PasivoMonedasML"/>
      <sheetName val="PasivoMonedasUSD"/>
      <sheetName val="SociedadesActivoML"/>
      <sheetName val="SociedadesActivoUSD"/>
      <sheetName val="SociedadesPasivoML"/>
      <sheetName val="SociedadesPasivoUSD"/>
      <sheetName val="SociedadesActivoMLVar"/>
      <sheetName val="SociedadesPasivoMLVar"/>
      <sheetName val="SociedadesActivoUSDVar"/>
      <sheetName val="SociedadesPasivoUSDVar"/>
      <sheetName val="BALCONSI"/>
      <sheetName val="MIntermActivo"/>
      <sheetName val="MIntermPasivo"/>
      <sheetName val="Activo99"/>
      <sheetName val="Activo00"/>
      <sheetName val="Activo00ppto"/>
      <sheetName val="Pasivo99"/>
      <sheetName val="Pasivo00"/>
      <sheetName val="Pasivo00ppto"/>
      <sheetName val="Ingfin99"/>
      <sheetName val="Ingfin00"/>
      <sheetName val="Ingfinppto"/>
      <sheetName val="Costfin99"/>
      <sheetName val="Costfin00"/>
      <sheetName val="Costfinppto"/>
      <sheetName val="Comin"/>
      <sheetName val="Otgtos"/>
      <sheetName val="SocLocalML"/>
      <sheetName val="clientes"/>
      <sheetName val="clientes2"/>
      <sheetName val="inmovmat"/>
      <sheetName val="Detalle Fondos"/>
      <sheetName val="Hoja2"/>
      <sheetName val="Hoja3"/>
      <sheetName val="CyP996"/>
      <sheetName val="Activos Inmateriales"/>
      <sheetName val="Balance"/>
      <sheetName val="SopBal-00"/>
      <sheetName val="ACTIVOBCOML61"/>
      <sheetName val="PASIVOPAISML57"/>
      <sheetName val="MIVOLMEDIOACTML111"/>
      <sheetName val="Hoja1"/>
      <sheetName val="Acumulada"/>
      <sheetName val="Cartera"/>
      <sheetName val="Cascada"/>
      <sheetName val="Cascada Acum."/>
      <sheetName val="Balance ppto"/>
      <sheetName val="Tesoreria"/>
      <sheetName val="Balance (3)"/>
      <sheetName val="SOPORTES"/>
      <sheetName val="IND"/>
      <sheetName val="BPD"/>
      <sheetName val="RAL"/>
      <sheetName val="RME"/>
      <sheetName val="MMA"/>
      <sheetName val="PJU"/>
      <sheetName val="PYM"/>
      <sheetName val="EMP"/>
      <sheetName val="INS"/>
      <sheetName val="COR"/>
      <sheetName val="UNI_TOT"/>
      <sheetName val="UNI"/>
      <sheetName val="PRF"/>
      <sheetName val="ADM"/>
      <sheetName val="EST_TOT"/>
      <sheetName val="ES1"/>
      <sheetName val="ES2"/>
      <sheetName val="N_TOT"/>
      <sheetName val="N_BP"/>
      <sheetName val="N_RA"/>
      <sheetName val="N_RM"/>
      <sheetName val="N_MM"/>
      <sheetName val="est"/>
      <sheetName val="USD"/>
      <sheetName val="CONSOLIDADO 2006"/>
      <sheetName val="CONSUL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os"/>
      <sheetName val="BNeg"/>
      <sheetName val="BRsc"/>
      <sheetName val="BVE"/>
      <sheetName val="BRnd"/>
      <sheetName val="BCms"/>
      <sheetName val="BCms2"/>
      <sheetName val="BManuais"/>
      <sheetName val="ANeg"/>
      <sheetName val="ARsc"/>
      <sheetName val="AVE"/>
      <sheetName val="ARnd"/>
      <sheetName val="ACms"/>
      <sheetName val="ACms2"/>
      <sheetName val="AManuais"/>
      <sheetName val="ENeg"/>
      <sheetName val="ERsc"/>
      <sheetName val="EVE"/>
      <sheetName val="ERnd"/>
      <sheetName val="ECms"/>
      <sheetName val="ECms2"/>
      <sheetName val="EManuais"/>
      <sheetName val="ONeg"/>
      <sheetName val="ORsc"/>
      <sheetName val="OVE"/>
      <sheetName val="ORnd"/>
      <sheetName val="OCms"/>
      <sheetName val="OCms2"/>
      <sheetName val="OManuais"/>
      <sheetName val="EAuxFactor"/>
      <sheetName val="EAuxGraf1"/>
      <sheetName val="EAuxGraf2"/>
      <sheetName val="OAuxGraf1"/>
      <sheetName val="OAuxGraf2"/>
      <sheetName val="EAux"/>
      <sheetName val="Capa"/>
      <sheetName val="Indice"/>
      <sheetName val="TableauBord"/>
      <sheetName val="TableauBord1"/>
      <sheetName val="DR"/>
      <sheetName val="DR_25M"/>
      <sheetName val="Graf0"/>
      <sheetName val="GrafMF"/>
      <sheetName val="MFMAnt"/>
      <sheetName val="MFMAnt DP"/>
      <sheetName val="MFOrcM"/>
      <sheetName val="MFAAnt"/>
      <sheetName val="MFAAnt DP"/>
      <sheetName val="MFOrcA"/>
      <sheetName val="Spread"/>
      <sheetName val="Spread_Balanco"/>
      <sheetName val="MFmês"/>
      <sheetName val="Comissões"/>
      <sheetName val="Graf1"/>
      <sheetName val="VarSMV"/>
      <sheetName val="Graf2-DC"/>
      <sheetName val="Graf2-CH"/>
      <sheetName val="Graf2-CC"/>
      <sheetName val="Graf2-FC"/>
      <sheetName val="Graf2-OE"/>
      <sheetName val="Graf2-CA"/>
      <sheetName val="Graf2-CE"/>
      <sheetName val="Risco"/>
      <sheetName val="ES-CV"/>
      <sheetName val="Anexo I"/>
      <sheetName val="SpreadCntNovas"/>
      <sheetName val="TxMédia"/>
      <sheetName val="TxRef"/>
      <sheetName val="TxPontual"/>
      <sheetName val="TxCntNovas"/>
      <sheetName val="MF MAnt"/>
      <sheetName val="ComDriverJust"/>
      <sheetName val="ComDriverEvol"/>
      <sheetName val="Anexo II"/>
      <sheetName val="VarSP"/>
      <sheetName val="SP"/>
      <sheetName val="SMV"/>
      <sheetName val="VarSMVMensais"/>
      <sheetName val="Nº Contas"/>
      <sheetName val="Anexo III"/>
      <sheetName val="FactorM"/>
      <sheetName val="FactorA"/>
      <sheetName val="ComissõesStandard"/>
      <sheetName val="ComissõesB"/>
      <sheetName val="ComissõesQ"/>
      <sheetName val="Comissões_Total"/>
      <sheetName val="MFMAntXX"/>
      <sheetName val="MFMHom"/>
      <sheetName val="MFMHom DP"/>
      <sheetName val="ProdDPs"/>
      <sheetName val="ProdEmp"/>
      <sheetName val="ProdCons"/>
      <sheetName val="ProdConfForn"/>
      <sheetName val="CE_DR"/>
      <sheetName val="CE_DR_Evo"/>
      <sheetName val="CE_DR_CF"/>
      <sheetName val="CE_DR_Evo_CF"/>
      <sheetName val="CE_PB_graf"/>
      <sheetName val="CE_MF_graf"/>
      <sheetName val="CE_Cms_graf"/>
      <sheetName val="CE_GrafMF"/>
      <sheetName val="CE_WF_MFM"/>
      <sheetName val="CE_WF_MFA"/>
      <sheetName val="CE_MFMAnt"/>
      <sheetName val="CE_MFMAnt_DP"/>
      <sheetName val="CE_MFMAntXX"/>
      <sheetName val="CE_MFMHom"/>
      <sheetName val="CE_MFOrcM"/>
      <sheetName val="CE_MFAAnt"/>
      <sheetName val="CE_MFOrcA"/>
      <sheetName val="CE_VarSMV"/>
      <sheetName val="CE_Comissoes"/>
      <sheetName val="CE_Comissoes_Resumido"/>
      <sheetName val="CE_Graf0"/>
      <sheetName val="CE_Risco"/>
      <sheetName val="CE_ES-CV"/>
      <sheetName val="CE_Graf1"/>
      <sheetName val="CE_Graf2-DC"/>
      <sheetName val="CE_Graf2-CH"/>
      <sheetName val="CE_Graf2-CC"/>
      <sheetName val="CE_Graf2-CC2"/>
      <sheetName val="CE_Graf2-CA"/>
      <sheetName val="CE_Graf2-FC"/>
      <sheetName val="CE_Graf2-CE"/>
      <sheetName val="CE_Graf2-OE"/>
      <sheetName val="CE_ProdBanc_Evol"/>
      <sheetName val="Graf2-CH (2)"/>
      <sheetName val="Graf3-CH"/>
      <sheetName val="CE_DR_Imp"/>
      <sheetName val="CE_DR_Evo_Imp"/>
      <sheetName val="CE_DR_CF_Imp"/>
      <sheetName val="CE_DR_EVO_CF_Imp"/>
      <sheetName val="CE_MFMAnt_EMP"/>
      <sheetName val="CE_MFMAntXX_EMP"/>
      <sheetName val="CE_MFMHom_EMP"/>
      <sheetName val="CE_MFOrcM_EMP"/>
      <sheetName val="CE_MFAAnt_EMP"/>
      <sheetName val="CE_MFOrcA_EMP"/>
      <sheetName val="CE_VarSMV_EMP"/>
      <sheetName val="CE_ProdEmp"/>
      <sheetName val="CE_ProdCons"/>
      <sheetName val="CE_ProdDPs"/>
      <sheetName val="CE_Comissoes (Antigo)"/>
      <sheetName val="ComDriver"/>
      <sheetName val="CL"/>
      <sheetName val="CentrosGestores-ST"/>
      <sheetName val="C"/>
      <sheetName val="End"/>
      <sheetName val="Ed"/>
      <sheetName val="E"/>
      <sheetName val="EN"/>
      <sheetName val="ENe"/>
      <sheetName val="Neg"/>
      <sheetName val="DR_I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os"/>
      <sheetName val="Valida"/>
      <sheetName val="BNeg"/>
      <sheetName val="BRsc"/>
      <sheetName val="BVE"/>
      <sheetName val="BRnd"/>
      <sheetName val="BCms1"/>
      <sheetName val="BCms2"/>
      <sheetName val="BManuais"/>
      <sheetName val="ANeg"/>
      <sheetName val="ARsc"/>
      <sheetName val="AVE"/>
      <sheetName val="ARnd"/>
      <sheetName val="ACms1"/>
      <sheetName val="ACms2"/>
      <sheetName val="AManuais"/>
      <sheetName val="ENeg"/>
      <sheetName val="ERsc"/>
      <sheetName val="EVE"/>
      <sheetName val="Ajustes"/>
      <sheetName val="ERnd"/>
      <sheetName val="ECms1"/>
      <sheetName val="ECms2"/>
      <sheetName val="ECms3"/>
      <sheetName val="EManuais"/>
      <sheetName val="ONeg"/>
      <sheetName val="ORsc"/>
      <sheetName val="OVE"/>
      <sheetName val="ORnd"/>
      <sheetName val="OCms1"/>
      <sheetName val="OCms2"/>
      <sheetName val="OCms3"/>
      <sheetName val="OManuais"/>
      <sheetName val="EAuxFactor"/>
      <sheetName val="EAuxGraf1"/>
      <sheetName val="EAuxGraf2"/>
      <sheetName val="OAuxGraf1"/>
      <sheetName val="OAuxGraf2"/>
      <sheetName val="EAux"/>
      <sheetName val="Capa"/>
      <sheetName val="Indice"/>
      <sheetName val="Resumo"/>
      <sheetName val="DR"/>
      <sheetName val="DR_PLR"/>
      <sheetName val="DR_25M"/>
      <sheetName val="Graf0"/>
      <sheetName val="GrafMF"/>
      <sheetName val="MFmês"/>
      <sheetName val="Spread"/>
      <sheetName val="Spread_Balanco"/>
      <sheetName val="SpreadCntNovas"/>
      <sheetName val="FactorM"/>
      <sheetName val="FactorA"/>
      <sheetName val="MFMAnt"/>
      <sheetName val="MFMAnt DP"/>
      <sheetName val="MFOrcM"/>
      <sheetName val="MFAAnt"/>
      <sheetName val="MFAAnt DP"/>
      <sheetName val="MFOrcA"/>
      <sheetName val="PL"/>
      <sheetName val="PL_%"/>
      <sheetName val="PLMAnt"/>
      <sheetName val="PLMOrc"/>
      <sheetName val="PLAAnt"/>
      <sheetName val="PLAOrc"/>
      <sheetName val="MFmês_SPL"/>
      <sheetName val="Spread_SPL"/>
      <sheetName val="MFMAnt_SPL"/>
      <sheetName val="MFMOrc_SPL"/>
      <sheetName val="MFAAnt_SPL"/>
      <sheetName val="MFAOrc_SPL"/>
      <sheetName val="TxMédia"/>
      <sheetName val="TxRef"/>
      <sheetName val="TxPontual"/>
      <sheetName val="TxCntNovas"/>
      <sheetName val="SP"/>
      <sheetName val="SMV"/>
      <sheetName val="VarSP"/>
      <sheetName val="VarSMV"/>
      <sheetName val="VarSMVMensais"/>
      <sheetName val="Nº Contas"/>
      <sheetName val="ProdDPs"/>
      <sheetName val="ProdCons"/>
      <sheetName val="Comissões"/>
      <sheetName val="Comissões_Agregado"/>
      <sheetName val="ComDriverJust"/>
      <sheetName val="ComDriverEvol"/>
      <sheetName val="ComissõesStandard"/>
      <sheetName val="CmsSegurosAutónomos"/>
      <sheetName val="Risco"/>
      <sheetName val="ES-CV"/>
      <sheetName val="Anexo I"/>
      <sheetName val="MF MAnt"/>
      <sheetName val="Graf1"/>
      <sheetName val="Graf2-DC"/>
      <sheetName val="Graf2-CH"/>
      <sheetName val="Graf2-CC"/>
      <sheetName val="Graf2-CC2"/>
      <sheetName val="Graf2-CA"/>
      <sheetName val="Graf2-FC"/>
      <sheetName val="Graf2-CE"/>
      <sheetName val="Graf2-OE"/>
      <sheetName val="Graf3-CH"/>
      <sheetName val="ProdConfForn"/>
      <sheetName val="ProdEmp"/>
      <sheetName val="MFMAntXX"/>
      <sheetName val="MFMHom"/>
      <sheetName val="MFMHom DP"/>
      <sheetName val="PLR"/>
      <sheetName val="CE_DR"/>
      <sheetName val="CE_DR_Evo"/>
      <sheetName val="CE_GrafMF"/>
      <sheetName val="CE_WF_MFM"/>
      <sheetName val="CE_WF_MFA"/>
      <sheetName val="CE_Cms_FSM"/>
      <sheetName val="CE_Cms_FSA"/>
      <sheetName val="CE_Comissoes_Resumido"/>
      <sheetName val="CE_Comissoes_Resumido_Outras"/>
      <sheetName val="CE_ProdBanc_Evol"/>
      <sheetName val="LdN"/>
      <sheetName val="ModuloRiesgos"/>
      <sheetName val="LdN_Ant"/>
      <sheetName val="ModuloRiesgos_Ant"/>
      <sheetName val="CE_MFMAnt"/>
      <sheetName val="CE_MFMAnt_DP"/>
      <sheetName val="CE_MFMAntXX"/>
      <sheetName val="CE_MFMHom"/>
      <sheetName val="CE_MFOrcM"/>
      <sheetName val="CE_MFAAnt"/>
      <sheetName val="CE_MFOrcA"/>
      <sheetName val="CE_VarSP"/>
      <sheetName val="CE_VarSMV"/>
      <sheetName val="CE_Cms_FB"/>
      <sheetName val="CE_Graf0"/>
      <sheetName val="CE_Graf1"/>
      <sheetName val="CE_Graf2-DC"/>
      <sheetName val="CE_Graf2-CH"/>
      <sheetName val="CE_Graf2-CC"/>
      <sheetName val="CE_Graf2-CC2"/>
      <sheetName val="CE_Graf2-CA"/>
      <sheetName val="CE_Graf2-FC"/>
      <sheetName val="CE_Graf2-CE"/>
      <sheetName val="CE_Graf2-OE"/>
      <sheetName val="BCms"/>
      <sheetName val="ACms"/>
      <sheetName val="ECms"/>
      <sheetName val="OCms"/>
      <sheetName val="ComissõesB"/>
      <sheetName val="ComissõesQ"/>
      <sheetName val="Comissões_Total"/>
      <sheetName val="CE_PB_graf"/>
      <sheetName val="CE_MF_graf"/>
      <sheetName val="CE_Cms_graf"/>
      <sheetName val="CE_Graf_SMV"/>
      <sheetName val="CE_Comissoes"/>
      <sheetName val="TableauBord"/>
      <sheetName val="TableauBord1"/>
      <sheetName val="DR_PL"/>
      <sheetName val="DR_25M_PL"/>
      <sheetName val="Anexo II"/>
      <sheetName val="Anexo III"/>
      <sheetName val="Premio_Liq"/>
      <sheetName val="MFmês_Aj"/>
      <sheetName val="Premio_Liq_%"/>
      <sheetName val="Spread_Ajustado"/>
      <sheetName val="PLIQMAnt"/>
      <sheetName val="CE_DR_CF"/>
      <sheetName val="CE_DR_Evo_CF"/>
      <sheetName val="CE_Risco"/>
      <sheetName val="CE_ES-CV"/>
      <sheetName val="Graf2-CH (2)"/>
      <sheetName val="PLIQAAnt"/>
      <sheetName val="PLIQMOrc"/>
      <sheetName val="PLIQAOrc"/>
      <sheetName val="CentrosGestores-ST"/>
      <sheetName val="ECms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"/>
      <sheetName val="Tipos de cambio"/>
      <sheetName val="Credito"/>
      <sheetName val="CreditoPais"/>
      <sheetName val="RiesgoCredI"/>
      <sheetName val="RiesgoCredIPais"/>
      <sheetName val="RiesgoCredII"/>
      <sheetName val="Debitos"/>
      <sheetName val="DebitosPais"/>
      <sheetName val="IFB"/>
      <sheetName val="IFBPais"/>
      <sheetName val="Comentarios"/>
      <sheetName val="Calce"/>
      <sheetName val="NPLfinal"/>
      <sheetName val="Modelo"/>
      <sheetName val="Valuacion"/>
      <sheetName val="Resumen Rtdos."/>
      <sheetName val="Payback"/>
      <sheetName val="franquicia BCRA"/>
      <sheetName val="Valuación"/>
      <sheetName val="Controles"/>
      <sheetName val="Indice"/>
      <sheetName val="Datos"/>
      <sheetName val="CascadaML"/>
      <sheetName val="CascadaUS"/>
      <sheetName val="MIntermActivo"/>
      <sheetName val="MIntermPasivo"/>
      <sheetName val="Activo (4)"/>
      <sheetName val="Pasivo (5)"/>
      <sheetName val="ActivoUSD (6)"/>
      <sheetName val="PasivoUSD (7)"/>
      <sheetName val="ActivoUSD (8)"/>
      <sheetName val="PasivoUSD (9)"/>
      <sheetName val="SaldFinAct00ML"/>
      <sheetName val="SaldMedAct00ML"/>
      <sheetName val="IngFinAct00ML"/>
      <sheetName val="RendAct00ML"/>
      <sheetName val="SaldFinPas00ML"/>
      <sheetName val="SaldMedPas00ML"/>
      <sheetName val="EgreFinPas00ML"/>
      <sheetName val="CostPas00ML"/>
      <sheetName val="SaldFinAct00US"/>
      <sheetName val="SaldMedAct00US"/>
      <sheetName val="IngFinAct00US"/>
      <sheetName val="SaldFinPas00US"/>
      <sheetName val="SaldMedPas00US"/>
      <sheetName val="EgreFinPas00US"/>
      <sheetName val="SaldFinAct01ML"/>
      <sheetName val="SaldMedAct01ML"/>
      <sheetName val="IngFinAct01ML"/>
      <sheetName val="RendAct01ML"/>
      <sheetName val="SaldFinPas01ML"/>
      <sheetName val="SaldMedPas01ML"/>
      <sheetName val="EgreFinPas01ML"/>
      <sheetName val="CostPas01ML"/>
      <sheetName val="SaldFinAct01US"/>
      <sheetName val="SaldMedAct01US"/>
      <sheetName val="IngFinAct01US"/>
      <sheetName val="SaldFinPas01US"/>
      <sheetName val="SaldMedPas01US"/>
      <sheetName val="EgreFinPas01US"/>
      <sheetName val="ROE"/>
      <sheetName val="Eficiencia"/>
      <sheetName val="Efic. con Amort."/>
      <sheetName val="Recurrencia"/>
      <sheetName val="Cuotas"/>
      <sheetName val="Cuotas Prod. Regionales"/>
      <sheetName val="Cond1"/>
      <sheetName val="Cond2"/>
      <sheetName val="Cond2a"/>
      <sheetName val="Cond2b"/>
      <sheetName val="Cond3"/>
      <sheetName val="Plantilla"/>
      <sheetName val="Fondos"/>
      <sheetName val="Clientela1"/>
      <sheetName val="Clientela2"/>
      <sheetName val="Productos"/>
      <sheetName val="Canales"/>
      <sheetName val="Actividad"/>
      <sheetName val="Actividad2"/>
      <sheetName val="inver.+amort."/>
      <sheetName val="Inver.ejec.+compro."/>
      <sheetName val="Adjudicados"/>
      <sheetName val="Desinver"/>
      <sheetName val="MD"/>
      <sheetName val="UMS"/>
      <sheetName val="Hoja2"/>
      <sheetName val="Hoja3"/>
      <sheetName val="AperturaActivo $-U$S"/>
      <sheetName val="AperturaPasivo$-U$S"/>
      <sheetName val="CascadaResultados"/>
      <sheetName val="Balance"/>
      <sheetName val="AccionesOptimizar"/>
      <sheetName val="IND"/>
      <sheetName val="BPD"/>
      <sheetName val="RAL"/>
      <sheetName val="RME"/>
      <sheetName val="MMA"/>
      <sheetName val="PJU"/>
      <sheetName val="PYM"/>
      <sheetName val="EMP"/>
      <sheetName val="INS"/>
      <sheetName val="COR"/>
      <sheetName val="UNI_TOT"/>
      <sheetName val="UNI"/>
      <sheetName val="PRF"/>
      <sheetName val="ADM"/>
      <sheetName val="EST_TOT"/>
      <sheetName val="ES1"/>
      <sheetName val="ES2"/>
      <sheetName val="N_TOT"/>
      <sheetName val="N_BP"/>
      <sheetName val="N_RA"/>
      <sheetName val="N_RM"/>
      <sheetName val="N_MM"/>
      <sheetName val="est"/>
      <sheetName val="INDICE_Bitacora_Escalar_II_PPTO"/>
      <sheetName val="Negocio"/>
      <sheetName val="Modelo_Negocios (2)"/>
      <sheetName val="Portada (2)"/>
      <sheetName val="TiposdeCambio"/>
      <sheetName val="Fort_Pat"/>
      <sheetName val="Portada (3)"/>
      <sheetName val="Oficinas"/>
      <sheetName val="Portada (4)"/>
      <sheetName val="RRHH_Gts"/>
      <sheetName val="RRHH_ÁREA"/>
      <sheetName val="Portada (5)"/>
      <sheetName val="Otgtos00"/>
      <sheetName val="INMOVILIZADO"/>
      <sheetName val="DESINVERSION"/>
      <sheetName val="Portada (6)"/>
      <sheetName val="ResPro_Tar Tot "/>
      <sheetName val="Res_Seg_tot"/>
      <sheetName val="ResPro_FFPP_Tot"/>
      <sheetName val="Portada (7)"/>
      <sheetName val="Uni_ML_Tot"/>
      <sheetName val="Uni_ML_Est"/>
      <sheetName val="Uni_ML_Est_1Ci"/>
      <sheetName val="Uni_ML_Est_1Ci_cc"/>
      <sheetName val="Uni_ML_Est_1Ci_sc"/>
      <sheetName val="Uni_ML_Est_2Ci"/>
      <sheetName val="Uni_ML_Est_2Ci_cc"/>
      <sheetName val="Uni_ML_Est_2Ci_sc"/>
      <sheetName val="Uni_ML_Per"/>
      <sheetName val="Uni_ML_Per_Pro"/>
      <sheetName val="Uni_ML_Per_Pro_cc"/>
      <sheetName val="Uni_ML_Per_Pro_sc"/>
      <sheetName val="Uni_ML_Per_Adm"/>
      <sheetName val="Uni_ML_Per_Adm_cc"/>
      <sheetName val="Uni_ML_Per_Adm_sc"/>
      <sheetName val="Uni_ML_Uni"/>
      <sheetName val="Uni_ML_Uni_Pub"/>
      <sheetName val="Uni_ML_Uni_Pub_cc"/>
      <sheetName val="Uni_ML_Uni_Pub_sc"/>
      <sheetName val="Uni_ML_Uni_Pri"/>
      <sheetName val="Uni_ML_Uni_Pri_cc"/>
      <sheetName val="Uni_ML_Uni_Pri_sc"/>
      <sheetName val="Univ_Actividad"/>
      <sheetName val="Portada (8)"/>
      <sheetName val="RMA"/>
      <sheetName val="PYM1"/>
      <sheetName val="PYM2"/>
      <sheetName val="N_RAL"/>
      <sheetName val="N_RME"/>
      <sheetName val="N_RMA"/>
      <sheetName val="Portada (9)"/>
      <sheetName val="MACRO"/>
      <sheetName val="ENTORNO"/>
      <sheetName val="CUOTAS_PUB"/>
      <sheetName val="CUOTAS_GEST"/>
      <sheetName val="OTROS"/>
      <sheetName val="CONSOLIDADO 2006"/>
      <sheetName val="Tipos_de_cambio2"/>
      <sheetName val="Resumen_Rtdos_2"/>
      <sheetName val="franquicia_BCRA2"/>
      <sheetName val="Activo_(4)2"/>
      <sheetName val="Pasivo_(5)2"/>
      <sheetName val="ActivoUSD_(6)2"/>
      <sheetName val="PasivoUSD_(7)2"/>
      <sheetName val="ActivoUSD_(8)2"/>
      <sheetName val="PasivoUSD_(9)2"/>
      <sheetName val="Efic__con_Amort_2"/>
      <sheetName val="Cuotas_Prod__Regionales2"/>
      <sheetName val="inver_+amort_2"/>
      <sheetName val="Inver_ejec_+compro_2"/>
      <sheetName val="AperturaActivo_$-U$S2"/>
      <sheetName val="Modelo_Negocios_(2)2"/>
      <sheetName val="Portada_(2)2"/>
      <sheetName val="Portada_(3)2"/>
      <sheetName val="Portada_(4)2"/>
      <sheetName val="Portada_(5)2"/>
      <sheetName val="Portada_(6)2"/>
      <sheetName val="ResPro_Tar_Tot_2"/>
      <sheetName val="Portada_(7)2"/>
      <sheetName val="Portada_(8)2"/>
      <sheetName val="Portada_(9)2"/>
      <sheetName val="CONSOLIDADO_20062"/>
      <sheetName val="Tipos_de_cambio"/>
      <sheetName val="Resumen_Rtdos_"/>
      <sheetName val="franquicia_BCRA"/>
      <sheetName val="Activo_(4)"/>
      <sheetName val="Pasivo_(5)"/>
      <sheetName val="ActivoUSD_(6)"/>
      <sheetName val="PasivoUSD_(7)"/>
      <sheetName val="ActivoUSD_(8)"/>
      <sheetName val="PasivoUSD_(9)"/>
      <sheetName val="Efic__con_Amort_"/>
      <sheetName val="Cuotas_Prod__Regionales"/>
      <sheetName val="inver_+amort_"/>
      <sheetName val="Inver_ejec_+compro_"/>
      <sheetName val="AperturaActivo_$-U$S"/>
      <sheetName val="Modelo_Negocios_(2)"/>
      <sheetName val="Portada_(2)"/>
      <sheetName val="Portada_(3)"/>
      <sheetName val="Portada_(4)"/>
      <sheetName val="Portada_(5)"/>
      <sheetName val="Portada_(6)"/>
      <sheetName val="ResPro_Tar_Tot_"/>
      <sheetName val="Portada_(7)"/>
      <sheetName val="Portada_(8)"/>
      <sheetName val="Portada_(9)"/>
      <sheetName val="CONSOLIDADO_2006"/>
      <sheetName val="Tipos_de_cambio1"/>
      <sheetName val="Resumen_Rtdos_1"/>
      <sheetName val="franquicia_BCRA1"/>
      <sheetName val="Activo_(4)1"/>
      <sheetName val="Pasivo_(5)1"/>
      <sheetName val="ActivoUSD_(6)1"/>
      <sheetName val="PasivoUSD_(7)1"/>
      <sheetName val="ActivoUSD_(8)1"/>
      <sheetName val="PasivoUSD_(9)1"/>
      <sheetName val="Efic__con_Amort_1"/>
      <sheetName val="Cuotas_Prod__Regionales1"/>
      <sheetName val="inver_+amort_1"/>
      <sheetName val="Inver_ejec_+compro_1"/>
      <sheetName val="AperturaActivo_$-U$S1"/>
      <sheetName val="Modelo_Negocios_(2)1"/>
      <sheetName val="Portada_(2)1"/>
      <sheetName val="Portada_(3)1"/>
      <sheetName val="Portada_(4)1"/>
      <sheetName val="Portada_(5)1"/>
      <sheetName val="Portada_(6)1"/>
      <sheetName val="ResPro_Tar_Tot_1"/>
      <sheetName val="Portada_(7)1"/>
      <sheetName val="Portada_(8)1"/>
      <sheetName val="Portada_(9)1"/>
      <sheetName val="CONSOLIDADO_20061"/>
      <sheetName val="Tipos_de_cambio3"/>
      <sheetName val="Resumen_Rtdos_3"/>
      <sheetName val="franquicia_BCRA3"/>
      <sheetName val="Activo_(4)3"/>
      <sheetName val="Pasivo_(5)3"/>
      <sheetName val="ActivoUSD_(6)3"/>
      <sheetName val="PasivoUSD_(7)3"/>
      <sheetName val="ActivoUSD_(8)3"/>
      <sheetName val="PasivoUSD_(9)3"/>
      <sheetName val="Efic__con_Amort_3"/>
      <sheetName val="Cuotas_Prod__Regionales3"/>
      <sheetName val="inver_+amort_3"/>
      <sheetName val="Inver_ejec_+compro_3"/>
      <sheetName val="AperturaActivo_$-U$S3"/>
      <sheetName val="Modelo_Negocios_(2)3"/>
      <sheetName val="Portada_(2)3"/>
      <sheetName val="Portada_(3)3"/>
      <sheetName val="Portada_(4)3"/>
      <sheetName val="Portada_(5)3"/>
      <sheetName val="Portada_(6)3"/>
      <sheetName val="ResPro_Tar_Tot_3"/>
      <sheetName val="Portada_(7)3"/>
      <sheetName val="Portada_(8)3"/>
      <sheetName val="Portada_(9)3"/>
      <sheetName val="CONSOLIDADO_20063"/>
      <sheetName val="PLAN1"/>
      <sheetName val="SubF"/>
      <sheetName val="Hon. P. Físicas"/>
      <sheetName val="CASCADA"/>
      <sheetName val="2002"/>
      <sheetName val="Hon__P__Físicas"/>
      <sheetName val="Hon__P__Físicas1"/>
      <sheetName val="RESUMEN"/>
      <sheetName val="Sheet16"/>
      <sheetName val="Hon__P__Físicas3"/>
      <sheetName val="Hon__P__Físicas2"/>
      <sheetName val="A"/>
      <sheetName val="Res. Mês"/>
      <sheetName val="div.atv.cta"/>
      <sheetName val="Key Assumptions"/>
      <sheetName val="Custo Get"/>
      <sheetName val="PARAMETROS"/>
      <sheetName val="TDINAMI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"/>
      <sheetName val="Pagina1"/>
      <sheetName val="Pagina2"/>
      <sheetName val="Ajustes"/>
      <sheetName val="Pagina3"/>
      <sheetName val="Pagina4"/>
      <sheetName val="Pagina5"/>
      <sheetName val="Pagina6"/>
      <sheetName val="Pagina7"/>
      <sheetName val="Pagina8"/>
      <sheetName val="Pagina9"/>
      <sheetName val="AVANCEPAIS"/>
      <sheetName val="AVANCEBANCO"/>
      <sheetName val="Pagina10"/>
      <sheetName val="Pagina11"/>
      <sheetName val="Pagina12"/>
      <sheetName val="Pagina13"/>
      <sheetName val="Pagina14"/>
      <sheetName val="Pagina15"/>
      <sheetName val="Pagina16"/>
      <sheetName val="Pagina17"/>
      <sheetName val="Pagina18"/>
      <sheetName val="Pagina19"/>
      <sheetName val="Pagina20"/>
      <sheetName val="Pagina21"/>
      <sheetName val="Pagina22"/>
      <sheetName val="Pagina23"/>
      <sheetName val="Pagina24"/>
      <sheetName val="Pagina25"/>
      <sheetName val="Pagina26"/>
      <sheetName val="Pagina27"/>
      <sheetName val="Pagina28"/>
      <sheetName val="Pagina29"/>
      <sheetName val="Comentarios"/>
      <sheetName val="Comentarios2"/>
      <sheetName val="Comentarios3"/>
      <sheetName val="Comentarios4"/>
      <sheetName val="Comentarios5"/>
      <sheetName val="Comentarios6"/>
      <sheetName val="IND"/>
      <sheetName val="BPD"/>
      <sheetName val="RAL"/>
      <sheetName val="RME"/>
      <sheetName val="MMA"/>
      <sheetName val="PJU"/>
      <sheetName val="PYM"/>
      <sheetName val="EMP"/>
      <sheetName val="INS"/>
      <sheetName val="COR"/>
      <sheetName val="UNI_TOT"/>
      <sheetName val="UNI"/>
      <sheetName val="PRF"/>
      <sheetName val="ADM"/>
      <sheetName val="EST_TOT"/>
      <sheetName val="ES1"/>
      <sheetName val="ES2"/>
      <sheetName val="N_TOT"/>
      <sheetName val="N_BP"/>
      <sheetName val="N_RA"/>
      <sheetName val="N_RM"/>
      <sheetName val="N_MM"/>
      <sheetName val="est"/>
      <sheetName val="CONSOLIDADO 2006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ciliação Proveitos"/>
      <sheetName val="Reconciliação_ComissoesLiqudas"/>
      <sheetName val="QUERY_FOR_TRNSTRANSPOSED_0008"/>
      <sheetName val="23A0's mês"/>
      <sheetName val="Arvore"/>
      <sheetName val="CMS"/>
      <sheetName val="Análise_IFIC"/>
      <sheetName val="ConfirmingFornecedor"/>
      <sheetName val="Irlanda"/>
      <sheetName val="Fin vs NFin"/>
      <sheetName val="Mapeamento"/>
      <sheetName val="C"/>
      <sheetName val="OREX"/>
      <sheetName val="GG"/>
      <sheetName val="MF"/>
      <sheetName val="Pivot"/>
      <sheetName val="FicContab-comissoes_BST_dez24"/>
    </sheetNames>
    <sheetDataSet>
      <sheetData sheetId="0"/>
      <sheetData sheetId="1"/>
      <sheetData sheetId="2"/>
      <sheetData sheetId="3"/>
      <sheetData sheetId="4">
        <row r="8">
          <cell r="N8" t="str">
            <v/>
          </cell>
          <cell r="O8" t="str">
            <v/>
          </cell>
          <cell r="P8" t="str">
            <v/>
          </cell>
          <cell r="Q8" t="str">
            <v/>
          </cell>
        </row>
        <row r="9">
          <cell r="N9" t="str">
            <v/>
          </cell>
          <cell r="O9" t="str">
            <v/>
          </cell>
          <cell r="P9" t="str">
            <v/>
          </cell>
          <cell r="Q9" t="str">
            <v/>
          </cell>
        </row>
        <row r="10"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</row>
        <row r="11"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</row>
        <row r="12">
          <cell r="N12" t="str">
            <v>825942</v>
          </cell>
          <cell r="O12" t="str">
            <v/>
          </cell>
          <cell r="P12" t="str">
            <v/>
          </cell>
          <cell r="Q12" t="str">
            <v>51950</v>
          </cell>
        </row>
        <row r="13">
          <cell r="N13" t="str">
            <v>825942</v>
          </cell>
          <cell r="O13" t="str">
            <v>046</v>
          </cell>
          <cell r="P13" t="str">
            <v>046825942</v>
          </cell>
          <cell r="Q13" t="str">
            <v>51950</v>
          </cell>
        </row>
        <row r="14"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</row>
        <row r="15">
          <cell r="N15" t="str">
            <v>825942</v>
          </cell>
          <cell r="O15" t="str">
            <v/>
          </cell>
          <cell r="P15" t="str">
            <v/>
          </cell>
          <cell r="Q15" t="str">
            <v>51950</v>
          </cell>
        </row>
        <row r="16">
          <cell r="N16" t="str">
            <v>825942</v>
          </cell>
          <cell r="O16" t="str">
            <v>23O</v>
          </cell>
          <cell r="P16" t="str">
            <v>23O825942</v>
          </cell>
          <cell r="Q16" t="str">
            <v>51950</v>
          </cell>
        </row>
        <row r="17">
          <cell r="N17" t="str">
            <v>825942</v>
          </cell>
          <cell r="O17" t="str">
            <v>24L</v>
          </cell>
          <cell r="P17" t="str">
            <v>24L825942</v>
          </cell>
          <cell r="Q17" t="str">
            <v>51950</v>
          </cell>
        </row>
        <row r="18">
          <cell r="N18" t="str">
            <v>825942</v>
          </cell>
          <cell r="O18" t="str">
            <v>41H</v>
          </cell>
          <cell r="P18" t="str">
            <v>41H825942</v>
          </cell>
          <cell r="Q18" t="str">
            <v>51950</v>
          </cell>
        </row>
        <row r="19"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</row>
        <row r="20">
          <cell r="N20" t="str">
            <v>825942</v>
          </cell>
          <cell r="O20" t="str">
            <v/>
          </cell>
          <cell r="P20" t="str">
            <v/>
          </cell>
          <cell r="Q20" t="str">
            <v>51950</v>
          </cell>
        </row>
        <row r="21">
          <cell r="N21" t="str">
            <v>825942</v>
          </cell>
          <cell r="O21" t="str">
            <v>CTM</v>
          </cell>
          <cell r="P21" t="str">
            <v>CTM825942</v>
          </cell>
          <cell r="Q21" t="str">
            <v>51950</v>
          </cell>
        </row>
        <row r="22"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</row>
        <row r="23">
          <cell r="N23" t="str">
            <v>825933</v>
          </cell>
          <cell r="O23" t="str">
            <v/>
          </cell>
          <cell r="P23" t="str">
            <v/>
          </cell>
          <cell r="Q23" t="str">
            <v>512010</v>
          </cell>
        </row>
        <row r="24">
          <cell r="N24" t="str">
            <v>825933</v>
          </cell>
          <cell r="O24" t="str">
            <v>2AE</v>
          </cell>
          <cell r="P24" t="str">
            <v>2AE825933</v>
          </cell>
          <cell r="Q24" t="str">
            <v>512010</v>
          </cell>
        </row>
        <row r="25">
          <cell r="N25" t="str">
            <v>825933</v>
          </cell>
          <cell r="O25" t="str">
            <v>2AG</v>
          </cell>
          <cell r="P25" t="str">
            <v>2AG825933</v>
          </cell>
          <cell r="Q25" t="str">
            <v>512010</v>
          </cell>
        </row>
        <row r="26">
          <cell r="N26" t="str">
            <v>825942</v>
          </cell>
          <cell r="O26" t="str">
            <v/>
          </cell>
          <cell r="P26" t="str">
            <v/>
          </cell>
          <cell r="Q26" t="str">
            <v>51950</v>
          </cell>
        </row>
        <row r="27">
          <cell r="N27" t="str">
            <v>825942</v>
          </cell>
          <cell r="O27" t="str">
            <v>ECN</v>
          </cell>
          <cell r="P27" t="str">
            <v>ECN825942</v>
          </cell>
          <cell r="Q27" t="str">
            <v>51950</v>
          </cell>
        </row>
        <row r="28">
          <cell r="N28" t="str">
            <v>825942</v>
          </cell>
          <cell r="O28" t="str">
            <v>EGE</v>
          </cell>
          <cell r="P28" t="str">
            <v>EGE825942</v>
          </cell>
          <cell r="Q28" t="str">
            <v>51950</v>
          </cell>
        </row>
        <row r="29">
          <cell r="N29" t="str">
            <v>825942</v>
          </cell>
          <cell r="O29" t="str">
            <v>ONL</v>
          </cell>
          <cell r="P29" t="str">
            <v>ONL825942</v>
          </cell>
          <cell r="Q29" t="str">
            <v>51950</v>
          </cell>
        </row>
        <row r="30">
          <cell r="N30" t="str">
            <v>825942</v>
          </cell>
          <cell r="O30" t="str">
            <v>VFF</v>
          </cell>
          <cell r="P30" t="str">
            <v>VFF825942</v>
          </cell>
          <cell r="Q30" t="str">
            <v>51950</v>
          </cell>
        </row>
        <row r="31">
          <cell r="N31" t="str">
            <v>825942</v>
          </cell>
          <cell r="O31" t="str">
            <v>111</v>
          </cell>
          <cell r="P31" t="str">
            <v>111825942</v>
          </cell>
          <cell r="Q31" t="str">
            <v>51950</v>
          </cell>
        </row>
        <row r="32">
          <cell r="N32" t="str">
            <v>825942</v>
          </cell>
          <cell r="O32" t="str">
            <v>178</v>
          </cell>
          <cell r="P32" t="str">
            <v>178825942</v>
          </cell>
          <cell r="Q32" t="str">
            <v>51950</v>
          </cell>
        </row>
        <row r="33">
          <cell r="N33" t="str">
            <v>825942</v>
          </cell>
          <cell r="O33" t="str">
            <v>8NY</v>
          </cell>
          <cell r="P33" t="str">
            <v>8NY825942</v>
          </cell>
          <cell r="Q33" t="str">
            <v>51950</v>
          </cell>
        </row>
        <row r="34">
          <cell r="N34" t="str">
            <v>825942</v>
          </cell>
          <cell r="O34" t="str">
            <v>865</v>
          </cell>
          <cell r="P34" t="str">
            <v>865825942</v>
          </cell>
          <cell r="Q34" t="str">
            <v>51950</v>
          </cell>
        </row>
        <row r="35"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</row>
        <row r="36"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</row>
        <row r="37">
          <cell r="N37" t="str">
            <v>71690</v>
          </cell>
          <cell r="O37" t="str">
            <v/>
          </cell>
          <cell r="P37" t="str">
            <v/>
          </cell>
          <cell r="Q37" t="str">
            <v/>
          </cell>
        </row>
        <row r="38">
          <cell r="N38" t="str">
            <v>71690</v>
          </cell>
          <cell r="O38" t="str">
            <v>X11</v>
          </cell>
          <cell r="P38" t="str">
            <v>X1171690</v>
          </cell>
          <cell r="Q38" t="str">
            <v/>
          </cell>
        </row>
        <row r="39">
          <cell r="N39" t="str">
            <v>71690</v>
          </cell>
          <cell r="O39" t="str">
            <v>YDC</v>
          </cell>
          <cell r="P39" t="str">
            <v>YDC71690</v>
          </cell>
          <cell r="Q39" t="str">
            <v/>
          </cell>
        </row>
        <row r="40">
          <cell r="N40" t="str">
            <v>716900</v>
          </cell>
          <cell r="O40" t="str">
            <v/>
          </cell>
          <cell r="P40" t="str">
            <v/>
          </cell>
          <cell r="Q40" t="str">
            <v/>
          </cell>
        </row>
        <row r="41">
          <cell r="N41" t="str">
            <v>716900</v>
          </cell>
          <cell r="O41" t="str">
            <v>X11</v>
          </cell>
          <cell r="P41" t="str">
            <v>X11716900</v>
          </cell>
          <cell r="Q41" t="str">
            <v/>
          </cell>
        </row>
        <row r="42">
          <cell r="N42" t="str">
            <v>716900</v>
          </cell>
          <cell r="O42" t="str">
            <v>YDC</v>
          </cell>
          <cell r="P42" t="str">
            <v>YDC716900</v>
          </cell>
          <cell r="Q42" t="str">
            <v/>
          </cell>
        </row>
        <row r="43">
          <cell r="N43" t="str">
            <v>7169000</v>
          </cell>
          <cell r="O43" t="str">
            <v/>
          </cell>
          <cell r="P43" t="str">
            <v/>
          </cell>
          <cell r="Q43" t="str">
            <v>51959</v>
          </cell>
        </row>
        <row r="44">
          <cell r="N44" t="str">
            <v>7169000</v>
          </cell>
          <cell r="O44" t="str">
            <v>L01</v>
          </cell>
          <cell r="P44" t="str">
            <v>L017169000</v>
          </cell>
          <cell r="Q44" t="str">
            <v>51959</v>
          </cell>
        </row>
        <row r="45">
          <cell r="N45" t="str">
            <v>7169000</v>
          </cell>
          <cell r="O45" t="str">
            <v>X11</v>
          </cell>
          <cell r="P45" t="str">
            <v>X117169000</v>
          </cell>
          <cell r="Q45" t="str">
            <v>51959</v>
          </cell>
        </row>
        <row r="46">
          <cell r="N46" t="str">
            <v>7169000</v>
          </cell>
          <cell r="O46" t="str">
            <v>YDC</v>
          </cell>
          <cell r="P46" t="str">
            <v>YDC7169000</v>
          </cell>
          <cell r="Q46" t="str">
            <v>51959</v>
          </cell>
        </row>
        <row r="47">
          <cell r="N47" t="str">
            <v>7169009</v>
          </cell>
          <cell r="O47" t="str">
            <v/>
          </cell>
          <cell r="P47" t="str">
            <v/>
          </cell>
          <cell r="Q47" t="str">
            <v>4161599</v>
          </cell>
        </row>
        <row r="48">
          <cell r="N48" t="str">
            <v>7169009</v>
          </cell>
          <cell r="O48" t="str">
            <v>X11</v>
          </cell>
          <cell r="P48" t="str">
            <v>X117169009</v>
          </cell>
          <cell r="Q48" t="str">
            <v>4161599</v>
          </cell>
        </row>
        <row r="49">
          <cell r="N49" t="str">
            <v>7169009</v>
          </cell>
          <cell r="O49" t="str">
            <v>YDC</v>
          </cell>
          <cell r="P49" t="str">
            <v>YDC7169009</v>
          </cell>
          <cell r="Q49" t="str">
            <v>4161599</v>
          </cell>
        </row>
        <row r="50">
          <cell r="N50" t="str">
            <v>71906</v>
          </cell>
          <cell r="O50" t="str">
            <v/>
          </cell>
          <cell r="P50" t="str">
            <v/>
          </cell>
          <cell r="Q50" t="str">
            <v/>
          </cell>
        </row>
        <row r="51">
          <cell r="N51" t="str">
            <v>71906</v>
          </cell>
          <cell r="O51" t="str">
            <v>YDC</v>
          </cell>
          <cell r="P51" t="str">
            <v>YDC71906</v>
          </cell>
          <cell r="Q51" t="str">
            <v/>
          </cell>
        </row>
        <row r="52"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</row>
        <row r="53">
          <cell r="N53" t="str">
            <v>71690</v>
          </cell>
          <cell r="O53" t="str">
            <v/>
          </cell>
          <cell r="P53" t="str">
            <v/>
          </cell>
          <cell r="Q53" t="str">
            <v/>
          </cell>
        </row>
        <row r="54">
          <cell r="N54" t="str">
            <v>71690</v>
          </cell>
          <cell r="O54" t="str">
            <v>X12</v>
          </cell>
          <cell r="P54" t="str">
            <v>X1271690</v>
          </cell>
          <cell r="Q54" t="str">
            <v/>
          </cell>
        </row>
        <row r="55">
          <cell r="N55" t="str">
            <v>71690</v>
          </cell>
          <cell r="O55" t="str">
            <v>YDE</v>
          </cell>
          <cell r="P55" t="str">
            <v>YDE71690</v>
          </cell>
          <cell r="Q55" t="str">
            <v/>
          </cell>
        </row>
        <row r="56">
          <cell r="N56" t="str">
            <v>71690</v>
          </cell>
          <cell r="O56" t="str">
            <v>YDF</v>
          </cell>
          <cell r="P56" t="str">
            <v>YDF71690</v>
          </cell>
          <cell r="Q56" t="str">
            <v/>
          </cell>
        </row>
        <row r="57">
          <cell r="N57" t="str">
            <v>71690</v>
          </cell>
          <cell r="O57" t="str">
            <v>YGM</v>
          </cell>
          <cell r="P57" t="str">
            <v>YGM71690</v>
          </cell>
          <cell r="Q57" t="str">
            <v/>
          </cell>
        </row>
        <row r="58">
          <cell r="N58" t="str">
            <v>716900</v>
          </cell>
          <cell r="O58" t="str">
            <v/>
          </cell>
          <cell r="P58" t="str">
            <v/>
          </cell>
          <cell r="Q58" t="str">
            <v/>
          </cell>
        </row>
        <row r="59">
          <cell r="N59" t="str">
            <v>716900</v>
          </cell>
          <cell r="O59" t="str">
            <v>X12</v>
          </cell>
          <cell r="P59" t="str">
            <v>X12716900</v>
          </cell>
          <cell r="Q59" t="str">
            <v/>
          </cell>
        </row>
        <row r="60">
          <cell r="N60" t="str">
            <v>716900</v>
          </cell>
          <cell r="O60" t="str">
            <v>YDE</v>
          </cell>
          <cell r="P60" t="str">
            <v>YDE716900</v>
          </cell>
          <cell r="Q60" t="str">
            <v/>
          </cell>
        </row>
        <row r="61">
          <cell r="N61" t="str">
            <v>716900</v>
          </cell>
          <cell r="O61" t="str">
            <v>YDF</v>
          </cell>
          <cell r="P61" t="str">
            <v>YDF716900</v>
          </cell>
          <cell r="Q61" t="str">
            <v/>
          </cell>
        </row>
        <row r="62">
          <cell r="N62" t="str">
            <v>716900</v>
          </cell>
          <cell r="O62" t="str">
            <v>YGM</v>
          </cell>
          <cell r="P62" t="str">
            <v>YGM716900</v>
          </cell>
          <cell r="Q62" t="str">
            <v/>
          </cell>
        </row>
        <row r="63">
          <cell r="N63" t="str">
            <v>7169001</v>
          </cell>
          <cell r="O63" t="str">
            <v/>
          </cell>
          <cell r="P63" t="str">
            <v/>
          </cell>
          <cell r="Q63" t="str">
            <v>51959</v>
          </cell>
        </row>
        <row r="64">
          <cell r="N64" t="str">
            <v>7169001</v>
          </cell>
          <cell r="O64" t="str">
            <v>X12</v>
          </cell>
          <cell r="P64" t="str">
            <v>X127169001</v>
          </cell>
          <cell r="Q64" t="str">
            <v>51959</v>
          </cell>
        </row>
        <row r="65">
          <cell r="N65" t="str">
            <v>7169001</v>
          </cell>
          <cell r="O65" t="str">
            <v>YDE</v>
          </cell>
          <cell r="P65" t="str">
            <v>YDE7169001</v>
          </cell>
          <cell r="Q65" t="str">
            <v>51959</v>
          </cell>
        </row>
        <row r="66">
          <cell r="N66" t="str">
            <v>7169001</v>
          </cell>
          <cell r="O66" t="str">
            <v>YDF</v>
          </cell>
          <cell r="P66" t="str">
            <v>YDF7169001</v>
          </cell>
          <cell r="Q66" t="str">
            <v>51959</v>
          </cell>
        </row>
        <row r="67">
          <cell r="N67" t="str">
            <v>7169001</v>
          </cell>
          <cell r="O67" t="str">
            <v>YGM</v>
          </cell>
          <cell r="P67" t="str">
            <v>YGM7169001</v>
          </cell>
          <cell r="Q67" t="str">
            <v>51959</v>
          </cell>
        </row>
        <row r="68">
          <cell r="N68" t="str">
            <v>7169009</v>
          </cell>
          <cell r="O68" t="str">
            <v/>
          </cell>
          <cell r="P68" t="str">
            <v/>
          </cell>
          <cell r="Q68" t="str">
            <v>4161599</v>
          </cell>
        </row>
        <row r="69">
          <cell r="N69" t="str">
            <v>7169009</v>
          </cell>
          <cell r="O69" t="str">
            <v>X12</v>
          </cell>
          <cell r="P69" t="str">
            <v>X127169009</v>
          </cell>
          <cell r="Q69" t="str">
            <v>4161599</v>
          </cell>
        </row>
        <row r="70">
          <cell r="N70" t="str">
            <v>7169009</v>
          </cell>
          <cell r="O70" t="str">
            <v>YDE</v>
          </cell>
          <cell r="P70" t="str">
            <v>YDE7169009</v>
          </cell>
          <cell r="Q70" t="str">
            <v>4161599</v>
          </cell>
        </row>
        <row r="71">
          <cell r="N71" t="str">
            <v>7169009</v>
          </cell>
          <cell r="O71" t="str">
            <v>YDF</v>
          </cell>
          <cell r="P71" t="str">
            <v>YDF7169009</v>
          </cell>
          <cell r="Q71" t="str">
            <v>4161599</v>
          </cell>
        </row>
        <row r="72">
          <cell r="N72" t="str">
            <v>7169009</v>
          </cell>
          <cell r="O72" t="str">
            <v>YDM</v>
          </cell>
          <cell r="P72" t="str">
            <v>YDM7169009</v>
          </cell>
          <cell r="Q72" t="str">
            <v>4161599</v>
          </cell>
        </row>
        <row r="73">
          <cell r="N73" t="str">
            <v>7169009</v>
          </cell>
          <cell r="O73" t="str">
            <v>YGM</v>
          </cell>
          <cell r="P73" t="str">
            <v>YGM7169009</v>
          </cell>
          <cell r="Q73" t="str">
            <v>4161599</v>
          </cell>
        </row>
        <row r="74">
          <cell r="N74" t="str">
            <v>71906</v>
          </cell>
          <cell r="O74" t="str">
            <v/>
          </cell>
          <cell r="P74" t="str">
            <v/>
          </cell>
          <cell r="Q74" t="str">
            <v/>
          </cell>
        </row>
        <row r="75">
          <cell r="N75" t="str">
            <v>71906</v>
          </cell>
          <cell r="O75" t="str">
            <v>YDE</v>
          </cell>
          <cell r="P75" t="str">
            <v>YDE71906</v>
          </cell>
          <cell r="Q75" t="str">
            <v/>
          </cell>
        </row>
        <row r="76">
          <cell r="N76" t="str">
            <v>71906</v>
          </cell>
          <cell r="O76" t="str">
            <v>YDF</v>
          </cell>
          <cell r="P76" t="str">
            <v>YDF71906</v>
          </cell>
          <cell r="Q76" t="str">
            <v/>
          </cell>
        </row>
        <row r="77">
          <cell r="N77" t="str">
            <v>71906</v>
          </cell>
          <cell r="O77" t="str">
            <v>YGM</v>
          </cell>
          <cell r="P77" t="str">
            <v>YGM71906</v>
          </cell>
          <cell r="Q77" t="str">
            <v/>
          </cell>
        </row>
        <row r="78"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</row>
        <row r="79">
          <cell r="N79" t="str">
            <v>825946</v>
          </cell>
          <cell r="O79" t="str">
            <v/>
          </cell>
          <cell r="P79" t="str">
            <v/>
          </cell>
          <cell r="Q79" t="str">
            <v>51959</v>
          </cell>
        </row>
        <row r="80">
          <cell r="N80" t="str">
            <v>825946</v>
          </cell>
          <cell r="O80" t="str">
            <v>CTP</v>
          </cell>
          <cell r="P80" t="str">
            <v>CTP825946</v>
          </cell>
          <cell r="Q80" t="str">
            <v>51959</v>
          </cell>
        </row>
        <row r="81">
          <cell r="N81" t="str">
            <v>825946</v>
          </cell>
          <cell r="O81" t="str">
            <v>ONL</v>
          </cell>
          <cell r="P81" t="str">
            <v>ONL825946</v>
          </cell>
          <cell r="Q81" t="str">
            <v>51959</v>
          </cell>
        </row>
        <row r="82">
          <cell r="N82" t="str">
            <v>825946</v>
          </cell>
          <cell r="O82" t="str">
            <v>23A</v>
          </cell>
          <cell r="P82" t="str">
            <v>23A825946</v>
          </cell>
          <cell r="Q82" t="str">
            <v>51959</v>
          </cell>
        </row>
        <row r="83">
          <cell r="N83" t="str">
            <v>825946</v>
          </cell>
          <cell r="O83" t="str">
            <v>23L</v>
          </cell>
          <cell r="P83" t="str">
            <v>23L825946</v>
          </cell>
          <cell r="Q83" t="str">
            <v>51959</v>
          </cell>
        </row>
        <row r="84">
          <cell r="N84" t="str">
            <v>825946</v>
          </cell>
          <cell r="O84" t="str">
            <v>23O</v>
          </cell>
          <cell r="P84" t="str">
            <v>23O825946</v>
          </cell>
          <cell r="Q84" t="str">
            <v>51959</v>
          </cell>
        </row>
        <row r="85">
          <cell r="N85" t="str">
            <v>825949</v>
          </cell>
          <cell r="O85" t="str">
            <v/>
          </cell>
          <cell r="P85" t="str">
            <v/>
          </cell>
          <cell r="Q85" t="str">
            <v>51959</v>
          </cell>
        </row>
        <row r="86">
          <cell r="N86" t="str">
            <v>825949</v>
          </cell>
          <cell r="O86" t="str">
            <v>23F</v>
          </cell>
          <cell r="P86" t="str">
            <v>23F825949</v>
          </cell>
          <cell r="Q86" t="str">
            <v>51959</v>
          </cell>
        </row>
        <row r="87"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</row>
        <row r="88">
          <cell r="N88" t="str">
            <v>825943</v>
          </cell>
          <cell r="O88" t="str">
            <v/>
          </cell>
          <cell r="P88" t="str">
            <v/>
          </cell>
          <cell r="Q88" t="str">
            <v>51950</v>
          </cell>
        </row>
        <row r="89">
          <cell r="N89" t="str">
            <v>825943</v>
          </cell>
          <cell r="O89" t="str">
            <v>!AK</v>
          </cell>
          <cell r="P89" t="str">
            <v>!AK825943</v>
          </cell>
          <cell r="Q89" t="str">
            <v>51950</v>
          </cell>
        </row>
        <row r="90">
          <cell r="N90" t="str">
            <v>825943</v>
          </cell>
          <cell r="O90" t="str">
            <v>EGE</v>
          </cell>
          <cell r="P90" t="str">
            <v>EGE825943</v>
          </cell>
          <cell r="Q90" t="str">
            <v>51950</v>
          </cell>
        </row>
        <row r="91">
          <cell r="N91" t="str">
            <v>825943</v>
          </cell>
          <cell r="O91" t="str">
            <v>ONL</v>
          </cell>
          <cell r="P91" t="str">
            <v>ONL825943</v>
          </cell>
          <cell r="Q91" t="str">
            <v>51950</v>
          </cell>
        </row>
        <row r="92">
          <cell r="N92" t="str">
            <v>825943</v>
          </cell>
          <cell r="O92" t="str">
            <v>!PE</v>
          </cell>
          <cell r="P92" t="str">
            <v>!PE825943</v>
          </cell>
          <cell r="Q92" t="str">
            <v>51950</v>
          </cell>
        </row>
        <row r="93">
          <cell r="N93" t="str">
            <v>825943</v>
          </cell>
          <cell r="O93" t="str">
            <v>111</v>
          </cell>
          <cell r="P93" t="str">
            <v>111825943</v>
          </cell>
          <cell r="Q93" t="str">
            <v>51950</v>
          </cell>
        </row>
        <row r="94">
          <cell r="N94" t="str">
            <v>825943</v>
          </cell>
          <cell r="O94" t="str">
            <v>23F</v>
          </cell>
          <cell r="P94" t="str">
            <v>23F825943</v>
          </cell>
          <cell r="Q94" t="str">
            <v>51950</v>
          </cell>
        </row>
        <row r="95">
          <cell r="N95" t="str">
            <v>825943</v>
          </cell>
          <cell r="O95" t="str">
            <v>23J</v>
          </cell>
          <cell r="P95" t="str">
            <v>23J825943</v>
          </cell>
          <cell r="Q95" t="str">
            <v>51950</v>
          </cell>
        </row>
        <row r="96">
          <cell r="N96" t="str">
            <v>825943</v>
          </cell>
          <cell r="O96" t="str">
            <v>23K</v>
          </cell>
          <cell r="P96" t="str">
            <v>23K825943</v>
          </cell>
          <cell r="Q96" t="str">
            <v>51950</v>
          </cell>
        </row>
        <row r="97">
          <cell r="N97" t="str">
            <v>825943</v>
          </cell>
          <cell r="O97" t="str">
            <v>23R</v>
          </cell>
          <cell r="P97" t="str">
            <v>23R825943</v>
          </cell>
          <cell r="Q97" t="str">
            <v>51950</v>
          </cell>
        </row>
        <row r="98">
          <cell r="N98" t="str">
            <v>825943</v>
          </cell>
          <cell r="O98" t="str">
            <v>248</v>
          </cell>
          <cell r="P98" t="str">
            <v>248825943</v>
          </cell>
          <cell r="Q98" t="str">
            <v>51950</v>
          </cell>
        </row>
        <row r="99">
          <cell r="N99" t="str">
            <v>825943</v>
          </cell>
          <cell r="O99" t="str">
            <v>288</v>
          </cell>
          <cell r="P99" t="str">
            <v>288825943</v>
          </cell>
          <cell r="Q99" t="str">
            <v>51950</v>
          </cell>
        </row>
        <row r="100">
          <cell r="N100" t="str">
            <v>825943</v>
          </cell>
          <cell r="O100" t="str">
            <v>66</v>
          </cell>
          <cell r="P100" t="str">
            <v>66825943</v>
          </cell>
          <cell r="Q100" t="str">
            <v>51950</v>
          </cell>
        </row>
        <row r="101">
          <cell r="N101" t="str">
            <v/>
          </cell>
          <cell r="O101" t="str">
            <v/>
          </cell>
          <cell r="P101" t="str">
            <v/>
          </cell>
          <cell r="Q101" t="str">
            <v/>
          </cell>
        </row>
        <row r="102">
          <cell r="N102" t="str">
            <v/>
          </cell>
          <cell r="O102" t="str">
            <v/>
          </cell>
          <cell r="P102" t="str">
            <v/>
          </cell>
          <cell r="Q102" t="str">
            <v/>
          </cell>
        </row>
        <row r="103">
          <cell r="N103" t="str">
            <v>71904011</v>
          </cell>
          <cell r="O103" t="str">
            <v/>
          </cell>
          <cell r="P103" t="str">
            <v/>
          </cell>
          <cell r="Q103" t="str">
            <v>4161599</v>
          </cell>
        </row>
        <row r="104">
          <cell r="N104" t="str">
            <v>71904011</v>
          </cell>
          <cell r="O104" t="str">
            <v>BBE</v>
          </cell>
          <cell r="P104" t="str">
            <v>BBE71904011</v>
          </cell>
          <cell r="Q104" t="str">
            <v>4161599</v>
          </cell>
        </row>
        <row r="105">
          <cell r="N105" t="str">
            <v/>
          </cell>
          <cell r="O105" t="str">
            <v/>
          </cell>
          <cell r="P105" t="str">
            <v/>
          </cell>
          <cell r="Q105" t="str">
            <v/>
          </cell>
        </row>
        <row r="106">
          <cell r="N106" t="str">
            <v>71904010</v>
          </cell>
          <cell r="O106" t="str">
            <v/>
          </cell>
          <cell r="P106" t="str">
            <v/>
          </cell>
          <cell r="Q106" t="str">
            <v>4161599</v>
          </cell>
        </row>
        <row r="107">
          <cell r="N107" t="str">
            <v>71904010</v>
          </cell>
          <cell r="O107" t="str">
            <v>BBB</v>
          </cell>
          <cell r="P107" t="str">
            <v>BBB71904010</v>
          </cell>
          <cell r="Q107" t="str">
            <v>4161599</v>
          </cell>
        </row>
        <row r="108">
          <cell r="N108" t="str">
            <v>71904010</v>
          </cell>
          <cell r="O108" t="str">
            <v>BBC</v>
          </cell>
          <cell r="P108" t="str">
            <v>BBC71904010</v>
          </cell>
          <cell r="Q108" t="str">
            <v>4161599</v>
          </cell>
        </row>
        <row r="109">
          <cell r="N109" t="str">
            <v>71904010</v>
          </cell>
          <cell r="O109" t="str">
            <v>ONL</v>
          </cell>
          <cell r="P109" t="str">
            <v>ONL71904010</v>
          </cell>
          <cell r="Q109" t="str">
            <v>4161599</v>
          </cell>
        </row>
        <row r="110">
          <cell r="N110" t="str">
            <v>71904013</v>
          </cell>
          <cell r="O110" t="str">
            <v/>
          </cell>
          <cell r="P110" t="str">
            <v/>
          </cell>
          <cell r="Q110" t="str">
            <v>4161599</v>
          </cell>
        </row>
        <row r="111">
          <cell r="N111" t="str">
            <v>71904013</v>
          </cell>
          <cell r="O111" t="str">
            <v>BBC</v>
          </cell>
          <cell r="P111" t="str">
            <v>BBC71904013</v>
          </cell>
          <cell r="Q111" t="str">
            <v>4161599</v>
          </cell>
        </row>
        <row r="112">
          <cell r="N112" t="str">
            <v>71904013</v>
          </cell>
          <cell r="O112" t="str">
            <v>BBX</v>
          </cell>
          <cell r="P112" t="str">
            <v>BBX71904013</v>
          </cell>
          <cell r="Q112" t="str">
            <v>4161599</v>
          </cell>
        </row>
        <row r="113">
          <cell r="N113" t="str">
            <v>71904013</v>
          </cell>
          <cell r="O113" t="str">
            <v>L01</v>
          </cell>
          <cell r="P113" t="str">
            <v>L0171904013</v>
          </cell>
          <cell r="Q113" t="str">
            <v>4161599</v>
          </cell>
        </row>
        <row r="114">
          <cell r="N114" t="str">
            <v>71904013</v>
          </cell>
          <cell r="O114" t="str">
            <v>ONL</v>
          </cell>
          <cell r="P114" t="str">
            <v>ONL71904013</v>
          </cell>
          <cell r="Q114" t="str">
            <v>4161599</v>
          </cell>
        </row>
        <row r="115">
          <cell r="N115" t="str">
            <v>71904013</v>
          </cell>
          <cell r="O115" t="str">
            <v>111</v>
          </cell>
          <cell r="P115" t="str">
            <v>11171904013</v>
          </cell>
          <cell r="Q115" t="str">
            <v>4161599</v>
          </cell>
        </row>
        <row r="116"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</row>
        <row r="117">
          <cell r="N117" t="str">
            <v>71904015</v>
          </cell>
          <cell r="O117" t="str">
            <v/>
          </cell>
          <cell r="P117" t="str">
            <v/>
          </cell>
          <cell r="Q117" t="str">
            <v>4198</v>
          </cell>
        </row>
        <row r="118">
          <cell r="N118" t="str">
            <v>71904015</v>
          </cell>
          <cell r="O118" t="str">
            <v>ONL</v>
          </cell>
          <cell r="P118" t="str">
            <v>ONL71904015</v>
          </cell>
          <cell r="Q118" t="str">
            <v>4198</v>
          </cell>
        </row>
        <row r="119">
          <cell r="N119" t="str">
            <v>71904015</v>
          </cell>
          <cell r="O119" t="str">
            <v>S9K</v>
          </cell>
          <cell r="P119" t="str">
            <v>S9K71904015</v>
          </cell>
          <cell r="Q119" t="str">
            <v>4198</v>
          </cell>
        </row>
        <row r="120">
          <cell r="N120" t="str">
            <v>71904015</v>
          </cell>
          <cell r="O120" t="str">
            <v>111</v>
          </cell>
          <cell r="P120" t="str">
            <v>11171904015</v>
          </cell>
          <cell r="Q120" t="str">
            <v>4198</v>
          </cell>
        </row>
        <row r="121">
          <cell r="N121" t="str">
            <v>71904016</v>
          </cell>
          <cell r="O121" t="str">
            <v/>
          </cell>
          <cell r="P121" t="str">
            <v/>
          </cell>
          <cell r="Q121" t="str">
            <v>4161599</v>
          </cell>
        </row>
        <row r="122">
          <cell r="N122" t="str">
            <v>71904016</v>
          </cell>
          <cell r="O122" t="str">
            <v>BBQ</v>
          </cell>
          <cell r="P122" t="str">
            <v>BBQ71904016</v>
          </cell>
          <cell r="Q122" t="str">
            <v>4161599</v>
          </cell>
        </row>
        <row r="123">
          <cell r="N123" t="str">
            <v/>
          </cell>
          <cell r="O123" t="str">
            <v/>
          </cell>
          <cell r="P123" t="str">
            <v/>
          </cell>
          <cell r="Q123" t="str">
            <v/>
          </cell>
        </row>
        <row r="124">
          <cell r="N124" t="str">
            <v>71904012</v>
          </cell>
          <cell r="O124" t="str">
            <v/>
          </cell>
          <cell r="P124" t="str">
            <v/>
          </cell>
          <cell r="Q124" t="str">
            <v>4161599</v>
          </cell>
        </row>
        <row r="125">
          <cell r="N125" t="str">
            <v>71904012</v>
          </cell>
          <cell r="O125" t="str">
            <v>BBI</v>
          </cell>
          <cell r="P125" t="str">
            <v>BBI71904012</v>
          </cell>
          <cell r="Q125" t="str">
            <v>4161599</v>
          </cell>
        </row>
        <row r="126">
          <cell r="N126" t="str">
            <v>71904018</v>
          </cell>
          <cell r="O126" t="str">
            <v/>
          </cell>
          <cell r="P126" t="str">
            <v/>
          </cell>
          <cell r="Q126" t="str">
            <v>4161599</v>
          </cell>
        </row>
        <row r="127">
          <cell r="N127" t="str">
            <v>71904018</v>
          </cell>
          <cell r="O127" t="str">
            <v>BBI</v>
          </cell>
          <cell r="P127" t="str">
            <v>BBI71904018</v>
          </cell>
          <cell r="Q127" t="str">
            <v>4161599</v>
          </cell>
        </row>
        <row r="128">
          <cell r="N128" t="str">
            <v/>
          </cell>
          <cell r="O128" t="str">
            <v/>
          </cell>
          <cell r="P128" t="str">
            <v/>
          </cell>
          <cell r="Q128" t="str">
            <v/>
          </cell>
        </row>
        <row r="129">
          <cell r="N129" t="str">
            <v>71904015</v>
          </cell>
          <cell r="O129" t="str">
            <v/>
          </cell>
          <cell r="P129" t="str">
            <v/>
          </cell>
          <cell r="Q129" t="str">
            <v>4198</v>
          </cell>
        </row>
        <row r="130">
          <cell r="N130" t="str">
            <v>71904015</v>
          </cell>
          <cell r="O130" t="str">
            <v>BBL</v>
          </cell>
          <cell r="P130" t="str">
            <v>BBL71904015</v>
          </cell>
          <cell r="Q130" t="str">
            <v>4198</v>
          </cell>
        </row>
        <row r="131">
          <cell r="N131" t="str">
            <v/>
          </cell>
          <cell r="O131" t="str">
            <v/>
          </cell>
          <cell r="P131" t="str">
            <v/>
          </cell>
          <cell r="Q131" t="str">
            <v/>
          </cell>
        </row>
        <row r="132">
          <cell r="N132" t="str">
            <v>71904012</v>
          </cell>
          <cell r="O132" t="str">
            <v/>
          </cell>
          <cell r="P132" t="str">
            <v/>
          </cell>
          <cell r="Q132" t="str">
            <v>4161599</v>
          </cell>
        </row>
        <row r="133">
          <cell r="N133" t="str">
            <v>71904012</v>
          </cell>
          <cell r="O133" t="str">
            <v>BBG</v>
          </cell>
          <cell r="P133" t="str">
            <v>BBG71904012</v>
          </cell>
          <cell r="Q133" t="str">
            <v>4161599</v>
          </cell>
        </row>
        <row r="134">
          <cell r="N134" t="str">
            <v>71904012</v>
          </cell>
          <cell r="O134" t="str">
            <v>BBH</v>
          </cell>
          <cell r="P134" t="str">
            <v>BBH71904012</v>
          </cell>
          <cell r="Q134" t="str">
            <v>4161599</v>
          </cell>
        </row>
        <row r="135">
          <cell r="N135" t="str">
            <v>71904012</v>
          </cell>
          <cell r="O135" t="str">
            <v>ONL</v>
          </cell>
          <cell r="P135" t="str">
            <v>ONL71904012</v>
          </cell>
          <cell r="Q135" t="str">
            <v>4161599</v>
          </cell>
        </row>
        <row r="136">
          <cell r="N136" t="str">
            <v/>
          </cell>
          <cell r="O136" t="str">
            <v/>
          </cell>
          <cell r="P136" t="str">
            <v/>
          </cell>
          <cell r="Q136" t="str">
            <v/>
          </cell>
        </row>
        <row r="137">
          <cell r="N137" t="str">
            <v>71904014</v>
          </cell>
          <cell r="O137" t="str">
            <v/>
          </cell>
          <cell r="P137" t="str">
            <v/>
          </cell>
          <cell r="Q137" t="str">
            <v>4198</v>
          </cell>
        </row>
        <row r="138">
          <cell r="N138" t="str">
            <v>71904014</v>
          </cell>
          <cell r="O138" t="str">
            <v>BBP</v>
          </cell>
          <cell r="P138" t="str">
            <v>BBP71904014</v>
          </cell>
          <cell r="Q138" t="str">
            <v>4198</v>
          </cell>
        </row>
        <row r="139">
          <cell r="N139" t="str">
            <v/>
          </cell>
          <cell r="O139" t="str">
            <v/>
          </cell>
          <cell r="P139" t="str">
            <v/>
          </cell>
          <cell r="Q139" t="str">
            <v/>
          </cell>
        </row>
        <row r="140">
          <cell r="N140" t="str">
            <v/>
          </cell>
          <cell r="O140" t="str">
            <v/>
          </cell>
          <cell r="P140" t="str">
            <v/>
          </cell>
          <cell r="Q140" t="str">
            <v/>
          </cell>
        </row>
        <row r="141">
          <cell r="N141" t="str">
            <v>89223</v>
          </cell>
          <cell r="O141" t="str">
            <v/>
          </cell>
          <cell r="P141" t="str">
            <v/>
          </cell>
          <cell r="Q141" t="str">
            <v>55083</v>
          </cell>
        </row>
        <row r="142">
          <cell r="N142" t="str">
            <v>89223</v>
          </cell>
          <cell r="O142" t="str">
            <v>EX1</v>
          </cell>
          <cell r="P142" t="str">
            <v>EX189223</v>
          </cell>
          <cell r="Q142" t="str">
            <v>55083</v>
          </cell>
        </row>
        <row r="143">
          <cell r="N143" t="str">
            <v>89223</v>
          </cell>
          <cell r="O143" t="str">
            <v>!NY</v>
          </cell>
          <cell r="P143" t="str">
            <v>!NY89223</v>
          </cell>
          <cell r="Q143" t="str">
            <v>55083</v>
          </cell>
        </row>
        <row r="144">
          <cell r="N144" t="str">
            <v>89223</v>
          </cell>
          <cell r="O144" t="str">
            <v>3EX</v>
          </cell>
          <cell r="P144" t="str">
            <v>3EX89223</v>
          </cell>
          <cell r="Q144" t="str">
            <v>55083</v>
          </cell>
        </row>
        <row r="145">
          <cell r="N145" t="str">
            <v>89223</v>
          </cell>
          <cell r="O145" t="str">
            <v>559</v>
          </cell>
          <cell r="P145" t="str">
            <v>55989223</v>
          </cell>
          <cell r="Q145" t="str">
            <v>55083</v>
          </cell>
        </row>
        <row r="146">
          <cell r="N146" t="str">
            <v>89223</v>
          </cell>
          <cell r="O146" t="str">
            <v>8NW</v>
          </cell>
          <cell r="P146" t="str">
            <v>8NW89223</v>
          </cell>
          <cell r="Q146" t="str">
            <v>55083</v>
          </cell>
        </row>
        <row r="147">
          <cell r="N147" t="str">
            <v>89223</v>
          </cell>
          <cell r="O147" t="str">
            <v>8P2</v>
          </cell>
          <cell r="P147" t="str">
            <v>8P289223</v>
          </cell>
          <cell r="Q147" t="str">
            <v>55083</v>
          </cell>
        </row>
        <row r="148">
          <cell r="N148" t="str">
            <v/>
          </cell>
          <cell r="O148" t="str">
            <v/>
          </cell>
          <cell r="P148" t="str">
            <v/>
          </cell>
          <cell r="Q148" t="str">
            <v/>
          </cell>
        </row>
        <row r="149">
          <cell r="N149" t="str">
            <v>825970</v>
          </cell>
          <cell r="O149" t="str">
            <v/>
          </cell>
          <cell r="P149" t="str">
            <v/>
          </cell>
          <cell r="Q149" t="str">
            <v>5194</v>
          </cell>
        </row>
        <row r="150">
          <cell r="N150" t="str">
            <v>825970</v>
          </cell>
          <cell r="O150" t="str">
            <v>AVC</v>
          </cell>
          <cell r="P150" t="str">
            <v>AVC825970</v>
          </cell>
          <cell r="Q150" t="str">
            <v>5194</v>
          </cell>
        </row>
        <row r="151">
          <cell r="N151" t="str">
            <v>825970</v>
          </cell>
          <cell r="O151" t="str">
            <v>105</v>
          </cell>
          <cell r="P151" t="str">
            <v>105825970</v>
          </cell>
          <cell r="Q151" t="str">
            <v>5194</v>
          </cell>
        </row>
        <row r="152">
          <cell r="N152" t="str">
            <v>825979</v>
          </cell>
          <cell r="O152" t="str">
            <v/>
          </cell>
          <cell r="P152" t="str">
            <v/>
          </cell>
          <cell r="Q152" t="str">
            <v>5194</v>
          </cell>
        </row>
        <row r="153">
          <cell r="N153" t="str">
            <v>825979</v>
          </cell>
          <cell r="O153" t="str">
            <v>AVB</v>
          </cell>
          <cell r="P153" t="str">
            <v>AVB825979</v>
          </cell>
          <cell r="Q153" t="str">
            <v>5194</v>
          </cell>
        </row>
        <row r="154">
          <cell r="N154" t="str">
            <v>825979</v>
          </cell>
          <cell r="O154" t="str">
            <v>AVC</v>
          </cell>
          <cell r="P154" t="str">
            <v>AVC825979</v>
          </cell>
          <cell r="Q154" t="str">
            <v>5194</v>
          </cell>
        </row>
        <row r="155">
          <cell r="N155" t="str">
            <v>825979</v>
          </cell>
          <cell r="O155" t="str">
            <v>!OX</v>
          </cell>
          <cell r="P155" t="str">
            <v>!OX825979</v>
          </cell>
          <cell r="Q155" t="str">
            <v>5194</v>
          </cell>
        </row>
        <row r="156">
          <cell r="N156" t="str">
            <v>825979</v>
          </cell>
          <cell r="O156" t="str">
            <v>8NP</v>
          </cell>
          <cell r="P156" t="str">
            <v>8NP825979</v>
          </cell>
          <cell r="Q156" t="str">
            <v>5194</v>
          </cell>
        </row>
        <row r="157">
          <cell r="N157" t="str">
            <v/>
          </cell>
          <cell r="O157" t="str">
            <v/>
          </cell>
          <cell r="P157" t="str">
            <v/>
          </cell>
          <cell r="Q157" t="str">
            <v/>
          </cell>
        </row>
        <row r="158">
          <cell r="N158" t="str">
            <v>825949</v>
          </cell>
          <cell r="O158" t="str">
            <v/>
          </cell>
          <cell r="P158" t="str">
            <v/>
          </cell>
          <cell r="Q158" t="str">
            <v>51959</v>
          </cell>
        </row>
        <row r="159">
          <cell r="N159" t="str">
            <v>825949</v>
          </cell>
          <cell r="O159" t="str">
            <v>3MM</v>
          </cell>
          <cell r="P159" t="str">
            <v>3MM825949</v>
          </cell>
          <cell r="Q159" t="str">
            <v>51959</v>
          </cell>
        </row>
        <row r="160">
          <cell r="N160" t="str">
            <v>825949</v>
          </cell>
          <cell r="O160" t="str">
            <v>3MN</v>
          </cell>
          <cell r="P160" t="str">
            <v>3MN825949</v>
          </cell>
          <cell r="Q160" t="str">
            <v>51959</v>
          </cell>
        </row>
        <row r="161">
          <cell r="N161" t="str">
            <v>825949</v>
          </cell>
          <cell r="O161" t="str">
            <v>3MO</v>
          </cell>
          <cell r="P161" t="str">
            <v>3MO825949</v>
          </cell>
          <cell r="Q161" t="str">
            <v>51959</v>
          </cell>
        </row>
        <row r="162">
          <cell r="N162" t="str">
            <v>89342</v>
          </cell>
          <cell r="O162" t="str">
            <v/>
          </cell>
          <cell r="P162" t="str">
            <v/>
          </cell>
          <cell r="Q162" t="str">
            <v>431111</v>
          </cell>
        </row>
        <row r="163">
          <cell r="N163" t="str">
            <v>89342</v>
          </cell>
          <cell r="O163" t="str">
            <v>3MM</v>
          </cell>
          <cell r="P163" t="str">
            <v>3MM89342</v>
          </cell>
          <cell r="Q163" t="str">
            <v>431111</v>
          </cell>
        </row>
        <row r="164">
          <cell r="N164" t="str">
            <v>89342</v>
          </cell>
          <cell r="O164" t="str">
            <v>3MN</v>
          </cell>
          <cell r="P164" t="str">
            <v>3MN89342</v>
          </cell>
          <cell r="Q164" t="str">
            <v>431111</v>
          </cell>
        </row>
        <row r="165">
          <cell r="N165" t="str">
            <v>89342</v>
          </cell>
          <cell r="O165" t="str">
            <v>3MO</v>
          </cell>
          <cell r="P165" t="str">
            <v>3MO89342</v>
          </cell>
          <cell r="Q165" t="str">
            <v>431111</v>
          </cell>
        </row>
        <row r="166">
          <cell r="N166" t="str">
            <v/>
          </cell>
          <cell r="O166" t="str">
            <v/>
          </cell>
          <cell r="P166" t="str">
            <v/>
          </cell>
          <cell r="Q166" t="str">
            <v/>
          </cell>
        </row>
        <row r="167">
          <cell r="N167" t="str">
            <v>8251212</v>
          </cell>
          <cell r="O167" t="str">
            <v/>
          </cell>
          <cell r="P167" t="str">
            <v/>
          </cell>
          <cell r="Q167" t="str">
            <v>5151212</v>
          </cell>
        </row>
        <row r="168">
          <cell r="N168" t="str">
            <v>8251212</v>
          </cell>
          <cell r="O168" t="str">
            <v>LD6</v>
          </cell>
          <cell r="P168" t="str">
            <v>LD68251212</v>
          </cell>
          <cell r="Q168" t="str">
            <v>5151212</v>
          </cell>
        </row>
        <row r="169">
          <cell r="N169" t="str">
            <v/>
          </cell>
          <cell r="O169" t="str">
            <v/>
          </cell>
          <cell r="P169" t="str">
            <v/>
          </cell>
          <cell r="Q169" t="str">
            <v/>
          </cell>
        </row>
        <row r="170">
          <cell r="N170" t="str">
            <v>71695</v>
          </cell>
          <cell r="O170" t="str">
            <v/>
          </cell>
          <cell r="P170" t="str">
            <v/>
          </cell>
          <cell r="Q170" t="str">
            <v/>
          </cell>
        </row>
        <row r="171">
          <cell r="N171" t="str">
            <v>71695</v>
          </cell>
          <cell r="O171" t="str">
            <v>AI6</v>
          </cell>
          <cell r="P171" t="str">
            <v>AI671695</v>
          </cell>
          <cell r="Q171" t="str">
            <v/>
          </cell>
        </row>
        <row r="172">
          <cell r="N172" t="str">
            <v>71695</v>
          </cell>
          <cell r="O172" t="str">
            <v>AN6</v>
          </cell>
          <cell r="P172" t="str">
            <v>AN671695</v>
          </cell>
          <cell r="Q172" t="str">
            <v/>
          </cell>
        </row>
        <row r="173">
          <cell r="N173" t="str">
            <v>71695</v>
          </cell>
          <cell r="O173" t="str">
            <v>ONL</v>
          </cell>
          <cell r="P173" t="str">
            <v>ONL71695</v>
          </cell>
          <cell r="Q173" t="str">
            <v/>
          </cell>
        </row>
        <row r="174">
          <cell r="N174" t="str">
            <v>7190406</v>
          </cell>
          <cell r="O174" t="str">
            <v/>
          </cell>
          <cell r="P174" t="str">
            <v/>
          </cell>
          <cell r="Q174" t="str">
            <v>4198</v>
          </cell>
        </row>
        <row r="175">
          <cell r="N175" t="str">
            <v>7190406</v>
          </cell>
          <cell r="O175" t="str">
            <v>LO1</v>
          </cell>
          <cell r="P175" t="str">
            <v>LO17190406</v>
          </cell>
          <cell r="Q175" t="str">
            <v>4198</v>
          </cell>
        </row>
        <row r="176">
          <cell r="N176" t="str">
            <v>7190406</v>
          </cell>
          <cell r="O176" t="str">
            <v>ONL</v>
          </cell>
          <cell r="P176" t="str">
            <v>ONL7190406</v>
          </cell>
          <cell r="Q176" t="str">
            <v>4198</v>
          </cell>
        </row>
        <row r="177">
          <cell r="N177" t="str">
            <v>7190406</v>
          </cell>
          <cell r="O177" t="str">
            <v>39S</v>
          </cell>
          <cell r="P177" t="str">
            <v>39S7190406</v>
          </cell>
          <cell r="Q177" t="str">
            <v>4198</v>
          </cell>
        </row>
        <row r="178">
          <cell r="N178" t="str">
            <v>7190406</v>
          </cell>
          <cell r="O178" t="str">
            <v>39Y</v>
          </cell>
          <cell r="P178" t="str">
            <v>39Y7190406</v>
          </cell>
          <cell r="Q178" t="str">
            <v>4198</v>
          </cell>
        </row>
        <row r="179">
          <cell r="N179" t="str">
            <v>7190407</v>
          </cell>
          <cell r="O179" t="str">
            <v/>
          </cell>
          <cell r="P179" t="str">
            <v/>
          </cell>
          <cell r="Q179" t="str">
            <v/>
          </cell>
        </row>
        <row r="180">
          <cell r="N180" t="str">
            <v>7190407</v>
          </cell>
          <cell r="O180" t="str">
            <v>LRA</v>
          </cell>
          <cell r="P180" t="str">
            <v>LRA7190407</v>
          </cell>
          <cell r="Q180" t="str">
            <v/>
          </cell>
        </row>
        <row r="181">
          <cell r="N181" t="str">
            <v>7190407</v>
          </cell>
          <cell r="O181" t="str">
            <v>L01</v>
          </cell>
          <cell r="P181" t="str">
            <v>L017190407</v>
          </cell>
          <cell r="Q181" t="str">
            <v/>
          </cell>
        </row>
        <row r="182">
          <cell r="N182" t="str">
            <v>7190407</v>
          </cell>
          <cell r="O182" t="str">
            <v>ONL</v>
          </cell>
          <cell r="P182" t="str">
            <v>ONL7190407</v>
          </cell>
          <cell r="Q182" t="str">
            <v/>
          </cell>
        </row>
        <row r="183">
          <cell r="N183" t="str">
            <v>7190407</v>
          </cell>
          <cell r="O183" t="str">
            <v>39L</v>
          </cell>
          <cell r="P183" t="str">
            <v>39L7190407</v>
          </cell>
          <cell r="Q183" t="str">
            <v/>
          </cell>
        </row>
        <row r="184">
          <cell r="N184" t="str">
            <v>7190407</v>
          </cell>
          <cell r="O184" t="str">
            <v>39N</v>
          </cell>
          <cell r="P184" t="str">
            <v>39N7190407</v>
          </cell>
          <cell r="Q184" t="str">
            <v/>
          </cell>
        </row>
        <row r="185">
          <cell r="N185" t="str">
            <v>7190407</v>
          </cell>
          <cell r="O185" t="str">
            <v>39P</v>
          </cell>
          <cell r="P185" t="str">
            <v>39P7190407</v>
          </cell>
          <cell r="Q185" t="str">
            <v/>
          </cell>
        </row>
        <row r="186">
          <cell r="N186" t="str">
            <v>7190407</v>
          </cell>
          <cell r="O186" t="str">
            <v>39R</v>
          </cell>
          <cell r="P186" t="str">
            <v>39R7190407</v>
          </cell>
          <cell r="Q186" t="str">
            <v/>
          </cell>
        </row>
        <row r="187">
          <cell r="N187" t="str">
            <v>71904070</v>
          </cell>
          <cell r="O187" t="str">
            <v/>
          </cell>
          <cell r="P187" t="str">
            <v/>
          </cell>
          <cell r="Q187" t="str">
            <v>4198</v>
          </cell>
        </row>
        <row r="188">
          <cell r="N188" t="str">
            <v>71904070</v>
          </cell>
          <cell r="O188" t="str">
            <v>L01</v>
          </cell>
          <cell r="P188" t="str">
            <v>L0171904070</v>
          </cell>
          <cell r="Q188" t="str">
            <v>4198</v>
          </cell>
        </row>
        <row r="189">
          <cell r="N189" t="str">
            <v>71904070</v>
          </cell>
          <cell r="O189" t="str">
            <v>ONL</v>
          </cell>
          <cell r="P189" t="str">
            <v>ONL71904070</v>
          </cell>
          <cell r="Q189" t="str">
            <v>4198</v>
          </cell>
        </row>
        <row r="190">
          <cell r="N190" t="str">
            <v>71904071</v>
          </cell>
          <cell r="O190" t="str">
            <v/>
          </cell>
          <cell r="P190" t="str">
            <v/>
          </cell>
          <cell r="Q190" t="str">
            <v>4198</v>
          </cell>
        </row>
        <row r="191">
          <cell r="N191" t="str">
            <v>71904071</v>
          </cell>
          <cell r="O191" t="str">
            <v>LRA</v>
          </cell>
          <cell r="P191" t="str">
            <v>LRA71904071</v>
          </cell>
          <cell r="Q191" t="str">
            <v>4198</v>
          </cell>
        </row>
        <row r="192">
          <cell r="N192" t="str">
            <v>71904071</v>
          </cell>
          <cell r="O192" t="str">
            <v>ONL</v>
          </cell>
          <cell r="P192" t="str">
            <v>ONL71904071</v>
          </cell>
          <cell r="Q192" t="str">
            <v>4198</v>
          </cell>
        </row>
        <row r="193">
          <cell r="N193" t="str">
            <v>7190408</v>
          </cell>
          <cell r="O193" t="str">
            <v/>
          </cell>
          <cell r="P193" t="str">
            <v/>
          </cell>
          <cell r="Q193" t="str">
            <v/>
          </cell>
        </row>
        <row r="194">
          <cell r="N194" t="str">
            <v>7190408</v>
          </cell>
          <cell r="O194" t="str">
            <v>LO1</v>
          </cell>
          <cell r="P194" t="str">
            <v>LO17190408</v>
          </cell>
          <cell r="Q194" t="str">
            <v/>
          </cell>
        </row>
        <row r="195">
          <cell r="N195" t="str">
            <v>7190408</v>
          </cell>
          <cell r="O195" t="str">
            <v>L01</v>
          </cell>
          <cell r="P195" t="str">
            <v>L017190408</v>
          </cell>
          <cell r="Q195" t="str">
            <v/>
          </cell>
        </row>
        <row r="196">
          <cell r="N196" t="str">
            <v>7190408</v>
          </cell>
          <cell r="O196" t="str">
            <v>ONL</v>
          </cell>
          <cell r="P196" t="str">
            <v>ONL7190408</v>
          </cell>
          <cell r="Q196" t="str">
            <v/>
          </cell>
        </row>
        <row r="197">
          <cell r="N197" t="str">
            <v>7190408</v>
          </cell>
          <cell r="O197" t="str">
            <v>38A</v>
          </cell>
          <cell r="P197" t="str">
            <v>38A7190408</v>
          </cell>
          <cell r="Q197" t="str">
            <v/>
          </cell>
        </row>
        <row r="198">
          <cell r="N198" t="str">
            <v>7190408</v>
          </cell>
          <cell r="O198" t="str">
            <v>38Z</v>
          </cell>
          <cell r="P198" t="str">
            <v>38Z7190408</v>
          </cell>
          <cell r="Q198" t="str">
            <v/>
          </cell>
        </row>
        <row r="199">
          <cell r="N199" t="str">
            <v>7190408</v>
          </cell>
          <cell r="O199" t="str">
            <v>39Z</v>
          </cell>
          <cell r="P199" t="str">
            <v>39Z7190408</v>
          </cell>
          <cell r="Q199" t="str">
            <v/>
          </cell>
        </row>
        <row r="200">
          <cell r="N200" t="str">
            <v>71904080</v>
          </cell>
          <cell r="O200" t="str">
            <v/>
          </cell>
          <cell r="P200" t="str">
            <v/>
          </cell>
          <cell r="Q200" t="str">
            <v>4198</v>
          </cell>
        </row>
        <row r="201">
          <cell r="N201" t="str">
            <v>71904080</v>
          </cell>
          <cell r="O201" t="str">
            <v>LRA</v>
          </cell>
          <cell r="P201" t="str">
            <v>LRA71904080</v>
          </cell>
          <cell r="Q201" t="str">
            <v>4198</v>
          </cell>
        </row>
        <row r="202">
          <cell r="N202" t="str">
            <v>71904080</v>
          </cell>
          <cell r="O202" t="str">
            <v>L01</v>
          </cell>
          <cell r="P202" t="str">
            <v>L0171904080</v>
          </cell>
          <cell r="Q202" t="str">
            <v>4198</v>
          </cell>
        </row>
        <row r="203">
          <cell r="N203" t="str">
            <v>71904080</v>
          </cell>
          <cell r="O203" t="str">
            <v>ONL</v>
          </cell>
          <cell r="P203" t="str">
            <v>ONL71904080</v>
          </cell>
          <cell r="Q203" t="str">
            <v>4198</v>
          </cell>
        </row>
        <row r="204">
          <cell r="N204" t="str">
            <v>71904080</v>
          </cell>
          <cell r="O204" t="str">
            <v>38A</v>
          </cell>
          <cell r="P204" t="str">
            <v>38A71904080</v>
          </cell>
          <cell r="Q204" t="str">
            <v>4198</v>
          </cell>
        </row>
        <row r="205">
          <cell r="N205" t="str">
            <v>71904080</v>
          </cell>
          <cell r="O205" t="str">
            <v>38Z</v>
          </cell>
          <cell r="P205" t="str">
            <v>38Z71904080</v>
          </cell>
          <cell r="Q205" t="str">
            <v>4198</v>
          </cell>
        </row>
        <row r="206">
          <cell r="N206" t="str">
            <v>71904080</v>
          </cell>
          <cell r="O206" t="str">
            <v>39A</v>
          </cell>
          <cell r="P206" t="str">
            <v>39A71904080</v>
          </cell>
          <cell r="Q206" t="str">
            <v>4198</v>
          </cell>
        </row>
        <row r="207">
          <cell r="N207" t="str">
            <v>71904080</v>
          </cell>
          <cell r="O207" t="str">
            <v>39Z</v>
          </cell>
          <cell r="P207" t="str">
            <v>39Z71904080</v>
          </cell>
          <cell r="Q207" t="str">
            <v>4198</v>
          </cell>
        </row>
        <row r="208">
          <cell r="N208" t="str">
            <v>71904081</v>
          </cell>
          <cell r="O208" t="str">
            <v/>
          </cell>
          <cell r="P208" t="str">
            <v/>
          </cell>
          <cell r="Q208" t="str">
            <v>4198</v>
          </cell>
        </row>
        <row r="209">
          <cell r="N209" t="str">
            <v>71904081</v>
          </cell>
          <cell r="O209" t="str">
            <v>LRA</v>
          </cell>
          <cell r="P209" t="str">
            <v>LRA71904081</v>
          </cell>
          <cell r="Q209" t="str">
            <v>4198</v>
          </cell>
        </row>
        <row r="210">
          <cell r="N210" t="str">
            <v>71904081</v>
          </cell>
          <cell r="O210" t="str">
            <v>ONL</v>
          </cell>
          <cell r="P210" t="str">
            <v>ONL71904081</v>
          </cell>
          <cell r="Q210" t="str">
            <v>4198</v>
          </cell>
        </row>
        <row r="211">
          <cell r="N211" t="str">
            <v>71904081</v>
          </cell>
          <cell r="O211" t="str">
            <v>38A</v>
          </cell>
          <cell r="P211" t="str">
            <v>38A71904081</v>
          </cell>
          <cell r="Q211" t="str">
            <v>4198</v>
          </cell>
        </row>
        <row r="212">
          <cell r="N212" t="str">
            <v>71904081</v>
          </cell>
          <cell r="O212" t="str">
            <v>38Z</v>
          </cell>
          <cell r="P212" t="str">
            <v>38Z71904081</v>
          </cell>
          <cell r="Q212" t="str">
            <v>4198</v>
          </cell>
        </row>
        <row r="213">
          <cell r="N213" t="str">
            <v>71904081</v>
          </cell>
          <cell r="O213" t="str">
            <v>39Z</v>
          </cell>
          <cell r="P213" t="str">
            <v>39Z71904081</v>
          </cell>
          <cell r="Q213" t="str">
            <v>4198</v>
          </cell>
        </row>
        <row r="214">
          <cell r="N214" t="str">
            <v>71904082</v>
          </cell>
          <cell r="O214" t="str">
            <v/>
          </cell>
          <cell r="P214" t="str">
            <v/>
          </cell>
          <cell r="Q214" t="str">
            <v>4198</v>
          </cell>
        </row>
        <row r="215">
          <cell r="N215" t="str">
            <v>71904082</v>
          </cell>
          <cell r="O215" t="str">
            <v>OF9</v>
          </cell>
          <cell r="P215" t="str">
            <v>OF971904082</v>
          </cell>
          <cell r="Q215" t="str">
            <v>4198</v>
          </cell>
        </row>
        <row r="216">
          <cell r="N216" t="str">
            <v>71904082</v>
          </cell>
          <cell r="O216" t="str">
            <v>ONL</v>
          </cell>
          <cell r="P216" t="str">
            <v>ONL71904082</v>
          </cell>
          <cell r="Q216" t="str">
            <v>4198</v>
          </cell>
        </row>
        <row r="217">
          <cell r="N217" t="str">
            <v>71909</v>
          </cell>
          <cell r="O217" t="str">
            <v/>
          </cell>
          <cell r="P217" t="str">
            <v/>
          </cell>
          <cell r="Q217" t="str">
            <v>4912000</v>
          </cell>
        </row>
        <row r="218">
          <cell r="N218" t="str">
            <v>71909</v>
          </cell>
          <cell r="O218" t="str">
            <v>L01</v>
          </cell>
          <cell r="P218" t="str">
            <v>L0171909</v>
          </cell>
          <cell r="Q218" t="str">
            <v>4912000</v>
          </cell>
        </row>
        <row r="219">
          <cell r="N219" t="str">
            <v>71909</v>
          </cell>
          <cell r="O219" t="str">
            <v>ONL</v>
          </cell>
          <cell r="P219" t="str">
            <v>ONL71909</v>
          </cell>
          <cell r="Q219" t="str">
            <v>4912000</v>
          </cell>
        </row>
        <row r="220">
          <cell r="N220" t="str">
            <v>8251212</v>
          </cell>
          <cell r="O220" t="str">
            <v/>
          </cell>
          <cell r="P220" t="str">
            <v/>
          </cell>
          <cell r="Q220" t="str">
            <v>5151212</v>
          </cell>
        </row>
        <row r="221">
          <cell r="N221" t="str">
            <v>8251212</v>
          </cell>
          <cell r="O221" t="str">
            <v>LD1</v>
          </cell>
          <cell r="P221" t="str">
            <v>LD18251212</v>
          </cell>
          <cell r="Q221" t="str">
            <v>5151212</v>
          </cell>
        </row>
        <row r="222">
          <cell r="N222" t="str">
            <v>8251212</v>
          </cell>
          <cell r="O222" t="str">
            <v>NRI</v>
          </cell>
          <cell r="P222" t="str">
            <v>NRI8251212</v>
          </cell>
          <cell r="Q222" t="str">
            <v>5151212</v>
          </cell>
        </row>
        <row r="223">
          <cell r="N223" t="str">
            <v>8251212</v>
          </cell>
          <cell r="O223" t="str">
            <v>NRJ</v>
          </cell>
          <cell r="P223" t="str">
            <v>NRJ8251212</v>
          </cell>
          <cell r="Q223" t="str">
            <v>5151212</v>
          </cell>
        </row>
        <row r="224">
          <cell r="N224" t="str">
            <v>8251212</v>
          </cell>
          <cell r="O224" t="str">
            <v>23K</v>
          </cell>
          <cell r="P224" t="str">
            <v>23K8251212</v>
          </cell>
          <cell r="Q224" t="str">
            <v>5151212</v>
          </cell>
        </row>
        <row r="225">
          <cell r="N225" t="str">
            <v>8251212</v>
          </cell>
          <cell r="O225" t="str">
            <v>248</v>
          </cell>
          <cell r="P225" t="str">
            <v>2488251212</v>
          </cell>
          <cell r="Q225" t="str">
            <v>5151212</v>
          </cell>
        </row>
        <row r="226">
          <cell r="N226" t="str">
            <v>8251212</v>
          </cell>
          <cell r="O226" t="str">
            <v>8N8</v>
          </cell>
          <cell r="P226" t="str">
            <v>8N88251212</v>
          </cell>
          <cell r="Q226" t="str">
            <v>5151212</v>
          </cell>
        </row>
        <row r="227">
          <cell r="N227" t="str">
            <v>825942</v>
          </cell>
          <cell r="O227" t="str">
            <v/>
          </cell>
          <cell r="P227" t="str">
            <v/>
          </cell>
          <cell r="Q227" t="str">
            <v>51950</v>
          </cell>
        </row>
        <row r="228">
          <cell r="N228" t="str">
            <v>825942</v>
          </cell>
          <cell r="O228" t="str">
            <v>CAY</v>
          </cell>
          <cell r="P228" t="str">
            <v>CAY825942</v>
          </cell>
          <cell r="Q228" t="str">
            <v>51950</v>
          </cell>
        </row>
        <row r="229">
          <cell r="N229" t="str">
            <v>825942</v>
          </cell>
          <cell r="O229" t="str">
            <v>LRA</v>
          </cell>
          <cell r="P229" t="str">
            <v>LRA825942</v>
          </cell>
          <cell r="Q229" t="str">
            <v>51950</v>
          </cell>
        </row>
        <row r="230">
          <cell r="N230" t="str">
            <v>825942</v>
          </cell>
          <cell r="O230" t="str">
            <v>!MF</v>
          </cell>
          <cell r="P230" t="str">
            <v>!MF825942</v>
          </cell>
          <cell r="Q230" t="str">
            <v>51950</v>
          </cell>
        </row>
        <row r="231">
          <cell r="N231" t="str">
            <v>825942</v>
          </cell>
          <cell r="O231" t="str">
            <v>REG</v>
          </cell>
          <cell r="P231" t="str">
            <v>REG825942</v>
          </cell>
          <cell r="Q231" t="str">
            <v>51950</v>
          </cell>
        </row>
        <row r="232">
          <cell r="N232" t="str">
            <v>825942</v>
          </cell>
          <cell r="O232" t="str">
            <v>23G</v>
          </cell>
          <cell r="P232" t="str">
            <v>23G825942</v>
          </cell>
          <cell r="Q232" t="str">
            <v>51950</v>
          </cell>
        </row>
        <row r="233">
          <cell r="N233" t="str">
            <v>825942</v>
          </cell>
          <cell r="O233" t="str">
            <v>23K</v>
          </cell>
          <cell r="P233" t="str">
            <v>23K825942</v>
          </cell>
          <cell r="Q233" t="str">
            <v>51950</v>
          </cell>
        </row>
        <row r="234">
          <cell r="N234" t="str">
            <v>825942</v>
          </cell>
          <cell r="O234" t="str">
            <v>!82</v>
          </cell>
          <cell r="P234" t="str">
            <v>!82825942</v>
          </cell>
          <cell r="Q234" t="str">
            <v>51950</v>
          </cell>
        </row>
        <row r="235">
          <cell r="N235" t="str">
            <v>825945</v>
          </cell>
          <cell r="O235" t="str">
            <v/>
          </cell>
          <cell r="P235" t="str">
            <v/>
          </cell>
          <cell r="Q235" t="str">
            <v>51959</v>
          </cell>
        </row>
        <row r="236">
          <cell r="N236" t="str">
            <v>825945</v>
          </cell>
          <cell r="O236" t="str">
            <v>!AK</v>
          </cell>
          <cell r="P236" t="str">
            <v>!AK825945</v>
          </cell>
          <cell r="Q236" t="str">
            <v>51959</v>
          </cell>
        </row>
        <row r="237">
          <cell r="N237" t="str">
            <v>825945</v>
          </cell>
          <cell r="O237" t="str">
            <v>NRI</v>
          </cell>
          <cell r="P237" t="str">
            <v>NRI825945</v>
          </cell>
          <cell r="Q237" t="str">
            <v>51959</v>
          </cell>
        </row>
        <row r="238">
          <cell r="N238" t="str">
            <v>825945</v>
          </cell>
          <cell r="O238" t="str">
            <v>NRJ</v>
          </cell>
          <cell r="P238" t="str">
            <v>NRJ825945</v>
          </cell>
          <cell r="Q238" t="str">
            <v>51959</v>
          </cell>
        </row>
        <row r="239">
          <cell r="N239" t="str">
            <v>825945</v>
          </cell>
          <cell r="O239" t="str">
            <v>ONL</v>
          </cell>
          <cell r="P239" t="str">
            <v>ONL825945</v>
          </cell>
          <cell r="Q239" t="str">
            <v>51959</v>
          </cell>
        </row>
        <row r="240">
          <cell r="N240" t="str">
            <v>825945</v>
          </cell>
          <cell r="O240" t="str">
            <v>REG</v>
          </cell>
          <cell r="P240" t="str">
            <v>REG825945</v>
          </cell>
          <cell r="Q240" t="str">
            <v>51959</v>
          </cell>
        </row>
        <row r="241">
          <cell r="N241" t="str">
            <v>825945</v>
          </cell>
          <cell r="O241" t="str">
            <v>!67</v>
          </cell>
          <cell r="P241" t="str">
            <v>!67825945</v>
          </cell>
          <cell r="Q241" t="str">
            <v>51959</v>
          </cell>
        </row>
        <row r="242">
          <cell r="N242" t="str">
            <v>825945</v>
          </cell>
          <cell r="O242" t="str">
            <v>!68</v>
          </cell>
          <cell r="P242" t="str">
            <v>!68825945</v>
          </cell>
          <cell r="Q242" t="str">
            <v>51959</v>
          </cell>
        </row>
        <row r="243">
          <cell r="N243" t="str">
            <v>825949</v>
          </cell>
          <cell r="O243" t="str">
            <v/>
          </cell>
          <cell r="P243" t="str">
            <v/>
          </cell>
          <cell r="Q243" t="str">
            <v>51959</v>
          </cell>
        </row>
        <row r="244">
          <cell r="N244" t="str">
            <v>825949</v>
          </cell>
          <cell r="O244" t="str">
            <v>LRA</v>
          </cell>
          <cell r="P244" t="str">
            <v>LRA825949</v>
          </cell>
          <cell r="Q244" t="str">
            <v>51959</v>
          </cell>
        </row>
        <row r="245">
          <cell r="N245" t="str">
            <v>825949</v>
          </cell>
          <cell r="O245" t="str">
            <v>ONL</v>
          </cell>
          <cell r="P245" t="str">
            <v>ONL825949</v>
          </cell>
          <cell r="Q245" t="str">
            <v>51959</v>
          </cell>
        </row>
        <row r="246">
          <cell r="N246" t="str">
            <v>825949</v>
          </cell>
          <cell r="O246" t="str">
            <v>REG</v>
          </cell>
          <cell r="P246" t="str">
            <v>REG825949</v>
          </cell>
          <cell r="Q246" t="str">
            <v>51959</v>
          </cell>
        </row>
        <row r="247">
          <cell r="N247" t="str">
            <v>825949</v>
          </cell>
          <cell r="O247" t="str">
            <v>T30</v>
          </cell>
          <cell r="P247" t="str">
            <v>T30825949</v>
          </cell>
          <cell r="Q247" t="str">
            <v>51959</v>
          </cell>
        </row>
        <row r="248">
          <cell r="N248" t="str">
            <v>825949</v>
          </cell>
          <cell r="O248" t="str">
            <v>111</v>
          </cell>
          <cell r="P248" t="str">
            <v>111825949</v>
          </cell>
          <cell r="Q248" t="str">
            <v>51959</v>
          </cell>
        </row>
        <row r="249">
          <cell r="N249" t="str">
            <v>825949</v>
          </cell>
          <cell r="O249" t="str">
            <v>23J</v>
          </cell>
          <cell r="P249" t="str">
            <v>23J825949</v>
          </cell>
          <cell r="Q249" t="str">
            <v>51959</v>
          </cell>
        </row>
        <row r="250">
          <cell r="N250" t="str">
            <v>825949</v>
          </cell>
          <cell r="O250" t="str">
            <v>23K</v>
          </cell>
          <cell r="P250" t="str">
            <v>23K825949</v>
          </cell>
          <cell r="Q250" t="str">
            <v>51959</v>
          </cell>
        </row>
        <row r="251">
          <cell r="N251" t="str">
            <v>825949</v>
          </cell>
          <cell r="O251" t="str">
            <v>23P</v>
          </cell>
          <cell r="P251" t="str">
            <v>23P825949</v>
          </cell>
          <cell r="Q251" t="str">
            <v>51959</v>
          </cell>
        </row>
        <row r="252">
          <cell r="N252" t="str">
            <v>825949</v>
          </cell>
          <cell r="O252" t="str">
            <v>23R</v>
          </cell>
          <cell r="P252" t="str">
            <v>23R825949</v>
          </cell>
          <cell r="Q252" t="str">
            <v>51959</v>
          </cell>
        </row>
        <row r="253">
          <cell r="N253" t="str">
            <v>825949</v>
          </cell>
          <cell r="O253" t="str">
            <v>248</v>
          </cell>
          <cell r="P253" t="str">
            <v>248825949</v>
          </cell>
          <cell r="Q253" t="str">
            <v>51959</v>
          </cell>
        </row>
        <row r="254">
          <cell r="N254" t="str">
            <v>825949</v>
          </cell>
          <cell r="O254" t="str">
            <v>73D</v>
          </cell>
          <cell r="P254" t="str">
            <v>73D825949</v>
          </cell>
          <cell r="Q254" t="str">
            <v>51959</v>
          </cell>
        </row>
        <row r="255">
          <cell r="N255" t="str">
            <v>82598</v>
          </cell>
          <cell r="O255" t="str">
            <v/>
          </cell>
          <cell r="P255" t="str">
            <v/>
          </cell>
          <cell r="Q255" t="str">
            <v>502031047</v>
          </cell>
        </row>
        <row r="256">
          <cell r="N256" t="str">
            <v>82598</v>
          </cell>
          <cell r="O256" t="str">
            <v>28Y</v>
          </cell>
          <cell r="P256" t="str">
            <v>28Y82598</v>
          </cell>
          <cell r="Q256" t="str">
            <v>502031047</v>
          </cell>
        </row>
        <row r="257">
          <cell r="N257" t="str">
            <v>89922</v>
          </cell>
          <cell r="O257" t="str">
            <v/>
          </cell>
          <cell r="P257" t="str">
            <v/>
          </cell>
          <cell r="Q257" t="str">
            <v>51959</v>
          </cell>
        </row>
        <row r="258">
          <cell r="N258" t="str">
            <v>89922</v>
          </cell>
          <cell r="O258" t="str">
            <v>ELA</v>
          </cell>
          <cell r="P258" t="str">
            <v>ELA89922</v>
          </cell>
          <cell r="Q258" t="str">
            <v>51959</v>
          </cell>
        </row>
        <row r="259">
          <cell r="N259" t="str">
            <v>89922</v>
          </cell>
          <cell r="O259" t="str">
            <v>LAR</v>
          </cell>
          <cell r="P259" t="str">
            <v>LAR89922</v>
          </cell>
          <cell r="Q259" t="str">
            <v>51959</v>
          </cell>
        </row>
        <row r="260">
          <cell r="N260" t="str">
            <v>89922</v>
          </cell>
          <cell r="O260" t="str">
            <v>ONL</v>
          </cell>
          <cell r="P260" t="str">
            <v>ONL89922</v>
          </cell>
          <cell r="Q260" t="str">
            <v>51959</v>
          </cell>
        </row>
        <row r="261">
          <cell r="N261" t="str">
            <v>89922</v>
          </cell>
          <cell r="O261" t="str">
            <v>111</v>
          </cell>
          <cell r="P261" t="str">
            <v>11189922</v>
          </cell>
          <cell r="Q261" t="str">
            <v>51959</v>
          </cell>
        </row>
        <row r="262">
          <cell r="N262" t="str">
            <v>89922</v>
          </cell>
          <cell r="O262" t="str">
            <v>18P</v>
          </cell>
          <cell r="P262" t="str">
            <v>18P89922</v>
          </cell>
          <cell r="Q262" t="str">
            <v>51959</v>
          </cell>
        </row>
        <row r="263">
          <cell r="N263" t="str">
            <v>89922</v>
          </cell>
          <cell r="O263" t="str">
            <v>230</v>
          </cell>
          <cell r="P263" t="str">
            <v>23089922</v>
          </cell>
          <cell r="Q263" t="str">
            <v>51959</v>
          </cell>
        </row>
        <row r="264">
          <cell r="N264" t="str">
            <v>8999</v>
          </cell>
          <cell r="O264" t="str">
            <v/>
          </cell>
          <cell r="P264" t="str">
            <v/>
          </cell>
          <cell r="Q264" t="str">
            <v/>
          </cell>
        </row>
        <row r="265">
          <cell r="N265" t="str">
            <v>8999</v>
          </cell>
          <cell r="O265" t="str">
            <v>73D</v>
          </cell>
          <cell r="P265" t="str">
            <v>73D8999</v>
          </cell>
          <cell r="Q265" t="str">
            <v/>
          </cell>
        </row>
        <row r="266"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</row>
        <row r="267">
          <cell r="N267" t="str">
            <v/>
          </cell>
          <cell r="O267" t="str">
            <v/>
          </cell>
          <cell r="P267" t="str">
            <v/>
          </cell>
          <cell r="Q267" t="str">
            <v/>
          </cell>
        </row>
        <row r="268">
          <cell r="N268" t="str">
            <v>825970</v>
          </cell>
          <cell r="O268" t="str">
            <v/>
          </cell>
          <cell r="P268" t="str">
            <v/>
          </cell>
          <cell r="Q268" t="str">
            <v>5194</v>
          </cell>
        </row>
        <row r="269">
          <cell r="N269" t="str">
            <v>825970</v>
          </cell>
          <cell r="O269" t="str">
            <v>CAD</v>
          </cell>
          <cell r="P269" t="str">
            <v>CAD825970</v>
          </cell>
          <cell r="Q269" t="str">
            <v>5194</v>
          </cell>
        </row>
        <row r="270">
          <cell r="N270" t="str">
            <v>825970</v>
          </cell>
          <cell r="O270" t="str">
            <v>EAD</v>
          </cell>
          <cell r="P270" t="str">
            <v>EAD825970</v>
          </cell>
          <cell r="Q270" t="str">
            <v>5194</v>
          </cell>
        </row>
        <row r="271">
          <cell r="N271" t="str">
            <v>825970</v>
          </cell>
          <cell r="O271" t="str">
            <v>!NP</v>
          </cell>
          <cell r="P271" t="str">
            <v>!NP825970</v>
          </cell>
          <cell r="Q271" t="str">
            <v>5194</v>
          </cell>
        </row>
        <row r="272">
          <cell r="N272" t="str">
            <v>825970</v>
          </cell>
          <cell r="O272" t="str">
            <v>!NV</v>
          </cell>
          <cell r="P272" t="str">
            <v>!NV825970</v>
          </cell>
          <cell r="Q272" t="str">
            <v>5194</v>
          </cell>
        </row>
        <row r="273">
          <cell r="N273" t="str">
            <v>825970</v>
          </cell>
          <cell r="O273" t="str">
            <v>ONL</v>
          </cell>
          <cell r="P273" t="str">
            <v>ONL825970</v>
          </cell>
          <cell r="Q273" t="str">
            <v>5194</v>
          </cell>
        </row>
        <row r="274">
          <cell r="N274" t="str">
            <v>825970</v>
          </cell>
          <cell r="O274" t="str">
            <v>REG</v>
          </cell>
          <cell r="P274" t="str">
            <v>REG825970</v>
          </cell>
          <cell r="Q274" t="str">
            <v>5194</v>
          </cell>
        </row>
        <row r="275">
          <cell r="N275" t="str">
            <v>825970</v>
          </cell>
          <cell r="O275" t="str">
            <v>040</v>
          </cell>
          <cell r="P275" t="str">
            <v>040825970</v>
          </cell>
          <cell r="Q275" t="str">
            <v>5194</v>
          </cell>
        </row>
        <row r="276">
          <cell r="N276" t="str">
            <v>825970</v>
          </cell>
          <cell r="O276" t="str">
            <v>111</v>
          </cell>
          <cell r="P276" t="str">
            <v>111825970</v>
          </cell>
          <cell r="Q276" t="str">
            <v>5194</v>
          </cell>
        </row>
        <row r="277">
          <cell r="N277" t="str">
            <v>825970</v>
          </cell>
          <cell r="O277" t="str">
            <v>4LD</v>
          </cell>
          <cell r="P277" t="str">
            <v>4LD825970</v>
          </cell>
          <cell r="Q277" t="str">
            <v>5194</v>
          </cell>
        </row>
        <row r="278">
          <cell r="N278" t="str">
            <v>825970</v>
          </cell>
          <cell r="O278" t="str">
            <v>42A</v>
          </cell>
          <cell r="P278" t="str">
            <v>42A825970</v>
          </cell>
          <cell r="Q278" t="str">
            <v>5194</v>
          </cell>
        </row>
        <row r="279">
          <cell r="N279" t="str">
            <v/>
          </cell>
          <cell r="O279" t="str">
            <v/>
          </cell>
          <cell r="P279" t="str">
            <v/>
          </cell>
          <cell r="Q279" t="str">
            <v/>
          </cell>
        </row>
        <row r="280">
          <cell r="N280" t="str">
            <v>8251204</v>
          </cell>
          <cell r="O280" t="str">
            <v/>
          </cell>
          <cell r="P280" t="str">
            <v/>
          </cell>
          <cell r="Q280" t="str">
            <v>5151204</v>
          </cell>
        </row>
        <row r="281">
          <cell r="N281" t="str">
            <v>8251204</v>
          </cell>
          <cell r="O281" t="str">
            <v>CBM</v>
          </cell>
          <cell r="P281" t="str">
            <v>CBM8251204</v>
          </cell>
          <cell r="Q281" t="str">
            <v>5151204</v>
          </cell>
        </row>
        <row r="282">
          <cell r="N282" t="str">
            <v>8251204</v>
          </cell>
          <cell r="O282" t="str">
            <v>D8C</v>
          </cell>
          <cell r="P282" t="str">
            <v>D8C8251204</v>
          </cell>
          <cell r="Q282" t="str">
            <v>5151204</v>
          </cell>
        </row>
        <row r="283">
          <cell r="N283" t="str">
            <v>8251204</v>
          </cell>
          <cell r="O283" t="str">
            <v>ONL</v>
          </cell>
          <cell r="P283" t="str">
            <v>ONL8251204</v>
          </cell>
          <cell r="Q283" t="str">
            <v>5151204</v>
          </cell>
        </row>
        <row r="284">
          <cell r="N284" t="str">
            <v>8251204</v>
          </cell>
          <cell r="O284" t="str">
            <v>REG</v>
          </cell>
          <cell r="P284" t="str">
            <v>REG8251204</v>
          </cell>
          <cell r="Q284" t="str">
            <v>5151204</v>
          </cell>
        </row>
        <row r="285">
          <cell r="N285" t="str">
            <v>8251204</v>
          </cell>
          <cell r="O285" t="str">
            <v>111</v>
          </cell>
          <cell r="P285" t="str">
            <v>1118251204</v>
          </cell>
          <cell r="Q285" t="str">
            <v>5151204</v>
          </cell>
        </row>
        <row r="286">
          <cell r="N286" t="str">
            <v>825972</v>
          </cell>
          <cell r="O286" t="str">
            <v/>
          </cell>
          <cell r="P286" t="str">
            <v/>
          </cell>
          <cell r="Q286" t="str">
            <v>5194</v>
          </cell>
        </row>
        <row r="287">
          <cell r="N287" t="str">
            <v>825972</v>
          </cell>
          <cell r="O287" t="str">
            <v>ONL</v>
          </cell>
          <cell r="P287" t="str">
            <v>ONL825972</v>
          </cell>
          <cell r="Q287" t="str">
            <v>5194</v>
          </cell>
        </row>
        <row r="288">
          <cell r="N288" t="str">
            <v>825972</v>
          </cell>
          <cell r="O288" t="str">
            <v>327</v>
          </cell>
          <cell r="P288" t="str">
            <v>327825972</v>
          </cell>
          <cell r="Q288" t="str">
            <v>5194</v>
          </cell>
        </row>
        <row r="289">
          <cell r="N289" t="str">
            <v>825972</v>
          </cell>
          <cell r="O289" t="str">
            <v>330</v>
          </cell>
          <cell r="P289" t="str">
            <v>330825972</v>
          </cell>
          <cell r="Q289" t="str">
            <v>5194</v>
          </cell>
        </row>
        <row r="290">
          <cell r="N290" t="str">
            <v>825972</v>
          </cell>
          <cell r="O290" t="str">
            <v>40B</v>
          </cell>
          <cell r="P290" t="str">
            <v>40B825972</v>
          </cell>
          <cell r="Q290" t="str">
            <v>5194</v>
          </cell>
        </row>
        <row r="291">
          <cell r="N291" t="str">
            <v>825972</v>
          </cell>
          <cell r="O291" t="str">
            <v>8NV</v>
          </cell>
          <cell r="P291" t="str">
            <v>8NV825972</v>
          </cell>
          <cell r="Q291" t="str">
            <v>5194</v>
          </cell>
        </row>
        <row r="292">
          <cell r="N292" t="str">
            <v>825972</v>
          </cell>
          <cell r="O292" t="str">
            <v>!91</v>
          </cell>
          <cell r="P292" t="str">
            <v>!91825972</v>
          </cell>
          <cell r="Q292" t="str">
            <v>5194</v>
          </cell>
        </row>
        <row r="293">
          <cell r="N293" t="str">
            <v>825976</v>
          </cell>
          <cell r="O293" t="str">
            <v/>
          </cell>
          <cell r="P293" t="str">
            <v/>
          </cell>
          <cell r="Q293" t="str">
            <v>5194</v>
          </cell>
        </row>
        <row r="294">
          <cell r="N294" t="str">
            <v>825976</v>
          </cell>
          <cell r="O294" t="str">
            <v>CBL</v>
          </cell>
          <cell r="P294" t="str">
            <v>CBL825976</v>
          </cell>
          <cell r="Q294" t="str">
            <v>5194</v>
          </cell>
        </row>
        <row r="295">
          <cell r="N295" t="str">
            <v>825976</v>
          </cell>
          <cell r="O295" t="str">
            <v>CBM</v>
          </cell>
          <cell r="P295" t="str">
            <v>CBM825976</v>
          </cell>
          <cell r="Q295" t="str">
            <v>5194</v>
          </cell>
        </row>
        <row r="296">
          <cell r="N296" t="str">
            <v>825976</v>
          </cell>
          <cell r="O296" t="str">
            <v>D8C</v>
          </cell>
          <cell r="P296" t="str">
            <v>D8C825976</v>
          </cell>
          <cell r="Q296" t="str">
            <v>5194</v>
          </cell>
        </row>
        <row r="297">
          <cell r="N297" t="str">
            <v>825976</v>
          </cell>
          <cell r="O297" t="str">
            <v>!MF</v>
          </cell>
          <cell r="P297" t="str">
            <v>!MF825976</v>
          </cell>
          <cell r="Q297" t="str">
            <v>5194</v>
          </cell>
        </row>
        <row r="298">
          <cell r="N298" t="str">
            <v>825976</v>
          </cell>
          <cell r="O298" t="str">
            <v>OGX</v>
          </cell>
          <cell r="P298" t="str">
            <v>OGX825976</v>
          </cell>
          <cell r="Q298" t="str">
            <v>5194</v>
          </cell>
        </row>
        <row r="299">
          <cell r="N299" t="str">
            <v>825976</v>
          </cell>
          <cell r="O299" t="str">
            <v>ONL</v>
          </cell>
          <cell r="P299" t="str">
            <v>ONL825976</v>
          </cell>
          <cell r="Q299" t="str">
            <v>5194</v>
          </cell>
        </row>
        <row r="300">
          <cell r="N300" t="str">
            <v>825976</v>
          </cell>
          <cell r="O300" t="str">
            <v>REG</v>
          </cell>
          <cell r="P300" t="str">
            <v>REG825976</v>
          </cell>
          <cell r="Q300" t="str">
            <v>5194</v>
          </cell>
        </row>
        <row r="301">
          <cell r="N301" t="str">
            <v>825976</v>
          </cell>
          <cell r="O301" t="str">
            <v>228</v>
          </cell>
          <cell r="P301" t="str">
            <v>228825976</v>
          </cell>
          <cell r="Q301" t="str">
            <v>5194</v>
          </cell>
        </row>
        <row r="302">
          <cell r="N302" t="str">
            <v>825976</v>
          </cell>
          <cell r="O302" t="str">
            <v>315</v>
          </cell>
          <cell r="P302" t="str">
            <v>315825976</v>
          </cell>
          <cell r="Q302" t="str">
            <v>5194</v>
          </cell>
        </row>
        <row r="303">
          <cell r="N303" t="str">
            <v>825976</v>
          </cell>
          <cell r="O303" t="str">
            <v>321</v>
          </cell>
          <cell r="P303" t="str">
            <v>321825976</v>
          </cell>
          <cell r="Q303" t="str">
            <v>5194</v>
          </cell>
        </row>
        <row r="304">
          <cell r="N304" t="str">
            <v>825976</v>
          </cell>
          <cell r="O304" t="str">
            <v>330</v>
          </cell>
          <cell r="P304" t="str">
            <v>330825976</v>
          </cell>
          <cell r="Q304" t="str">
            <v>5194</v>
          </cell>
        </row>
        <row r="305">
          <cell r="N305" t="str">
            <v>825976</v>
          </cell>
          <cell r="O305" t="str">
            <v>8NQ</v>
          </cell>
          <cell r="P305" t="str">
            <v>8NQ825976</v>
          </cell>
          <cell r="Q305" t="str">
            <v>5194</v>
          </cell>
        </row>
        <row r="306">
          <cell r="N306" t="str">
            <v>825976</v>
          </cell>
          <cell r="O306" t="str">
            <v>8NR</v>
          </cell>
          <cell r="P306" t="str">
            <v>8NR825976</v>
          </cell>
          <cell r="Q306" t="str">
            <v>5194</v>
          </cell>
        </row>
        <row r="307">
          <cell r="N307" t="str">
            <v>825976</v>
          </cell>
          <cell r="O307" t="str">
            <v>!91</v>
          </cell>
          <cell r="P307" t="str">
            <v>!91825976</v>
          </cell>
          <cell r="Q307" t="str">
            <v>5194</v>
          </cell>
        </row>
        <row r="308"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</row>
        <row r="309">
          <cell r="N309" t="str">
            <v>825975</v>
          </cell>
          <cell r="O309" t="str">
            <v/>
          </cell>
          <cell r="P309" t="str">
            <v/>
          </cell>
          <cell r="Q309" t="str">
            <v>5194</v>
          </cell>
        </row>
        <row r="310">
          <cell r="N310" t="str">
            <v>825975</v>
          </cell>
          <cell r="O310" t="str">
            <v>CHF</v>
          </cell>
          <cell r="P310" t="str">
            <v>CHF825975</v>
          </cell>
          <cell r="Q310" t="str">
            <v>5194</v>
          </cell>
        </row>
        <row r="311">
          <cell r="N311" t="str">
            <v>825975</v>
          </cell>
          <cell r="O311" t="str">
            <v>!MF</v>
          </cell>
          <cell r="P311" t="str">
            <v>!MF825975</v>
          </cell>
          <cell r="Q311" t="str">
            <v>5194</v>
          </cell>
        </row>
        <row r="312">
          <cell r="N312" t="str">
            <v>825975</v>
          </cell>
          <cell r="O312" t="str">
            <v>ONL</v>
          </cell>
          <cell r="P312" t="str">
            <v>ONL825975</v>
          </cell>
          <cell r="Q312" t="str">
            <v>5194</v>
          </cell>
        </row>
        <row r="313">
          <cell r="N313" t="str">
            <v>825975</v>
          </cell>
          <cell r="O313" t="str">
            <v>REG</v>
          </cell>
          <cell r="P313" t="str">
            <v>REG825975</v>
          </cell>
          <cell r="Q313" t="str">
            <v>5194</v>
          </cell>
        </row>
        <row r="314">
          <cell r="N314" t="str">
            <v>825975</v>
          </cell>
          <cell r="O314" t="str">
            <v>!YM</v>
          </cell>
          <cell r="P314" t="str">
            <v>!YM825975</v>
          </cell>
          <cell r="Q314" t="str">
            <v>5194</v>
          </cell>
        </row>
        <row r="315">
          <cell r="N315" t="str">
            <v>825975</v>
          </cell>
          <cell r="O315" t="str">
            <v>311</v>
          </cell>
          <cell r="P315" t="str">
            <v>311825975</v>
          </cell>
          <cell r="Q315" t="str">
            <v>5194</v>
          </cell>
        </row>
        <row r="316">
          <cell r="N316" t="str">
            <v>825975</v>
          </cell>
          <cell r="O316" t="str">
            <v>359</v>
          </cell>
          <cell r="P316" t="str">
            <v>359825975</v>
          </cell>
          <cell r="Q316" t="str">
            <v>5194</v>
          </cell>
        </row>
        <row r="317">
          <cell r="N317" t="str">
            <v>825975</v>
          </cell>
          <cell r="O317" t="str">
            <v>46A</v>
          </cell>
          <cell r="P317" t="str">
            <v>46A825975</v>
          </cell>
          <cell r="Q317" t="str">
            <v>5194</v>
          </cell>
        </row>
        <row r="318">
          <cell r="N318" t="str">
            <v>825975</v>
          </cell>
          <cell r="O318" t="str">
            <v>46C</v>
          </cell>
          <cell r="P318" t="str">
            <v>46C825975</v>
          </cell>
          <cell r="Q318" t="str">
            <v>5194</v>
          </cell>
        </row>
        <row r="319">
          <cell r="N319" t="str">
            <v>825975</v>
          </cell>
          <cell r="O319" t="str">
            <v>47A</v>
          </cell>
          <cell r="P319" t="str">
            <v>47A825975</v>
          </cell>
          <cell r="Q319" t="str">
            <v>5194</v>
          </cell>
        </row>
        <row r="320">
          <cell r="N320" t="str">
            <v>825975</v>
          </cell>
          <cell r="O320" t="str">
            <v>8NU</v>
          </cell>
          <cell r="P320" t="str">
            <v>8NU825975</v>
          </cell>
          <cell r="Q320" t="str">
            <v>5194</v>
          </cell>
        </row>
        <row r="321">
          <cell r="N321" t="str">
            <v>825975</v>
          </cell>
          <cell r="O321" t="str">
            <v>855</v>
          </cell>
          <cell r="P321" t="str">
            <v>855825975</v>
          </cell>
          <cell r="Q321" t="str">
            <v>5194</v>
          </cell>
        </row>
        <row r="322">
          <cell r="N322" t="str">
            <v>8999</v>
          </cell>
          <cell r="O322" t="str">
            <v/>
          </cell>
          <cell r="P322" t="str">
            <v/>
          </cell>
          <cell r="Q322" t="str">
            <v/>
          </cell>
        </row>
        <row r="323">
          <cell r="N323" t="str">
            <v>8999</v>
          </cell>
          <cell r="O323" t="str">
            <v>CBC</v>
          </cell>
          <cell r="P323" t="str">
            <v>CBC8999</v>
          </cell>
          <cell r="Q323" t="str">
            <v/>
          </cell>
        </row>
        <row r="324">
          <cell r="N324" t="str">
            <v>89990</v>
          </cell>
          <cell r="O324" t="str">
            <v/>
          </cell>
          <cell r="P324" t="str">
            <v/>
          </cell>
          <cell r="Q324" t="str">
            <v>55088091</v>
          </cell>
        </row>
        <row r="325">
          <cell r="N325" t="str">
            <v>89990</v>
          </cell>
          <cell r="O325" t="str">
            <v>CBC</v>
          </cell>
          <cell r="P325" t="str">
            <v>CBC89990</v>
          </cell>
          <cell r="Q325" t="str">
            <v>55088091</v>
          </cell>
        </row>
        <row r="326"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</row>
        <row r="327">
          <cell r="N327" t="str">
            <v>8259412</v>
          </cell>
          <cell r="O327" t="str">
            <v/>
          </cell>
          <cell r="P327" t="str">
            <v/>
          </cell>
          <cell r="Q327" t="str">
            <v>51931</v>
          </cell>
        </row>
        <row r="328">
          <cell r="N328" t="str">
            <v>8259412</v>
          </cell>
          <cell r="O328" t="str">
            <v>CPG</v>
          </cell>
          <cell r="P328" t="str">
            <v>CPG8259412</v>
          </cell>
          <cell r="Q328" t="str">
            <v>51931</v>
          </cell>
        </row>
        <row r="329">
          <cell r="N329" t="str">
            <v>8259412</v>
          </cell>
          <cell r="O329" t="str">
            <v>EEE</v>
          </cell>
          <cell r="P329" t="str">
            <v>EEE8259412</v>
          </cell>
          <cell r="Q329" t="str">
            <v>51931</v>
          </cell>
        </row>
        <row r="330">
          <cell r="N330" t="str">
            <v>8259412</v>
          </cell>
          <cell r="O330" t="str">
            <v>!NC</v>
          </cell>
          <cell r="P330" t="str">
            <v>!NC8259412</v>
          </cell>
          <cell r="Q330" t="str">
            <v>51931</v>
          </cell>
        </row>
        <row r="331">
          <cell r="N331" t="str">
            <v>8259412</v>
          </cell>
          <cell r="O331" t="str">
            <v>ONL</v>
          </cell>
          <cell r="P331" t="str">
            <v>ONL8259412</v>
          </cell>
          <cell r="Q331" t="str">
            <v>51931</v>
          </cell>
        </row>
        <row r="332">
          <cell r="N332" t="str">
            <v>8259412</v>
          </cell>
          <cell r="O332" t="str">
            <v>111</v>
          </cell>
          <cell r="P332" t="str">
            <v>1118259412</v>
          </cell>
          <cell r="Q332" t="str">
            <v>51931</v>
          </cell>
        </row>
        <row r="333">
          <cell r="N333" t="str">
            <v>8259412</v>
          </cell>
          <cell r="O333" t="str">
            <v>8NX</v>
          </cell>
          <cell r="P333" t="str">
            <v>8NX8259412</v>
          </cell>
          <cell r="Q333" t="str">
            <v>51931</v>
          </cell>
        </row>
        <row r="334"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</row>
        <row r="335">
          <cell r="N335" t="str">
            <v>71615</v>
          </cell>
          <cell r="O335" t="str">
            <v/>
          </cell>
          <cell r="P335" t="str">
            <v/>
          </cell>
          <cell r="Q335" t="str">
            <v>416190</v>
          </cell>
        </row>
        <row r="336">
          <cell r="N336" t="str">
            <v>71615</v>
          </cell>
          <cell r="O336" t="str">
            <v>L01</v>
          </cell>
          <cell r="P336" t="str">
            <v>L0171615</v>
          </cell>
          <cell r="Q336" t="str">
            <v>416190</v>
          </cell>
        </row>
        <row r="337">
          <cell r="N337" t="str">
            <v>71615</v>
          </cell>
          <cell r="O337" t="str">
            <v>ONL</v>
          </cell>
          <cell r="P337" t="str">
            <v>ONL71615</v>
          </cell>
          <cell r="Q337" t="str">
            <v>416190</v>
          </cell>
        </row>
        <row r="338">
          <cell r="N338" t="str">
            <v>77961</v>
          </cell>
          <cell r="O338" t="str">
            <v/>
          </cell>
          <cell r="P338" t="str">
            <v/>
          </cell>
          <cell r="Q338" t="str">
            <v>41499</v>
          </cell>
        </row>
        <row r="339">
          <cell r="N339" t="str">
            <v>77961</v>
          </cell>
          <cell r="O339" t="str">
            <v>BBF</v>
          </cell>
          <cell r="P339" t="str">
            <v>BBF77961</v>
          </cell>
          <cell r="Q339" t="str">
            <v>41499</v>
          </cell>
        </row>
        <row r="340">
          <cell r="N340" t="str">
            <v>77961</v>
          </cell>
          <cell r="O340" t="str">
            <v>CCH</v>
          </cell>
          <cell r="P340" t="str">
            <v>CCH77961</v>
          </cell>
          <cell r="Q340" t="str">
            <v>41499</v>
          </cell>
        </row>
        <row r="341">
          <cell r="N341" t="str">
            <v>77961</v>
          </cell>
          <cell r="O341" t="str">
            <v>GCH</v>
          </cell>
          <cell r="P341" t="str">
            <v>GCH77961</v>
          </cell>
          <cell r="Q341" t="str">
            <v>41499</v>
          </cell>
        </row>
        <row r="342">
          <cell r="N342" t="str">
            <v>77961</v>
          </cell>
          <cell r="O342" t="str">
            <v>OGX</v>
          </cell>
          <cell r="P342" t="str">
            <v>OGX77961</v>
          </cell>
          <cell r="Q342" t="str">
            <v>41499</v>
          </cell>
        </row>
        <row r="343">
          <cell r="N343" t="str">
            <v>77961</v>
          </cell>
          <cell r="O343" t="str">
            <v>ONL</v>
          </cell>
          <cell r="P343" t="str">
            <v>ONL77961</v>
          </cell>
          <cell r="Q343" t="str">
            <v>41499</v>
          </cell>
        </row>
        <row r="344">
          <cell r="N344" t="str">
            <v>77961</v>
          </cell>
          <cell r="O344" t="str">
            <v>QCH</v>
          </cell>
          <cell r="P344" t="str">
            <v>QCH77961</v>
          </cell>
          <cell r="Q344" t="str">
            <v>41499</v>
          </cell>
        </row>
        <row r="345">
          <cell r="N345" t="str">
            <v>77961</v>
          </cell>
          <cell r="O345" t="str">
            <v>RCH</v>
          </cell>
          <cell r="P345" t="str">
            <v>RCH77961</v>
          </cell>
          <cell r="Q345" t="str">
            <v>41499</v>
          </cell>
        </row>
        <row r="346">
          <cell r="N346" t="str">
            <v>77961</v>
          </cell>
          <cell r="O346" t="str">
            <v>REG</v>
          </cell>
          <cell r="P346" t="str">
            <v>REG77961</v>
          </cell>
          <cell r="Q346" t="str">
            <v>41499</v>
          </cell>
        </row>
        <row r="347">
          <cell r="N347" t="str">
            <v>77961</v>
          </cell>
          <cell r="O347" t="str">
            <v>257</v>
          </cell>
          <cell r="P347" t="str">
            <v>25777961</v>
          </cell>
          <cell r="Q347" t="str">
            <v>41499</v>
          </cell>
        </row>
        <row r="348">
          <cell r="N348" t="str">
            <v>779900</v>
          </cell>
          <cell r="O348" t="str">
            <v/>
          </cell>
          <cell r="P348" t="str">
            <v/>
          </cell>
          <cell r="Q348" t="str">
            <v>450880910</v>
          </cell>
        </row>
        <row r="349">
          <cell r="N349" t="str">
            <v>779900</v>
          </cell>
          <cell r="O349" t="str">
            <v>033</v>
          </cell>
          <cell r="P349" t="str">
            <v>033779900</v>
          </cell>
          <cell r="Q349" t="str">
            <v>450880910</v>
          </cell>
        </row>
        <row r="350">
          <cell r="N350" t="str">
            <v>825974</v>
          </cell>
          <cell r="O350" t="str">
            <v/>
          </cell>
          <cell r="P350" t="str">
            <v/>
          </cell>
          <cell r="Q350" t="str">
            <v>5194</v>
          </cell>
        </row>
        <row r="351">
          <cell r="N351" t="str">
            <v>825974</v>
          </cell>
          <cell r="O351" t="str">
            <v>ONL</v>
          </cell>
          <cell r="P351" t="str">
            <v>ONL825974</v>
          </cell>
          <cell r="Q351" t="str">
            <v>5194</v>
          </cell>
        </row>
        <row r="352">
          <cell r="N352" t="str">
            <v>825974</v>
          </cell>
          <cell r="O352" t="str">
            <v>111</v>
          </cell>
          <cell r="P352" t="str">
            <v>111825974</v>
          </cell>
          <cell r="Q352" t="str">
            <v>5194</v>
          </cell>
        </row>
        <row r="353">
          <cell r="N353" t="str">
            <v>825974</v>
          </cell>
          <cell r="O353" t="str">
            <v>491</v>
          </cell>
          <cell r="P353" t="str">
            <v>491825974</v>
          </cell>
          <cell r="Q353" t="str">
            <v>5194</v>
          </cell>
        </row>
        <row r="354">
          <cell r="N354" t="str">
            <v>825974</v>
          </cell>
          <cell r="O354" t="str">
            <v>492</v>
          </cell>
          <cell r="P354" t="str">
            <v>492825974</v>
          </cell>
          <cell r="Q354" t="str">
            <v>5194</v>
          </cell>
        </row>
        <row r="355">
          <cell r="N355" t="str">
            <v>825974</v>
          </cell>
          <cell r="O355" t="str">
            <v>838</v>
          </cell>
          <cell r="P355" t="str">
            <v>838825974</v>
          </cell>
          <cell r="Q355" t="str">
            <v>5194</v>
          </cell>
        </row>
        <row r="356">
          <cell r="N356" t="str">
            <v>825978</v>
          </cell>
          <cell r="O356" t="str">
            <v/>
          </cell>
          <cell r="P356" t="str">
            <v/>
          </cell>
          <cell r="Q356" t="str">
            <v>5194</v>
          </cell>
        </row>
        <row r="357">
          <cell r="N357" t="str">
            <v>825978</v>
          </cell>
          <cell r="O357" t="str">
            <v>JNC</v>
          </cell>
          <cell r="P357" t="str">
            <v>JNC825978</v>
          </cell>
          <cell r="Q357" t="str">
            <v>5194</v>
          </cell>
        </row>
        <row r="358">
          <cell r="N358" t="str">
            <v>825978</v>
          </cell>
          <cell r="O358" t="str">
            <v>ONL</v>
          </cell>
          <cell r="P358" t="str">
            <v>ONL825978</v>
          </cell>
          <cell r="Q358" t="str">
            <v>5194</v>
          </cell>
        </row>
        <row r="359">
          <cell r="N359" t="str">
            <v>825979</v>
          </cell>
          <cell r="O359" t="str">
            <v/>
          </cell>
          <cell r="P359" t="str">
            <v/>
          </cell>
          <cell r="Q359" t="str">
            <v>5194</v>
          </cell>
        </row>
        <row r="360">
          <cell r="N360" t="str">
            <v>825979</v>
          </cell>
          <cell r="O360" t="str">
            <v>GCH</v>
          </cell>
          <cell r="P360" t="str">
            <v>GCH825979</v>
          </cell>
          <cell r="Q360" t="str">
            <v>5194</v>
          </cell>
        </row>
        <row r="361">
          <cell r="N361" t="str">
            <v>825979</v>
          </cell>
          <cell r="O361" t="str">
            <v>NCH</v>
          </cell>
          <cell r="P361" t="str">
            <v>NCH825979</v>
          </cell>
          <cell r="Q361" t="str">
            <v>5194</v>
          </cell>
        </row>
        <row r="362">
          <cell r="N362" t="str">
            <v>825979</v>
          </cell>
          <cell r="O362" t="str">
            <v>ONL</v>
          </cell>
          <cell r="P362" t="str">
            <v>ONL825979</v>
          </cell>
          <cell r="Q362" t="str">
            <v>5194</v>
          </cell>
        </row>
        <row r="363">
          <cell r="N363" t="str">
            <v>825979</v>
          </cell>
          <cell r="O363" t="str">
            <v>REG</v>
          </cell>
          <cell r="P363" t="str">
            <v>REG825979</v>
          </cell>
          <cell r="Q363" t="str">
            <v>5194</v>
          </cell>
        </row>
        <row r="364">
          <cell r="N364" t="str">
            <v>825979</v>
          </cell>
          <cell r="O364" t="str">
            <v>111</v>
          </cell>
          <cell r="P364" t="str">
            <v>111825979</v>
          </cell>
          <cell r="Q364" t="str">
            <v>5194</v>
          </cell>
        </row>
        <row r="365">
          <cell r="N365" t="str">
            <v>89341</v>
          </cell>
          <cell r="O365" t="str">
            <v/>
          </cell>
          <cell r="P365" t="str">
            <v/>
          </cell>
          <cell r="Q365" t="str">
            <v>431110</v>
          </cell>
        </row>
        <row r="366">
          <cell r="N366" t="str">
            <v>89341</v>
          </cell>
          <cell r="O366" t="str">
            <v>ALH</v>
          </cell>
          <cell r="P366" t="str">
            <v>ALH89341</v>
          </cell>
          <cell r="Q366" t="str">
            <v>431110</v>
          </cell>
        </row>
        <row r="367">
          <cell r="N367" t="str">
            <v>89341</v>
          </cell>
          <cell r="O367" t="str">
            <v>362</v>
          </cell>
          <cell r="P367" t="str">
            <v>36289341</v>
          </cell>
          <cell r="Q367" t="str">
            <v>431110</v>
          </cell>
        </row>
        <row r="368">
          <cell r="N368" t="str">
            <v>89342</v>
          </cell>
          <cell r="O368" t="str">
            <v/>
          </cell>
          <cell r="P368" t="str">
            <v/>
          </cell>
          <cell r="Q368" t="str">
            <v>431111</v>
          </cell>
        </row>
        <row r="369">
          <cell r="N369" t="str">
            <v>89342</v>
          </cell>
          <cell r="O369" t="str">
            <v>!OX</v>
          </cell>
          <cell r="P369" t="str">
            <v>!OX89342</v>
          </cell>
          <cell r="Q369" t="str">
            <v>431111</v>
          </cell>
        </row>
        <row r="370">
          <cell r="N370" t="str">
            <v>89342</v>
          </cell>
          <cell r="O370" t="str">
            <v>UCW</v>
          </cell>
          <cell r="P370" t="str">
            <v>UCW89342</v>
          </cell>
          <cell r="Q370" t="str">
            <v>431111</v>
          </cell>
        </row>
        <row r="371">
          <cell r="N371" t="str">
            <v>8995</v>
          </cell>
          <cell r="O371" t="str">
            <v/>
          </cell>
          <cell r="P371" t="str">
            <v/>
          </cell>
          <cell r="Q371" t="str">
            <v>5194</v>
          </cell>
        </row>
        <row r="372">
          <cell r="N372" t="str">
            <v>8995</v>
          </cell>
          <cell r="O372" t="str">
            <v>CCD</v>
          </cell>
          <cell r="P372" t="str">
            <v>CCD8995</v>
          </cell>
          <cell r="Q372" t="str">
            <v>5194</v>
          </cell>
        </row>
        <row r="373">
          <cell r="N373" t="str">
            <v>8995</v>
          </cell>
          <cell r="O373" t="str">
            <v>CCJ</v>
          </cell>
          <cell r="P373" t="str">
            <v>CCJ8995</v>
          </cell>
          <cell r="Q373" t="str">
            <v>5194</v>
          </cell>
        </row>
        <row r="374">
          <cell r="N374" t="str">
            <v>8995</v>
          </cell>
          <cell r="O374" t="str">
            <v>LRA</v>
          </cell>
          <cell r="P374" t="str">
            <v>LRA8995</v>
          </cell>
          <cell r="Q374" t="str">
            <v>5194</v>
          </cell>
        </row>
        <row r="375">
          <cell r="N375" t="str">
            <v>8995</v>
          </cell>
          <cell r="O375" t="str">
            <v>ONL</v>
          </cell>
          <cell r="P375" t="str">
            <v>ONL8995</v>
          </cell>
          <cell r="Q375" t="str">
            <v>5194</v>
          </cell>
        </row>
        <row r="376">
          <cell r="N376" t="str">
            <v>8995</v>
          </cell>
          <cell r="O376" t="str">
            <v>REG</v>
          </cell>
          <cell r="P376" t="str">
            <v>REG8995</v>
          </cell>
          <cell r="Q376" t="str">
            <v>5194</v>
          </cell>
        </row>
        <row r="377">
          <cell r="N377" t="str">
            <v>8995</v>
          </cell>
          <cell r="O377" t="str">
            <v>035</v>
          </cell>
          <cell r="P377" t="str">
            <v>0358995</v>
          </cell>
          <cell r="Q377" t="str">
            <v>5194</v>
          </cell>
        </row>
        <row r="378">
          <cell r="N378" t="str">
            <v>8995</v>
          </cell>
          <cell r="O378" t="str">
            <v>35E</v>
          </cell>
          <cell r="P378" t="str">
            <v>35E8995</v>
          </cell>
          <cell r="Q378" t="str">
            <v>5194</v>
          </cell>
        </row>
        <row r="379">
          <cell r="N379" t="str">
            <v/>
          </cell>
          <cell r="O379" t="str">
            <v/>
          </cell>
          <cell r="P379" t="str">
            <v/>
          </cell>
          <cell r="Q379" t="str">
            <v/>
          </cell>
        </row>
        <row r="380"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</row>
        <row r="381">
          <cell r="N381" t="str">
            <v/>
          </cell>
          <cell r="O381" t="str">
            <v/>
          </cell>
          <cell r="P381" t="str">
            <v/>
          </cell>
          <cell r="Q381" t="str">
            <v/>
          </cell>
        </row>
        <row r="382">
          <cell r="N382" t="str">
            <v>518510</v>
          </cell>
          <cell r="O382" t="str">
            <v/>
          </cell>
          <cell r="P382" t="str">
            <v/>
          </cell>
          <cell r="Q382" t="str">
            <v>1992199</v>
          </cell>
        </row>
        <row r="383">
          <cell r="N383" t="str">
            <v>518510</v>
          </cell>
          <cell r="O383" t="str">
            <v>!MN</v>
          </cell>
          <cell r="P383" t="str">
            <v>!MN518510</v>
          </cell>
          <cell r="Q383" t="str">
            <v>1992199</v>
          </cell>
        </row>
        <row r="384">
          <cell r="N384" t="str">
            <v>5499640</v>
          </cell>
          <cell r="O384" t="str">
            <v/>
          </cell>
          <cell r="P384" t="str">
            <v/>
          </cell>
          <cell r="Q384" t="str">
            <v>19939</v>
          </cell>
        </row>
        <row r="385">
          <cell r="N385" t="str">
            <v>5499640</v>
          </cell>
          <cell r="O385" t="str">
            <v>!MN</v>
          </cell>
          <cell r="P385" t="str">
            <v>!MN5499640</v>
          </cell>
          <cell r="Q385" t="str">
            <v>19939</v>
          </cell>
        </row>
        <row r="386">
          <cell r="N386" t="str">
            <v>579910329</v>
          </cell>
          <cell r="O386" t="str">
            <v/>
          </cell>
          <cell r="P386" t="str">
            <v/>
          </cell>
          <cell r="Q386" t="str">
            <v>1999</v>
          </cell>
        </row>
        <row r="387">
          <cell r="N387" t="str">
            <v>579910329</v>
          </cell>
          <cell r="O387" t="str">
            <v>!MN</v>
          </cell>
          <cell r="P387" t="str">
            <v>!MN579910329</v>
          </cell>
          <cell r="Q387" t="str">
            <v>1999</v>
          </cell>
        </row>
        <row r="388">
          <cell r="N388" t="str">
            <v>8259411</v>
          </cell>
          <cell r="O388" t="str">
            <v/>
          </cell>
          <cell r="P388" t="str">
            <v/>
          </cell>
          <cell r="Q388" t="str">
            <v>51931</v>
          </cell>
        </row>
        <row r="389">
          <cell r="N389" t="str">
            <v>8259411</v>
          </cell>
          <cell r="O389" t="str">
            <v>!NB</v>
          </cell>
          <cell r="P389" t="str">
            <v>!NB8259411</v>
          </cell>
          <cell r="Q389" t="str">
            <v>51931</v>
          </cell>
        </row>
        <row r="390">
          <cell r="N390" t="str">
            <v>8259411</v>
          </cell>
          <cell r="O390" t="str">
            <v>23S</v>
          </cell>
          <cell r="P390" t="str">
            <v>23S8259411</v>
          </cell>
          <cell r="Q390" t="str">
            <v>51931</v>
          </cell>
        </row>
        <row r="391">
          <cell r="N391" t="str">
            <v>8259413</v>
          </cell>
          <cell r="O391" t="str">
            <v/>
          </cell>
          <cell r="P391" t="str">
            <v/>
          </cell>
          <cell r="Q391" t="str">
            <v>51959</v>
          </cell>
        </row>
        <row r="392">
          <cell r="N392" t="str">
            <v>8259413</v>
          </cell>
          <cell r="O392" t="str">
            <v>CPW</v>
          </cell>
          <cell r="P392" t="str">
            <v>CPW8259413</v>
          </cell>
          <cell r="Q392" t="str">
            <v>51959</v>
          </cell>
        </row>
        <row r="393">
          <cell r="N393" t="str">
            <v>8259413</v>
          </cell>
          <cell r="O393" t="str">
            <v>ONL</v>
          </cell>
          <cell r="P393" t="str">
            <v>ONL8259413</v>
          </cell>
          <cell r="Q393" t="str">
            <v>51959</v>
          </cell>
        </row>
        <row r="394"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</row>
        <row r="395">
          <cell r="N395" t="str">
            <v>8259411</v>
          </cell>
          <cell r="O395" t="str">
            <v/>
          </cell>
          <cell r="P395" t="str">
            <v/>
          </cell>
          <cell r="Q395" t="str">
            <v>51931</v>
          </cell>
        </row>
        <row r="396">
          <cell r="N396" t="str">
            <v>8259411</v>
          </cell>
          <cell r="O396" t="str">
            <v>VEJ</v>
          </cell>
          <cell r="P396" t="str">
            <v>VEJ8259411</v>
          </cell>
          <cell r="Q396" t="str">
            <v>51931</v>
          </cell>
        </row>
        <row r="397">
          <cell r="N397" t="str">
            <v>8259411</v>
          </cell>
          <cell r="O397" t="str">
            <v>VE4</v>
          </cell>
          <cell r="P397" t="str">
            <v>VE48259411</v>
          </cell>
          <cell r="Q397" t="str">
            <v>51931</v>
          </cell>
        </row>
        <row r="398"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</row>
        <row r="399">
          <cell r="N399" t="str">
            <v>825934</v>
          </cell>
          <cell r="O399" t="str">
            <v/>
          </cell>
          <cell r="P399" t="str">
            <v/>
          </cell>
          <cell r="Q399" t="str">
            <v>512010</v>
          </cell>
        </row>
        <row r="400">
          <cell r="N400" t="str">
            <v>825934</v>
          </cell>
          <cell r="O400" t="str">
            <v>XWY</v>
          </cell>
          <cell r="P400" t="str">
            <v>XWY825934</v>
          </cell>
          <cell r="Q400" t="str">
            <v>512010</v>
          </cell>
        </row>
        <row r="401">
          <cell r="N401" t="str">
            <v>825944</v>
          </cell>
          <cell r="O401" t="str">
            <v/>
          </cell>
          <cell r="P401" t="str">
            <v/>
          </cell>
          <cell r="Q401" t="str">
            <v>512018</v>
          </cell>
        </row>
        <row r="402">
          <cell r="N402" t="str">
            <v>825944</v>
          </cell>
          <cell r="O402" t="str">
            <v>!75</v>
          </cell>
          <cell r="P402" t="str">
            <v>!75825944</v>
          </cell>
          <cell r="Q402" t="str">
            <v>512018</v>
          </cell>
        </row>
        <row r="403"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</row>
        <row r="404">
          <cell r="N404" t="str">
            <v/>
          </cell>
          <cell r="O404" t="str">
            <v/>
          </cell>
          <cell r="P404" t="str">
            <v/>
          </cell>
          <cell r="Q404" t="str">
            <v/>
          </cell>
        </row>
        <row r="405">
          <cell r="N405" t="str">
            <v>579910324</v>
          </cell>
          <cell r="O405" t="str">
            <v/>
          </cell>
          <cell r="P405" t="str">
            <v/>
          </cell>
          <cell r="Q405" t="str">
            <v>1999</v>
          </cell>
        </row>
        <row r="406">
          <cell r="N406" t="str">
            <v>579910324</v>
          </cell>
          <cell r="O406" t="str">
            <v>!CY</v>
          </cell>
          <cell r="P406" t="str">
            <v>!CY579910324</v>
          </cell>
          <cell r="Q406" t="str">
            <v>1999</v>
          </cell>
        </row>
        <row r="407">
          <cell r="N407" t="str">
            <v>825941</v>
          </cell>
          <cell r="O407" t="str">
            <v/>
          </cell>
          <cell r="P407" t="str">
            <v/>
          </cell>
          <cell r="Q407" t="str">
            <v/>
          </cell>
        </row>
        <row r="408">
          <cell r="N408" t="str">
            <v>825941</v>
          </cell>
          <cell r="O408" t="str">
            <v>DCU</v>
          </cell>
          <cell r="P408" t="str">
            <v>DCU825941</v>
          </cell>
          <cell r="Q408" t="str">
            <v/>
          </cell>
        </row>
        <row r="409">
          <cell r="N409" t="str">
            <v>825941</v>
          </cell>
          <cell r="O409" t="str">
            <v>ONL</v>
          </cell>
          <cell r="P409" t="str">
            <v>ONL825941</v>
          </cell>
          <cell r="Q409" t="str">
            <v/>
          </cell>
        </row>
        <row r="410">
          <cell r="N410" t="str">
            <v>825941</v>
          </cell>
          <cell r="O410" t="str">
            <v>REG</v>
          </cell>
          <cell r="P410" t="str">
            <v>REG825941</v>
          </cell>
          <cell r="Q410" t="str">
            <v/>
          </cell>
        </row>
        <row r="411">
          <cell r="N411" t="str">
            <v>825941</v>
          </cell>
          <cell r="O411" t="str">
            <v>TRI</v>
          </cell>
          <cell r="P411" t="str">
            <v>TRI825941</v>
          </cell>
          <cell r="Q411" t="str">
            <v/>
          </cell>
        </row>
        <row r="412">
          <cell r="N412" t="str">
            <v>825941</v>
          </cell>
          <cell r="O412" t="str">
            <v>TRP</v>
          </cell>
          <cell r="P412" t="str">
            <v>TRP825941</v>
          </cell>
          <cell r="Q412" t="str">
            <v/>
          </cell>
        </row>
        <row r="413">
          <cell r="N413" t="str">
            <v>825941</v>
          </cell>
          <cell r="O413" t="str">
            <v>244</v>
          </cell>
          <cell r="P413" t="str">
            <v>244825941</v>
          </cell>
          <cell r="Q413" t="str">
            <v/>
          </cell>
        </row>
        <row r="414">
          <cell r="N414" t="str">
            <v>825941</v>
          </cell>
          <cell r="O414" t="str">
            <v>246</v>
          </cell>
          <cell r="P414" t="str">
            <v>246825941</v>
          </cell>
          <cell r="Q414" t="str">
            <v/>
          </cell>
        </row>
        <row r="415">
          <cell r="N415" t="str">
            <v>8259410</v>
          </cell>
          <cell r="O415" t="str">
            <v/>
          </cell>
          <cell r="P415" t="str">
            <v/>
          </cell>
          <cell r="Q415" t="str">
            <v/>
          </cell>
        </row>
        <row r="416">
          <cell r="N416" t="str">
            <v>8259410</v>
          </cell>
          <cell r="O416" t="str">
            <v>TRP</v>
          </cell>
          <cell r="P416" t="str">
            <v>TRP8259410</v>
          </cell>
          <cell r="Q416" t="str">
            <v/>
          </cell>
        </row>
        <row r="417">
          <cell r="N417" t="str">
            <v>8259410</v>
          </cell>
          <cell r="O417" t="str">
            <v>244</v>
          </cell>
          <cell r="P417" t="str">
            <v>2448259410</v>
          </cell>
          <cell r="Q417" t="str">
            <v/>
          </cell>
        </row>
        <row r="418">
          <cell r="N418" t="str">
            <v>8259410</v>
          </cell>
          <cell r="O418" t="str">
            <v>246</v>
          </cell>
          <cell r="P418" t="str">
            <v>2468259410</v>
          </cell>
          <cell r="Q418" t="str">
            <v/>
          </cell>
        </row>
        <row r="419">
          <cell r="N419" t="str">
            <v>82594106</v>
          </cell>
          <cell r="O419" t="str">
            <v/>
          </cell>
          <cell r="P419" t="str">
            <v/>
          </cell>
          <cell r="Q419" t="str">
            <v>502031047</v>
          </cell>
        </row>
        <row r="420">
          <cell r="N420" t="str">
            <v>82594106</v>
          </cell>
          <cell r="O420" t="str">
            <v>ONL</v>
          </cell>
          <cell r="P420" t="str">
            <v>ONL82594106</v>
          </cell>
          <cell r="Q420" t="str">
            <v>502031047</v>
          </cell>
        </row>
        <row r="421">
          <cell r="N421" t="str">
            <v>82594106</v>
          </cell>
          <cell r="O421" t="str">
            <v>TRP</v>
          </cell>
          <cell r="P421" t="str">
            <v>TRP82594106</v>
          </cell>
          <cell r="Q421" t="str">
            <v>502031047</v>
          </cell>
        </row>
        <row r="422">
          <cell r="N422" t="str">
            <v>82594106</v>
          </cell>
          <cell r="O422" t="str">
            <v>244</v>
          </cell>
          <cell r="P422" t="str">
            <v>24482594106</v>
          </cell>
          <cell r="Q422" t="str">
            <v>502031047</v>
          </cell>
        </row>
        <row r="423">
          <cell r="N423" t="str">
            <v>82594106</v>
          </cell>
          <cell r="O423" t="str">
            <v>246</v>
          </cell>
          <cell r="P423" t="str">
            <v>24682594106</v>
          </cell>
          <cell r="Q423" t="str">
            <v>502031047</v>
          </cell>
        </row>
        <row r="424">
          <cell r="N424" t="str">
            <v>8259411</v>
          </cell>
          <cell r="O424" t="str">
            <v/>
          </cell>
          <cell r="P424" t="str">
            <v/>
          </cell>
          <cell r="Q424" t="str">
            <v>51931</v>
          </cell>
        </row>
        <row r="425">
          <cell r="N425" t="str">
            <v>8259411</v>
          </cell>
          <cell r="O425" t="str">
            <v>AP9</v>
          </cell>
          <cell r="P425" t="str">
            <v>AP98259411</v>
          </cell>
          <cell r="Q425" t="str">
            <v>51931</v>
          </cell>
        </row>
        <row r="426">
          <cell r="N426" t="str">
            <v>8259411</v>
          </cell>
          <cell r="O426" t="str">
            <v>JUE</v>
          </cell>
          <cell r="P426" t="str">
            <v>JUE8259411</v>
          </cell>
          <cell r="Q426" t="str">
            <v>51931</v>
          </cell>
        </row>
        <row r="427">
          <cell r="N427" t="str">
            <v>8259411</v>
          </cell>
          <cell r="O427" t="str">
            <v>ONL</v>
          </cell>
          <cell r="P427" t="str">
            <v>ONL8259411</v>
          </cell>
          <cell r="Q427" t="str">
            <v>51931</v>
          </cell>
        </row>
        <row r="428">
          <cell r="N428" t="str">
            <v>8259411</v>
          </cell>
          <cell r="O428" t="str">
            <v>REG</v>
          </cell>
          <cell r="P428" t="str">
            <v>REG8259411</v>
          </cell>
          <cell r="Q428" t="str">
            <v>51931</v>
          </cell>
        </row>
        <row r="429">
          <cell r="N429" t="str">
            <v>8259411</v>
          </cell>
          <cell r="O429" t="str">
            <v>111</v>
          </cell>
          <cell r="P429" t="str">
            <v>1118259411</v>
          </cell>
          <cell r="Q429" t="str">
            <v>51931</v>
          </cell>
        </row>
        <row r="430">
          <cell r="N430" t="str">
            <v>8259411</v>
          </cell>
          <cell r="O430" t="str">
            <v>244</v>
          </cell>
          <cell r="P430" t="str">
            <v>2448259411</v>
          </cell>
          <cell r="Q430" t="str">
            <v>51931</v>
          </cell>
        </row>
        <row r="431">
          <cell r="N431" t="str">
            <v>8259411</v>
          </cell>
          <cell r="O431" t="str">
            <v>246</v>
          </cell>
          <cell r="P431" t="str">
            <v>2468259411</v>
          </cell>
          <cell r="Q431" t="str">
            <v>51931</v>
          </cell>
        </row>
        <row r="432">
          <cell r="N432" t="str">
            <v>8259411</v>
          </cell>
          <cell r="O432" t="str">
            <v>!71</v>
          </cell>
          <cell r="P432" t="str">
            <v>!718259411</v>
          </cell>
          <cell r="Q432" t="str">
            <v>51931</v>
          </cell>
        </row>
        <row r="433"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</row>
        <row r="434">
          <cell r="N434" t="str">
            <v>8259411</v>
          </cell>
          <cell r="O434" t="str">
            <v/>
          </cell>
          <cell r="P434" t="str">
            <v/>
          </cell>
          <cell r="Q434" t="str">
            <v>51931</v>
          </cell>
        </row>
        <row r="435">
          <cell r="N435" t="str">
            <v>8259411</v>
          </cell>
          <cell r="O435" t="str">
            <v>VEF</v>
          </cell>
          <cell r="P435" t="str">
            <v>VEF8259411</v>
          </cell>
          <cell r="Q435" t="str">
            <v>51931</v>
          </cell>
        </row>
        <row r="436">
          <cell r="N436" t="str">
            <v>8259411</v>
          </cell>
          <cell r="O436" t="str">
            <v>VEK</v>
          </cell>
          <cell r="P436" t="str">
            <v>VEK8259411</v>
          </cell>
          <cell r="Q436" t="str">
            <v>51931</v>
          </cell>
        </row>
        <row r="437"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</row>
        <row r="438"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</row>
        <row r="439"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</row>
        <row r="440"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</row>
        <row r="441">
          <cell r="N441" t="str">
            <v>8255</v>
          </cell>
          <cell r="O441" t="str">
            <v/>
          </cell>
          <cell r="P441" t="str">
            <v/>
          </cell>
          <cell r="Q441" t="str">
            <v>5151511</v>
          </cell>
        </row>
        <row r="442">
          <cell r="N442" t="str">
            <v>8255</v>
          </cell>
          <cell r="O442" t="str">
            <v>SKE</v>
          </cell>
          <cell r="P442" t="str">
            <v>SKE8255</v>
          </cell>
          <cell r="Q442" t="str">
            <v>5151511</v>
          </cell>
        </row>
        <row r="443">
          <cell r="N443" t="str">
            <v>8255</v>
          </cell>
          <cell r="O443" t="str">
            <v>YD1</v>
          </cell>
          <cell r="P443" t="str">
            <v>YD18255</v>
          </cell>
          <cell r="Q443" t="str">
            <v>5151511</v>
          </cell>
        </row>
        <row r="444">
          <cell r="N444" t="str">
            <v>8255</v>
          </cell>
          <cell r="O444" t="str">
            <v>YHW</v>
          </cell>
          <cell r="P444" t="str">
            <v>YHW8255</v>
          </cell>
          <cell r="Q444" t="str">
            <v>5151511</v>
          </cell>
        </row>
        <row r="445">
          <cell r="N445" t="str">
            <v>8255</v>
          </cell>
          <cell r="O445" t="str">
            <v>YIC</v>
          </cell>
          <cell r="P445" t="str">
            <v>YIC8255</v>
          </cell>
          <cell r="Q445" t="str">
            <v>5151511</v>
          </cell>
        </row>
        <row r="446">
          <cell r="N446" t="str">
            <v>82590</v>
          </cell>
          <cell r="O446" t="str">
            <v/>
          </cell>
          <cell r="P446" t="str">
            <v/>
          </cell>
          <cell r="Q446" t="str">
            <v/>
          </cell>
        </row>
        <row r="447">
          <cell r="N447" t="str">
            <v>82590</v>
          </cell>
          <cell r="O447" t="str">
            <v>SQ1</v>
          </cell>
          <cell r="P447" t="str">
            <v>SQ182590</v>
          </cell>
          <cell r="Q447" t="str">
            <v/>
          </cell>
        </row>
        <row r="448">
          <cell r="N448" t="str">
            <v>82590</v>
          </cell>
          <cell r="O448" t="str">
            <v>S2K</v>
          </cell>
          <cell r="P448" t="str">
            <v>S2K82590</v>
          </cell>
          <cell r="Q448" t="str">
            <v/>
          </cell>
        </row>
        <row r="449">
          <cell r="N449" t="str">
            <v>82590</v>
          </cell>
          <cell r="O449" t="str">
            <v>S7S</v>
          </cell>
          <cell r="P449" t="str">
            <v>S7S82590</v>
          </cell>
          <cell r="Q449" t="str">
            <v/>
          </cell>
        </row>
        <row r="450">
          <cell r="N450" t="str">
            <v>82590</v>
          </cell>
          <cell r="O450" t="str">
            <v>S80</v>
          </cell>
          <cell r="P450" t="str">
            <v>S8082590</v>
          </cell>
          <cell r="Q450" t="str">
            <v/>
          </cell>
        </row>
        <row r="451">
          <cell r="N451" t="str">
            <v>82590</v>
          </cell>
          <cell r="O451" t="str">
            <v>YAB</v>
          </cell>
          <cell r="P451" t="str">
            <v>YAB82590</v>
          </cell>
          <cell r="Q451" t="str">
            <v/>
          </cell>
        </row>
        <row r="452">
          <cell r="N452" t="str">
            <v>82590</v>
          </cell>
          <cell r="O452" t="str">
            <v>YEW</v>
          </cell>
          <cell r="P452" t="str">
            <v>YEW82590</v>
          </cell>
          <cell r="Q452" t="str">
            <v/>
          </cell>
        </row>
        <row r="453">
          <cell r="N453" t="str">
            <v>82590</v>
          </cell>
          <cell r="O453" t="str">
            <v>YE1</v>
          </cell>
          <cell r="P453" t="str">
            <v>YE182590</v>
          </cell>
          <cell r="Q453" t="str">
            <v/>
          </cell>
        </row>
        <row r="454">
          <cell r="N454" t="str">
            <v>82590</v>
          </cell>
          <cell r="O454" t="str">
            <v>YFD</v>
          </cell>
          <cell r="P454" t="str">
            <v>YFD82590</v>
          </cell>
          <cell r="Q454" t="str">
            <v/>
          </cell>
        </row>
        <row r="455">
          <cell r="N455" t="str">
            <v>825900</v>
          </cell>
          <cell r="O455" t="str">
            <v/>
          </cell>
          <cell r="P455" t="str">
            <v/>
          </cell>
          <cell r="Q455" t="str">
            <v/>
          </cell>
        </row>
        <row r="456">
          <cell r="N456" t="str">
            <v>825900</v>
          </cell>
          <cell r="O456" t="str">
            <v>SQG</v>
          </cell>
          <cell r="P456" t="str">
            <v>SQG825900</v>
          </cell>
          <cell r="Q456" t="str">
            <v/>
          </cell>
        </row>
        <row r="457">
          <cell r="N457" t="str">
            <v>825900</v>
          </cell>
          <cell r="O457" t="str">
            <v>SQ1</v>
          </cell>
          <cell r="P457" t="str">
            <v>SQ1825900</v>
          </cell>
          <cell r="Q457" t="str">
            <v/>
          </cell>
        </row>
        <row r="458">
          <cell r="N458" t="str">
            <v>825900</v>
          </cell>
          <cell r="O458" t="str">
            <v>S2K</v>
          </cell>
          <cell r="P458" t="str">
            <v>S2K825900</v>
          </cell>
          <cell r="Q458" t="str">
            <v/>
          </cell>
        </row>
        <row r="459">
          <cell r="N459" t="str">
            <v>825900</v>
          </cell>
          <cell r="O459" t="str">
            <v>S7S</v>
          </cell>
          <cell r="P459" t="str">
            <v>S7S825900</v>
          </cell>
          <cell r="Q459" t="str">
            <v/>
          </cell>
        </row>
        <row r="460">
          <cell r="N460" t="str">
            <v>825900</v>
          </cell>
          <cell r="O460" t="str">
            <v>S80</v>
          </cell>
          <cell r="P460" t="str">
            <v>S80825900</v>
          </cell>
          <cell r="Q460" t="str">
            <v/>
          </cell>
        </row>
        <row r="461">
          <cell r="N461" t="str">
            <v>825900</v>
          </cell>
          <cell r="O461" t="str">
            <v>YAB</v>
          </cell>
          <cell r="P461" t="str">
            <v>YAB825900</v>
          </cell>
          <cell r="Q461" t="str">
            <v/>
          </cell>
        </row>
        <row r="462">
          <cell r="N462" t="str">
            <v>825900</v>
          </cell>
          <cell r="O462" t="str">
            <v>YEW</v>
          </cell>
          <cell r="P462" t="str">
            <v>YEW825900</v>
          </cell>
          <cell r="Q462" t="str">
            <v/>
          </cell>
        </row>
        <row r="463">
          <cell r="N463" t="str">
            <v>82590020</v>
          </cell>
          <cell r="O463" t="str">
            <v/>
          </cell>
          <cell r="P463" t="str">
            <v/>
          </cell>
          <cell r="Q463" t="str">
            <v>5151512</v>
          </cell>
        </row>
        <row r="464">
          <cell r="N464" t="str">
            <v>82590020</v>
          </cell>
          <cell r="O464" t="str">
            <v>SQG</v>
          </cell>
          <cell r="P464" t="str">
            <v>SQG82590020</v>
          </cell>
          <cell r="Q464" t="str">
            <v>5151512</v>
          </cell>
        </row>
        <row r="465">
          <cell r="N465" t="str">
            <v>82590020</v>
          </cell>
          <cell r="O465" t="str">
            <v>SQ1</v>
          </cell>
          <cell r="P465" t="str">
            <v>SQ182590020</v>
          </cell>
          <cell r="Q465" t="str">
            <v>5151512</v>
          </cell>
        </row>
        <row r="466">
          <cell r="N466" t="str">
            <v>82590020</v>
          </cell>
          <cell r="O466" t="str">
            <v>S2K</v>
          </cell>
          <cell r="P466" t="str">
            <v>S2K82590020</v>
          </cell>
          <cell r="Q466" t="str">
            <v>5151512</v>
          </cell>
        </row>
        <row r="467">
          <cell r="N467" t="str">
            <v>82590020</v>
          </cell>
          <cell r="O467" t="str">
            <v>S7S</v>
          </cell>
          <cell r="P467" t="str">
            <v>S7S82590020</v>
          </cell>
          <cell r="Q467" t="str">
            <v>5151512</v>
          </cell>
        </row>
        <row r="468">
          <cell r="N468" t="str">
            <v>82590020</v>
          </cell>
          <cell r="O468" t="str">
            <v>S80</v>
          </cell>
          <cell r="P468" t="str">
            <v>S8082590020</v>
          </cell>
          <cell r="Q468" t="str">
            <v>5151512</v>
          </cell>
        </row>
        <row r="469">
          <cell r="N469" t="str">
            <v>82590020</v>
          </cell>
          <cell r="O469" t="str">
            <v>YAB</v>
          </cell>
          <cell r="P469" t="str">
            <v>YAB82590020</v>
          </cell>
          <cell r="Q469" t="str">
            <v>5151512</v>
          </cell>
        </row>
        <row r="470">
          <cell r="N470" t="str">
            <v>82590020</v>
          </cell>
          <cell r="O470" t="str">
            <v>YEW</v>
          </cell>
          <cell r="P470" t="str">
            <v>YEW82590020</v>
          </cell>
          <cell r="Q470" t="str">
            <v>5151512</v>
          </cell>
        </row>
        <row r="471">
          <cell r="N471" t="str">
            <v>8259009</v>
          </cell>
          <cell r="O471" t="str">
            <v/>
          </cell>
          <cell r="P471" t="str">
            <v/>
          </cell>
          <cell r="Q471" t="str">
            <v>5151512</v>
          </cell>
        </row>
        <row r="472">
          <cell r="N472" t="str">
            <v>8259009</v>
          </cell>
          <cell r="O472" t="str">
            <v>SQ1</v>
          </cell>
          <cell r="P472" t="str">
            <v>SQ18259009</v>
          </cell>
          <cell r="Q472" t="str">
            <v>5151512</v>
          </cell>
        </row>
        <row r="473">
          <cell r="N473" t="str">
            <v>8259009</v>
          </cell>
          <cell r="O473" t="str">
            <v>S7S</v>
          </cell>
          <cell r="P473" t="str">
            <v>S7S8259009</v>
          </cell>
          <cell r="Q473" t="str">
            <v>5151512</v>
          </cell>
        </row>
        <row r="474">
          <cell r="N474" t="str">
            <v>8259009</v>
          </cell>
          <cell r="O474" t="str">
            <v>YAB</v>
          </cell>
          <cell r="P474" t="str">
            <v>YAB8259009</v>
          </cell>
          <cell r="Q474" t="str">
            <v>5151512</v>
          </cell>
        </row>
        <row r="475">
          <cell r="N475" t="str">
            <v>8259009</v>
          </cell>
          <cell r="O475" t="str">
            <v>YEW</v>
          </cell>
          <cell r="P475" t="str">
            <v>YEW8259009</v>
          </cell>
          <cell r="Q475" t="str">
            <v>5151512</v>
          </cell>
        </row>
        <row r="476">
          <cell r="N476" t="str">
            <v>825901</v>
          </cell>
          <cell r="O476" t="str">
            <v/>
          </cell>
          <cell r="P476" t="str">
            <v/>
          </cell>
          <cell r="Q476" t="str">
            <v>5151512</v>
          </cell>
        </row>
        <row r="477">
          <cell r="N477" t="str">
            <v>825901</v>
          </cell>
          <cell r="O477" t="str">
            <v>YAB</v>
          </cell>
          <cell r="P477" t="str">
            <v>YAB825901</v>
          </cell>
          <cell r="Q477" t="str">
            <v>5151512</v>
          </cell>
        </row>
        <row r="478">
          <cell r="N478" t="str">
            <v>82980</v>
          </cell>
          <cell r="O478" t="str">
            <v/>
          </cell>
          <cell r="P478" t="str">
            <v/>
          </cell>
          <cell r="Q478" t="str">
            <v/>
          </cell>
        </row>
        <row r="479">
          <cell r="N479" t="str">
            <v>82980</v>
          </cell>
          <cell r="O479" t="str">
            <v>YEW</v>
          </cell>
          <cell r="P479" t="str">
            <v>YEW82980</v>
          </cell>
          <cell r="Q479" t="str">
            <v/>
          </cell>
        </row>
        <row r="480">
          <cell r="N480" t="str">
            <v>829800</v>
          </cell>
          <cell r="O480" t="str">
            <v/>
          </cell>
          <cell r="P480" t="str">
            <v/>
          </cell>
          <cell r="Q480" t="str">
            <v/>
          </cell>
        </row>
        <row r="481">
          <cell r="N481" t="str">
            <v>829800</v>
          </cell>
          <cell r="O481" t="str">
            <v>S2K</v>
          </cell>
          <cell r="P481" t="str">
            <v>S2K829800</v>
          </cell>
          <cell r="Q481" t="str">
            <v/>
          </cell>
        </row>
        <row r="482">
          <cell r="N482" t="str">
            <v>829800</v>
          </cell>
          <cell r="O482" t="str">
            <v>S7S</v>
          </cell>
          <cell r="P482" t="str">
            <v>S7S829800</v>
          </cell>
          <cell r="Q482" t="str">
            <v/>
          </cell>
        </row>
        <row r="483">
          <cell r="N483" t="str">
            <v>829800</v>
          </cell>
          <cell r="O483" t="str">
            <v>YEW</v>
          </cell>
          <cell r="P483" t="str">
            <v>YEW829800</v>
          </cell>
          <cell r="Q483" t="str">
            <v/>
          </cell>
        </row>
        <row r="484">
          <cell r="N484" t="str">
            <v>829800</v>
          </cell>
          <cell r="O484" t="str">
            <v>YE1</v>
          </cell>
          <cell r="P484" t="str">
            <v>YE1829800</v>
          </cell>
          <cell r="Q484" t="str">
            <v/>
          </cell>
        </row>
        <row r="485">
          <cell r="N485" t="str">
            <v>829800</v>
          </cell>
          <cell r="O485" t="str">
            <v>YFD</v>
          </cell>
          <cell r="P485" t="str">
            <v>YFD829800</v>
          </cell>
          <cell r="Q485" t="str">
            <v/>
          </cell>
        </row>
        <row r="486">
          <cell r="N486" t="str">
            <v>82981</v>
          </cell>
          <cell r="O486" t="str">
            <v/>
          </cell>
          <cell r="P486" t="str">
            <v/>
          </cell>
          <cell r="Q486" t="str">
            <v/>
          </cell>
        </row>
        <row r="487">
          <cell r="N487" t="str">
            <v>82981</v>
          </cell>
          <cell r="O487" t="str">
            <v>SKE</v>
          </cell>
          <cell r="P487" t="str">
            <v>SKE82981</v>
          </cell>
          <cell r="Q487" t="str">
            <v/>
          </cell>
        </row>
        <row r="488">
          <cell r="N488" t="str">
            <v>82981</v>
          </cell>
          <cell r="O488" t="str">
            <v>S7S</v>
          </cell>
          <cell r="P488" t="str">
            <v>S7S82981</v>
          </cell>
          <cell r="Q488" t="str">
            <v/>
          </cell>
        </row>
        <row r="489">
          <cell r="N489" t="str">
            <v>82981</v>
          </cell>
          <cell r="O489" t="str">
            <v>YHW</v>
          </cell>
          <cell r="P489" t="str">
            <v>YHW82981</v>
          </cell>
          <cell r="Q489" t="str">
            <v/>
          </cell>
        </row>
        <row r="490">
          <cell r="N490" t="str">
            <v>82981</v>
          </cell>
          <cell r="O490" t="str">
            <v>YIC</v>
          </cell>
          <cell r="P490" t="str">
            <v>YIC82981</v>
          </cell>
          <cell r="Q490" t="str">
            <v/>
          </cell>
        </row>
        <row r="491">
          <cell r="N491" t="str">
            <v>8299</v>
          </cell>
          <cell r="O491" t="str">
            <v/>
          </cell>
          <cell r="P491" t="str">
            <v/>
          </cell>
          <cell r="Q491" t="str">
            <v/>
          </cell>
        </row>
        <row r="492">
          <cell r="N492" t="str">
            <v>8299</v>
          </cell>
          <cell r="O492" t="str">
            <v>YME</v>
          </cell>
          <cell r="P492" t="str">
            <v>YME8299</v>
          </cell>
          <cell r="Q492" t="str">
            <v/>
          </cell>
        </row>
        <row r="493">
          <cell r="N493" t="str">
            <v>82999</v>
          </cell>
          <cell r="O493" t="str">
            <v/>
          </cell>
          <cell r="P493" t="str">
            <v/>
          </cell>
          <cell r="Q493" t="str">
            <v>51999</v>
          </cell>
        </row>
        <row r="494">
          <cell r="N494" t="str">
            <v>82999</v>
          </cell>
          <cell r="O494" t="str">
            <v>YME</v>
          </cell>
          <cell r="P494" t="str">
            <v>YME82999</v>
          </cell>
          <cell r="Q494" t="str">
            <v>51999</v>
          </cell>
        </row>
        <row r="495">
          <cell r="N495" t="str">
            <v>82999</v>
          </cell>
          <cell r="O495" t="str">
            <v>111</v>
          </cell>
          <cell r="P495" t="str">
            <v>11182999</v>
          </cell>
          <cell r="Q495" t="str">
            <v>51999</v>
          </cell>
        </row>
        <row r="496"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</row>
        <row r="497"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</row>
        <row r="498">
          <cell r="N498" t="str">
            <v>71690</v>
          </cell>
          <cell r="O498" t="str">
            <v/>
          </cell>
          <cell r="P498" t="str">
            <v/>
          </cell>
          <cell r="Q498" t="str">
            <v/>
          </cell>
        </row>
        <row r="499">
          <cell r="N499" t="str">
            <v>71690</v>
          </cell>
          <cell r="O499" t="str">
            <v>S72</v>
          </cell>
          <cell r="P499" t="str">
            <v>S7271690</v>
          </cell>
          <cell r="Q499" t="str">
            <v/>
          </cell>
        </row>
        <row r="500">
          <cell r="N500" t="str">
            <v>716900</v>
          </cell>
          <cell r="O500" t="str">
            <v/>
          </cell>
          <cell r="P500" t="str">
            <v/>
          </cell>
          <cell r="Q500" t="str">
            <v/>
          </cell>
        </row>
        <row r="501">
          <cell r="N501" t="str">
            <v>716900</v>
          </cell>
          <cell r="O501" t="str">
            <v>S72</v>
          </cell>
          <cell r="P501" t="str">
            <v>S72716900</v>
          </cell>
          <cell r="Q501" t="str">
            <v/>
          </cell>
        </row>
        <row r="502">
          <cell r="N502" t="str">
            <v>7169002</v>
          </cell>
          <cell r="O502" t="str">
            <v/>
          </cell>
          <cell r="P502" t="str">
            <v/>
          </cell>
          <cell r="Q502" t="str">
            <v>5151511</v>
          </cell>
        </row>
        <row r="503">
          <cell r="N503" t="str">
            <v>7169002</v>
          </cell>
          <cell r="O503" t="str">
            <v>S72</v>
          </cell>
          <cell r="P503" t="str">
            <v>S727169002</v>
          </cell>
          <cell r="Q503" t="str">
            <v>5151511</v>
          </cell>
        </row>
        <row r="504">
          <cell r="N504" t="str">
            <v>7169009</v>
          </cell>
          <cell r="O504" t="str">
            <v/>
          </cell>
          <cell r="P504" t="str">
            <v/>
          </cell>
          <cell r="Q504" t="str">
            <v>4161599</v>
          </cell>
        </row>
        <row r="505">
          <cell r="N505" t="str">
            <v>7169009</v>
          </cell>
          <cell r="O505" t="str">
            <v>S72</v>
          </cell>
          <cell r="P505" t="str">
            <v>S727169009</v>
          </cell>
          <cell r="Q505" t="str">
            <v>4161599</v>
          </cell>
        </row>
        <row r="506">
          <cell r="N506" t="str">
            <v>8255</v>
          </cell>
          <cell r="O506" t="str">
            <v/>
          </cell>
          <cell r="P506" t="str">
            <v/>
          </cell>
          <cell r="Q506" t="str">
            <v>5151511</v>
          </cell>
        </row>
        <row r="507">
          <cell r="N507" t="str">
            <v>8255</v>
          </cell>
          <cell r="O507" t="str">
            <v>DNR</v>
          </cell>
          <cell r="P507" t="str">
            <v>DNR8255</v>
          </cell>
          <cell r="Q507" t="str">
            <v>5151511</v>
          </cell>
        </row>
        <row r="508">
          <cell r="N508" t="str">
            <v>8255</v>
          </cell>
          <cell r="O508" t="str">
            <v>LRA</v>
          </cell>
          <cell r="P508" t="str">
            <v>LRA8255</v>
          </cell>
          <cell r="Q508" t="str">
            <v>5151511</v>
          </cell>
        </row>
        <row r="509">
          <cell r="N509" t="str">
            <v>8255</v>
          </cell>
          <cell r="O509" t="str">
            <v>ONL</v>
          </cell>
          <cell r="P509" t="str">
            <v>ONL8255</v>
          </cell>
          <cell r="Q509" t="str">
            <v>5151511</v>
          </cell>
        </row>
        <row r="510">
          <cell r="N510" t="str">
            <v>8255</v>
          </cell>
          <cell r="O510" t="str">
            <v>SKB</v>
          </cell>
          <cell r="P510" t="str">
            <v>SKB8255</v>
          </cell>
          <cell r="Q510" t="str">
            <v>5151511</v>
          </cell>
        </row>
        <row r="511">
          <cell r="N511" t="str">
            <v>8255</v>
          </cell>
          <cell r="O511" t="str">
            <v>SKI</v>
          </cell>
          <cell r="P511" t="str">
            <v>SKI8255</v>
          </cell>
          <cell r="Q511" t="str">
            <v>5151511</v>
          </cell>
        </row>
        <row r="512">
          <cell r="N512" t="str">
            <v>8255</v>
          </cell>
          <cell r="O512" t="str">
            <v>S7J</v>
          </cell>
          <cell r="P512" t="str">
            <v>S7J8255</v>
          </cell>
          <cell r="Q512" t="str">
            <v>5151511</v>
          </cell>
        </row>
        <row r="513">
          <cell r="N513" t="str">
            <v>8255</v>
          </cell>
          <cell r="O513" t="str">
            <v>S7K</v>
          </cell>
          <cell r="P513" t="str">
            <v>S7K8255</v>
          </cell>
          <cell r="Q513" t="str">
            <v>5151511</v>
          </cell>
        </row>
        <row r="514">
          <cell r="N514" t="str">
            <v>8255</v>
          </cell>
          <cell r="O514" t="str">
            <v>YDJ</v>
          </cell>
          <cell r="P514" t="str">
            <v>YDJ8255</v>
          </cell>
          <cell r="Q514" t="str">
            <v>5151511</v>
          </cell>
        </row>
        <row r="515">
          <cell r="N515" t="str">
            <v>8255</v>
          </cell>
          <cell r="O515" t="str">
            <v>YDK</v>
          </cell>
          <cell r="P515" t="str">
            <v>YDK8255</v>
          </cell>
          <cell r="Q515" t="str">
            <v>5151511</v>
          </cell>
        </row>
        <row r="516">
          <cell r="N516" t="str">
            <v>8255</v>
          </cell>
          <cell r="O516" t="str">
            <v>YDN</v>
          </cell>
          <cell r="P516" t="str">
            <v>YDN8255</v>
          </cell>
          <cell r="Q516" t="str">
            <v>5151511</v>
          </cell>
        </row>
        <row r="517">
          <cell r="N517" t="str">
            <v>8255</v>
          </cell>
          <cell r="O517" t="str">
            <v>YDO</v>
          </cell>
          <cell r="P517" t="str">
            <v>YDO8255</v>
          </cell>
          <cell r="Q517" t="str">
            <v>5151511</v>
          </cell>
        </row>
        <row r="518">
          <cell r="N518" t="str">
            <v>8255</v>
          </cell>
          <cell r="O518" t="str">
            <v>YDS</v>
          </cell>
          <cell r="P518" t="str">
            <v>YDS8255</v>
          </cell>
          <cell r="Q518" t="str">
            <v>5151511</v>
          </cell>
        </row>
        <row r="519">
          <cell r="N519" t="str">
            <v>8255</v>
          </cell>
          <cell r="O519" t="str">
            <v>YDT</v>
          </cell>
          <cell r="P519" t="str">
            <v>YDT8255</v>
          </cell>
          <cell r="Q519" t="str">
            <v>5151511</v>
          </cell>
        </row>
        <row r="520">
          <cell r="N520" t="str">
            <v>8255</v>
          </cell>
          <cell r="O520" t="str">
            <v>YHU</v>
          </cell>
          <cell r="P520" t="str">
            <v>YHU8255</v>
          </cell>
          <cell r="Q520" t="str">
            <v>5151511</v>
          </cell>
        </row>
        <row r="521">
          <cell r="N521" t="str">
            <v>8255</v>
          </cell>
          <cell r="O521" t="str">
            <v>YIA</v>
          </cell>
          <cell r="P521" t="str">
            <v>YIA8255</v>
          </cell>
          <cell r="Q521" t="str">
            <v>5151511</v>
          </cell>
        </row>
        <row r="522">
          <cell r="N522" t="str">
            <v>8255</v>
          </cell>
          <cell r="O522" t="str">
            <v>Y82</v>
          </cell>
          <cell r="P522" t="str">
            <v>Y828255</v>
          </cell>
          <cell r="Q522" t="str">
            <v>5151511</v>
          </cell>
        </row>
        <row r="523">
          <cell r="N523" t="str">
            <v>82590</v>
          </cell>
          <cell r="O523" t="str">
            <v/>
          </cell>
          <cell r="P523" t="str">
            <v/>
          </cell>
          <cell r="Q523" t="str">
            <v/>
          </cell>
        </row>
        <row r="524">
          <cell r="N524" t="str">
            <v>82590</v>
          </cell>
          <cell r="O524" t="str">
            <v>S7L</v>
          </cell>
          <cell r="P524" t="str">
            <v>S7L82590</v>
          </cell>
          <cell r="Q524" t="str">
            <v/>
          </cell>
        </row>
        <row r="525">
          <cell r="N525" t="str">
            <v>82590</v>
          </cell>
          <cell r="O525" t="str">
            <v>S70</v>
          </cell>
          <cell r="P525" t="str">
            <v>S7082590</v>
          </cell>
          <cell r="Q525" t="str">
            <v/>
          </cell>
        </row>
        <row r="526">
          <cell r="N526" t="str">
            <v>82590</v>
          </cell>
          <cell r="O526" t="str">
            <v>S90</v>
          </cell>
          <cell r="P526" t="str">
            <v>S9082590</v>
          </cell>
          <cell r="Q526" t="str">
            <v/>
          </cell>
        </row>
        <row r="527">
          <cell r="N527" t="str">
            <v>82590</v>
          </cell>
          <cell r="O527" t="str">
            <v>YAF</v>
          </cell>
          <cell r="P527" t="str">
            <v>YAF82590</v>
          </cell>
          <cell r="Q527" t="str">
            <v/>
          </cell>
        </row>
        <row r="528">
          <cell r="N528" t="str">
            <v>82590</v>
          </cell>
          <cell r="O528" t="str">
            <v>YDL</v>
          </cell>
          <cell r="P528" t="str">
            <v>YDL82590</v>
          </cell>
          <cell r="Q528" t="str">
            <v/>
          </cell>
        </row>
        <row r="529">
          <cell r="N529" t="str">
            <v>82590</v>
          </cell>
          <cell r="O529" t="str">
            <v>YFF</v>
          </cell>
          <cell r="P529" t="str">
            <v>YFF82590</v>
          </cell>
          <cell r="Q529" t="str">
            <v/>
          </cell>
        </row>
        <row r="530">
          <cell r="N530" t="str">
            <v>82590</v>
          </cell>
          <cell r="O530" t="str">
            <v>Y20</v>
          </cell>
          <cell r="P530" t="str">
            <v>Y2082590</v>
          </cell>
          <cell r="Q530" t="str">
            <v/>
          </cell>
        </row>
        <row r="531">
          <cell r="N531" t="str">
            <v>82590</v>
          </cell>
          <cell r="O531" t="str">
            <v>Y30</v>
          </cell>
          <cell r="P531" t="str">
            <v>Y3082590</v>
          </cell>
          <cell r="Q531" t="str">
            <v/>
          </cell>
        </row>
        <row r="532">
          <cell r="N532" t="str">
            <v>82590</v>
          </cell>
          <cell r="O532" t="str">
            <v>Y40</v>
          </cell>
          <cell r="P532" t="str">
            <v>Y4082590</v>
          </cell>
          <cell r="Q532" t="str">
            <v/>
          </cell>
        </row>
        <row r="533">
          <cell r="N533" t="str">
            <v>825900</v>
          </cell>
          <cell r="O533" t="str">
            <v/>
          </cell>
          <cell r="P533" t="str">
            <v/>
          </cell>
          <cell r="Q533" t="str">
            <v/>
          </cell>
        </row>
        <row r="534">
          <cell r="N534" t="str">
            <v>825900</v>
          </cell>
          <cell r="O534" t="str">
            <v>SH6</v>
          </cell>
          <cell r="P534" t="str">
            <v>SH6825900</v>
          </cell>
          <cell r="Q534" t="str">
            <v/>
          </cell>
        </row>
        <row r="535">
          <cell r="N535" t="str">
            <v>825900</v>
          </cell>
          <cell r="O535" t="str">
            <v>S7L</v>
          </cell>
          <cell r="P535" t="str">
            <v>S7L825900</v>
          </cell>
          <cell r="Q535" t="str">
            <v/>
          </cell>
        </row>
        <row r="536">
          <cell r="N536" t="str">
            <v>825900</v>
          </cell>
          <cell r="O536" t="str">
            <v>S70</v>
          </cell>
          <cell r="P536" t="str">
            <v>S70825900</v>
          </cell>
          <cell r="Q536" t="str">
            <v/>
          </cell>
        </row>
        <row r="537">
          <cell r="N537" t="str">
            <v>825900</v>
          </cell>
          <cell r="O537" t="str">
            <v>S90</v>
          </cell>
          <cell r="P537" t="str">
            <v>S90825900</v>
          </cell>
          <cell r="Q537" t="str">
            <v/>
          </cell>
        </row>
        <row r="538">
          <cell r="N538" t="str">
            <v>825900</v>
          </cell>
          <cell r="O538" t="str">
            <v>YAF</v>
          </cell>
          <cell r="P538" t="str">
            <v>YAF825900</v>
          </cell>
          <cell r="Q538" t="str">
            <v/>
          </cell>
        </row>
        <row r="539">
          <cell r="N539" t="str">
            <v>825900</v>
          </cell>
          <cell r="O539" t="str">
            <v>Y20</v>
          </cell>
          <cell r="P539" t="str">
            <v>Y20825900</v>
          </cell>
          <cell r="Q539" t="str">
            <v/>
          </cell>
        </row>
        <row r="540">
          <cell r="N540" t="str">
            <v>825900</v>
          </cell>
          <cell r="O540" t="str">
            <v>Y40</v>
          </cell>
          <cell r="P540" t="str">
            <v>Y40825900</v>
          </cell>
          <cell r="Q540" t="str">
            <v/>
          </cell>
        </row>
        <row r="541">
          <cell r="N541" t="str">
            <v>82590020</v>
          </cell>
          <cell r="O541" t="str">
            <v/>
          </cell>
          <cell r="P541" t="str">
            <v/>
          </cell>
          <cell r="Q541" t="str">
            <v>5151512</v>
          </cell>
        </row>
        <row r="542">
          <cell r="N542" t="str">
            <v>82590020</v>
          </cell>
          <cell r="O542" t="str">
            <v>SH6</v>
          </cell>
          <cell r="P542" t="str">
            <v>SH682590020</v>
          </cell>
          <cell r="Q542" t="str">
            <v>5151512</v>
          </cell>
        </row>
        <row r="543">
          <cell r="N543" t="str">
            <v>82590020</v>
          </cell>
          <cell r="O543" t="str">
            <v>S7L</v>
          </cell>
          <cell r="P543" t="str">
            <v>S7L82590020</v>
          </cell>
          <cell r="Q543" t="str">
            <v>5151512</v>
          </cell>
        </row>
        <row r="544">
          <cell r="N544" t="str">
            <v>82590020</v>
          </cell>
          <cell r="O544" t="str">
            <v>S70</v>
          </cell>
          <cell r="P544" t="str">
            <v>S7082590020</v>
          </cell>
          <cell r="Q544" t="str">
            <v>5151512</v>
          </cell>
        </row>
        <row r="545">
          <cell r="N545" t="str">
            <v>82590020</v>
          </cell>
          <cell r="O545" t="str">
            <v>S90</v>
          </cell>
          <cell r="P545" t="str">
            <v>S9082590020</v>
          </cell>
          <cell r="Q545" t="str">
            <v>5151512</v>
          </cell>
        </row>
        <row r="546">
          <cell r="N546" t="str">
            <v>82590020</v>
          </cell>
          <cell r="O546" t="str">
            <v>YAF</v>
          </cell>
          <cell r="P546" t="str">
            <v>YAF82590020</v>
          </cell>
          <cell r="Q546" t="str">
            <v>5151512</v>
          </cell>
        </row>
        <row r="547">
          <cell r="N547" t="str">
            <v>82590020</v>
          </cell>
          <cell r="O547" t="str">
            <v>Y20</v>
          </cell>
          <cell r="P547" t="str">
            <v>Y2082590020</v>
          </cell>
          <cell r="Q547" t="str">
            <v>5151512</v>
          </cell>
        </row>
        <row r="548">
          <cell r="N548" t="str">
            <v>82590020</v>
          </cell>
          <cell r="O548" t="str">
            <v>Y40</v>
          </cell>
          <cell r="P548" t="str">
            <v>Y4082590020</v>
          </cell>
          <cell r="Q548" t="str">
            <v>5151512</v>
          </cell>
        </row>
        <row r="549">
          <cell r="N549" t="str">
            <v>82590020</v>
          </cell>
          <cell r="O549" t="str">
            <v>111</v>
          </cell>
          <cell r="P549" t="str">
            <v>11182590020</v>
          </cell>
          <cell r="Q549" t="str">
            <v>5151512</v>
          </cell>
        </row>
        <row r="550">
          <cell r="N550" t="str">
            <v>82590021</v>
          </cell>
          <cell r="O550" t="str">
            <v/>
          </cell>
          <cell r="P550" t="str">
            <v/>
          </cell>
          <cell r="Q550" t="str">
            <v>5151511</v>
          </cell>
        </row>
        <row r="551">
          <cell r="N551" t="str">
            <v>82590021</v>
          </cell>
          <cell r="O551" t="str">
            <v>MV1</v>
          </cell>
          <cell r="P551" t="str">
            <v>MV182590021</v>
          </cell>
          <cell r="Q551" t="str">
            <v>5151511</v>
          </cell>
        </row>
        <row r="552">
          <cell r="N552" t="str">
            <v>8259009</v>
          </cell>
          <cell r="O552" t="str">
            <v/>
          </cell>
          <cell r="P552" t="str">
            <v/>
          </cell>
          <cell r="Q552" t="str">
            <v>5151512</v>
          </cell>
        </row>
        <row r="553">
          <cell r="N553" t="str">
            <v>8259009</v>
          </cell>
          <cell r="O553" t="str">
            <v>SH6</v>
          </cell>
          <cell r="P553" t="str">
            <v>SH68259009</v>
          </cell>
          <cell r="Q553" t="str">
            <v>5151512</v>
          </cell>
        </row>
        <row r="554">
          <cell r="N554" t="str">
            <v>8259009</v>
          </cell>
          <cell r="O554" t="str">
            <v>S7L</v>
          </cell>
          <cell r="P554" t="str">
            <v>S7L8259009</v>
          </cell>
          <cell r="Q554" t="str">
            <v>5151512</v>
          </cell>
        </row>
        <row r="555">
          <cell r="N555" t="str">
            <v>8259009</v>
          </cell>
          <cell r="O555" t="str">
            <v>YAF</v>
          </cell>
          <cell r="P555" t="str">
            <v>YAF8259009</v>
          </cell>
          <cell r="Q555" t="str">
            <v>5151512</v>
          </cell>
        </row>
        <row r="556">
          <cell r="N556" t="str">
            <v>825901</v>
          </cell>
          <cell r="O556" t="str">
            <v/>
          </cell>
          <cell r="P556" t="str">
            <v/>
          </cell>
          <cell r="Q556" t="str">
            <v>5151512</v>
          </cell>
        </row>
        <row r="557">
          <cell r="N557" t="str">
            <v>825901</v>
          </cell>
          <cell r="O557" t="str">
            <v>YAF</v>
          </cell>
          <cell r="P557" t="str">
            <v>YAF825901</v>
          </cell>
          <cell r="Q557" t="str">
            <v>5151512</v>
          </cell>
        </row>
        <row r="558">
          <cell r="N558" t="str">
            <v>825901</v>
          </cell>
          <cell r="O558" t="str">
            <v>YDL</v>
          </cell>
          <cell r="P558" t="str">
            <v>YDL825901</v>
          </cell>
          <cell r="Q558" t="str">
            <v>5151512</v>
          </cell>
        </row>
        <row r="559">
          <cell r="N559" t="str">
            <v>825901</v>
          </cell>
          <cell r="O559" t="str">
            <v>Y20</v>
          </cell>
          <cell r="P559" t="str">
            <v>Y20825901</v>
          </cell>
          <cell r="Q559" t="str">
            <v>5151512</v>
          </cell>
        </row>
        <row r="560">
          <cell r="N560" t="str">
            <v>825901</v>
          </cell>
          <cell r="O560" t="str">
            <v>Y30</v>
          </cell>
          <cell r="P560" t="str">
            <v>Y30825901</v>
          </cell>
          <cell r="Q560" t="str">
            <v>5151512</v>
          </cell>
        </row>
        <row r="561">
          <cell r="N561" t="str">
            <v>825901</v>
          </cell>
          <cell r="O561" t="str">
            <v>Y40</v>
          </cell>
          <cell r="P561" t="str">
            <v>Y40825901</v>
          </cell>
          <cell r="Q561" t="str">
            <v>5151512</v>
          </cell>
        </row>
        <row r="562">
          <cell r="N562" t="str">
            <v>82981</v>
          </cell>
          <cell r="O562" t="str">
            <v/>
          </cell>
          <cell r="P562" t="str">
            <v/>
          </cell>
          <cell r="Q562" t="str">
            <v/>
          </cell>
        </row>
        <row r="563">
          <cell r="N563" t="str">
            <v>82981</v>
          </cell>
          <cell r="O563" t="str">
            <v>SKB</v>
          </cell>
          <cell r="P563" t="str">
            <v>SKB82981</v>
          </cell>
          <cell r="Q563" t="str">
            <v/>
          </cell>
        </row>
        <row r="564">
          <cell r="N564" t="str">
            <v>82981</v>
          </cell>
          <cell r="O564" t="str">
            <v>SKI</v>
          </cell>
          <cell r="P564" t="str">
            <v>SKI82981</v>
          </cell>
          <cell r="Q564" t="str">
            <v/>
          </cell>
        </row>
        <row r="565">
          <cell r="N565" t="str">
            <v>82981</v>
          </cell>
          <cell r="O565" t="str">
            <v>STZ</v>
          </cell>
          <cell r="P565" t="str">
            <v>STZ82981</v>
          </cell>
          <cell r="Q565" t="str">
            <v/>
          </cell>
        </row>
        <row r="566">
          <cell r="N566" t="str">
            <v>82981</v>
          </cell>
          <cell r="O566" t="str">
            <v>S7J</v>
          </cell>
          <cell r="P566" t="str">
            <v>S7J82981</v>
          </cell>
          <cell r="Q566" t="str">
            <v/>
          </cell>
        </row>
        <row r="567">
          <cell r="N567" t="str">
            <v>82981</v>
          </cell>
          <cell r="O567" t="str">
            <v>S7K</v>
          </cell>
          <cell r="P567" t="str">
            <v>S7K82981</v>
          </cell>
          <cell r="Q567" t="str">
            <v/>
          </cell>
        </row>
        <row r="568">
          <cell r="N568" t="str">
            <v>82981</v>
          </cell>
          <cell r="O568" t="str">
            <v>YDJ</v>
          </cell>
          <cell r="P568" t="str">
            <v>YDJ82981</v>
          </cell>
          <cell r="Q568" t="str">
            <v/>
          </cell>
        </row>
        <row r="569">
          <cell r="N569" t="str">
            <v>82981</v>
          </cell>
          <cell r="O569" t="str">
            <v>YDK</v>
          </cell>
          <cell r="P569" t="str">
            <v>YDK82981</v>
          </cell>
          <cell r="Q569" t="str">
            <v/>
          </cell>
        </row>
        <row r="570">
          <cell r="N570" t="str">
            <v>82981</v>
          </cell>
          <cell r="O570" t="str">
            <v>YDN</v>
          </cell>
          <cell r="P570" t="str">
            <v>YDN82981</v>
          </cell>
          <cell r="Q570" t="str">
            <v/>
          </cell>
        </row>
        <row r="571">
          <cell r="N571" t="str">
            <v>82981</v>
          </cell>
          <cell r="O571" t="str">
            <v>YDO</v>
          </cell>
          <cell r="P571" t="str">
            <v>YDO82981</v>
          </cell>
          <cell r="Q571" t="str">
            <v/>
          </cell>
        </row>
        <row r="572">
          <cell r="N572" t="str">
            <v>82981</v>
          </cell>
          <cell r="O572" t="str">
            <v>YDS</v>
          </cell>
          <cell r="P572" t="str">
            <v>YDS82981</v>
          </cell>
          <cell r="Q572" t="str">
            <v/>
          </cell>
        </row>
        <row r="573">
          <cell r="N573" t="str">
            <v>82981</v>
          </cell>
          <cell r="O573" t="str">
            <v>YDT</v>
          </cell>
          <cell r="P573" t="str">
            <v>YDT82981</v>
          </cell>
          <cell r="Q573" t="str">
            <v/>
          </cell>
        </row>
        <row r="574">
          <cell r="N574" t="str">
            <v>82981</v>
          </cell>
          <cell r="O574" t="str">
            <v>YHU</v>
          </cell>
          <cell r="P574" t="str">
            <v>YHU82981</v>
          </cell>
          <cell r="Q574" t="str">
            <v/>
          </cell>
        </row>
        <row r="575">
          <cell r="N575" t="str">
            <v>82981</v>
          </cell>
          <cell r="O575" t="str">
            <v>YIA</v>
          </cell>
          <cell r="P575" t="str">
            <v>YIA82981</v>
          </cell>
          <cell r="Q575" t="str">
            <v/>
          </cell>
        </row>
        <row r="576">
          <cell r="N576" t="str">
            <v>82981</v>
          </cell>
          <cell r="O576" t="str">
            <v>111</v>
          </cell>
          <cell r="P576" t="str">
            <v>11182981</v>
          </cell>
          <cell r="Q576" t="str">
            <v/>
          </cell>
        </row>
        <row r="577"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</row>
        <row r="578">
          <cell r="N578" t="str">
            <v>825902</v>
          </cell>
          <cell r="O578" t="str">
            <v/>
          </cell>
          <cell r="P578" t="str">
            <v/>
          </cell>
          <cell r="Q578" t="str">
            <v>5151512</v>
          </cell>
        </row>
        <row r="579">
          <cell r="N579" t="str">
            <v>825902</v>
          </cell>
          <cell r="O579" t="str">
            <v>ONL</v>
          </cell>
          <cell r="P579" t="str">
            <v>ONL825902</v>
          </cell>
          <cell r="Q579" t="str">
            <v>5151512</v>
          </cell>
        </row>
        <row r="580">
          <cell r="N580" t="str">
            <v>825902</v>
          </cell>
          <cell r="O580" t="str">
            <v>REG</v>
          </cell>
          <cell r="P580" t="str">
            <v>REG825902</v>
          </cell>
          <cell r="Q580" t="str">
            <v>5151512</v>
          </cell>
        </row>
        <row r="581">
          <cell r="N581" t="str">
            <v>825902</v>
          </cell>
          <cell r="O581" t="str">
            <v>SJT</v>
          </cell>
          <cell r="P581" t="str">
            <v>SJT825902</v>
          </cell>
          <cell r="Q581" t="str">
            <v>5151512</v>
          </cell>
        </row>
        <row r="582">
          <cell r="N582" t="str">
            <v>825902</v>
          </cell>
          <cell r="O582" t="str">
            <v>111</v>
          </cell>
          <cell r="P582" t="str">
            <v>111825902</v>
          </cell>
          <cell r="Q582" t="str">
            <v>5151512</v>
          </cell>
        </row>
        <row r="583">
          <cell r="N583" t="str">
            <v/>
          </cell>
          <cell r="O583" t="str">
            <v/>
          </cell>
          <cell r="P583" t="str">
            <v/>
          </cell>
          <cell r="Q583" t="str">
            <v/>
          </cell>
        </row>
        <row r="584">
          <cell r="N584" t="str">
            <v>82590</v>
          </cell>
          <cell r="O584" t="str">
            <v/>
          </cell>
          <cell r="P584" t="str">
            <v/>
          </cell>
          <cell r="Q584" t="str">
            <v/>
          </cell>
        </row>
        <row r="585">
          <cell r="N585" t="str">
            <v>82590</v>
          </cell>
          <cell r="O585" t="str">
            <v>DBR</v>
          </cell>
          <cell r="P585" t="str">
            <v>DBR82590</v>
          </cell>
          <cell r="Q585" t="str">
            <v/>
          </cell>
        </row>
        <row r="586">
          <cell r="N586" t="str">
            <v>82590</v>
          </cell>
          <cell r="O586" t="str">
            <v>YDI</v>
          </cell>
          <cell r="P586" t="str">
            <v>YDI82590</v>
          </cell>
          <cell r="Q586" t="str">
            <v/>
          </cell>
        </row>
        <row r="587">
          <cell r="N587" t="str">
            <v>82590</v>
          </cell>
          <cell r="O587" t="str">
            <v>YDR</v>
          </cell>
          <cell r="P587" t="str">
            <v>YDR82590</v>
          </cell>
          <cell r="Q587" t="str">
            <v/>
          </cell>
        </row>
        <row r="588">
          <cell r="N588" t="str">
            <v>82590</v>
          </cell>
          <cell r="O588" t="str">
            <v>YEC</v>
          </cell>
          <cell r="P588" t="str">
            <v>YEC82590</v>
          </cell>
          <cell r="Q588" t="str">
            <v/>
          </cell>
        </row>
        <row r="589">
          <cell r="N589" t="str">
            <v>82590</v>
          </cell>
          <cell r="O589" t="str">
            <v>YED</v>
          </cell>
          <cell r="P589" t="str">
            <v>YED82590</v>
          </cell>
          <cell r="Q589" t="str">
            <v/>
          </cell>
        </row>
        <row r="590">
          <cell r="N590" t="str">
            <v>825900</v>
          </cell>
          <cell r="O590" t="str">
            <v/>
          </cell>
          <cell r="P590" t="str">
            <v/>
          </cell>
          <cell r="Q590" t="str">
            <v/>
          </cell>
        </row>
        <row r="591">
          <cell r="N591" t="str">
            <v>825900</v>
          </cell>
          <cell r="O591" t="str">
            <v>DBR</v>
          </cell>
          <cell r="P591" t="str">
            <v>DBR825900</v>
          </cell>
          <cell r="Q591" t="str">
            <v/>
          </cell>
        </row>
        <row r="592">
          <cell r="N592" t="str">
            <v>825900</v>
          </cell>
          <cell r="O592" t="str">
            <v>YDI</v>
          </cell>
          <cell r="P592" t="str">
            <v>YDI825900</v>
          </cell>
          <cell r="Q592" t="str">
            <v/>
          </cell>
        </row>
        <row r="593">
          <cell r="N593" t="str">
            <v>825900</v>
          </cell>
          <cell r="O593" t="str">
            <v>YDR</v>
          </cell>
          <cell r="P593" t="str">
            <v>YDR825900</v>
          </cell>
          <cell r="Q593" t="str">
            <v/>
          </cell>
        </row>
        <row r="594">
          <cell r="N594" t="str">
            <v>825900</v>
          </cell>
          <cell r="O594" t="str">
            <v>YEC</v>
          </cell>
          <cell r="P594" t="str">
            <v>YEC825900</v>
          </cell>
          <cell r="Q594" t="str">
            <v/>
          </cell>
        </row>
        <row r="595">
          <cell r="N595" t="str">
            <v>825900</v>
          </cell>
          <cell r="O595" t="str">
            <v>YED</v>
          </cell>
          <cell r="P595" t="str">
            <v>YED825900</v>
          </cell>
          <cell r="Q595" t="str">
            <v/>
          </cell>
        </row>
        <row r="596">
          <cell r="N596" t="str">
            <v>82590021</v>
          </cell>
          <cell r="O596" t="str">
            <v/>
          </cell>
          <cell r="P596" t="str">
            <v/>
          </cell>
          <cell r="Q596" t="str">
            <v>5151511</v>
          </cell>
        </row>
        <row r="597">
          <cell r="N597" t="str">
            <v>82590021</v>
          </cell>
          <cell r="O597" t="str">
            <v>DBR</v>
          </cell>
          <cell r="P597" t="str">
            <v>DBR82590021</v>
          </cell>
          <cell r="Q597" t="str">
            <v>5151511</v>
          </cell>
        </row>
        <row r="598">
          <cell r="N598" t="str">
            <v>82590021</v>
          </cell>
          <cell r="O598" t="str">
            <v>YDI</v>
          </cell>
          <cell r="P598" t="str">
            <v>YDI82590021</v>
          </cell>
          <cell r="Q598" t="str">
            <v>5151511</v>
          </cell>
        </row>
        <row r="599">
          <cell r="N599" t="str">
            <v>82590021</v>
          </cell>
          <cell r="O599" t="str">
            <v>YDR</v>
          </cell>
          <cell r="P599" t="str">
            <v>YDR82590021</v>
          </cell>
          <cell r="Q599" t="str">
            <v>5151511</v>
          </cell>
        </row>
        <row r="600">
          <cell r="N600" t="str">
            <v>82590021</v>
          </cell>
          <cell r="O600" t="str">
            <v>YEC</v>
          </cell>
          <cell r="P600" t="str">
            <v>YEC82590021</v>
          </cell>
          <cell r="Q600" t="str">
            <v>5151511</v>
          </cell>
        </row>
        <row r="601">
          <cell r="N601" t="str">
            <v>82590021</v>
          </cell>
          <cell r="O601" t="str">
            <v>YED</v>
          </cell>
          <cell r="P601" t="str">
            <v>YED82590021</v>
          </cell>
          <cell r="Q601" t="str">
            <v>5151511</v>
          </cell>
        </row>
        <row r="602">
          <cell r="N602" t="str">
            <v>8259009</v>
          </cell>
          <cell r="O602" t="str">
            <v/>
          </cell>
          <cell r="P602" t="str">
            <v/>
          </cell>
          <cell r="Q602" t="str">
            <v>5151512</v>
          </cell>
        </row>
        <row r="603">
          <cell r="N603" t="str">
            <v>8259009</v>
          </cell>
          <cell r="O603" t="str">
            <v>DBR</v>
          </cell>
          <cell r="P603" t="str">
            <v>DBR8259009</v>
          </cell>
          <cell r="Q603" t="str">
            <v>5151512</v>
          </cell>
        </row>
        <row r="604">
          <cell r="N604" t="str">
            <v>8259009</v>
          </cell>
          <cell r="O604" t="str">
            <v>YDI</v>
          </cell>
          <cell r="P604" t="str">
            <v>YDI8259009</v>
          </cell>
          <cell r="Q604" t="str">
            <v>5151512</v>
          </cell>
        </row>
        <row r="605">
          <cell r="N605" t="str">
            <v>8259009</v>
          </cell>
          <cell r="O605" t="str">
            <v>YDR</v>
          </cell>
          <cell r="P605" t="str">
            <v>YDR8259009</v>
          </cell>
          <cell r="Q605" t="str">
            <v>5151512</v>
          </cell>
        </row>
        <row r="606">
          <cell r="N606" t="str">
            <v>8259009</v>
          </cell>
          <cell r="O606" t="str">
            <v>YEC</v>
          </cell>
          <cell r="P606" t="str">
            <v>YEC8259009</v>
          </cell>
          <cell r="Q606" t="str">
            <v>5151512</v>
          </cell>
        </row>
        <row r="607">
          <cell r="N607" t="str">
            <v>8259009</v>
          </cell>
          <cell r="O607" t="str">
            <v>YED</v>
          </cell>
          <cell r="P607" t="str">
            <v>YED8259009</v>
          </cell>
          <cell r="Q607" t="str">
            <v>5151512</v>
          </cell>
        </row>
        <row r="608">
          <cell r="N608" t="str">
            <v>82980</v>
          </cell>
          <cell r="O608" t="str">
            <v/>
          </cell>
          <cell r="P608" t="str">
            <v/>
          </cell>
          <cell r="Q608" t="str">
            <v/>
          </cell>
        </row>
        <row r="609">
          <cell r="N609" t="str">
            <v>82980</v>
          </cell>
          <cell r="O609" t="str">
            <v>YDI</v>
          </cell>
          <cell r="P609" t="str">
            <v>YDI82980</v>
          </cell>
          <cell r="Q609" t="str">
            <v/>
          </cell>
        </row>
        <row r="610">
          <cell r="N610" t="str">
            <v>82980</v>
          </cell>
          <cell r="O610" t="str">
            <v>YDR</v>
          </cell>
          <cell r="P610" t="str">
            <v>YDR82980</v>
          </cell>
          <cell r="Q610" t="str">
            <v/>
          </cell>
        </row>
        <row r="611">
          <cell r="N611" t="str">
            <v>82980</v>
          </cell>
          <cell r="O611" t="str">
            <v>YEC</v>
          </cell>
          <cell r="P611" t="str">
            <v>YEC82980</v>
          </cell>
          <cell r="Q611" t="str">
            <v/>
          </cell>
        </row>
        <row r="612">
          <cell r="N612" t="str">
            <v>82980</v>
          </cell>
          <cell r="O612" t="str">
            <v>YED</v>
          </cell>
          <cell r="P612" t="str">
            <v>YED82980</v>
          </cell>
          <cell r="Q612" t="str">
            <v/>
          </cell>
        </row>
        <row r="613">
          <cell r="N613" t="str">
            <v>829809</v>
          </cell>
          <cell r="O613" t="str">
            <v/>
          </cell>
          <cell r="P613" t="str">
            <v/>
          </cell>
          <cell r="Q613" t="str">
            <v/>
          </cell>
        </row>
        <row r="614">
          <cell r="N614" t="str">
            <v>829809</v>
          </cell>
          <cell r="O614" t="str">
            <v>YDI</v>
          </cell>
          <cell r="P614" t="str">
            <v>YDI829809</v>
          </cell>
          <cell r="Q614" t="str">
            <v/>
          </cell>
        </row>
        <row r="615">
          <cell r="N615" t="str">
            <v>829809</v>
          </cell>
          <cell r="O615" t="str">
            <v>YDR</v>
          </cell>
          <cell r="P615" t="str">
            <v>YDR829809</v>
          </cell>
          <cell r="Q615" t="str">
            <v/>
          </cell>
        </row>
        <row r="616">
          <cell r="N616" t="str">
            <v>829809</v>
          </cell>
          <cell r="O616" t="str">
            <v>YEC</v>
          </cell>
          <cell r="P616" t="str">
            <v>YEC829809</v>
          </cell>
          <cell r="Q616" t="str">
            <v/>
          </cell>
        </row>
        <row r="617">
          <cell r="N617" t="str">
            <v>829809</v>
          </cell>
          <cell r="O617" t="str">
            <v>YED</v>
          </cell>
          <cell r="P617" t="str">
            <v>YED829809</v>
          </cell>
          <cell r="Q617" t="str">
            <v/>
          </cell>
        </row>
        <row r="618"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</row>
        <row r="619"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</row>
        <row r="620"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</row>
        <row r="621">
          <cell r="N621" t="str">
            <v>82560</v>
          </cell>
          <cell r="O621" t="str">
            <v/>
          </cell>
          <cell r="P621" t="str">
            <v/>
          </cell>
          <cell r="Q621" t="str">
            <v>5151506</v>
          </cell>
        </row>
        <row r="622">
          <cell r="N622" t="str">
            <v>82560</v>
          </cell>
          <cell r="O622" t="str">
            <v>MER</v>
          </cell>
          <cell r="P622" t="str">
            <v>MER82560</v>
          </cell>
          <cell r="Q622" t="str">
            <v>5151506</v>
          </cell>
        </row>
        <row r="623">
          <cell r="N623" t="str">
            <v>82560</v>
          </cell>
          <cell r="O623" t="str">
            <v>ONL</v>
          </cell>
          <cell r="P623" t="str">
            <v>ONL82560</v>
          </cell>
          <cell r="Q623" t="str">
            <v>5151506</v>
          </cell>
        </row>
        <row r="624">
          <cell r="N624" t="str">
            <v>82560</v>
          </cell>
          <cell r="O624" t="str">
            <v>SQZ</v>
          </cell>
          <cell r="P624" t="str">
            <v>SQZ82560</v>
          </cell>
          <cell r="Q624" t="str">
            <v>5151506</v>
          </cell>
        </row>
        <row r="625">
          <cell r="N625" t="str">
            <v>82560</v>
          </cell>
          <cell r="O625" t="str">
            <v>SRB</v>
          </cell>
          <cell r="P625" t="str">
            <v>SRB82560</v>
          </cell>
          <cell r="Q625" t="str">
            <v>5151506</v>
          </cell>
        </row>
        <row r="626">
          <cell r="N626" t="str">
            <v>82560</v>
          </cell>
          <cell r="O626" t="str">
            <v>S2B</v>
          </cell>
          <cell r="P626" t="str">
            <v>S2B82560</v>
          </cell>
          <cell r="Q626" t="str">
            <v>5151506</v>
          </cell>
        </row>
        <row r="627">
          <cell r="N627" t="str">
            <v>82560</v>
          </cell>
          <cell r="O627" t="str">
            <v>111</v>
          </cell>
          <cell r="P627" t="str">
            <v>11182560</v>
          </cell>
          <cell r="Q627" t="str">
            <v>5151506</v>
          </cell>
        </row>
        <row r="628">
          <cell r="N628" t="str">
            <v>89309</v>
          </cell>
          <cell r="O628" t="str">
            <v/>
          </cell>
          <cell r="P628" t="str">
            <v/>
          </cell>
          <cell r="Q628" t="str">
            <v>43118822</v>
          </cell>
        </row>
        <row r="629">
          <cell r="N629" t="str">
            <v>89309</v>
          </cell>
          <cell r="O629" t="str">
            <v>ONL</v>
          </cell>
          <cell r="P629" t="str">
            <v>ONL89309</v>
          </cell>
          <cell r="Q629" t="str">
            <v>43118822</v>
          </cell>
        </row>
        <row r="630">
          <cell r="N630" t="str">
            <v>893091</v>
          </cell>
          <cell r="O630" t="str">
            <v/>
          </cell>
          <cell r="P630" t="str">
            <v/>
          </cell>
          <cell r="Q630" t="str">
            <v/>
          </cell>
        </row>
        <row r="631">
          <cell r="N631" t="str">
            <v>893091</v>
          </cell>
          <cell r="O631" t="str">
            <v>ONL</v>
          </cell>
          <cell r="P631" t="str">
            <v>ONL893091</v>
          </cell>
          <cell r="Q631" t="str">
            <v/>
          </cell>
        </row>
        <row r="632">
          <cell r="N632" t="str">
            <v/>
          </cell>
          <cell r="O632" t="str">
            <v/>
          </cell>
          <cell r="P632" t="str">
            <v/>
          </cell>
          <cell r="Q632" t="str">
            <v/>
          </cell>
        </row>
        <row r="633">
          <cell r="N633" t="str">
            <v>82560</v>
          </cell>
          <cell r="O633" t="str">
            <v/>
          </cell>
          <cell r="P633" t="str">
            <v/>
          </cell>
          <cell r="Q633" t="str">
            <v>5151506</v>
          </cell>
        </row>
        <row r="634">
          <cell r="N634" t="str">
            <v>82560</v>
          </cell>
          <cell r="O634" t="str">
            <v>YZZ</v>
          </cell>
          <cell r="P634" t="str">
            <v>YZZ82560</v>
          </cell>
          <cell r="Q634" t="str">
            <v>5151506</v>
          </cell>
        </row>
        <row r="635"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</row>
        <row r="636">
          <cell r="N636" t="str">
            <v>82561</v>
          </cell>
          <cell r="O636" t="str">
            <v/>
          </cell>
          <cell r="P636" t="str">
            <v/>
          </cell>
          <cell r="Q636" t="str">
            <v>5151516</v>
          </cell>
        </row>
        <row r="637">
          <cell r="N637" t="str">
            <v>82561</v>
          </cell>
          <cell r="O637" t="str">
            <v>ESX</v>
          </cell>
          <cell r="P637" t="str">
            <v>ESX82561</v>
          </cell>
          <cell r="Q637" t="str">
            <v>5151516</v>
          </cell>
        </row>
        <row r="638">
          <cell r="N638" t="str">
            <v>82561</v>
          </cell>
          <cell r="O638" t="str">
            <v>LRA</v>
          </cell>
          <cell r="P638" t="str">
            <v>LRA82561</v>
          </cell>
          <cell r="Q638" t="str">
            <v>5151516</v>
          </cell>
        </row>
        <row r="639">
          <cell r="N639" t="str">
            <v>82561</v>
          </cell>
          <cell r="O639" t="str">
            <v>ONL</v>
          </cell>
          <cell r="P639" t="str">
            <v>ONL82561</v>
          </cell>
          <cell r="Q639" t="str">
            <v>5151516</v>
          </cell>
        </row>
        <row r="640">
          <cell r="N640" t="str">
            <v>82561</v>
          </cell>
          <cell r="O640" t="str">
            <v>REG</v>
          </cell>
          <cell r="P640" t="str">
            <v>REG82561</v>
          </cell>
          <cell r="Q640" t="str">
            <v>5151516</v>
          </cell>
        </row>
        <row r="641">
          <cell r="N641" t="str">
            <v>82561</v>
          </cell>
          <cell r="O641" t="str">
            <v>S2B</v>
          </cell>
          <cell r="P641" t="str">
            <v>S2B82561</v>
          </cell>
          <cell r="Q641" t="str">
            <v>5151516</v>
          </cell>
        </row>
        <row r="642">
          <cell r="N642" t="str">
            <v>82561</v>
          </cell>
          <cell r="O642" t="str">
            <v>TXC</v>
          </cell>
          <cell r="P642" t="str">
            <v>TXC82561</v>
          </cell>
          <cell r="Q642" t="str">
            <v>5151516</v>
          </cell>
        </row>
        <row r="643">
          <cell r="N643" t="str">
            <v>82561</v>
          </cell>
          <cell r="O643" t="str">
            <v>YB5</v>
          </cell>
          <cell r="P643" t="str">
            <v>YB582561</v>
          </cell>
          <cell r="Q643" t="str">
            <v>5151516</v>
          </cell>
        </row>
        <row r="644">
          <cell r="N644" t="str">
            <v>82561</v>
          </cell>
          <cell r="O644" t="str">
            <v>YD6</v>
          </cell>
          <cell r="P644" t="str">
            <v>YD682561</v>
          </cell>
          <cell r="Q644" t="str">
            <v>5151516</v>
          </cell>
        </row>
        <row r="645">
          <cell r="N645" t="str">
            <v>82561</v>
          </cell>
          <cell r="O645" t="str">
            <v>YHE</v>
          </cell>
          <cell r="P645" t="str">
            <v>YHE82561</v>
          </cell>
          <cell r="Q645" t="str">
            <v>5151516</v>
          </cell>
        </row>
        <row r="646">
          <cell r="N646" t="str">
            <v>82561</v>
          </cell>
          <cell r="O646" t="str">
            <v>Y54</v>
          </cell>
          <cell r="P646" t="str">
            <v>Y5482561</v>
          </cell>
          <cell r="Q646" t="str">
            <v>5151516</v>
          </cell>
        </row>
        <row r="647">
          <cell r="N647" t="str">
            <v>82561</v>
          </cell>
          <cell r="O647" t="str">
            <v>0CJ</v>
          </cell>
          <cell r="P647" t="str">
            <v>0CJ82561</v>
          </cell>
          <cell r="Q647" t="str">
            <v>5151516</v>
          </cell>
        </row>
        <row r="648">
          <cell r="N648" t="str">
            <v>82561</v>
          </cell>
          <cell r="O648" t="str">
            <v>111</v>
          </cell>
          <cell r="P648" t="str">
            <v>11182561</v>
          </cell>
          <cell r="Q648" t="str">
            <v>5151516</v>
          </cell>
        </row>
        <row r="649">
          <cell r="N649" t="str">
            <v>82561</v>
          </cell>
          <cell r="O649" t="str">
            <v>343</v>
          </cell>
          <cell r="P649" t="str">
            <v>34382561</v>
          </cell>
          <cell r="Q649" t="str">
            <v>5151516</v>
          </cell>
        </row>
        <row r="650">
          <cell r="N650" t="str">
            <v>82561</v>
          </cell>
          <cell r="O650" t="str">
            <v>386</v>
          </cell>
          <cell r="P650" t="str">
            <v>38682561</v>
          </cell>
          <cell r="Q650" t="str">
            <v>5151516</v>
          </cell>
        </row>
        <row r="651">
          <cell r="N651" t="str">
            <v>82561</v>
          </cell>
          <cell r="O651" t="str">
            <v>9DJ</v>
          </cell>
          <cell r="P651" t="str">
            <v>9DJ82561</v>
          </cell>
          <cell r="Q651" t="str">
            <v>5151516</v>
          </cell>
        </row>
        <row r="652">
          <cell r="N652" t="str">
            <v>82563</v>
          </cell>
          <cell r="O652" t="str">
            <v/>
          </cell>
          <cell r="P652" t="str">
            <v/>
          </cell>
          <cell r="Q652" t="str">
            <v>5151519</v>
          </cell>
        </row>
        <row r="653">
          <cell r="N653" t="str">
            <v>82563</v>
          </cell>
          <cell r="O653" t="str">
            <v>REG</v>
          </cell>
          <cell r="P653" t="str">
            <v>REG82563</v>
          </cell>
          <cell r="Q653" t="str">
            <v>5151519</v>
          </cell>
        </row>
        <row r="654">
          <cell r="N654" t="str">
            <v>82563</v>
          </cell>
          <cell r="O654" t="str">
            <v>Y86</v>
          </cell>
          <cell r="P654" t="str">
            <v>Y8682563</v>
          </cell>
          <cell r="Q654" t="str">
            <v>5151519</v>
          </cell>
        </row>
        <row r="655">
          <cell r="N655" t="str">
            <v>89309</v>
          </cell>
          <cell r="O655" t="str">
            <v/>
          </cell>
          <cell r="P655" t="str">
            <v/>
          </cell>
          <cell r="Q655" t="str">
            <v>43118822</v>
          </cell>
        </row>
        <row r="656">
          <cell r="N656" t="str">
            <v>89309</v>
          </cell>
          <cell r="O656" t="str">
            <v>9DJ</v>
          </cell>
          <cell r="P656" t="str">
            <v>9DJ89309</v>
          </cell>
          <cell r="Q656" t="str">
            <v>43118822</v>
          </cell>
        </row>
        <row r="657"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</row>
        <row r="658">
          <cell r="N658" t="str">
            <v/>
          </cell>
          <cell r="O658" t="str">
            <v/>
          </cell>
          <cell r="P658" t="str">
            <v/>
          </cell>
          <cell r="Q658" t="str">
            <v/>
          </cell>
        </row>
        <row r="659">
          <cell r="N659" t="str">
            <v>82560</v>
          </cell>
          <cell r="O659" t="str">
            <v/>
          </cell>
          <cell r="P659" t="str">
            <v/>
          </cell>
          <cell r="Q659" t="str">
            <v>5151506</v>
          </cell>
        </row>
        <row r="660">
          <cell r="N660" t="str">
            <v>82560</v>
          </cell>
          <cell r="O660" t="str">
            <v>S7N</v>
          </cell>
          <cell r="P660" t="str">
            <v>S7N82560</v>
          </cell>
          <cell r="Q660" t="str">
            <v>5151506</v>
          </cell>
        </row>
        <row r="661">
          <cell r="N661" t="str">
            <v>82560</v>
          </cell>
          <cell r="O661" t="str">
            <v>S9P</v>
          </cell>
          <cell r="P661" t="str">
            <v>S9P82560</v>
          </cell>
          <cell r="Q661" t="str">
            <v>5151506</v>
          </cell>
        </row>
        <row r="662">
          <cell r="N662" t="str">
            <v>82561</v>
          </cell>
          <cell r="O662" t="str">
            <v/>
          </cell>
          <cell r="P662" t="str">
            <v/>
          </cell>
          <cell r="Q662" t="str">
            <v>5151516</v>
          </cell>
        </row>
        <row r="663">
          <cell r="N663" t="str">
            <v>82561</v>
          </cell>
          <cell r="O663" t="str">
            <v>YAZ</v>
          </cell>
          <cell r="P663" t="str">
            <v>YAZ82561</v>
          </cell>
          <cell r="Q663" t="str">
            <v>5151516</v>
          </cell>
        </row>
        <row r="664">
          <cell r="N664" t="str">
            <v>8257</v>
          </cell>
          <cell r="O664" t="str">
            <v/>
          </cell>
          <cell r="P664" t="str">
            <v/>
          </cell>
          <cell r="Q664" t="str">
            <v>5151503</v>
          </cell>
        </row>
        <row r="665">
          <cell r="N665" t="str">
            <v>8257</v>
          </cell>
          <cell r="O665" t="str">
            <v>S7N</v>
          </cell>
          <cell r="P665" t="str">
            <v>S7N8257</v>
          </cell>
          <cell r="Q665" t="str">
            <v>5151503</v>
          </cell>
        </row>
        <row r="666">
          <cell r="N666" t="str">
            <v>8257</v>
          </cell>
          <cell r="O666" t="str">
            <v>YAZ</v>
          </cell>
          <cell r="P666" t="str">
            <v>YAZ8257</v>
          </cell>
          <cell r="Q666" t="str">
            <v>5151503</v>
          </cell>
        </row>
        <row r="667">
          <cell r="N667" t="str">
            <v>82570</v>
          </cell>
          <cell r="O667" t="str">
            <v/>
          </cell>
          <cell r="P667" t="str">
            <v/>
          </cell>
          <cell r="Q667" t="str">
            <v/>
          </cell>
        </row>
        <row r="668">
          <cell r="N668" t="str">
            <v>82570</v>
          </cell>
          <cell r="O668" t="str">
            <v>S7N</v>
          </cell>
          <cell r="P668" t="str">
            <v>S7N82570</v>
          </cell>
          <cell r="Q668" t="str">
            <v/>
          </cell>
        </row>
        <row r="669">
          <cell r="N669" t="str">
            <v>82570</v>
          </cell>
          <cell r="O669" t="str">
            <v>YAZ</v>
          </cell>
          <cell r="P669" t="str">
            <v>YAZ82570</v>
          </cell>
          <cell r="Q669" t="str">
            <v/>
          </cell>
        </row>
        <row r="670">
          <cell r="N670" t="str">
            <v>82571</v>
          </cell>
          <cell r="O670" t="str">
            <v/>
          </cell>
          <cell r="P670" t="str">
            <v/>
          </cell>
          <cell r="Q670" t="str">
            <v/>
          </cell>
        </row>
        <row r="671">
          <cell r="N671" t="str">
            <v>82571</v>
          </cell>
          <cell r="O671" t="str">
            <v>YAZ</v>
          </cell>
          <cell r="P671" t="str">
            <v>YAZ82571</v>
          </cell>
          <cell r="Q671" t="str">
            <v/>
          </cell>
        </row>
        <row r="672"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</row>
        <row r="673">
          <cell r="N673" t="str">
            <v>825900</v>
          </cell>
          <cell r="O673" t="str">
            <v/>
          </cell>
          <cell r="P673" t="str">
            <v/>
          </cell>
          <cell r="Q673" t="str">
            <v/>
          </cell>
        </row>
        <row r="674">
          <cell r="N674" t="str">
            <v>825900</v>
          </cell>
          <cell r="O674" t="str">
            <v>SC9</v>
          </cell>
          <cell r="P674" t="str">
            <v>SC9825900</v>
          </cell>
          <cell r="Q674" t="str">
            <v/>
          </cell>
        </row>
        <row r="675">
          <cell r="N675" t="str">
            <v>825900</v>
          </cell>
          <cell r="O675" t="str">
            <v>Y22</v>
          </cell>
          <cell r="P675" t="str">
            <v>Y22825900</v>
          </cell>
          <cell r="Q675" t="str">
            <v/>
          </cell>
        </row>
        <row r="676">
          <cell r="N676" t="str">
            <v>82590020</v>
          </cell>
          <cell r="O676" t="str">
            <v/>
          </cell>
          <cell r="P676" t="str">
            <v/>
          </cell>
          <cell r="Q676" t="str">
            <v>5151512</v>
          </cell>
        </row>
        <row r="677">
          <cell r="N677" t="str">
            <v>82590020</v>
          </cell>
          <cell r="O677" t="str">
            <v>SC9</v>
          </cell>
          <cell r="P677" t="str">
            <v>SC982590020</v>
          </cell>
          <cell r="Q677" t="str">
            <v>5151512</v>
          </cell>
        </row>
        <row r="678">
          <cell r="N678" t="str">
            <v>82590020</v>
          </cell>
          <cell r="O678" t="str">
            <v>Y22</v>
          </cell>
          <cell r="P678" t="str">
            <v>Y2282590020</v>
          </cell>
          <cell r="Q678" t="str">
            <v>5151512</v>
          </cell>
        </row>
        <row r="679">
          <cell r="N679" t="str">
            <v>8259009</v>
          </cell>
          <cell r="O679" t="str">
            <v/>
          </cell>
          <cell r="P679" t="str">
            <v/>
          </cell>
          <cell r="Q679" t="str">
            <v>5151512</v>
          </cell>
        </row>
        <row r="680">
          <cell r="N680" t="str">
            <v>8259009</v>
          </cell>
          <cell r="O680" t="str">
            <v>SC9</v>
          </cell>
          <cell r="P680" t="str">
            <v>SC98259009</v>
          </cell>
          <cell r="Q680" t="str">
            <v>5151512</v>
          </cell>
        </row>
        <row r="681">
          <cell r="N681" t="str">
            <v>8259009</v>
          </cell>
          <cell r="O681" t="str">
            <v>Y22</v>
          </cell>
          <cell r="P681" t="str">
            <v>Y228259009</v>
          </cell>
          <cell r="Q681" t="str">
            <v>5151512</v>
          </cell>
        </row>
        <row r="682"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</row>
        <row r="683">
          <cell r="N683" t="str">
            <v>82563</v>
          </cell>
          <cell r="O683" t="str">
            <v/>
          </cell>
          <cell r="P683" t="str">
            <v/>
          </cell>
          <cell r="Q683" t="str">
            <v>5151519</v>
          </cell>
        </row>
        <row r="684">
          <cell r="N684" t="str">
            <v>82563</v>
          </cell>
          <cell r="O684" t="str">
            <v>ONL</v>
          </cell>
          <cell r="P684" t="str">
            <v>ONL82563</v>
          </cell>
          <cell r="Q684" t="str">
            <v>5151519</v>
          </cell>
        </row>
        <row r="685">
          <cell r="N685" t="str">
            <v>82563</v>
          </cell>
          <cell r="O685" t="str">
            <v>Y8A</v>
          </cell>
          <cell r="P685" t="str">
            <v>Y8A82563</v>
          </cell>
          <cell r="Q685" t="str">
            <v>5151519</v>
          </cell>
        </row>
        <row r="686">
          <cell r="N686" t="str">
            <v>82563</v>
          </cell>
          <cell r="O686" t="str">
            <v>Y8C</v>
          </cell>
          <cell r="P686" t="str">
            <v>Y8C82563</v>
          </cell>
          <cell r="Q686" t="str">
            <v>5151519</v>
          </cell>
        </row>
        <row r="687">
          <cell r="N687" t="str">
            <v>82563</v>
          </cell>
          <cell r="O687" t="str">
            <v>Y87</v>
          </cell>
          <cell r="P687" t="str">
            <v>Y8782563</v>
          </cell>
          <cell r="Q687" t="str">
            <v>5151519</v>
          </cell>
        </row>
        <row r="688">
          <cell r="N688" t="str">
            <v>82563</v>
          </cell>
          <cell r="O688" t="str">
            <v>Y88</v>
          </cell>
          <cell r="P688" t="str">
            <v>Y8882563</v>
          </cell>
          <cell r="Q688" t="str">
            <v>5151519</v>
          </cell>
        </row>
        <row r="689">
          <cell r="N689" t="str">
            <v>82563</v>
          </cell>
          <cell r="O689" t="str">
            <v>111</v>
          </cell>
          <cell r="P689" t="str">
            <v>11182563</v>
          </cell>
          <cell r="Q689" t="str">
            <v>5151519</v>
          </cell>
        </row>
        <row r="690"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</row>
        <row r="691">
          <cell r="N691" t="str">
            <v>82981</v>
          </cell>
          <cell r="O691" t="str">
            <v/>
          </cell>
          <cell r="P691" t="str">
            <v/>
          </cell>
          <cell r="Q691" t="str">
            <v/>
          </cell>
        </row>
        <row r="692">
          <cell r="N692" t="str">
            <v>82981</v>
          </cell>
          <cell r="O692" t="str">
            <v>YIL</v>
          </cell>
          <cell r="P692" t="str">
            <v>YIL82981</v>
          </cell>
          <cell r="Q692" t="str">
            <v/>
          </cell>
        </row>
        <row r="693">
          <cell r="N693" t="str">
            <v>8921</v>
          </cell>
          <cell r="O693" t="str">
            <v/>
          </cell>
          <cell r="P693" t="str">
            <v/>
          </cell>
          <cell r="Q693" t="str">
            <v>5151509</v>
          </cell>
        </row>
        <row r="694">
          <cell r="N694" t="str">
            <v>8921</v>
          </cell>
          <cell r="O694" t="str">
            <v>CG1</v>
          </cell>
          <cell r="P694" t="str">
            <v>CG18921</v>
          </cell>
          <cell r="Q694" t="str">
            <v>5151509</v>
          </cell>
        </row>
        <row r="695">
          <cell r="N695" t="str">
            <v>8921</v>
          </cell>
          <cell r="O695" t="str">
            <v>DCD</v>
          </cell>
          <cell r="P695" t="str">
            <v>DCD8921</v>
          </cell>
          <cell r="Q695" t="str">
            <v>5151509</v>
          </cell>
        </row>
        <row r="696">
          <cell r="N696" t="str">
            <v>8921</v>
          </cell>
          <cell r="O696" t="str">
            <v>DCL</v>
          </cell>
          <cell r="P696" t="str">
            <v>DCL8921</v>
          </cell>
          <cell r="Q696" t="str">
            <v>5151509</v>
          </cell>
        </row>
        <row r="697">
          <cell r="N697" t="str">
            <v>8921</v>
          </cell>
          <cell r="O697" t="str">
            <v>ELN</v>
          </cell>
          <cell r="P697" t="str">
            <v>ELN8921</v>
          </cell>
          <cell r="Q697" t="str">
            <v>5151509</v>
          </cell>
        </row>
        <row r="698">
          <cell r="N698" t="str">
            <v>8921</v>
          </cell>
          <cell r="O698" t="str">
            <v>YB8</v>
          </cell>
          <cell r="P698" t="str">
            <v>YB88921</v>
          </cell>
          <cell r="Q698" t="str">
            <v>5151509</v>
          </cell>
        </row>
        <row r="699">
          <cell r="N699" t="str">
            <v>8921</v>
          </cell>
          <cell r="O699" t="str">
            <v>YIL</v>
          </cell>
          <cell r="P699" t="str">
            <v>YIL8921</v>
          </cell>
          <cell r="Q699" t="str">
            <v>5151509</v>
          </cell>
        </row>
        <row r="700">
          <cell r="N700" t="str">
            <v>8921</v>
          </cell>
          <cell r="O700" t="str">
            <v>YIW</v>
          </cell>
          <cell r="P700" t="str">
            <v>YIW8921</v>
          </cell>
          <cell r="Q700" t="str">
            <v>5151509</v>
          </cell>
        </row>
        <row r="701">
          <cell r="N701" t="str">
            <v>89210</v>
          </cell>
          <cell r="O701" t="str">
            <v/>
          </cell>
          <cell r="P701" t="str">
            <v/>
          </cell>
          <cell r="Q701" t="str">
            <v/>
          </cell>
        </row>
        <row r="702">
          <cell r="N702" t="str">
            <v>89210</v>
          </cell>
          <cell r="O702" t="str">
            <v>DCD</v>
          </cell>
          <cell r="P702" t="str">
            <v>DCD89210</v>
          </cell>
          <cell r="Q702" t="str">
            <v/>
          </cell>
        </row>
        <row r="703">
          <cell r="N703" t="str">
            <v>89210</v>
          </cell>
          <cell r="O703" t="str">
            <v>ELN</v>
          </cell>
          <cell r="P703" t="str">
            <v>ELN89210</v>
          </cell>
          <cell r="Q703" t="str">
            <v/>
          </cell>
        </row>
        <row r="704">
          <cell r="N704" t="str">
            <v>89213</v>
          </cell>
          <cell r="O704" t="str">
            <v/>
          </cell>
          <cell r="P704" t="str">
            <v/>
          </cell>
          <cell r="Q704" t="str">
            <v/>
          </cell>
        </row>
        <row r="705">
          <cell r="N705" t="str">
            <v>89213</v>
          </cell>
          <cell r="O705" t="str">
            <v>ELN</v>
          </cell>
          <cell r="P705" t="str">
            <v>ELN89213</v>
          </cell>
          <cell r="Q705" t="str">
            <v/>
          </cell>
        </row>
        <row r="706">
          <cell r="N706" t="str">
            <v>89213</v>
          </cell>
          <cell r="O706" t="str">
            <v>ONL</v>
          </cell>
          <cell r="P706" t="str">
            <v>ONL89213</v>
          </cell>
          <cell r="Q706" t="str">
            <v/>
          </cell>
        </row>
        <row r="707">
          <cell r="N707" t="str">
            <v>89213</v>
          </cell>
          <cell r="O707" t="str">
            <v>REG</v>
          </cell>
          <cell r="P707" t="str">
            <v>REG89213</v>
          </cell>
          <cell r="Q707" t="str">
            <v/>
          </cell>
        </row>
        <row r="708">
          <cell r="N708" t="str">
            <v>89213</v>
          </cell>
          <cell r="O708" t="str">
            <v>YIL</v>
          </cell>
          <cell r="P708" t="str">
            <v>YIL89213</v>
          </cell>
          <cell r="Q708" t="str">
            <v/>
          </cell>
        </row>
        <row r="709">
          <cell r="N709" t="str">
            <v>89213</v>
          </cell>
          <cell r="O709" t="str">
            <v>YIW</v>
          </cell>
          <cell r="P709" t="str">
            <v>YIW89213</v>
          </cell>
          <cell r="Q709" t="str">
            <v/>
          </cell>
        </row>
        <row r="710">
          <cell r="N710" t="str">
            <v>89213</v>
          </cell>
          <cell r="O710" t="str">
            <v>111</v>
          </cell>
          <cell r="P710" t="str">
            <v>11189213</v>
          </cell>
          <cell r="Q710" t="str">
            <v/>
          </cell>
        </row>
        <row r="711">
          <cell r="N711" t="str">
            <v/>
          </cell>
          <cell r="O711" t="str">
            <v/>
          </cell>
          <cell r="P711" t="str">
            <v/>
          </cell>
          <cell r="Q711" t="str">
            <v/>
          </cell>
        </row>
        <row r="712">
          <cell r="N712" t="str">
            <v>825900</v>
          </cell>
          <cell r="O712" t="str">
            <v/>
          </cell>
          <cell r="P712" t="str">
            <v/>
          </cell>
          <cell r="Q712" t="str">
            <v/>
          </cell>
        </row>
        <row r="713">
          <cell r="N713" t="str">
            <v>825900</v>
          </cell>
          <cell r="O713" t="str">
            <v>SJV</v>
          </cell>
          <cell r="P713" t="str">
            <v>SJV825900</v>
          </cell>
          <cell r="Q713" t="str">
            <v/>
          </cell>
        </row>
        <row r="714">
          <cell r="N714" t="str">
            <v>825900</v>
          </cell>
          <cell r="O714" t="str">
            <v>SJW</v>
          </cell>
          <cell r="P714" t="str">
            <v>SJW825900</v>
          </cell>
          <cell r="Q714" t="str">
            <v/>
          </cell>
        </row>
        <row r="715">
          <cell r="N715" t="str">
            <v>82590020</v>
          </cell>
          <cell r="O715" t="str">
            <v/>
          </cell>
          <cell r="P715" t="str">
            <v/>
          </cell>
          <cell r="Q715" t="str">
            <v>5151512</v>
          </cell>
        </row>
        <row r="716">
          <cell r="N716" t="str">
            <v>82590020</v>
          </cell>
          <cell r="O716" t="str">
            <v>SJV</v>
          </cell>
          <cell r="P716" t="str">
            <v>SJV82590020</v>
          </cell>
          <cell r="Q716" t="str">
            <v>5151512</v>
          </cell>
        </row>
        <row r="717">
          <cell r="N717" t="str">
            <v>82590020</v>
          </cell>
          <cell r="O717" t="str">
            <v>SJW</v>
          </cell>
          <cell r="P717" t="str">
            <v>SJW82590020</v>
          </cell>
          <cell r="Q717" t="str">
            <v>5151512</v>
          </cell>
        </row>
        <row r="718">
          <cell r="N718" t="str">
            <v>8259009</v>
          </cell>
          <cell r="O718" t="str">
            <v/>
          </cell>
          <cell r="P718" t="str">
            <v/>
          </cell>
          <cell r="Q718" t="str">
            <v>5151512</v>
          </cell>
        </row>
        <row r="719">
          <cell r="N719" t="str">
            <v>8259009</v>
          </cell>
          <cell r="O719" t="str">
            <v>SJV</v>
          </cell>
          <cell r="P719" t="str">
            <v>SJV8259009</v>
          </cell>
          <cell r="Q719" t="str">
            <v>5151512</v>
          </cell>
        </row>
        <row r="720">
          <cell r="N720" t="str">
            <v>8259009</v>
          </cell>
          <cell r="O720" t="str">
            <v>SJW</v>
          </cell>
          <cell r="P720" t="str">
            <v>SJW8259009</v>
          </cell>
          <cell r="Q720" t="str">
            <v>5151512</v>
          </cell>
        </row>
        <row r="721"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</row>
        <row r="722"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</row>
        <row r="723">
          <cell r="N723" t="str">
            <v>82590</v>
          </cell>
          <cell r="O723" t="str">
            <v/>
          </cell>
          <cell r="P723" t="str">
            <v/>
          </cell>
          <cell r="Q723" t="str">
            <v/>
          </cell>
        </row>
        <row r="724">
          <cell r="N724" t="str">
            <v>82590</v>
          </cell>
          <cell r="O724" t="str">
            <v>SRI</v>
          </cell>
          <cell r="P724" t="str">
            <v>SRI82590</v>
          </cell>
          <cell r="Q724" t="str">
            <v/>
          </cell>
        </row>
        <row r="725">
          <cell r="N725" t="str">
            <v>825900</v>
          </cell>
          <cell r="O725" t="str">
            <v/>
          </cell>
          <cell r="P725" t="str">
            <v/>
          </cell>
          <cell r="Q725" t="str">
            <v/>
          </cell>
        </row>
        <row r="726">
          <cell r="N726" t="str">
            <v>825900</v>
          </cell>
          <cell r="O726" t="str">
            <v>SRI</v>
          </cell>
          <cell r="P726" t="str">
            <v>SRI825900</v>
          </cell>
          <cell r="Q726" t="str">
            <v/>
          </cell>
        </row>
        <row r="727">
          <cell r="N727" t="str">
            <v>82590020</v>
          </cell>
          <cell r="O727" t="str">
            <v/>
          </cell>
          <cell r="P727" t="str">
            <v/>
          </cell>
          <cell r="Q727" t="str">
            <v>5151512</v>
          </cell>
        </row>
        <row r="728">
          <cell r="N728" t="str">
            <v>82590020</v>
          </cell>
          <cell r="O728" t="str">
            <v>SRI</v>
          </cell>
          <cell r="P728" t="str">
            <v>SRI82590020</v>
          </cell>
          <cell r="Q728" t="str">
            <v>5151512</v>
          </cell>
        </row>
        <row r="729">
          <cell r="N729" t="str">
            <v>8259009</v>
          </cell>
          <cell r="O729" t="str">
            <v/>
          </cell>
          <cell r="P729" t="str">
            <v/>
          </cell>
          <cell r="Q729" t="str">
            <v>5151512</v>
          </cell>
        </row>
        <row r="730">
          <cell r="N730" t="str">
            <v>8259009</v>
          </cell>
          <cell r="O730" t="str">
            <v>SRI</v>
          </cell>
          <cell r="P730" t="str">
            <v>SRI8259009</v>
          </cell>
          <cell r="Q730" t="str">
            <v>5151512</v>
          </cell>
        </row>
        <row r="731"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</row>
        <row r="732">
          <cell r="N732" t="str">
            <v>82590</v>
          </cell>
          <cell r="O732" t="str">
            <v/>
          </cell>
          <cell r="P732" t="str">
            <v/>
          </cell>
          <cell r="Q732" t="str">
            <v/>
          </cell>
        </row>
        <row r="733">
          <cell r="N733" t="str">
            <v>82590</v>
          </cell>
          <cell r="O733" t="str">
            <v>SCQ</v>
          </cell>
          <cell r="P733" t="str">
            <v>SCQ82590</v>
          </cell>
          <cell r="Q733" t="str">
            <v/>
          </cell>
        </row>
        <row r="734">
          <cell r="N734" t="str">
            <v>825900</v>
          </cell>
          <cell r="O734" t="str">
            <v/>
          </cell>
          <cell r="P734" t="str">
            <v/>
          </cell>
          <cell r="Q734" t="str">
            <v/>
          </cell>
        </row>
        <row r="735">
          <cell r="N735" t="str">
            <v>825900</v>
          </cell>
          <cell r="O735" t="str">
            <v>CRD</v>
          </cell>
          <cell r="P735" t="str">
            <v>CRD825900</v>
          </cell>
          <cell r="Q735" t="str">
            <v/>
          </cell>
        </row>
        <row r="736">
          <cell r="N736" t="str">
            <v>825900</v>
          </cell>
          <cell r="O736" t="str">
            <v>SCQ</v>
          </cell>
          <cell r="P736" t="str">
            <v>SCQ825900</v>
          </cell>
          <cell r="Q736" t="str">
            <v/>
          </cell>
        </row>
        <row r="737">
          <cell r="N737" t="str">
            <v>825900</v>
          </cell>
          <cell r="O737" t="str">
            <v>Y23</v>
          </cell>
          <cell r="P737" t="str">
            <v>Y23825900</v>
          </cell>
          <cell r="Q737" t="str">
            <v/>
          </cell>
        </row>
        <row r="738">
          <cell r="N738" t="str">
            <v>82590020</v>
          </cell>
          <cell r="O738" t="str">
            <v/>
          </cell>
          <cell r="P738" t="str">
            <v/>
          </cell>
          <cell r="Q738" t="str">
            <v>5151512</v>
          </cell>
        </row>
        <row r="739">
          <cell r="N739" t="str">
            <v>82590020</v>
          </cell>
          <cell r="O739" t="str">
            <v>CRD</v>
          </cell>
          <cell r="P739" t="str">
            <v>CRD82590020</v>
          </cell>
          <cell r="Q739" t="str">
            <v>5151512</v>
          </cell>
        </row>
        <row r="740">
          <cell r="N740" t="str">
            <v>82590020</v>
          </cell>
          <cell r="O740" t="str">
            <v>SCQ</v>
          </cell>
          <cell r="P740" t="str">
            <v>SCQ82590020</v>
          </cell>
          <cell r="Q740" t="str">
            <v>5151512</v>
          </cell>
        </row>
        <row r="741">
          <cell r="N741" t="str">
            <v>82590020</v>
          </cell>
          <cell r="O741" t="str">
            <v>Y23</v>
          </cell>
          <cell r="P741" t="str">
            <v>Y2382590020</v>
          </cell>
          <cell r="Q741" t="str">
            <v>5151512</v>
          </cell>
        </row>
        <row r="742">
          <cell r="N742" t="str">
            <v>8259009</v>
          </cell>
          <cell r="O742" t="str">
            <v/>
          </cell>
          <cell r="P742" t="str">
            <v/>
          </cell>
          <cell r="Q742" t="str">
            <v>5151512</v>
          </cell>
        </row>
        <row r="743">
          <cell r="N743" t="str">
            <v>8259009</v>
          </cell>
          <cell r="O743" t="str">
            <v>SCQ</v>
          </cell>
          <cell r="P743" t="str">
            <v>SCQ8259009</v>
          </cell>
          <cell r="Q743" t="str">
            <v>5151512</v>
          </cell>
        </row>
        <row r="744"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</row>
        <row r="745">
          <cell r="N745" t="str">
            <v>825900</v>
          </cell>
          <cell r="O745" t="str">
            <v/>
          </cell>
          <cell r="P745" t="str">
            <v/>
          </cell>
          <cell r="Q745" t="str">
            <v/>
          </cell>
        </row>
        <row r="746">
          <cell r="N746" t="str">
            <v>825900</v>
          </cell>
          <cell r="O746" t="str">
            <v>Y33</v>
          </cell>
          <cell r="P746" t="str">
            <v>Y33825900</v>
          </cell>
          <cell r="Q746" t="str">
            <v/>
          </cell>
        </row>
        <row r="747">
          <cell r="N747" t="str">
            <v>825900</v>
          </cell>
          <cell r="O747" t="str">
            <v>Y37</v>
          </cell>
          <cell r="P747" t="str">
            <v>Y37825900</v>
          </cell>
          <cell r="Q747" t="str">
            <v/>
          </cell>
        </row>
        <row r="748">
          <cell r="N748" t="str">
            <v>825900</v>
          </cell>
          <cell r="O748" t="str">
            <v>Y44</v>
          </cell>
          <cell r="P748" t="str">
            <v>Y44825900</v>
          </cell>
          <cell r="Q748" t="str">
            <v/>
          </cell>
        </row>
        <row r="749">
          <cell r="N749" t="str">
            <v>825900</v>
          </cell>
          <cell r="O749" t="str">
            <v>Y45</v>
          </cell>
          <cell r="P749" t="str">
            <v>Y45825900</v>
          </cell>
          <cell r="Q749" t="str">
            <v/>
          </cell>
        </row>
        <row r="750">
          <cell r="N750" t="str">
            <v>825900</v>
          </cell>
          <cell r="O750" t="str">
            <v>Y49</v>
          </cell>
          <cell r="P750" t="str">
            <v>Y49825900</v>
          </cell>
          <cell r="Q750" t="str">
            <v/>
          </cell>
        </row>
        <row r="751">
          <cell r="N751" t="str">
            <v>82590020</v>
          </cell>
          <cell r="O751" t="str">
            <v/>
          </cell>
          <cell r="P751" t="str">
            <v/>
          </cell>
          <cell r="Q751" t="str">
            <v>5151512</v>
          </cell>
        </row>
        <row r="752">
          <cell r="N752" t="str">
            <v>82590020</v>
          </cell>
          <cell r="O752" t="str">
            <v>Y33</v>
          </cell>
          <cell r="P752" t="str">
            <v>Y3382590020</v>
          </cell>
          <cell r="Q752" t="str">
            <v>5151512</v>
          </cell>
        </row>
        <row r="753">
          <cell r="N753" t="str">
            <v>82590020</v>
          </cell>
          <cell r="O753" t="str">
            <v>Y37</v>
          </cell>
          <cell r="P753" t="str">
            <v>Y3782590020</v>
          </cell>
          <cell r="Q753" t="str">
            <v>5151512</v>
          </cell>
        </row>
        <row r="754">
          <cell r="N754" t="str">
            <v>82590020</v>
          </cell>
          <cell r="O754" t="str">
            <v>Y44</v>
          </cell>
          <cell r="P754" t="str">
            <v>Y4482590020</v>
          </cell>
          <cell r="Q754" t="str">
            <v>5151512</v>
          </cell>
        </row>
        <row r="755">
          <cell r="N755" t="str">
            <v>82590020</v>
          </cell>
          <cell r="O755" t="str">
            <v>Y45</v>
          </cell>
          <cell r="P755" t="str">
            <v>Y4582590020</v>
          </cell>
          <cell r="Q755" t="str">
            <v>5151512</v>
          </cell>
        </row>
        <row r="756">
          <cell r="N756" t="str">
            <v>82590020</v>
          </cell>
          <cell r="O756" t="str">
            <v>Y49</v>
          </cell>
          <cell r="P756" t="str">
            <v>Y4982590020</v>
          </cell>
          <cell r="Q756" t="str">
            <v>5151512</v>
          </cell>
        </row>
        <row r="757">
          <cell r="N757" t="str">
            <v>8259009</v>
          </cell>
          <cell r="O757" t="str">
            <v/>
          </cell>
          <cell r="P757" t="str">
            <v/>
          </cell>
          <cell r="Q757" t="str">
            <v>5151512</v>
          </cell>
        </row>
        <row r="758">
          <cell r="N758" t="str">
            <v>8259009</v>
          </cell>
          <cell r="O758" t="str">
            <v>Y33</v>
          </cell>
          <cell r="P758" t="str">
            <v>Y338259009</v>
          </cell>
          <cell r="Q758" t="str">
            <v>5151512</v>
          </cell>
        </row>
        <row r="759">
          <cell r="N759" t="str">
            <v>8259009</v>
          </cell>
          <cell r="O759" t="str">
            <v>Y49</v>
          </cell>
          <cell r="P759" t="str">
            <v>Y498259009</v>
          </cell>
          <cell r="Q759" t="str">
            <v>5151512</v>
          </cell>
        </row>
        <row r="760"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</row>
        <row r="761">
          <cell r="N761" t="str">
            <v>825905</v>
          </cell>
          <cell r="O761" t="str">
            <v/>
          </cell>
          <cell r="P761" t="str">
            <v/>
          </cell>
          <cell r="Q761" t="str">
            <v>5151519</v>
          </cell>
        </row>
        <row r="762">
          <cell r="N762" t="str">
            <v>825905</v>
          </cell>
          <cell r="O762" t="str">
            <v>Y8J</v>
          </cell>
          <cell r="P762" t="str">
            <v>Y8J825905</v>
          </cell>
          <cell r="Q762" t="str">
            <v>5151519</v>
          </cell>
        </row>
        <row r="763">
          <cell r="N763" t="str">
            <v>8921</v>
          </cell>
          <cell r="O763" t="str">
            <v/>
          </cell>
          <cell r="P763" t="str">
            <v/>
          </cell>
          <cell r="Q763" t="str">
            <v>5151509</v>
          </cell>
        </row>
        <row r="764">
          <cell r="N764" t="str">
            <v>8921</v>
          </cell>
          <cell r="O764" t="str">
            <v>YE2</v>
          </cell>
          <cell r="P764" t="str">
            <v>YE28921</v>
          </cell>
          <cell r="Q764" t="str">
            <v>5151509</v>
          </cell>
        </row>
        <row r="765">
          <cell r="N765" t="str">
            <v>8921</v>
          </cell>
          <cell r="O765" t="str">
            <v>YE4</v>
          </cell>
          <cell r="P765" t="str">
            <v>YE48921</v>
          </cell>
          <cell r="Q765" t="str">
            <v>5151509</v>
          </cell>
        </row>
        <row r="766">
          <cell r="N766" t="str">
            <v>8921</v>
          </cell>
          <cell r="O766" t="str">
            <v>YE6</v>
          </cell>
          <cell r="P766" t="str">
            <v>YE68921</v>
          </cell>
          <cell r="Q766" t="str">
            <v>5151509</v>
          </cell>
        </row>
        <row r="767">
          <cell r="N767" t="str">
            <v>8921</v>
          </cell>
          <cell r="O767" t="str">
            <v>YE8</v>
          </cell>
          <cell r="P767" t="str">
            <v>YE88921</v>
          </cell>
          <cell r="Q767" t="str">
            <v>5151509</v>
          </cell>
        </row>
        <row r="768">
          <cell r="N768" t="str">
            <v>8921</v>
          </cell>
          <cell r="O768" t="str">
            <v>YX3</v>
          </cell>
          <cell r="P768" t="str">
            <v>YX38921</v>
          </cell>
          <cell r="Q768" t="str">
            <v>5151509</v>
          </cell>
        </row>
        <row r="769">
          <cell r="N769" t="str">
            <v>89214</v>
          </cell>
          <cell r="O769" t="str">
            <v/>
          </cell>
          <cell r="P769" t="str">
            <v/>
          </cell>
          <cell r="Q769" t="str">
            <v/>
          </cell>
        </row>
        <row r="770">
          <cell r="N770" t="str">
            <v>89214</v>
          </cell>
          <cell r="O770" t="str">
            <v>YE2</v>
          </cell>
          <cell r="P770" t="str">
            <v>YE289214</v>
          </cell>
          <cell r="Q770" t="str">
            <v/>
          </cell>
        </row>
        <row r="771">
          <cell r="N771" t="str">
            <v>89214</v>
          </cell>
          <cell r="O771" t="str">
            <v>YE4</v>
          </cell>
          <cell r="P771" t="str">
            <v>YE489214</v>
          </cell>
          <cell r="Q771" t="str">
            <v/>
          </cell>
        </row>
        <row r="772">
          <cell r="N772" t="str">
            <v>89214</v>
          </cell>
          <cell r="O772" t="str">
            <v>YE6</v>
          </cell>
          <cell r="P772" t="str">
            <v>YE689214</v>
          </cell>
          <cell r="Q772" t="str">
            <v/>
          </cell>
        </row>
        <row r="773"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</row>
        <row r="774"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</row>
        <row r="775"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</row>
        <row r="776"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</row>
        <row r="777">
          <cell r="N777" t="str">
            <v>82590</v>
          </cell>
          <cell r="O777" t="str">
            <v/>
          </cell>
          <cell r="P777" t="str">
            <v/>
          </cell>
          <cell r="Q777" t="str">
            <v/>
          </cell>
        </row>
        <row r="778">
          <cell r="N778" t="str">
            <v>82590</v>
          </cell>
          <cell r="O778" t="str">
            <v>MV1</v>
          </cell>
          <cell r="P778" t="str">
            <v>MV182590</v>
          </cell>
          <cell r="Q778" t="str">
            <v/>
          </cell>
        </row>
        <row r="779">
          <cell r="N779" t="str">
            <v>82590</v>
          </cell>
          <cell r="O779" t="str">
            <v>YGO</v>
          </cell>
          <cell r="P779" t="str">
            <v>YGO82590</v>
          </cell>
          <cell r="Q779" t="str">
            <v/>
          </cell>
        </row>
        <row r="780">
          <cell r="N780" t="str">
            <v>825900</v>
          </cell>
          <cell r="O780" t="str">
            <v/>
          </cell>
          <cell r="P780" t="str">
            <v/>
          </cell>
          <cell r="Q780" t="str">
            <v/>
          </cell>
        </row>
        <row r="781">
          <cell r="N781" t="str">
            <v>825900</v>
          </cell>
          <cell r="O781" t="str">
            <v>MV1</v>
          </cell>
          <cell r="P781" t="str">
            <v>MV1825900</v>
          </cell>
          <cell r="Q781" t="str">
            <v/>
          </cell>
        </row>
        <row r="782">
          <cell r="N782" t="str">
            <v>825900</v>
          </cell>
          <cell r="O782" t="str">
            <v>YGO</v>
          </cell>
          <cell r="P782" t="str">
            <v>YGO825900</v>
          </cell>
          <cell r="Q782" t="str">
            <v/>
          </cell>
        </row>
        <row r="783">
          <cell r="N783" t="str">
            <v>82590021</v>
          </cell>
          <cell r="O783" t="str">
            <v/>
          </cell>
          <cell r="P783" t="str">
            <v/>
          </cell>
          <cell r="Q783" t="str">
            <v>5151511</v>
          </cell>
        </row>
        <row r="784">
          <cell r="N784" t="str">
            <v>82590021</v>
          </cell>
          <cell r="O784" t="str">
            <v>ONL</v>
          </cell>
          <cell r="P784" t="str">
            <v>ONL82590021</v>
          </cell>
          <cell r="Q784" t="str">
            <v>5151511</v>
          </cell>
        </row>
        <row r="785">
          <cell r="N785" t="str">
            <v>82590021</v>
          </cell>
          <cell r="O785" t="str">
            <v>YGO</v>
          </cell>
          <cell r="P785" t="str">
            <v>YGO82590021</v>
          </cell>
          <cell r="Q785" t="str">
            <v>5151511</v>
          </cell>
        </row>
        <row r="786">
          <cell r="N786" t="str">
            <v>8259004</v>
          </cell>
          <cell r="O786" t="str">
            <v/>
          </cell>
          <cell r="P786" t="str">
            <v/>
          </cell>
          <cell r="Q786" t="str">
            <v>5151512</v>
          </cell>
        </row>
        <row r="787">
          <cell r="N787" t="str">
            <v>8259004</v>
          </cell>
          <cell r="O787" t="str">
            <v>MV1</v>
          </cell>
          <cell r="P787" t="str">
            <v>MV18259004</v>
          </cell>
          <cell r="Q787" t="str">
            <v>5151512</v>
          </cell>
        </row>
        <row r="788">
          <cell r="N788" t="str">
            <v>8259009</v>
          </cell>
          <cell r="O788" t="str">
            <v/>
          </cell>
          <cell r="P788" t="str">
            <v/>
          </cell>
          <cell r="Q788" t="str">
            <v>5151512</v>
          </cell>
        </row>
        <row r="789">
          <cell r="N789" t="str">
            <v>8259009</v>
          </cell>
          <cell r="O789" t="str">
            <v>MV1</v>
          </cell>
          <cell r="P789" t="str">
            <v>MV18259009</v>
          </cell>
          <cell r="Q789" t="str">
            <v>5151512</v>
          </cell>
        </row>
        <row r="790">
          <cell r="N790" t="str">
            <v>8259009</v>
          </cell>
          <cell r="O790" t="str">
            <v>YGO</v>
          </cell>
          <cell r="P790" t="str">
            <v>YGO8259009</v>
          </cell>
          <cell r="Q790" t="str">
            <v>5151512</v>
          </cell>
        </row>
        <row r="791">
          <cell r="N791" t="str">
            <v>825901</v>
          </cell>
          <cell r="O791" t="str">
            <v/>
          </cell>
          <cell r="P791" t="str">
            <v/>
          </cell>
          <cell r="Q791" t="str">
            <v>5151512</v>
          </cell>
        </row>
        <row r="792">
          <cell r="N792" t="str">
            <v>825901</v>
          </cell>
          <cell r="O792" t="str">
            <v>YGO</v>
          </cell>
          <cell r="P792" t="str">
            <v>YGO825901</v>
          </cell>
          <cell r="Q792" t="str">
            <v>5151512</v>
          </cell>
        </row>
        <row r="793">
          <cell r="N793" t="str">
            <v>82980</v>
          </cell>
          <cell r="O793" t="str">
            <v/>
          </cell>
          <cell r="P793" t="str">
            <v/>
          </cell>
          <cell r="Q793" t="str">
            <v/>
          </cell>
        </row>
        <row r="794">
          <cell r="N794" t="str">
            <v>82980</v>
          </cell>
          <cell r="O794" t="str">
            <v>YGO</v>
          </cell>
          <cell r="P794" t="str">
            <v>YGO82980</v>
          </cell>
          <cell r="Q794" t="str">
            <v/>
          </cell>
        </row>
        <row r="795">
          <cell r="N795" t="str">
            <v>829803</v>
          </cell>
          <cell r="O795" t="str">
            <v/>
          </cell>
          <cell r="P795" t="str">
            <v/>
          </cell>
          <cell r="Q795" t="str">
            <v/>
          </cell>
        </row>
        <row r="796">
          <cell r="N796" t="str">
            <v>829803</v>
          </cell>
          <cell r="O796" t="str">
            <v>YGO</v>
          </cell>
          <cell r="P796" t="str">
            <v>YGO829803</v>
          </cell>
          <cell r="Q796" t="str">
            <v/>
          </cell>
        </row>
        <row r="797"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</row>
        <row r="798">
          <cell r="N798" t="str">
            <v>71690</v>
          </cell>
          <cell r="O798" t="str">
            <v/>
          </cell>
          <cell r="P798" t="str">
            <v/>
          </cell>
          <cell r="Q798" t="str">
            <v/>
          </cell>
        </row>
        <row r="799">
          <cell r="N799" t="str">
            <v>71690</v>
          </cell>
          <cell r="O799" t="str">
            <v>MV1</v>
          </cell>
          <cell r="P799" t="str">
            <v>MV171690</v>
          </cell>
          <cell r="Q799" t="str">
            <v/>
          </cell>
        </row>
        <row r="800">
          <cell r="N800" t="str">
            <v>71690</v>
          </cell>
          <cell r="O800" t="str">
            <v>YGP</v>
          </cell>
          <cell r="P800" t="str">
            <v>YGP71690</v>
          </cell>
          <cell r="Q800" t="str">
            <v/>
          </cell>
        </row>
        <row r="801">
          <cell r="N801" t="str">
            <v>716900</v>
          </cell>
          <cell r="O801" t="str">
            <v/>
          </cell>
          <cell r="P801" t="str">
            <v/>
          </cell>
          <cell r="Q801" t="str">
            <v/>
          </cell>
        </row>
        <row r="802">
          <cell r="N802" t="str">
            <v>716900</v>
          </cell>
          <cell r="O802" t="str">
            <v>MV1</v>
          </cell>
          <cell r="P802" t="str">
            <v>MV1716900</v>
          </cell>
          <cell r="Q802" t="str">
            <v/>
          </cell>
        </row>
        <row r="803">
          <cell r="N803" t="str">
            <v>716900</v>
          </cell>
          <cell r="O803" t="str">
            <v>YGP</v>
          </cell>
          <cell r="P803" t="str">
            <v>YGP716900</v>
          </cell>
          <cell r="Q803" t="str">
            <v/>
          </cell>
        </row>
        <row r="804">
          <cell r="N804" t="str">
            <v>7169002</v>
          </cell>
          <cell r="O804" t="str">
            <v/>
          </cell>
          <cell r="P804" t="str">
            <v/>
          </cell>
          <cell r="Q804" t="str">
            <v>5151511</v>
          </cell>
        </row>
        <row r="805">
          <cell r="N805" t="str">
            <v>7169002</v>
          </cell>
          <cell r="O805" t="str">
            <v>MV1</v>
          </cell>
          <cell r="P805" t="str">
            <v>MV17169002</v>
          </cell>
          <cell r="Q805" t="str">
            <v>5151511</v>
          </cell>
        </row>
        <row r="806">
          <cell r="N806" t="str">
            <v>7169002</v>
          </cell>
          <cell r="O806" t="str">
            <v>YGP</v>
          </cell>
          <cell r="P806" t="str">
            <v>YGP7169002</v>
          </cell>
          <cell r="Q806" t="str">
            <v>5151511</v>
          </cell>
        </row>
        <row r="807">
          <cell r="N807" t="str">
            <v>7169009</v>
          </cell>
          <cell r="O807" t="str">
            <v/>
          </cell>
          <cell r="P807" t="str">
            <v/>
          </cell>
          <cell r="Q807" t="str">
            <v>4161599</v>
          </cell>
        </row>
        <row r="808">
          <cell r="N808" t="str">
            <v>7169009</v>
          </cell>
          <cell r="O808" t="str">
            <v>MV1</v>
          </cell>
          <cell r="P808" t="str">
            <v>MV17169009</v>
          </cell>
          <cell r="Q808" t="str">
            <v>4161599</v>
          </cell>
        </row>
        <row r="809">
          <cell r="N809" t="str">
            <v>7169009</v>
          </cell>
          <cell r="O809" t="str">
            <v>YGP</v>
          </cell>
          <cell r="P809" t="str">
            <v>YGP7169009</v>
          </cell>
          <cell r="Q809" t="str">
            <v>4161599</v>
          </cell>
        </row>
        <row r="810">
          <cell r="N810" t="str">
            <v>716902</v>
          </cell>
          <cell r="O810" t="str">
            <v/>
          </cell>
          <cell r="P810" t="str">
            <v/>
          </cell>
          <cell r="Q810" t="str">
            <v>4161599</v>
          </cell>
        </row>
        <row r="811">
          <cell r="N811" t="str">
            <v>716902</v>
          </cell>
          <cell r="O811" t="str">
            <v>YGP</v>
          </cell>
          <cell r="P811" t="str">
            <v>YGP716902</v>
          </cell>
          <cell r="Q811" t="str">
            <v>4161599</v>
          </cell>
        </row>
        <row r="812"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</row>
        <row r="813"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</row>
        <row r="814">
          <cell r="N814" t="str">
            <v>82590</v>
          </cell>
          <cell r="O814" t="str">
            <v/>
          </cell>
          <cell r="P814" t="str">
            <v/>
          </cell>
          <cell r="Q814" t="str">
            <v/>
          </cell>
        </row>
        <row r="815">
          <cell r="N815" t="str">
            <v>82590</v>
          </cell>
          <cell r="O815" t="str">
            <v>MV8</v>
          </cell>
          <cell r="P815" t="str">
            <v>MV882590</v>
          </cell>
          <cell r="Q815" t="str">
            <v/>
          </cell>
        </row>
        <row r="816">
          <cell r="N816" t="str">
            <v>82590</v>
          </cell>
          <cell r="O816" t="str">
            <v>MV9</v>
          </cell>
          <cell r="P816" t="str">
            <v>MV982590</v>
          </cell>
          <cell r="Q816" t="str">
            <v/>
          </cell>
        </row>
        <row r="817">
          <cell r="N817" t="str">
            <v>82590</v>
          </cell>
          <cell r="O817" t="str">
            <v>YEA</v>
          </cell>
          <cell r="P817" t="str">
            <v>YEA82590</v>
          </cell>
          <cell r="Q817" t="str">
            <v/>
          </cell>
        </row>
        <row r="818">
          <cell r="N818" t="str">
            <v>82590</v>
          </cell>
          <cell r="O818" t="str">
            <v>YG1</v>
          </cell>
          <cell r="P818" t="str">
            <v>YG182590</v>
          </cell>
          <cell r="Q818" t="str">
            <v/>
          </cell>
        </row>
        <row r="819">
          <cell r="N819" t="str">
            <v>825900</v>
          </cell>
          <cell r="O819" t="str">
            <v/>
          </cell>
          <cell r="P819" t="str">
            <v/>
          </cell>
          <cell r="Q819" t="str">
            <v/>
          </cell>
        </row>
        <row r="820">
          <cell r="N820" t="str">
            <v>825900</v>
          </cell>
          <cell r="O820" t="str">
            <v>MA1</v>
          </cell>
          <cell r="P820" t="str">
            <v>MA1825900</v>
          </cell>
          <cell r="Q820" t="str">
            <v/>
          </cell>
        </row>
        <row r="821">
          <cell r="N821" t="str">
            <v>825900</v>
          </cell>
          <cell r="O821" t="str">
            <v>MV8</v>
          </cell>
          <cell r="P821" t="str">
            <v>MV8825900</v>
          </cell>
          <cell r="Q821" t="str">
            <v/>
          </cell>
        </row>
        <row r="822">
          <cell r="N822" t="str">
            <v>825900</v>
          </cell>
          <cell r="O822" t="str">
            <v>MV9</v>
          </cell>
          <cell r="P822" t="str">
            <v>MV9825900</v>
          </cell>
          <cell r="Q822" t="str">
            <v/>
          </cell>
        </row>
        <row r="823">
          <cell r="N823" t="str">
            <v>825900</v>
          </cell>
          <cell r="O823" t="str">
            <v>YAW</v>
          </cell>
          <cell r="P823" t="str">
            <v>YAW825900</v>
          </cell>
          <cell r="Q823" t="str">
            <v/>
          </cell>
        </row>
        <row r="824">
          <cell r="N824" t="str">
            <v>825900</v>
          </cell>
          <cell r="O824" t="str">
            <v>YEA</v>
          </cell>
          <cell r="P824" t="str">
            <v>YEA825900</v>
          </cell>
          <cell r="Q824" t="str">
            <v/>
          </cell>
        </row>
        <row r="825">
          <cell r="N825" t="str">
            <v>82590021</v>
          </cell>
          <cell r="O825" t="str">
            <v/>
          </cell>
          <cell r="P825" t="str">
            <v/>
          </cell>
          <cell r="Q825" t="str">
            <v>5151511</v>
          </cell>
        </row>
        <row r="826">
          <cell r="N826" t="str">
            <v>82590021</v>
          </cell>
          <cell r="O826" t="str">
            <v>MA1</v>
          </cell>
          <cell r="P826" t="str">
            <v>MA182590021</v>
          </cell>
          <cell r="Q826" t="str">
            <v>5151511</v>
          </cell>
        </row>
        <row r="827">
          <cell r="N827" t="str">
            <v>82590021</v>
          </cell>
          <cell r="O827" t="str">
            <v>MV8</v>
          </cell>
          <cell r="P827" t="str">
            <v>MV882590021</v>
          </cell>
          <cell r="Q827" t="str">
            <v>5151511</v>
          </cell>
        </row>
        <row r="828">
          <cell r="N828" t="str">
            <v>82590021</v>
          </cell>
          <cell r="O828" t="str">
            <v>MV9</v>
          </cell>
          <cell r="P828" t="str">
            <v>MV982590021</v>
          </cell>
          <cell r="Q828" t="str">
            <v>5151511</v>
          </cell>
        </row>
        <row r="829">
          <cell r="N829" t="str">
            <v>82590021</v>
          </cell>
          <cell r="O829" t="str">
            <v>YAW</v>
          </cell>
          <cell r="P829" t="str">
            <v>YAW82590021</v>
          </cell>
          <cell r="Q829" t="str">
            <v>5151511</v>
          </cell>
        </row>
        <row r="830">
          <cell r="N830" t="str">
            <v>82590021</v>
          </cell>
          <cell r="O830" t="str">
            <v>YEA</v>
          </cell>
          <cell r="P830" t="str">
            <v>YEA82590021</v>
          </cell>
          <cell r="Q830" t="str">
            <v>5151511</v>
          </cell>
        </row>
        <row r="831">
          <cell r="N831" t="str">
            <v>8259004</v>
          </cell>
          <cell r="O831" t="str">
            <v/>
          </cell>
          <cell r="P831" t="str">
            <v/>
          </cell>
          <cell r="Q831" t="str">
            <v>5151512</v>
          </cell>
        </row>
        <row r="832">
          <cell r="N832" t="str">
            <v>8259004</v>
          </cell>
          <cell r="O832" t="str">
            <v>MV8</v>
          </cell>
          <cell r="P832" t="str">
            <v>MV88259004</v>
          </cell>
          <cell r="Q832" t="str">
            <v>5151512</v>
          </cell>
        </row>
        <row r="833">
          <cell r="N833" t="str">
            <v>8259009</v>
          </cell>
          <cell r="O833" t="str">
            <v/>
          </cell>
          <cell r="P833" t="str">
            <v/>
          </cell>
          <cell r="Q833" t="str">
            <v>5151512</v>
          </cell>
        </row>
        <row r="834">
          <cell r="N834" t="str">
            <v>8259009</v>
          </cell>
          <cell r="O834" t="str">
            <v>MA1</v>
          </cell>
          <cell r="P834" t="str">
            <v>MA18259009</v>
          </cell>
          <cell r="Q834" t="str">
            <v>5151512</v>
          </cell>
        </row>
        <row r="835">
          <cell r="N835" t="str">
            <v>8259009</v>
          </cell>
          <cell r="O835" t="str">
            <v>MV8</v>
          </cell>
          <cell r="P835" t="str">
            <v>MV88259009</v>
          </cell>
          <cell r="Q835" t="str">
            <v>5151512</v>
          </cell>
        </row>
        <row r="836">
          <cell r="N836" t="str">
            <v>8259009</v>
          </cell>
          <cell r="O836" t="str">
            <v>YEA</v>
          </cell>
          <cell r="P836" t="str">
            <v>YEA8259009</v>
          </cell>
          <cell r="Q836" t="str">
            <v>5151512</v>
          </cell>
        </row>
        <row r="837">
          <cell r="N837" t="str">
            <v>82980</v>
          </cell>
          <cell r="O837" t="str">
            <v/>
          </cell>
          <cell r="P837" t="str">
            <v/>
          </cell>
          <cell r="Q837" t="str">
            <v/>
          </cell>
        </row>
        <row r="838">
          <cell r="N838" t="str">
            <v>82980</v>
          </cell>
          <cell r="O838" t="str">
            <v>YG1</v>
          </cell>
          <cell r="P838" t="str">
            <v>YG182980</v>
          </cell>
          <cell r="Q838" t="str">
            <v/>
          </cell>
        </row>
        <row r="839">
          <cell r="N839" t="str">
            <v>829803</v>
          </cell>
          <cell r="O839" t="str">
            <v/>
          </cell>
          <cell r="P839" t="str">
            <v/>
          </cell>
          <cell r="Q839" t="str">
            <v/>
          </cell>
        </row>
        <row r="840">
          <cell r="N840" t="str">
            <v>829803</v>
          </cell>
          <cell r="O840" t="str">
            <v>YEA</v>
          </cell>
          <cell r="P840" t="str">
            <v>YEA829803</v>
          </cell>
          <cell r="Q840" t="str">
            <v/>
          </cell>
        </row>
        <row r="841">
          <cell r="N841" t="str">
            <v>829803</v>
          </cell>
          <cell r="O841" t="str">
            <v>YG1</v>
          </cell>
          <cell r="P841" t="str">
            <v>YG1829803</v>
          </cell>
          <cell r="Q841" t="str">
            <v/>
          </cell>
        </row>
        <row r="842">
          <cell r="N842" t="str">
            <v>8921</v>
          </cell>
          <cell r="O842" t="str">
            <v/>
          </cell>
          <cell r="P842" t="str">
            <v/>
          </cell>
          <cell r="Q842" t="str">
            <v>5151509</v>
          </cell>
        </row>
        <row r="843">
          <cell r="N843" t="str">
            <v>8921</v>
          </cell>
          <cell r="O843" t="str">
            <v>L01</v>
          </cell>
          <cell r="P843" t="str">
            <v>L018921</v>
          </cell>
          <cell r="Q843" t="str">
            <v>5151509</v>
          </cell>
        </row>
        <row r="844"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</row>
        <row r="845">
          <cell r="N845" t="str">
            <v>71690</v>
          </cell>
          <cell r="O845" t="str">
            <v/>
          </cell>
          <cell r="P845" t="str">
            <v/>
          </cell>
          <cell r="Q845" t="str">
            <v/>
          </cell>
        </row>
        <row r="846">
          <cell r="N846" t="str">
            <v>71690</v>
          </cell>
          <cell r="O846" t="str">
            <v>MV7</v>
          </cell>
          <cell r="P846" t="str">
            <v>MV771690</v>
          </cell>
          <cell r="Q846" t="str">
            <v/>
          </cell>
        </row>
        <row r="847">
          <cell r="N847" t="str">
            <v>71690</v>
          </cell>
          <cell r="O847" t="str">
            <v>YA2</v>
          </cell>
          <cell r="P847" t="str">
            <v>YA271690</v>
          </cell>
          <cell r="Q847" t="str">
            <v/>
          </cell>
        </row>
        <row r="848">
          <cell r="N848" t="str">
            <v>71690</v>
          </cell>
          <cell r="O848" t="str">
            <v>YEB</v>
          </cell>
          <cell r="P848" t="str">
            <v>YEB71690</v>
          </cell>
          <cell r="Q848" t="str">
            <v/>
          </cell>
        </row>
        <row r="849">
          <cell r="N849" t="str">
            <v>71690</v>
          </cell>
          <cell r="O849" t="str">
            <v>YG2</v>
          </cell>
          <cell r="P849" t="str">
            <v>YG271690</v>
          </cell>
          <cell r="Q849" t="str">
            <v/>
          </cell>
        </row>
        <row r="850">
          <cell r="N850" t="str">
            <v>716900</v>
          </cell>
          <cell r="O850" t="str">
            <v/>
          </cell>
          <cell r="P850" t="str">
            <v/>
          </cell>
          <cell r="Q850" t="str">
            <v/>
          </cell>
        </row>
        <row r="851">
          <cell r="N851" t="str">
            <v>716900</v>
          </cell>
          <cell r="O851" t="str">
            <v>!MF</v>
          </cell>
          <cell r="P851" t="str">
            <v>!MF716900</v>
          </cell>
          <cell r="Q851" t="str">
            <v/>
          </cell>
        </row>
        <row r="852">
          <cell r="N852" t="str">
            <v>716900</v>
          </cell>
          <cell r="O852" t="str">
            <v>MV7</v>
          </cell>
          <cell r="P852" t="str">
            <v>MV7716900</v>
          </cell>
          <cell r="Q852" t="str">
            <v/>
          </cell>
        </row>
        <row r="853">
          <cell r="N853" t="str">
            <v>716900</v>
          </cell>
          <cell r="O853" t="str">
            <v>YA2</v>
          </cell>
          <cell r="P853" t="str">
            <v>YA2716900</v>
          </cell>
          <cell r="Q853" t="str">
            <v/>
          </cell>
        </row>
        <row r="854">
          <cell r="N854" t="str">
            <v>716900</v>
          </cell>
          <cell r="O854" t="str">
            <v>YEB</v>
          </cell>
          <cell r="P854" t="str">
            <v>YEB716900</v>
          </cell>
          <cell r="Q854" t="str">
            <v/>
          </cell>
        </row>
        <row r="855">
          <cell r="N855" t="str">
            <v>7169002</v>
          </cell>
          <cell r="O855" t="str">
            <v/>
          </cell>
          <cell r="P855" t="str">
            <v/>
          </cell>
          <cell r="Q855" t="str">
            <v>5151511</v>
          </cell>
        </row>
        <row r="856">
          <cell r="N856" t="str">
            <v>7169002</v>
          </cell>
          <cell r="O856" t="str">
            <v>!MF</v>
          </cell>
          <cell r="P856" t="str">
            <v>!MF7169002</v>
          </cell>
          <cell r="Q856" t="str">
            <v>5151511</v>
          </cell>
        </row>
        <row r="857">
          <cell r="N857" t="str">
            <v>7169002</v>
          </cell>
          <cell r="O857" t="str">
            <v>MV7</v>
          </cell>
          <cell r="P857" t="str">
            <v>MV77169002</v>
          </cell>
          <cell r="Q857" t="str">
            <v>5151511</v>
          </cell>
        </row>
        <row r="858">
          <cell r="N858" t="str">
            <v>7169002</v>
          </cell>
          <cell r="O858" t="str">
            <v>YA2</v>
          </cell>
          <cell r="P858" t="str">
            <v>YA27169002</v>
          </cell>
          <cell r="Q858" t="str">
            <v>5151511</v>
          </cell>
        </row>
        <row r="859">
          <cell r="N859" t="str">
            <v>7169002</v>
          </cell>
          <cell r="O859" t="str">
            <v>YEB</v>
          </cell>
          <cell r="P859" t="str">
            <v>YEB7169002</v>
          </cell>
          <cell r="Q859" t="str">
            <v>5151511</v>
          </cell>
        </row>
        <row r="860">
          <cell r="N860" t="str">
            <v>7169009</v>
          </cell>
          <cell r="O860" t="str">
            <v/>
          </cell>
          <cell r="P860" t="str">
            <v/>
          </cell>
          <cell r="Q860" t="str">
            <v>4161599</v>
          </cell>
        </row>
        <row r="861">
          <cell r="N861" t="str">
            <v>7169009</v>
          </cell>
          <cell r="O861" t="str">
            <v>MV7</v>
          </cell>
          <cell r="P861" t="str">
            <v>MV77169009</v>
          </cell>
          <cell r="Q861" t="str">
            <v>4161599</v>
          </cell>
        </row>
        <row r="862">
          <cell r="N862" t="str">
            <v>7169009</v>
          </cell>
          <cell r="O862" t="str">
            <v>YEB</v>
          </cell>
          <cell r="P862" t="str">
            <v>YEB7169009</v>
          </cell>
          <cell r="Q862" t="str">
            <v>4161599</v>
          </cell>
        </row>
        <row r="863">
          <cell r="N863" t="str">
            <v>716902</v>
          </cell>
          <cell r="O863" t="str">
            <v/>
          </cell>
          <cell r="P863" t="str">
            <v/>
          </cell>
          <cell r="Q863" t="str">
            <v>4161599</v>
          </cell>
        </row>
        <row r="864">
          <cell r="N864" t="str">
            <v>716902</v>
          </cell>
          <cell r="O864" t="str">
            <v>YEB</v>
          </cell>
          <cell r="P864" t="str">
            <v>YEB716902</v>
          </cell>
          <cell r="Q864" t="str">
            <v>4161599</v>
          </cell>
        </row>
        <row r="865">
          <cell r="N865" t="str">
            <v>716902</v>
          </cell>
          <cell r="O865" t="str">
            <v>YG2</v>
          </cell>
          <cell r="P865" t="str">
            <v>YG2716902</v>
          </cell>
          <cell r="Q865" t="str">
            <v>4161599</v>
          </cell>
        </row>
        <row r="866">
          <cell r="N866" t="str">
            <v>71697</v>
          </cell>
          <cell r="O866" t="str">
            <v/>
          </cell>
          <cell r="P866" t="str">
            <v/>
          </cell>
          <cell r="Q866" t="str">
            <v>4161599</v>
          </cell>
        </row>
        <row r="867">
          <cell r="N867" t="str">
            <v>71697</v>
          </cell>
          <cell r="O867" t="str">
            <v>ONL</v>
          </cell>
          <cell r="P867" t="str">
            <v>ONL71697</v>
          </cell>
          <cell r="Q867" t="str">
            <v>4161599</v>
          </cell>
        </row>
        <row r="868">
          <cell r="N868" t="str">
            <v>71697</v>
          </cell>
          <cell r="O868" t="str">
            <v>REG</v>
          </cell>
          <cell r="P868" t="str">
            <v>REG71697</v>
          </cell>
          <cell r="Q868" t="str">
            <v>4161599</v>
          </cell>
        </row>
        <row r="869">
          <cell r="N869" t="str">
            <v>71697</v>
          </cell>
          <cell r="O869" t="str">
            <v>YAD</v>
          </cell>
          <cell r="P869" t="str">
            <v>YAD71697</v>
          </cell>
          <cell r="Q869" t="str">
            <v>4161599</v>
          </cell>
        </row>
        <row r="870">
          <cell r="N870" t="str">
            <v>71906</v>
          </cell>
          <cell r="O870" t="str">
            <v/>
          </cell>
          <cell r="P870" t="str">
            <v/>
          </cell>
          <cell r="Q870" t="str">
            <v/>
          </cell>
        </row>
        <row r="871">
          <cell r="N871" t="str">
            <v>71906</v>
          </cell>
          <cell r="O871" t="str">
            <v>YA2</v>
          </cell>
          <cell r="P871" t="str">
            <v>YA271906</v>
          </cell>
          <cell r="Q871" t="str">
            <v/>
          </cell>
        </row>
        <row r="872">
          <cell r="N872" t="str">
            <v>71906</v>
          </cell>
          <cell r="O872" t="str">
            <v>YEB</v>
          </cell>
          <cell r="P872" t="str">
            <v>YEB71906</v>
          </cell>
          <cell r="Q872" t="str">
            <v/>
          </cell>
        </row>
        <row r="873"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</row>
        <row r="874">
          <cell r="N874" t="str">
            <v>716902</v>
          </cell>
          <cell r="O874" t="str">
            <v/>
          </cell>
          <cell r="P874" t="str">
            <v/>
          </cell>
          <cell r="Q874" t="str">
            <v>4161599</v>
          </cell>
        </row>
        <row r="875">
          <cell r="N875" t="str">
            <v>716902</v>
          </cell>
          <cell r="O875" t="str">
            <v>LO1</v>
          </cell>
          <cell r="P875" t="str">
            <v>LO1716902</v>
          </cell>
          <cell r="Q875" t="str">
            <v>4161599</v>
          </cell>
        </row>
        <row r="876">
          <cell r="N876" t="str">
            <v>716902</v>
          </cell>
          <cell r="O876" t="str">
            <v>LRA</v>
          </cell>
          <cell r="P876" t="str">
            <v>LRA716902</v>
          </cell>
          <cell r="Q876" t="str">
            <v>4161599</v>
          </cell>
        </row>
        <row r="877">
          <cell r="N877" t="str">
            <v>716902</v>
          </cell>
          <cell r="O877" t="str">
            <v>REG</v>
          </cell>
          <cell r="P877" t="str">
            <v>REG716902</v>
          </cell>
          <cell r="Q877" t="str">
            <v>4161599</v>
          </cell>
        </row>
        <row r="878">
          <cell r="N878" t="str">
            <v>716902</v>
          </cell>
          <cell r="O878" t="str">
            <v>RM9</v>
          </cell>
          <cell r="P878" t="str">
            <v>RM9716902</v>
          </cell>
          <cell r="Q878" t="str">
            <v>4161599</v>
          </cell>
        </row>
        <row r="879">
          <cell r="N879" t="str">
            <v>716902</v>
          </cell>
          <cell r="O879" t="str">
            <v>111</v>
          </cell>
          <cell r="P879" t="str">
            <v>111716902</v>
          </cell>
          <cell r="Q879" t="str">
            <v>4161599</v>
          </cell>
        </row>
        <row r="880">
          <cell r="N880" t="str">
            <v>825901</v>
          </cell>
          <cell r="O880" t="str">
            <v/>
          </cell>
          <cell r="P880" t="str">
            <v/>
          </cell>
          <cell r="Q880" t="str">
            <v>5151512</v>
          </cell>
        </row>
        <row r="881">
          <cell r="N881" t="str">
            <v>825901</v>
          </cell>
          <cell r="O881" t="str">
            <v>MRH</v>
          </cell>
          <cell r="P881" t="str">
            <v>MRH825901</v>
          </cell>
          <cell r="Q881" t="str">
            <v>5151512</v>
          </cell>
        </row>
        <row r="882">
          <cell r="N882" t="str">
            <v>829803</v>
          </cell>
          <cell r="O882" t="str">
            <v/>
          </cell>
          <cell r="P882" t="str">
            <v/>
          </cell>
          <cell r="Q882" t="str">
            <v/>
          </cell>
        </row>
        <row r="883">
          <cell r="N883" t="str">
            <v>829803</v>
          </cell>
          <cell r="O883" t="str">
            <v>ONL</v>
          </cell>
          <cell r="P883" t="str">
            <v>ONL829803</v>
          </cell>
          <cell r="Q883" t="str">
            <v/>
          </cell>
        </row>
        <row r="884">
          <cell r="N884" t="str">
            <v/>
          </cell>
          <cell r="O884" t="str">
            <v/>
          </cell>
          <cell r="P884" t="str">
            <v/>
          </cell>
          <cell r="Q884" t="str">
            <v/>
          </cell>
        </row>
        <row r="885">
          <cell r="N885" t="str">
            <v/>
          </cell>
          <cell r="O885" t="str">
            <v/>
          </cell>
          <cell r="P885" t="str">
            <v/>
          </cell>
          <cell r="Q885" t="str">
            <v/>
          </cell>
        </row>
        <row r="886">
          <cell r="N886" t="str">
            <v>71690</v>
          </cell>
          <cell r="O886" t="str">
            <v/>
          </cell>
          <cell r="P886" t="str">
            <v/>
          </cell>
          <cell r="Q886" t="str">
            <v/>
          </cell>
        </row>
        <row r="887">
          <cell r="N887" t="str">
            <v>71690</v>
          </cell>
          <cell r="O887" t="str">
            <v>YA3</v>
          </cell>
          <cell r="P887" t="str">
            <v>YA371690</v>
          </cell>
          <cell r="Q887" t="str">
            <v/>
          </cell>
        </row>
        <row r="888">
          <cell r="N888" t="str">
            <v>71690</v>
          </cell>
          <cell r="O888" t="str">
            <v>YA4</v>
          </cell>
          <cell r="P888" t="str">
            <v>YA471690</v>
          </cell>
          <cell r="Q888" t="str">
            <v/>
          </cell>
        </row>
        <row r="889">
          <cell r="N889" t="str">
            <v>71690</v>
          </cell>
          <cell r="O889" t="str">
            <v>YDD</v>
          </cell>
          <cell r="P889" t="str">
            <v>YDD71690</v>
          </cell>
          <cell r="Q889" t="str">
            <v/>
          </cell>
        </row>
        <row r="890">
          <cell r="N890" t="str">
            <v>71690</v>
          </cell>
          <cell r="O890" t="str">
            <v>YDG</v>
          </cell>
          <cell r="P890" t="str">
            <v>YDG71690</v>
          </cell>
          <cell r="Q890" t="str">
            <v/>
          </cell>
        </row>
        <row r="891">
          <cell r="N891" t="str">
            <v>71690</v>
          </cell>
          <cell r="O891" t="str">
            <v>YDH</v>
          </cell>
          <cell r="P891" t="str">
            <v>YDH71690</v>
          </cell>
          <cell r="Q891" t="str">
            <v/>
          </cell>
        </row>
        <row r="892">
          <cell r="N892" t="str">
            <v>71690</v>
          </cell>
          <cell r="O892" t="str">
            <v>YDP</v>
          </cell>
          <cell r="P892" t="str">
            <v>YDP71690</v>
          </cell>
          <cell r="Q892" t="str">
            <v/>
          </cell>
        </row>
        <row r="893">
          <cell r="N893" t="str">
            <v>71690</v>
          </cell>
          <cell r="O893" t="str">
            <v>YDQ</v>
          </cell>
          <cell r="P893" t="str">
            <v>YDQ71690</v>
          </cell>
          <cell r="Q893" t="str">
            <v/>
          </cell>
        </row>
        <row r="894">
          <cell r="N894" t="str">
            <v>71690</v>
          </cell>
          <cell r="O894" t="str">
            <v>YDV</v>
          </cell>
          <cell r="P894" t="str">
            <v>YDV71690</v>
          </cell>
          <cell r="Q894" t="str">
            <v/>
          </cell>
        </row>
        <row r="895">
          <cell r="N895" t="str">
            <v>71690</v>
          </cell>
          <cell r="O895" t="str">
            <v>YDX</v>
          </cell>
          <cell r="P895" t="str">
            <v>YDX71690</v>
          </cell>
          <cell r="Q895" t="str">
            <v/>
          </cell>
        </row>
        <row r="896">
          <cell r="N896" t="str">
            <v>71690</v>
          </cell>
          <cell r="O896" t="str">
            <v>YG3</v>
          </cell>
          <cell r="P896" t="str">
            <v>YG371690</v>
          </cell>
          <cell r="Q896" t="str">
            <v/>
          </cell>
        </row>
        <row r="897">
          <cell r="N897" t="str">
            <v>716900</v>
          </cell>
          <cell r="O897" t="str">
            <v/>
          </cell>
          <cell r="P897" t="str">
            <v/>
          </cell>
          <cell r="Q897" t="str">
            <v/>
          </cell>
        </row>
        <row r="898">
          <cell r="N898" t="str">
            <v>716900</v>
          </cell>
          <cell r="O898" t="str">
            <v>YA3</v>
          </cell>
          <cell r="P898" t="str">
            <v>YA3716900</v>
          </cell>
          <cell r="Q898" t="str">
            <v/>
          </cell>
        </row>
        <row r="899">
          <cell r="N899" t="str">
            <v>716900</v>
          </cell>
          <cell r="O899" t="str">
            <v>YA4</v>
          </cell>
          <cell r="P899" t="str">
            <v>YA4716900</v>
          </cell>
          <cell r="Q899" t="str">
            <v/>
          </cell>
        </row>
        <row r="900">
          <cell r="N900" t="str">
            <v>716900</v>
          </cell>
          <cell r="O900" t="str">
            <v>YDD</v>
          </cell>
          <cell r="P900" t="str">
            <v>YDD716900</v>
          </cell>
          <cell r="Q900" t="str">
            <v/>
          </cell>
        </row>
        <row r="901">
          <cell r="N901" t="str">
            <v>716900</v>
          </cell>
          <cell r="O901" t="str">
            <v>YDG</v>
          </cell>
          <cell r="P901" t="str">
            <v>YDG716900</v>
          </cell>
          <cell r="Q901" t="str">
            <v/>
          </cell>
        </row>
        <row r="902">
          <cell r="N902" t="str">
            <v>716900</v>
          </cell>
          <cell r="O902" t="str">
            <v>YDP</v>
          </cell>
          <cell r="P902" t="str">
            <v>YDP716900</v>
          </cell>
          <cell r="Q902" t="str">
            <v/>
          </cell>
        </row>
        <row r="903">
          <cell r="N903" t="str">
            <v>716900</v>
          </cell>
          <cell r="O903" t="str">
            <v>YDQ</v>
          </cell>
          <cell r="P903" t="str">
            <v>YDQ716900</v>
          </cell>
          <cell r="Q903" t="str">
            <v/>
          </cell>
        </row>
        <row r="904">
          <cell r="N904" t="str">
            <v>716900</v>
          </cell>
          <cell r="O904" t="str">
            <v>YDV</v>
          </cell>
          <cell r="P904" t="str">
            <v>YDV716900</v>
          </cell>
          <cell r="Q904" t="str">
            <v/>
          </cell>
        </row>
        <row r="905">
          <cell r="N905" t="str">
            <v>716900</v>
          </cell>
          <cell r="O905" t="str">
            <v>YG3</v>
          </cell>
          <cell r="P905" t="str">
            <v>YG3716900</v>
          </cell>
          <cell r="Q905" t="str">
            <v/>
          </cell>
        </row>
        <row r="906">
          <cell r="N906" t="str">
            <v>7169002</v>
          </cell>
          <cell r="O906" t="str">
            <v/>
          </cell>
          <cell r="P906" t="str">
            <v/>
          </cell>
          <cell r="Q906" t="str">
            <v>5151511</v>
          </cell>
        </row>
        <row r="907">
          <cell r="N907" t="str">
            <v>7169002</v>
          </cell>
          <cell r="O907" t="str">
            <v>YDD</v>
          </cell>
          <cell r="P907" t="str">
            <v>YDD7169002</v>
          </cell>
          <cell r="Q907" t="str">
            <v>5151511</v>
          </cell>
        </row>
        <row r="908">
          <cell r="N908" t="str">
            <v>7169002</v>
          </cell>
          <cell r="O908" t="str">
            <v>YDG</v>
          </cell>
          <cell r="P908" t="str">
            <v>YDG7169002</v>
          </cell>
          <cell r="Q908" t="str">
            <v>5151511</v>
          </cell>
        </row>
        <row r="909">
          <cell r="N909" t="str">
            <v>7169002</v>
          </cell>
          <cell r="O909" t="str">
            <v>YDP</v>
          </cell>
          <cell r="P909" t="str">
            <v>YDP7169002</v>
          </cell>
          <cell r="Q909" t="str">
            <v>5151511</v>
          </cell>
        </row>
        <row r="910">
          <cell r="N910" t="str">
            <v>7169002</v>
          </cell>
          <cell r="O910" t="str">
            <v>YDQ</v>
          </cell>
          <cell r="P910" t="str">
            <v>YDQ7169002</v>
          </cell>
          <cell r="Q910" t="str">
            <v>5151511</v>
          </cell>
        </row>
        <row r="911">
          <cell r="N911" t="str">
            <v>7169002</v>
          </cell>
          <cell r="O911" t="str">
            <v>YDV</v>
          </cell>
          <cell r="P911" t="str">
            <v>YDV7169002</v>
          </cell>
          <cell r="Q911" t="str">
            <v>5151511</v>
          </cell>
        </row>
        <row r="912">
          <cell r="N912" t="str">
            <v>7169002</v>
          </cell>
          <cell r="O912" t="str">
            <v>YG3</v>
          </cell>
          <cell r="P912" t="str">
            <v>YG37169002</v>
          </cell>
          <cell r="Q912" t="str">
            <v>5151511</v>
          </cell>
        </row>
        <row r="913">
          <cell r="N913" t="str">
            <v>7169002</v>
          </cell>
          <cell r="O913" t="str">
            <v>111</v>
          </cell>
          <cell r="P913" t="str">
            <v>1117169002</v>
          </cell>
          <cell r="Q913" t="str">
            <v>5151511</v>
          </cell>
        </row>
        <row r="914">
          <cell r="N914" t="str">
            <v>7169009</v>
          </cell>
          <cell r="O914" t="str">
            <v/>
          </cell>
          <cell r="P914" t="str">
            <v/>
          </cell>
          <cell r="Q914" t="str">
            <v>4161599</v>
          </cell>
        </row>
        <row r="915">
          <cell r="N915" t="str">
            <v>7169009</v>
          </cell>
          <cell r="O915" t="str">
            <v>YA3</v>
          </cell>
          <cell r="P915" t="str">
            <v>YA37169009</v>
          </cell>
          <cell r="Q915" t="str">
            <v>4161599</v>
          </cell>
        </row>
        <row r="916">
          <cell r="N916" t="str">
            <v>7169009</v>
          </cell>
          <cell r="O916" t="str">
            <v>YA4</v>
          </cell>
          <cell r="P916" t="str">
            <v>YA47169009</v>
          </cell>
          <cell r="Q916" t="str">
            <v>4161599</v>
          </cell>
        </row>
        <row r="917">
          <cell r="N917" t="str">
            <v>7169009</v>
          </cell>
          <cell r="O917" t="str">
            <v>YDD</v>
          </cell>
          <cell r="P917" t="str">
            <v>YDD7169009</v>
          </cell>
          <cell r="Q917" t="str">
            <v>4161599</v>
          </cell>
        </row>
        <row r="918">
          <cell r="N918" t="str">
            <v>7169009</v>
          </cell>
          <cell r="O918" t="str">
            <v>YDG</v>
          </cell>
          <cell r="P918" t="str">
            <v>YDG7169009</v>
          </cell>
          <cell r="Q918" t="str">
            <v>4161599</v>
          </cell>
        </row>
        <row r="919">
          <cell r="N919" t="str">
            <v>7169009</v>
          </cell>
          <cell r="O919" t="str">
            <v>YDP</v>
          </cell>
          <cell r="P919" t="str">
            <v>YDP7169009</v>
          </cell>
          <cell r="Q919" t="str">
            <v>4161599</v>
          </cell>
        </row>
        <row r="920">
          <cell r="N920" t="str">
            <v>7169009</v>
          </cell>
          <cell r="O920" t="str">
            <v>YDQ</v>
          </cell>
          <cell r="P920" t="str">
            <v>YDQ7169009</v>
          </cell>
          <cell r="Q920" t="str">
            <v>4161599</v>
          </cell>
        </row>
        <row r="921">
          <cell r="N921" t="str">
            <v>7169009</v>
          </cell>
          <cell r="O921" t="str">
            <v>YDV</v>
          </cell>
          <cell r="P921" t="str">
            <v>YDV7169009</v>
          </cell>
          <cell r="Q921" t="str">
            <v>4161599</v>
          </cell>
        </row>
        <row r="922">
          <cell r="N922" t="str">
            <v>7169009</v>
          </cell>
          <cell r="O922" t="str">
            <v>YG3</v>
          </cell>
          <cell r="P922" t="str">
            <v>YG37169009</v>
          </cell>
          <cell r="Q922" t="str">
            <v>4161599</v>
          </cell>
        </row>
        <row r="923">
          <cell r="N923" t="str">
            <v>71906</v>
          </cell>
          <cell r="O923" t="str">
            <v/>
          </cell>
          <cell r="P923" t="str">
            <v/>
          </cell>
          <cell r="Q923" t="str">
            <v/>
          </cell>
        </row>
        <row r="924">
          <cell r="N924" t="str">
            <v>71906</v>
          </cell>
          <cell r="O924" t="str">
            <v>YDD</v>
          </cell>
          <cell r="P924" t="str">
            <v>YDD71906</v>
          </cell>
          <cell r="Q924" t="str">
            <v/>
          </cell>
        </row>
        <row r="925">
          <cell r="N925" t="str">
            <v>71906</v>
          </cell>
          <cell r="O925" t="str">
            <v>YDG</v>
          </cell>
          <cell r="P925" t="str">
            <v>YDG71906</v>
          </cell>
          <cell r="Q925" t="str">
            <v/>
          </cell>
        </row>
        <row r="926">
          <cell r="N926" t="str">
            <v>71906</v>
          </cell>
          <cell r="O926" t="str">
            <v>YDH</v>
          </cell>
          <cell r="P926" t="str">
            <v>YDH71906</v>
          </cell>
          <cell r="Q926" t="str">
            <v/>
          </cell>
        </row>
        <row r="927">
          <cell r="N927" t="str">
            <v>71906</v>
          </cell>
          <cell r="O927" t="str">
            <v>YDP</v>
          </cell>
          <cell r="P927" t="str">
            <v>YDP71906</v>
          </cell>
          <cell r="Q927" t="str">
            <v/>
          </cell>
        </row>
        <row r="928">
          <cell r="N928" t="str">
            <v>71906</v>
          </cell>
          <cell r="O928" t="str">
            <v>YDQ</v>
          </cell>
          <cell r="P928" t="str">
            <v>YDQ71906</v>
          </cell>
          <cell r="Q928" t="str">
            <v/>
          </cell>
        </row>
        <row r="929">
          <cell r="N929" t="str">
            <v>71906</v>
          </cell>
          <cell r="O929" t="str">
            <v>YDV</v>
          </cell>
          <cell r="P929" t="str">
            <v>YDV71906</v>
          </cell>
          <cell r="Q929" t="str">
            <v/>
          </cell>
        </row>
        <row r="930">
          <cell r="N930" t="str">
            <v>77940</v>
          </cell>
          <cell r="O930" t="str">
            <v/>
          </cell>
          <cell r="P930" t="str">
            <v/>
          </cell>
          <cell r="Q930" t="str">
            <v>4161599</v>
          </cell>
        </row>
        <row r="931">
          <cell r="N931" t="str">
            <v>77940</v>
          </cell>
          <cell r="O931" t="str">
            <v>CHB</v>
          </cell>
          <cell r="P931" t="str">
            <v>CHB77940</v>
          </cell>
          <cell r="Q931" t="str">
            <v>4161599</v>
          </cell>
        </row>
        <row r="932">
          <cell r="N932" t="str">
            <v>77940</v>
          </cell>
          <cell r="O932" t="str">
            <v>LO1</v>
          </cell>
          <cell r="P932" t="str">
            <v>LO177940</v>
          </cell>
          <cell r="Q932" t="str">
            <v>4161599</v>
          </cell>
        </row>
        <row r="933">
          <cell r="N933" t="str">
            <v>77940</v>
          </cell>
          <cell r="O933" t="str">
            <v>L01</v>
          </cell>
          <cell r="P933" t="str">
            <v>L0177940</v>
          </cell>
          <cell r="Q933" t="str">
            <v>4161599</v>
          </cell>
        </row>
        <row r="934">
          <cell r="N934" t="str">
            <v>77940</v>
          </cell>
          <cell r="O934" t="str">
            <v>S8Y</v>
          </cell>
          <cell r="P934" t="str">
            <v>S8Y77940</v>
          </cell>
          <cell r="Q934" t="str">
            <v>4161599</v>
          </cell>
        </row>
        <row r="935">
          <cell r="N935" t="str">
            <v>77940</v>
          </cell>
          <cell r="O935" t="str">
            <v>YHQ</v>
          </cell>
          <cell r="P935" t="str">
            <v>YHQ77940</v>
          </cell>
          <cell r="Q935" t="str">
            <v>4161599</v>
          </cell>
        </row>
        <row r="936">
          <cell r="N936" t="str">
            <v>779400</v>
          </cell>
          <cell r="O936" t="str">
            <v/>
          </cell>
          <cell r="P936" t="str">
            <v/>
          </cell>
          <cell r="Q936" t="str">
            <v/>
          </cell>
        </row>
        <row r="937">
          <cell r="N937" t="str">
            <v>779400</v>
          </cell>
          <cell r="O937" t="str">
            <v>S8Y</v>
          </cell>
          <cell r="P937" t="str">
            <v>S8Y779400</v>
          </cell>
          <cell r="Q937" t="str">
            <v/>
          </cell>
        </row>
        <row r="938">
          <cell r="N938" t="str">
            <v>779409</v>
          </cell>
          <cell r="O938" t="str">
            <v/>
          </cell>
          <cell r="P938" t="str">
            <v/>
          </cell>
          <cell r="Q938" t="str">
            <v/>
          </cell>
        </row>
        <row r="939">
          <cell r="N939" t="str">
            <v>779409</v>
          </cell>
          <cell r="O939" t="str">
            <v>S8Y</v>
          </cell>
          <cell r="P939" t="str">
            <v>S8Y779409</v>
          </cell>
          <cell r="Q939" t="str">
            <v/>
          </cell>
        </row>
        <row r="940">
          <cell r="N940" t="str">
            <v>77941</v>
          </cell>
          <cell r="O940" t="str">
            <v/>
          </cell>
          <cell r="P940" t="str">
            <v/>
          </cell>
          <cell r="Q940" t="str">
            <v/>
          </cell>
        </row>
        <row r="941">
          <cell r="N941" t="str">
            <v>77941</v>
          </cell>
          <cell r="O941" t="str">
            <v>YHQ</v>
          </cell>
          <cell r="P941" t="str">
            <v>YHQ77941</v>
          </cell>
          <cell r="Q941" t="str">
            <v/>
          </cell>
        </row>
        <row r="942">
          <cell r="N942" t="str">
            <v>82519</v>
          </cell>
          <cell r="O942" t="str">
            <v/>
          </cell>
          <cell r="P942" t="str">
            <v/>
          </cell>
          <cell r="Q942" t="str">
            <v/>
          </cell>
        </row>
        <row r="943">
          <cell r="N943" t="str">
            <v>82519</v>
          </cell>
          <cell r="O943" t="str">
            <v>YCY</v>
          </cell>
          <cell r="P943" t="str">
            <v>YCY82519</v>
          </cell>
          <cell r="Q943" t="str">
            <v/>
          </cell>
        </row>
        <row r="944">
          <cell r="N944" t="str">
            <v>82590</v>
          </cell>
          <cell r="O944" t="str">
            <v/>
          </cell>
          <cell r="P944" t="str">
            <v/>
          </cell>
          <cell r="Q944" t="str">
            <v/>
          </cell>
        </row>
        <row r="945">
          <cell r="N945" t="str">
            <v>82590</v>
          </cell>
          <cell r="O945" t="str">
            <v>YCY</v>
          </cell>
          <cell r="P945" t="str">
            <v>YCY82590</v>
          </cell>
          <cell r="Q945" t="str">
            <v/>
          </cell>
        </row>
        <row r="946">
          <cell r="N946" t="str">
            <v>82590</v>
          </cell>
          <cell r="O946" t="str">
            <v>YG3</v>
          </cell>
          <cell r="P946" t="str">
            <v>YG382590</v>
          </cell>
          <cell r="Q946" t="str">
            <v/>
          </cell>
        </row>
        <row r="947">
          <cell r="N947" t="str">
            <v>825900</v>
          </cell>
          <cell r="O947" t="str">
            <v/>
          </cell>
          <cell r="P947" t="str">
            <v/>
          </cell>
          <cell r="Q947" t="str">
            <v/>
          </cell>
        </row>
        <row r="948">
          <cell r="N948" t="str">
            <v>825900</v>
          </cell>
          <cell r="O948" t="str">
            <v>YCY</v>
          </cell>
          <cell r="P948" t="str">
            <v>YCY825900</v>
          </cell>
          <cell r="Q948" t="str">
            <v/>
          </cell>
        </row>
        <row r="949">
          <cell r="N949" t="str">
            <v>825900</v>
          </cell>
          <cell r="O949" t="str">
            <v>YG3</v>
          </cell>
          <cell r="P949" t="str">
            <v>YG3825900</v>
          </cell>
          <cell r="Q949" t="str">
            <v/>
          </cell>
        </row>
        <row r="950">
          <cell r="N950" t="str">
            <v>825900</v>
          </cell>
          <cell r="O950" t="str">
            <v>YRM</v>
          </cell>
          <cell r="P950" t="str">
            <v>YRM825900</v>
          </cell>
          <cell r="Q950" t="str">
            <v/>
          </cell>
        </row>
        <row r="951">
          <cell r="N951" t="str">
            <v>82590021</v>
          </cell>
          <cell r="O951" t="str">
            <v/>
          </cell>
          <cell r="P951" t="str">
            <v/>
          </cell>
          <cell r="Q951" t="str">
            <v>5151511</v>
          </cell>
        </row>
        <row r="952">
          <cell r="N952" t="str">
            <v>82590021</v>
          </cell>
          <cell r="O952" t="str">
            <v>YCY</v>
          </cell>
          <cell r="P952" t="str">
            <v>YCY82590021</v>
          </cell>
          <cell r="Q952" t="str">
            <v>5151511</v>
          </cell>
        </row>
        <row r="953">
          <cell r="N953" t="str">
            <v>82590021</v>
          </cell>
          <cell r="O953" t="str">
            <v>YG3</v>
          </cell>
          <cell r="P953" t="str">
            <v>YG382590021</v>
          </cell>
          <cell r="Q953" t="str">
            <v>5151511</v>
          </cell>
        </row>
        <row r="954">
          <cell r="N954" t="str">
            <v>82590021</v>
          </cell>
          <cell r="O954" t="str">
            <v>YRM</v>
          </cell>
          <cell r="P954" t="str">
            <v>YRM82590021</v>
          </cell>
          <cell r="Q954" t="str">
            <v>5151511</v>
          </cell>
        </row>
        <row r="955">
          <cell r="N955" t="str">
            <v>82590021</v>
          </cell>
          <cell r="O955" t="str">
            <v>111</v>
          </cell>
          <cell r="P955" t="str">
            <v>11182590021</v>
          </cell>
          <cell r="Q955" t="str">
            <v>5151511</v>
          </cell>
        </row>
        <row r="956">
          <cell r="N956" t="str">
            <v>8259009</v>
          </cell>
          <cell r="O956" t="str">
            <v/>
          </cell>
          <cell r="P956" t="str">
            <v/>
          </cell>
          <cell r="Q956" t="str">
            <v>5151512</v>
          </cell>
        </row>
        <row r="957">
          <cell r="N957" t="str">
            <v>8259009</v>
          </cell>
          <cell r="O957" t="str">
            <v>YCY</v>
          </cell>
          <cell r="P957" t="str">
            <v>YCY8259009</v>
          </cell>
          <cell r="Q957" t="str">
            <v>5151512</v>
          </cell>
        </row>
        <row r="958">
          <cell r="N958" t="str">
            <v>8259009</v>
          </cell>
          <cell r="O958" t="str">
            <v>YG3</v>
          </cell>
          <cell r="P958" t="str">
            <v>YG38259009</v>
          </cell>
          <cell r="Q958" t="str">
            <v>5151512</v>
          </cell>
        </row>
        <row r="959">
          <cell r="N959" t="str">
            <v>82980</v>
          </cell>
          <cell r="O959" t="str">
            <v/>
          </cell>
          <cell r="P959" t="str">
            <v/>
          </cell>
          <cell r="Q959" t="str">
            <v/>
          </cell>
        </row>
        <row r="960">
          <cell r="N960" t="str">
            <v>82980</v>
          </cell>
          <cell r="O960" t="str">
            <v>YCY</v>
          </cell>
          <cell r="P960" t="str">
            <v>YCY82980</v>
          </cell>
          <cell r="Q960" t="str">
            <v/>
          </cell>
        </row>
        <row r="961">
          <cell r="N961" t="str">
            <v>829809</v>
          </cell>
          <cell r="O961" t="str">
            <v/>
          </cell>
          <cell r="P961" t="str">
            <v/>
          </cell>
          <cell r="Q961" t="str">
            <v/>
          </cell>
        </row>
        <row r="962">
          <cell r="N962" t="str">
            <v>829809</v>
          </cell>
          <cell r="O962" t="str">
            <v>YCY</v>
          </cell>
          <cell r="P962" t="str">
            <v>YCY829809</v>
          </cell>
          <cell r="Q962" t="str">
            <v/>
          </cell>
        </row>
        <row r="963">
          <cell r="N963" t="str">
            <v/>
          </cell>
          <cell r="O963" t="str">
            <v/>
          </cell>
          <cell r="P963" t="str">
            <v/>
          </cell>
          <cell r="Q963" t="str">
            <v/>
          </cell>
        </row>
        <row r="964">
          <cell r="N964" t="str">
            <v>7169500</v>
          </cell>
          <cell r="O964" t="str">
            <v/>
          </cell>
          <cell r="P964" t="str">
            <v/>
          </cell>
          <cell r="Q964" t="str">
            <v>4161599</v>
          </cell>
        </row>
        <row r="965">
          <cell r="N965" t="str">
            <v>7169500</v>
          </cell>
          <cell r="O965" t="str">
            <v>L01</v>
          </cell>
          <cell r="P965" t="str">
            <v>L017169500</v>
          </cell>
          <cell r="Q965" t="str">
            <v>4161599</v>
          </cell>
        </row>
        <row r="966">
          <cell r="N966" t="str">
            <v>7169500</v>
          </cell>
          <cell r="O966" t="str">
            <v>ONL</v>
          </cell>
          <cell r="P966" t="str">
            <v>ONL7169500</v>
          </cell>
          <cell r="Q966" t="str">
            <v>4161599</v>
          </cell>
        </row>
        <row r="967">
          <cell r="N967" t="str">
            <v/>
          </cell>
          <cell r="O967" t="str">
            <v/>
          </cell>
          <cell r="P967" t="str">
            <v/>
          </cell>
          <cell r="Q967" t="str">
            <v/>
          </cell>
        </row>
        <row r="968">
          <cell r="N968" t="str">
            <v/>
          </cell>
          <cell r="O968" t="str">
            <v/>
          </cell>
          <cell r="P968" t="str">
            <v/>
          </cell>
          <cell r="Q968" t="str">
            <v/>
          </cell>
        </row>
        <row r="969">
          <cell r="N969" t="str">
            <v>8255</v>
          </cell>
          <cell r="O969" t="str">
            <v/>
          </cell>
          <cell r="P969" t="str">
            <v/>
          </cell>
          <cell r="Q969" t="str">
            <v>5151511</v>
          </cell>
        </row>
        <row r="970">
          <cell r="N970" t="str">
            <v>8255</v>
          </cell>
          <cell r="O970" t="str">
            <v>YK1</v>
          </cell>
          <cell r="P970" t="str">
            <v>YK18255</v>
          </cell>
          <cell r="Q970" t="str">
            <v>5151511</v>
          </cell>
        </row>
        <row r="971">
          <cell r="N971" t="str">
            <v/>
          </cell>
          <cell r="O971" t="str">
            <v/>
          </cell>
          <cell r="P971" t="str">
            <v/>
          </cell>
          <cell r="Q971" t="str">
            <v/>
          </cell>
        </row>
        <row r="972">
          <cell r="N972" t="str">
            <v>7169013</v>
          </cell>
          <cell r="O972" t="str">
            <v/>
          </cell>
          <cell r="P972" t="str">
            <v/>
          </cell>
          <cell r="Q972" t="str">
            <v>4161599</v>
          </cell>
        </row>
        <row r="973">
          <cell r="N973" t="str">
            <v>7169013</v>
          </cell>
          <cell r="O973" t="str">
            <v>L01</v>
          </cell>
          <cell r="P973" t="str">
            <v>L017169013</v>
          </cell>
          <cell r="Q973" t="str">
            <v>4161599</v>
          </cell>
        </row>
        <row r="974">
          <cell r="N974" t="str">
            <v>7169013</v>
          </cell>
          <cell r="O974" t="str">
            <v>ONL</v>
          </cell>
          <cell r="P974" t="str">
            <v>ONL7169013</v>
          </cell>
          <cell r="Q974" t="str">
            <v>4161599</v>
          </cell>
        </row>
        <row r="975">
          <cell r="N975" t="str">
            <v>82590</v>
          </cell>
          <cell r="O975" t="str">
            <v/>
          </cell>
          <cell r="P975" t="str">
            <v/>
          </cell>
          <cell r="Q975" t="str">
            <v/>
          </cell>
        </row>
        <row r="976">
          <cell r="N976" t="str">
            <v>82590</v>
          </cell>
          <cell r="O976" t="str">
            <v>S8M</v>
          </cell>
          <cell r="P976" t="str">
            <v>S8M82590</v>
          </cell>
          <cell r="Q976" t="str">
            <v/>
          </cell>
        </row>
        <row r="977">
          <cell r="N977" t="str">
            <v>82590</v>
          </cell>
          <cell r="O977" t="str">
            <v>S8V</v>
          </cell>
          <cell r="P977" t="str">
            <v>S8V82590</v>
          </cell>
          <cell r="Q977" t="str">
            <v/>
          </cell>
        </row>
        <row r="978">
          <cell r="N978" t="str">
            <v>825900</v>
          </cell>
          <cell r="O978" t="str">
            <v/>
          </cell>
          <cell r="P978" t="str">
            <v/>
          </cell>
          <cell r="Q978" t="str">
            <v/>
          </cell>
        </row>
        <row r="979">
          <cell r="N979" t="str">
            <v>825900</v>
          </cell>
          <cell r="O979" t="str">
            <v>S8M</v>
          </cell>
          <cell r="P979" t="str">
            <v>S8M825900</v>
          </cell>
          <cell r="Q979" t="str">
            <v/>
          </cell>
        </row>
        <row r="980">
          <cell r="N980" t="str">
            <v>825900</v>
          </cell>
          <cell r="O980" t="str">
            <v>S8V</v>
          </cell>
          <cell r="P980" t="str">
            <v>S8V825900</v>
          </cell>
          <cell r="Q980" t="str">
            <v/>
          </cell>
        </row>
        <row r="981">
          <cell r="N981" t="str">
            <v>82590020</v>
          </cell>
          <cell r="O981" t="str">
            <v/>
          </cell>
          <cell r="P981" t="str">
            <v/>
          </cell>
          <cell r="Q981" t="str">
            <v>5151512</v>
          </cell>
        </row>
        <row r="982">
          <cell r="N982" t="str">
            <v>82590020</v>
          </cell>
          <cell r="O982" t="str">
            <v>S8M</v>
          </cell>
          <cell r="P982" t="str">
            <v>S8M82590020</v>
          </cell>
          <cell r="Q982" t="str">
            <v>5151512</v>
          </cell>
        </row>
        <row r="983">
          <cell r="N983" t="str">
            <v>82590020</v>
          </cell>
          <cell r="O983" t="str">
            <v>S8V</v>
          </cell>
          <cell r="P983" t="str">
            <v>S8V82590020</v>
          </cell>
          <cell r="Q983" t="str">
            <v>5151512</v>
          </cell>
        </row>
        <row r="984">
          <cell r="N984" t="str">
            <v/>
          </cell>
          <cell r="O984" t="str">
            <v/>
          </cell>
          <cell r="P984" t="str">
            <v/>
          </cell>
          <cell r="Q984" t="str">
            <v/>
          </cell>
        </row>
        <row r="985">
          <cell r="N985" t="str">
            <v>71904013</v>
          </cell>
          <cell r="O985" t="str">
            <v/>
          </cell>
          <cell r="P985" t="str">
            <v/>
          </cell>
          <cell r="Q985" t="str">
            <v>4161599</v>
          </cell>
        </row>
        <row r="986">
          <cell r="N986" t="str">
            <v>71904013</v>
          </cell>
          <cell r="O986" t="str">
            <v>BBO</v>
          </cell>
          <cell r="P986" t="str">
            <v>BBO71904013</v>
          </cell>
          <cell r="Q986" t="str">
            <v>4161599</v>
          </cell>
        </row>
        <row r="987">
          <cell r="N987" t="str">
            <v>71904020</v>
          </cell>
          <cell r="O987" t="str">
            <v/>
          </cell>
          <cell r="P987" t="str">
            <v/>
          </cell>
          <cell r="Q987" t="str">
            <v>4161599</v>
          </cell>
        </row>
        <row r="988">
          <cell r="N988" t="str">
            <v>71904020</v>
          </cell>
          <cell r="O988" t="str">
            <v>BBN</v>
          </cell>
          <cell r="P988" t="str">
            <v>BBN71904020</v>
          </cell>
          <cell r="Q988" t="str">
            <v>4161599</v>
          </cell>
        </row>
        <row r="989">
          <cell r="N989" t="str">
            <v>71904021</v>
          </cell>
          <cell r="O989" t="str">
            <v/>
          </cell>
          <cell r="P989" t="str">
            <v/>
          </cell>
          <cell r="Q989" t="str">
            <v>4161599</v>
          </cell>
        </row>
        <row r="990">
          <cell r="N990" t="str">
            <v>71904021</v>
          </cell>
          <cell r="O990" t="str">
            <v>Y8N</v>
          </cell>
          <cell r="P990" t="str">
            <v>Y8N71904021</v>
          </cell>
          <cell r="Q990" t="str">
            <v>4161599</v>
          </cell>
        </row>
        <row r="991">
          <cell r="N991" t="str">
            <v>8255</v>
          </cell>
          <cell r="O991" t="str">
            <v/>
          </cell>
          <cell r="P991" t="str">
            <v/>
          </cell>
          <cell r="Q991" t="str">
            <v>5151511</v>
          </cell>
        </row>
        <row r="992">
          <cell r="N992" t="str">
            <v>8255</v>
          </cell>
          <cell r="O992" t="str">
            <v>SRM</v>
          </cell>
          <cell r="P992" t="str">
            <v>SRM8255</v>
          </cell>
          <cell r="Q992" t="str">
            <v>5151511</v>
          </cell>
        </row>
        <row r="993">
          <cell r="N993" t="str">
            <v>8255</v>
          </cell>
          <cell r="O993" t="str">
            <v>SRN</v>
          </cell>
          <cell r="P993" t="str">
            <v>SRN8255</v>
          </cell>
          <cell r="Q993" t="str">
            <v>5151511</v>
          </cell>
        </row>
        <row r="994">
          <cell r="N994" t="str">
            <v>82981</v>
          </cell>
          <cell r="O994" t="str">
            <v/>
          </cell>
          <cell r="P994" t="str">
            <v/>
          </cell>
          <cell r="Q994" t="str">
            <v/>
          </cell>
        </row>
        <row r="995">
          <cell r="N995" t="str">
            <v>82981</v>
          </cell>
          <cell r="O995" t="str">
            <v>SRM</v>
          </cell>
          <cell r="P995" t="str">
            <v>SRM82981</v>
          </cell>
          <cell r="Q995" t="str">
            <v/>
          </cell>
        </row>
        <row r="996">
          <cell r="N996" t="str">
            <v>82981</v>
          </cell>
          <cell r="O996" t="str">
            <v>SRN</v>
          </cell>
          <cell r="P996" t="str">
            <v>SRN82981</v>
          </cell>
          <cell r="Q996" t="str">
            <v/>
          </cell>
        </row>
        <row r="997">
          <cell r="N997" t="str">
            <v/>
          </cell>
          <cell r="O997" t="str">
            <v/>
          </cell>
          <cell r="P997" t="str">
            <v/>
          </cell>
          <cell r="Q997" t="str">
            <v/>
          </cell>
        </row>
        <row r="998">
          <cell r="N998" t="str">
            <v>7169012</v>
          </cell>
          <cell r="O998" t="str">
            <v/>
          </cell>
          <cell r="P998" t="str">
            <v/>
          </cell>
          <cell r="Q998" t="str">
            <v>4161599</v>
          </cell>
        </row>
        <row r="999">
          <cell r="N999" t="str">
            <v>7169012</v>
          </cell>
          <cell r="O999" t="str">
            <v>L01</v>
          </cell>
          <cell r="P999" t="str">
            <v>L017169012</v>
          </cell>
          <cell r="Q999" t="str">
            <v>4161599</v>
          </cell>
        </row>
        <row r="1000">
          <cell r="N1000" t="str">
            <v>7169012</v>
          </cell>
          <cell r="O1000" t="str">
            <v>ONL</v>
          </cell>
          <cell r="P1000" t="str">
            <v>ONL7169012</v>
          </cell>
          <cell r="Q1000" t="str">
            <v>4161599</v>
          </cell>
        </row>
        <row r="1001">
          <cell r="N1001" t="str">
            <v>77940</v>
          </cell>
          <cell r="O1001" t="str">
            <v/>
          </cell>
          <cell r="P1001" t="str">
            <v/>
          </cell>
          <cell r="Q1001" t="str">
            <v>4161599</v>
          </cell>
        </row>
        <row r="1002">
          <cell r="N1002" t="str">
            <v>77940</v>
          </cell>
          <cell r="O1002" t="str">
            <v>SB2</v>
          </cell>
          <cell r="P1002" t="str">
            <v>SB277940</v>
          </cell>
          <cell r="Q1002" t="str">
            <v>4161599</v>
          </cell>
        </row>
        <row r="1003">
          <cell r="N1003" t="str">
            <v>779409</v>
          </cell>
          <cell r="O1003" t="str">
            <v/>
          </cell>
          <cell r="P1003" t="str">
            <v/>
          </cell>
          <cell r="Q1003" t="str">
            <v/>
          </cell>
        </row>
        <row r="1004">
          <cell r="N1004" t="str">
            <v>779409</v>
          </cell>
          <cell r="O1004" t="str">
            <v>SB2</v>
          </cell>
          <cell r="P1004" t="str">
            <v>SB2779409</v>
          </cell>
          <cell r="Q1004" t="str">
            <v/>
          </cell>
        </row>
        <row r="1005">
          <cell r="N1005" t="str">
            <v>82590</v>
          </cell>
          <cell r="O1005" t="str">
            <v/>
          </cell>
          <cell r="P1005" t="str">
            <v/>
          </cell>
          <cell r="Q1005" t="str">
            <v/>
          </cell>
        </row>
        <row r="1006">
          <cell r="N1006" t="str">
            <v>82590</v>
          </cell>
          <cell r="O1006" t="str">
            <v>YK7</v>
          </cell>
          <cell r="P1006" t="str">
            <v>YK782590</v>
          </cell>
          <cell r="Q1006" t="str">
            <v/>
          </cell>
        </row>
        <row r="1007">
          <cell r="N1007" t="str">
            <v>825900</v>
          </cell>
          <cell r="O1007" t="str">
            <v/>
          </cell>
          <cell r="P1007" t="str">
            <v/>
          </cell>
          <cell r="Q1007" t="str">
            <v/>
          </cell>
        </row>
        <row r="1008">
          <cell r="N1008" t="str">
            <v>825900</v>
          </cell>
          <cell r="O1008" t="str">
            <v>ISN</v>
          </cell>
          <cell r="P1008" t="str">
            <v>ISN825900</v>
          </cell>
          <cell r="Q1008" t="str">
            <v/>
          </cell>
        </row>
        <row r="1009">
          <cell r="N1009" t="str">
            <v>825900</v>
          </cell>
          <cell r="O1009" t="str">
            <v>ISR</v>
          </cell>
          <cell r="P1009" t="str">
            <v>ISR825900</v>
          </cell>
          <cell r="Q1009" t="str">
            <v/>
          </cell>
        </row>
        <row r="1010">
          <cell r="N1010" t="str">
            <v>825900</v>
          </cell>
          <cell r="O1010" t="str">
            <v>IUC</v>
          </cell>
          <cell r="P1010" t="str">
            <v>IUC825900</v>
          </cell>
          <cell r="Q1010" t="str">
            <v/>
          </cell>
        </row>
        <row r="1011">
          <cell r="N1011" t="str">
            <v>825900</v>
          </cell>
          <cell r="O1011" t="str">
            <v>YK2</v>
          </cell>
          <cell r="P1011" t="str">
            <v>YK2825900</v>
          </cell>
          <cell r="Q1011" t="str">
            <v/>
          </cell>
        </row>
        <row r="1012">
          <cell r="N1012" t="str">
            <v>825900</v>
          </cell>
          <cell r="O1012" t="str">
            <v>YK7</v>
          </cell>
          <cell r="P1012" t="str">
            <v>YK7825900</v>
          </cell>
          <cell r="Q1012" t="str">
            <v/>
          </cell>
        </row>
        <row r="1013">
          <cell r="N1013" t="str">
            <v>8259009</v>
          </cell>
          <cell r="O1013" t="str">
            <v/>
          </cell>
          <cell r="P1013" t="str">
            <v/>
          </cell>
          <cell r="Q1013" t="str">
            <v>5151512</v>
          </cell>
        </row>
        <row r="1014">
          <cell r="N1014" t="str">
            <v>8259009</v>
          </cell>
          <cell r="O1014" t="str">
            <v>ISN</v>
          </cell>
          <cell r="P1014" t="str">
            <v>ISN8259009</v>
          </cell>
          <cell r="Q1014" t="str">
            <v>5151512</v>
          </cell>
        </row>
        <row r="1015">
          <cell r="N1015" t="str">
            <v>8259009</v>
          </cell>
          <cell r="O1015" t="str">
            <v>ISR</v>
          </cell>
          <cell r="P1015" t="str">
            <v>ISR8259009</v>
          </cell>
          <cell r="Q1015" t="str">
            <v>5151512</v>
          </cell>
        </row>
        <row r="1016">
          <cell r="N1016" t="str">
            <v>8259009</v>
          </cell>
          <cell r="O1016" t="str">
            <v>IUC</v>
          </cell>
          <cell r="P1016" t="str">
            <v>IUC8259009</v>
          </cell>
          <cell r="Q1016" t="str">
            <v>5151512</v>
          </cell>
        </row>
        <row r="1017">
          <cell r="N1017" t="str">
            <v>8259009</v>
          </cell>
          <cell r="O1017" t="str">
            <v>YK2</v>
          </cell>
          <cell r="P1017" t="str">
            <v>YK28259009</v>
          </cell>
          <cell r="Q1017" t="str">
            <v>5151512</v>
          </cell>
        </row>
        <row r="1018">
          <cell r="N1018" t="str">
            <v>8259009</v>
          </cell>
          <cell r="O1018" t="str">
            <v>YK7</v>
          </cell>
          <cell r="P1018" t="str">
            <v>YK78259009</v>
          </cell>
          <cell r="Q1018" t="str">
            <v>5151512</v>
          </cell>
        </row>
        <row r="1019">
          <cell r="N1019" t="str">
            <v/>
          </cell>
          <cell r="O1019" t="str">
            <v/>
          </cell>
          <cell r="P1019" t="str">
            <v/>
          </cell>
          <cell r="Q1019" t="str">
            <v/>
          </cell>
        </row>
        <row r="1020">
          <cell r="N1020" t="str">
            <v>719044</v>
          </cell>
          <cell r="O1020" t="str">
            <v/>
          </cell>
          <cell r="P1020" t="str">
            <v/>
          </cell>
          <cell r="Q1020" t="str">
            <v>4198</v>
          </cell>
        </row>
        <row r="1021">
          <cell r="N1021" t="str">
            <v>719044</v>
          </cell>
          <cell r="O1021" t="str">
            <v>LO1</v>
          </cell>
          <cell r="P1021" t="str">
            <v>LO1719044</v>
          </cell>
          <cell r="Q1021" t="str">
            <v>4198</v>
          </cell>
        </row>
        <row r="1022">
          <cell r="N1022" t="str">
            <v>719044</v>
          </cell>
          <cell r="O1022" t="str">
            <v>LRA</v>
          </cell>
          <cell r="P1022" t="str">
            <v>LRA719044</v>
          </cell>
          <cell r="Q1022" t="str">
            <v>4198</v>
          </cell>
        </row>
        <row r="1023">
          <cell r="N1023" t="str">
            <v>719044</v>
          </cell>
          <cell r="O1023" t="str">
            <v>L01</v>
          </cell>
          <cell r="P1023" t="str">
            <v>L01719044</v>
          </cell>
          <cell r="Q1023" t="str">
            <v>4198</v>
          </cell>
        </row>
        <row r="1024">
          <cell r="N1024" t="str">
            <v>719044</v>
          </cell>
          <cell r="O1024" t="str">
            <v>ONL</v>
          </cell>
          <cell r="P1024" t="str">
            <v>ONL719044</v>
          </cell>
          <cell r="Q1024" t="str">
            <v>4198</v>
          </cell>
        </row>
        <row r="1025">
          <cell r="N1025" t="str">
            <v>82590</v>
          </cell>
          <cell r="O1025" t="str">
            <v/>
          </cell>
          <cell r="P1025" t="str">
            <v/>
          </cell>
          <cell r="Q1025" t="str">
            <v/>
          </cell>
        </row>
        <row r="1026">
          <cell r="N1026" t="str">
            <v>82590</v>
          </cell>
          <cell r="O1026" t="str">
            <v>S8S</v>
          </cell>
          <cell r="P1026" t="str">
            <v>S8S82590</v>
          </cell>
          <cell r="Q1026" t="str">
            <v/>
          </cell>
        </row>
        <row r="1027">
          <cell r="N1027" t="str">
            <v>825900</v>
          </cell>
          <cell r="O1027" t="str">
            <v/>
          </cell>
          <cell r="P1027" t="str">
            <v/>
          </cell>
          <cell r="Q1027" t="str">
            <v/>
          </cell>
        </row>
        <row r="1028">
          <cell r="N1028" t="str">
            <v>825900</v>
          </cell>
          <cell r="O1028" t="str">
            <v>S8S</v>
          </cell>
          <cell r="P1028" t="str">
            <v>S8S825900</v>
          </cell>
          <cell r="Q1028" t="str">
            <v/>
          </cell>
        </row>
        <row r="1029">
          <cell r="N1029" t="str">
            <v>82590020</v>
          </cell>
          <cell r="O1029" t="str">
            <v/>
          </cell>
          <cell r="P1029" t="str">
            <v/>
          </cell>
          <cell r="Q1029" t="str">
            <v>5151512</v>
          </cell>
        </row>
        <row r="1030">
          <cell r="N1030" t="str">
            <v>82590020</v>
          </cell>
          <cell r="O1030" t="str">
            <v>S8S</v>
          </cell>
          <cell r="P1030" t="str">
            <v>S8S82590020</v>
          </cell>
          <cell r="Q1030" t="str">
            <v>5151512</v>
          </cell>
        </row>
        <row r="1031">
          <cell r="N1031" t="str">
            <v>8259009</v>
          </cell>
          <cell r="O1031" t="str">
            <v/>
          </cell>
          <cell r="P1031" t="str">
            <v/>
          </cell>
          <cell r="Q1031" t="str">
            <v>5151512</v>
          </cell>
        </row>
        <row r="1032">
          <cell r="N1032" t="str">
            <v>8259009</v>
          </cell>
          <cell r="O1032" t="str">
            <v>S8S</v>
          </cell>
          <cell r="P1032" t="str">
            <v>S8S8259009</v>
          </cell>
          <cell r="Q1032" t="str">
            <v>5151512</v>
          </cell>
        </row>
        <row r="1033">
          <cell r="N1033" t="str">
            <v/>
          </cell>
          <cell r="O1033" t="str">
            <v/>
          </cell>
          <cell r="P1033" t="str">
            <v/>
          </cell>
          <cell r="Q1033" t="str">
            <v/>
          </cell>
        </row>
        <row r="1034">
          <cell r="N1034" t="str">
            <v/>
          </cell>
          <cell r="O1034" t="str">
            <v/>
          </cell>
          <cell r="P1034" t="str">
            <v/>
          </cell>
          <cell r="Q1034" t="str">
            <v/>
          </cell>
        </row>
        <row r="1035">
          <cell r="N1035" t="str">
            <v>7169010</v>
          </cell>
          <cell r="O1035" t="str">
            <v/>
          </cell>
          <cell r="P1035" t="str">
            <v/>
          </cell>
          <cell r="Q1035" t="str">
            <v>4161599</v>
          </cell>
        </row>
        <row r="1036">
          <cell r="N1036" t="str">
            <v>7169010</v>
          </cell>
          <cell r="O1036" t="str">
            <v>L01</v>
          </cell>
          <cell r="P1036" t="str">
            <v>L017169010</v>
          </cell>
          <cell r="Q1036" t="str">
            <v>4161599</v>
          </cell>
        </row>
        <row r="1037">
          <cell r="N1037" t="str">
            <v>7169010</v>
          </cell>
          <cell r="O1037" t="str">
            <v>ONL</v>
          </cell>
          <cell r="P1037" t="str">
            <v>ONL7169010</v>
          </cell>
          <cell r="Q1037" t="str">
            <v>4161599</v>
          </cell>
        </row>
        <row r="1038">
          <cell r="N1038" t="str">
            <v/>
          </cell>
          <cell r="O1038" t="str">
            <v/>
          </cell>
          <cell r="P1038" t="str">
            <v/>
          </cell>
          <cell r="Q1038" t="str">
            <v/>
          </cell>
        </row>
        <row r="1039">
          <cell r="N1039" t="str">
            <v>7169011</v>
          </cell>
          <cell r="O1039" t="str">
            <v/>
          </cell>
          <cell r="P1039" t="str">
            <v/>
          </cell>
          <cell r="Q1039" t="str">
            <v>4161599</v>
          </cell>
        </row>
        <row r="1040">
          <cell r="N1040" t="str">
            <v>7169011</v>
          </cell>
          <cell r="O1040" t="str">
            <v>L01</v>
          </cell>
          <cell r="P1040" t="str">
            <v>L017169011</v>
          </cell>
          <cell r="Q1040" t="str">
            <v>4161599</v>
          </cell>
        </row>
        <row r="1041">
          <cell r="N1041" t="str">
            <v>7169011</v>
          </cell>
          <cell r="O1041" t="str">
            <v>ONL</v>
          </cell>
          <cell r="P1041" t="str">
            <v>ONL7169011</v>
          </cell>
          <cell r="Q1041" t="str">
            <v>4161599</v>
          </cell>
        </row>
        <row r="1042">
          <cell r="N1042" t="str">
            <v/>
          </cell>
          <cell r="O1042" t="str">
            <v/>
          </cell>
          <cell r="P1042" t="str">
            <v/>
          </cell>
          <cell r="Q1042" t="str">
            <v/>
          </cell>
        </row>
        <row r="1043">
          <cell r="N1043" t="str">
            <v>71696</v>
          </cell>
          <cell r="O1043" t="str">
            <v/>
          </cell>
          <cell r="P1043" t="str">
            <v/>
          </cell>
          <cell r="Q1043" t="str">
            <v>4161599</v>
          </cell>
        </row>
        <row r="1044">
          <cell r="N1044" t="str">
            <v>71696</v>
          </cell>
          <cell r="O1044" t="str">
            <v>LO1</v>
          </cell>
          <cell r="P1044" t="str">
            <v>LO171696</v>
          </cell>
          <cell r="Q1044" t="str">
            <v>4161599</v>
          </cell>
        </row>
        <row r="1045">
          <cell r="N1045" t="str">
            <v>71696</v>
          </cell>
          <cell r="O1045" t="str">
            <v>LRA</v>
          </cell>
          <cell r="P1045" t="str">
            <v>LRA71696</v>
          </cell>
          <cell r="Q1045" t="str">
            <v>4161599</v>
          </cell>
        </row>
        <row r="1046">
          <cell r="N1046" t="str">
            <v>71696</v>
          </cell>
          <cell r="O1046" t="str">
            <v>L01</v>
          </cell>
          <cell r="P1046" t="str">
            <v>L0171696</v>
          </cell>
          <cell r="Q1046" t="str">
            <v>4161599</v>
          </cell>
        </row>
        <row r="1047">
          <cell r="N1047" t="str">
            <v>71696</v>
          </cell>
          <cell r="O1047" t="str">
            <v>ONL</v>
          </cell>
          <cell r="P1047" t="str">
            <v>ONL71696</v>
          </cell>
          <cell r="Q1047" t="str">
            <v>4161599</v>
          </cell>
        </row>
        <row r="1048">
          <cell r="N1048" t="str">
            <v>71696</v>
          </cell>
          <cell r="O1048" t="str">
            <v>111</v>
          </cell>
          <cell r="P1048" t="str">
            <v>11171696</v>
          </cell>
          <cell r="Q1048" t="str">
            <v>4161599</v>
          </cell>
        </row>
        <row r="1049">
          <cell r="N1049" t="str">
            <v/>
          </cell>
          <cell r="O1049" t="str">
            <v/>
          </cell>
          <cell r="P1049" t="str">
            <v/>
          </cell>
          <cell r="Q1049" t="str">
            <v/>
          </cell>
        </row>
        <row r="1050">
          <cell r="N1050" t="str">
            <v>71690</v>
          </cell>
          <cell r="O1050" t="str">
            <v/>
          </cell>
          <cell r="P1050" t="str">
            <v/>
          </cell>
          <cell r="Q1050" t="str">
            <v/>
          </cell>
        </row>
        <row r="1051">
          <cell r="N1051" t="str">
            <v>71690</v>
          </cell>
          <cell r="O1051" t="str">
            <v>YFH</v>
          </cell>
          <cell r="P1051" t="str">
            <v>YFH71690</v>
          </cell>
          <cell r="Q1051" t="str">
            <v/>
          </cell>
        </row>
        <row r="1052">
          <cell r="N1052" t="str">
            <v>716900</v>
          </cell>
          <cell r="O1052" t="str">
            <v/>
          </cell>
          <cell r="P1052" t="str">
            <v/>
          </cell>
          <cell r="Q1052" t="str">
            <v/>
          </cell>
        </row>
        <row r="1053">
          <cell r="N1053" t="str">
            <v>716900</v>
          </cell>
          <cell r="O1053" t="str">
            <v>YFH</v>
          </cell>
          <cell r="P1053" t="str">
            <v>YFH716900</v>
          </cell>
          <cell r="Q1053" t="str">
            <v/>
          </cell>
        </row>
        <row r="1054">
          <cell r="N1054" t="str">
            <v>7169009</v>
          </cell>
          <cell r="O1054" t="str">
            <v/>
          </cell>
          <cell r="P1054" t="str">
            <v/>
          </cell>
          <cell r="Q1054" t="str">
            <v>4161599</v>
          </cell>
        </row>
        <row r="1055">
          <cell r="N1055" t="str">
            <v>7169009</v>
          </cell>
          <cell r="O1055" t="str">
            <v>YFH</v>
          </cell>
          <cell r="P1055" t="str">
            <v>YFH7169009</v>
          </cell>
          <cell r="Q1055" t="str">
            <v>4161599</v>
          </cell>
        </row>
        <row r="1056">
          <cell r="N1056" t="str">
            <v>77940</v>
          </cell>
          <cell r="O1056" t="str">
            <v/>
          </cell>
          <cell r="P1056" t="str">
            <v/>
          </cell>
          <cell r="Q1056" t="str">
            <v>4161599</v>
          </cell>
        </row>
        <row r="1057">
          <cell r="N1057" t="str">
            <v>77940</v>
          </cell>
          <cell r="O1057" t="str">
            <v>ONL</v>
          </cell>
          <cell r="P1057" t="str">
            <v>ONL77940</v>
          </cell>
          <cell r="Q1057" t="str">
            <v>4161599</v>
          </cell>
        </row>
        <row r="1058">
          <cell r="N1058" t="str">
            <v>77940</v>
          </cell>
          <cell r="O1058" t="str">
            <v>REG</v>
          </cell>
          <cell r="P1058" t="str">
            <v>REG77940</v>
          </cell>
          <cell r="Q1058" t="str">
            <v>4161599</v>
          </cell>
        </row>
        <row r="1059">
          <cell r="N1059" t="str">
            <v>77940</v>
          </cell>
          <cell r="O1059" t="str">
            <v>RGC</v>
          </cell>
          <cell r="P1059" t="str">
            <v>RGC77940</v>
          </cell>
          <cell r="Q1059" t="str">
            <v>4161599</v>
          </cell>
        </row>
        <row r="1060">
          <cell r="N1060" t="str">
            <v>77940</v>
          </cell>
          <cell r="O1060" t="str">
            <v>SQE</v>
          </cell>
          <cell r="P1060" t="str">
            <v>SQE77940</v>
          </cell>
          <cell r="Q1060" t="str">
            <v>4161599</v>
          </cell>
        </row>
        <row r="1061">
          <cell r="N1061" t="str">
            <v>77940</v>
          </cell>
          <cell r="O1061" t="str">
            <v>SQT</v>
          </cell>
          <cell r="P1061" t="str">
            <v>SQT77940</v>
          </cell>
          <cell r="Q1061" t="str">
            <v>4161599</v>
          </cell>
        </row>
        <row r="1062">
          <cell r="N1062" t="str">
            <v>77940</v>
          </cell>
          <cell r="O1062" t="str">
            <v>SQX</v>
          </cell>
          <cell r="P1062" t="str">
            <v>SQX77940</v>
          </cell>
          <cell r="Q1062" t="str">
            <v>4161599</v>
          </cell>
        </row>
        <row r="1063">
          <cell r="N1063" t="str">
            <v>77940</v>
          </cell>
          <cell r="O1063" t="str">
            <v>S2H</v>
          </cell>
          <cell r="P1063" t="str">
            <v>S2H77940</v>
          </cell>
          <cell r="Q1063" t="str">
            <v>4161599</v>
          </cell>
        </row>
        <row r="1064">
          <cell r="N1064" t="str">
            <v>77940</v>
          </cell>
          <cell r="O1064" t="str">
            <v>S9S</v>
          </cell>
          <cell r="P1064" t="str">
            <v>S9S77940</v>
          </cell>
          <cell r="Q1064" t="str">
            <v>4161599</v>
          </cell>
        </row>
        <row r="1065">
          <cell r="N1065" t="str">
            <v>77940</v>
          </cell>
          <cell r="O1065" t="str">
            <v>YFH</v>
          </cell>
          <cell r="P1065" t="str">
            <v>YFH77940</v>
          </cell>
          <cell r="Q1065" t="str">
            <v>4161599</v>
          </cell>
        </row>
        <row r="1066">
          <cell r="N1066" t="str">
            <v>77940</v>
          </cell>
          <cell r="O1066" t="str">
            <v>YHJ</v>
          </cell>
          <cell r="P1066" t="str">
            <v>YHJ77940</v>
          </cell>
          <cell r="Q1066" t="str">
            <v>4161599</v>
          </cell>
        </row>
        <row r="1067">
          <cell r="N1067" t="str">
            <v>77940</v>
          </cell>
          <cell r="O1067" t="str">
            <v>YHN</v>
          </cell>
          <cell r="P1067" t="str">
            <v>YHN77940</v>
          </cell>
          <cell r="Q1067" t="str">
            <v>4161599</v>
          </cell>
        </row>
        <row r="1068">
          <cell r="N1068" t="str">
            <v>77940</v>
          </cell>
          <cell r="O1068" t="str">
            <v>YIN</v>
          </cell>
          <cell r="P1068" t="str">
            <v>YIN77940</v>
          </cell>
          <cell r="Q1068" t="str">
            <v>4161599</v>
          </cell>
        </row>
        <row r="1069">
          <cell r="N1069" t="str">
            <v>77940</v>
          </cell>
          <cell r="O1069" t="str">
            <v>Y9A</v>
          </cell>
          <cell r="P1069" t="str">
            <v>Y9A77940</v>
          </cell>
          <cell r="Q1069" t="str">
            <v>4161599</v>
          </cell>
        </row>
        <row r="1070">
          <cell r="N1070" t="str">
            <v>77940</v>
          </cell>
          <cell r="O1070" t="str">
            <v>111</v>
          </cell>
          <cell r="P1070" t="str">
            <v>11177940</v>
          </cell>
          <cell r="Q1070" t="str">
            <v>4161599</v>
          </cell>
        </row>
        <row r="1071">
          <cell r="N1071" t="str">
            <v>779401</v>
          </cell>
          <cell r="O1071" t="str">
            <v/>
          </cell>
          <cell r="P1071" t="str">
            <v/>
          </cell>
          <cell r="Q1071" t="str">
            <v/>
          </cell>
        </row>
        <row r="1072">
          <cell r="N1072" t="str">
            <v>779401</v>
          </cell>
          <cell r="O1072" t="str">
            <v>ONL</v>
          </cell>
          <cell r="P1072" t="str">
            <v>ONL779401</v>
          </cell>
          <cell r="Q1072" t="str">
            <v/>
          </cell>
        </row>
        <row r="1073">
          <cell r="N1073" t="str">
            <v>779401</v>
          </cell>
          <cell r="O1073" t="str">
            <v>REG</v>
          </cell>
          <cell r="P1073" t="str">
            <v>REG779401</v>
          </cell>
          <cell r="Q1073" t="str">
            <v/>
          </cell>
        </row>
        <row r="1074">
          <cell r="N1074" t="str">
            <v>779401</v>
          </cell>
          <cell r="O1074" t="str">
            <v>RGC</v>
          </cell>
          <cell r="P1074" t="str">
            <v>RGC779401</v>
          </cell>
          <cell r="Q1074" t="str">
            <v/>
          </cell>
        </row>
        <row r="1075">
          <cell r="N1075" t="str">
            <v>779401</v>
          </cell>
          <cell r="O1075" t="str">
            <v>SQE</v>
          </cell>
          <cell r="P1075" t="str">
            <v>SQE779401</v>
          </cell>
          <cell r="Q1075" t="str">
            <v/>
          </cell>
        </row>
        <row r="1076">
          <cell r="N1076" t="str">
            <v>779401</v>
          </cell>
          <cell r="O1076" t="str">
            <v>SQT</v>
          </cell>
          <cell r="P1076" t="str">
            <v>SQT779401</v>
          </cell>
          <cell r="Q1076" t="str">
            <v/>
          </cell>
        </row>
        <row r="1077">
          <cell r="N1077" t="str">
            <v>779401</v>
          </cell>
          <cell r="O1077" t="str">
            <v>SQX</v>
          </cell>
          <cell r="P1077" t="str">
            <v>SQX779401</v>
          </cell>
          <cell r="Q1077" t="str">
            <v/>
          </cell>
        </row>
        <row r="1078">
          <cell r="N1078" t="str">
            <v>779401</v>
          </cell>
          <cell r="O1078" t="str">
            <v>S9S</v>
          </cell>
          <cell r="P1078" t="str">
            <v>S9S779401</v>
          </cell>
          <cell r="Q1078" t="str">
            <v/>
          </cell>
        </row>
        <row r="1079">
          <cell r="N1079" t="str">
            <v>779401</v>
          </cell>
          <cell r="O1079" t="str">
            <v>YHJ</v>
          </cell>
          <cell r="P1079" t="str">
            <v>YHJ779401</v>
          </cell>
          <cell r="Q1079" t="str">
            <v/>
          </cell>
        </row>
        <row r="1080">
          <cell r="N1080" t="str">
            <v>779401</v>
          </cell>
          <cell r="O1080" t="str">
            <v>YHN</v>
          </cell>
          <cell r="P1080" t="str">
            <v>YHN779401</v>
          </cell>
          <cell r="Q1080" t="str">
            <v/>
          </cell>
        </row>
        <row r="1081">
          <cell r="N1081" t="str">
            <v>779401</v>
          </cell>
          <cell r="O1081" t="str">
            <v>YIN</v>
          </cell>
          <cell r="P1081" t="str">
            <v>YIN779401</v>
          </cell>
          <cell r="Q1081" t="str">
            <v/>
          </cell>
        </row>
        <row r="1082">
          <cell r="N1082" t="str">
            <v>779401</v>
          </cell>
          <cell r="O1082" t="str">
            <v>Y9A</v>
          </cell>
          <cell r="P1082" t="str">
            <v>Y9A779401</v>
          </cell>
          <cell r="Q1082" t="str">
            <v/>
          </cell>
        </row>
        <row r="1083">
          <cell r="N1083" t="str">
            <v>779401</v>
          </cell>
          <cell r="O1083" t="str">
            <v>111</v>
          </cell>
          <cell r="P1083" t="str">
            <v>111779401</v>
          </cell>
          <cell r="Q1083" t="str">
            <v/>
          </cell>
        </row>
        <row r="1084">
          <cell r="N1084" t="str">
            <v>779811</v>
          </cell>
          <cell r="O1084" t="str">
            <v/>
          </cell>
          <cell r="P1084" t="str">
            <v/>
          </cell>
          <cell r="Q1084" t="str">
            <v>4508809111</v>
          </cell>
        </row>
        <row r="1085">
          <cell r="N1085" t="str">
            <v>779811</v>
          </cell>
          <cell r="O1085" t="str">
            <v>LRA</v>
          </cell>
          <cell r="P1085" t="str">
            <v>LRA779811</v>
          </cell>
          <cell r="Q1085" t="str">
            <v>4508809111</v>
          </cell>
        </row>
        <row r="1086">
          <cell r="N1086" t="str">
            <v>779811</v>
          </cell>
          <cell r="O1086" t="str">
            <v>!N5</v>
          </cell>
          <cell r="P1086" t="str">
            <v>!N5779811</v>
          </cell>
          <cell r="Q1086" t="str">
            <v>4508809111</v>
          </cell>
        </row>
        <row r="1087">
          <cell r="N1087" t="str">
            <v>779811</v>
          </cell>
          <cell r="O1087" t="str">
            <v>ONL</v>
          </cell>
          <cell r="P1087" t="str">
            <v>ONL779811</v>
          </cell>
          <cell r="Q1087" t="str">
            <v>4508809111</v>
          </cell>
        </row>
        <row r="1088">
          <cell r="N1088" t="str">
            <v>779811</v>
          </cell>
          <cell r="O1088" t="str">
            <v>REG</v>
          </cell>
          <cell r="P1088" t="str">
            <v>REG779811</v>
          </cell>
          <cell r="Q1088" t="str">
            <v>4508809111</v>
          </cell>
        </row>
        <row r="1089">
          <cell r="N1089" t="str">
            <v>779811</v>
          </cell>
          <cell r="O1089" t="str">
            <v>SQE</v>
          </cell>
          <cell r="P1089" t="str">
            <v>SQE779811</v>
          </cell>
          <cell r="Q1089" t="str">
            <v>4508809111</v>
          </cell>
        </row>
        <row r="1090">
          <cell r="N1090" t="str">
            <v>779811</v>
          </cell>
          <cell r="O1090" t="str">
            <v>SQT</v>
          </cell>
          <cell r="P1090" t="str">
            <v>SQT779811</v>
          </cell>
          <cell r="Q1090" t="str">
            <v>4508809111</v>
          </cell>
        </row>
        <row r="1091">
          <cell r="N1091" t="str">
            <v>779811</v>
          </cell>
          <cell r="O1091" t="str">
            <v>SQX</v>
          </cell>
          <cell r="P1091" t="str">
            <v>SQX779811</v>
          </cell>
          <cell r="Q1091" t="str">
            <v>4508809111</v>
          </cell>
        </row>
        <row r="1092">
          <cell r="N1092" t="str">
            <v>779811</v>
          </cell>
          <cell r="O1092" t="str">
            <v>S9S</v>
          </cell>
          <cell r="P1092" t="str">
            <v>S9S779811</v>
          </cell>
          <cell r="Q1092" t="str">
            <v>4508809111</v>
          </cell>
        </row>
        <row r="1093">
          <cell r="N1093" t="str">
            <v>779811</v>
          </cell>
          <cell r="O1093" t="str">
            <v>YHJ</v>
          </cell>
          <cell r="P1093" t="str">
            <v>YHJ779811</v>
          </cell>
          <cell r="Q1093" t="str">
            <v>4508809111</v>
          </cell>
        </row>
        <row r="1094">
          <cell r="N1094" t="str">
            <v>779811</v>
          </cell>
          <cell r="O1094" t="str">
            <v>YHN</v>
          </cell>
          <cell r="P1094" t="str">
            <v>YHN779811</v>
          </cell>
          <cell r="Q1094" t="str">
            <v>4508809111</v>
          </cell>
        </row>
        <row r="1095">
          <cell r="N1095" t="str">
            <v>779811</v>
          </cell>
          <cell r="O1095" t="str">
            <v>YIN</v>
          </cell>
          <cell r="P1095" t="str">
            <v>YIN779811</v>
          </cell>
          <cell r="Q1095" t="str">
            <v>4508809111</v>
          </cell>
        </row>
        <row r="1096">
          <cell r="N1096" t="str">
            <v>779811</v>
          </cell>
          <cell r="O1096" t="str">
            <v>Y9A</v>
          </cell>
          <cell r="P1096" t="str">
            <v>Y9A779811</v>
          </cell>
          <cell r="Q1096" t="str">
            <v>4508809111</v>
          </cell>
        </row>
        <row r="1097">
          <cell r="N1097" t="str">
            <v>779811</v>
          </cell>
          <cell r="O1097" t="str">
            <v>111</v>
          </cell>
          <cell r="P1097" t="str">
            <v>111779811</v>
          </cell>
          <cell r="Q1097" t="str">
            <v>4508809111</v>
          </cell>
        </row>
        <row r="1098">
          <cell r="N1098" t="str">
            <v>8257</v>
          </cell>
          <cell r="O1098" t="str">
            <v/>
          </cell>
          <cell r="P1098" t="str">
            <v/>
          </cell>
          <cell r="Q1098" t="str">
            <v>5151503</v>
          </cell>
        </row>
        <row r="1099">
          <cell r="N1099" t="str">
            <v>8257</v>
          </cell>
          <cell r="O1099" t="str">
            <v>S9P</v>
          </cell>
          <cell r="P1099" t="str">
            <v>S9P8257</v>
          </cell>
          <cell r="Q1099" t="str">
            <v>5151503</v>
          </cell>
        </row>
        <row r="1100">
          <cell r="N1100" t="str">
            <v>825900</v>
          </cell>
          <cell r="O1100" t="str">
            <v/>
          </cell>
          <cell r="P1100" t="str">
            <v/>
          </cell>
          <cell r="Q1100" t="str">
            <v/>
          </cell>
        </row>
        <row r="1101">
          <cell r="N1101" t="str">
            <v>825900</v>
          </cell>
          <cell r="O1101" t="str">
            <v>S9N</v>
          </cell>
          <cell r="P1101" t="str">
            <v>S9N825900</v>
          </cell>
          <cell r="Q1101" t="str">
            <v/>
          </cell>
        </row>
        <row r="1102">
          <cell r="N1102" t="str">
            <v>82590020</v>
          </cell>
          <cell r="O1102" t="str">
            <v/>
          </cell>
          <cell r="P1102" t="str">
            <v/>
          </cell>
          <cell r="Q1102" t="str">
            <v>5151512</v>
          </cell>
        </row>
        <row r="1103">
          <cell r="N1103" t="str">
            <v>82590020</v>
          </cell>
          <cell r="O1103" t="str">
            <v>S9N</v>
          </cell>
          <cell r="P1103" t="str">
            <v>S9N82590020</v>
          </cell>
          <cell r="Q1103" t="str">
            <v>5151512</v>
          </cell>
        </row>
        <row r="1104">
          <cell r="N1104" t="str">
            <v>8921</v>
          </cell>
          <cell r="O1104" t="str">
            <v/>
          </cell>
          <cell r="P1104" t="str">
            <v/>
          </cell>
          <cell r="Q1104" t="str">
            <v>5151509</v>
          </cell>
        </row>
        <row r="1105">
          <cell r="N1105" t="str">
            <v>8921</v>
          </cell>
          <cell r="O1105" t="str">
            <v>SQF</v>
          </cell>
          <cell r="P1105" t="str">
            <v>SQF8921</v>
          </cell>
          <cell r="Q1105" t="str">
            <v>5151509</v>
          </cell>
        </row>
        <row r="1106">
          <cell r="N1106" t="str">
            <v>8921</v>
          </cell>
          <cell r="O1106" t="str">
            <v>SQU</v>
          </cell>
          <cell r="P1106" t="str">
            <v>SQU8921</v>
          </cell>
          <cell r="Q1106" t="str">
            <v>5151509</v>
          </cell>
        </row>
        <row r="1107">
          <cell r="N1107" t="str">
            <v>8921</v>
          </cell>
          <cell r="O1107" t="str">
            <v>S7P</v>
          </cell>
          <cell r="P1107" t="str">
            <v>S7P8921</v>
          </cell>
          <cell r="Q1107" t="str">
            <v>5151509</v>
          </cell>
        </row>
        <row r="1108">
          <cell r="N1108" t="str">
            <v>8921</v>
          </cell>
          <cell r="O1108" t="str">
            <v>S9T</v>
          </cell>
          <cell r="P1108" t="str">
            <v>S9T8921</v>
          </cell>
          <cell r="Q1108" t="str">
            <v>5151509</v>
          </cell>
        </row>
        <row r="1109">
          <cell r="N1109" t="str">
            <v>8921</v>
          </cell>
          <cell r="O1109" t="str">
            <v>YEI</v>
          </cell>
          <cell r="P1109" t="str">
            <v>YEI8921</v>
          </cell>
          <cell r="Q1109" t="str">
            <v>5151509</v>
          </cell>
        </row>
        <row r="1110">
          <cell r="N1110" t="str">
            <v>8921</v>
          </cell>
          <cell r="O1110" t="str">
            <v>YFF</v>
          </cell>
          <cell r="P1110" t="str">
            <v>YFF8921</v>
          </cell>
          <cell r="Q1110" t="str">
            <v>5151509</v>
          </cell>
        </row>
        <row r="1111">
          <cell r="N1111" t="str">
            <v>8921</v>
          </cell>
          <cell r="O1111" t="str">
            <v>YHK</v>
          </cell>
          <cell r="P1111" t="str">
            <v>YHK8921</v>
          </cell>
          <cell r="Q1111" t="str">
            <v>5151509</v>
          </cell>
        </row>
        <row r="1112">
          <cell r="N1112" t="str">
            <v>8921</v>
          </cell>
          <cell r="O1112" t="str">
            <v>Y9B</v>
          </cell>
          <cell r="P1112" t="str">
            <v>Y9B8921</v>
          </cell>
          <cell r="Q1112" t="str">
            <v>5151509</v>
          </cell>
        </row>
        <row r="1113">
          <cell r="N1113" t="str">
            <v>89299</v>
          </cell>
          <cell r="O1113" t="str">
            <v/>
          </cell>
          <cell r="P1113" t="str">
            <v/>
          </cell>
          <cell r="Q1113" t="str">
            <v/>
          </cell>
        </row>
        <row r="1114">
          <cell r="N1114" t="str">
            <v>89299</v>
          </cell>
          <cell r="O1114" t="str">
            <v>SQF</v>
          </cell>
          <cell r="P1114" t="str">
            <v>SQF89299</v>
          </cell>
          <cell r="Q1114" t="str">
            <v/>
          </cell>
        </row>
        <row r="1115">
          <cell r="N1115" t="str">
            <v>89299</v>
          </cell>
          <cell r="O1115" t="str">
            <v>SQU</v>
          </cell>
          <cell r="P1115" t="str">
            <v>SQU89299</v>
          </cell>
          <cell r="Q1115" t="str">
            <v/>
          </cell>
        </row>
        <row r="1116">
          <cell r="N1116" t="str">
            <v>89299</v>
          </cell>
          <cell r="O1116" t="str">
            <v>S7P</v>
          </cell>
          <cell r="P1116" t="str">
            <v>S7P89299</v>
          </cell>
          <cell r="Q1116" t="str">
            <v/>
          </cell>
        </row>
        <row r="1117">
          <cell r="N1117" t="str">
            <v>89299</v>
          </cell>
          <cell r="O1117" t="str">
            <v>YEI</v>
          </cell>
          <cell r="P1117" t="str">
            <v>YEI89299</v>
          </cell>
          <cell r="Q1117" t="str">
            <v/>
          </cell>
        </row>
        <row r="1118">
          <cell r="N1118" t="str">
            <v>89299</v>
          </cell>
          <cell r="O1118" t="str">
            <v>YHK</v>
          </cell>
          <cell r="P1118" t="str">
            <v>YHK89299</v>
          </cell>
          <cell r="Q1118" t="str">
            <v/>
          </cell>
        </row>
        <row r="1119">
          <cell r="N1119" t="str">
            <v>89355</v>
          </cell>
          <cell r="O1119" t="str">
            <v/>
          </cell>
          <cell r="P1119" t="str">
            <v/>
          </cell>
          <cell r="Q1119" t="str">
            <v>4311811</v>
          </cell>
        </row>
        <row r="1120">
          <cell r="N1120" t="str">
            <v>89355</v>
          </cell>
          <cell r="O1120" t="str">
            <v>ONL</v>
          </cell>
          <cell r="P1120" t="str">
            <v>ONL89355</v>
          </cell>
          <cell r="Q1120" t="str">
            <v>4311811</v>
          </cell>
        </row>
        <row r="1121">
          <cell r="N1121" t="str">
            <v>89355</v>
          </cell>
          <cell r="O1121" t="str">
            <v>RGP</v>
          </cell>
          <cell r="P1121" t="str">
            <v>RGP89355</v>
          </cell>
          <cell r="Q1121" t="str">
            <v>4311811</v>
          </cell>
        </row>
        <row r="1122">
          <cell r="N1122" t="str">
            <v>89355</v>
          </cell>
          <cell r="O1122" t="str">
            <v>SQF</v>
          </cell>
          <cell r="P1122" t="str">
            <v>SQF89355</v>
          </cell>
          <cell r="Q1122" t="str">
            <v>4311811</v>
          </cell>
        </row>
        <row r="1123">
          <cell r="N1123" t="str">
            <v>89355</v>
          </cell>
          <cell r="O1123" t="str">
            <v>SQU</v>
          </cell>
          <cell r="P1123" t="str">
            <v>SQU89355</v>
          </cell>
          <cell r="Q1123" t="str">
            <v>4311811</v>
          </cell>
        </row>
        <row r="1124">
          <cell r="N1124" t="str">
            <v>89355</v>
          </cell>
          <cell r="O1124" t="str">
            <v>S7P</v>
          </cell>
          <cell r="P1124" t="str">
            <v>S7P89355</v>
          </cell>
          <cell r="Q1124" t="str">
            <v>4311811</v>
          </cell>
        </row>
        <row r="1125">
          <cell r="N1125" t="str">
            <v>89355</v>
          </cell>
          <cell r="O1125" t="str">
            <v>S9T</v>
          </cell>
          <cell r="P1125" t="str">
            <v>S9T89355</v>
          </cell>
          <cell r="Q1125" t="str">
            <v>4311811</v>
          </cell>
        </row>
        <row r="1126">
          <cell r="N1126" t="str">
            <v>89355</v>
          </cell>
          <cell r="O1126" t="str">
            <v>YEI</v>
          </cell>
          <cell r="P1126" t="str">
            <v>YEI89355</v>
          </cell>
          <cell r="Q1126" t="str">
            <v>4311811</v>
          </cell>
        </row>
        <row r="1127">
          <cell r="N1127" t="str">
            <v>89355</v>
          </cell>
          <cell r="O1127" t="str">
            <v>YHK</v>
          </cell>
          <cell r="P1127" t="str">
            <v>YHK89355</v>
          </cell>
          <cell r="Q1127" t="str">
            <v>4311811</v>
          </cell>
        </row>
        <row r="1128">
          <cell r="N1128" t="str">
            <v>89355</v>
          </cell>
          <cell r="O1128" t="str">
            <v>111</v>
          </cell>
          <cell r="P1128" t="str">
            <v>11189355</v>
          </cell>
          <cell r="Q1128" t="str">
            <v>4311811</v>
          </cell>
        </row>
        <row r="1129">
          <cell r="N1129" t="str">
            <v>89811</v>
          </cell>
          <cell r="O1129" t="str">
            <v/>
          </cell>
          <cell r="P1129" t="str">
            <v/>
          </cell>
          <cell r="Q1129" t="str">
            <v>550880921</v>
          </cell>
        </row>
        <row r="1130">
          <cell r="N1130" t="str">
            <v>89811</v>
          </cell>
          <cell r="O1130" t="str">
            <v>ONL</v>
          </cell>
          <cell r="P1130" t="str">
            <v>ONL89811</v>
          </cell>
          <cell r="Q1130" t="str">
            <v>550880921</v>
          </cell>
        </row>
        <row r="1131">
          <cell r="N1131" t="str">
            <v>89811</v>
          </cell>
          <cell r="O1131" t="str">
            <v>SQF</v>
          </cell>
          <cell r="P1131" t="str">
            <v>SQF89811</v>
          </cell>
          <cell r="Q1131" t="str">
            <v>550880921</v>
          </cell>
        </row>
        <row r="1132">
          <cell r="N1132" t="str">
            <v>89811</v>
          </cell>
          <cell r="O1132" t="str">
            <v>SQU</v>
          </cell>
          <cell r="P1132" t="str">
            <v>SQU89811</v>
          </cell>
          <cell r="Q1132" t="str">
            <v>550880921</v>
          </cell>
        </row>
        <row r="1133">
          <cell r="N1133" t="str">
            <v>89811</v>
          </cell>
          <cell r="O1133" t="str">
            <v>S7P</v>
          </cell>
          <cell r="P1133" t="str">
            <v>S7P89811</v>
          </cell>
          <cell r="Q1133" t="str">
            <v>550880921</v>
          </cell>
        </row>
        <row r="1134">
          <cell r="N1134" t="str">
            <v>89811</v>
          </cell>
          <cell r="O1134" t="str">
            <v>S9T</v>
          </cell>
          <cell r="P1134" t="str">
            <v>S9T89811</v>
          </cell>
          <cell r="Q1134" t="str">
            <v>550880921</v>
          </cell>
        </row>
        <row r="1135">
          <cell r="N1135" t="str">
            <v>89811</v>
          </cell>
          <cell r="O1135" t="str">
            <v>YAW</v>
          </cell>
          <cell r="P1135" t="str">
            <v>YAW89811</v>
          </cell>
          <cell r="Q1135" t="str">
            <v>550880921</v>
          </cell>
        </row>
        <row r="1136">
          <cell r="N1136" t="str">
            <v>89811</v>
          </cell>
          <cell r="O1136" t="str">
            <v>YEI</v>
          </cell>
          <cell r="P1136" t="str">
            <v>YEI89811</v>
          </cell>
          <cell r="Q1136" t="str">
            <v>550880921</v>
          </cell>
        </row>
        <row r="1137">
          <cell r="N1137" t="str">
            <v>89811</v>
          </cell>
          <cell r="O1137" t="str">
            <v>YHK</v>
          </cell>
          <cell r="P1137" t="str">
            <v>YHK89811</v>
          </cell>
          <cell r="Q1137" t="str">
            <v>550880921</v>
          </cell>
        </row>
        <row r="1138">
          <cell r="N1138" t="str">
            <v>89811</v>
          </cell>
          <cell r="O1138" t="str">
            <v>YIO</v>
          </cell>
          <cell r="P1138" t="str">
            <v>YIO89811</v>
          </cell>
          <cell r="Q1138" t="str">
            <v>550880921</v>
          </cell>
        </row>
        <row r="1139">
          <cell r="N1139" t="str">
            <v>89811</v>
          </cell>
          <cell r="O1139" t="str">
            <v>111</v>
          </cell>
          <cell r="P1139" t="str">
            <v>11189811</v>
          </cell>
          <cell r="Q1139" t="str">
            <v>550880921</v>
          </cell>
        </row>
        <row r="1140">
          <cell r="N1140" t="str">
            <v>8985</v>
          </cell>
          <cell r="O1140" t="str">
            <v/>
          </cell>
          <cell r="P1140" t="str">
            <v/>
          </cell>
          <cell r="Q1140" t="str">
            <v>550880925</v>
          </cell>
        </row>
        <row r="1141">
          <cell r="N1141" t="str">
            <v>8985</v>
          </cell>
          <cell r="O1141" t="str">
            <v>!MF</v>
          </cell>
          <cell r="P1141" t="str">
            <v>!MF8985</v>
          </cell>
          <cell r="Q1141" t="str">
            <v>550880925</v>
          </cell>
        </row>
        <row r="1142">
          <cell r="N1142" t="str">
            <v>8985</v>
          </cell>
          <cell r="O1142" t="str">
            <v>85R</v>
          </cell>
          <cell r="P1142" t="str">
            <v>85R8985</v>
          </cell>
          <cell r="Q1142" t="str">
            <v>550880925</v>
          </cell>
        </row>
        <row r="1143">
          <cell r="N1143" t="str">
            <v>8985</v>
          </cell>
          <cell r="O1143" t="str">
            <v>85S</v>
          </cell>
          <cell r="P1143" t="str">
            <v>85S8985</v>
          </cell>
          <cell r="Q1143" t="str">
            <v>550880925</v>
          </cell>
        </row>
        <row r="1144">
          <cell r="N1144" t="str">
            <v/>
          </cell>
          <cell r="O1144" t="str">
            <v/>
          </cell>
          <cell r="P1144" t="str">
            <v/>
          </cell>
          <cell r="Q1144" t="str">
            <v/>
          </cell>
        </row>
        <row r="1145">
          <cell r="N1145" t="str">
            <v/>
          </cell>
          <cell r="O1145" t="str">
            <v/>
          </cell>
          <cell r="P1145" t="str">
            <v/>
          </cell>
          <cell r="Q1145" t="str">
            <v/>
          </cell>
        </row>
        <row r="1146">
          <cell r="N1146" t="str">
            <v>719400</v>
          </cell>
          <cell r="O1146" t="str">
            <v/>
          </cell>
          <cell r="P1146" t="str">
            <v/>
          </cell>
          <cell r="Q1146" t="str">
            <v>4198</v>
          </cell>
        </row>
        <row r="1147">
          <cell r="N1147" t="str">
            <v>719400</v>
          </cell>
          <cell r="O1147" t="str">
            <v>ONL</v>
          </cell>
          <cell r="P1147" t="str">
            <v>ONL719400</v>
          </cell>
          <cell r="Q1147" t="str">
            <v>4198</v>
          </cell>
        </row>
        <row r="1148">
          <cell r="N1148" t="str">
            <v>719403</v>
          </cell>
          <cell r="O1148" t="str">
            <v/>
          </cell>
          <cell r="P1148" t="str">
            <v/>
          </cell>
          <cell r="Q1148" t="str">
            <v>4198</v>
          </cell>
        </row>
        <row r="1149">
          <cell r="N1149" t="str">
            <v>719403</v>
          </cell>
          <cell r="O1149" t="str">
            <v>ONL</v>
          </cell>
          <cell r="P1149" t="str">
            <v>ONL719403</v>
          </cell>
          <cell r="Q1149" t="str">
            <v>4198</v>
          </cell>
        </row>
        <row r="1150">
          <cell r="N1150" t="str">
            <v/>
          </cell>
          <cell r="O1150" t="str">
            <v/>
          </cell>
          <cell r="P1150" t="str">
            <v/>
          </cell>
          <cell r="Q1150" t="str">
            <v/>
          </cell>
        </row>
        <row r="1151">
          <cell r="N1151" t="str">
            <v>7169014</v>
          </cell>
          <cell r="O1151" t="str">
            <v/>
          </cell>
          <cell r="P1151" t="str">
            <v/>
          </cell>
          <cell r="Q1151" t="str">
            <v>4161599</v>
          </cell>
        </row>
        <row r="1152">
          <cell r="N1152" t="str">
            <v>7169014</v>
          </cell>
          <cell r="O1152" t="str">
            <v>L01</v>
          </cell>
          <cell r="P1152" t="str">
            <v>L017169014</v>
          </cell>
          <cell r="Q1152" t="str">
            <v>4161599</v>
          </cell>
        </row>
        <row r="1153">
          <cell r="N1153" t="str">
            <v>7169014</v>
          </cell>
          <cell r="O1153" t="str">
            <v>ONL</v>
          </cell>
          <cell r="P1153" t="str">
            <v>ONL7169014</v>
          </cell>
          <cell r="Q1153" t="str">
            <v>4161599</v>
          </cell>
        </row>
        <row r="1154">
          <cell r="N1154" t="str">
            <v/>
          </cell>
          <cell r="O1154" t="str">
            <v/>
          </cell>
          <cell r="P1154" t="str">
            <v/>
          </cell>
          <cell r="Q1154" t="str">
            <v/>
          </cell>
        </row>
        <row r="1155">
          <cell r="N1155" t="str">
            <v>7190640</v>
          </cell>
          <cell r="O1155" t="str">
            <v/>
          </cell>
          <cell r="P1155" t="str">
            <v/>
          </cell>
          <cell r="Q1155" t="str">
            <v>4198</v>
          </cell>
        </row>
        <row r="1156">
          <cell r="N1156" t="str">
            <v>7190640</v>
          </cell>
          <cell r="O1156" t="str">
            <v>L01</v>
          </cell>
          <cell r="P1156" t="str">
            <v>L017190640</v>
          </cell>
          <cell r="Q1156" t="str">
            <v>4198</v>
          </cell>
        </row>
        <row r="1157">
          <cell r="N1157" t="str">
            <v>7190640</v>
          </cell>
          <cell r="O1157" t="str">
            <v>ONL</v>
          </cell>
          <cell r="P1157" t="str">
            <v>ONL7190640</v>
          </cell>
          <cell r="Q1157" t="str">
            <v>4198</v>
          </cell>
        </row>
        <row r="1158">
          <cell r="N1158" t="str">
            <v/>
          </cell>
          <cell r="O1158" t="str">
            <v/>
          </cell>
          <cell r="P1158" t="str">
            <v/>
          </cell>
          <cell r="Q1158" t="str">
            <v/>
          </cell>
        </row>
        <row r="1159">
          <cell r="N1159" t="str">
            <v>71690</v>
          </cell>
          <cell r="O1159" t="str">
            <v/>
          </cell>
          <cell r="P1159" t="str">
            <v/>
          </cell>
          <cell r="Q1159" t="str">
            <v/>
          </cell>
        </row>
        <row r="1160">
          <cell r="N1160" t="str">
            <v>71690</v>
          </cell>
          <cell r="O1160" t="str">
            <v>LO1</v>
          </cell>
          <cell r="P1160" t="str">
            <v>LO171690</v>
          </cell>
          <cell r="Q1160" t="str">
            <v/>
          </cell>
        </row>
        <row r="1161">
          <cell r="N1161" t="str">
            <v>71690</v>
          </cell>
          <cell r="O1161" t="str">
            <v>LRA</v>
          </cell>
          <cell r="P1161" t="str">
            <v>LRA71690</v>
          </cell>
          <cell r="Q1161" t="str">
            <v/>
          </cell>
        </row>
        <row r="1162">
          <cell r="N1162" t="str">
            <v>71690</v>
          </cell>
          <cell r="O1162" t="str">
            <v>ONL</v>
          </cell>
          <cell r="P1162" t="str">
            <v>ONL71690</v>
          </cell>
          <cell r="Q1162" t="str">
            <v/>
          </cell>
        </row>
        <row r="1163">
          <cell r="N1163" t="str">
            <v>71690</v>
          </cell>
          <cell r="O1163" t="str">
            <v>RM9</v>
          </cell>
          <cell r="P1163" t="str">
            <v>RM971690</v>
          </cell>
          <cell r="Q1163" t="str">
            <v/>
          </cell>
        </row>
        <row r="1164">
          <cell r="N1164" t="str">
            <v>71690</v>
          </cell>
          <cell r="O1164" t="str">
            <v>UPF</v>
          </cell>
          <cell r="P1164" t="str">
            <v>UPF71690</v>
          </cell>
          <cell r="Q1164" t="str">
            <v/>
          </cell>
        </row>
        <row r="1165">
          <cell r="N1165" t="str">
            <v>71690</v>
          </cell>
          <cell r="O1165" t="str">
            <v>YA1</v>
          </cell>
          <cell r="P1165" t="str">
            <v>YA171690</v>
          </cell>
          <cell r="Q1165" t="str">
            <v/>
          </cell>
        </row>
        <row r="1166">
          <cell r="N1166" t="str">
            <v>71690</v>
          </cell>
          <cell r="O1166" t="str">
            <v>YDY</v>
          </cell>
          <cell r="P1166" t="str">
            <v>YDY71690</v>
          </cell>
          <cell r="Q1166" t="str">
            <v/>
          </cell>
        </row>
        <row r="1167">
          <cell r="N1167" t="str">
            <v>71690</v>
          </cell>
          <cell r="O1167" t="str">
            <v>YDZ</v>
          </cell>
          <cell r="P1167" t="str">
            <v>YDZ71690</v>
          </cell>
          <cell r="Q1167" t="str">
            <v/>
          </cell>
        </row>
        <row r="1168">
          <cell r="N1168" t="str">
            <v>71690</v>
          </cell>
          <cell r="O1168" t="str">
            <v>111</v>
          </cell>
          <cell r="P1168" t="str">
            <v>11171690</v>
          </cell>
          <cell r="Q1168" t="str">
            <v/>
          </cell>
        </row>
        <row r="1169">
          <cell r="N1169" t="str">
            <v>716900</v>
          </cell>
          <cell r="O1169" t="str">
            <v/>
          </cell>
          <cell r="P1169" t="str">
            <v/>
          </cell>
          <cell r="Q1169" t="str">
            <v/>
          </cell>
        </row>
        <row r="1170">
          <cell r="N1170" t="str">
            <v>716900</v>
          </cell>
          <cell r="O1170" t="str">
            <v>LO1</v>
          </cell>
          <cell r="P1170" t="str">
            <v>LO1716900</v>
          </cell>
          <cell r="Q1170" t="str">
            <v/>
          </cell>
        </row>
        <row r="1171">
          <cell r="N1171" t="str">
            <v>716900</v>
          </cell>
          <cell r="O1171" t="str">
            <v>LRA</v>
          </cell>
          <cell r="P1171" t="str">
            <v>LRA716900</v>
          </cell>
          <cell r="Q1171" t="str">
            <v/>
          </cell>
        </row>
        <row r="1172">
          <cell r="N1172" t="str">
            <v>716900</v>
          </cell>
          <cell r="O1172" t="str">
            <v>L01</v>
          </cell>
          <cell r="P1172" t="str">
            <v>L01716900</v>
          </cell>
          <cell r="Q1172" t="str">
            <v/>
          </cell>
        </row>
        <row r="1173">
          <cell r="N1173" t="str">
            <v>716900</v>
          </cell>
          <cell r="O1173" t="str">
            <v>OGX</v>
          </cell>
          <cell r="P1173" t="str">
            <v>OGX716900</v>
          </cell>
          <cell r="Q1173" t="str">
            <v/>
          </cell>
        </row>
        <row r="1174">
          <cell r="N1174" t="str">
            <v>716900</v>
          </cell>
          <cell r="O1174" t="str">
            <v>ONL</v>
          </cell>
          <cell r="P1174" t="str">
            <v>ONL716900</v>
          </cell>
          <cell r="Q1174" t="str">
            <v/>
          </cell>
        </row>
        <row r="1175">
          <cell r="N1175" t="str">
            <v>716900</v>
          </cell>
          <cell r="O1175" t="str">
            <v>YEX</v>
          </cell>
          <cell r="P1175" t="str">
            <v>YEX716900</v>
          </cell>
          <cell r="Q1175" t="str">
            <v/>
          </cell>
        </row>
        <row r="1176">
          <cell r="N1176" t="str">
            <v>716900</v>
          </cell>
          <cell r="O1176" t="str">
            <v>111</v>
          </cell>
          <cell r="P1176" t="str">
            <v>111716900</v>
          </cell>
          <cell r="Q1176" t="str">
            <v/>
          </cell>
        </row>
        <row r="1177">
          <cell r="N1177" t="str">
            <v>7169000</v>
          </cell>
          <cell r="O1177" t="str">
            <v/>
          </cell>
          <cell r="P1177" t="str">
            <v/>
          </cell>
          <cell r="Q1177" t="str">
            <v>51959</v>
          </cell>
        </row>
        <row r="1178">
          <cell r="N1178" t="str">
            <v>7169000</v>
          </cell>
          <cell r="O1178" t="str">
            <v>YA2</v>
          </cell>
          <cell r="P1178" t="str">
            <v>YA27169000</v>
          </cell>
          <cell r="Q1178" t="str">
            <v>51959</v>
          </cell>
        </row>
        <row r="1179">
          <cell r="N1179" t="str">
            <v>7169002</v>
          </cell>
          <cell r="O1179" t="str">
            <v/>
          </cell>
          <cell r="P1179" t="str">
            <v/>
          </cell>
          <cell r="Q1179" t="str">
            <v>5151511</v>
          </cell>
        </row>
        <row r="1180">
          <cell r="N1180" t="str">
            <v>7169002</v>
          </cell>
          <cell r="O1180" t="str">
            <v>L01</v>
          </cell>
          <cell r="P1180" t="str">
            <v>L017169002</v>
          </cell>
          <cell r="Q1180" t="str">
            <v>5151511</v>
          </cell>
        </row>
        <row r="1181">
          <cell r="N1181" t="str">
            <v>7169002</v>
          </cell>
          <cell r="O1181" t="str">
            <v>YEX</v>
          </cell>
          <cell r="P1181" t="str">
            <v>YEX7169002</v>
          </cell>
          <cell r="Q1181" t="str">
            <v>5151511</v>
          </cell>
        </row>
        <row r="1182">
          <cell r="N1182" t="str">
            <v>7169009</v>
          </cell>
          <cell r="O1182" t="str">
            <v/>
          </cell>
          <cell r="P1182" t="str">
            <v/>
          </cell>
          <cell r="Q1182" t="str">
            <v>4161599</v>
          </cell>
        </row>
        <row r="1183">
          <cell r="N1183" t="str">
            <v>7169009</v>
          </cell>
          <cell r="O1183" t="str">
            <v>LO1</v>
          </cell>
          <cell r="P1183" t="str">
            <v>LO17169009</v>
          </cell>
          <cell r="Q1183" t="str">
            <v>4161599</v>
          </cell>
        </row>
        <row r="1184">
          <cell r="N1184" t="str">
            <v>7169009</v>
          </cell>
          <cell r="O1184" t="str">
            <v>LRA</v>
          </cell>
          <cell r="P1184" t="str">
            <v>LRA7169009</v>
          </cell>
          <cell r="Q1184" t="str">
            <v>4161599</v>
          </cell>
        </row>
        <row r="1185">
          <cell r="N1185" t="str">
            <v>7169009</v>
          </cell>
          <cell r="O1185" t="str">
            <v>OGX</v>
          </cell>
          <cell r="P1185" t="str">
            <v>OGX7169009</v>
          </cell>
          <cell r="Q1185" t="str">
            <v>4161599</v>
          </cell>
        </row>
        <row r="1186">
          <cell r="N1186" t="str">
            <v>7169009</v>
          </cell>
          <cell r="O1186" t="str">
            <v>ONL</v>
          </cell>
          <cell r="P1186" t="str">
            <v>ONL7169009</v>
          </cell>
          <cell r="Q1186" t="str">
            <v>4161599</v>
          </cell>
        </row>
        <row r="1187">
          <cell r="N1187" t="str">
            <v>7169009</v>
          </cell>
          <cell r="O1187" t="str">
            <v>111</v>
          </cell>
          <cell r="P1187" t="str">
            <v>1117169009</v>
          </cell>
          <cell r="Q1187" t="str">
            <v>4161599</v>
          </cell>
        </row>
        <row r="1188">
          <cell r="N1188" t="str">
            <v>716901</v>
          </cell>
          <cell r="O1188" t="str">
            <v/>
          </cell>
          <cell r="P1188" t="str">
            <v/>
          </cell>
          <cell r="Q1188" t="str">
            <v/>
          </cell>
        </row>
        <row r="1189">
          <cell r="N1189" t="str">
            <v>716901</v>
          </cell>
          <cell r="O1189" t="str">
            <v>LRA</v>
          </cell>
          <cell r="P1189" t="str">
            <v>LRA716901</v>
          </cell>
          <cell r="Q1189" t="str">
            <v/>
          </cell>
        </row>
        <row r="1190">
          <cell r="N1190" t="str">
            <v>716901</v>
          </cell>
          <cell r="O1190" t="str">
            <v>L01</v>
          </cell>
          <cell r="P1190" t="str">
            <v>L01716901</v>
          </cell>
          <cell r="Q1190" t="str">
            <v/>
          </cell>
        </row>
        <row r="1191">
          <cell r="N1191" t="str">
            <v>716901</v>
          </cell>
          <cell r="O1191" t="str">
            <v>OGX</v>
          </cell>
          <cell r="P1191" t="str">
            <v>OGX716901</v>
          </cell>
          <cell r="Q1191" t="str">
            <v/>
          </cell>
        </row>
        <row r="1192">
          <cell r="N1192" t="str">
            <v>716901</v>
          </cell>
          <cell r="O1192" t="str">
            <v>ONL</v>
          </cell>
          <cell r="P1192" t="str">
            <v>ONL716901</v>
          </cell>
          <cell r="Q1192" t="str">
            <v/>
          </cell>
        </row>
        <row r="1193">
          <cell r="N1193" t="str">
            <v>716901</v>
          </cell>
          <cell r="O1193" t="str">
            <v>111</v>
          </cell>
          <cell r="P1193" t="str">
            <v>111716901</v>
          </cell>
          <cell r="Q1193" t="str">
            <v/>
          </cell>
        </row>
        <row r="1194">
          <cell r="N1194" t="str">
            <v>716902</v>
          </cell>
          <cell r="O1194" t="str">
            <v/>
          </cell>
          <cell r="P1194" t="str">
            <v/>
          </cell>
          <cell r="Q1194" t="str">
            <v>4161599</v>
          </cell>
        </row>
        <row r="1195">
          <cell r="N1195" t="str">
            <v>716902</v>
          </cell>
          <cell r="O1195" t="str">
            <v>CMO</v>
          </cell>
          <cell r="P1195" t="str">
            <v>CMO716902</v>
          </cell>
          <cell r="Q1195" t="str">
            <v>4161599</v>
          </cell>
        </row>
        <row r="1196">
          <cell r="N1196" t="str">
            <v>71695</v>
          </cell>
          <cell r="O1196" t="str">
            <v/>
          </cell>
          <cell r="P1196" t="str">
            <v/>
          </cell>
          <cell r="Q1196" t="str">
            <v/>
          </cell>
        </row>
        <row r="1197">
          <cell r="N1197" t="str">
            <v>71695</v>
          </cell>
          <cell r="O1197" t="str">
            <v>LO1</v>
          </cell>
          <cell r="P1197" t="str">
            <v>LO171695</v>
          </cell>
          <cell r="Q1197" t="str">
            <v/>
          </cell>
        </row>
        <row r="1198">
          <cell r="N1198" t="str">
            <v>716951</v>
          </cell>
          <cell r="O1198" t="str">
            <v/>
          </cell>
          <cell r="P1198" t="str">
            <v/>
          </cell>
          <cell r="Q1198" t="str">
            <v>4161599</v>
          </cell>
        </row>
        <row r="1199">
          <cell r="N1199" t="str">
            <v>716951</v>
          </cell>
          <cell r="O1199" t="str">
            <v>L01</v>
          </cell>
          <cell r="P1199" t="str">
            <v>L01716951</v>
          </cell>
          <cell r="Q1199" t="str">
            <v>4161599</v>
          </cell>
        </row>
        <row r="1200">
          <cell r="N1200" t="str">
            <v>716951</v>
          </cell>
          <cell r="O1200" t="str">
            <v>ONL</v>
          </cell>
          <cell r="P1200" t="str">
            <v>ONL716951</v>
          </cell>
          <cell r="Q1200" t="str">
            <v>4161599</v>
          </cell>
        </row>
        <row r="1201">
          <cell r="N1201" t="str">
            <v>71699</v>
          </cell>
          <cell r="O1201" t="str">
            <v/>
          </cell>
          <cell r="P1201" t="str">
            <v/>
          </cell>
          <cell r="Q1201" t="str">
            <v>41999</v>
          </cell>
        </row>
        <row r="1202">
          <cell r="N1202" t="str">
            <v>71699</v>
          </cell>
          <cell r="O1202" t="str">
            <v>DCA</v>
          </cell>
          <cell r="P1202" t="str">
            <v>DCA71699</v>
          </cell>
          <cell r="Q1202" t="str">
            <v>41999</v>
          </cell>
        </row>
        <row r="1203">
          <cell r="N1203" t="str">
            <v>71906</v>
          </cell>
          <cell r="O1203" t="str">
            <v/>
          </cell>
          <cell r="P1203" t="str">
            <v/>
          </cell>
          <cell r="Q1203" t="str">
            <v/>
          </cell>
        </row>
        <row r="1204">
          <cell r="N1204" t="str">
            <v>71906</v>
          </cell>
          <cell r="O1204" t="str">
            <v>ONL</v>
          </cell>
          <cell r="P1204" t="str">
            <v>ONL71906</v>
          </cell>
          <cell r="Q1204" t="str">
            <v/>
          </cell>
        </row>
        <row r="1205">
          <cell r="N1205" t="str">
            <v>71906</v>
          </cell>
          <cell r="O1205" t="str">
            <v>YA1</v>
          </cell>
          <cell r="P1205" t="str">
            <v>YA171906</v>
          </cell>
          <cell r="Q1205" t="str">
            <v/>
          </cell>
        </row>
        <row r="1206">
          <cell r="N1206" t="str">
            <v>71906</v>
          </cell>
          <cell r="O1206" t="str">
            <v>YDW</v>
          </cell>
          <cell r="P1206" t="str">
            <v>YDW71906</v>
          </cell>
          <cell r="Q1206" t="str">
            <v/>
          </cell>
        </row>
        <row r="1207">
          <cell r="N1207" t="str">
            <v>71906</v>
          </cell>
          <cell r="O1207" t="str">
            <v>YDY</v>
          </cell>
          <cell r="P1207" t="str">
            <v>YDY71906</v>
          </cell>
          <cell r="Q1207" t="str">
            <v/>
          </cell>
        </row>
        <row r="1208">
          <cell r="N1208" t="str">
            <v>71906</v>
          </cell>
          <cell r="O1208" t="str">
            <v>YDZ</v>
          </cell>
          <cell r="P1208" t="str">
            <v>YDZ71906</v>
          </cell>
          <cell r="Q1208" t="str">
            <v/>
          </cell>
        </row>
        <row r="1209">
          <cell r="N1209" t="str">
            <v>77940</v>
          </cell>
          <cell r="O1209" t="str">
            <v/>
          </cell>
          <cell r="P1209" t="str">
            <v/>
          </cell>
          <cell r="Q1209" t="str">
            <v>4161599</v>
          </cell>
        </row>
        <row r="1210">
          <cell r="N1210" t="str">
            <v>77940</v>
          </cell>
          <cell r="O1210" t="str">
            <v>DCA</v>
          </cell>
          <cell r="P1210" t="str">
            <v>DCA77940</v>
          </cell>
          <cell r="Q1210" t="str">
            <v>4161599</v>
          </cell>
        </row>
        <row r="1211">
          <cell r="N1211" t="str">
            <v>77944</v>
          </cell>
          <cell r="O1211" t="str">
            <v/>
          </cell>
          <cell r="P1211" t="str">
            <v/>
          </cell>
          <cell r="Q1211" t="str">
            <v/>
          </cell>
        </row>
        <row r="1212">
          <cell r="N1212" t="str">
            <v>77944</v>
          </cell>
          <cell r="O1212" t="str">
            <v>DCA</v>
          </cell>
          <cell r="P1212" t="str">
            <v>DCA77944</v>
          </cell>
          <cell r="Q1212" t="str">
            <v/>
          </cell>
        </row>
        <row r="1213">
          <cell r="N1213" t="str">
            <v>77944</v>
          </cell>
          <cell r="O1213" t="str">
            <v>ONL</v>
          </cell>
          <cell r="P1213" t="str">
            <v>ONL77944</v>
          </cell>
          <cell r="Q1213" t="str">
            <v/>
          </cell>
        </row>
        <row r="1214">
          <cell r="N1214" t="str">
            <v>77944</v>
          </cell>
          <cell r="O1214" t="str">
            <v>REG</v>
          </cell>
          <cell r="P1214" t="str">
            <v>REG77944</v>
          </cell>
          <cell r="Q1214" t="str">
            <v/>
          </cell>
        </row>
        <row r="1215">
          <cell r="N1215" t="str">
            <v>77970</v>
          </cell>
          <cell r="O1215" t="str">
            <v/>
          </cell>
          <cell r="P1215" t="str">
            <v/>
          </cell>
          <cell r="Q1215" t="str">
            <v>41499</v>
          </cell>
        </row>
        <row r="1216">
          <cell r="N1216" t="str">
            <v>77970</v>
          </cell>
          <cell r="O1216" t="str">
            <v>LO1</v>
          </cell>
          <cell r="P1216" t="str">
            <v>LO177970</v>
          </cell>
          <cell r="Q1216" t="str">
            <v>41499</v>
          </cell>
        </row>
        <row r="1217">
          <cell r="N1217" t="str">
            <v>77970</v>
          </cell>
          <cell r="O1217" t="str">
            <v>LRA</v>
          </cell>
          <cell r="P1217" t="str">
            <v>LRA77970</v>
          </cell>
          <cell r="Q1217" t="str">
            <v>41499</v>
          </cell>
        </row>
        <row r="1218">
          <cell r="N1218" t="str">
            <v>77970</v>
          </cell>
          <cell r="O1218" t="str">
            <v>ONL</v>
          </cell>
          <cell r="P1218" t="str">
            <v>ONL77970</v>
          </cell>
          <cell r="Q1218" t="str">
            <v>41499</v>
          </cell>
        </row>
        <row r="1219">
          <cell r="N1219" t="str">
            <v>8255</v>
          </cell>
          <cell r="O1219" t="str">
            <v/>
          </cell>
          <cell r="P1219" t="str">
            <v/>
          </cell>
          <cell r="Q1219" t="str">
            <v>5151511</v>
          </cell>
        </row>
        <row r="1220">
          <cell r="N1220" t="str">
            <v>8255</v>
          </cell>
          <cell r="O1220" t="str">
            <v>REG</v>
          </cell>
          <cell r="P1220" t="str">
            <v>REG8255</v>
          </cell>
          <cell r="Q1220" t="str">
            <v>5151511</v>
          </cell>
        </row>
        <row r="1221">
          <cell r="N1221" t="str">
            <v>8255</v>
          </cell>
          <cell r="O1221" t="str">
            <v>RGX</v>
          </cell>
          <cell r="P1221" t="str">
            <v>RGX8255</v>
          </cell>
          <cell r="Q1221" t="str">
            <v>5151511</v>
          </cell>
        </row>
        <row r="1222">
          <cell r="N1222" t="str">
            <v>8255</v>
          </cell>
          <cell r="O1222" t="str">
            <v>111</v>
          </cell>
          <cell r="P1222" t="str">
            <v>1118255</v>
          </cell>
          <cell r="Q1222" t="str">
            <v>5151511</v>
          </cell>
        </row>
        <row r="1223">
          <cell r="N1223" t="str">
            <v>82560</v>
          </cell>
          <cell r="O1223" t="str">
            <v/>
          </cell>
          <cell r="P1223" t="str">
            <v/>
          </cell>
          <cell r="Q1223" t="str">
            <v>5151506</v>
          </cell>
        </row>
        <row r="1224">
          <cell r="N1224" t="str">
            <v>82560</v>
          </cell>
          <cell r="O1224" t="str">
            <v>REG</v>
          </cell>
          <cell r="P1224" t="str">
            <v>REG82560</v>
          </cell>
          <cell r="Q1224" t="str">
            <v>5151506</v>
          </cell>
        </row>
        <row r="1225">
          <cell r="N1225" t="str">
            <v>8257</v>
          </cell>
          <cell r="O1225" t="str">
            <v/>
          </cell>
          <cell r="P1225" t="str">
            <v/>
          </cell>
          <cell r="Q1225" t="str">
            <v>5151503</v>
          </cell>
        </row>
        <row r="1226">
          <cell r="N1226" t="str">
            <v>8257</v>
          </cell>
          <cell r="O1226" t="str">
            <v>ONL</v>
          </cell>
          <cell r="P1226" t="str">
            <v>ONL8257</v>
          </cell>
          <cell r="Q1226" t="str">
            <v>5151503</v>
          </cell>
        </row>
        <row r="1227">
          <cell r="N1227" t="str">
            <v>8257</v>
          </cell>
          <cell r="O1227" t="str">
            <v>REG</v>
          </cell>
          <cell r="P1227" t="str">
            <v>REG8257</v>
          </cell>
          <cell r="Q1227" t="str">
            <v>5151503</v>
          </cell>
        </row>
        <row r="1228">
          <cell r="N1228" t="str">
            <v>8257</v>
          </cell>
          <cell r="O1228" t="str">
            <v>TRP</v>
          </cell>
          <cell r="P1228" t="str">
            <v>TRP8257</v>
          </cell>
          <cell r="Q1228" t="str">
            <v>5151503</v>
          </cell>
        </row>
        <row r="1229">
          <cell r="N1229" t="str">
            <v>82570</v>
          </cell>
          <cell r="O1229" t="str">
            <v/>
          </cell>
          <cell r="P1229" t="str">
            <v/>
          </cell>
          <cell r="Q1229" t="str">
            <v/>
          </cell>
        </row>
        <row r="1230">
          <cell r="N1230" t="str">
            <v>82570</v>
          </cell>
          <cell r="O1230" t="str">
            <v>ONL</v>
          </cell>
          <cell r="P1230" t="str">
            <v>ONL82570</v>
          </cell>
          <cell r="Q1230" t="str">
            <v/>
          </cell>
        </row>
        <row r="1231">
          <cell r="N1231" t="str">
            <v>82570</v>
          </cell>
          <cell r="O1231" t="str">
            <v>REG</v>
          </cell>
          <cell r="P1231" t="str">
            <v>REG82570</v>
          </cell>
          <cell r="Q1231" t="str">
            <v/>
          </cell>
        </row>
        <row r="1232">
          <cell r="N1232" t="str">
            <v>82570</v>
          </cell>
          <cell r="O1232" t="str">
            <v>TRP</v>
          </cell>
          <cell r="P1232" t="str">
            <v>TRP82570</v>
          </cell>
          <cell r="Q1232" t="str">
            <v/>
          </cell>
        </row>
        <row r="1233">
          <cell r="N1233" t="str">
            <v>82571</v>
          </cell>
          <cell r="O1233" t="str">
            <v/>
          </cell>
          <cell r="P1233" t="str">
            <v/>
          </cell>
          <cell r="Q1233" t="str">
            <v/>
          </cell>
        </row>
        <row r="1234">
          <cell r="N1234" t="str">
            <v>82571</v>
          </cell>
          <cell r="O1234" t="str">
            <v>ONL</v>
          </cell>
          <cell r="P1234" t="str">
            <v>ONL82571</v>
          </cell>
          <cell r="Q1234" t="str">
            <v/>
          </cell>
        </row>
        <row r="1235">
          <cell r="N1235" t="str">
            <v>82571</v>
          </cell>
          <cell r="O1235" t="str">
            <v>REG</v>
          </cell>
          <cell r="P1235" t="str">
            <v>REG82571</v>
          </cell>
          <cell r="Q1235" t="str">
            <v/>
          </cell>
        </row>
        <row r="1236">
          <cell r="N1236" t="str">
            <v>82590</v>
          </cell>
          <cell r="O1236" t="str">
            <v/>
          </cell>
          <cell r="P1236" t="str">
            <v/>
          </cell>
          <cell r="Q1236" t="str">
            <v/>
          </cell>
        </row>
        <row r="1237">
          <cell r="N1237" t="str">
            <v>82590</v>
          </cell>
          <cell r="O1237" t="str">
            <v>LRA</v>
          </cell>
          <cell r="P1237" t="str">
            <v>LRA82590</v>
          </cell>
          <cell r="Q1237" t="str">
            <v/>
          </cell>
        </row>
        <row r="1238">
          <cell r="N1238" t="str">
            <v>82590</v>
          </cell>
          <cell r="O1238" t="str">
            <v>MVK</v>
          </cell>
          <cell r="P1238" t="str">
            <v>MVK82590</v>
          </cell>
          <cell r="Q1238" t="str">
            <v/>
          </cell>
        </row>
        <row r="1239">
          <cell r="N1239" t="str">
            <v>82590</v>
          </cell>
          <cell r="O1239" t="str">
            <v>ONL</v>
          </cell>
          <cell r="P1239" t="str">
            <v>ONL82590</v>
          </cell>
          <cell r="Q1239" t="str">
            <v/>
          </cell>
        </row>
        <row r="1240">
          <cell r="N1240" t="str">
            <v>82590</v>
          </cell>
          <cell r="O1240" t="str">
            <v>REG</v>
          </cell>
          <cell r="P1240" t="str">
            <v>REG82590</v>
          </cell>
          <cell r="Q1240" t="str">
            <v/>
          </cell>
        </row>
        <row r="1241">
          <cell r="N1241" t="str">
            <v>82590</v>
          </cell>
          <cell r="O1241" t="str">
            <v>SRG</v>
          </cell>
          <cell r="P1241" t="str">
            <v>SRG82590</v>
          </cell>
          <cell r="Q1241" t="str">
            <v/>
          </cell>
        </row>
        <row r="1242">
          <cell r="N1242" t="str">
            <v>82590</v>
          </cell>
          <cell r="O1242" t="str">
            <v>YBE</v>
          </cell>
          <cell r="P1242" t="str">
            <v>YBE82590</v>
          </cell>
          <cell r="Q1242" t="str">
            <v/>
          </cell>
        </row>
        <row r="1243">
          <cell r="N1243" t="str">
            <v>82590</v>
          </cell>
          <cell r="O1243" t="str">
            <v>YB6</v>
          </cell>
          <cell r="P1243" t="str">
            <v>YB682590</v>
          </cell>
          <cell r="Q1243" t="str">
            <v/>
          </cell>
        </row>
        <row r="1244">
          <cell r="N1244" t="str">
            <v>82590</v>
          </cell>
          <cell r="O1244" t="str">
            <v>YCH</v>
          </cell>
          <cell r="P1244" t="str">
            <v>YCH82590</v>
          </cell>
          <cell r="Q1244" t="str">
            <v/>
          </cell>
        </row>
        <row r="1245">
          <cell r="N1245" t="str">
            <v>82590</v>
          </cell>
          <cell r="O1245" t="str">
            <v>Y92</v>
          </cell>
          <cell r="P1245" t="str">
            <v>Y9282590</v>
          </cell>
          <cell r="Q1245" t="str">
            <v/>
          </cell>
        </row>
        <row r="1246">
          <cell r="N1246" t="str">
            <v>82590</v>
          </cell>
          <cell r="O1246" t="str">
            <v>Y96</v>
          </cell>
          <cell r="P1246" t="str">
            <v>Y9682590</v>
          </cell>
          <cell r="Q1246" t="str">
            <v/>
          </cell>
        </row>
        <row r="1247">
          <cell r="N1247" t="str">
            <v>82590</v>
          </cell>
          <cell r="O1247" t="str">
            <v>111</v>
          </cell>
          <cell r="P1247" t="str">
            <v>11182590</v>
          </cell>
          <cell r="Q1247" t="str">
            <v/>
          </cell>
        </row>
        <row r="1248">
          <cell r="N1248" t="str">
            <v>825900</v>
          </cell>
          <cell r="O1248" t="str">
            <v/>
          </cell>
          <cell r="P1248" t="str">
            <v/>
          </cell>
          <cell r="Q1248" t="str">
            <v/>
          </cell>
        </row>
        <row r="1249">
          <cell r="N1249" t="str">
            <v>825900</v>
          </cell>
          <cell r="O1249" t="str">
            <v>EYA</v>
          </cell>
          <cell r="P1249" t="str">
            <v>EYA825900</v>
          </cell>
          <cell r="Q1249" t="str">
            <v/>
          </cell>
        </row>
        <row r="1250">
          <cell r="N1250" t="str">
            <v>825900</v>
          </cell>
          <cell r="O1250" t="str">
            <v>LRA</v>
          </cell>
          <cell r="P1250" t="str">
            <v>LRA825900</v>
          </cell>
          <cell r="Q1250" t="str">
            <v/>
          </cell>
        </row>
        <row r="1251">
          <cell r="N1251" t="str">
            <v>825900</v>
          </cell>
          <cell r="O1251" t="str">
            <v>L01</v>
          </cell>
          <cell r="P1251" t="str">
            <v>L01825900</v>
          </cell>
          <cell r="Q1251" t="str">
            <v/>
          </cell>
        </row>
        <row r="1252">
          <cell r="N1252" t="str">
            <v>825900</v>
          </cell>
          <cell r="O1252" t="str">
            <v>!MF</v>
          </cell>
          <cell r="P1252" t="str">
            <v>!MF825900</v>
          </cell>
          <cell r="Q1252" t="str">
            <v/>
          </cell>
        </row>
        <row r="1253">
          <cell r="N1253" t="str">
            <v>825900</v>
          </cell>
          <cell r="O1253" t="str">
            <v>ONL</v>
          </cell>
          <cell r="P1253" t="str">
            <v>ONL825900</v>
          </cell>
          <cell r="Q1253" t="str">
            <v/>
          </cell>
        </row>
        <row r="1254">
          <cell r="N1254" t="str">
            <v>825900</v>
          </cell>
          <cell r="O1254" t="str">
            <v>REG</v>
          </cell>
          <cell r="P1254" t="str">
            <v>REG825900</v>
          </cell>
          <cell r="Q1254" t="str">
            <v/>
          </cell>
        </row>
        <row r="1255">
          <cell r="N1255" t="str">
            <v>825900</v>
          </cell>
          <cell r="O1255" t="str">
            <v>SRG</v>
          </cell>
          <cell r="P1255" t="str">
            <v>SRG825900</v>
          </cell>
          <cell r="Q1255" t="str">
            <v/>
          </cell>
        </row>
        <row r="1256">
          <cell r="N1256" t="str">
            <v>825900</v>
          </cell>
          <cell r="O1256" t="str">
            <v>SRW</v>
          </cell>
          <cell r="P1256" t="str">
            <v>SRW825900</v>
          </cell>
          <cell r="Q1256" t="str">
            <v/>
          </cell>
        </row>
        <row r="1257">
          <cell r="N1257" t="str">
            <v>825900</v>
          </cell>
          <cell r="O1257" t="str">
            <v>YB6</v>
          </cell>
          <cell r="P1257" t="str">
            <v>YB6825900</v>
          </cell>
          <cell r="Q1257" t="str">
            <v/>
          </cell>
        </row>
        <row r="1258">
          <cell r="N1258" t="str">
            <v>825900</v>
          </cell>
          <cell r="O1258" t="str">
            <v>YCH</v>
          </cell>
          <cell r="P1258" t="str">
            <v>YCH825900</v>
          </cell>
          <cell r="Q1258" t="str">
            <v/>
          </cell>
        </row>
        <row r="1259">
          <cell r="N1259" t="str">
            <v>825900</v>
          </cell>
          <cell r="O1259" t="str">
            <v>Y96</v>
          </cell>
          <cell r="P1259" t="str">
            <v>Y96825900</v>
          </cell>
          <cell r="Q1259" t="str">
            <v/>
          </cell>
        </row>
        <row r="1260">
          <cell r="N1260" t="str">
            <v>825900</v>
          </cell>
          <cell r="O1260" t="str">
            <v>111</v>
          </cell>
          <cell r="P1260" t="str">
            <v>111825900</v>
          </cell>
          <cell r="Q1260" t="str">
            <v/>
          </cell>
        </row>
        <row r="1261">
          <cell r="N1261" t="str">
            <v>825900</v>
          </cell>
          <cell r="O1261" t="str">
            <v>899</v>
          </cell>
          <cell r="P1261" t="str">
            <v>899825900</v>
          </cell>
          <cell r="Q1261" t="str">
            <v/>
          </cell>
        </row>
        <row r="1262">
          <cell r="N1262" t="str">
            <v>82590020</v>
          </cell>
          <cell r="O1262" t="str">
            <v/>
          </cell>
          <cell r="P1262" t="str">
            <v/>
          </cell>
          <cell r="Q1262" t="str">
            <v>5151512</v>
          </cell>
        </row>
        <row r="1263">
          <cell r="N1263" t="str">
            <v>82590020</v>
          </cell>
          <cell r="O1263" t="str">
            <v>!MF</v>
          </cell>
          <cell r="P1263" t="str">
            <v>!MF82590020</v>
          </cell>
          <cell r="Q1263" t="str">
            <v>5151512</v>
          </cell>
        </row>
        <row r="1264">
          <cell r="N1264" t="str">
            <v>82590020</v>
          </cell>
          <cell r="O1264" t="str">
            <v>SRG</v>
          </cell>
          <cell r="P1264" t="str">
            <v>SRG82590020</v>
          </cell>
          <cell r="Q1264" t="str">
            <v>5151512</v>
          </cell>
        </row>
        <row r="1265">
          <cell r="N1265" t="str">
            <v>82590020</v>
          </cell>
          <cell r="O1265" t="str">
            <v>SRW</v>
          </cell>
          <cell r="P1265" t="str">
            <v>SRW82590020</v>
          </cell>
          <cell r="Q1265" t="str">
            <v>5151512</v>
          </cell>
        </row>
        <row r="1266">
          <cell r="N1266" t="str">
            <v>82590020</v>
          </cell>
          <cell r="O1266" t="str">
            <v>YCH</v>
          </cell>
          <cell r="P1266" t="str">
            <v>YCH82590020</v>
          </cell>
          <cell r="Q1266" t="str">
            <v>5151512</v>
          </cell>
        </row>
        <row r="1267">
          <cell r="N1267" t="str">
            <v>82590020</v>
          </cell>
          <cell r="O1267" t="str">
            <v>Y96</v>
          </cell>
          <cell r="P1267" t="str">
            <v>Y9682590020</v>
          </cell>
          <cell r="Q1267" t="str">
            <v>5151512</v>
          </cell>
        </row>
        <row r="1268">
          <cell r="N1268" t="str">
            <v>82590020</v>
          </cell>
          <cell r="O1268" t="str">
            <v>899</v>
          </cell>
          <cell r="P1268" t="str">
            <v>89982590020</v>
          </cell>
          <cell r="Q1268" t="str">
            <v>5151512</v>
          </cell>
        </row>
        <row r="1269">
          <cell r="N1269" t="str">
            <v>82590021</v>
          </cell>
          <cell r="O1269" t="str">
            <v/>
          </cell>
          <cell r="P1269" t="str">
            <v/>
          </cell>
          <cell r="Q1269" t="str">
            <v>5151511</v>
          </cell>
        </row>
        <row r="1270">
          <cell r="N1270" t="str">
            <v>82590021</v>
          </cell>
          <cell r="O1270" t="str">
            <v>MVK</v>
          </cell>
          <cell r="P1270" t="str">
            <v>MVK82590021</v>
          </cell>
          <cell r="Q1270" t="str">
            <v>5151511</v>
          </cell>
        </row>
        <row r="1271">
          <cell r="N1271" t="str">
            <v>8259009</v>
          </cell>
          <cell r="O1271" t="str">
            <v/>
          </cell>
          <cell r="P1271" t="str">
            <v/>
          </cell>
          <cell r="Q1271" t="str">
            <v>5151512</v>
          </cell>
        </row>
        <row r="1272">
          <cell r="N1272" t="str">
            <v>8259009</v>
          </cell>
          <cell r="O1272" t="str">
            <v>LRA</v>
          </cell>
          <cell r="P1272" t="str">
            <v>LRA8259009</v>
          </cell>
          <cell r="Q1272" t="str">
            <v>5151512</v>
          </cell>
        </row>
        <row r="1273">
          <cell r="N1273" t="str">
            <v>8259009</v>
          </cell>
          <cell r="O1273" t="str">
            <v>L01</v>
          </cell>
          <cell r="P1273" t="str">
            <v>L018259009</v>
          </cell>
          <cell r="Q1273" t="str">
            <v>5151512</v>
          </cell>
        </row>
        <row r="1274">
          <cell r="N1274" t="str">
            <v>8259009</v>
          </cell>
          <cell r="O1274" t="str">
            <v>ONL</v>
          </cell>
          <cell r="P1274" t="str">
            <v>ONL8259009</v>
          </cell>
          <cell r="Q1274" t="str">
            <v>5151512</v>
          </cell>
        </row>
        <row r="1275">
          <cell r="N1275" t="str">
            <v>8259009</v>
          </cell>
          <cell r="O1275" t="str">
            <v>REG</v>
          </cell>
          <cell r="P1275" t="str">
            <v>REG8259009</v>
          </cell>
          <cell r="Q1275" t="str">
            <v>5151512</v>
          </cell>
        </row>
        <row r="1276">
          <cell r="N1276" t="str">
            <v>8259009</v>
          </cell>
          <cell r="O1276" t="str">
            <v>111</v>
          </cell>
          <cell r="P1276" t="str">
            <v>1118259009</v>
          </cell>
          <cell r="Q1276" t="str">
            <v>5151512</v>
          </cell>
        </row>
        <row r="1277">
          <cell r="N1277" t="str">
            <v>825901</v>
          </cell>
          <cell r="O1277" t="str">
            <v/>
          </cell>
          <cell r="P1277" t="str">
            <v/>
          </cell>
          <cell r="Q1277" t="str">
            <v>5151512</v>
          </cell>
        </row>
        <row r="1278">
          <cell r="N1278" t="str">
            <v>825901</v>
          </cell>
          <cell r="O1278" t="str">
            <v>REG</v>
          </cell>
          <cell r="P1278" t="str">
            <v>REG825901</v>
          </cell>
          <cell r="Q1278" t="str">
            <v>5151512</v>
          </cell>
        </row>
        <row r="1279">
          <cell r="N1279" t="str">
            <v>825901</v>
          </cell>
          <cell r="O1279" t="str">
            <v>YBE</v>
          </cell>
          <cell r="P1279" t="str">
            <v>YBE825901</v>
          </cell>
          <cell r="Q1279" t="str">
            <v>5151512</v>
          </cell>
        </row>
        <row r="1280">
          <cell r="N1280" t="str">
            <v>825901</v>
          </cell>
          <cell r="O1280" t="str">
            <v>111</v>
          </cell>
          <cell r="P1280" t="str">
            <v>111825901</v>
          </cell>
          <cell r="Q1280" t="str">
            <v>5151512</v>
          </cell>
        </row>
        <row r="1281">
          <cell r="N1281" t="str">
            <v>82596</v>
          </cell>
          <cell r="O1281" t="str">
            <v/>
          </cell>
          <cell r="P1281" t="str">
            <v/>
          </cell>
          <cell r="Q1281" t="str">
            <v>502031047</v>
          </cell>
        </row>
        <row r="1282">
          <cell r="N1282" t="str">
            <v>82596</v>
          </cell>
          <cell r="O1282" t="str">
            <v>GX3</v>
          </cell>
          <cell r="P1282" t="str">
            <v>GX382596</v>
          </cell>
          <cell r="Q1282" t="str">
            <v>502031047</v>
          </cell>
        </row>
        <row r="1283">
          <cell r="N1283" t="str">
            <v>82596</v>
          </cell>
          <cell r="O1283" t="str">
            <v>ONL</v>
          </cell>
          <cell r="P1283" t="str">
            <v>ONL82596</v>
          </cell>
          <cell r="Q1283" t="str">
            <v>502031047</v>
          </cell>
        </row>
        <row r="1284">
          <cell r="N1284" t="str">
            <v>82596</v>
          </cell>
          <cell r="O1284" t="str">
            <v>RF3</v>
          </cell>
          <cell r="P1284" t="str">
            <v>RF382596</v>
          </cell>
          <cell r="Q1284" t="str">
            <v>502031047</v>
          </cell>
        </row>
        <row r="1285">
          <cell r="N1285" t="str">
            <v>82596</v>
          </cell>
          <cell r="O1285" t="str">
            <v>873</v>
          </cell>
          <cell r="P1285" t="str">
            <v>87382596</v>
          </cell>
          <cell r="Q1285" t="str">
            <v>502031047</v>
          </cell>
        </row>
        <row r="1286">
          <cell r="N1286" t="str">
            <v>82980</v>
          </cell>
          <cell r="O1286" t="str">
            <v/>
          </cell>
          <cell r="P1286" t="str">
            <v/>
          </cell>
          <cell r="Q1286" t="str">
            <v/>
          </cell>
        </row>
        <row r="1287">
          <cell r="N1287" t="str">
            <v>82980</v>
          </cell>
          <cell r="O1287" t="str">
            <v>YEG</v>
          </cell>
          <cell r="P1287" t="str">
            <v>YEG82980</v>
          </cell>
          <cell r="Q1287" t="str">
            <v/>
          </cell>
        </row>
        <row r="1288">
          <cell r="N1288" t="str">
            <v>829800</v>
          </cell>
          <cell r="O1288" t="str">
            <v/>
          </cell>
          <cell r="P1288" t="str">
            <v/>
          </cell>
          <cell r="Q1288" t="str">
            <v/>
          </cell>
        </row>
        <row r="1289">
          <cell r="N1289" t="str">
            <v>829800</v>
          </cell>
          <cell r="O1289" t="str">
            <v>ONL</v>
          </cell>
          <cell r="P1289" t="str">
            <v>ONL829800</v>
          </cell>
          <cell r="Q1289" t="str">
            <v/>
          </cell>
        </row>
        <row r="1290">
          <cell r="N1290" t="str">
            <v>829800</v>
          </cell>
          <cell r="O1290" t="str">
            <v>REG</v>
          </cell>
          <cell r="P1290" t="str">
            <v>REG829800</v>
          </cell>
          <cell r="Q1290" t="str">
            <v/>
          </cell>
        </row>
        <row r="1291">
          <cell r="N1291" t="str">
            <v>829800</v>
          </cell>
          <cell r="O1291" t="str">
            <v>SRI</v>
          </cell>
          <cell r="P1291" t="str">
            <v>SRI829800</v>
          </cell>
          <cell r="Q1291" t="str">
            <v/>
          </cell>
        </row>
        <row r="1292">
          <cell r="N1292" t="str">
            <v>829800</v>
          </cell>
          <cell r="O1292" t="str">
            <v>Y92</v>
          </cell>
          <cell r="P1292" t="str">
            <v>Y92829800</v>
          </cell>
          <cell r="Q1292" t="str">
            <v/>
          </cell>
        </row>
        <row r="1293">
          <cell r="N1293" t="str">
            <v>829809</v>
          </cell>
          <cell r="O1293" t="str">
            <v/>
          </cell>
          <cell r="P1293" t="str">
            <v/>
          </cell>
          <cell r="Q1293" t="str">
            <v/>
          </cell>
        </row>
        <row r="1294">
          <cell r="N1294" t="str">
            <v>829809</v>
          </cell>
          <cell r="O1294" t="str">
            <v>ONL</v>
          </cell>
          <cell r="P1294" t="str">
            <v>ONL829809</v>
          </cell>
          <cell r="Q1294" t="str">
            <v/>
          </cell>
        </row>
        <row r="1295">
          <cell r="N1295" t="str">
            <v>829809</v>
          </cell>
          <cell r="O1295" t="str">
            <v>YCV</v>
          </cell>
          <cell r="P1295" t="str">
            <v>YCV829809</v>
          </cell>
          <cell r="Q1295" t="str">
            <v/>
          </cell>
        </row>
        <row r="1296">
          <cell r="N1296" t="str">
            <v>829809</v>
          </cell>
          <cell r="O1296" t="str">
            <v>YEG</v>
          </cell>
          <cell r="P1296" t="str">
            <v>YEG829809</v>
          </cell>
          <cell r="Q1296" t="str">
            <v/>
          </cell>
        </row>
        <row r="1297">
          <cell r="N1297" t="str">
            <v>82981</v>
          </cell>
          <cell r="O1297" t="str">
            <v/>
          </cell>
          <cell r="P1297" t="str">
            <v/>
          </cell>
          <cell r="Q1297" t="str">
            <v/>
          </cell>
        </row>
        <row r="1298">
          <cell r="N1298" t="str">
            <v>82981</v>
          </cell>
          <cell r="O1298" t="str">
            <v>ONL</v>
          </cell>
          <cell r="P1298" t="str">
            <v>ONL82981</v>
          </cell>
          <cell r="Q1298" t="str">
            <v/>
          </cell>
        </row>
        <row r="1299">
          <cell r="N1299" t="str">
            <v>82981</v>
          </cell>
          <cell r="O1299" t="str">
            <v>REG</v>
          </cell>
          <cell r="P1299" t="str">
            <v>REG82981</v>
          </cell>
          <cell r="Q1299" t="str">
            <v/>
          </cell>
        </row>
        <row r="1300">
          <cell r="N1300" t="str">
            <v>82981</v>
          </cell>
          <cell r="O1300" t="str">
            <v>RGX</v>
          </cell>
          <cell r="P1300" t="str">
            <v>RGX82981</v>
          </cell>
          <cell r="Q1300" t="str">
            <v/>
          </cell>
        </row>
        <row r="1301">
          <cell r="N1301" t="str">
            <v>8921</v>
          </cell>
          <cell r="O1301" t="str">
            <v/>
          </cell>
          <cell r="P1301" t="str">
            <v/>
          </cell>
          <cell r="Q1301" t="str">
            <v>5151509</v>
          </cell>
        </row>
        <row r="1302">
          <cell r="N1302" t="str">
            <v>8921</v>
          </cell>
          <cell r="O1302" t="str">
            <v>LRA</v>
          </cell>
          <cell r="P1302" t="str">
            <v>LRA8921</v>
          </cell>
          <cell r="Q1302" t="str">
            <v>5151509</v>
          </cell>
        </row>
        <row r="1303">
          <cell r="N1303" t="str">
            <v>8921</v>
          </cell>
          <cell r="O1303" t="str">
            <v>!MF</v>
          </cell>
          <cell r="P1303" t="str">
            <v>!MF8921</v>
          </cell>
          <cell r="Q1303" t="str">
            <v>5151509</v>
          </cell>
        </row>
        <row r="1304">
          <cell r="N1304" t="str">
            <v>8921</v>
          </cell>
          <cell r="O1304" t="str">
            <v>ONL</v>
          </cell>
          <cell r="P1304" t="str">
            <v>ONL8921</v>
          </cell>
          <cell r="Q1304" t="str">
            <v>5151509</v>
          </cell>
        </row>
        <row r="1305">
          <cell r="N1305" t="str">
            <v>8921</v>
          </cell>
          <cell r="O1305" t="str">
            <v>REG</v>
          </cell>
          <cell r="P1305" t="str">
            <v>REG8921</v>
          </cell>
          <cell r="Q1305" t="str">
            <v>5151509</v>
          </cell>
        </row>
        <row r="1306">
          <cell r="N1306" t="str">
            <v>8921</v>
          </cell>
          <cell r="O1306" t="str">
            <v>YRP</v>
          </cell>
          <cell r="P1306" t="str">
            <v>YRP8921</v>
          </cell>
          <cell r="Q1306" t="str">
            <v>5151509</v>
          </cell>
        </row>
        <row r="1307">
          <cell r="N1307" t="str">
            <v>8921</v>
          </cell>
          <cell r="O1307" t="str">
            <v>YX1</v>
          </cell>
          <cell r="P1307" t="str">
            <v>YX18921</v>
          </cell>
          <cell r="Q1307" t="str">
            <v>5151509</v>
          </cell>
        </row>
        <row r="1308">
          <cell r="N1308" t="str">
            <v>8921</v>
          </cell>
          <cell r="O1308" t="str">
            <v>YX4</v>
          </cell>
          <cell r="P1308" t="str">
            <v>YX48921</v>
          </cell>
          <cell r="Q1308" t="str">
            <v>5151509</v>
          </cell>
        </row>
        <row r="1309">
          <cell r="N1309" t="str">
            <v>8921</v>
          </cell>
          <cell r="O1309" t="str">
            <v>YX5</v>
          </cell>
          <cell r="P1309" t="str">
            <v>YX58921</v>
          </cell>
          <cell r="Q1309" t="str">
            <v>5151509</v>
          </cell>
        </row>
        <row r="1310">
          <cell r="N1310" t="str">
            <v>8921</v>
          </cell>
          <cell r="O1310" t="str">
            <v>YX6</v>
          </cell>
          <cell r="P1310" t="str">
            <v>YX68921</v>
          </cell>
          <cell r="Q1310" t="str">
            <v>5151509</v>
          </cell>
        </row>
        <row r="1311">
          <cell r="N1311" t="str">
            <v>8921</v>
          </cell>
          <cell r="O1311" t="str">
            <v>019</v>
          </cell>
          <cell r="P1311" t="str">
            <v>0198921</v>
          </cell>
          <cell r="Q1311" t="str">
            <v>5151509</v>
          </cell>
        </row>
        <row r="1312">
          <cell r="N1312" t="str">
            <v>8921</v>
          </cell>
          <cell r="O1312" t="str">
            <v>111</v>
          </cell>
          <cell r="P1312" t="str">
            <v>1118921</v>
          </cell>
          <cell r="Q1312" t="str">
            <v>5151509</v>
          </cell>
        </row>
        <row r="1313">
          <cell r="N1313" t="str">
            <v>8921</v>
          </cell>
          <cell r="O1313" t="str">
            <v>892</v>
          </cell>
          <cell r="P1313" t="str">
            <v>8928921</v>
          </cell>
          <cell r="Q1313" t="str">
            <v>5151509</v>
          </cell>
        </row>
        <row r="1314">
          <cell r="N1314" t="str">
            <v>89210</v>
          </cell>
          <cell r="O1314" t="str">
            <v/>
          </cell>
          <cell r="P1314" t="str">
            <v/>
          </cell>
          <cell r="Q1314" t="str">
            <v/>
          </cell>
        </row>
        <row r="1315">
          <cell r="N1315" t="str">
            <v>89210</v>
          </cell>
          <cell r="O1315" t="str">
            <v>ONL</v>
          </cell>
          <cell r="P1315" t="str">
            <v>ONL89210</v>
          </cell>
          <cell r="Q1315" t="str">
            <v/>
          </cell>
        </row>
        <row r="1316">
          <cell r="N1316" t="str">
            <v>89214</v>
          </cell>
          <cell r="O1316" t="str">
            <v/>
          </cell>
          <cell r="P1316" t="str">
            <v/>
          </cell>
          <cell r="Q1316" t="str">
            <v/>
          </cell>
        </row>
        <row r="1317">
          <cell r="N1317" t="str">
            <v>89214</v>
          </cell>
          <cell r="O1317" t="str">
            <v>ONL</v>
          </cell>
          <cell r="P1317" t="str">
            <v>ONL89214</v>
          </cell>
          <cell r="Q1317" t="str">
            <v/>
          </cell>
        </row>
        <row r="1318">
          <cell r="N1318" t="str">
            <v>89214</v>
          </cell>
          <cell r="O1318" t="str">
            <v>REG</v>
          </cell>
          <cell r="P1318" t="str">
            <v>REG89214</v>
          </cell>
          <cell r="Q1318" t="str">
            <v/>
          </cell>
        </row>
        <row r="1319">
          <cell r="N1319" t="str">
            <v>89250</v>
          </cell>
          <cell r="O1319" t="str">
            <v/>
          </cell>
          <cell r="P1319" t="str">
            <v/>
          </cell>
          <cell r="Q1319" t="str">
            <v>55088091</v>
          </cell>
        </row>
        <row r="1320">
          <cell r="N1320" t="str">
            <v>89250</v>
          </cell>
          <cell r="O1320" t="str">
            <v>111</v>
          </cell>
          <cell r="P1320" t="str">
            <v>11189250</v>
          </cell>
          <cell r="Q1320" t="str">
            <v>55088091</v>
          </cell>
        </row>
        <row r="1321">
          <cell r="N1321" t="str">
            <v>89270</v>
          </cell>
          <cell r="O1321" t="str">
            <v/>
          </cell>
          <cell r="P1321" t="str">
            <v/>
          </cell>
          <cell r="Q1321" t="str">
            <v>55088091</v>
          </cell>
        </row>
        <row r="1322">
          <cell r="N1322" t="str">
            <v>89270</v>
          </cell>
          <cell r="O1322" t="str">
            <v>LRA</v>
          </cell>
          <cell r="P1322" t="str">
            <v>LRA89270</v>
          </cell>
          <cell r="Q1322" t="str">
            <v>55088091</v>
          </cell>
        </row>
        <row r="1323">
          <cell r="N1323" t="str">
            <v>89270</v>
          </cell>
          <cell r="O1323" t="str">
            <v>MAK</v>
          </cell>
          <cell r="P1323" t="str">
            <v>MAK89270</v>
          </cell>
          <cell r="Q1323" t="str">
            <v>55088091</v>
          </cell>
        </row>
        <row r="1324">
          <cell r="N1324" t="str">
            <v>89270</v>
          </cell>
          <cell r="O1324" t="str">
            <v>ONL</v>
          </cell>
          <cell r="P1324" t="str">
            <v>ONL89270</v>
          </cell>
          <cell r="Q1324" t="str">
            <v>55088091</v>
          </cell>
        </row>
        <row r="1325">
          <cell r="N1325" t="str">
            <v>89270</v>
          </cell>
          <cell r="O1325" t="str">
            <v>SR6</v>
          </cell>
          <cell r="P1325" t="str">
            <v>SR689270</v>
          </cell>
          <cell r="Q1325" t="str">
            <v>55088091</v>
          </cell>
        </row>
        <row r="1326">
          <cell r="N1326" t="str">
            <v>89309</v>
          </cell>
          <cell r="O1326" t="str">
            <v/>
          </cell>
          <cell r="P1326" t="str">
            <v/>
          </cell>
          <cell r="Q1326" t="str">
            <v>43118822</v>
          </cell>
        </row>
        <row r="1327">
          <cell r="N1327" t="str">
            <v>89309</v>
          </cell>
          <cell r="O1327" t="str">
            <v>9AB</v>
          </cell>
          <cell r="P1327" t="str">
            <v>9AB89309</v>
          </cell>
          <cell r="Q1327" t="str">
            <v>43118822</v>
          </cell>
        </row>
        <row r="1328">
          <cell r="N1328" t="str">
            <v>893091</v>
          </cell>
          <cell r="O1328" t="str">
            <v/>
          </cell>
          <cell r="P1328" t="str">
            <v/>
          </cell>
          <cell r="Q1328" t="str">
            <v/>
          </cell>
        </row>
        <row r="1329">
          <cell r="N1329" t="str">
            <v>893091</v>
          </cell>
          <cell r="O1329" t="str">
            <v>9DJ</v>
          </cell>
          <cell r="P1329" t="str">
            <v>9DJ893091</v>
          </cell>
          <cell r="Q1329" t="str">
            <v/>
          </cell>
        </row>
        <row r="1330">
          <cell r="N1330" t="str">
            <v>8999</v>
          </cell>
          <cell r="O1330" t="str">
            <v/>
          </cell>
          <cell r="P1330" t="str">
            <v/>
          </cell>
          <cell r="Q1330" t="str">
            <v/>
          </cell>
        </row>
        <row r="1331">
          <cell r="N1331" t="str">
            <v>8999</v>
          </cell>
          <cell r="O1331" t="str">
            <v>RBE</v>
          </cell>
          <cell r="P1331" t="str">
            <v>RBE8999</v>
          </cell>
          <cell r="Q1331" t="str">
            <v/>
          </cell>
        </row>
        <row r="1332">
          <cell r="N1332" t="str">
            <v>89990</v>
          </cell>
          <cell r="O1332" t="str">
            <v/>
          </cell>
          <cell r="P1332" t="str">
            <v/>
          </cell>
          <cell r="Q1332" t="str">
            <v>55088091</v>
          </cell>
        </row>
        <row r="1333">
          <cell r="N1333" t="str">
            <v>89990</v>
          </cell>
          <cell r="O1333" t="str">
            <v>RBE</v>
          </cell>
          <cell r="P1333" t="str">
            <v>RBE89990</v>
          </cell>
          <cell r="Q1333" t="str">
            <v>55088091</v>
          </cell>
        </row>
        <row r="1334">
          <cell r="N1334" t="str">
            <v/>
          </cell>
          <cell r="O1334" t="str">
            <v/>
          </cell>
          <cell r="P1334" t="str">
            <v/>
          </cell>
          <cell r="Q1334" t="str">
            <v/>
          </cell>
        </row>
        <row r="1335">
          <cell r="N1335" t="str">
            <v/>
          </cell>
          <cell r="O1335" t="str">
            <v/>
          </cell>
          <cell r="P1335" t="str">
            <v/>
          </cell>
          <cell r="Q1335" t="str">
            <v/>
          </cell>
        </row>
        <row r="1336">
          <cell r="N1336" t="str">
            <v/>
          </cell>
          <cell r="O1336" t="str">
            <v/>
          </cell>
          <cell r="P1336" t="str">
            <v/>
          </cell>
          <cell r="Q1336" t="str">
            <v/>
          </cell>
        </row>
        <row r="1337">
          <cell r="N1337" t="str">
            <v>82590</v>
          </cell>
          <cell r="O1337" t="str">
            <v/>
          </cell>
          <cell r="P1337" t="str">
            <v/>
          </cell>
          <cell r="Q1337" t="str">
            <v/>
          </cell>
        </row>
        <row r="1338">
          <cell r="N1338" t="str">
            <v>82590</v>
          </cell>
          <cell r="O1338" t="str">
            <v>X21</v>
          </cell>
          <cell r="P1338" t="str">
            <v>X2182590</v>
          </cell>
          <cell r="Q1338" t="str">
            <v/>
          </cell>
        </row>
        <row r="1339">
          <cell r="N1339" t="str">
            <v>82590</v>
          </cell>
          <cell r="O1339" t="str">
            <v>X22</v>
          </cell>
          <cell r="P1339" t="str">
            <v>X2282590</v>
          </cell>
          <cell r="Q1339" t="str">
            <v/>
          </cell>
        </row>
        <row r="1340">
          <cell r="N1340" t="str">
            <v>82590</v>
          </cell>
          <cell r="O1340" t="str">
            <v>YER</v>
          </cell>
          <cell r="P1340" t="str">
            <v>YER82590</v>
          </cell>
          <cell r="Q1340" t="str">
            <v/>
          </cell>
        </row>
        <row r="1341">
          <cell r="N1341" t="str">
            <v>82590</v>
          </cell>
          <cell r="O1341" t="str">
            <v>YES</v>
          </cell>
          <cell r="P1341" t="str">
            <v>YES82590</v>
          </cell>
          <cell r="Q1341" t="str">
            <v/>
          </cell>
        </row>
        <row r="1342">
          <cell r="N1342" t="str">
            <v>82590</v>
          </cell>
          <cell r="O1342" t="str">
            <v>YET</v>
          </cell>
          <cell r="P1342" t="str">
            <v>YET82590</v>
          </cell>
          <cell r="Q1342" t="str">
            <v/>
          </cell>
        </row>
        <row r="1343">
          <cell r="N1343" t="str">
            <v>82590</v>
          </cell>
          <cell r="O1343" t="str">
            <v>YFA</v>
          </cell>
          <cell r="P1343" t="str">
            <v>YFA82590</v>
          </cell>
          <cell r="Q1343" t="str">
            <v/>
          </cell>
        </row>
        <row r="1344">
          <cell r="N1344" t="str">
            <v>825900</v>
          </cell>
          <cell r="O1344" t="str">
            <v/>
          </cell>
          <cell r="P1344" t="str">
            <v/>
          </cell>
          <cell r="Q1344" t="str">
            <v/>
          </cell>
        </row>
        <row r="1345">
          <cell r="N1345" t="str">
            <v>825900</v>
          </cell>
          <cell r="O1345" t="str">
            <v>X21</v>
          </cell>
          <cell r="P1345" t="str">
            <v>X21825900</v>
          </cell>
          <cell r="Q1345" t="str">
            <v/>
          </cell>
        </row>
        <row r="1346">
          <cell r="N1346" t="str">
            <v>825900</v>
          </cell>
          <cell r="O1346" t="str">
            <v>X22</v>
          </cell>
          <cell r="P1346" t="str">
            <v>X22825900</v>
          </cell>
          <cell r="Q1346" t="str">
            <v/>
          </cell>
        </row>
        <row r="1347">
          <cell r="N1347" t="str">
            <v>825900</v>
          </cell>
          <cell r="O1347" t="str">
            <v>YER</v>
          </cell>
          <cell r="P1347" t="str">
            <v>YER825900</v>
          </cell>
          <cell r="Q1347" t="str">
            <v/>
          </cell>
        </row>
        <row r="1348">
          <cell r="N1348" t="str">
            <v>825900</v>
          </cell>
          <cell r="O1348" t="str">
            <v>YES</v>
          </cell>
          <cell r="P1348" t="str">
            <v>YES825900</v>
          </cell>
          <cell r="Q1348" t="str">
            <v/>
          </cell>
        </row>
        <row r="1349">
          <cell r="N1349" t="str">
            <v>825900</v>
          </cell>
          <cell r="O1349" t="str">
            <v>YET</v>
          </cell>
          <cell r="P1349" t="str">
            <v>YET825900</v>
          </cell>
          <cell r="Q1349" t="str">
            <v/>
          </cell>
        </row>
        <row r="1350">
          <cell r="N1350" t="str">
            <v>8259005</v>
          </cell>
          <cell r="O1350" t="str">
            <v/>
          </cell>
          <cell r="P1350" t="str">
            <v/>
          </cell>
          <cell r="Q1350" t="str">
            <v>51959</v>
          </cell>
        </row>
        <row r="1351">
          <cell r="N1351" t="str">
            <v>8259005</v>
          </cell>
          <cell r="O1351" t="str">
            <v>X21</v>
          </cell>
          <cell r="P1351" t="str">
            <v>X218259005</v>
          </cell>
          <cell r="Q1351" t="str">
            <v>51959</v>
          </cell>
        </row>
        <row r="1352">
          <cell r="N1352" t="str">
            <v>8259005</v>
          </cell>
          <cell r="O1352" t="str">
            <v>X22</v>
          </cell>
          <cell r="P1352" t="str">
            <v>X228259005</v>
          </cell>
          <cell r="Q1352" t="str">
            <v>51959</v>
          </cell>
        </row>
        <row r="1353">
          <cell r="N1353" t="str">
            <v>8259005</v>
          </cell>
          <cell r="O1353" t="str">
            <v>YER</v>
          </cell>
          <cell r="P1353" t="str">
            <v>YER8259005</v>
          </cell>
          <cell r="Q1353" t="str">
            <v>51959</v>
          </cell>
        </row>
        <row r="1354">
          <cell r="N1354" t="str">
            <v>8259005</v>
          </cell>
          <cell r="O1354" t="str">
            <v>YES</v>
          </cell>
          <cell r="P1354" t="str">
            <v>YES8259005</v>
          </cell>
          <cell r="Q1354" t="str">
            <v>51959</v>
          </cell>
        </row>
        <row r="1355">
          <cell r="N1355" t="str">
            <v>8259005</v>
          </cell>
          <cell r="O1355" t="str">
            <v>YET</v>
          </cell>
          <cell r="P1355" t="str">
            <v>YET8259005</v>
          </cell>
          <cell r="Q1355" t="str">
            <v>51959</v>
          </cell>
        </row>
        <row r="1356">
          <cell r="N1356" t="str">
            <v>8259009</v>
          </cell>
          <cell r="O1356" t="str">
            <v/>
          </cell>
          <cell r="P1356" t="str">
            <v/>
          </cell>
          <cell r="Q1356" t="str">
            <v>5151512</v>
          </cell>
        </row>
        <row r="1357">
          <cell r="N1357" t="str">
            <v>8259009</v>
          </cell>
          <cell r="O1357" t="str">
            <v>X21</v>
          </cell>
          <cell r="P1357" t="str">
            <v>X218259009</v>
          </cell>
          <cell r="Q1357" t="str">
            <v>5151512</v>
          </cell>
        </row>
        <row r="1358">
          <cell r="N1358" t="str">
            <v>8259009</v>
          </cell>
          <cell r="O1358" t="str">
            <v>X22</v>
          </cell>
          <cell r="P1358" t="str">
            <v>X228259009</v>
          </cell>
          <cell r="Q1358" t="str">
            <v>5151512</v>
          </cell>
        </row>
        <row r="1359">
          <cell r="N1359" t="str">
            <v>8259009</v>
          </cell>
          <cell r="O1359" t="str">
            <v>YER</v>
          </cell>
          <cell r="P1359" t="str">
            <v>YER8259009</v>
          </cell>
          <cell r="Q1359" t="str">
            <v>5151512</v>
          </cell>
        </row>
        <row r="1360">
          <cell r="N1360" t="str">
            <v>8259009</v>
          </cell>
          <cell r="O1360" t="str">
            <v>YES</v>
          </cell>
          <cell r="P1360" t="str">
            <v>YES8259009</v>
          </cell>
          <cell r="Q1360" t="str">
            <v>5151512</v>
          </cell>
        </row>
        <row r="1361">
          <cell r="N1361" t="str">
            <v>8259009</v>
          </cell>
          <cell r="O1361" t="str">
            <v>YET</v>
          </cell>
          <cell r="P1361" t="str">
            <v>YET8259009</v>
          </cell>
          <cell r="Q1361" t="str">
            <v>5151512</v>
          </cell>
        </row>
        <row r="1362">
          <cell r="N1362" t="str">
            <v>82980</v>
          </cell>
          <cell r="O1362" t="str">
            <v/>
          </cell>
          <cell r="P1362" t="str">
            <v/>
          </cell>
          <cell r="Q1362" t="str">
            <v/>
          </cell>
        </row>
        <row r="1363">
          <cell r="N1363" t="str">
            <v>82980</v>
          </cell>
          <cell r="O1363" t="str">
            <v>YER</v>
          </cell>
          <cell r="P1363" t="str">
            <v>YER82980</v>
          </cell>
          <cell r="Q1363" t="str">
            <v/>
          </cell>
        </row>
        <row r="1364">
          <cell r="N1364" t="str">
            <v>82980</v>
          </cell>
          <cell r="O1364" t="str">
            <v>YES</v>
          </cell>
          <cell r="P1364" t="str">
            <v>YES82980</v>
          </cell>
          <cell r="Q1364" t="str">
            <v/>
          </cell>
        </row>
        <row r="1365">
          <cell r="N1365" t="str">
            <v>82980</v>
          </cell>
          <cell r="O1365" t="str">
            <v>YET</v>
          </cell>
          <cell r="P1365" t="str">
            <v>YET82980</v>
          </cell>
          <cell r="Q1365" t="str">
            <v/>
          </cell>
        </row>
        <row r="1366">
          <cell r="N1366" t="str">
            <v>829809</v>
          </cell>
          <cell r="O1366" t="str">
            <v/>
          </cell>
          <cell r="P1366" t="str">
            <v/>
          </cell>
          <cell r="Q1366" t="str">
            <v/>
          </cell>
        </row>
        <row r="1367">
          <cell r="N1367" t="str">
            <v>829809</v>
          </cell>
          <cell r="O1367" t="str">
            <v>YER</v>
          </cell>
          <cell r="P1367" t="str">
            <v>YER829809</v>
          </cell>
          <cell r="Q1367" t="str">
            <v/>
          </cell>
        </row>
        <row r="1368">
          <cell r="N1368" t="str">
            <v>829809</v>
          </cell>
          <cell r="O1368" t="str">
            <v>YES</v>
          </cell>
          <cell r="P1368" t="str">
            <v>YES829809</v>
          </cell>
          <cell r="Q1368" t="str">
            <v/>
          </cell>
        </row>
        <row r="1369">
          <cell r="N1369" t="str">
            <v>829809</v>
          </cell>
          <cell r="O1369" t="str">
            <v>YET</v>
          </cell>
          <cell r="P1369" t="str">
            <v>YET829809</v>
          </cell>
          <cell r="Q1369" t="str">
            <v/>
          </cell>
        </row>
        <row r="1370">
          <cell r="N1370" t="str">
            <v>829809</v>
          </cell>
          <cell r="O1370" t="str">
            <v>YFA</v>
          </cell>
          <cell r="P1370" t="str">
            <v>YFA829809</v>
          </cell>
          <cell r="Q1370" t="str">
            <v/>
          </cell>
        </row>
        <row r="1371">
          <cell r="N1371" t="str">
            <v/>
          </cell>
          <cell r="O1371" t="str">
            <v/>
          </cell>
          <cell r="P1371" t="str">
            <v/>
          </cell>
          <cell r="Q1371" t="str">
            <v/>
          </cell>
        </row>
        <row r="1372">
          <cell r="N1372" t="str">
            <v>82519</v>
          </cell>
          <cell r="O1372" t="str">
            <v/>
          </cell>
          <cell r="P1372" t="str">
            <v/>
          </cell>
          <cell r="Q1372" t="str">
            <v/>
          </cell>
        </row>
        <row r="1373">
          <cell r="N1373" t="str">
            <v>82519</v>
          </cell>
          <cell r="O1373" t="str">
            <v>111</v>
          </cell>
          <cell r="P1373" t="str">
            <v>11182519</v>
          </cell>
          <cell r="Q1373" t="str">
            <v/>
          </cell>
        </row>
        <row r="1374">
          <cell r="N1374" t="str">
            <v>82590</v>
          </cell>
          <cell r="O1374" t="str">
            <v/>
          </cell>
          <cell r="P1374" t="str">
            <v/>
          </cell>
          <cell r="Q1374" t="str">
            <v/>
          </cell>
        </row>
        <row r="1375">
          <cell r="N1375" t="str">
            <v>82590</v>
          </cell>
          <cell r="O1375" t="str">
            <v>YEG</v>
          </cell>
          <cell r="P1375" t="str">
            <v>YEG82590</v>
          </cell>
          <cell r="Q1375" t="str">
            <v/>
          </cell>
        </row>
        <row r="1376">
          <cell r="N1376" t="str">
            <v>825904</v>
          </cell>
          <cell r="O1376" t="str">
            <v/>
          </cell>
          <cell r="P1376" t="str">
            <v/>
          </cell>
          <cell r="Q1376" t="str">
            <v>5151512</v>
          </cell>
        </row>
        <row r="1377">
          <cell r="N1377" t="str">
            <v>825904</v>
          </cell>
          <cell r="O1377" t="str">
            <v>3MD</v>
          </cell>
          <cell r="P1377" t="str">
            <v>3MD825904</v>
          </cell>
          <cell r="Q1377" t="str">
            <v>5151512</v>
          </cell>
        </row>
        <row r="1378">
          <cell r="N1378" t="str">
            <v>825904</v>
          </cell>
          <cell r="O1378" t="str">
            <v>3MF</v>
          </cell>
          <cell r="P1378" t="str">
            <v>3MF825904</v>
          </cell>
          <cell r="Q1378" t="str">
            <v>5151512</v>
          </cell>
        </row>
        <row r="1379">
          <cell r="N1379" t="str">
            <v>825904</v>
          </cell>
          <cell r="O1379" t="str">
            <v>3MG</v>
          </cell>
          <cell r="P1379" t="str">
            <v>3MG825904</v>
          </cell>
          <cell r="Q1379" t="str">
            <v>5151512</v>
          </cell>
        </row>
        <row r="1380">
          <cell r="N1380" t="str">
            <v>829800</v>
          </cell>
          <cell r="O1380" t="str">
            <v/>
          </cell>
          <cell r="P1380" t="str">
            <v/>
          </cell>
          <cell r="Q1380" t="str">
            <v/>
          </cell>
        </row>
        <row r="1381">
          <cell r="N1381" t="str">
            <v>829800</v>
          </cell>
          <cell r="O1381" t="str">
            <v>111</v>
          </cell>
          <cell r="P1381" t="str">
            <v>111829800</v>
          </cell>
          <cell r="Q1381" t="str">
            <v/>
          </cell>
        </row>
        <row r="1382">
          <cell r="N1382" t="str">
            <v>8936</v>
          </cell>
          <cell r="O1382" t="str">
            <v/>
          </cell>
          <cell r="P1382" t="str">
            <v/>
          </cell>
          <cell r="Q1382" t="str">
            <v>4311884</v>
          </cell>
        </row>
        <row r="1383">
          <cell r="N1383" t="str">
            <v>8936</v>
          </cell>
          <cell r="O1383" t="str">
            <v>L01</v>
          </cell>
          <cell r="P1383" t="str">
            <v>L018936</v>
          </cell>
          <cell r="Q1383" t="str">
            <v>4311884</v>
          </cell>
        </row>
        <row r="1384">
          <cell r="N1384" t="str">
            <v>8936</v>
          </cell>
          <cell r="O1384" t="str">
            <v>MAA</v>
          </cell>
          <cell r="P1384" t="str">
            <v>MAA8936</v>
          </cell>
          <cell r="Q1384" t="str">
            <v>4311884</v>
          </cell>
        </row>
        <row r="1385">
          <cell r="N1385" t="str">
            <v>8936</v>
          </cell>
          <cell r="O1385" t="str">
            <v>MAE</v>
          </cell>
          <cell r="P1385" t="str">
            <v>MAE8936</v>
          </cell>
          <cell r="Q1385" t="str">
            <v>4311884</v>
          </cell>
        </row>
        <row r="1386">
          <cell r="N1386" t="str">
            <v>8936</v>
          </cell>
          <cell r="O1386" t="str">
            <v>ONL</v>
          </cell>
          <cell r="P1386" t="str">
            <v>ONL8936</v>
          </cell>
          <cell r="Q1386" t="str">
            <v>4311884</v>
          </cell>
        </row>
        <row r="1387">
          <cell r="N1387" t="str">
            <v/>
          </cell>
          <cell r="O1387" t="str">
            <v/>
          </cell>
          <cell r="P1387" t="str">
            <v/>
          </cell>
          <cell r="Q1387" t="str">
            <v/>
          </cell>
        </row>
        <row r="1388">
          <cell r="N1388" t="str">
            <v/>
          </cell>
          <cell r="O1388" t="str">
            <v/>
          </cell>
          <cell r="P1388" t="str">
            <v/>
          </cell>
          <cell r="Q1388" t="str">
            <v/>
          </cell>
        </row>
        <row r="1389">
          <cell r="N1389" t="str">
            <v>71690</v>
          </cell>
          <cell r="O1389" t="str">
            <v/>
          </cell>
          <cell r="P1389" t="str">
            <v/>
          </cell>
          <cell r="Q1389" t="str">
            <v/>
          </cell>
        </row>
        <row r="1390">
          <cell r="N1390" t="str">
            <v>71690</v>
          </cell>
          <cell r="O1390" t="str">
            <v>YA5</v>
          </cell>
          <cell r="P1390" t="str">
            <v>YA571690</v>
          </cell>
          <cell r="Q1390" t="str">
            <v/>
          </cell>
        </row>
        <row r="1391">
          <cell r="N1391" t="str">
            <v>716900</v>
          </cell>
          <cell r="O1391" t="str">
            <v/>
          </cell>
          <cell r="P1391" t="str">
            <v/>
          </cell>
          <cell r="Q1391" t="str">
            <v/>
          </cell>
        </row>
        <row r="1392">
          <cell r="N1392" t="str">
            <v>716900</v>
          </cell>
          <cell r="O1392" t="str">
            <v>YA5</v>
          </cell>
          <cell r="P1392" t="str">
            <v>YA5716900</v>
          </cell>
          <cell r="Q1392" t="str">
            <v/>
          </cell>
        </row>
        <row r="1393">
          <cell r="N1393" t="str">
            <v>7169002</v>
          </cell>
          <cell r="O1393" t="str">
            <v/>
          </cell>
          <cell r="P1393" t="str">
            <v/>
          </cell>
          <cell r="Q1393" t="str">
            <v>5151511</v>
          </cell>
        </row>
        <row r="1394">
          <cell r="N1394" t="str">
            <v>7169002</v>
          </cell>
          <cell r="O1394" t="str">
            <v>YA5</v>
          </cell>
          <cell r="P1394" t="str">
            <v>YA57169002</v>
          </cell>
          <cell r="Q1394" t="str">
            <v>5151511</v>
          </cell>
        </row>
        <row r="1395">
          <cell r="N1395" t="str">
            <v>7169009</v>
          </cell>
          <cell r="O1395" t="str">
            <v/>
          </cell>
          <cell r="P1395" t="str">
            <v/>
          </cell>
          <cell r="Q1395" t="str">
            <v>4161599</v>
          </cell>
        </row>
        <row r="1396">
          <cell r="N1396" t="str">
            <v>7169009</v>
          </cell>
          <cell r="O1396" t="str">
            <v>YA5</v>
          </cell>
          <cell r="P1396" t="str">
            <v>YA57169009</v>
          </cell>
          <cell r="Q1396" t="str">
            <v>4161599</v>
          </cell>
        </row>
        <row r="1397">
          <cell r="N1397" t="str">
            <v>77941</v>
          </cell>
          <cell r="O1397" t="str">
            <v/>
          </cell>
          <cell r="P1397" t="str">
            <v/>
          </cell>
          <cell r="Q1397" t="str">
            <v/>
          </cell>
        </row>
        <row r="1398">
          <cell r="N1398" t="str">
            <v>77941</v>
          </cell>
          <cell r="O1398" t="str">
            <v>LO1</v>
          </cell>
          <cell r="P1398" t="str">
            <v>LO177941</v>
          </cell>
          <cell r="Q1398" t="str">
            <v/>
          </cell>
        </row>
        <row r="1399">
          <cell r="N1399" t="str">
            <v>77941</v>
          </cell>
          <cell r="O1399" t="str">
            <v>ONL</v>
          </cell>
          <cell r="P1399" t="str">
            <v>ONL77941</v>
          </cell>
          <cell r="Q1399" t="str">
            <v/>
          </cell>
        </row>
        <row r="1400">
          <cell r="N1400" t="str">
            <v>779411</v>
          </cell>
          <cell r="O1400" t="str">
            <v/>
          </cell>
          <cell r="P1400" t="str">
            <v/>
          </cell>
          <cell r="Q1400" t="str">
            <v/>
          </cell>
        </row>
        <row r="1401">
          <cell r="N1401" t="str">
            <v>779411</v>
          </cell>
          <cell r="O1401" t="str">
            <v>LO1</v>
          </cell>
          <cell r="P1401" t="str">
            <v>LO1779411</v>
          </cell>
          <cell r="Q1401" t="str">
            <v/>
          </cell>
        </row>
        <row r="1402">
          <cell r="N1402" t="str">
            <v>779411</v>
          </cell>
          <cell r="O1402" t="str">
            <v>LRA</v>
          </cell>
          <cell r="P1402" t="str">
            <v>LRA779411</v>
          </cell>
          <cell r="Q1402" t="str">
            <v/>
          </cell>
        </row>
        <row r="1403">
          <cell r="N1403" t="str">
            <v>779411</v>
          </cell>
          <cell r="O1403" t="str">
            <v>L01</v>
          </cell>
          <cell r="P1403" t="str">
            <v>L01779411</v>
          </cell>
          <cell r="Q1403" t="str">
            <v/>
          </cell>
        </row>
        <row r="1404">
          <cell r="N1404" t="str">
            <v>779411</v>
          </cell>
          <cell r="O1404" t="str">
            <v>ONL</v>
          </cell>
          <cell r="P1404" t="str">
            <v>ONL779411</v>
          </cell>
          <cell r="Q1404" t="str">
            <v/>
          </cell>
        </row>
        <row r="1405">
          <cell r="N1405" t="str">
            <v>7794110</v>
          </cell>
          <cell r="O1405" t="str">
            <v/>
          </cell>
          <cell r="P1405" t="str">
            <v/>
          </cell>
          <cell r="Q1405" t="str">
            <v>4161599</v>
          </cell>
        </row>
        <row r="1406">
          <cell r="N1406" t="str">
            <v>7794110</v>
          </cell>
          <cell r="O1406" t="str">
            <v>LRA</v>
          </cell>
          <cell r="P1406" t="str">
            <v>LRA7794110</v>
          </cell>
          <cell r="Q1406" t="str">
            <v>4161599</v>
          </cell>
        </row>
        <row r="1407">
          <cell r="N1407" t="str">
            <v>7794110</v>
          </cell>
          <cell r="O1407" t="str">
            <v>L01</v>
          </cell>
          <cell r="P1407" t="str">
            <v>L017794110</v>
          </cell>
          <cell r="Q1407" t="str">
            <v>4161599</v>
          </cell>
        </row>
        <row r="1408">
          <cell r="N1408" t="str">
            <v>7794110</v>
          </cell>
          <cell r="O1408" t="str">
            <v>ONL</v>
          </cell>
          <cell r="P1408" t="str">
            <v>ONL7794110</v>
          </cell>
          <cell r="Q1408" t="str">
            <v>4161599</v>
          </cell>
        </row>
        <row r="1409">
          <cell r="N1409" t="str">
            <v>7794111</v>
          </cell>
          <cell r="O1409" t="str">
            <v/>
          </cell>
          <cell r="P1409" t="str">
            <v/>
          </cell>
          <cell r="Q1409" t="str">
            <v>4311883</v>
          </cell>
        </row>
        <row r="1410">
          <cell r="N1410" t="str">
            <v>7794111</v>
          </cell>
          <cell r="O1410" t="str">
            <v>LO1</v>
          </cell>
          <cell r="P1410" t="str">
            <v>LO17794111</v>
          </cell>
          <cell r="Q1410" t="str">
            <v>4311883</v>
          </cell>
        </row>
        <row r="1411">
          <cell r="N1411" t="str">
            <v>7794111</v>
          </cell>
          <cell r="O1411" t="str">
            <v>LRA</v>
          </cell>
          <cell r="P1411" t="str">
            <v>LRA7794111</v>
          </cell>
          <cell r="Q1411" t="str">
            <v>4311883</v>
          </cell>
        </row>
        <row r="1412">
          <cell r="N1412" t="str">
            <v>7794111</v>
          </cell>
          <cell r="O1412" t="str">
            <v>L01</v>
          </cell>
          <cell r="P1412" t="str">
            <v>L017794111</v>
          </cell>
          <cell r="Q1412" t="str">
            <v>4311883</v>
          </cell>
        </row>
        <row r="1413">
          <cell r="N1413" t="str">
            <v>7794111</v>
          </cell>
          <cell r="O1413" t="str">
            <v>ONL</v>
          </cell>
          <cell r="P1413" t="str">
            <v>ONL7794111</v>
          </cell>
          <cell r="Q1413" t="str">
            <v>4311883</v>
          </cell>
        </row>
        <row r="1414">
          <cell r="N1414" t="str">
            <v>779540</v>
          </cell>
          <cell r="O1414" t="str">
            <v/>
          </cell>
          <cell r="P1414" t="str">
            <v/>
          </cell>
          <cell r="Q1414" t="str">
            <v>4161599</v>
          </cell>
        </row>
        <row r="1415">
          <cell r="N1415" t="str">
            <v>779540</v>
          </cell>
          <cell r="O1415" t="str">
            <v>CO1</v>
          </cell>
          <cell r="P1415" t="str">
            <v>CO1779540</v>
          </cell>
          <cell r="Q1415" t="str">
            <v>4161599</v>
          </cell>
        </row>
        <row r="1416">
          <cell r="N1416" t="str">
            <v>779540</v>
          </cell>
          <cell r="O1416" t="str">
            <v>CO4</v>
          </cell>
          <cell r="P1416" t="str">
            <v>CO4779540</v>
          </cell>
          <cell r="Q1416" t="str">
            <v>4161599</v>
          </cell>
        </row>
        <row r="1417">
          <cell r="N1417" t="str">
            <v>779540</v>
          </cell>
          <cell r="O1417" t="str">
            <v>CO7</v>
          </cell>
          <cell r="P1417" t="str">
            <v>CO7779540</v>
          </cell>
          <cell r="Q1417" t="str">
            <v>4161599</v>
          </cell>
        </row>
        <row r="1418">
          <cell r="N1418" t="str">
            <v>779540</v>
          </cell>
          <cell r="O1418" t="str">
            <v>LO1</v>
          </cell>
          <cell r="P1418" t="str">
            <v>LO1779540</v>
          </cell>
          <cell r="Q1418" t="str">
            <v>4161599</v>
          </cell>
        </row>
        <row r="1419">
          <cell r="N1419" t="str">
            <v>779540</v>
          </cell>
          <cell r="O1419" t="str">
            <v>LRA</v>
          </cell>
          <cell r="P1419" t="str">
            <v>LRA779540</v>
          </cell>
          <cell r="Q1419" t="str">
            <v>4161599</v>
          </cell>
        </row>
        <row r="1420">
          <cell r="N1420" t="str">
            <v>779540</v>
          </cell>
          <cell r="O1420" t="str">
            <v>L01</v>
          </cell>
          <cell r="P1420" t="str">
            <v>L01779540</v>
          </cell>
          <cell r="Q1420" t="str">
            <v>4161599</v>
          </cell>
        </row>
        <row r="1421">
          <cell r="N1421" t="str">
            <v>779540</v>
          </cell>
          <cell r="O1421" t="str">
            <v>ONL</v>
          </cell>
          <cell r="P1421" t="str">
            <v>ONL779540</v>
          </cell>
          <cell r="Q1421" t="str">
            <v>4161599</v>
          </cell>
        </row>
        <row r="1422">
          <cell r="N1422" t="str">
            <v/>
          </cell>
          <cell r="O1422" t="str">
            <v/>
          </cell>
          <cell r="P1422" t="str">
            <v/>
          </cell>
          <cell r="Q1422" t="str">
            <v/>
          </cell>
        </row>
        <row r="1423">
          <cell r="N1423" t="str">
            <v>779410</v>
          </cell>
          <cell r="O1423" t="str">
            <v/>
          </cell>
          <cell r="P1423" t="str">
            <v/>
          </cell>
          <cell r="Q1423" t="str">
            <v/>
          </cell>
        </row>
        <row r="1424">
          <cell r="N1424" t="str">
            <v>779410</v>
          </cell>
          <cell r="O1424" t="str">
            <v>LO1</v>
          </cell>
          <cell r="P1424" t="str">
            <v>LO1779410</v>
          </cell>
          <cell r="Q1424" t="str">
            <v/>
          </cell>
        </row>
        <row r="1425">
          <cell r="N1425" t="str">
            <v>779410</v>
          </cell>
          <cell r="O1425" t="str">
            <v>L01</v>
          </cell>
          <cell r="P1425" t="str">
            <v>L01779410</v>
          </cell>
          <cell r="Q1425" t="str">
            <v/>
          </cell>
        </row>
        <row r="1426">
          <cell r="N1426" t="str">
            <v>779410</v>
          </cell>
          <cell r="O1426" t="str">
            <v>ONL</v>
          </cell>
          <cell r="P1426" t="str">
            <v>ONL779410</v>
          </cell>
          <cell r="Q1426" t="str">
            <v/>
          </cell>
        </row>
        <row r="1427">
          <cell r="N1427" t="str">
            <v>7794100</v>
          </cell>
          <cell r="O1427" t="str">
            <v/>
          </cell>
          <cell r="P1427" t="str">
            <v/>
          </cell>
          <cell r="Q1427" t="str">
            <v>4161599</v>
          </cell>
        </row>
        <row r="1428">
          <cell r="N1428" t="str">
            <v>7794100</v>
          </cell>
          <cell r="O1428" t="str">
            <v>L01</v>
          </cell>
          <cell r="P1428" t="str">
            <v>L017794100</v>
          </cell>
          <cell r="Q1428" t="str">
            <v>4161599</v>
          </cell>
        </row>
        <row r="1429">
          <cell r="N1429" t="str">
            <v>7794100</v>
          </cell>
          <cell r="O1429" t="str">
            <v>ONL</v>
          </cell>
          <cell r="P1429" t="str">
            <v>ONL7794100</v>
          </cell>
          <cell r="Q1429" t="str">
            <v>4161599</v>
          </cell>
        </row>
        <row r="1430">
          <cell r="N1430" t="str">
            <v>7794100</v>
          </cell>
          <cell r="O1430" t="str">
            <v>111</v>
          </cell>
          <cell r="P1430" t="str">
            <v>1117794100</v>
          </cell>
          <cell r="Q1430" t="str">
            <v>4161599</v>
          </cell>
        </row>
        <row r="1431">
          <cell r="N1431" t="str">
            <v>7794101</v>
          </cell>
          <cell r="O1431" t="str">
            <v/>
          </cell>
          <cell r="P1431" t="str">
            <v/>
          </cell>
          <cell r="Q1431" t="str">
            <v>4161599</v>
          </cell>
        </row>
        <row r="1432">
          <cell r="N1432" t="str">
            <v>7794101</v>
          </cell>
          <cell r="O1432" t="str">
            <v>LRA</v>
          </cell>
          <cell r="P1432" t="str">
            <v>LRA7794101</v>
          </cell>
          <cell r="Q1432" t="str">
            <v>4161599</v>
          </cell>
        </row>
        <row r="1433">
          <cell r="N1433" t="str">
            <v>7794101</v>
          </cell>
          <cell r="O1433" t="str">
            <v>L01</v>
          </cell>
          <cell r="P1433" t="str">
            <v>L017794101</v>
          </cell>
          <cell r="Q1433" t="str">
            <v>4161599</v>
          </cell>
        </row>
        <row r="1434">
          <cell r="N1434" t="str">
            <v>7794101</v>
          </cell>
          <cell r="O1434" t="str">
            <v>ONL</v>
          </cell>
          <cell r="P1434" t="str">
            <v>ONL7794101</v>
          </cell>
          <cell r="Q1434" t="str">
            <v>4161599</v>
          </cell>
        </row>
        <row r="1435">
          <cell r="N1435" t="str">
            <v>7794102</v>
          </cell>
          <cell r="O1435" t="str">
            <v/>
          </cell>
          <cell r="P1435" t="str">
            <v/>
          </cell>
          <cell r="Q1435" t="str">
            <v>4161599</v>
          </cell>
        </row>
        <row r="1436">
          <cell r="N1436" t="str">
            <v>7794102</v>
          </cell>
          <cell r="O1436" t="str">
            <v>LRA</v>
          </cell>
          <cell r="P1436" t="str">
            <v>LRA7794102</v>
          </cell>
          <cell r="Q1436" t="str">
            <v>4161599</v>
          </cell>
        </row>
        <row r="1437">
          <cell r="N1437" t="str">
            <v>7794102</v>
          </cell>
          <cell r="O1437" t="str">
            <v>L01</v>
          </cell>
          <cell r="P1437" t="str">
            <v>L017794102</v>
          </cell>
          <cell r="Q1437" t="str">
            <v>4161599</v>
          </cell>
        </row>
        <row r="1438">
          <cell r="N1438" t="str">
            <v>7794102</v>
          </cell>
          <cell r="O1438" t="str">
            <v>ONL</v>
          </cell>
          <cell r="P1438" t="str">
            <v>ONL7794102</v>
          </cell>
          <cell r="Q1438" t="str">
            <v>4161599</v>
          </cell>
        </row>
        <row r="1439">
          <cell r="N1439" t="str">
            <v>7794103</v>
          </cell>
          <cell r="O1439" t="str">
            <v/>
          </cell>
          <cell r="P1439" t="str">
            <v/>
          </cell>
          <cell r="Q1439" t="str">
            <v>4198</v>
          </cell>
        </row>
        <row r="1440">
          <cell r="N1440" t="str">
            <v>7794103</v>
          </cell>
          <cell r="O1440" t="str">
            <v>L01</v>
          </cell>
          <cell r="P1440" t="str">
            <v>L017794103</v>
          </cell>
          <cell r="Q1440" t="str">
            <v>4198</v>
          </cell>
        </row>
        <row r="1441">
          <cell r="N1441" t="str">
            <v/>
          </cell>
          <cell r="O1441" t="str">
            <v/>
          </cell>
          <cell r="P1441" t="str">
            <v/>
          </cell>
          <cell r="Q1441" t="str">
            <v/>
          </cell>
        </row>
        <row r="1442">
          <cell r="N1442" t="str">
            <v/>
          </cell>
          <cell r="O1442" t="str">
            <v/>
          </cell>
          <cell r="P1442" t="str">
            <v/>
          </cell>
          <cell r="Q1442" t="str">
            <v/>
          </cell>
        </row>
        <row r="1443">
          <cell r="N1443" t="str">
            <v/>
          </cell>
          <cell r="O1443" t="str">
            <v/>
          </cell>
          <cell r="P1443" t="str">
            <v/>
          </cell>
          <cell r="Q1443" t="str">
            <v/>
          </cell>
        </row>
        <row r="1444">
          <cell r="N1444" t="str">
            <v>8255</v>
          </cell>
          <cell r="O1444" t="str">
            <v/>
          </cell>
          <cell r="P1444" t="str">
            <v/>
          </cell>
          <cell r="Q1444" t="str">
            <v>5151511</v>
          </cell>
        </row>
        <row r="1445">
          <cell r="N1445" t="str">
            <v>8255</v>
          </cell>
          <cell r="O1445" t="str">
            <v>PO1</v>
          </cell>
          <cell r="P1445" t="str">
            <v>PO18255</v>
          </cell>
          <cell r="Q1445" t="str">
            <v>5151511</v>
          </cell>
        </row>
        <row r="1446">
          <cell r="N1446" t="str">
            <v>825901</v>
          </cell>
          <cell r="O1446" t="str">
            <v/>
          </cell>
          <cell r="P1446" t="str">
            <v/>
          </cell>
          <cell r="Q1446" t="str">
            <v>5151512</v>
          </cell>
        </row>
        <row r="1447">
          <cell r="N1447" t="str">
            <v>825901</v>
          </cell>
          <cell r="O1447" t="str">
            <v>MZA</v>
          </cell>
          <cell r="P1447" t="str">
            <v>MZA825901</v>
          </cell>
          <cell r="Q1447" t="str">
            <v>5151512</v>
          </cell>
        </row>
        <row r="1448">
          <cell r="N1448" t="str">
            <v>825901</v>
          </cell>
          <cell r="O1448" t="str">
            <v>MZB</v>
          </cell>
          <cell r="P1448" t="str">
            <v>MZB825901</v>
          </cell>
          <cell r="Q1448" t="str">
            <v>5151512</v>
          </cell>
        </row>
        <row r="1449">
          <cell r="N1449" t="str">
            <v>825901</v>
          </cell>
          <cell r="O1449" t="str">
            <v>MZC</v>
          </cell>
          <cell r="P1449" t="str">
            <v>MZC825901</v>
          </cell>
          <cell r="Q1449" t="str">
            <v>5151512</v>
          </cell>
        </row>
        <row r="1450">
          <cell r="N1450" t="str">
            <v>825901</v>
          </cell>
          <cell r="O1450" t="str">
            <v>MZD</v>
          </cell>
          <cell r="P1450" t="str">
            <v>MZD825901</v>
          </cell>
          <cell r="Q1450" t="str">
            <v>5151512</v>
          </cell>
        </row>
        <row r="1451">
          <cell r="N1451" t="str">
            <v>825901</v>
          </cell>
          <cell r="O1451" t="str">
            <v>MZE</v>
          </cell>
          <cell r="P1451" t="str">
            <v>MZE825901</v>
          </cell>
          <cell r="Q1451" t="str">
            <v>5151512</v>
          </cell>
        </row>
        <row r="1452">
          <cell r="N1452" t="str">
            <v>825901</v>
          </cell>
          <cell r="O1452" t="str">
            <v>MZF</v>
          </cell>
          <cell r="P1452" t="str">
            <v>MZF825901</v>
          </cell>
          <cell r="Q1452" t="str">
            <v>5151512</v>
          </cell>
        </row>
        <row r="1453">
          <cell r="N1453" t="str">
            <v>825901</v>
          </cell>
          <cell r="O1453" t="str">
            <v>MZH</v>
          </cell>
          <cell r="P1453" t="str">
            <v>MZH825901</v>
          </cell>
          <cell r="Q1453" t="str">
            <v>5151512</v>
          </cell>
        </row>
        <row r="1454">
          <cell r="N1454" t="str">
            <v>825901</v>
          </cell>
          <cell r="O1454" t="str">
            <v>ONL</v>
          </cell>
          <cell r="P1454" t="str">
            <v>ONL825901</v>
          </cell>
          <cell r="Q1454" t="str">
            <v>5151512</v>
          </cell>
        </row>
        <row r="1455">
          <cell r="N1455" t="str">
            <v>8298</v>
          </cell>
          <cell r="O1455" t="str">
            <v/>
          </cell>
          <cell r="P1455" t="str">
            <v/>
          </cell>
          <cell r="Q1455" t="str">
            <v>5151594</v>
          </cell>
        </row>
        <row r="1456">
          <cell r="N1456" t="str">
            <v>8298</v>
          </cell>
          <cell r="O1456" t="str">
            <v>L01</v>
          </cell>
          <cell r="P1456" t="str">
            <v>L018298</v>
          </cell>
          <cell r="Q1456" t="str">
            <v>5151594</v>
          </cell>
        </row>
        <row r="1457">
          <cell r="N1457" t="str">
            <v>8298</v>
          </cell>
          <cell r="O1457" t="str">
            <v>ONL</v>
          </cell>
          <cell r="P1457" t="str">
            <v>ONL8298</v>
          </cell>
          <cell r="Q1457" t="str">
            <v>5151594</v>
          </cell>
        </row>
        <row r="1458">
          <cell r="N1458" t="str">
            <v>8298</v>
          </cell>
          <cell r="O1458" t="str">
            <v>111</v>
          </cell>
          <cell r="P1458" t="str">
            <v>1118298</v>
          </cell>
          <cell r="Q1458" t="str">
            <v>5151594</v>
          </cell>
        </row>
        <row r="1459">
          <cell r="N1459" t="str">
            <v>82981</v>
          </cell>
          <cell r="O1459" t="str">
            <v/>
          </cell>
          <cell r="P1459" t="str">
            <v/>
          </cell>
          <cell r="Q1459" t="str">
            <v/>
          </cell>
        </row>
        <row r="1460">
          <cell r="N1460" t="str">
            <v>82981</v>
          </cell>
          <cell r="O1460" t="str">
            <v>PO1</v>
          </cell>
          <cell r="P1460" t="str">
            <v>PO182981</v>
          </cell>
          <cell r="Q1460" t="str">
            <v/>
          </cell>
        </row>
        <row r="1461">
          <cell r="N1461" t="str">
            <v>8994</v>
          </cell>
          <cell r="O1461" t="str">
            <v/>
          </cell>
          <cell r="P1461" t="str">
            <v/>
          </cell>
          <cell r="Q1461" t="str">
            <v/>
          </cell>
        </row>
        <row r="1462">
          <cell r="N1462" t="str">
            <v>8994</v>
          </cell>
          <cell r="O1462" t="str">
            <v>BET</v>
          </cell>
          <cell r="P1462" t="str">
            <v>BET8994</v>
          </cell>
          <cell r="Q1462" t="str">
            <v/>
          </cell>
        </row>
        <row r="1463">
          <cell r="N1463" t="str">
            <v>8994</v>
          </cell>
          <cell r="O1463" t="str">
            <v>EYL</v>
          </cell>
          <cell r="P1463" t="str">
            <v>EYL8994</v>
          </cell>
          <cell r="Q1463" t="str">
            <v/>
          </cell>
        </row>
        <row r="1464">
          <cell r="N1464" t="str">
            <v>8994</v>
          </cell>
          <cell r="O1464" t="str">
            <v>LRA</v>
          </cell>
          <cell r="P1464" t="str">
            <v>LRA8994</v>
          </cell>
          <cell r="Q1464" t="str">
            <v/>
          </cell>
        </row>
        <row r="1465">
          <cell r="N1465" t="str">
            <v>8994</v>
          </cell>
          <cell r="O1465" t="str">
            <v>REG</v>
          </cell>
          <cell r="P1465" t="str">
            <v>REG8994</v>
          </cell>
          <cell r="Q1465" t="str">
            <v/>
          </cell>
        </row>
        <row r="1466">
          <cell r="N1466" t="str">
            <v>8994</v>
          </cell>
          <cell r="O1466" t="str">
            <v>RSB</v>
          </cell>
          <cell r="P1466" t="str">
            <v>RSB8994</v>
          </cell>
          <cell r="Q1466" t="str">
            <v/>
          </cell>
        </row>
        <row r="1467">
          <cell r="N1467" t="str">
            <v>8994</v>
          </cell>
          <cell r="O1467" t="str">
            <v>TP1</v>
          </cell>
          <cell r="P1467" t="str">
            <v>TP18994</v>
          </cell>
          <cell r="Q1467" t="str">
            <v/>
          </cell>
        </row>
        <row r="1468">
          <cell r="N1468" t="str">
            <v>8994</v>
          </cell>
          <cell r="O1468" t="str">
            <v>YD2</v>
          </cell>
          <cell r="P1468" t="str">
            <v>YD28994</v>
          </cell>
          <cell r="Q1468" t="str">
            <v/>
          </cell>
        </row>
        <row r="1469">
          <cell r="N1469" t="str">
            <v>8994</v>
          </cell>
          <cell r="O1469" t="str">
            <v>YH7</v>
          </cell>
          <cell r="P1469" t="str">
            <v>YH78994</v>
          </cell>
          <cell r="Q1469" t="str">
            <v/>
          </cell>
        </row>
        <row r="1470">
          <cell r="N1470" t="str">
            <v>8994</v>
          </cell>
          <cell r="O1470" t="str">
            <v>YH8</v>
          </cell>
          <cell r="P1470" t="str">
            <v>YH88994</v>
          </cell>
          <cell r="Q1470" t="str">
            <v/>
          </cell>
        </row>
        <row r="1471">
          <cell r="N1471" t="str">
            <v>8994</v>
          </cell>
          <cell r="O1471" t="str">
            <v>YLG</v>
          </cell>
          <cell r="P1471" t="str">
            <v>YLG8994</v>
          </cell>
          <cell r="Q1471" t="str">
            <v/>
          </cell>
        </row>
        <row r="1472">
          <cell r="N1472" t="str">
            <v>8994</v>
          </cell>
          <cell r="O1472" t="str">
            <v>YLL</v>
          </cell>
          <cell r="P1472" t="str">
            <v>YLL8994</v>
          </cell>
          <cell r="Q1472" t="str">
            <v/>
          </cell>
        </row>
        <row r="1473">
          <cell r="N1473" t="str">
            <v>8994</v>
          </cell>
          <cell r="O1473" t="str">
            <v>YLR</v>
          </cell>
          <cell r="P1473" t="str">
            <v>YLR8994</v>
          </cell>
          <cell r="Q1473" t="str">
            <v/>
          </cell>
        </row>
        <row r="1474">
          <cell r="N1474" t="str">
            <v>8994</v>
          </cell>
          <cell r="O1474" t="str">
            <v>YLT</v>
          </cell>
          <cell r="P1474" t="str">
            <v>YLT8994</v>
          </cell>
          <cell r="Q1474" t="str">
            <v/>
          </cell>
        </row>
        <row r="1475">
          <cell r="N1475" t="str">
            <v>8994</v>
          </cell>
          <cell r="O1475" t="str">
            <v>YLX</v>
          </cell>
          <cell r="P1475" t="str">
            <v>YLX8994</v>
          </cell>
          <cell r="Q1475" t="str">
            <v/>
          </cell>
        </row>
        <row r="1476">
          <cell r="N1476" t="str">
            <v>8994</v>
          </cell>
          <cell r="O1476" t="str">
            <v>YLY</v>
          </cell>
          <cell r="P1476" t="str">
            <v>YLY8994</v>
          </cell>
          <cell r="Q1476" t="str">
            <v/>
          </cell>
        </row>
        <row r="1477">
          <cell r="N1477" t="str">
            <v>8994</v>
          </cell>
          <cell r="O1477" t="str">
            <v>YL2</v>
          </cell>
          <cell r="P1477" t="str">
            <v>YL28994</v>
          </cell>
          <cell r="Q1477" t="str">
            <v/>
          </cell>
        </row>
        <row r="1478">
          <cell r="N1478" t="str">
            <v>8994</v>
          </cell>
          <cell r="O1478" t="str">
            <v>YM1</v>
          </cell>
          <cell r="P1478" t="str">
            <v>YM18994</v>
          </cell>
          <cell r="Q1478" t="str">
            <v/>
          </cell>
        </row>
        <row r="1479">
          <cell r="N1479" t="str">
            <v>8994</v>
          </cell>
          <cell r="O1479" t="str">
            <v>YM2</v>
          </cell>
          <cell r="P1479" t="str">
            <v>YM28994</v>
          </cell>
          <cell r="Q1479" t="str">
            <v/>
          </cell>
        </row>
        <row r="1480">
          <cell r="N1480" t="str">
            <v>8994</v>
          </cell>
          <cell r="O1480" t="str">
            <v>YM3</v>
          </cell>
          <cell r="P1480" t="str">
            <v>YM38994</v>
          </cell>
          <cell r="Q1480" t="str">
            <v/>
          </cell>
        </row>
        <row r="1481">
          <cell r="N1481" t="str">
            <v>8994</v>
          </cell>
          <cell r="O1481" t="str">
            <v>YM4</v>
          </cell>
          <cell r="P1481" t="str">
            <v>YM48994</v>
          </cell>
          <cell r="Q1481" t="str">
            <v/>
          </cell>
        </row>
        <row r="1482">
          <cell r="N1482" t="str">
            <v>8994</v>
          </cell>
          <cell r="O1482" t="str">
            <v>YM5</v>
          </cell>
          <cell r="P1482" t="str">
            <v>YM58994</v>
          </cell>
          <cell r="Q1482" t="str">
            <v/>
          </cell>
        </row>
        <row r="1483">
          <cell r="N1483" t="str">
            <v>8994</v>
          </cell>
          <cell r="O1483" t="str">
            <v>YPH</v>
          </cell>
          <cell r="P1483" t="str">
            <v>YPH8994</v>
          </cell>
          <cell r="Q1483" t="str">
            <v/>
          </cell>
        </row>
        <row r="1484">
          <cell r="N1484" t="str">
            <v>8994</v>
          </cell>
          <cell r="O1484" t="str">
            <v>YPI</v>
          </cell>
          <cell r="P1484" t="str">
            <v>YPI8994</v>
          </cell>
          <cell r="Q1484" t="str">
            <v/>
          </cell>
        </row>
        <row r="1485">
          <cell r="N1485" t="str">
            <v>8994</v>
          </cell>
          <cell r="O1485" t="str">
            <v>00N</v>
          </cell>
          <cell r="P1485" t="str">
            <v>00N8994</v>
          </cell>
          <cell r="Q1485" t="str">
            <v/>
          </cell>
        </row>
        <row r="1486">
          <cell r="N1486" t="str">
            <v>8994</v>
          </cell>
          <cell r="O1486" t="str">
            <v>111</v>
          </cell>
          <cell r="P1486" t="str">
            <v>1118994</v>
          </cell>
          <cell r="Q1486" t="str">
            <v/>
          </cell>
        </row>
        <row r="1487">
          <cell r="N1487" t="str">
            <v>89940</v>
          </cell>
          <cell r="O1487" t="str">
            <v/>
          </cell>
          <cell r="P1487" t="str">
            <v/>
          </cell>
          <cell r="Q1487" t="str">
            <v>5151594</v>
          </cell>
        </row>
        <row r="1488">
          <cell r="N1488" t="str">
            <v>89940</v>
          </cell>
          <cell r="O1488" t="str">
            <v>EYL</v>
          </cell>
          <cell r="P1488" t="str">
            <v>EYL89940</v>
          </cell>
          <cell r="Q1488" t="str">
            <v>5151594</v>
          </cell>
        </row>
        <row r="1489">
          <cell r="N1489" t="str">
            <v>89940</v>
          </cell>
          <cell r="O1489" t="str">
            <v>YH8</v>
          </cell>
          <cell r="P1489" t="str">
            <v>YH889940</v>
          </cell>
          <cell r="Q1489" t="str">
            <v>5151594</v>
          </cell>
        </row>
        <row r="1490">
          <cell r="N1490" t="str">
            <v>89940</v>
          </cell>
          <cell r="O1490" t="str">
            <v>YLL</v>
          </cell>
          <cell r="P1490" t="str">
            <v>YLL89940</v>
          </cell>
          <cell r="Q1490" t="str">
            <v>5151594</v>
          </cell>
        </row>
        <row r="1491">
          <cell r="N1491" t="str">
            <v>89940</v>
          </cell>
          <cell r="O1491" t="str">
            <v>YLX</v>
          </cell>
          <cell r="P1491" t="str">
            <v>YLX89940</v>
          </cell>
          <cell r="Q1491" t="str">
            <v>5151594</v>
          </cell>
        </row>
        <row r="1492">
          <cell r="N1492" t="str">
            <v>89940</v>
          </cell>
          <cell r="O1492" t="str">
            <v>YLY</v>
          </cell>
          <cell r="P1492" t="str">
            <v>YLY89940</v>
          </cell>
          <cell r="Q1492" t="str">
            <v>5151594</v>
          </cell>
        </row>
        <row r="1493">
          <cell r="N1493" t="str">
            <v>89940</v>
          </cell>
          <cell r="O1493" t="str">
            <v>YL2</v>
          </cell>
          <cell r="P1493" t="str">
            <v>YL289940</v>
          </cell>
          <cell r="Q1493" t="str">
            <v>5151594</v>
          </cell>
        </row>
        <row r="1494">
          <cell r="N1494" t="str">
            <v>89940</v>
          </cell>
          <cell r="O1494" t="str">
            <v>YM1</v>
          </cell>
          <cell r="P1494" t="str">
            <v>YM189940</v>
          </cell>
          <cell r="Q1494" t="str">
            <v>5151594</v>
          </cell>
        </row>
        <row r="1495">
          <cell r="N1495" t="str">
            <v>89940</v>
          </cell>
          <cell r="O1495" t="str">
            <v>YM2</v>
          </cell>
          <cell r="P1495" t="str">
            <v>YM289940</v>
          </cell>
          <cell r="Q1495" t="str">
            <v>5151594</v>
          </cell>
        </row>
        <row r="1496">
          <cell r="N1496" t="str">
            <v>89940</v>
          </cell>
          <cell r="O1496" t="str">
            <v>YM3</v>
          </cell>
          <cell r="P1496" t="str">
            <v>YM389940</v>
          </cell>
          <cell r="Q1496" t="str">
            <v>5151594</v>
          </cell>
        </row>
        <row r="1497">
          <cell r="N1497" t="str">
            <v>89940</v>
          </cell>
          <cell r="O1497" t="str">
            <v>YPI</v>
          </cell>
          <cell r="P1497" t="str">
            <v>YPI89940</v>
          </cell>
          <cell r="Q1497" t="str">
            <v>5151594</v>
          </cell>
        </row>
        <row r="1498">
          <cell r="N1498" t="str">
            <v>89940</v>
          </cell>
          <cell r="O1498" t="str">
            <v>00N</v>
          </cell>
          <cell r="P1498" t="str">
            <v>00N89940</v>
          </cell>
          <cell r="Q1498" t="str">
            <v>5151594</v>
          </cell>
        </row>
        <row r="1499">
          <cell r="N1499" t="str">
            <v>89940</v>
          </cell>
          <cell r="O1499" t="str">
            <v>111</v>
          </cell>
          <cell r="P1499" t="str">
            <v>11189940</v>
          </cell>
          <cell r="Q1499" t="str">
            <v>5151594</v>
          </cell>
        </row>
        <row r="1500">
          <cell r="N1500" t="str">
            <v>8995</v>
          </cell>
          <cell r="O1500" t="str">
            <v/>
          </cell>
          <cell r="P1500" t="str">
            <v/>
          </cell>
          <cell r="Q1500" t="str">
            <v>5194</v>
          </cell>
        </row>
        <row r="1501">
          <cell r="N1501" t="str">
            <v>8995</v>
          </cell>
          <cell r="O1501" t="str">
            <v>TPP</v>
          </cell>
          <cell r="P1501" t="str">
            <v>TPP8995</v>
          </cell>
          <cell r="Q1501" t="str">
            <v>5194</v>
          </cell>
        </row>
        <row r="1502">
          <cell r="N1502" t="str">
            <v/>
          </cell>
          <cell r="O1502" t="str">
            <v/>
          </cell>
          <cell r="P1502" t="str">
            <v/>
          </cell>
          <cell r="Q1502" t="str">
            <v/>
          </cell>
        </row>
        <row r="1503">
          <cell r="N1503" t="str">
            <v>77942</v>
          </cell>
          <cell r="O1503" t="str">
            <v/>
          </cell>
          <cell r="P1503" t="str">
            <v/>
          </cell>
          <cell r="Q1503" t="str">
            <v/>
          </cell>
        </row>
        <row r="1504">
          <cell r="N1504" t="str">
            <v>77942</v>
          </cell>
          <cell r="O1504" t="str">
            <v>MPB</v>
          </cell>
          <cell r="P1504" t="str">
            <v>MPB77942</v>
          </cell>
          <cell r="Q1504" t="str">
            <v/>
          </cell>
        </row>
        <row r="1505">
          <cell r="N1505" t="str">
            <v>77942</v>
          </cell>
          <cell r="O1505" t="str">
            <v>MRP</v>
          </cell>
          <cell r="P1505" t="str">
            <v>MRP77942</v>
          </cell>
          <cell r="Q1505" t="str">
            <v/>
          </cell>
        </row>
        <row r="1506">
          <cell r="N1506" t="str">
            <v>779420</v>
          </cell>
          <cell r="O1506" t="str">
            <v/>
          </cell>
          <cell r="P1506" t="str">
            <v/>
          </cell>
          <cell r="Q1506" t="str">
            <v>4161599</v>
          </cell>
        </row>
        <row r="1507">
          <cell r="N1507" t="str">
            <v>779420</v>
          </cell>
          <cell r="O1507" t="str">
            <v>111</v>
          </cell>
          <cell r="P1507" t="str">
            <v>111779420</v>
          </cell>
          <cell r="Q1507" t="str">
            <v>4161599</v>
          </cell>
        </row>
        <row r="1508">
          <cell r="N1508" t="str">
            <v>8994</v>
          </cell>
          <cell r="O1508" t="str">
            <v/>
          </cell>
          <cell r="P1508" t="str">
            <v/>
          </cell>
          <cell r="Q1508" t="str">
            <v/>
          </cell>
        </row>
        <row r="1509">
          <cell r="N1509" t="str">
            <v>8994</v>
          </cell>
          <cell r="O1509" t="str">
            <v>MRC</v>
          </cell>
          <cell r="P1509" t="str">
            <v>MRC8994</v>
          </cell>
          <cell r="Q1509" t="str">
            <v/>
          </cell>
        </row>
        <row r="1510">
          <cell r="N1510" t="str">
            <v>8994</v>
          </cell>
          <cell r="O1510" t="str">
            <v>MRT</v>
          </cell>
          <cell r="P1510" t="str">
            <v>MRT8994</v>
          </cell>
          <cell r="Q1510" t="str">
            <v/>
          </cell>
        </row>
        <row r="1511">
          <cell r="N1511" t="str">
            <v>8994</v>
          </cell>
          <cell r="O1511" t="str">
            <v>YFB</v>
          </cell>
          <cell r="P1511" t="str">
            <v>YFB8994</v>
          </cell>
          <cell r="Q1511" t="str">
            <v/>
          </cell>
        </row>
        <row r="1512">
          <cell r="N1512" t="str">
            <v>89940</v>
          </cell>
          <cell r="O1512" t="str">
            <v/>
          </cell>
          <cell r="P1512" t="str">
            <v/>
          </cell>
          <cell r="Q1512" t="str">
            <v>5151594</v>
          </cell>
        </row>
        <row r="1513">
          <cell r="N1513" t="str">
            <v>89940</v>
          </cell>
          <cell r="O1513" t="str">
            <v>MRC</v>
          </cell>
          <cell r="P1513" t="str">
            <v>MRC89940</v>
          </cell>
          <cell r="Q1513" t="str">
            <v>5151594</v>
          </cell>
        </row>
        <row r="1514">
          <cell r="N1514" t="str">
            <v>89940</v>
          </cell>
          <cell r="O1514" t="str">
            <v>MRT</v>
          </cell>
          <cell r="P1514" t="str">
            <v>MRT89940</v>
          </cell>
          <cell r="Q1514" t="str">
            <v>5151594</v>
          </cell>
        </row>
        <row r="1515">
          <cell r="N1515" t="str">
            <v>89990</v>
          </cell>
          <cell r="O1515" t="str">
            <v/>
          </cell>
          <cell r="P1515" t="str">
            <v/>
          </cell>
          <cell r="Q1515" t="str">
            <v>55088091</v>
          </cell>
        </row>
        <row r="1516">
          <cell r="N1516" t="str">
            <v>89990</v>
          </cell>
          <cell r="O1516" t="str">
            <v>MVA</v>
          </cell>
          <cell r="P1516" t="str">
            <v>MVA89990</v>
          </cell>
          <cell r="Q1516" t="str">
            <v>55088091</v>
          </cell>
        </row>
        <row r="1517">
          <cell r="N1517" t="str">
            <v/>
          </cell>
          <cell r="O1517" t="str">
            <v/>
          </cell>
          <cell r="P1517" t="str">
            <v/>
          </cell>
          <cell r="Q1517" t="str">
            <v/>
          </cell>
        </row>
        <row r="1518">
          <cell r="N1518" t="str">
            <v>8994</v>
          </cell>
          <cell r="O1518" t="str">
            <v/>
          </cell>
          <cell r="P1518" t="str">
            <v/>
          </cell>
          <cell r="Q1518" t="str">
            <v/>
          </cell>
        </row>
        <row r="1519">
          <cell r="N1519" t="str">
            <v>8994</v>
          </cell>
          <cell r="O1519" t="str">
            <v>L01</v>
          </cell>
          <cell r="P1519" t="str">
            <v>L018994</v>
          </cell>
          <cell r="Q1519" t="str">
            <v/>
          </cell>
        </row>
        <row r="1520">
          <cell r="N1520" t="str">
            <v>8994</v>
          </cell>
          <cell r="O1520" t="str">
            <v>ONL</v>
          </cell>
          <cell r="P1520" t="str">
            <v>ONL8994</v>
          </cell>
          <cell r="Q1520" t="str">
            <v/>
          </cell>
        </row>
        <row r="1521">
          <cell r="N1521" t="str">
            <v>89940</v>
          </cell>
          <cell r="O1521" t="str">
            <v/>
          </cell>
          <cell r="P1521" t="str">
            <v/>
          </cell>
          <cell r="Q1521" t="str">
            <v>5151594</v>
          </cell>
        </row>
        <row r="1522">
          <cell r="N1522" t="str">
            <v>89940</v>
          </cell>
          <cell r="O1522" t="str">
            <v>L01</v>
          </cell>
          <cell r="P1522" t="str">
            <v>L0189940</v>
          </cell>
          <cell r="Q1522" t="str">
            <v>5151594</v>
          </cell>
        </row>
        <row r="1523">
          <cell r="N1523" t="str">
            <v>89940</v>
          </cell>
          <cell r="O1523" t="str">
            <v>ONL</v>
          </cell>
          <cell r="P1523" t="str">
            <v>ONL89940</v>
          </cell>
          <cell r="Q1523" t="str">
            <v>5151594</v>
          </cell>
        </row>
        <row r="1524">
          <cell r="N1524" t="str">
            <v/>
          </cell>
          <cell r="O1524" t="str">
            <v/>
          </cell>
          <cell r="P1524" t="str">
            <v/>
          </cell>
          <cell r="Q1524" t="str">
            <v/>
          </cell>
        </row>
        <row r="1525">
          <cell r="N1525" t="str">
            <v>8994</v>
          </cell>
          <cell r="O1525" t="str">
            <v/>
          </cell>
          <cell r="P1525" t="str">
            <v/>
          </cell>
          <cell r="Q1525" t="str">
            <v/>
          </cell>
        </row>
        <row r="1526">
          <cell r="N1526" t="str">
            <v>8994</v>
          </cell>
          <cell r="O1526" t="str">
            <v>MRB</v>
          </cell>
          <cell r="P1526" t="str">
            <v>MRB8994</v>
          </cell>
          <cell r="Q1526" t="str">
            <v/>
          </cell>
        </row>
        <row r="1527">
          <cell r="N1527" t="str">
            <v>8994</v>
          </cell>
          <cell r="O1527" t="str">
            <v>YLH</v>
          </cell>
          <cell r="P1527" t="str">
            <v>YLH8994</v>
          </cell>
          <cell r="Q1527" t="str">
            <v/>
          </cell>
        </row>
        <row r="1528">
          <cell r="N1528" t="str">
            <v>8994</v>
          </cell>
          <cell r="O1528" t="str">
            <v>YL3</v>
          </cell>
          <cell r="P1528" t="str">
            <v>YL38994</v>
          </cell>
          <cell r="Q1528" t="str">
            <v/>
          </cell>
        </row>
        <row r="1529">
          <cell r="N1529" t="str">
            <v>8994</v>
          </cell>
          <cell r="O1529" t="str">
            <v>YPG</v>
          </cell>
          <cell r="P1529" t="str">
            <v>YPG8994</v>
          </cell>
          <cell r="Q1529" t="str">
            <v/>
          </cell>
        </row>
        <row r="1530">
          <cell r="N1530" t="str">
            <v>8994</v>
          </cell>
          <cell r="O1530" t="str">
            <v>YPK</v>
          </cell>
          <cell r="P1530" t="str">
            <v>YPK8994</v>
          </cell>
          <cell r="Q1530" t="str">
            <v/>
          </cell>
        </row>
        <row r="1531">
          <cell r="N1531" t="str">
            <v>8994</v>
          </cell>
          <cell r="O1531" t="str">
            <v>YPS</v>
          </cell>
          <cell r="P1531" t="str">
            <v>YPS8994</v>
          </cell>
          <cell r="Q1531" t="str">
            <v/>
          </cell>
        </row>
        <row r="1532">
          <cell r="N1532" t="str">
            <v>8994</v>
          </cell>
          <cell r="O1532" t="str">
            <v>YPT</v>
          </cell>
          <cell r="P1532" t="str">
            <v>YPT8994</v>
          </cell>
          <cell r="Q1532" t="str">
            <v/>
          </cell>
        </row>
        <row r="1533">
          <cell r="N1533" t="str">
            <v>89940</v>
          </cell>
          <cell r="O1533" t="str">
            <v/>
          </cell>
          <cell r="P1533" t="str">
            <v/>
          </cell>
          <cell r="Q1533" t="str">
            <v>5151594</v>
          </cell>
        </row>
        <row r="1534">
          <cell r="N1534" t="str">
            <v>89940</v>
          </cell>
          <cell r="O1534" t="str">
            <v>MRB</v>
          </cell>
          <cell r="P1534" t="str">
            <v>MRB89940</v>
          </cell>
          <cell r="Q1534" t="str">
            <v>5151594</v>
          </cell>
        </row>
        <row r="1535">
          <cell r="N1535" t="str">
            <v>89940</v>
          </cell>
          <cell r="O1535" t="str">
            <v>YPG</v>
          </cell>
          <cell r="P1535" t="str">
            <v>YPG89940</v>
          </cell>
          <cell r="Q1535" t="str">
            <v>5151594</v>
          </cell>
        </row>
        <row r="1536">
          <cell r="N1536" t="str">
            <v>89940</v>
          </cell>
          <cell r="O1536" t="str">
            <v>YPK</v>
          </cell>
          <cell r="P1536" t="str">
            <v>YPK89940</v>
          </cell>
          <cell r="Q1536" t="str">
            <v>5151594</v>
          </cell>
        </row>
        <row r="1537">
          <cell r="N1537" t="str">
            <v>89940</v>
          </cell>
          <cell r="O1537" t="str">
            <v>YPS</v>
          </cell>
          <cell r="P1537" t="str">
            <v>YPS89940</v>
          </cell>
          <cell r="Q1537" t="str">
            <v>5151594</v>
          </cell>
        </row>
        <row r="1538">
          <cell r="N1538" t="str">
            <v>89940</v>
          </cell>
          <cell r="O1538" t="str">
            <v>YPT</v>
          </cell>
          <cell r="P1538" t="str">
            <v>YPT89940</v>
          </cell>
          <cell r="Q1538" t="str">
            <v>5151594</v>
          </cell>
        </row>
        <row r="1539">
          <cell r="N1539" t="str">
            <v/>
          </cell>
          <cell r="O1539" t="str">
            <v/>
          </cell>
          <cell r="P1539" t="str">
            <v/>
          </cell>
          <cell r="Q1539" t="str">
            <v/>
          </cell>
        </row>
        <row r="1540">
          <cell r="N1540" t="str">
            <v/>
          </cell>
          <cell r="O1540" t="str">
            <v/>
          </cell>
          <cell r="P1540" t="str">
            <v/>
          </cell>
          <cell r="Q1540" t="str">
            <v/>
          </cell>
        </row>
        <row r="1541">
          <cell r="N1541" t="str">
            <v>779420</v>
          </cell>
          <cell r="O1541" t="str">
            <v/>
          </cell>
          <cell r="P1541" t="str">
            <v/>
          </cell>
          <cell r="Q1541" t="str">
            <v>4161599</v>
          </cell>
        </row>
        <row r="1542">
          <cell r="N1542" t="str">
            <v>779420</v>
          </cell>
          <cell r="O1542" t="str">
            <v>MPB</v>
          </cell>
          <cell r="P1542" t="str">
            <v>MPB779420</v>
          </cell>
          <cell r="Q1542" t="str">
            <v>4161599</v>
          </cell>
        </row>
        <row r="1543">
          <cell r="N1543" t="str">
            <v>779420</v>
          </cell>
          <cell r="O1543" t="str">
            <v>MRP</v>
          </cell>
          <cell r="P1543" t="str">
            <v>MRP779420</v>
          </cell>
          <cell r="Q1543" t="str">
            <v>4161599</v>
          </cell>
        </row>
        <row r="1544">
          <cell r="N1544" t="str">
            <v/>
          </cell>
          <cell r="O1544" t="str">
            <v/>
          </cell>
          <cell r="P1544" t="str">
            <v/>
          </cell>
          <cell r="Q1544" t="str">
            <v/>
          </cell>
        </row>
        <row r="1545">
          <cell r="N1545" t="str">
            <v>7169501</v>
          </cell>
          <cell r="O1545" t="str">
            <v/>
          </cell>
          <cell r="P1545" t="str">
            <v/>
          </cell>
          <cell r="Q1545" t="str">
            <v>4161599</v>
          </cell>
        </row>
        <row r="1546">
          <cell r="N1546" t="str">
            <v>7169501</v>
          </cell>
          <cell r="O1546" t="str">
            <v>L01</v>
          </cell>
          <cell r="P1546" t="str">
            <v>L017169501</v>
          </cell>
          <cell r="Q1546" t="str">
            <v>4161599</v>
          </cell>
        </row>
        <row r="1547">
          <cell r="N1547" t="str">
            <v>7169501</v>
          </cell>
          <cell r="O1547" t="str">
            <v>ONL</v>
          </cell>
          <cell r="P1547" t="str">
            <v>ONL7169501</v>
          </cell>
          <cell r="Q1547" t="str">
            <v>4161599</v>
          </cell>
        </row>
        <row r="1548">
          <cell r="N1548" t="str">
            <v/>
          </cell>
          <cell r="O1548" t="str">
            <v/>
          </cell>
          <cell r="P1548" t="str">
            <v/>
          </cell>
          <cell r="Q1548" t="str">
            <v/>
          </cell>
        </row>
        <row r="1549">
          <cell r="N1549" t="str">
            <v>779421</v>
          </cell>
          <cell r="O1549" t="str">
            <v/>
          </cell>
          <cell r="P1549" t="str">
            <v/>
          </cell>
          <cell r="Q1549" t="str">
            <v>4161599</v>
          </cell>
        </row>
        <row r="1550">
          <cell r="N1550" t="str">
            <v>779421</v>
          </cell>
          <cell r="O1550" t="str">
            <v>LO1</v>
          </cell>
          <cell r="P1550" t="str">
            <v>LO1779421</v>
          </cell>
          <cell r="Q1550" t="str">
            <v>4161599</v>
          </cell>
        </row>
        <row r="1551">
          <cell r="N1551" t="str">
            <v>779421</v>
          </cell>
          <cell r="O1551" t="str">
            <v>LPR</v>
          </cell>
          <cell r="P1551" t="str">
            <v>LPR779421</v>
          </cell>
          <cell r="Q1551" t="str">
            <v>4161599</v>
          </cell>
        </row>
        <row r="1552">
          <cell r="N1552" t="str">
            <v>779421</v>
          </cell>
          <cell r="O1552" t="str">
            <v>L01</v>
          </cell>
          <cell r="P1552" t="str">
            <v>L01779421</v>
          </cell>
          <cell r="Q1552" t="str">
            <v>4161599</v>
          </cell>
        </row>
        <row r="1553">
          <cell r="N1553" t="str">
            <v>779421</v>
          </cell>
          <cell r="O1553" t="str">
            <v>ONL</v>
          </cell>
          <cell r="P1553" t="str">
            <v>ONL779421</v>
          </cell>
          <cell r="Q1553" t="str">
            <v>4161599</v>
          </cell>
        </row>
        <row r="1554">
          <cell r="N1554" t="str">
            <v/>
          </cell>
          <cell r="O1554" t="str">
            <v/>
          </cell>
          <cell r="P1554" t="str">
            <v/>
          </cell>
          <cell r="Q1554" t="str">
            <v/>
          </cell>
        </row>
        <row r="1555">
          <cell r="N1555" t="str">
            <v>716902</v>
          </cell>
          <cell r="O1555" t="str">
            <v/>
          </cell>
          <cell r="P1555" t="str">
            <v/>
          </cell>
          <cell r="Q1555" t="str">
            <v>4161599</v>
          </cell>
        </row>
        <row r="1556">
          <cell r="N1556" t="str">
            <v>716902</v>
          </cell>
          <cell r="O1556" t="str">
            <v>CZA</v>
          </cell>
          <cell r="P1556" t="str">
            <v>CZA716902</v>
          </cell>
          <cell r="Q1556" t="str">
            <v>4161599</v>
          </cell>
        </row>
        <row r="1557">
          <cell r="N1557" t="str">
            <v>716902</v>
          </cell>
          <cell r="O1557" t="str">
            <v>CZB</v>
          </cell>
          <cell r="P1557" t="str">
            <v>CZB716902</v>
          </cell>
          <cell r="Q1557" t="str">
            <v>4161599</v>
          </cell>
        </row>
        <row r="1558">
          <cell r="N1558" t="str">
            <v>716902</v>
          </cell>
          <cell r="O1558" t="str">
            <v>CZE</v>
          </cell>
          <cell r="P1558" t="str">
            <v>CZE716902</v>
          </cell>
          <cell r="Q1558" t="str">
            <v>4161599</v>
          </cell>
        </row>
        <row r="1559">
          <cell r="N1559" t="str">
            <v>716902</v>
          </cell>
          <cell r="O1559" t="str">
            <v>CZF</v>
          </cell>
          <cell r="P1559" t="str">
            <v>CZF716902</v>
          </cell>
          <cell r="Q1559" t="str">
            <v>4161599</v>
          </cell>
        </row>
        <row r="1560">
          <cell r="N1560" t="str">
            <v>716902</v>
          </cell>
          <cell r="O1560" t="str">
            <v>ONL</v>
          </cell>
          <cell r="P1560" t="str">
            <v>ONL716902</v>
          </cell>
          <cell r="Q1560" t="str">
            <v>4161599</v>
          </cell>
        </row>
        <row r="1561">
          <cell r="N1561" t="str">
            <v>77942</v>
          </cell>
          <cell r="O1561" t="str">
            <v/>
          </cell>
          <cell r="P1561" t="str">
            <v/>
          </cell>
          <cell r="Q1561" t="str">
            <v/>
          </cell>
        </row>
        <row r="1562">
          <cell r="N1562" t="str">
            <v>77942</v>
          </cell>
          <cell r="O1562" t="str">
            <v>LO1</v>
          </cell>
          <cell r="P1562" t="str">
            <v>LO177942</v>
          </cell>
          <cell r="Q1562" t="str">
            <v/>
          </cell>
        </row>
        <row r="1563">
          <cell r="N1563" t="str">
            <v>77942</v>
          </cell>
          <cell r="O1563" t="str">
            <v>LRA</v>
          </cell>
          <cell r="P1563" t="str">
            <v>LRA77942</v>
          </cell>
          <cell r="Q1563" t="str">
            <v/>
          </cell>
        </row>
        <row r="1564">
          <cell r="N1564" t="str">
            <v>77942</v>
          </cell>
          <cell r="O1564" t="str">
            <v>ONL</v>
          </cell>
          <cell r="P1564" t="str">
            <v>ONL77942</v>
          </cell>
          <cell r="Q1564" t="str">
            <v/>
          </cell>
        </row>
        <row r="1565">
          <cell r="N1565" t="str">
            <v>779420</v>
          </cell>
          <cell r="O1565" t="str">
            <v/>
          </cell>
          <cell r="P1565" t="str">
            <v/>
          </cell>
          <cell r="Q1565" t="str">
            <v>4161599</v>
          </cell>
        </row>
        <row r="1566">
          <cell r="N1566" t="str">
            <v>779420</v>
          </cell>
          <cell r="O1566" t="str">
            <v>LO1</v>
          </cell>
          <cell r="P1566" t="str">
            <v>LO1779420</v>
          </cell>
          <cell r="Q1566" t="str">
            <v>4161599</v>
          </cell>
        </row>
        <row r="1567">
          <cell r="N1567" t="str">
            <v>779420</v>
          </cell>
          <cell r="O1567" t="str">
            <v>L01</v>
          </cell>
          <cell r="P1567" t="str">
            <v>L01779420</v>
          </cell>
          <cell r="Q1567" t="str">
            <v>4161599</v>
          </cell>
        </row>
        <row r="1568">
          <cell r="N1568" t="str">
            <v>779420</v>
          </cell>
          <cell r="O1568" t="str">
            <v>ONL</v>
          </cell>
          <cell r="P1568" t="str">
            <v>ONL779420</v>
          </cell>
          <cell r="Q1568" t="str">
            <v>4161599</v>
          </cell>
        </row>
        <row r="1569">
          <cell r="N1569" t="str">
            <v/>
          </cell>
          <cell r="O1569" t="str">
            <v/>
          </cell>
          <cell r="P1569" t="str">
            <v/>
          </cell>
          <cell r="Q1569" t="str">
            <v/>
          </cell>
        </row>
        <row r="1570">
          <cell r="N1570" t="str">
            <v/>
          </cell>
          <cell r="O1570" t="str">
            <v/>
          </cell>
          <cell r="P1570" t="str">
            <v/>
          </cell>
          <cell r="Q1570" t="str">
            <v/>
          </cell>
        </row>
        <row r="1571">
          <cell r="N1571" t="str">
            <v>89941</v>
          </cell>
          <cell r="O1571" t="str">
            <v/>
          </cell>
          <cell r="P1571" t="str">
            <v/>
          </cell>
          <cell r="Q1571" t="str">
            <v>5151594</v>
          </cell>
        </row>
        <row r="1572">
          <cell r="N1572" t="str">
            <v>89941</v>
          </cell>
          <cell r="O1572" t="str">
            <v>YG9</v>
          </cell>
          <cell r="P1572" t="str">
            <v>YG989941</v>
          </cell>
          <cell r="Q1572" t="str">
            <v>5151594</v>
          </cell>
        </row>
        <row r="1573">
          <cell r="N1573" t="str">
            <v/>
          </cell>
          <cell r="O1573" t="str">
            <v/>
          </cell>
          <cell r="P1573" t="str">
            <v/>
          </cell>
          <cell r="Q1573" t="str">
            <v/>
          </cell>
        </row>
        <row r="1574">
          <cell r="N1574" t="str">
            <v>GNE</v>
          </cell>
          <cell r="O1574" t="str">
            <v/>
          </cell>
          <cell r="P1574" t="str">
            <v/>
          </cell>
          <cell r="Q1574" t="str">
            <v/>
          </cell>
        </row>
        <row r="1575">
          <cell r="N1575" t="str">
            <v>GNE</v>
          </cell>
          <cell r="O1575" t="str">
            <v>NET</v>
          </cell>
          <cell r="P1575" t="str">
            <v>NETGNE</v>
          </cell>
          <cell r="Q1575" t="str">
            <v/>
          </cell>
        </row>
        <row r="1576">
          <cell r="N1576" t="str">
            <v>89941</v>
          </cell>
          <cell r="O1576" t="str">
            <v/>
          </cell>
          <cell r="P1576" t="str">
            <v/>
          </cell>
          <cell r="Q1576" t="str">
            <v>5151594</v>
          </cell>
        </row>
        <row r="1577">
          <cell r="N1577" t="str">
            <v>89941</v>
          </cell>
          <cell r="O1577" t="str">
            <v>G90</v>
          </cell>
          <cell r="P1577" t="str">
            <v>G9089941</v>
          </cell>
          <cell r="Q1577" t="str">
            <v>5151594</v>
          </cell>
        </row>
        <row r="1578">
          <cell r="N1578" t="str">
            <v/>
          </cell>
          <cell r="O1578" t="str">
            <v/>
          </cell>
          <cell r="P1578" t="str">
            <v/>
          </cell>
          <cell r="Q1578" t="str">
            <v/>
          </cell>
        </row>
        <row r="1579">
          <cell r="N1579" t="str">
            <v>89941</v>
          </cell>
          <cell r="O1579" t="str">
            <v/>
          </cell>
          <cell r="P1579" t="str">
            <v/>
          </cell>
          <cell r="Q1579" t="str">
            <v>5151594</v>
          </cell>
        </row>
        <row r="1580">
          <cell r="N1580" t="str">
            <v>89941</v>
          </cell>
          <cell r="O1580" t="str">
            <v>ONL</v>
          </cell>
          <cell r="P1580" t="str">
            <v>ONL89941</v>
          </cell>
          <cell r="Q1580" t="str">
            <v>5151594</v>
          </cell>
        </row>
        <row r="1581">
          <cell r="N1581" t="str">
            <v/>
          </cell>
          <cell r="O1581" t="str">
            <v/>
          </cell>
          <cell r="P1581" t="str">
            <v/>
          </cell>
          <cell r="Q1581" t="str">
            <v/>
          </cell>
        </row>
        <row r="1582">
          <cell r="N1582" t="str">
            <v/>
          </cell>
          <cell r="O1582" t="str">
            <v/>
          </cell>
          <cell r="P1582" t="str">
            <v/>
          </cell>
          <cell r="Q1582" t="str">
            <v/>
          </cell>
        </row>
        <row r="1583">
          <cell r="N1583" t="str">
            <v/>
          </cell>
          <cell r="O1583" t="str">
            <v/>
          </cell>
          <cell r="P1583" t="str">
            <v/>
          </cell>
          <cell r="Q1583" t="str">
            <v/>
          </cell>
        </row>
        <row r="1584">
          <cell r="N1584" t="str">
            <v/>
          </cell>
          <cell r="O1584" t="str">
            <v/>
          </cell>
          <cell r="P1584" t="str">
            <v/>
          </cell>
          <cell r="Q1584" t="str">
            <v/>
          </cell>
        </row>
        <row r="1585">
          <cell r="N1585" t="str">
            <v/>
          </cell>
          <cell r="O1585" t="str">
            <v/>
          </cell>
          <cell r="P1585" t="str">
            <v/>
          </cell>
          <cell r="Q1585" t="str">
            <v/>
          </cell>
        </row>
        <row r="1586">
          <cell r="N1586" t="str">
            <v>5499600</v>
          </cell>
          <cell r="O1586" t="str">
            <v/>
          </cell>
          <cell r="P1586" t="str">
            <v/>
          </cell>
          <cell r="Q1586" t="str">
            <v>19939</v>
          </cell>
        </row>
        <row r="1587">
          <cell r="N1587" t="str">
            <v>5499600</v>
          </cell>
          <cell r="O1587" t="str">
            <v>!JI</v>
          </cell>
          <cell r="P1587" t="str">
            <v>!JI5499600</v>
          </cell>
          <cell r="Q1587" t="str">
            <v>19939</v>
          </cell>
        </row>
        <row r="1588">
          <cell r="N1588" t="str">
            <v>779632</v>
          </cell>
          <cell r="O1588" t="str">
            <v/>
          </cell>
          <cell r="P1588" t="str">
            <v/>
          </cell>
          <cell r="Q1588" t="str">
            <v>41499</v>
          </cell>
        </row>
        <row r="1589">
          <cell r="N1589" t="str">
            <v>779632</v>
          </cell>
          <cell r="O1589" t="str">
            <v>111</v>
          </cell>
          <cell r="P1589" t="str">
            <v>111779632</v>
          </cell>
          <cell r="Q1589" t="str">
            <v>41499</v>
          </cell>
        </row>
        <row r="1590">
          <cell r="N1590" t="str">
            <v>8209</v>
          </cell>
          <cell r="O1590" t="str">
            <v/>
          </cell>
          <cell r="P1590" t="str">
            <v/>
          </cell>
          <cell r="Q1590" t="str">
            <v>510991</v>
          </cell>
        </row>
        <row r="1591">
          <cell r="N1591" t="str">
            <v>8209</v>
          </cell>
          <cell r="O1591" t="str">
            <v>GBM</v>
          </cell>
          <cell r="P1591" t="str">
            <v>GBM8209</v>
          </cell>
          <cell r="Q1591" t="str">
            <v>510991</v>
          </cell>
        </row>
        <row r="1592">
          <cell r="N1592" t="str">
            <v>8209</v>
          </cell>
          <cell r="O1592" t="str">
            <v>GBQ</v>
          </cell>
          <cell r="P1592" t="str">
            <v>GBQ8209</v>
          </cell>
          <cell r="Q1592" t="str">
            <v>510991</v>
          </cell>
        </row>
        <row r="1593">
          <cell r="N1593" t="str">
            <v>825910</v>
          </cell>
          <cell r="O1593" t="str">
            <v/>
          </cell>
          <cell r="P1593" t="str">
            <v/>
          </cell>
          <cell r="Q1593" t="str">
            <v/>
          </cell>
        </row>
        <row r="1594">
          <cell r="N1594" t="str">
            <v>825910</v>
          </cell>
          <cell r="O1594" t="str">
            <v>A66</v>
          </cell>
          <cell r="P1594" t="str">
            <v>A66825910</v>
          </cell>
          <cell r="Q1594" t="str">
            <v/>
          </cell>
        </row>
        <row r="1595">
          <cell r="N1595" t="str">
            <v>825910</v>
          </cell>
          <cell r="O1595" t="str">
            <v>CRR</v>
          </cell>
          <cell r="P1595" t="str">
            <v>CRR825910</v>
          </cell>
          <cell r="Q1595" t="str">
            <v/>
          </cell>
        </row>
        <row r="1596">
          <cell r="N1596" t="str">
            <v>825910</v>
          </cell>
          <cell r="O1596" t="str">
            <v>LTA</v>
          </cell>
          <cell r="P1596" t="str">
            <v>LTA825910</v>
          </cell>
          <cell r="Q1596" t="str">
            <v/>
          </cell>
        </row>
        <row r="1597">
          <cell r="N1597" t="str">
            <v>825910</v>
          </cell>
          <cell r="O1597" t="str">
            <v>ONL</v>
          </cell>
          <cell r="P1597" t="str">
            <v>ONL825910</v>
          </cell>
          <cell r="Q1597" t="str">
            <v/>
          </cell>
        </row>
        <row r="1598">
          <cell r="N1598" t="str">
            <v>825910</v>
          </cell>
          <cell r="O1598" t="str">
            <v>REG</v>
          </cell>
          <cell r="P1598" t="str">
            <v>REG825910</v>
          </cell>
          <cell r="Q1598" t="str">
            <v/>
          </cell>
        </row>
        <row r="1599">
          <cell r="N1599" t="str">
            <v>825910</v>
          </cell>
          <cell r="O1599" t="str">
            <v>111</v>
          </cell>
          <cell r="P1599" t="str">
            <v>111825910</v>
          </cell>
          <cell r="Q1599" t="str">
            <v/>
          </cell>
        </row>
        <row r="1600">
          <cell r="N1600" t="str">
            <v>825910</v>
          </cell>
          <cell r="O1600" t="str">
            <v>239</v>
          </cell>
          <cell r="P1600" t="str">
            <v>239825910</v>
          </cell>
          <cell r="Q1600" t="str">
            <v/>
          </cell>
        </row>
        <row r="1601">
          <cell r="N1601" t="str">
            <v>825910</v>
          </cell>
          <cell r="O1601" t="str">
            <v>6AE</v>
          </cell>
          <cell r="P1601" t="str">
            <v>6AE825910</v>
          </cell>
          <cell r="Q1601" t="str">
            <v/>
          </cell>
        </row>
        <row r="1602">
          <cell r="N1602" t="str">
            <v>825910</v>
          </cell>
          <cell r="O1602" t="str">
            <v>6AT</v>
          </cell>
          <cell r="P1602" t="str">
            <v>6AT825910</v>
          </cell>
          <cell r="Q1602" t="str">
            <v/>
          </cell>
        </row>
        <row r="1603">
          <cell r="N1603" t="str">
            <v>825910</v>
          </cell>
          <cell r="O1603" t="str">
            <v>610</v>
          </cell>
          <cell r="P1603" t="str">
            <v>610825910</v>
          </cell>
          <cell r="Q1603" t="str">
            <v/>
          </cell>
        </row>
        <row r="1604">
          <cell r="N1604" t="str">
            <v>825910</v>
          </cell>
          <cell r="O1604" t="str">
            <v>856</v>
          </cell>
          <cell r="P1604" t="str">
            <v>856825910</v>
          </cell>
          <cell r="Q1604" t="str">
            <v/>
          </cell>
        </row>
        <row r="1605">
          <cell r="N1605" t="str">
            <v>825910</v>
          </cell>
          <cell r="O1605" t="str">
            <v>859</v>
          </cell>
          <cell r="P1605" t="str">
            <v>859825910</v>
          </cell>
          <cell r="Q1605" t="str">
            <v/>
          </cell>
        </row>
        <row r="1606">
          <cell r="N1606" t="str">
            <v>8259100</v>
          </cell>
          <cell r="O1606" t="str">
            <v/>
          </cell>
          <cell r="P1606" t="str">
            <v/>
          </cell>
          <cell r="Q1606" t="str">
            <v>5015305700</v>
          </cell>
        </row>
        <row r="1607">
          <cell r="N1607" t="str">
            <v>8259100</v>
          </cell>
          <cell r="O1607" t="str">
            <v>CRR</v>
          </cell>
          <cell r="P1607" t="str">
            <v>CRR8259100</v>
          </cell>
          <cell r="Q1607" t="str">
            <v>5015305700</v>
          </cell>
        </row>
        <row r="1608">
          <cell r="N1608" t="str">
            <v>8259100</v>
          </cell>
          <cell r="O1608" t="str">
            <v>FOE</v>
          </cell>
          <cell r="P1608" t="str">
            <v>FOE8259100</v>
          </cell>
          <cell r="Q1608" t="str">
            <v>5015305700</v>
          </cell>
        </row>
        <row r="1609">
          <cell r="N1609" t="str">
            <v>8259100</v>
          </cell>
          <cell r="O1609" t="str">
            <v>LTA</v>
          </cell>
          <cell r="P1609" t="str">
            <v>LTA8259100</v>
          </cell>
          <cell r="Q1609" t="str">
            <v>5015305700</v>
          </cell>
        </row>
        <row r="1610">
          <cell r="N1610" t="str">
            <v>8259100</v>
          </cell>
          <cell r="O1610" t="str">
            <v>!MF</v>
          </cell>
          <cell r="P1610" t="str">
            <v>!MF8259100</v>
          </cell>
          <cell r="Q1610" t="str">
            <v>5015305700</v>
          </cell>
        </row>
        <row r="1611">
          <cell r="N1611" t="str">
            <v>8259100</v>
          </cell>
          <cell r="O1611" t="str">
            <v>ONL</v>
          </cell>
          <cell r="P1611" t="str">
            <v>ONL8259100</v>
          </cell>
          <cell r="Q1611" t="str">
            <v>5015305700</v>
          </cell>
        </row>
        <row r="1612">
          <cell r="N1612" t="str">
            <v>8259100</v>
          </cell>
          <cell r="O1612" t="str">
            <v>REG</v>
          </cell>
          <cell r="P1612" t="str">
            <v>REG8259100</v>
          </cell>
          <cell r="Q1612" t="str">
            <v>5015305700</v>
          </cell>
        </row>
        <row r="1613">
          <cell r="N1613" t="str">
            <v>8259100</v>
          </cell>
          <cell r="O1613" t="str">
            <v>111</v>
          </cell>
          <cell r="P1613" t="str">
            <v>1118259100</v>
          </cell>
          <cell r="Q1613" t="str">
            <v>5015305700</v>
          </cell>
        </row>
        <row r="1614">
          <cell r="N1614" t="str">
            <v>8259100</v>
          </cell>
          <cell r="O1614" t="str">
            <v>212</v>
          </cell>
          <cell r="P1614" t="str">
            <v>2128259100</v>
          </cell>
          <cell r="Q1614" t="str">
            <v>5015305700</v>
          </cell>
        </row>
        <row r="1615">
          <cell r="N1615" t="str">
            <v>8259100</v>
          </cell>
          <cell r="O1615" t="str">
            <v>6AE</v>
          </cell>
          <cell r="P1615" t="str">
            <v>6AE8259100</v>
          </cell>
          <cell r="Q1615" t="str">
            <v>5015305700</v>
          </cell>
        </row>
        <row r="1616">
          <cell r="N1616" t="str">
            <v>8259100</v>
          </cell>
          <cell r="O1616" t="str">
            <v>6AT</v>
          </cell>
          <cell r="P1616" t="str">
            <v>6AT8259100</v>
          </cell>
          <cell r="Q1616" t="str">
            <v>5015305700</v>
          </cell>
        </row>
        <row r="1617">
          <cell r="N1617" t="str">
            <v>8259100</v>
          </cell>
          <cell r="O1617" t="str">
            <v>6EM</v>
          </cell>
          <cell r="P1617" t="str">
            <v>6EM8259100</v>
          </cell>
          <cell r="Q1617" t="str">
            <v>5015305700</v>
          </cell>
        </row>
        <row r="1618">
          <cell r="N1618" t="str">
            <v>8259100</v>
          </cell>
          <cell r="O1618" t="str">
            <v>610</v>
          </cell>
          <cell r="P1618" t="str">
            <v>6108259100</v>
          </cell>
          <cell r="Q1618" t="str">
            <v>5015305700</v>
          </cell>
        </row>
        <row r="1619">
          <cell r="N1619" t="str">
            <v>8259100</v>
          </cell>
          <cell r="O1619" t="str">
            <v>856</v>
          </cell>
          <cell r="P1619" t="str">
            <v>8568259100</v>
          </cell>
          <cell r="Q1619" t="str">
            <v>5015305700</v>
          </cell>
        </row>
        <row r="1620">
          <cell r="N1620" t="str">
            <v>8259100</v>
          </cell>
          <cell r="O1620" t="str">
            <v>857</v>
          </cell>
          <cell r="P1620" t="str">
            <v>8578259100</v>
          </cell>
          <cell r="Q1620" t="str">
            <v>5015305700</v>
          </cell>
        </row>
        <row r="1621">
          <cell r="N1621" t="str">
            <v>825911</v>
          </cell>
          <cell r="O1621" t="str">
            <v/>
          </cell>
          <cell r="P1621" t="str">
            <v/>
          </cell>
          <cell r="Q1621" t="str">
            <v>519399</v>
          </cell>
        </row>
        <row r="1622">
          <cell r="N1622" t="str">
            <v>825911</v>
          </cell>
          <cell r="O1622" t="str">
            <v>610</v>
          </cell>
          <cell r="P1622" t="str">
            <v>610825911</v>
          </cell>
          <cell r="Q1622" t="str">
            <v>519399</v>
          </cell>
        </row>
        <row r="1623">
          <cell r="N1623" t="str">
            <v>82591720</v>
          </cell>
          <cell r="O1623" t="str">
            <v/>
          </cell>
          <cell r="P1623" t="str">
            <v/>
          </cell>
          <cell r="Q1623" t="str">
            <v>501530470</v>
          </cell>
        </row>
        <row r="1624">
          <cell r="N1624" t="str">
            <v>82591720</v>
          </cell>
          <cell r="O1624" t="str">
            <v>IF6</v>
          </cell>
          <cell r="P1624" t="str">
            <v>IF682591720</v>
          </cell>
          <cell r="Q1624" t="str">
            <v>501530470</v>
          </cell>
        </row>
        <row r="1625">
          <cell r="N1625" t="str">
            <v>82591720</v>
          </cell>
          <cell r="O1625" t="str">
            <v>111</v>
          </cell>
          <cell r="P1625" t="str">
            <v>11182591720</v>
          </cell>
          <cell r="Q1625" t="str">
            <v>501530470</v>
          </cell>
        </row>
        <row r="1626">
          <cell r="N1626" t="str">
            <v>825919</v>
          </cell>
          <cell r="O1626" t="str">
            <v/>
          </cell>
          <cell r="P1626" t="str">
            <v/>
          </cell>
          <cell r="Q1626" t="str">
            <v>519399</v>
          </cell>
        </row>
        <row r="1627">
          <cell r="N1627" t="str">
            <v>825919</v>
          </cell>
          <cell r="O1627" t="str">
            <v>6EM</v>
          </cell>
          <cell r="P1627" t="str">
            <v>6EM825919</v>
          </cell>
          <cell r="Q1627" t="str">
            <v>519399</v>
          </cell>
        </row>
        <row r="1628">
          <cell r="N1628" t="str">
            <v>825919</v>
          </cell>
          <cell r="O1628" t="str">
            <v>859</v>
          </cell>
          <cell r="P1628" t="str">
            <v>859825919</v>
          </cell>
          <cell r="Q1628" t="str">
            <v>519399</v>
          </cell>
        </row>
        <row r="1629">
          <cell r="N1629" t="str">
            <v/>
          </cell>
          <cell r="O1629" t="str">
            <v/>
          </cell>
          <cell r="P1629" t="str">
            <v/>
          </cell>
          <cell r="Q1629" t="str">
            <v/>
          </cell>
        </row>
        <row r="1630">
          <cell r="N1630" t="str">
            <v>825910</v>
          </cell>
          <cell r="O1630" t="str">
            <v/>
          </cell>
          <cell r="P1630" t="str">
            <v/>
          </cell>
          <cell r="Q1630" t="str">
            <v/>
          </cell>
        </row>
        <row r="1631">
          <cell r="N1631" t="str">
            <v>825910</v>
          </cell>
          <cell r="O1631" t="str">
            <v>6IA</v>
          </cell>
          <cell r="P1631" t="str">
            <v>6IA825910</v>
          </cell>
          <cell r="Q1631" t="str">
            <v/>
          </cell>
        </row>
        <row r="1632">
          <cell r="N1632" t="str">
            <v>8259100</v>
          </cell>
          <cell r="O1632" t="str">
            <v/>
          </cell>
          <cell r="P1632" t="str">
            <v/>
          </cell>
          <cell r="Q1632" t="str">
            <v>5015305700</v>
          </cell>
        </row>
        <row r="1633">
          <cell r="N1633" t="str">
            <v>8259100</v>
          </cell>
          <cell r="O1633" t="str">
            <v>ANB</v>
          </cell>
          <cell r="P1633" t="str">
            <v>ANB8259100</v>
          </cell>
          <cell r="Q1633" t="str">
            <v>5015305700</v>
          </cell>
        </row>
        <row r="1634">
          <cell r="N1634" t="str">
            <v>8259100</v>
          </cell>
          <cell r="O1634" t="str">
            <v>ANE</v>
          </cell>
          <cell r="P1634" t="str">
            <v>ANE8259100</v>
          </cell>
          <cell r="Q1634" t="str">
            <v>5015305700</v>
          </cell>
        </row>
        <row r="1635">
          <cell r="N1635" t="str">
            <v>8259100</v>
          </cell>
          <cell r="O1635" t="str">
            <v>6IA</v>
          </cell>
          <cell r="P1635" t="str">
            <v>6IA8259100</v>
          </cell>
          <cell r="Q1635" t="str">
            <v>5015305700</v>
          </cell>
        </row>
        <row r="1636">
          <cell r="N1636" t="str">
            <v>8259100</v>
          </cell>
          <cell r="O1636" t="str">
            <v>6IL</v>
          </cell>
          <cell r="P1636" t="str">
            <v>6IL8259100</v>
          </cell>
          <cell r="Q1636" t="str">
            <v>5015305700</v>
          </cell>
        </row>
        <row r="1637">
          <cell r="N1637" t="str">
            <v>8259100</v>
          </cell>
          <cell r="O1637" t="str">
            <v>!64</v>
          </cell>
          <cell r="P1637" t="str">
            <v>!648259100</v>
          </cell>
          <cell r="Q1637" t="str">
            <v>5015305700</v>
          </cell>
        </row>
        <row r="1638">
          <cell r="N1638" t="str">
            <v>82591720</v>
          </cell>
          <cell r="O1638" t="str">
            <v/>
          </cell>
          <cell r="P1638" t="str">
            <v/>
          </cell>
          <cell r="Q1638" t="str">
            <v>501530470</v>
          </cell>
        </row>
        <row r="1639">
          <cell r="N1639" t="str">
            <v>82591720</v>
          </cell>
          <cell r="O1639" t="str">
            <v>6IA</v>
          </cell>
          <cell r="P1639" t="str">
            <v>6IA82591720</v>
          </cell>
          <cell r="Q1639" t="str">
            <v>501530470</v>
          </cell>
        </row>
        <row r="1640">
          <cell r="N1640" t="str">
            <v>82591720</v>
          </cell>
          <cell r="O1640" t="str">
            <v>6IR</v>
          </cell>
          <cell r="P1640" t="str">
            <v>6IR82591720</v>
          </cell>
          <cell r="Q1640" t="str">
            <v>501530470</v>
          </cell>
        </row>
        <row r="1641">
          <cell r="N1641" t="str">
            <v/>
          </cell>
          <cell r="O1641" t="str">
            <v/>
          </cell>
          <cell r="P1641" t="str">
            <v/>
          </cell>
          <cell r="Q1641" t="str">
            <v/>
          </cell>
        </row>
        <row r="1642">
          <cell r="N1642" t="str">
            <v/>
          </cell>
          <cell r="O1642" t="str">
            <v/>
          </cell>
          <cell r="P1642" t="str">
            <v/>
          </cell>
          <cell r="Q1642" t="str">
            <v/>
          </cell>
        </row>
        <row r="1643">
          <cell r="N1643" t="str">
            <v>825100</v>
          </cell>
          <cell r="O1643" t="str">
            <v/>
          </cell>
          <cell r="P1643" t="str">
            <v/>
          </cell>
          <cell r="Q1643" t="str">
            <v/>
          </cell>
        </row>
        <row r="1644">
          <cell r="N1644" t="str">
            <v>825100</v>
          </cell>
          <cell r="O1644" t="str">
            <v>EF1</v>
          </cell>
          <cell r="P1644" t="str">
            <v>EF1825100</v>
          </cell>
          <cell r="Q1644" t="str">
            <v/>
          </cell>
        </row>
        <row r="1645">
          <cell r="N1645" t="str">
            <v>825100</v>
          </cell>
          <cell r="O1645" t="str">
            <v>EF2</v>
          </cell>
          <cell r="P1645" t="str">
            <v>EF2825100</v>
          </cell>
          <cell r="Q1645" t="str">
            <v/>
          </cell>
        </row>
        <row r="1646">
          <cell r="N1646" t="str">
            <v>825100</v>
          </cell>
          <cell r="O1646" t="str">
            <v>E3X</v>
          </cell>
          <cell r="P1646" t="str">
            <v>E3X825100</v>
          </cell>
          <cell r="Q1646" t="str">
            <v/>
          </cell>
        </row>
        <row r="1647">
          <cell r="N1647" t="str">
            <v>8251000</v>
          </cell>
          <cell r="O1647" t="str">
            <v/>
          </cell>
          <cell r="P1647" t="str">
            <v/>
          </cell>
          <cell r="Q1647" t="str">
            <v>501530430</v>
          </cell>
        </row>
        <row r="1648">
          <cell r="N1648" t="str">
            <v>8251000</v>
          </cell>
          <cell r="O1648" t="str">
            <v>EF1</v>
          </cell>
          <cell r="P1648" t="str">
            <v>EF18251000</v>
          </cell>
          <cell r="Q1648" t="str">
            <v>501530430</v>
          </cell>
        </row>
        <row r="1649">
          <cell r="N1649" t="str">
            <v>8251000</v>
          </cell>
          <cell r="O1649" t="str">
            <v>EF2</v>
          </cell>
          <cell r="P1649" t="str">
            <v>EF28251000</v>
          </cell>
          <cell r="Q1649" t="str">
            <v>501530430</v>
          </cell>
        </row>
        <row r="1650">
          <cell r="N1650" t="str">
            <v>8251000</v>
          </cell>
          <cell r="O1650" t="str">
            <v>E3X</v>
          </cell>
          <cell r="P1650" t="str">
            <v>E3X8251000</v>
          </cell>
          <cell r="Q1650" t="str">
            <v>501530430</v>
          </cell>
        </row>
        <row r="1651">
          <cell r="N1651" t="str">
            <v>8251000</v>
          </cell>
          <cell r="O1651" t="str">
            <v>ONL</v>
          </cell>
          <cell r="P1651" t="str">
            <v>ONL8251000</v>
          </cell>
          <cell r="Q1651" t="str">
            <v>501530430</v>
          </cell>
        </row>
        <row r="1652">
          <cell r="N1652" t="str">
            <v>8251001</v>
          </cell>
          <cell r="O1652" t="str">
            <v/>
          </cell>
          <cell r="P1652" t="str">
            <v/>
          </cell>
          <cell r="Q1652" t="str">
            <v>51510</v>
          </cell>
        </row>
        <row r="1653">
          <cell r="N1653" t="str">
            <v>8251001</v>
          </cell>
          <cell r="O1653" t="str">
            <v>EF1</v>
          </cell>
          <cell r="P1653" t="str">
            <v>EF18251001</v>
          </cell>
          <cell r="Q1653" t="str">
            <v>51510</v>
          </cell>
        </row>
        <row r="1654">
          <cell r="N1654" t="str">
            <v>8251001</v>
          </cell>
          <cell r="O1654" t="str">
            <v>EF2</v>
          </cell>
          <cell r="P1654" t="str">
            <v>EF28251001</v>
          </cell>
          <cell r="Q1654" t="str">
            <v>51510</v>
          </cell>
        </row>
        <row r="1655">
          <cell r="N1655" t="str">
            <v>8251001</v>
          </cell>
          <cell r="O1655" t="str">
            <v>E3X</v>
          </cell>
          <cell r="P1655" t="str">
            <v>E3X8251001</v>
          </cell>
          <cell r="Q1655" t="str">
            <v>51510</v>
          </cell>
        </row>
        <row r="1656">
          <cell r="N1656" t="str">
            <v>825101</v>
          </cell>
          <cell r="O1656" t="str">
            <v/>
          </cell>
          <cell r="P1656" t="str">
            <v/>
          </cell>
          <cell r="Q1656" t="str">
            <v>51510</v>
          </cell>
        </row>
        <row r="1657">
          <cell r="N1657" t="str">
            <v>825101</v>
          </cell>
          <cell r="O1657" t="str">
            <v>EF1</v>
          </cell>
          <cell r="P1657" t="str">
            <v>EF1825101</v>
          </cell>
          <cell r="Q1657" t="str">
            <v>51510</v>
          </cell>
        </row>
        <row r="1658">
          <cell r="N1658" t="str">
            <v>825101</v>
          </cell>
          <cell r="O1658" t="str">
            <v>EF2</v>
          </cell>
          <cell r="P1658" t="str">
            <v>EF2825101</v>
          </cell>
          <cell r="Q1658" t="str">
            <v>51510</v>
          </cell>
        </row>
        <row r="1659">
          <cell r="N1659" t="str">
            <v>82592</v>
          </cell>
          <cell r="O1659" t="str">
            <v/>
          </cell>
          <cell r="P1659" t="str">
            <v/>
          </cell>
          <cell r="Q1659" t="str">
            <v/>
          </cell>
        </row>
        <row r="1660">
          <cell r="N1660" t="str">
            <v>82592</v>
          </cell>
          <cell r="O1660" t="str">
            <v>EF1</v>
          </cell>
          <cell r="P1660" t="str">
            <v>EF182592</v>
          </cell>
          <cell r="Q1660" t="str">
            <v/>
          </cell>
        </row>
        <row r="1661">
          <cell r="N1661" t="str">
            <v>82592</v>
          </cell>
          <cell r="O1661" t="str">
            <v>EF2</v>
          </cell>
          <cell r="P1661" t="str">
            <v>EF282592</v>
          </cell>
          <cell r="Q1661" t="str">
            <v/>
          </cell>
        </row>
        <row r="1662">
          <cell r="N1662" t="str">
            <v>825920</v>
          </cell>
          <cell r="O1662" t="str">
            <v/>
          </cell>
          <cell r="P1662" t="str">
            <v/>
          </cell>
          <cell r="Q1662" t="str">
            <v>519399</v>
          </cell>
        </row>
        <row r="1663">
          <cell r="N1663" t="str">
            <v>825920</v>
          </cell>
          <cell r="O1663" t="str">
            <v>EF1</v>
          </cell>
          <cell r="P1663" t="str">
            <v>EF1825920</v>
          </cell>
          <cell r="Q1663" t="str">
            <v>519399</v>
          </cell>
        </row>
        <row r="1664">
          <cell r="N1664" t="str">
            <v>825920</v>
          </cell>
          <cell r="O1664" t="str">
            <v>EF2</v>
          </cell>
          <cell r="P1664" t="str">
            <v>EF2825920</v>
          </cell>
          <cell r="Q1664" t="str">
            <v>519399</v>
          </cell>
        </row>
        <row r="1665">
          <cell r="N1665" t="str">
            <v>8931</v>
          </cell>
          <cell r="O1665" t="str">
            <v/>
          </cell>
          <cell r="P1665" t="str">
            <v/>
          </cell>
          <cell r="Q1665" t="str">
            <v>550811</v>
          </cell>
        </row>
        <row r="1666">
          <cell r="N1666" t="str">
            <v>8931</v>
          </cell>
          <cell r="O1666" t="str">
            <v>EF1</v>
          </cell>
          <cell r="P1666" t="str">
            <v>EF18931</v>
          </cell>
          <cell r="Q1666" t="str">
            <v>550811</v>
          </cell>
        </row>
        <row r="1667">
          <cell r="N1667" t="str">
            <v/>
          </cell>
          <cell r="O1667" t="str">
            <v/>
          </cell>
          <cell r="P1667" t="str">
            <v/>
          </cell>
          <cell r="Q1667" t="str">
            <v/>
          </cell>
        </row>
        <row r="1668">
          <cell r="N1668" t="str">
            <v>825100</v>
          </cell>
          <cell r="O1668" t="str">
            <v/>
          </cell>
          <cell r="P1668" t="str">
            <v/>
          </cell>
          <cell r="Q1668" t="str">
            <v/>
          </cell>
        </row>
        <row r="1669">
          <cell r="N1669" t="str">
            <v>825100</v>
          </cell>
          <cell r="O1669" t="str">
            <v>E3N</v>
          </cell>
          <cell r="P1669" t="str">
            <v>E3N825100</v>
          </cell>
          <cell r="Q1669" t="str">
            <v/>
          </cell>
        </row>
        <row r="1670">
          <cell r="N1670" t="str">
            <v>8251000</v>
          </cell>
          <cell r="O1670" t="str">
            <v/>
          </cell>
          <cell r="P1670" t="str">
            <v/>
          </cell>
          <cell r="Q1670" t="str">
            <v>501530430</v>
          </cell>
        </row>
        <row r="1671">
          <cell r="N1671" t="str">
            <v>8251000</v>
          </cell>
          <cell r="O1671" t="str">
            <v>E3N</v>
          </cell>
          <cell r="P1671" t="str">
            <v>E3N8251000</v>
          </cell>
          <cell r="Q1671" t="str">
            <v>501530430</v>
          </cell>
        </row>
        <row r="1672">
          <cell r="N1672" t="str">
            <v>8251001</v>
          </cell>
          <cell r="O1672" t="str">
            <v/>
          </cell>
          <cell r="P1672" t="str">
            <v/>
          </cell>
          <cell r="Q1672" t="str">
            <v>51510</v>
          </cell>
        </row>
        <row r="1673">
          <cell r="N1673" t="str">
            <v>8251001</v>
          </cell>
          <cell r="O1673" t="str">
            <v>E3N</v>
          </cell>
          <cell r="P1673" t="str">
            <v>E3N8251001</v>
          </cell>
          <cell r="Q1673" t="str">
            <v>51510</v>
          </cell>
        </row>
        <row r="1674">
          <cell r="N1674" t="str">
            <v>825101</v>
          </cell>
          <cell r="O1674" t="str">
            <v/>
          </cell>
          <cell r="P1674" t="str">
            <v/>
          </cell>
          <cell r="Q1674" t="str">
            <v>51510</v>
          </cell>
        </row>
        <row r="1675">
          <cell r="N1675" t="str">
            <v>825101</v>
          </cell>
          <cell r="O1675" t="str">
            <v>E3N</v>
          </cell>
          <cell r="P1675" t="str">
            <v>E3N825101</v>
          </cell>
          <cell r="Q1675" t="str">
            <v>51510</v>
          </cell>
        </row>
        <row r="1676">
          <cell r="N1676" t="str">
            <v/>
          </cell>
          <cell r="O1676" t="str">
            <v/>
          </cell>
          <cell r="P1676" t="str">
            <v/>
          </cell>
          <cell r="Q1676" t="str">
            <v/>
          </cell>
        </row>
        <row r="1677">
          <cell r="N1677" t="str">
            <v/>
          </cell>
          <cell r="O1677" t="str">
            <v/>
          </cell>
          <cell r="P1677" t="str">
            <v/>
          </cell>
          <cell r="Q1677" t="str">
            <v/>
          </cell>
        </row>
        <row r="1678">
          <cell r="N1678" t="str">
            <v>825100</v>
          </cell>
          <cell r="O1678" t="str">
            <v/>
          </cell>
          <cell r="P1678" t="str">
            <v/>
          </cell>
          <cell r="Q1678" t="str">
            <v/>
          </cell>
        </row>
        <row r="1679">
          <cell r="N1679" t="str">
            <v>825100</v>
          </cell>
          <cell r="O1679" t="str">
            <v>E3J</v>
          </cell>
          <cell r="P1679" t="str">
            <v>E3J825100</v>
          </cell>
          <cell r="Q1679" t="str">
            <v/>
          </cell>
        </row>
        <row r="1680">
          <cell r="N1680" t="str">
            <v>825100</v>
          </cell>
          <cell r="O1680" t="str">
            <v>E3M</v>
          </cell>
          <cell r="P1680" t="str">
            <v>E3M825100</v>
          </cell>
          <cell r="Q1680" t="str">
            <v/>
          </cell>
        </row>
        <row r="1681">
          <cell r="N1681" t="str">
            <v>8251000</v>
          </cell>
          <cell r="O1681" t="str">
            <v/>
          </cell>
          <cell r="P1681" t="str">
            <v/>
          </cell>
          <cell r="Q1681" t="str">
            <v>501530430</v>
          </cell>
        </row>
        <row r="1682">
          <cell r="N1682" t="str">
            <v>8251000</v>
          </cell>
          <cell r="O1682" t="str">
            <v>E3J</v>
          </cell>
          <cell r="P1682" t="str">
            <v>E3J8251000</v>
          </cell>
          <cell r="Q1682" t="str">
            <v>501530430</v>
          </cell>
        </row>
        <row r="1683">
          <cell r="N1683" t="str">
            <v>8251000</v>
          </cell>
          <cell r="O1683" t="str">
            <v>E3M</v>
          </cell>
          <cell r="P1683" t="str">
            <v>E3M8251000</v>
          </cell>
          <cell r="Q1683" t="str">
            <v>501530430</v>
          </cell>
        </row>
        <row r="1684">
          <cell r="N1684" t="str">
            <v>8251001</v>
          </cell>
          <cell r="O1684" t="str">
            <v/>
          </cell>
          <cell r="P1684" t="str">
            <v/>
          </cell>
          <cell r="Q1684" t="str">
            <v>51510</v>
          </cell>
        </row>
        <row r="1685">
          <cell r="N1685" t="str">
            <v>8251001</v>
          </cell>
          <cell r="O1685" t="str">
            <v>E3J</v>
          </cell>
          <cell r="P1685" t="str">
            <v>E3J8251001</v>
          </cell>
          <cell r="Q1685" t="str">
            <v>51510</v>
          </cell>
        </row>
        <row r="1686">
          <cell r="N1686" t="str">
            <v>8251001</v>
          </cell>
          <cell r="O1686" t="str">
            <v>E3M</v>
          </cell>
          <cell r="P1686" t="str">
            <v>E3M8251001</v>
          </cell>
          <cell r="Q1686" t="str">
            <v>51510</v>
          </cell>
        </row>
        <row r="1687">
          <cell r="N1687" t="str">
            <v>8251002</v>
          </cell>
          <cell r="O1687" t="str">
            <v/>
          </cell>
          <cell r="P1687" t="str">
            <v/>
          </cell>
          <cell r="Q1687" t="str">
            <v>501530430</v>
          </cell>
        </row>
        <row r="1688">
          <cell r="N1688" t="str">
            <v>8251002</v>
          </cell>
          <cell r="O1688" t="str">
            <v>EF1</v>
          </cell>
          <cell r="P1688" t="str">
            <v>EF18251002</v>
          </cell>
          <cell r="Q1688" t="str">
            <v>501530430</v>
          </cell>
        </row>
        <row r="1689">
          <cell r="N1689" t="str">
            <v>8251002</v>
          </cell>
          <cell r="O1689" t="str">
            <v>EF2</v>
          </cell>
          <cell r="P1689" t="str">
            <v>EF28251002</v>
          </cell>
          <cell r="Q1689" t="str">
            <v>501530430</v>
          </cell>
        </row>
        <row r="1690">
          <cell r="N1690" t="str">
            <v>8251002</v>
          </cell>
          <cell r="O1690" t="str">
            <v>E3J</v>
          </cell>
          <cell r="P1690" t="str">
            <v>E3J8251002</v>
          </cell>
          <cell r="Q1690" t="str">
            <v>501530430</v>
          </cell>
        </row>
        <row r="1691">
          <cell r="N1691" t="str">
            <v>8251002</v>
          </cell>
          <cell r="O1691" t="str">
            <v>E3M</v>
          </cell>
          <cell r="P1691" t="str">
            <v>E3M8251002</v>
          </cell>
          <cell r="Q1691" t="str">
            <v>501530430</v>
          </cell>
        </row>
        <row r="1692">
          <cell r="N1692" t="str">
            <v>8251002</v>
          </cell>
          <cell r="O1692" t="str">
            <v>E3X</v>
          </cell>
          <cell r="P1692" t="str">
            <v>E3X8251002</v>
          </cell>
          <cell r="Q1692" t="str">
            <v>501530430</v>
          </cell>
        </row>
        <row r="1693">
          <cell r="N1693" t="str">
            <v/>
          </cell>
          <cell r="O1693" t="str">
            <v/>
          </cell>
          <cell r="P1693" t="str">
            <v/>
          </cell>
          <cell r="Q1693" t="str">
            <v/>
          </cell>
        </row>
        <row r="1694">
          <cell r="N1694" t="str">
            <v>8251002</v>
          </cell>
          <cell r="O1694" t="str">
            <v/>
          </cell>
          <cell r="P1694" t="str">
            <v/>
          </cell>
          <cell r="Q1694" t="str">
            <v>501530430</v>
          </cell>
        </row>
        <row r="1695">
          <cell r="N1695" t="str">
            <v>8251002</v>
          </cell>
          <cell r="O1695" t="str">
            <v>E3N</v>
          </cell>
          <cell r="P1695" t="str">
            <v>E3N8251002</v>
          </cell>
          <cell r="Q1695" t="str">
            <v>501530430</v>
          </cell>
        </row>
        <row r="1696">
          <cell r="N1696" t="str">
            <v>8251002</v>
          </cell>
          <cell r="O1696" t="str">
            <v>ONL</v>
          </cell>
          <cell r="P1696" t="str">
            <v>ONL8251002</v>
          </cell>
          <cell r="Q1696" t="str">
            <v>501530430</v>
          </cell>
        </row>
        <row r="1697">
          <cell r="N1697" t="str">
            <v/>
          </cell>
          <cell r="O1697" t="str">
            <v/>
          </cell>
          <cell r="P1697" t="str">
            <v/>
          </cell>
          <cell r="Q1697" t="str">
            <v/>
          </cell>
        </row>
        <row r="1698">
          <cell r="N1698" t="str">
            <v/>
          </cell>
          <cell r="O1698" t="str">
            <v/>
          </cell>
          <cell r="P1698" t="str">
            <v/>
          </cell>
          <cell r="Q1698" t="str">
            <v/>
          </cell>
        </row>
        <row r="1699">
          <cell r="N1699" t="str">
            <v>779631</v>
          </cell>
          <cell r="O1699" t="str">
            <v/>
          </cell>
          <cell r="P1699" t="str">
            <v/>
          </cell>
          <cell r="Q1699" t="str">
            <v>41499</v>
          </cell>
        </row>
        <row r="1700">
          <cell r="N1700" t="str">
            <v>779631</v>
          </cell>
          <cell r="O1700" t="str">
            <v>375</v>
          </cell>
          <cell r="P1700" t="str">
            <v>375779631</v>
          </cell>
          <cell r="Q1700" t="str">
            <v>41499</v>
          </cell>
        </row>
        <row r="1701">
          <cell r="N1701" t="str">
            <v>8259142</v>
          </cell>
          <cell r="O1701" t="str">
            <v/>
          </cell>
          <cell r="P1701" t="str">
            <v/>
          </cell>
          <cell r="Q1701" t="str">
            <v/>
          </cell>
        </row>
        <row r="1702">
          <cell r="N1702" t="str">
            <v>8259142</v>
          </cell>
          <cell r="O1702" t="str">
            <v>CEM</v>
          </cell>
          <cell r="P1702" t="str">
            <v>CEM8259142</v>
          </cell>
          <cell r="Q1702" t="str">
            <v/>
          </cell>
        </row>
        <row r="1703">
          <cell r="N1703" t="str">
            <v>8259142</v>
          </cell>
          <cell r="O1703" t="str">
            <v>EAV</v>
          </cell>
          <cell r="P1703" t="str">
            <v>EAV8259142</v>
          </cell>
          <cell r="Q1703" t="str">
            <v/>
          </cell>
        </row>
        <row r="1704">
          <cell r="N1704" t="str">
            <v>8259142</v>
          </cell>
          <cell r="O1704" t="str">
            <v>LI6</v>
          </cell>
          <cell r="P1704" t="str">
            <v>LI68259142</v>
          </cell>
          <cell r="Q1704" t="str">
            <v/>
          </cell>
        </row>
        <row r="1705">
          <cell r="N1705" t="str">
            <v>8259142</v>
          </cell>
          <cell r="O1705" t="str">
            <v>LL5</v>
          </cell>
          <cell r="P1705" t="str">
            <v>LL58259142</v>
          </cell>
          <cell r="Q1705" t="str">
            <v/>
          </cell>
        </row>
        <row r="1706">
          <cell r="N1706" t="str">
            <v>8259142</v>
          </cell>
          <cell r="O1706" t="str">
            <v>OGX</v>
          </cell>
          <cell r="P1706" t="str">
            <v>OGX8259142</v>
          </cell>
          <cell r="Q1706" t="str">
            <v/>
          </cell>
        </row>
        <row r="1707">
          <cell r="N1707" t="str">
            <v>8259142</v>
          </cell>
          <cell r="O1707" t="str">
            <v>ONL</v>
          </cell>
          <cell r="P1707" t="str">
            <v>ONL8259142</v>
          </cell>
          <cell r="Q1707" t="str">
            <v/>
          </cell>
        </row>
        <row r="1708">
          <cell r="N1708" t="str">
            <v>8259142</v>
          </cell>
          <cell r="O1708" t="str">
            <v>REG</v>
          </cell>
          <cell r="P1708" t="str">
            <v>REG8259142</v>
          </cell>
          <cell r="Q1708" t="str">
            <v/>
          </cell>
        </row>
        <row r="1709">
          <cell r="N1709" t="str">
            <v>8259142</v>
          </cell>
          <cell r="O1709" t="str">
            <v>111</v>
          </cell>
          <cell r="P1709" t="str">
            <v>1118259142</v>
          </cell>
          <cell r="Q1709" t="str">
            <v/>
          </cell>
        </row>
        <row r="1710">
          <cell r="N1710" t="str">
            <v>8259142</v>
          </cell>
          <cell r="O1710" t="str">
            <v>273</v>
          </cell>
          <cell r="P1710" t="str">
            <v>2738259142</v>
          </cell>
          <cell r="Q1710" t="str">
            <v/>
          </cell>
        </row>
        <row r="1711">
          <cell r="N1711" t="str">
            <v>8259142</v>
          </cell>
          <cell r="O1711" t="str">
            <v>437</v>
          </cell>
          <cell r="P1711" t="str">
            <v>4378259142</v>
          </cell>
          <cell r="Q1711" t="str">
            <v/>
          </cell>
        </row>
        <row r="1712">
          <cell r="N1712" t="str">
            <v>8259142</v>
          </cell>
          <cell r="O1712" t="str">
            <v>6PY</v>
          </cell>
          <cell r="P1712" t="str">
            <v>6PY8259142</v>
          </cell>
          <cell r="Q1712" t="str">
            <v/>
          </cell>
        </row>
        <row r="1713">
          <cell r="N1713" t="str">
            <v>8259142</v>
          </cell>
          <cell r="O1713" t="str">
            <v>61A</v>
          </cell>
          <cell r="P1713" t="str">
            <v>61A8259142</v>
          </cell>
          <cell r="Q1713" t="str">
            <v/>
          </cell>
        </row>
        <row r="1714">
          <cell r="N1714" t="str">
            <v>8259142</v>
          </cell>
          <cell r="O1714" t="str">
            <v>682</v>
          </cell>
          <cell r="P1714" t="str">
            <v>6828259142</v>
          </cell>
          <cell r="Q1714" t="str">
            <v/>
          </cell>
        </row>
        <row r="1715">
          <cell r="N1715" t="str">
            <v>8259142</v>
          </cell>
          <cell r="O1715" t="str">
            <v>683</v>
          </cell>
          <cell r="P1715" t="str">
            <v>6838259142</v>
          </cell>
          <cell r="Q1715" t="str">
            <v/>
          </cell>
        </row>
        <row r="1716">
          <cell r="N1716" t="str">
            <v>8259142</v>
          </cell>
          <cell r="O1716" t="str">
            <v>699</v>
          </cell>
          <cell r="P1716" t="str">
            <v>6998259142</v>
          </cell>
          <cell r="Q1716" t="str">
            <v/>
          </cell>
        </row>
        <row r="1717">
          <cell r="N1717" t="str">
            <v>8259142</v>
          </cell>
          <cell r="O1717" t="str">
            <v>872</v>
          </cell>
          <cell r="P1717" t="str">
            <v>8728259142</v>
          </cell>
          <cell r="Q1717" t="str">
            <v/>
          </cell>
        </row>
        <row r="1718">
          <cell r="N1718" t="str">
            <v>82591420</v>
          </cell>
          <cell r="O1718" t="str">
            <v/>
          </cell>
          <cell r="P1718" t="str">
            <v/>
          </cell>
          <cell r="Q1718" t="str">
            <v>501530500</v>
          </cell>
        </row>
        <row r="1719">
          <cell r="N1719" t="str">
            <v>82591420</v>
          </cell>
          <cell r="O1719" t="str">
            <v>EAV</v>
          </cell>
          <cell r="P1719" t="str">
            <v>EAV82591420</v>
          </cell>
          <cell r="Q1719" t="str">
            <v>501530500</v>
          </cell>
        </row>
        <row r="1720">
          <cell r="N1720" t="str">
            <v>82591420</v>
          </cell>
          <cell r="O1720" t="str">
            <v>REG</v>
          </cell>
          <cell r="P1720" t="str">
            <v>REG82591420</v>
          </cell>
          <cell r="Q1720" t="str">
            <v>501530500</v>
          </cell>
        </row>
        <row r="1721">
          <cell r="N1721" t="str">
            <v>82591420</v>
          </cell>
          <cell r="O1721" t="str">
            <v>!YC</v>
          </cell>
          <cell r="P1721" t="str">
            <v>!YC82591420</v>
          </cell>
          <cell r="Q1721" t="str">
            <v>501530500</v>
          </cell>
        </row>
        <row r="1722">
          <cell r="N1722" t="str">
            <v>82591420</v>
          </cell>
          <cell r="O1722" t="str">
            <v>111</v>
          </cell>
          <cell r="P1722" t="str">
            <v>11182591420</v>
          </cell>
          <cell r="Q1722" t="str">
            <v>501530500</v>
          </cell>
        </row>
        <row r="1723">
          <cell r="N1723" t="str">
            <v>82591420</v>
          </cell>
          <cell r="O1723" t="str">
            <v>61A</v>
          </cell>
          <cell r="P1723" t="str">
            <v>61A82591420</v>
          </cell>
          <cell r="Q1723" t="str">
            <v>501530500</v>
          </cell>
        </row>
        <row r="1724">
          <cell r="N1724" t="str">
            <v>82591420</v>
          </cell>
          <cell r="O1724" t="str">
            <v>682</v>
          </cell>
          <cell r="P1724" t="str">
            <v>68282591420</v>
          </cell>
          <cell r="Q1724" t="str">
            <v>501530500</v>
          </cell>
        </row>
        <row r="1725">
          <cell r="N1725" t="str">
            <v>82591420</v>
          </cell>
          <cell r="O1725" t="str">
            <v>683</v>
          </cell>
          <cell r="P1725" t="str">
            <v>68382591420</v>
          </cell>
          <cell r="Q1725" t="str">
            <v>501530500</v>
          </cell>
        </row>
        <row r="1726">
          <cell r="N1726" t="str">
            <v>82591420</v>
          </cell>
          <cell r="O1726" t="str">
            <v>699</v>
          </cell>
          <cell r="P1726" t="str">
            <v>69982591420</v>
          </cell>
          <cell r="Q1726" t="str">
            <v>501530500</v>
          </cell>
        </row>
        <row r="1727">
          <cell r="N1727" t="str">
            <v>82591420</v>
          </cell>
          <cell r="O1727" t="str">
            <v>872</v>
          </cell>
          <cell r="P1727" t="str">
            <v>87282591420</v>
          </cell>
          <cell r="Q1727" t="str">
            <v>501530500</v>
          </cell>
        </row>
        <row r="1728">
          <cell r="N1728" t="str">
            <v>8259149</v>
          </cell>
          <cell r="O1728" t="str">
            <v/>
          </cell>
          <cell r="P1728" t="str">
            <v/>
          </cell>
          <cell r="Q1728" t="str">
            <v>502031047</v>
          </cell>
        </row>
        <row r="1729">
          <cell r="N1729" t="str">
            <v>8259149</v>
          </cell>
          <cell r="O1729" t="str">
            <v>IFT</v>
          </cell>
          <cell r="P1729" t="str">
            <v>IFT8259149</v>
          </cell>
          <cell r="Q1729" t="str">
            <v>502031047</v>
          </cell>
        </row>
        <row r="1730">
          <cell r="N1730" t="str">
            <v>8259149</v>
          </cell>
          <cell r="O1730" t="str">
            <v>LI9</v>
          </cell>
          <cell r="P1730" t="str">
            <v>LI98259149</v>
          </cell>
          <cell r="Q1730" t="str">
            <v>502031047</v>
          </cell>
        </row>
        <row r="1731">
          <cell r="N1731" t="str">
            <v>8259149</v>
          </cell>
          <cell r="O1731" t="str">
            <v>LL9</v>
          </cell>
          <cell r="P1731" t="str">
            <v>LL98259149</v>
          </cell>
          <cell r="Q1731" t="str">
            <v>502031047</v>
          </cell>
        </row>
        <row r="1732">
          <cell r="N1732" t="str">
            <v>8259149</v>
          </cell>
          <cell r="O1732" t="str">
            <v>ONL</v>
          </cell>
          <cell r="P1732" t="str">
            <v>ONL8259149</v>
          </cell>
          <cell r="Q1732" t="str">
            <v>502031047</v>
          </cell>
        </row>
        <row r="1733">
          <cell r="N1733" t="str">
            <v>8259149</v>
          </cell>
          <cell r="O1733" t="str">
            <v>6PR</v>
          </cell>
          <cell r="P1733" t="str">
            <v>6PR8259149</v>
          </cell>
          <cell r="Q1733" t="str">
            <v>502031047</v>
          </cell>
        </row>
        <row r="1734">
          <cell r="N1734" t="str">
            <v>82591720</v>
          </cell>
          <cell r="O1734" t="str">
            <v/>
          </cell>
          <cell r="P1734" t="str">
            <v/>
          </cell>
          <cell r="Q1734" t="str">
            <v>501530470</v>
          </cell>
        </row>
        <row r="1735">
          <cell r="N1735" t="str">
            <v>82591720</v>
          </cell>
          <cell r="O1735" t="str">
            <v>61A</v>
          </cell>
          <cell r="P1735" t="str">
            <v>61A82591720</v>
          </cell>
          <cell r="Q1735" t="str">
            <v>501530470</v>
          </cell>
        </row>
        <row r="1736">
          <cell r="N1736" t="str">
            <v>825919</v>
          </cell>
          <cell r="O1736" t="str">
            <v/>
          </cell>
          <cell r="P1736" t="str">
            <v/>
          </cell>
          <cell r="Q1736" t="str">
            <v>519399</v>
          </cell>
        </row>
        <row r="1737">
          <cell r="N1737" t="str">
            <v>825919</v>
          </cell>
          <cell r="O1737" t="str">
            <v>IFT</v>
          </cell>
          <cell r="P1737" t="str">
            <v>IFT825919</v>
          </cell>
          <cell r="Q1737" t="str">
            <v>519399</v>
          </cell>
        </row>
        <row r="1738">
          <cell r="N1738" t="str">
            <v>825919</v>
          </cell>
          <cell r="O1738" t="str">
            <v>6PR</v>
          </cell>
          <cell r="P1738" t="str">
            <v>6PR825919</v>
          </cell>
          <cell r="Q1738" t="str">
            <v>519399</v>
          </cell>
        </row>
        <row r="1739">
          <cell r="N1739" t="str">
            <v>825919</v>
          </cell>
          <cell r="O1739" t="str">
            <v>872</v>
          </cell>
          <cell r="P1739" t="str">
            <v>872825919</v>
          </cell>
          <cell r="Q1739" t="str">
            <v>519399</v>
          </cell>
        </row>
        <row r="1740">
          <cell r="N1740" t="str">
            <v>825919</v>
          </cell>
          <cell r="O1740" t="str">
            <v>876</v>
          </cell>
          <cell r="P1740" t="str">
            <v>876825919</v>
          </cell>
          <cell r="Q1740" t="str">
            <v>519399</v>
          </cell>
        </row>
        <row r="1741">
          <cell r="N1741" t="str">
            <v>82598</v>
          </cell>
          <cell r="O1741" t="str">
            <v/>
          </cell>
          <cell r="P1741" t="str">
            <v/>
          </cell>
          <cell r="Q1741" t="str">
            <v>502031047</v>
          </cell>
        </row>
        <row r="1742">
          <cell r="N1742" t="str">
            <v>82598</v>
          </cell>
          <cell r="O1742" t="str">
            <v>111</v>
          </cell>
          <cell r="P1742" t="str">
            <v>11182598</v>
          </cell>
          <cell r="Q1742" t="str">
            <v>502031047</v>
          </cell>
        </row>
        <row r="1743">
          <cell r="N1743" t="str">
            <v/>
          </cell>
          <cell r="O1743" t="str">
            <v/>
          </cell>
          <cell r="P1743" t="str">
            <v/>
          </cell>
          <cell r="Q1743" t="str">
            <v/>
          </cell>
        </row>
        <row r="1744">
          <cell r="N1744" t="str">
            <v>82591420</v>
          </cell>
          <cell r="O1744" t="str">
            <v/>
          </cell>
          <cell r="P1744" t="str">
            <v/>
          </cell>
          <cell r="Q1744" t="str">
            <v>501530500</v>
          </cell>
        </row>
        <row r="1745">
          <cell r="N1745" t="str">
            <v>82591420</v>
          </cell>
          <cell r="O1745" t="str">
            <v>ONL</v>
          </cell>
          <cell r="P1745" t="str">
            <v>ONL82591420</v>
          </cell>
          <cell r="Q1745" t="str">
            <v>501530500</v>
          </cell>
        </row>
        <row r="1746">
          <cell r="N1746" t="str">
            <v>82591420</v>
          </cell>
          <cell r="O1746" t="str">
            <v>6IE</v>
          </cell>
          <cell r="P1746" t="str">
            <v>6IE82591420</v>
          </cell>
          <cell r="Q1746" t="str">
            <v>501530500</v>
          </cell>
        </row>
        <row r="1747">
          <cell r="N1747" t="str">
            <v>82591720</v>
          </cell>
          <cell r="O1747" t="str">
            <v/>
          </cell>
          <cell r="P1747" t="str">
            <v/>
          </cell>
          <cell r="Q1747" t="str">
            <v>501530470</v>
          </cell>
        </row>
        <row r="1748">
          <cell r="N1748" t="str">
            <v>82591720</v>
          </cell>
          <cell r="O1748" t="str">
            <v>6IE</v>
          </cell>
          <cell r="P1748" t="str">
            <v>6IE82591720</v>
          </cell>
          <cell r="Q1748" t="str">
            <v>501530470</v>
          </cell>
        </row>
        <row r="1749">
          <cell r="N1749" t="str">
            <v/>
          </cell>
          <cell r="O1749" t="str">
            <v/>
          </cell>
          <cell r="P1749" t="str">
            <v/>
          </cell>
          <cell r="Q1749" t="str">
            <v/>
          </cell>
        </row>
        <row r="1750">
          <cell r="N1750" t="str">
            <v/>
          </cell>
          <cell r="O1750" t="str">
            <v/>
          </cell>
          <cell r="P1750" t="str">
            <v/>
          </cell>
          <cell r="Q1750" t="str">
            <v/>
          </cell>
        </row>
        <row r="1751">
          <cell r="N1751" t="str">
            <v>5499604</v>
          </cell>
          <cell r="O1751" t="str">
            <v/>
          </cell>
          <cell r="P1751" t="str">
            <v/>
          </cell>
          <cell r="Q1751" t="str">
            <v>19939</v>
          </cell>
        </row>
        <row r="1752">
          <cell r="N1752" t="str">
            <v>5499604</v>
          </cell>
          <cell r="O1752" t="str">
            <v>!JK</v>
          </cell>
          <cell r="P1752" t="str">
            <v>!JK5499604</v>
          </cell>
          <cell r="Q1752" t="str">
            <v>19939</v>
          </cell>
        </row>
        <row r="1753">
          <cell r="N1753" t="str">
            <v>8259145</v>
          </cell>
          <cell r="O1753" t="str">
            <v/>
          </cell>
          <cell r="P1753" t="str">
            <v/>
          </cell>
          <cell r="Q1753" t="str">
            <v/>
          </cell>
        </row>
        <row r="1754">
          <cell r="N1754" t="str">
            <v>8259145</v>
          </cell>
          <cell r="O1754" t="str">
            <v>ONL</v>
          </cell>
          <cell r="P1754" t="str">
            <v>ONL8259145</v>
          </cell>
          <cell r="Q1754" t="str">
            <v/>
          </cell>
        </row>
        <row r="1755">
          <cell r="N1755" t="str">
            <v>8259145</v>
          </cell>
          <cell r="O1755" t="str">
            <v>111</v>
          </cell>
          <cell r="P1755" t="str">
            <v>1118259145</v>
          </cell>
          <cell r="Q1755" t="str">
            <v/>
          </cell>
        </row>
        <row r="1756">
          <cell r="N1756" t="str">
            <v>8259145</v>
          </cell>
          <cell r="O1756" t="str">
            <v>61D</v>
          </cell>
          <cell r="P1756" t="str">
            <v>61D8259145</v>
          </cell>
          <cell r="Q1756" t="str">
            <v/>
          </cell>
        </row>
        <row r="1757">
          <cell r="N1757" t="str">
            <v>82591450</v>
          </cell>
          <cell r="O1757" t="str">
            <v/>
          </cell>
          <cell r="P1757" t="str">
            <v/>
          </cell>
          <cell r="Q1757" t="str">
            <v>501530470</v>
          </cell>
        </row>
        <row r="1758">
          <cell r="N1758" t="str">
            <v>82591450</v>
          </cell>
          <cell r="O1758" t="str">
            <v>CAQ</v>
          </cell>
          <cell r="P1758" t="str">
            <v>CAQ82591450</v>
          </cell>
          <cell r="Q1758" t="str">
            <v>501530470</v>
          </cell>
        </row>
        <row r="1759">
          <cell r="N1759" t="str">
            <v>82591450</v>
          </cell>
          <cell r="O1759" t="str">
            <v>CCC</v>
          </cell>
          <cell r="P1759" t="str">
            <v>CCC82591450</v>
          </cell>
          <cell r="Q1759" t="str">
            <v>501530470</v>
          </cell>
        </row>
        <row r="1760">
          <cell r="N1760" t="str">
            <v>82591450</v>
          </cell>
          <cell r="O1760" t="str">
            <v>CRR</v>
          </cell>
          <cell r="P1760" t="str">
            <v>CRR82591450</v>
          </cell>
          <cell r="Q1760" t="str">
            <v>501530470</v>
          </cell>
        </row>
        <row r="1761">
          <cell r="N1761" t="str">
            <v>82591450</v>
          </cell>
          <cell r="O1761" t="str">
            <v>REG</v>
          </cell>
          <cell r="P1761" t="str">
            <v>REG82591450</v>
          </cell>
          <cell r="Q1761" t="str">
            <v>501530470</v>
          </cell>
        </row>
        <row r="1762">
          <cell r="N1762" t="str">
            <v>82591450</v>
          </cell>
          <cell r="O1762" t="str">
            <v>111</v>
          </cell>
          <cell r="P1762" t="str">
            <v>11182591450</v>
          </cell>
          <cell r="Q1762" t="str">
            <v>501530470</v>
          </cell>
        </row>
        <row r="1763">
          <cell r="N1763" t="str">
            <v>82591450</v>
          </cell>
          <cell r="O1763" t="str">
            <v>424</v>
          </cell>
          <cell r="P1763" t="str">
            <v>42482591450</v>
          </cell>
          <cell r="Q1763" t="str">
            <v>501530470</v>
          </cell>
        </row>
        <row r="1764">
          <cell r="N1764" t="str">
            <v>82591450</v>
          </cell>
          <cell r="O1764" t="str">
            <v>61D</v>
          </cell>
          <cell r="P1764" t="str">
            <v>61D82591450</v>
          </cell>
          <cell r="Q1764" t="str">
            <v>501530470</v>
          </cell>
        </row>
        <row r="1765">
          <cell r="N1765" t="str">
            <v>8259149</v>
          </cell>
          <cell r="O1765" t="str">
            <v/>
          </cell>
          <cell r="P1765" t="str">
            <v/>
          </cell>
          <cell r="Q1765" t="str">
            <v>502031047</v>
          </cell>
        </row>
        <row r="1766">
          <cell r="N1766" t="str">
            <v>8259149</v>
          </cell>
          <cell r="O1766" t="str">
            <v>61D</v>
          </cell>
          <cell r="P1766" t="str">
            <v>61D8259149</v>
          </cell>
          <cell r="Q1766" t="str">
            <v>502031047</v>
          </cell>
        </row>
        <row r="1767">
          <cell r="N1767" t="str">
            <v>82591720</v>
          </cell>
          <cell r="O1767" t="str">
            <v/>
          </cell>
          <cell r="P1767" t="str">
            <v/>
          </cell>
          <cell r="Q1767" t="str">
            <v>501530470</v>
          </cell>
        </row>
        <row r="1768">
          <cell r="N1768" t="str">
            <v>82591720</v>
          </cell>
          <cell r="O1768" t="str">
            <v>61D</v>
          </cell>
          <cell r="P1768" t="str">
            <v>61D82591720</v>
          </cell>
          <cell r="Q1768" t="str">
            <v>501530470</v>
          </cell>
        </row>
        <row r="1769">
          <cell r="N1769" t="str">
            <v>825919</v>
          </cell>
          <cell r="O1769" t="str">
            <v/>
          </cell>
          <cell r="P1769" t="str">
            <v/>
          </cell>
          <cell r="Q1769" t="str">
            <v>519399</v>
          </cell>
        </row>
        <row r="1770">
          <cell r="N1770" t="str">
            <v>825919</v>
          </cell>
          <cell r="O1770" t="str">
            <v>618</v>
          </cell>
          <cell r="P1770" t="str">
            <v>618825919</v>
          </cell>
          <cell r="Q1770" t="str">
            <v>519399</v>
          </cell>
        </row>
        <row r="1771">
          <cell r="N1771" t="str">
            <v>825919</v>
          </cell>
          <cell r="O1771" t="str">
            <v>629</v>
          </cell>
          <cell r="P1771" t="str">
            <v>629825919</v>
          </cell>
          <cell r="Q1771" t="str">
            <v>519399</v>
          </cell>
        </row>
        <row r="1772">
          <cell r="N1772" t="str">
            <v>825919</v>
          </cell>
          <cell r="O1772" t="str">
            <v>694</v>
          </cell>
          <cell r="P1772" t="str">
            <v>694825919</v>
          </cell>
          <cell r="Q1772" t="str">
            <v>519399</v>
          </cell>
        </row>
        <row r="1773">
          <cell r="N1773" t="str">
            <v>825919</v>
          </cell>
          <cell r="O1773" t="str">
            <v>857</v>
          </cell>
          <cell r="P1773" t="str">
            <v>857825919</v>
          </cell>
          <cell r="Q1773" t="str">
            <v>519399</v>
          </cell>
        </row>
        <row r="1774">
          <cell r="N1774" t="str">
            <v>825919</v>
          </cell>
          <cell r="O1774" t="str">
            <v>871</v>
          </cell>
          <cell r="P1774" t="str">
            <v>871825919</v>
          </cell>
          <cell r="Q1774" t="str">
            <v>519399</v>
          </cell>
        </row>
        <row r="1775">
          <cell r="N1775" t="str">
            <v>89299</v>
          </cell>
          <cell r="O1775" t="str">
            <v/>
          </cell>
          <cell r="P1775" t="str">
            <v/>
          </cell>
          <cell r="Q1775" t="str">
            <v/>
          </cell>
        </row>
        <row r="1776">
          <cell r="N1776" t="str">
            <v>89299</v>
          </cell>
          <cell r="O1776" t="str">
            <v>857</v>
          </cell>
          <cell r="P1776" t="str">
            <v>85789299</v>
          </cell>
          <cell r="Q1776" t="str">
            <v/>
          </cell>
        </row>
        <row r="1777">
          <cell r="N1777" t="str">
            <v/>
          </cell>
          <cell r="O1777" t="str">
            <v/>
          </cell>
          <cell r="P1777" t="str">
            <v/>
          </cell>
          <cell r="Q1777" t="str">
            <v/>
          </cell>
        </row>
        <row r="1778">
          <cell r="N1778" t="str">
            <v>82591450</v>
          </cell>
          <cell r="O1778" t="str">
            <v/>
          </cell>
          <cell r="P1778" t="str">
            <v/>
          </cell>
          <cell r="Q1778" t="str">
            <v>501530470</v>
          </cell>
        </row>
        <row r="1779">
          <cell r="N1779" t="str">
            <v>82591450</v>
          </cell>
          <cell r="O1779" t="str">
            <v>ANC</v>
          </cell>
          <cell r="P1779" t="str">
            <v>ANC82591450</v>
          </cell>
          <cell r="Q1779" t="str">
            <v>501530470</v>
          </cell>
        </row>
        <row r="1780">
          <cell r="N1780" t="str">
            <v>82591450</v>
          </cell>
          <cell r="O1780" t="str">
            <v>ANF</v>
          </cell>
          <cell r="P1780" t="str">
            <v>ANF82591450</v>
          </cell>
          <cell r="Q1780" t="str">
            <v>501530470</v>
          </cell>
        </row>
        <row r="1781">
          <cell r="N1781" t="str">
            <v>82591450</v>
          </cell>
          <cell r="O1781" t="str">
            <v>ONL</v>
          </cell>
          <cell r="P1781" t="str">
            <v>ONL82591450</v>
          </cell>
          <cell r="Q1781" t="str">
            <v>501530470</v>
          </cell>
        </row>
        <row r="1782">
          <cell r="N1782" t="str">
            <v>82591450</v>
          </cell>
          <cell r="O1782" t="str">
            <v>6IF</v>
          </cell>
          <cell r="P1782" t="str">
            <v>6IF82591450</v>
          </cell>
          <cell r="Q1782" t="str">
            <v>501530470</v>
          </cell>
        </row>
        <row r="1783">
          <cell r="N1783" t="str">
            <v>82591450</v>
          </cell>
          <cell r="O1783" t="str">
            <v>!93</v>
          </cell>
          <cell r="P1783" t="str">
            <v>!9382591450</v>
          </cell>
          <cell r="Q1783" t="str">
            <v>501530470</v>
          </cell>
        </row>
        <row r="1784">
          <cell r="N1784" t="str">
            <v>82591720</v>
          </cell>
          <cell r="O1784" t="str">
            <v/>
          </cell>
          <cell r="P1784" t="str">
            <v/>
          </cell>
          <cell r="Q1784" t="str">
            <v>501530470</v>
          </cell>
        </row>
        <row r="1785">
          <cell r="N1785" t="str">
            <v>82591720</v>
          </cell>
          <cell r="O1785" t="str">
            <v>6IF</v>
          </cell>
          <cell r="P1785" t="str">
            <v>6IF82591720</v>
          </cell>
          <cell r="Q1785" t="str">
            <v>501530470</v>
          </cell>
        </row>
        <row r="1786">
          <cell r="N1786" t="str">
            <v/>
          </cell>
          <cell r="O1786" t="str">
            <v/>
          </cell>
          <cell r="P1786" t="str">
            <v/>
          </cell>
          <cell r="Q1786" t="str">
            <v/>
          </cell>
        </row>
        <row r="1787">
          <cell r="N1787" t="str">
            <v>779632</v>
          </cell>
          <cell r="O1787" t="str">
            <v/>
          </cell>
          <cell r="P1787" t="str">
            <v/>
          </cell>
          <cell r="Q1787" t="str">
            <v>41499</v>
          </cell>
        </row>
        <row r="1788">
          <cell r="N1788" t="str">
            <v>779632</v>
          </cell>
          <cell r="O1788" t="str">
            <v>XXA</v>
          </cell>
          <cell r="P1788" t="str">
            <v>XXA779632</v>
          </cell>
          <cell r="Q1788" t="str">
            <v>41499</v>
          </cell>
        </row>
        <row r="1789">
          <cell r="N1789" t="str">
            <v>8259143</v>
          </cell>
          <cell r="O1789" t="str">
            <v/>
          </cell>
          <cell r="P1789" t="str">
            <v/>
          </cell>
          <cell r="Q1789" t="str">
            <v>519399</v>
          </cell>
        </row>
        <row r="1790">
          <cell r="N1790" t="str">
            <v>8259143</v>
          </cell>
          <cell r="O1790" t="str">
            <v>OGX</v>
          </cell>
          <cell r="P1790" t="str">
            <v>OGX8259143</v>
          </cell>
          <cell r="Q1790" t="str">
            <v>519399</v>
          </cell>
        </row>
        <row r="1791">
          <cell r="N1791" t="str">
            <v>8259143</v>
          </cell>
          <cell r="O1791" t="str">
            <v>ONL</v>
          </cell>
          <cell r="P1791" t="str">
            <v>ONL8259143</v>
          </cell>
          <cell r="Q1791" t="str">
            <v>519399</v>
          </cell>
        </row>
        <row r="1792">
          <cell r="N1792" t="str">
            <v>8259143</v>
          </cell>
          <cell r="O1792" t="str">
            <v>111</v>
          </cell>
          <cell r="P1792" t="str">
            <v>1118259143</v>
          </cell>
          <cell r="Q1792" t="str">
            <v>519399</v>
          </cell>
        </row>
        <row r="1793">
          <cell r="N1793" t="str">
            <v>8259143</v>
          </cell>
          <cell r="O1793" t="str">
            <v>233</v>
          </cell>
          <cell r="P1793" t="str">
            <v>2338259143</v>
          </cell>
          <cell r="Q1793" t="str">
            <v>519399</v>
          </cell>
        </row>
        <row r="1794">
          <cell r="N1794" t="str">
            <v>8259143</v>
          </cell>
          <cell r="O1794" t="str">
            <v>234</v>
          </cell>
          <cell r="P1794" t="str">
            <v>2348259143</v>
          </cell>
          <cell r="Q1794" t="str">
            <v>519399</v>
          </cell>
        </row>
        <row r="1795">
          <cell r="N1795" t="str">
            <v>8259143</v>
          </cell>
          <cell r="O1795" t="str">
            <v>436</v>
          </cell>
          <cell r="P1795" t="str">
            <v>4368259143</v>
          </cell>
          <cell r="Q1795" t="str">
            <v>519399</v>
          </cell>
        </row>
        <row r="1796">
          <cell r="N1796" t="str">
            <v>8259143</v>
          </cell>
          <cell r="O1796" t="str">
            <v>61S</v>
          </cell>
          <cell r="P1796" t="str">
            <v>61S8259143</v>
          </cell>
          <cell r="Q1796" t="str">
            <v>519399</v>
          </cell>
        </row>
        <row r="1797">
          <cell r="N1797" t="str">
            <v>8259143</v>
          </cell>
          <cell r="O1797" t="str">
            <v>679</v>
          </cell>
          <cell r="P1797" t="str">
            <v>6798259143</v>
          </cell>
          <cell r="Q1797" t="str">
            <v>519399</v>
          </cell>
        </row>
        <row r="1798">
          <cell r="N1798" t="str">
            <v>8259143</v>
          </cell>
          <cell r="O1798" t="str">
            <v>697</v>
          </cell>
          <cell r="P1798" t="str">
            <v>6978259143</v>
          </cell>
          <cell r="Q1798" t="str">
            <v>519399</v>
          </cell>
        </row>
        <row r="1799">
          <cell r="N1799" t="str">
            <v>8259143</v>
          </cell>
          <cell r="O1799" t="str">
            <v>813</v>
          </cell>
          <cell r="P1799" t="str">
            <v>8138259143</v>
          </cell>
          <cell r="Q1799" t="str">
            <v>519399</v>
          </cell>
        </row>
        <row r="1800">
          <cell r="N1800" t="str">
            <v>8259143</v>
          </cell>
          <cell r="O1800" t="str">
            <v>874</v>
          </cell>
          <cell r="P1800" t="str">
            <v>8748259143</v>
          </cell>
          <cell r="Q1800" t="str">
            <v>519399</v>
          </cell>
        </row>
        <row r="1801">
          <cell r="N1801" t="str">
            <v>825919</v>
          </cell>
          <cell r="O1801" t="str">
            <v/>
          </cell>
          <cell r="P1801" t="str">
            <v/>
          </cell>
          <cell r="Q1801" t="str">
            <v>519399</v>
          </cell>
        </row>
        <row r="1802">
          <cell r="N1802" t="str">
            <v>825919</v>
          </cell>
          <cell r="O1802" t="str">
            <v>874</v>
          </cell>
          <cell r="P1802" t="str">
            <v>874825919</v>
          </cell>
          <cell r="Q1802" t="str">
            <v>519399</v>
          </cell>
        </row>
        <row r="1803">
          <cell r="N1803" t="str">
            <v>825919</v>
          </cell>
          <cell r="O1803" t="str">
            <v>877</v>
          </cell>
          <cell r="P1803" t="str">
            <v>877825919</v>
          </cell>
          <cell r="Q1803" t="str">
            <v>519399</v>
          </cell>
        </row>
        <row r="1804">
          <cell r="N1804" t="str">
            <v/>
          </cell>
          <cell r="O1804" t="str">
            <v/>
          </cell>
          <cell r="P1804" t="str">
            <v/>
          </cell>
          <cell r="Q1804" t="str">
            <v/>
          </cell>
        </row>
        <row r="1805">
          <cell r="N1805" t="str">
            <v>8259101</v>
          </cell>
          <cell r="O1805" t="str">
            <v/>
          </cell>
          <cell r="P1805" t="str">
            <v/>
          </cell>
          <cell r="Q1805" t="str">
            <v>519399</v>
          </cell>
        </row>
        <row r="1806">
          <cell r="N1806" t="str">
            <v>8259101</v>
          </cell>
          <cell r="O1806" t="str">
            <v>ONL</v>
          </cell>
          <cell r="P1806" t="str">
            <v>ONL8259101</v>
          </cell>
          <cell r="Q1806" t="str">
            <v>519399</v>
          </cell>
        </row>
        <row r="1807">
          <cell r="N1807" t="str">
            <v>8259101</v>
          </cell>
          <cell r="O1807" t="str">
            <v>61K</v>
          </cell>
          <cell r="P1807" t="str">
            <v>61K8259101</v>
          </cell>
          <cell r="Q1807" t="str">
            <v>519399</v>
          </cell>
        </row>
        <row r="1808">
          <cell r="N1808" t="str">
            <v>825915</v>
          </cell>
          <cell r="O1808" t="str">
            <v/>
          </cell>
          <cell r="P1808" t="str">
            <v/>
          </cell>
          <cell r="Q1808" t="str">
            <v>519399</v>
          </cell>
        </row>
        <row r="1809">
          <cell r="N1809" t="str">
            <v>825915</v>
          </cell>
          <cell r="O1809" t="str">
            <v>CYB</v>
          </cell>
          <cell r="P1809" t="str">
            <v>CYB825915</v>
          </cell>
          <cell r="Q1809" t="str">
            <v>519399</v>
          </cell>
        </row>
        <row r="1810">
          <cell r="N1810" t="str">
            <v>825915</v>
          </cell>
          <cell r="O1810" t="str">
            <v>LTA</v>
          </cell>
          <cell r="P1810" t="str">
            <v>LTA825915</v>
          </cell>
          <cell r="Q1810" t="str">
            <v>519399</v>
          </cell>
        </row>
        <row r="1811">
          <cell r="N1811" t="str">
            <v>825915</v>
          </cell>
          <cell r="O1811" t="str">
            <v>ONL</v>
          </cell>
          <cell r="P1811" t="str">
            <v>ONL825915</v>
          </cell>
          <cell r="Q1811" t="str">
            <v>519399</v>
          </cell>
        </row>
        <row r="1812">
          <cell r="N1812" t="str">
            <v>825915</v>
          </cell>
          <cell r="O1812" t="str">
            <v>REG</v>
          </cell>
          <cell r="P1812" t="str">
            <v>REG825915</v>
          </cell>
          <cell r="Q1812" t="str">
            <v>519399</v>
          </cell>
        </row>
        <row r="1813">
          <cell r="N1813" t="str">
            <v>825915</v>
          </cell>
          <cell r="O1813" t="str">
            <v>111</v>
          </cell>
          <cell r="P1813" t="str">
            <v>111825915</v>
          </cell>
          <cell r="Q1813" t="str">
            <v>519399</v>
          </cell>
        </row>
        <row r="1814">
          <cell r="N1814" t="str">
            <v>825915</v>
          </cell>
          <cell r="O1814" t="str">
            <v>60Q</v>
          </cell>
          <cell r="P1814" t="str">
            <v>60Q825915</v>
          </cell>
          <cell r="Q1814" t="str">
            <v>519399</v>
          </cell>
        </row>
        <row r="1815">
          <cell r="N1815" t="str">
            <v>825915</v>
          </cell>
          <cell r="O1815" t="str">
            <v>61Q</v>
          </cell>
          <cell r="P1815" t="str">
            <v>61Q825915</v>
          </cell>
          <cell r="Q1815" t="str">
            <v>519399</v>
          </cell>
        </row>
        <row r="1816">
          <cell r="N1816" t="str">
            <v>825915</v>
          </cell>
          <cell r="O1816" t="str">
            <v>67P</v>
          </cell>
          <cell r="P1816" t="str">
            <v>67P825915</v>
          </cell>
          <cell r="Q1816" t="str">
            <v>519399</v>
          </cell>
        </row>
        <row r="1817">
          <cell r="N1817" t="str">
            <v>825916</v>
          </cell>
          <cell r="O1817" t="str">
            <v/>
          </cell>
          <cell r="P1817" t="str">
            <v/>
          </cell>
          <cell r="Q1817" t="str">
            <v>519399</v>
          </cell>
        </row>
        <row r="1818">
          <cell r="N1818" t="str">
            <v>825916</v>
          </cell>
          <cell r="O1818" t="str">
            <v>LTA</v>
          </cell>
          <cell r="P1818" t="str">
            <v>LTA825916</v>
          </cell>
          <cell r="Q1818" t="str">
            <v>519399</v>
          </cell>
        </row>
        <row r="1819">
          <cell r="N1819" t="str">
            <v>825916</v>
          </cell>
          <cell r="O1819" t="str">
            <v>ONL</v>
          </cell>
          <cell r="P1819" t="str">
            <v>ONL825916</v>
          </cell>
          <cell r="Q1819" t="str">
            <v>519399</v>
          </cell>
        </row>
        <row r="1820">
          <cell r="N1820" t="str">
            <v>825916</v>
          </cell>
          <cell r="O1820" t="str">
            <v>111</v>
          </cell>
          <cell r="P1820" t="str">
            <v>111825916</v>
          </cell>
          <cell r="Q1820" t="str">
            <v>519399</v>
          </cell>
        </row>
        <row r="1821">
          <cell r="N1821" t="str">
            <v>825916</v>
          </cell>
          <cell r="O1821" t="str">
            <v>67N</v>
          </cell>
          <cell r="P1821" t="str">
            <v>67N825916</v>
          </cell>
          <cell r="Q1821" t="str">
            <v>519399</v>
          </cell>
        </row>
        <row r="1822">
          <cell r="N1822" t="str">
            <v>82591720</v>
          </cell>
          <cell r="O1822" t="str">
            <v/>
          </cell>
          <cell r="P1822" t="str">
            <v/>
          </cell>
          <cell r="Q1822" t="str">
            <v>501530470</v>
          </cell>
        </row>
        <row r="1823">
          <cell r="N1823" t="str">
            <v>82591720</v>
          </cell>
          <cell r="O1823" t="str">
            <v>67P</v>
          </cell>
          <cell r="P1823" t="str">
            <v>67P82591720</v>
          </cell>
          <cell r="Q1823" t="str">
            <v>501530470</v>
          </cell>
        </row>
        <row r="1824">
          <cell r="N1824" t="str">
            <v>82591721</v>
          </cell>
          <cell r="O1824" t="str">
            <v/>
          </cell>
          <cell r="P1824" t="str">
            <v/>
          </cell>
          <cell r="Q1824" t="str">
            <v>519399</v>
          </cell>
        </row>
        <row r="1825">
          <cell r="N1825" t="str">
            <v>82591721</v>
          </cell>
          <cell r="O1825" t="str">
            <v>67P</v>
          </cell>
          <cell r="P1825" t="str">
            <v>67P82591721</v>
          </cell>
          <cell r="Q1825" t="str">
            <v>519399</v>
          </cell>
        </row>
        <row r="1826">
          <cell r="N1826" t="str">
            <v/>
          </cell>
          <cell r="O1826" t="str">
            <v/>
          </cell>
          <cell r="P1826" t="str">
            <v/>
          </cell>
          <cell r="Q1826" t="str">
            <v/>
          </cell>
        </row>
        <row r="1827">
          <cell r="N1827" t="str">
            <v/>
          </cell>
          <cell r="O1827" t="str">
            <v/>
          </cell>
          <cell r="P1827" t="str">
            <v/>
          </cell>
          <cell r="Q1827" t="str">
            <v/>
          </cell>
        </row>
        <row r="1828">
          <cell r="N1828" t="str">
            <v>825917</v>
          </cell>
          <cell r="O1828" t="str">
            <v/>
          </cell>
          <cell r="P1828" t="str">
            <v/>
          </cell>
          <cell r="Q1828" t="str">
            <v/>
          </cell>
        </row>
        <row r="1829">
          <cell r="N1829" t="str">
            <v>825917</v>
          </cell>
          <cell r="O1829" t="str">
            <v>67R</v>
          </cell>
          <cell r="P1829" t="str">
            <v>67R825917</v>
          </cell>
          <cell r="Q1829" t="str">
            <v/>
          </cell>
        </row>
        <row r="1830">
          <cell r="N1830" t="str">
            <v>8259170</v>
          </cell>
          <cell r="O1830" t="str">
            <v/>
          </cell>
          <cell r="P1830" t="str">
            <v/>
          </cell>
          <cell r="Q1830" t="str">
            <v>5015305700</v>
          </cell>
        </row>
        <row r="1831">
          <cell r="N1831" t="str">
            <v>8259170</v>
          </cell>
          <cell r="O1831" t="str">
            <v>67R</v>
          </cell>
          <cell r="P1831" t="str">
            <v>67R8259170</v>
          </cell>
          <cell r="Q1831" t="str">
            <v>5015305700</v>
          </cell>
        </row>
        <row r="1832">
          <cell r="N1832" t="str">
            <v>82591720</v>
          </cell>
          <cell r="O1832" t="str">
            <v/>
          </cell>
          <cell r="P1832" t="str">
            <v/>
          </cell>
          <cell r="Q1832" t="str">
            <v>501530470</v>
          </cell>
        </row>
        <row r="1833">
          <cell r="N1833" t="str">
            <v>82591720</v>
          </cell>
          <cell r="O1833" t="str">
            <v>67R</v>
          </cell>
          <cell r="P1833" t="str">
            <v>67R82591720</v>
          </cell>
          <cell r="Q1833" t="str">
            <v>501530470</v>
          </cell>
        </row>
        <row r="1834">
          <cell r="N1834" t="str">
            <v>825919</v>
          </cell>
          <cell r="O1834" t="str">
            <v/>
          </cell>
          <cell r="P1834" t="str">
            <v/>
          </cell>
          <cell r="Q1834" t="str">
            <v>519399</v>
          </cell>
        </row>
        <row r="1835">
          <cell r="N1835" t="str">
            <v>825919</v>
          </cell>
          <cell r="O1835" t="str">
            <v>60L</v>
          </cell>
          <cell r="P1835" t="str">
            <v>60L825919</v>
          </cell>
          <cell r="Q1835" t="str">
            <v>519399</v>
          </cell>
        </row>
        <row r="1836">
          <cell r="N1836" t="str">
            <v>825919</v>
          </cell>
          <cell r="O1836" t="str">
            <v>61L</v>
          </cell>
          <cell r="P1836" t="str">
            <v>61L825919</v>
          </cell>
          <cell r="Q1836" t="str">
            <v>519399</v>
          </cell>
        </row>
        <row r="1837">
          <cell r="N1837" t="str">
            <v>825919</v>
          </cell>
          <cell r="O1837" t="str">
            <v>67R</v>
          </cell>
          <cell r="P1837" t="str">
            <v>67R825919</v>
          </cell>
          <cell r="Q1837" t="str">
            <v>519399</v>
          </cell>
        </row>
        <row r="1838">
          <cell r="N1838" t="str">
            <v>8926</v>
          </cell>
          <cell r="O1838" t="str">
            <v/>
          </cell>
          <cell r="P1838" t="str">
            <v/>
          </cell>
          <cell r="Q1838" t="str">
            <v/>
          </cell>
        </row>
        <row r="1839">
          <cell r="N1839" t="str">
            <v>8926</v>
          </cell>
          <cell r="O1839" t="str">
            <v>28A</v>
          </cell>
          <cell r="P1839" t="str">
            <v>28A8926</v>
          </cell>
          <cell r="Q1839" t="str">
            <v/>
          </cell>
        </row>
        <row r="1840">
          <cell r="N1840" t="str">
            <v>8939</v>
          </cell>
          <cell r="O1840" t="str">
            <v/>
          </cell>
          <cell r="P1840" t="str">
            <v/>
          </cell>
          <cell r="Q1840" t="str">
            <v/>
          </cell>
        </row>
        <row r="1841">
          <cell r="N1841" t="str">
            <v>8939</v>
          </cell>
          <cell r="O1841" t="str">
            <v>60L</v>
          </cell>
          <cell r="P1841" t="str">
            <v>60L8939</v>
          </cell>
          <cell r="Q1841" t="str">
            <v/>
          </cell>
        </row>
        <row r="1842">
          <cell r="N1842" t="str">
            <v>8939</v>
          </cell>
          <cell r="O1842" t="str">
            <v>61L</v>
          </cell>
          <cell r="P1842" t="str">
            <v>61L8939</v>
          </cell>
          <cell r="Q1842" t="str">
            <v/>
          </cell>
        </row>
        <row r="1843">
          <cell r="N1843" t="str">
            <v>8939</v>
          </cell>
          <cell r="O1843" t="str">
            <v>67R</v>
          </cell>
          <cell r="P1843" t="str">
            <v>67R8939</v>
          </cell>
          <cell r="Q1843" t="str">
            <v/>
          </cell>
        </row>
        <row r="1844">
          <cell r="N1844" t="str">
            <v/>
          </cell>
          <cell r="O1844" t="str">
            <v/>
          </cell>
          <cell r="P1844" t="str">
            <v/>
          </cell>
          <cell r="Q1844" t="str">
            <v/>
          </cell>
        </row>
        <row r="1845">
          <cell r="N1845" t="str">
            <v>825917</v>
          </cell>
          <cell r="O1845" t="str">
            <v/>
          </cell>
          <cell r="P1845" t="str">
            <v/>
          </cell>
          <cell r="Q1845" t="str">
            <v/>
          </cell>
        </row>
        <row r="1846">
          <cell r="N1846" t="str">
            <v>825917</v>
          </cell>
          <cell r="O1846" t="str">
            <v>6IH</v>
          </cell>
          <cell r="P1846" t="str">
            <v>6IH825917</v>
          </cell>
          <cell r="Q1846" t="str">
            <v/>
          </cell>
        </row>
        <row r="1847">
          <cell r="N1847" t="str">
            <v>8259170</v>
          </cell>
          <cell r="O1847" t="str">
            <v/>
          </cell>
          <cell r="P1847" t="str">
            <v/>
          </cell>
          <cell r="Q1847" t="str">
            <v>5015305700</v>
          </cell>
        </row>
        <row r="1848">
          <cell r="N1848" t="str">
            <v>8259170</v>
          </cell>
          <cell r="O1848" t="str">
            <v>6IH</v>
          </cell>
          <cell r="P1848" t="str">
            <v>6IH8259170</v>
          </cell>
          <cell r="Q1848" t="str">
            <v>5015305700</v>
          </cell>
        </row>
        <row r="1849">
          <cell r="N1849" t="str">
            <v>82591720</v>
          </cell>
          <cell r="O1849" t="str">
            <v/>
          </cell>
          <cell r="P1849" t="str">
            <v/>
          </cell>
          <cell r="Q1849" t="str">
            <v>501530470</v>
          </cell>
        </row>
        <row r="1850">
          <cell r="N1850" t="str">
            <v>82591720</v>
          </cell>
          <cell r="O1850" t="str">
            <v>6IH</v>
          </cell>
          <cell r="P1850" t="str">
            <v>6IH82591720</v>
          </cell>
          <cell r="Q1850" t="str">
            <v>501530470</v>
          </cell>
        </row>
        <row r="1851">
          <cell r="N1851" t="str">
            <v/>
          </cell>
          <cell r="O1851" t="str">
            <v/>
          </cell>
          <cell r="P1851" t="str">
            <v/>
          </cell>
          <cell r="Q1851" t="str">
            <v/>
          </cell>
        </row>
        <row r="1852">
          <cell r="N1852" t="str">
            <v/>
          </cell>
          <cell r="O1852" t="str">
            <v/>
          </cell>
          <cell r="P1852" t="str">
            <v/>
          </cell>
          <cell r="Q1852" t="str">
            <v/>
          </cell>
        </row>
        <row r="1853">
          <cell r="N1853" t="str">
            <v/>
          </cell>
          <cell r="O1853" t="str">
            <v/>
          </cell>
          <cell r="P1853" t="str">
            <v/>
          </cell>
          <cell r="Q1853" t="str">
            <v/>
          </cell>
        </row>
        <row r="1854">
          <cell r="N1854" t="str">
            <v>8259102</v>
          </cell>
          <cell r="O1854" t="str">
            <v/>
          </cell>
          <cell r="P1854" t="str">
            <v/>
          </cell>
          <cell r="Q1854" t="str">
            <v>5020310570</v>
          </cell>
        </row>
        <row r="1855">
          <cell r="N1855" t="str">
            <v>8259102</v>
          </cell>
          <cell r="O1855" t="str">
            <v>6MA</v>
          </cell>
          <cell r="P1855" t="str">
            <v>6MA8259102</v>
          </cell>
          <cell r="Q1855" t="str">
            <v>5020310570</v>
          </cell>
        </row>
        <row r="1856">
          <cell r="N1856" t="str">
            <v/>
          </cell>
          <cell r="O1856" t="str">
            <v/>
          </cell>
          <cell r="P1856" t="str">
            <v/>
          </cell>
          <cell r="Q1856" t="str">
            <v/>
          </cell>
        </row>
        <row r="1857">
          <cell r="N1857" t="str">
            <v>8259102</v>
          </cell>
          <cell r="O1857" t="str">
            <v/>
          </cell>
          <cell r="P1857" t="str">
            <v/>
          </cell>
          <cell r="Q1857" t="str">
            <v>5020310570</v>
          </cell>
        </row>
        <row r="1858">
          <cell r="N1858" t="str">
            <v>8259102</v>
          </cell>
          <cell r="O1858" t="str">
            <v>6IY</v>
          </cell>
          <cell r="P1858" t="str">
            <v>6IY8259102</v>
          </cell>
          <cell r="Q1858" t="str">
            <v>5020310570</v>
          </cell>
        </row>
        <row r="1859">
          <cell r="N1859" t="str">
            <v/>
          </cell>
          <cell r="O1859" t="str">
            <v/>
          </cell>
          <cell r="P1859" t="str">
            <v/>
          </cell>
          <cell r="Q1859" t="str">
            <v/>
          </cell>
        </row>
        <row r="1860">
          <cell r="N1860" t="str">
            <v/>
          </cell>
          <cell r="O1860" t="str">
            <v/>
          </cell>
          <cell r="P1860" t="str">
            <v/>
          </cell>
          <cell r="Q1860" t="str">
            <v/>
          </cell>
        </row>
        <row r="1861">
          <cell r="N1861" t="str">
            <v>71904017</v>
          </cell>
          <cell r="O1861" t="str">
            <v/>
          </cell>
          <cell r="P1861" t="str">
            <v/>
          </cell>
          <cell r="Q1861" t="str">
            <v>5015305700</v>
          </cell>
        </row>
        <row r="1862">
          <cell r="N1862" t="str">
            <v>71904017</v>
          </cell>
          <cell r="O1862" t="str">
            <v>CBH</v>
          </cell>
          <cell r="P1862" t="str">
            <v>CBH71904017</v>
          </cell>
          <cell r="Q1862" t="str">
            <v>5015305700</v>
          </cell>
        </row>
        <row r="1863">
          <cell r="N1863" t="str">
            <v>71904017</v>
          </cell>
          <cell r="O1863" t="str">
            <v>ONL</v>
          </cell>
          <cell r="P1863" t="str">
            <v>ONL71904017</v>
          </cell>
          <cell r="Q1863" t="str">
            <v>5015305700</v>
          </cell>
        </row>
        <row r="1864">
          <cell r="N1864" t="str">
            <v/>
          </cell>
          <cell r="O1864" t="str">
            <v/>
          </cell>
          <cell r="P1864" t="str">
            <v/>
          </cell>
          <cell r="Q1864" t="str">
            <v/>
          </cell>
        </row>
        <row r="1865">
          <cell r="N1865" t="str">
            <v>71904017</v>
          </cell>
          <cell r="O1865" t="str">
            <v/>
          </cell>
          <cell r="P1865" t="str">
            <v/>
          </cell>
          <cell r="Q1865" t="str">
            <v>5015305700</v>
          </cell>
        </row>
        <row r="1866">
          <cell r="N1866" t="str">
            <v>71904017</v>
          </cell>
          <cell r="O1866" t="str">
            <v>BHP</v>
          </cell>
          <cell r="P1866" t="str">
            <v>BHP71904017</v>
          </cell>
          <cell r="Q1866" t="str">
            <v>5015305700</v>
          </cell>
        </row>
        <row r="1867">
          <cell r="N1867" t="str">
            <v/>
          </cell>
          <cell r="O1867" t="str">
            <v/>
          </cell>
          <cell r="P1867" t="str">
            <v/>
          </cell>
          <cell r="Q1867" t="str">
            <v/>
          </cell>
        </row>
        <row r="1868">
          <cell r="N1868" t="str">
            <v>825911</v>
          </cell>
          <cell r="O1868" t="str">
            <v/>
          </cell>
          <cell r="P1868" t="str">
            <v/>
          </cell>
          <cell r="Q1868" t="str">
            <v>519399</v>
          </cell>
        </row>
        <row r="1869">
          <cell r="N1869" t="str">
            <v>825911</v>
          </cell>
          <cell r="O1869" t="str">
            <v>E90</v>
          </cell>
          <cell r="P1869" t="str">
            <v>E90825911</v>
          </cell>
          <cell r="Q1869" t="str">
            <v>519399</v>
          </cell>
        </row>
        <row r="1870">
          <cell r="N1870" t="str">
            <v>825911</v>
          </cell>
          <cell r="O1870" t="str">
            <v>H90</v>
          </cell>
          <cell r="P1870" t="str">
            <v>H90825911</v>
          </cell>
          <cell r="Q1870" t="str">
            <v>519399</v>
          </cell>
        </row>
        <row r="1871">
          <cell r="N1871" t="str">
            <v>825911</v>
          </cell>
          <cell r="O1871" t="str">
            <v>67W</v>
          </cell>
          <cell r="P1871" t="str">
            <v>67W825911</v>
          </cell>
          <cell r="Q1871" t="str">
            <v>519399</v>
          </cell>
        </row>
        <row r="1872">
          <cell r="N1872" t="str">
            <v>825919</v>
          </cell>
          <cell r="O1872" t="str">
            <v/>
          </cell>
          <cell r="P1872" t="str">
            <v/>
          </cell>
          <cell r="Q1872" t="str">
            <v>519399</v>
          </cell>
        </row>
        <row r="1873">
          <cell r="N1873" t="str">
            <v>825919</v>
          </cell>
          <cell r="O1873" t="str">
            <v>67W</v>
          </cell>
          <cell r="P1873" t="str">
            <v>67W825919</v>
          </cell>
          <cell r="Q1873" t="str">
            <v>519399</v>
          </cell>
        </row>
        <row r="1874">
          <cell r="N1874" t="str">
            <v>8928</v>
          </cell>
          <cell r="O1874" t="str">
            <v/>
          </cell>
          <cell r="P1874" t="str">
            <v/>
          </cell>
          <cell r="Q1874" t="str">
            <v/>
          </cell>
        </row>
        <row r="1875">
          <cell r="N1875" t="str">
            <v>8928</v>
          </cell>
          <cell r="O1875" t="str">
            <v>E90</v>
          </cell>
          <cell r="P1875" t="str">
            <v>E908928</v>
          </cell>
          <cell r="Q1875" t="str">
            <v/>
          </cell>
        </row>
        <row r="1876">
          <cell r="N1876" t="str">
            <v>8928</v>
          </cell>
          <cell r="O1876" t="str">
            <v>H90</v>
          </cell>
          <cell r="P1876" t="str">
            <v>H908928</v>
          </cell>
          <cell r="Q1876" t="str">
            <v/>
          </cell>
        </row>
        <row r="1877">
          <cell r="N1877" t="str">
            <v>8928</v>
          </cell>
          <cell r="O1877" t="str">
            <v>H91</v>
          </cell>
          <cell r="P1877" t="str">
            <v>H918928</v>
          </cell>
          <cell r="Q1877" t="str">
            <v/>
          </cell>
        </row>
        <row r="1878">
          <cell r="N1878" t="str">
            <v>8928</v>
          </cell>
          <cell r="O1878" t="str">
            <v>ONL</v>
          </cell>
          <cell r="P1878" t="str">
            <v>ONL8928</v>
          </cell>
          <cell r="Q1878" t="str">
            <v/>
          </cell>
        </row>
        <row r="1879">
          <cell r="N1879" t="str">
            <v>8928</v>
          </cell>
          <cell r="O1879" t="str">
            <v>TRI</v>
          </cell>
          <cell r="P1879" t="str">
            <v>TRI8928</v>
          </cell>
          <cell r="Q1879" t="str">
            <v/>
          </cell>
        </row>
        <row r="1880">
          <cell r="N1880" t="str">
            <v>89283</v>
          </cell>
          <cell r="O1880" t="str">
            <v/>
          </cell>
          <cell r="P1880" t="str">
            <v/>
          </cell>
          <cell r="Q1880" t="str">
            <v/>
          </cell>
        </row>
        <row r="1881">
          <cell r="N1881" t="str">
            <v>89283</v>
          </cell>
          <cell r="O1881" t="str">
            <v>ONL</v>
          </cell>
          <cell r="P1881" t="str">
            <v>ONL89283</v>
          </cell>
          <cell r="Q1881" t="str">
            <v/>
          </cell>
        </row>
        <row r="1882">
          <cell r="N1882" t="str">
            <v>89283</v>
          </cell>
          <cell r="O1882" t="str">
            <v>TRI</v>
          </cell>
          <cell r="P1882" t="str">
            <v>TRI89283</v>
          </cell>
          <cell r="Q1882" t="str">
            <v/>
          </cell>
        </row>
        <row r="1883">
          <cell r="N1883" t="str">
            <v>89283</v>
          </cell>
          <cell r="O1883" t="str">
            <v>111</v>
          </cell>
          <cell r="P1883" t="str">
            <v>11189283</v>
          </cell>
          <cell r="Q1883" t="str">
            <v/>
          </cell>
        </row>
        <row r="1884">
          <cell r="N1884" t="str">
            <v>89284</v>
          </cell>
          <cell r="O1884" t="str">
            <v/>
          </cell>
          <cell r="P1884" t="str">
            <v/>
          </cell>
          <cell r="Q1884" t="str">
            <v/>
          </cell>
        </row>
        <row r="1885">
          <cell r="N1885" t="str">
            <v>89284</v>
          </cell>
          <cell r="O1885" t="str">
            <v>E90</v>
          </cell>
          <cell r="P1885" t="str">
            <v>E9089284</v>
          </cell>
          <cell r="Q1885" t="str">
            <v/>
          </cell>
        </row>
        <row r="1886">
          <cell r="N1886" t="str">
            <v>89284</v>
          </cell>
          <cell r="O1886" t="str">
            <v>H90</v>
          </cell>
          <cell r="P1886" t="str">
            <v>H9089284</v>
          </cell>
          <cell r="Q1886" t="str">
            <v/>
          </cell>
        </row>
        <row r="1887">
          <cell r="N1887" t="str">
            <v>89284</v>
          </cell>
          <cell r="O1887" t="str">
            <v>ONL</v>
          </cell>
          <cell r="P1887" t="str">
            <v>ONL89284</v>
          </cell>
          <cell r="Q1887" t="str">
            <v/>
          </cell>
        </row>
        <row r="1888">
          <cell r="N1888" t="str">
            <v>89284</v>
          </cell>
          <cell r="O1888" t="str">
            <v>TRI</v>
          </cell>
          <cell r="P1888" t="str">
            <v>TRI89284</v>
          </cell>
          <cell r="Q1888" t="str">
            <v/>
          </cell>
        </row>
        <row r="1889">
          <cell r="N1889" t="str">
            <v>89284</v>
          </cell>
          <cell r="O1889" t="str">
            <v>111</v>
          </cell>
          <cell r="P1889" t="str">
            <v>11189284</v>
          </cell>
          <cell r="Q1889" t="str">
            <v/>
          </cell>
        </row>
        <row r="1890">
          <cell r="N1890" t="str">
            <v/>
          </cell>
          <cell r="O1890" t="str">
            <v/>
          </cell>
          <cell r="P1890" t="str">
            <v/>
          </cell>
          <cell r="Q1890" t="str">
            <v/>
          </cell>
        </row>
        <row r="1891">
          <cell r="N1891" t="str">
            <v/>
          </cell>
          <cell r="O1891" t="str">
            <v/>
          </cell>
          <cell r="P1891" t="str">
            <v/>
          </cell>
          <cell r="Q1891" t="str">
            <v/>
          </cell>
        </row>
        <row r="1892">
          <cell r="N1892" t="str">
            <v>825917</v>
          </cell>
          <cell r="O1892" t="str">
            <v/>
          </cell>
          <cell r="P1892" t="str">
            <v/>
          </cell>
          <cell r="Q1892" t="str">
            <v/>
          </cell>
        </row>
        <row r="1893">
          <cell r="N1893" t="str">
            <v>825917</v>
          </cell>
          <cell r="O1893" t="str">
            <v>67X</v>
          </cell>
          <cell r="P1893" t="str">
            <v>67X825917</v>
          </cell>
          <cell r="Q1893" t="str">
            <v/>
          </cell>
        </row>
        <row r="1894">
          <cell r="N1894" t="str">
            <v>8259170</v>
          </cell>
          <cell r="O1894" t="str">
            <v/>
          </cell>
          <cell r="P1894" t="str">
            <v/>
          </cell>
          <cell r="Q1894" t="str">
            <v>5015305700</v>
          </cell>
        </row>
        <row r="1895">
          <cell r="N1895" t="str">
            <v>8259170</v>
          </cell>
          <cell r="O1895" t="str">
            <v>67X</v>
          </cell>
          <cell r="P1895" t="str">
            <v>67X8259170</v>
          </cell>
          <cell r="Q1895" t="str">
            <v>5015305700</v>
          </cell>
        </row>
        <row r="1896">
          <cell r="N1896" t="str">
            <v>82591720</v>
          </cell>
          <cell r="O1896" t="str">
            <v/>
          </cell>
          <cell r="P1896" t="str">
            <v/>
          </cell>
          <cell r="Q1896" t="str">
            <v>501530470</v>
          </cell>
        </row>
        <row r="1897">
          <cell r="N1897" t="str">
            <v>82591720</v>
          </cell>
          <cell r="O1897" t="str">
            <v>67X</v>
          </cell>
          <cell r="P1897" t="str">
            <v>67X82591720</v>
          </cell>
          <cell r="Q1897" t="str">
            <v>501530470</v>
          </cell>
        </row>
        <row r="1898">
          <cell r="N1898" t="str">
            <v>825919</v>
          </cell>
          <cell r="O1898" t="str">
            <v/>
          </cell>
          <cell r="P1898" t="str">
            <v/>
          </cell>
          <cell r="Q1898" t="str">
            <v>519399</v>
          </cell>
        </row>
        <row r="1899">
          <cell r="N1899" t="str">
            <v>825919</v>
          </cell>
          <cell r="O1899" t="str">
            <v>67X</v>
          </cell>
          <cell r="P1899" t="str">
            <v>67X825919</v>
          </cell>
          <cell r="Q1899" t="str">
            <v>519399</v>
          </cell>
        </row>
        <row r="1900">
          <cell r="N1900" t="str">
            <v/>
          </cell>
          <cell r="O1900" t="str">
            <v/>
          </cell>
          <cell r="P1900" t="str">
            <v/>
          </cell>
          <cell r="Q1900" t="str">
            <v/>
          </cell>
        </row>
        <row r="1901">
          <cell r="N1901" t="str">
            <v>825917</v>
          </cell>
          <cell r="O1901" t="str">
            <v/>
          </cell>
          <cell r="P1901" t="str">
            <v/>
          </cell>
          <cell r="Q1901" t="str">
            <v/>
          </cell>
        </row>
        <row r="1902">
          <cell r="N1902" t="str">
            <v>825917</v>
          </cell>
          <cell r="O1902" t="str">
            <v>6IJ</v>
          </cell>
          <cell r="P1902" t="str">
            <v>6IJ825917</v>
          </cell>
          <cell r="Q1902" t="str">
            <v/>
          </cell>
        </row>
        <row r="1903">
          <cell r="N1903" t="str">
            <v>8259170</v>
          </cell>
          <cell r="O1903" t="str">
            <v/>
          </cell>
          <cell r="P1903" t="str">
            <v/>
          </cell>
          <cell r="Q1903" t="str">
            <v>5015305700</v>
          </cell>
        </row>
        <row r="1904">
          <cell r="N1904" t="str">
            <v>8259170</v>
          </cell>
          <cell r="O1904" t="str">
            <v>6IJ</v>
          </cell>
          <cell r="P1904" t="str">
            <v>6IJ8259170</v>
          </cell>
          <cell r="Q1904" t="str">
            <v>5015305700</v>
          </cell>
        </row>
        <row r="1905">
          <cell r="N1905" t="str">
            <v>82591720</v>
          </cell>
          <cell r="O1905" t="str">
            <v/>
          </cell>
          <cell r="P1905" t="str">
            <v/>
          </cell>
          <cell r="Q1905" t="str">
            <v>501530470</v>
          </cell>
        </row>
        <row r="1906">
          <cell r="N1906" t="str">
            <v>82591720</v>
          </cell>
          <cell r="O1906" t="str">
            <v>6IJ</v>
          </cell>
          <cell r="P1906" t="str">
            <v>6IJ82591720</v>
          </cell>
          <cell r="Q1906" t="str">
            <v>501530470</v>
          </cell>
        </row>
        <row r="1907">
          <cell r="N1907" t="str">
            <v/>
          </cell>
          <cell r="O1907" t="str">
            <v/>
          </cell>
          <cell r="P1907" t="str">
            <v/>
          </cell>
          <cell r="Q1907" t="str">
            <v/>
          </cell>
        </row>
        <row r="1908">
          <cell r="N1908" t="str">
            <v/>
          </cell>
          <cell r="O1908" t="str">
            <v/>
          </cell>
          <cell r="P1908" t="str">
            <v/>
          </cell>
          <cell r="Q1908" t="str">
            <v/>
          </cell>
        </row>
        <row r="1909">
          <cell r="N1909" t="str">
            <v>825917</v>
          </cell>
          <cell r="O1909" t="str">
            <v/>
          </cell>
          <cell r="P1909" t="str">
            <v/>
          </cell>
          <cell r="Q1909" t="str">
            <v/>
          </cell>
        </row>
        <row r="1910">
          <cell r="N1910" t="str">
            <v>825917</v>
          </cell>
          <cell r="O1910" t="str">
            <v>67Z</v>
          </cell>
          <cell r="P1910" t="str">
            <v>67Z825917</v>
          </cell>
          <cell r="Q1910" t="str">
            <v/>
          </cell>
        </row>
        <row r="1911">
          <cell r="N1911" t="str">
            <v>8259170</v>
          </cell>
          <cell r="O1911" t="str">
            <v/>
          </cell>
          <cell r="P1911" t="str">
            <v/>
          </cell>
          <cell r="Q1911" t="str">
            <v>5015305700</v>
          </cell>
        </row>
        <row r="1912">
          <cell r="N1912" t="str">
            <v>8259170</v>
          </cell>
          <cell r="O1912" t="str">
            <v>ONL</v>
          </cell>
          <cell r="P1912" t="str">
            <v>ONL8259170</v>
          </cell>
          <cell r="Q1912" t="str">
            <v>5015305700</v>
          </cell>
        </row>
        <row r="1913">
          <cell r="N1913" t="str">
            <v>8259170</v>
          </cell>
          <cell r="O1913" t="str">
            <v>111</v>
          </cell>
          <cell r="P1913" t="str">
            <v>1118259170</v>
          </cell>
          <cell r="Q1913" t="str">
            <v>5015305700</v>
          </cell>
        </row>
        <row r="1914">
          <cell r="N1914" t="str">
            <v>8259170</v>
          </cell>
          <cell r="O1914" t="str">
            <v>6EM</v>
          </cell>
          <cell r="P1914" t="str">
            <v>6EM8259170</v>
          </cell>
          <cell r="Q1914" t="str">
            <v>5015305700</v>
          </cell>
        </row>
        <row r="1915">
          <cell r="N1915" t="str">
            <v>8259170</v>
          </cell>
          <cell r="O1915" t="str">
            <v>67Z</v>
          </cell>
          <cell r="P1915" t="str">
            <v>67Z8259170</v>
          </cell>
          <cell r="Q1915" t="str">
            <v>5015305700</v>
          </cell>
        </row>
        <row r="1916">
          <cell r="N1916" t="str">
            <v>825919</v>
          </cell>
          <cell r="O1916" t="str">
            <v/>
          </cell>
          <cell r="P1916" t="str">
            <v/>
          </cell>
          <cell r="Q1916" t="str">
            <v>519399</v>
          </cell>
        </row>
        <row r="1917">
          <cell r="N1917" t="str">
            <v>825919</v>
          </cell>
          <cell r="O1917" t="str">
            <v>U89</v>
          </cell>
          <cell r="P1917" t="str">
            <v>U89825919</v>
          </cell>
          <cell r="Q1917" t="str">
            <v>519399</v>
          </cell>
        </row>
        <row r="1918">
          <cell r="N1918" t="str">
            <v>825919</v>
          </cell>
          <cell r="O1918" t="str">
            <v>67Z</v>
          </cell>
          <cell r="P1918" t="str">
            <v>67Z825919</v>
          </cell>
          <cell r="Q1918" t="str">
            <v>519399</v>
          </cell>
        </row>
        <row r="1919">
          <cell r="N1919" t="str">
            <v>89299</v>
          </cell>
          <cell r="O1919" t="str">
            <v/>
          </cell>
          <cell r="P1919" t="str">
            <v/>
          </cell>
          <cell r="Q1919" t="str">
            <v/>
          </cell>
        </row>
        <row r="1920">
          <cell r="N1920" t="str">
            <v>89299</v>
          </cell>
          <cell r="O1920" t="str">
            <v>67Z</v>
          </cell>
          <cell r="P1920" t="str">
            <v>67Z89299</v>
          </cell>
          <cell r="Q1920" t="str">
            <v/>
          </cell>
        </row>
        <row r="1921">
          <cell r="N1921" t="str">
            <v/>
          </cell>
          <cell r="O1921" t="str">
            <v/>
          </cell>
          <cell r="P1921" t="str">
            <v/>
          </cell>
          <cell r="Q1921" t="str">
            <v/>
          </cell>
        </row>
        <row r="1922">
          <cell r="N1922" t="str">
            <v>825917</v>
          </cell>
          <cell r="O1922" t="str">
            <v/>
          </cell>
          <cell r="P1922" t="str">
            <v/>
          </cell>
          <cell r="Q1922" t="str">
            <v/>
          </cell>
        </row>
        <row r="1923">
          <cell r="N1923" t="str">
            <v>825917</v>
          </cell>
          <cell r="O1923" t="str">
            <v>6IK</v>
          </cell>
          <cell r="P1923" t="str">
            <v>6IK825917</v>
          </cell>
          <cell r="Q1923" t="str">
            <v/>
          </cell>
        </row>
        <row r="1924">
          <cell r="N1924" t="str">
            <v>8259170</v>
          </cell>
          <cell r="O1924" t="str">
            <v/>
          </cell>
          <cell r="P1924" t="str">
            <v/>
          </cell>
          <cell r="Q1924" t="str">
            <v>5015305700</v>
          </cell>
        </row>
        <row r="1925">
          <cell r="N1925" t="str">
            <v>8259170</v>
          </cell>
          <cell r="O1925" t="str">
            <v>6IK</v>
          </cell>
          <cell r="P1925" t="str">
            <v>6IK8259170</v>
          </cell>
          <cell r="Q1925" t="str">
            <v>5015305700</v>
          </cell>
        </row>
        <row r="1926">
          <cell r="N1926" t="str">
            <v/>
          </cell>
          <cell r="O1926" t="str">
            <v/>
          </cell>
          <cell r="P1926" t="str">
            <v/>
          </cell>
          <cell r="Q1926" t="str">
            <v/>
          </cell>
        </row>
        <row r="1927">
          <cell r="N1927" t="str">
            <v/>
          </cell>
          <cell r="O1927" t="str">
            <v/>
          </cell>
          <cell r="P1927" t="str">
            <v/>
          </cell>
          <cell r="Q1927" t="str">
            <v/>
          </cell>
        </row>
        <row r="1928">
          <cell r="N1928" t="str">
            <v>825917</v>
          </cell>
          <cell r="O1928" t="str">
            <v/>
          </cell>
          <cell r="P1928" t="str">
            <v/>
          </cell>
          <cell r="Q1928" t="str">
            <v/>
          </cell>
        </row>
        <row r="1929">
          <cell r="N1929" t="str">
            <v>825917</v>
          </cell>
          <cell r="O1929" t="str">
            <v>6PL</v>
          </cell>
          <cell r="P1929" t="str">
            <v>6PL825917</v>
          </cell>
          <cell r="Q1929" t="str">
            <v/>
          </cell>
        </row>
        <row r="1930">
          <cell r="N1930" t="str">
            <v>8259170</v>
          </cell>
          <cell r="O1930" t="str">
            <v/>
          </cell>
          <cell r="P1930" t="str">
            <v/>
          </cell>
          <cell r="Q1930" t="str">
            <v>5015305700</v>
          </cell>
        </row>
        <row r="1931">
          <cell r="N1931" t="str">
            <v>8259170</v>
          </cell>
          <cell r="O1931" t="str">
            <v>6PL</v>
          </cell>
          <cell r="P1931" t="str">
            <v>6PL8259170</v>
          </cell>
          <cell r="Q1931" t="str">
            <v>5015305700</v>
          </cell>
        </row>
        <row r="1932">
          <cell r="N1932" t="str">
            <v>82591720</v>
          </cell>
          <cell r="O1932" t="str">
            <v/>
          </cell>
          <cell r="P1932" t="str">
            <v/>
          </cell>
          <cell r="Q1932" t="str">
            <v>501530470</v>
          </cell>
        </row>
        <row r="1933">
          <cell r="N1933" t="str">
            <v>82591720</v>
          </cell>
          <cell r="O1933" t="str">
            <v>6PL</v>
          </cell>
          <cell r="P1933" t="str">
            <v>6PL82591720</v>
          </cell>
          <cell r="Q1933" t="str">
            <v>501530470</v>
          </cell>
        </row>
        <row r="1934">
          <cell r="N1934" t="str">
            <v>825919</v>
          </cell>
          <cell r="O1934" t="str">
            <v/>
          </cell>
          <cell r="P1934" t="str">
            <v/>
          </cell>
          <cell r="Q1934" t="str">
            <v>519399</v>
          </cell>
        </row>
        <row r="1935">
          <cell r="N1935" t="str">
            <v>825919</v>
          </cell>
          <cell r="O1935" t="str">
            <v>6PL</v>
          </cell>
          <cell r="P1935" t="str">
            <v>6PL825919</v>
          </cell>
          <cell r="Q1935" t="str">
            <v>519399</v>
          </cell>
        </row>
        <row r="1936">
          <cell r="N1936" t="str">
            <v/>
          </cell>
          <cell r="O1936" t="str">
            <v/>
          </cell>
          <cell r="P1936" t="str">
            <v/>
          </cell>
          <cell r="Q1936" t="str">
            <v/>
          </cell>
        </row>
        <row r="1937">
          <cell r="N1937" t="str">
            <v>825917</v>
          </cell>
          <cell r="O1937" t="str">
            <v/>
          </cell>
          <cell r="P1937" t="str">
            <v/>
          </cell>
          <cell r="Q1937" t="str">
            <v/>
          </cell>
        </row>
        <row r="1938">
          <cell r="N1938" t="str">
            <v>825917</v>
          </cell>
          <cell r="O1938" t="str">
            <v>6II</v>
          </cell>
          <cell r="P1938" t="str">
            <v>6II825917</v>
          </cell>
          <cell r="Q1938" t="str">
            <v/>
          </cell>
        </row>
        <row r="1939">
          <cell r="N1939" t="str">
            <v>8259170</v>
          </cell>
          <cell r="O1939" t="str">
            <v/>
          </cell>
          <cell r="P1939" t="str">
            <v/>
          </cell>
          <cell r="Q1939" t="str">
            <v>5015305700</v>
          </cell>
        </row>
        <row r="1940">
          <cell r="N1940" t="str">
            <v>8259170</v>
          </cell>
          <cell r="O1940" t="str">
            <v>6II</v>
          </cell>
          <cell r="P1940" t="str">
            <v>6II8259170</v>
          </cell>
          <cell r="Q1940" t="str">
            <v>5015305700</v>
          </cell>
        </row>
        <row r="1941">
          <cell r="N1941" t="str">
            <v>82591720</v>
          </cell>
          <cell r="O1941" t="str">
            <v/>
          </cell>
          <cell r="P1941" t="str">
            <v/>
          </cell>
          <cell r="Q1941" t="str">
            <v>501530470</v>
          </cell>
        </row>
        <row r="1942">
          <cell r="N1942" t="str">
            <v>82591720</v>
          </cell>
          <cell r="O1942" t="str">
            <v>6II</v>
          </cell>
          <cell r="P1942" t="str">
            <v>6II82591720</v>
          </cell>
          <cell r="Q1942" t="str">
            <v>501530470</v>
          </cell>
        </row>
        <row r="1943">
          <cell r="N1943" t="str">
            <v/>
          </cell>
          <cell r="O1943" t="str">
            <v/>
          </cell>
          <cell r="P1943" t="str">
            <v/>
          </cell>
          <cell r="Q1943" t="str">
            <v/>
          </cell>
        </row>
        <row r="1944">
          <cell r="N1944" t="str">
            <v>825919</v>
          </cell>
          <cell r="O1944" t="str">
            <v/>
          </cell>
          <cell r="P1944" t="str">
            <v/>
          </cell>
          <cell r="Q1944" t="str">
            <v>519399</v>
          </cell>
        </row>
        <row r="1945">
          <cell r="N1945" t="str">
            <v>825919</v>
          </cell>
          <cell r="O1945" t="str">
            <v>6PN</v>
          </cell>
          <cell r="P1945" t="str">
            <v>6PN825919</v>
          </cell>
          <cell r="Q1945" t="str">
            <v>519399</v>
          </cell>
        </row>
        <row r="1946">
          <cell r="N1946" t="str">
            <v/>
          </cell>
          <cell r="O1946" t="str">
            <v/>
          </cell>
          <cell r="P1946" t="str">
            <v/>
          </cell>
          <cell r="Q1946" t="str">
            <v/>
          </cell>
        </row>
        <row r="1947">
          <cell r="N1947" t="str">
            <v>82591720</v>
          </cell>
          <cell r="O1947" t="str">
            <v/>
          </cell>
          <cell r="P1947" t="str">
            <v/>
          </cell>
          <cell r="Q1947" t="str">
            <v>501530470</v>
          </cell>
        </row>
        <row r="1948">
          <cell r="N1948" t="str">
            <v>82591720</v>
          </cell>
          <cell r="O1948" t="str">
            <v>6DE</v>
          </cell>
          <cell r="P1948" t="str">
            <v>6DE82591720</v>
          </cell>
          <cell r="Q1948" t="str">
            <v>501530470</v>
          </cell>
        </row>
        <row r="1949">
          <cell r="N1949" t="str">
            <v>82591721</v>
          </cell>
          <cell r="O1949" t="str">
            <v/>
          </cell>
          <cell r="P1949" t="str">
            <v/>
          </cell>
          <cell r="Q1949" t="str">
            <v>519399</v>
          </cell>
        </row>
        <row r="1950">
          <cell r="N1950" t="str">
            <v>82591721</v>
          </cell>
          <cell r="O1950" t="str">
            <v>IF6</v>
          </cell>
          <cell r="P1950" t="str">
            <v>IF682591721</v>
          </cell>
          <cell r="Q1950" t="str">
            <v>519399</v>
          </cell>
        </row>
        <row r="1951">
          <cell r="N1951" t="str">
            <v>82591721</v>
          </cell>
          <cell r="O1951" t="str">
            <v>IF7</v>
          </cell>
          <cell r="P1951" t="str">
            <v>IF782591721</v>
          </cell>
          <cell r="Q1951" t="str">
            <v>519399</v>
          </cell>
        </row>
        <row r="1952">
          <cell r="N1952" t="str">
            <v>82591721</v>
          </cell>
          <cell r="O1952" t="str">
            <v>ONL</v>
          </cell>
          <cell r="P1952" t="str">
            <v>ONL82591721</v>
          </cell>
          <cell r="Q1952" t="str">
            <v>519399</v>
          </cell>
        </row>
        <row r="1953">
          <cell r="N1953" t="str">
            <v>82591721</v>
          </cell>
          <cell r="O1953" t="str">
            <v>111</v>
          </cell>
          <cell r="P1953" t="str">
            <v>11182591721</v>
          </cell>
          <cell r="Q1953" t="str">
            <v>519399</v>
          </cell>
        </row>
        <row r="1954">
          <cell r="N1954" t="str">
            <v>82591722</v>
          </cell>
          <cell r="O1954" t="str">
            <v/>
          </cell>
          <cell r="P1954" t="str">
            <v/>
          </cell>
          <cell r="Q1954" t="str">
            <v>501530470</v>
          </cell>
        </row>
        <row r="1955">
          <cell r="N1955" t="str">
            <v>82591722</v>
          </cell>
          <cell r="O1955" t="str">
            <v>IF8</v>
          </cell>
          <cell r="P1955" t="str">
            <v>IF882591722</v>
          </cell>
          <cell r="Q1955" t="str">
            <v>501530470</v>
          </cell>
        </row>
        <row r="1956">
          <cell r="N1956" t="str">
            <v/>
          </cell>
          <cell r="O1956" t="str">
            <v/>
          </cell>
          <cell r="P1956" t="str">
            <v/>
          </cell>
          <cell r="Q1956" t="str">
            <v/>
          </cell>
        </row>
        <row r="1957">
          <cell r="N1957" t="str">
            <v>825919</v>
          </cell>
          <cell r="O1957" t="str">
            <v/>
          </cell>
          <cell r="P1957" t="str">
            <v/>
          </cell>
          <cell r="Q1957" t="str">
            <v>519399</v>
          </cell>
        </row>
        <row r="1958">
          <cell r="N1958" t="str">
            <v>825919</v>
          </cell>
          <cell r="O1958" t="str">
            <v>6PG</v>
          </cell>
          <cell r="P1958" t="str">
            <v>6PG825919</v>
          </cell>
          <cell r="Q1958" t="str">
            <v>519399</v>
          </cell>
        </row>
        <row r="1959">
          <cell r="N1959" t="str">
            <v>89299</v>
          </cell>
          <cell r="O1959" t="str">
            <v/>
          </cell>
          <cell r="P1959" t="str">
            <v/>
          </cell>
          <cell r="Q1959" t="str">
            <v/>
          </cell>
        </row>
        <row r="1960">
          <cell r="N1960" t="str">
            <v>89299</v>
          </cell>
          <cell r="O1960" t="str">
            <v>6PG</v>
          </cell>
          <cell r="P1960" t="str">
            <v>6PG89299</v>
          </cell>
          <cell r="Q1960" t="str">
            <v/>
          </cell>
        </row>
        <row r="1961">
          <cell r="N1961" t="str">
            <v/>
          </cell>
          <cell r="O1961" t="str">
            <v/>
          </cell>
          <cell r="P1961" t="str">
            <v/>
          </cell>
          <cell r="Q1961" t="str">
            <v/>
          </cell>
        </row>
        <row r="1962">
          <cell r="N1962" t="str">
            <v/>
          </cell>
          <cell r="O1962" t="str">
            <v/>
          </cell>
          <cell r="P1962" t="str">
            <v/>
          </cell>
          <cell r="Q1962" t="str">
            <v/>
          </cell>
        </row>
        <row r="1963">
          <cell r="N1963" t="str">
            <v>8259140</v>
          </cell>
          <cell r="O1963" t="str">
            <v/>
          </cell>
          <cell r="P1963" t="str">
            <v/>
          </cell>
          <cell r="Q1963" t="str">
            <v>519399</v>
          </cell>
        </row>
        <row r="1964">
          <cell r="N1964" t="str">
            <v>8259140</v>
          </cell>
          <cell r="O1964" t="str">
            <v>614</v>
          </cell>
          <cell r="P1964" t="str">
            <v>6148259140</v>
          </cell>
          <cell r="Q1964" t="str">
            <v>519399</v>
          </cell>
        </row>
        <row r="1965">
          <cell r="N1965" t="str">
            <v>8259149</v>
          </cell>
          <cell r="O1965" t="str">
            <v/>
          </cell>
          <cell r="P1965" t="str">
            <v/>
          </cell>
          <cell r="Q1965" t="str">
            <v>502031047</v>
          </cell>
        </row>
        <row r="1966">
          <cell r="N1966" t="str">
            <v>8259149</v>
          </cell>
          <cell r="O1966" t="str">
            <v>288</v>
          </cell>
          <cell r="P1966" t="str">
            <v>2888259149</v>
          </cell>
          <cell r="Q1966" t="str">
            <v>502031047</v>
          </cell>
        </row>
        <row r="1967">
          <cell r="N1967" t="str">
            <v>82591720</v>
          </cell>
          <cell r="O1967" t="str">
            <v/>
          </cell>
          <cell r="P1967" t="str">
            <v/>
          </cell>
          <cell r="Q1967" t="str">
            <v>501530470</v>
          </cell>
        </row>
        <row r="1968">
          <cell r="N1968" t="str">
            <v>82591720</v>
          </cell>
          <cell r="O1968" t="str">
            <v>614</v>
          </cell>
          <cell r="P1968" t="str">
            <v>61482591720</v>
          </cell>
          <cell r="Q1968" t="str">
            <v>501530470</v>
          </cell>
        </row>
        <row r="1969">
          <cell r="N1969" t="str">
            <v>82591721</v>
          </cell>
          <cell r="O1969" t="str">
            <v/>
          </cell>
          <cell r="P1969" t="str">
            <v/>
          </cell>
          <cell r="Q1969" t="str">
            <v>519399</v>
          </cell>
        </row>
        <row r="1970">
          <cell r="N1970" t="str">
            <v>82591721</v>
          </cell>
          <cell r="O1970" t="str">
            <v>614</v>
          </cell>
          <cell r="P1970" t="str">
            <v>61482591721</v>
          </cell>
          <cell r="Q1970" t="str">
            <v>519399</v>
          </cell>
        </row>
        <row r="1971">
          <cell r="N1971" t="str">
            <v>825919</v>
          </cell>
          <cell r="O1971" t="str">
            <v/>
          </cell>
          <cell r="P1971" t="str">
            <v/>
          </cell>
          <cell r="Q1971" t="str">
            <v>519399</v>
          </cell>
        </row>
        <row r="1972">
          <cell r="N1972" t="str">
            <v>825919</v>
          </cell>
          <cell r="O1972" t="str">
            <v>BB5</v>
          </cell>
          <cell r="P1972" t="str">
            <v>BB5825919</v>
          </cell>
          <cell r="Q1972" t="str">
            <v>519399</v>
          </cell>
        </row>
        <row r="1973">
          <cell r="N1973" t="str">
            <v>825919</v>
          </cell>
          <cell r="O1973" t="str">
            <v>CCC</v>
          </cell>
          <cell r="P1973" t="str">
            <v>CCC825919</v>
          </cell>
          <cell r="Q1973" t="str">
            <v>519399</v>
          </cell>
        </row>
        <row r="1974">
          <cell r="N1974" t="str">
            <v>825919</v>
          </cell>
          <cell r="O1974" t="str">
            <v>CRR</v>
          </cell>
          <cell r="P1974" t="str">
            <v>CRR825919</v>
          </cell>
          <cell r="Q1974" t="str">
            <v>519399</v>
          </cell>
        </row>
        <row r="1975">
          <cell r="N1975" t="str">
            <v>825919</v>
          </cell>
          <cell r="O1975" t="str">
            <v>!NA</v>
          </cell>
          <cell r="P1975" t="str">
            <v>!NA825919</v>
          </cell>
          <cell r="Q1975" t="str">
            <v>519399</v>
          </cell>
        </row>
        <row r="1976">
          <cell r="N1976" t="str">
            <v>825919</v>
          </cell>
          <cell r="O1976" t="str">
            <v>!N9</v>
          </cell>
          <cell r="P1976" t="str">
            <v>!N9825919</v>
          </cell>
          <cell r="Q1976" t="str">
            <v>519399</v>
          </cell>
        </row>
        <row r="1977">
          <cell r="N1977" t="str">
            <v>825919</v>
          </cell>
          <cell r="O1977" t="str">
            <v>6AM</v>
          </cell>
          <cell r="P1977" t="str">
            <v>6AM825919</v>
          </cell>
          <cell r="Q1977" t="str">
            <v>519399</v>
          </cell>
        </row>
        <row r="1978">
          <cell r="N1978" t="str">
            <v>825919</v>
          </cell>
          <cell r="O1978" t="str">
            <v>61P</v>
          </cell>
          <cell r="P1978" t="str">
            <v>61P825919</v>
          </cell>
          <cell r="Q1978" t="str">
            <v>519399</v>
          </cell>
        </row>
        <row r="1979">
          <cell r="N1979" t="str">
            <v>825919</v>
          </cell>
          <cell r="O1979" t="str">
            <v>614</v>
          </cell>
          <cell r="P1979" t="str">
            <v>614825919</v>
          </cell>
          <cell r="Q1979" t="str">
            <v>519399</v>
          </cell>
        </row>
        <row r="1980">
          <cell r="N1980" t="str">
            <v>825919</v>
          </cell>
          <cell r="O1980" t="str">
            <v>8NJ</v>
          </cell>
          <cell r="P1980" t="str">
            <v>8NJ825919</v>
          </cell>
          <cell r="Q1980" t="str">
            <v>519399</v>
          </cell>
        </row>
        <row r="1981">
          <cell r="N1981" t="str">
            <v>8280000</v>
          </cell>
          <cell r="O1981" t="str">
            <v/>
          </cell>
          <cell r="P1981" t="str">
            <v/>
          </cell>
          <cell r="Q1981" t="str">
            <v>51400</v>
          </cell>
        </row>
        <row r="1982">
          <cell r="N1982" t="str">
            <v>8280000</v>
          </cell>
          <cell r="O1982" t="str">
            <v>CRR</v>
          </cell>
          <cell r="P1982" t="str">
            <v>CRR8280000</v>
          </cell>
          <cell r="Q1982" t="str">
            <v>51400</v>
          </cell>
        </row>
        <row r="1983">
          <cell r="N1983" t="str">
            <v/>
          </cell>
          <cell r="O1983" t="str">
            <v/>
          </cell>
          <cell r="P1983" t="str">
            <v/>
          </cell>
          <cell r="Q1983" t="str">
            <v/>
          </cell>
        </row>
        <row r="1984">
          <cell r="N1984" t="str">
            <v>825100</v>
          </cell>
          <cell r="O1984" t="str">
            <v/>
          </cell>
          <cell r="P1984" t="str">
            <v/>
          </cell>
          <cell r="Q1984" t="str">
            <v/>
          </cell>
        </row>
        <row r="1985">
          <cell r="N1985" t="str">
            <v>825100</v>
          </cell>
          <cell r="O1985" t="str">
            <v>EF5</v>
          </cell>
          <cell r="P1985" t="str">
            <v>EF5825100</v>
          </cell>
          <cell r="Q1985" t="str">
            <v/>
          </cell>
        </row>
        <row r="1986">
          <cell r="N1986" t="str">
            <v>825100</v>
          </cell>
          <cell r="O1986" t="str">
            <v>E6F</v>
          </cell>
          <cell r="P1986" t="str">
            <v>E6F825100</v>
          </cell>
          <cell r="Q1986" t="str">
            <v/>
          </cell>
        </row>
        <row r="1987">
          <cell r="N1987" t="str">
            <v>8251000</v>
          </cell>
          <cell r="O1987" t="str">
            <v/>
          </cell>
          <cell r="P1987" t="str">
            <v/>
          </cell>
          <cell r="Q1987" t="str">
            <v>501530430</v>
          </cell>
        </row>
        <row r="1988">
          <cell r="N1988" t="str">
            <v>8251000</v>
          </cell>
          <cell r="O1988" t="str">
            <v>E6F</v>
          </cell>
          <cell r="P1988" t="str">
            <v>E6F8251000</v>
          </cell>
          <cell r="Q1988" t="str">
            <v>501530430</v>
          </cell>
        </row>
        <row r="1989">
          <cell r="N1989" t="str">
            <v>8251001</v>
          </cell>
          <cell r="O1989" t="str">
            <v/>
          </cell>
          <cell r="P1989" t="str">
            <v/>
          </cell>
          <cell r="Q1989" t="str">
            <v>51510</v>
          </cell>
        </row>
        <row r="1990">
          <cell r="N1990" t="str">
            <v>8251001</v>
          </cell>
          <cell r="O1990" t="str">
            <v>E6F</v>
          </cell>
          <cell r="P1990" t="str">
            <v>E6F8251001</v>
          </cell>
          <cell r="Q1990" t="str">
            <v>51510</v>
          </cell>
        </row>
        <row r="1991">
          <cell r="N1991" t="str">
            <v>825101</v>
          </cell>
          <cell r="O1991" t="str">
            <v/>
          </cell>
          <cell r="P1991" t="str">
            <v/>
          </cell>
          <cell r="Q1991" t="str">
            <v>51510</v>
          </cell>
        </row>
        <row r="1992">
          <cell r="N1992" t="str">
            <v>825101</v>
          </cell>
          <cell r="O1992" t="str">
            <v>EF5</v>
          </cell>
          <cell r="P1992" t="str">
            <v>EF5825101</v>
          </cell>
          <cell r="Q1992" t="str">
            <v>51510</v>
          </cell>
        </row>
        <row r="1993">
          <cell r="N1993" t="str">
            <v>825101</v>
          </cell>
          <cell r="O1993" t="str">
            <v>E6F</v>
          </cell>
          <cell r="P1993" t="str">
            <v>E6F825101</v>
          </cell>
          <cell r="Q1993" t="str">
            <v>51510</v>
          </cell>
        </row>
        <row r="1994">
          <cell r="N1994" t="str">
            <v>82592</v>
          </cell>
          <cell r="O1994" t="str">
            <v/>
          </cell>
          <cell r="P1994" t="str">
            <v/>
          </cell>
          <cell r="Q1994" t="str">
            <v/>
          </cell>
        </row>
        <row r="1995">
          <cell r="N1995" t="str">
            <v>82592</v>
          </cell>
          <cell r="O1995" t="str">
            <v>EF5</v>
          </cell>
          <cell r="P1995" t="str">
            <v>EF582592</v>
          </cell>
          <cell r="Q1995" t="str">
            <v/>
          </cell>
        </row>
        <row r="1996">
          <cell r="N1996" t="str">
            <v>82592</v>
          </cell>
          <cell r="O1996" t="str">
            <v>E6F</v>
          </cell>
          <cell r="P1996" t="str">
            <v>E6F82592</v>
          </cell>
          <cell r="Q1996" t="str">
            <v/>
          </cell>
        </row>
        <row r="1997">
          <cell r="N1997" t="str">
            <v>825920</v>
          </cell>
          <cell r="O1997" t="str">
            <v/>
          </cell>
          <cell r="P1997" t="str">
            <v/>
          </cell>
          <cell r="Q1997" t="str">
            <v>519399</v>
          </cell>
        </row>
        <row r="1998">
          <cell r="N1998" t="str">
            <v>825920</v>
          </cell>
          <cell r="O1998" t="str">
            <v>EF5</v>
          </cell>
          <cell r="P1998" t="str">
            <v>EF5825920</v>
          </cell>
          <cell r="Q1998" t="str">
            <v>519399</v>
          </cell>
        </row>
        <row r="1999">
          <cell r="N1999" t="str">
            <v>825920</v>
          </cell>
          <cell r="O1999" t="str">
            <v>E6F</v>
          </cell>
          <cell r="P1999" t="str">
            <v>E6F825920</v>
          </cell>
          <cell r="Q1999" t="str">
            <v>519399</v>
          </cell>
        </row>
        <row r="2000">
          <cell r="N2000" t="str">
            <v>825929</v>
          </cell>
          <cell r="O2000" t="str">
            <v/>
          </cell>
          <cell r="P2000" t="str">
            <v/>
          </cell>
          <cell r="Q2000" t="str">
            <v/>
          </cell>
        </row>
        <row r="2001">
          <cell r="N2001" t="str">
            <v>825929</v>
          </cell>
          <cell r="O2001" t="str">
            <v>E6F</v>
          </cell>
          <cell r="P2001" t="str">
            <v>E6F825929</v>
          </cell>
          <cell r="Q2001" t="str">
            <v/>
          </cell>
        </row>
        <row r="2002">
          <cell r="N2002" t="str">
            <v/>
          </cell>
          <cell r="O2002" t="str">
            <v/>
          </cell>
          <cell r="P2002" t="str">
            <v/>
          </cell>
          <cell r="Q2002" t="str">
            <v/>
          </cell>
        </row>
        <row r="2003">
          <cell r="N2003" t="str">
            <v/>
          </cell>
          <cell r="O2003" t="str">
            <v/>
          </cell>
          <cell r="P2003" t="str">
            <v/>
          </cell>
          <cell r="Q2003" t="str">
            <v/>
          </cell>
        </row>
        <row r="2004">
          <cell r="N2004" t="str">
            <v>5499602</v>
          </cell>
          <cell r="O2004" t="str">
            <v/>
          </cell>
          <cell r="P2004" t="str">
            <v/>
          </cell>
          <cell r="Q2004" t="str">
            <v>29929</v>
          </cell>
        </row>
        <row r="2005">
          <cell r="N2005" t="str">
            <v>5499602</v>
          </cell>
          <cell r="O2005" t="str">
            <v>!JM</v>
          </cell>
          <cell r="P2005" t="str">
            <v>!JM5499602</v>
          </cell>
          <cell r="Q2005" t="str">
            <v>29929</v>
          </cell>
        </row>
        <row r="2006">
          <cell r="N2006" t="str">
            <v>5499605</v>
          </cell>
          <cell r="O2006" t="str">
            <v/>
          </cell>
          <cell r="P2006" t="str">
            <v/>
          </cell>
          <cell r="Q2006" t="str">
            <v>29929</v>
          </cell>
        </row>
        <row r="2007">
          <cell r="N2007" t="str">
            <v>5499605</v>
          </cell>
          <cell r="O2007" t="str">
            <v>!JM</v>
          </cell>
          <cell r="P2007" t="str">
            <v>!JM5499605</v>
          </cell>
          <cell r="Q2007" t="str">
            <v>29929</v>
          </cell>
        </row>
        <row r="2008">
          <cell r="N2008" t="str">
            <v>5499606</v>
          </cell>
          <cell r="O2008" t="str">
            <v/>
          </cell>
          <cell r="P2008" t="str">
            <v/>
          </cell>
          <cell r="Q2008" t="str">
            <v>29929</v>
          </cell>
        </row>
        <row r="2009">
          <cell r="N2009" t="str">
            <v>5499606</v>
          </cell>
          <cell r="O2009" t="str">
            <v>!JM</v>
          </cell>
          <cell r="P2009" t="str">
            <v>!JM5499606</v>
          </cell>
          <cell r="Q2009" t="str">
            <v>29929</v>
          </cell>
        </row>
        <row r="2010">
          <cell r="N2010" t="str">
            <v>549962</v>
          </cell>
          <cell r="O2010" t="str">
            <v/>
          </cell>
          <cell r="P2010" t="str">
            <v/>
          </cell>
          <cell r="Q2010" t="str">
            <v>29929</v>
          </cell>
        </row>
        <row r="2011">
          <cell r="N2011" t="str">
            <v>549962</v>
          </cell>
          <cell r="O2011" t="str">
            <v>!JI</v>
          </cell>
          <cell r="P2011" t="str">
            <v>!JI549962</v>
          </cell>
          <cell r="Q2011" t="str">
            <v>29929</v>
          </cell>
        </row>
        <row r="2012">
          <cell r="N2012" t="str">
            <v>549962</v>
          </cell>
          <cell r="O2012" t="str">
            <v>!JM</v>
          </cell>
          <cell r="P2012" t="str">
            <v>!JM549962</v>
          </cell>
          <cell r="Q2012" t="str">
            <v>29929</v>
          </cell>
        </row>
        <row r="2013">
          <cell r="N2013" t="str">
            <v/>
          </cell>
          <cell r="O2013" t="str">
            <v/>
          </cell>
          <cell r="P2013" t="str">
            <v/>
          </cell>
          <cell r="Q2013" t="str">
            <v/>
          </cell>
        </row>
        <row r="2014">
          <cell r="N2014" t="str">
            <v>82000</v>
          </cell>
          <cell r="O2014" t="str">
            <v/>
          </cell>
          <cell r="P2014" t="str">
            <v/>
          </cell>
          <cell r="Q2014" t="str">
            <v>5100</v>
          </cell>
        </row>
        <row r="2015">
          <cell r="N2015" t="str">
            <v>82000</v>
          </cell>
          <cell r="O2015" t="str">
            <v>!A3</v>
          </cell>
          <cell r="P2015" t="str">
            <v>!A382000</v>
          </cell>
          <cell r="Q2015" t="str">
            <v>5100</v>
          </cell>
        </row>
        <row r="2016">
          <cell r="N2016" t="str">
            <v>82000</v>
          </cell>
          <cell r="O2016" t="str">
            <v>!64</v>
          </cell>
          <cell r="P2016" t="str">
            <v>!6482000</v>
          </cell>
          <cell r="Q2016" t="str">
            <v>5100</v>
          </cell>
        </row>
        <row r="2017">
          <cell r="N2017" t="str">
            <v>82005</v>
          </cell>
          <cell r="O2017" t="str">
            <v/>
          </cell>
          <cell r="P2017" t="str">
            <v/>
          </cell>
          <cell r="Q2017" t="str">
            <v>51090</v>
          </cell>
        </row>
        <row r="2018">
          <cell r="N2018" t="str">
            <v>82005</v>
          </cell>
          <cell r="O2018" t="str">
            <v>!A3</v>
          </cell>
          <cell r="P2018" t="str">
            <v>!A382005</v>
          </cell>
          <cell r="Q2018" t="str">
            <v>51090</v>
          </cell>
        </row>
        <row r="2019">
          <cell r="N2019" t="str">
            <v>82006</v>
          </cell>
          <cell r="O2019" t="str">
            <v/>
          </cell>
          <cell r="P2019" t="str">
            <v/>
          </cell>
          <cell r="Q2019" t="str">
            <v>5100</v>
          </cell>
        </row>
        <row r="2020">
          <cell r="N2020" t="str">
            <v>82006</v>
          </cell>
          <cell r="O2020" t="str">
            <v>!A3</v>
          </cell>
          <cell r="P2020" t="str">
            <v>!A382006</v>
          </cell>
          <cell r="Q2020" t="str">
            <v>5100</v>
          </cell>
        </row>
        <row r="2021">
          <cell r="N2021" t="str">
            <v/>
          </cell>
          <cell r="O2021" t="str">
            <v/>
          </cell>
          <cell r="P2021" t="str">
            <v/>
          </cell>
          <cell r="Q2021" t="str">
            <v/>
          </cell>
        </row>
        <row r="2022">
          <cell r="N2022" t="str">
            <v>7100</v>
          </cell>
          <cell r="O2022" t="str">
            <v/>
          </cell>
          <cell r="P2022" t="str">
            <v/>
          </cell>
          <cell r="Q2022" t="str">
            <v>41100</v>
          </cell>
        </row>
        <row r="2023">
          <cell r="N2023" t="str">
            <v>7100</v>
          </cell>
          <cell r="O2023" t="str">
            <v>AP9</v>
          </cell>
          <cell r="P2023" t="str">
            <v>AP97100</v>
          </cell>
          <cell r="Q2023" t="str">
            <v>41100</v>
          </cell>
        </row>
        <row r="2024">
          <cell r="N2024" t="str">
            <v>7100</v>
          </cell>
          <cell r="O2024" t="str">
            <v>CRR</v>
          </cell>
          <cell r="P2024" t="str">
            <v>CRR7100</v>
          </cell>
          <cell r="Q2024" t="str">
            <v>41100</v>
          </cell>
        </row>
        <row r="2025">
          <cell r="N2025" t="str">
            <v>7100</v>
          </cell>
          <cell r="O2025" t="str">
            <v>LRA</v>
          </cell>
          <cell r="P2025" t="str">
            <v>LRA7100</v>
          </cell>
          <cell r="Q2025" t="str">
            <v>41100</v>
          </cell>
        </row>
        <row r="2026">
          <cell r="N2026" t="str">
            <v>7100</v>
          </cell>
          <cell r="O2026" t="str">
            <v>L01</v>
          </cell>
          <cell r="P2026" t="str">
            <v>L017100</v>
          </cell>
          <cell r="Q2026" t="str">
            <v>41100</v>
          </cell>
        </row>
        <row r="2027">
          <cell r="N2027" t="str">
            <v>7100</v>
          </cell>
          <cell r="O2027" t="str">
            <v>!MF</v>
          </cell>
          <cell r="P2027" t="str">
            <v>!MF7100</v>
          </cell>
          <cell r="Q2027" t="str">
            <v>41100</v>
          </cell>
        </row>
        <row r="2028">
          <cell r="N2028" t="str">
            <v>7100</v>
          </cell>
          <cell r="O2028" t="str">
            <v>ODX</v>
          </cell>
          <cell r="P2028" t="str">
            <v>ODX7100</v>
          </cell>
          <cell r="Q2028" t="str">
            <v>41100</v>
          </cell>
        </row>
        <row r="2029">
          <cell r="N2029" t="str">
            <v>7100</v>
          </cell>
          <cell r="O2029" t="str">
            <v>ONL</v>
          </cell>
          <cell r="P2029" t="str">
            <v>ONL7100</v>
          </cell>
          <cell r="Q2029" t="str">
            <v>41100</v>
          </cell>
        </row>
        <row r="2030">
          <cell r="N2030" t="str">
            <v>7100</v>
          </cell>
          <cell r="O2030" t="str">
            <v>QUI</v>
          </cell>
          <cell r="P2030" t="str">
            <v>QUI7100</v>
          </cell>
          <cell r="Q2030" t="str">
            <v>41100</v>
          </cell>
        </row>
        <row r="2031">
          <cell r="N2031" t="str">
            <v>7100</v>
          </cell>
          <cell r="O2031" t="str">
            <v>REG</v>
          </cell>
          <cell r="P2031" t="str">
            <v>REG7100</v>
          </cell>
          <cell r="Q2031" t="str">
            <v>41100</v>
          </cell>
        </row>
        <row r="2032">
          <cell r="N2032" t="str">
            <v>7100</v>
          </cell>
          <cell r="O2032" t="str">
            <v>111</v>
          </cell>
          <cell r="P2032" t="str">
            <v>1117100</v>
          </cell>
          <cell r="Q2032" t="str">
            <v>41100</v>
          </cell>
        </row>
        <row r="2033">
          <cell r="N2033" t="str">
            <v>7109</v>
          </cell>
          <cell r="O2033" t="str">
            <v/>
          </cell>
          <cell r="P2033" t="str">
            <v/>
          </cell>
          <cell r="Q2033" t="str">
            <v>41109</v>
          </cell>
        </row>
        <row r="2034">
          <cell r="N2034" t="str">
            <v>7109</v>
          </cell>
          <cell r="O2034" t="str">
            <v>ONL</v>
          </cell>
          <cell r="P2034" t="str">
            <v>ONL7109</v>
          </cell>
          <cell r="Q2034" t="str">
            <v>41109</v>
          </cell>
        </row>
        <row r="2035">
          <cell r="N2035" t="str">
            <v>82000</v>
          </cell>
          <cell r="O2035" t="str">
            <v/>
          </cell>
          <cell r="P2035" t="str">
            <v/>
          </cell>
          <cell r="Q2035" t="str">
            <v>5100</v>
          </cell>
        </row>
        <row r="2036">
          <cell r="N2036" t="str">
            <v>82000</v>
          </cell>
          <cell r="O2036" t="str">
            <v>AGR</v>
          </cell>
          <cell r="P2036" t="str">
            <v>AGR82000</v>
          </cell>
          <cell r="Q2036" t="str">
            <v>5100</v>
          </cell>
        </row>
        <row r="2037">
          <cell r="N2037" t="str">
            <v>82000</v>
          </cell>
          <cell r="O2037" t="str">
            <v>CAC</v>
          </cell>
          <cell r="P2037" t="str">
            <v>CAC82000</v>
          </cell>
          <cell r="Q2037" t="str">
            <v>5100</v>
          </cell>
        </row>
        <row r="2038">
          <cell r="N2038" t="str">
            <v>82000</v>
          </cell>
          <cell r="O2038" t="str">
            <v>CRR</v>
          </cell>
          <cell r="P2038" t="str">
            <v>CRR82000</v>
          </cell>
          <cell r="Q2038" t="str">
            <v>5100</v>
          </cell>
        </row>
        <row r="2039">
          <cell r="N2039" t="str">
            <v>82000</v>
          </cell>
          <cell r="O2039" t="str">
            <v>GAJ</v>
          </cell>
          <cell r="P2039" t="str">
            <v>GAJ82000</v>
          </cell>
          <cell r="Q2039" t="str">
            <v>5100</v>
          </cell>
        </row>
        <row r="2040">
          <cell r="N2040" t="str">
            <v>82000</v>
          </cell>
          <cell r="O2040" t="str">
            <v>GA1</v>
          </cell>
          <cell r="P2040" t="str">
            <v>GA182000</v>
          </cell>
          <cell r="Q2040" t="str">
            <v>5100</v>
          </cell>
        </row>
        <row r="2041">
          <cell r="N2041" t="str">
            <v>82000</v>
          </cell>
          <cell r="O2041" t="str">
            <v>LRA</v>
          </cell>
          <cell r="P2041" t="str">
            <v>LRA82000</v>
          </cell>
          <cell r="Q2041" t="str">
            <v>5100</v>
          </cell>
        </row>
        <row r="2042">
          <cell r="N2042" t="str">
            <v>82000</v>
          </cell>
          <cell r="O2042" t="str">
            <v>!OA</v>
          </cell>
          <cell r="P2042" t="str">
            <v>!OA82000</v>
          </cell>
          <cell r="Q2042" t="str">
            <v>5100</v>
          </cell>
        </row>
        <row r="2043">
          <cell r="N2043" t="str">
            <v>82000</v>
          </cell>
          <cell r="O2043" t="str">
            <v>!OB</v>
          </cell>
          <cell r="P2043" t="str">
            <v>!OB82000</v>
          </cell>
          <cell r="Q2043" t="str">
            <v>5100</v>
          </cell>
        </row>
        <row r="2044">
          <cell r="N2044" t="str">
            <v>82000</v>
          </cell>
          <cell r="O2044" t="str">
            <v>ONL</v>
          </cell>
          <cell r="P2044" t="str">
            <v>ONL82000</v>
          </cell>
          <cell r="Q2044" t="str">
            <v>5100</v>
          </cell>
        </row>
        <row r="2045">
          <cell r="N2045" t="str">
            <v>82000</v>
          </cell>
          <cell r="O2045" t="str">
            <v>!O6</v>
          </cell>
          <cell r="P2045" t="str">
            <v>!O682000</v>
          </cell>
          <cell r="Q2045" t="str">
            <v>5100</v>
          </cell>
        </row>
        <row r="2046">
          <cell r="N2046" t="str">
            <v>82000</v>
          </cell>
          <cell r="O2046" t="str">
            <v>REG</v>
          </cell>
          <cell r="P2046" t="str">
            <v>REG82000</v>
          </cell>
          <cell r="Q2046" t="str">
            <v>5100</v>
          </cell>
        </row>
        <row r="2047">
          <cell r="N2047" t="str">
            <v>82000</v>
          </cell>
          <cell r="O2047" t="str">
            <v>UIC</v>
          </cell>
          <cell r="P2047" t="str">
            <v>UIC82000</v>
          </cell>
          <cell r="Q2047" t="str">
            <v>5100</v>
          </cell>
        </row>
        <row r="2048">
          <cell r="N2048" t="str">
            <v>82000</v>
          </cell>
          <cell r="O2048" t="str">
            <v>UIE</v>
          </cell>
          <cell r="P2048" t="str">
            <v>UIE82000</v>
          </cell>
          <cell r="Q2048" t="str">
            <v>5100</v>
          </cell>
        </row>
        <row r="2049">
          <cell r="N2049" t="str">
            <v>82000</v>
          </cell>
          <cell r="O2049" t="str">
            <v>UJC</v>
          </cell>
          <cell r="P2049" t="str">
            <v>UJC82000</v>
          </cell>
          <cell r="Q2049" t="str">
            <v>5100</v>
          </cell>
        </row>
        <row r="2050">
          <cell r="N2050" t="str">
            <v>82000</v>
          </cell>
          <cell r="O2050" t="str">
            <v>UJE</v>
          </cell>
          <cell r="P2050" t="str">
            <v>UJE82000</v>
          </cell>
          <cell r="Q2050" t="str">
            <v>5100</v>
          </cell>
        </row>
        <row r="2051">
          <cell r="N2051" t="str">
            <v>82000</v>
          </cell>
          <cell r="O2051" t="str">
            <v>UP5</v>
          </cell>
          <cell r="P2051" t="str">
            <v>UP582000</v>
          </cell>
          <cell r="Q2051" t="str">
            <v>5100</v>
          </cell>
        </row>
        <row r="2052">
          <cell r="N2052" t="str">
            <v>82000</v>
          </cell>
          <cell r="O2052" t="str">
            <v>U00</v>
          </cell>
          <cell r="P2052" t="str">
            <v>U0082000</v>
          </cell>
          <cell r="Q2052" t="str">
            <v>5100</v>
          </cell>
        </row>
        <row r="2053">
          <cell r="N2053" t="str">
            <v>82000</v>
          </cell>
          <cell r="O2053" t="str">
            <v>U07</v>
          </cell>
          <cell r="P2053" t="str">
            <v>U0782000</v>
          </cell>
          <cell r="Q2053" t="str">
            <v>5100</v>
          </cell>
        </row>
        <row r="2054">
          <cell r="N2054" t="str">
            <v>82000</v>
          </cell>
          <cell r="O2054" t="str">
            <v>041</v>
          </cell>
          <cell r="P2054" t="str">
            <v>04182000</v>
          </cell>
          <cell r="Q2054" t="str">
            <v>5100</v>
          </cell>
        </row>
        <row r="2055">
          <cell r="N2055" t="str">
            <v>82000</v>
          </cell>
          <cell r="O2055" t="str">
            <v>111</v>
          </cell>
          <cell r="P2055" t="str">
            <v>11182000</v>
          </cell>
          <cell r="Q2055" t="str">
            <v>5100</v>
          </cell>
        </row>
        <row r="2056">
          <cell r="N2056" t="str">
            <v>82000</v>
          </cell>
          <cell r="O2056" t="str">
            <v>196</v>
          </cell>
          <cell r="P2056" t="str">
            <v>19682000</v>
          </cell>
          <cell r="Q2056" t="str">
            <v>5100</v>
          </cell>
        </row>
        <row r="2057">
          <cell r="N2057" t="str">
            <v>82000</v>
          </cell>
          <cell r="O2057" t="str">
            <v>280</v>
          </cell>
          <cell r="P2057" t="str">
            <v>28082000</v>
          </cell>
          <cell r="Q2057" t="str">
            <v>5100</v>
          </cell>
        </row>
        <row r="2058">
          <cell r="N2058" t="str">
            <v>82000</v>
          </cell>
          <cell r="O2058" t="str">
            <v>6ED</v>
          </cell>
          <cell r="P2058" t="str">
            <v>6ED82000</v>
          </cell>
          <cell r="Q2058" t="str">
            <v>5100</v>
          </cell>
        </row>
        <row r="2059">
          <cell r="N2059" t="str">
            <v>82000</v>
          </cell>
          <cell r="O2059" t="str">
            <v>6E1</v>
          </cell>
          <cell r="P2059" t="str">
            <v>6E182000</v>
          </cell>
          <cell r="Q2059" t="str">
            <v>5100</v>
          </cell>
        </row>
        <row r="2060">
          <cell r="N2060" t="str">
            <v>82000</v>
          </cell>
          <cell r="O2060" t="str">
            <v>6E2</v>
          </cell>
          <cell r="P2060" t="str">
            <v>6E282000</v>
          </cell>
          <cell r="Q2060" t="str">
            <v>5100</v>
          </cell>
        </row>
        <row r="2061">
          <cell r="N2061" t="str">
            <v>82000</v>
          </cell>
          <cell r="O2061" t="str">
            <v>6E3</v>
          </cell>
          <cell r="P2061" t="str">
            <v>6E382000</v>
          </cell>
          <cell r="Q2061" t="str">
            <v>5100</v>
          </cell>
        </row>
        <row r="2062">
          <cell r="N2062" t="str">
            <v>82000</v>
          </cell>
          <cell r="O2062" t="str">
            <v>6E4</v>
          </cell>
          <cell r="P2062" t="str">
            <v>6E482000</v>
          </cell>
          <cell r="Q2062" t="str">
            <v>5100</v>
          </cell>
        </row>
        <row r="2063">
          <cell r="N2063" t="str">
            <v>82000</v>
          </cell>
          <cell r="O2063" t="str">
            <v>615</v>
          </cell>
          <cell r="P2063" t="str">
            <v>61582000</v>
          </cell>
          <cell r="Q2063" t="str">
            <v>5100</v>
          </cell>
        </row>
        <row r="2064">
          <cell r="N2064" t="str">
            <v>82000</v>
          </cell>
          <cell r="O2064" t="str">
            <v>625</v>
          </cell>
          <cell r="P2064" t="str">
            <v>62582000</v>
          </cell>
          <cell r="Q2064" t="str">
            <v>5100</v>
          </cell>
        </row>
        <row r="2065">
          <cell r="N2065" t="str">
            <v>82000</v>
          </cell>
          <cell r="O2065" t="str">
            <v>638</v>
          </cell>
          <cell r="P2065" t="str">
            <v>63882000</v>
          </cell>
          <cell r="Q2065" t="str">
            <v>5100</v>
          </cell>
        </row>
        <row r="2066">
          <cell r="N2066" t="str">
            <v>82000</v>
          </cell>
          <cell r="O2066" t="str">
            <v>643</v>
          </cell>
          <cell r="P2066" t="str">
            <v>64382000</v>
          </cell>
          <cell r="Q2066" t="str">
            <v>5100</v>
          </cell>
        </row>
        <row r="2067">
          <cell r="N2067" t="str">
            <v>82000</v>
          </cell>
          <cell r="O2067" t="str">
            <v>644</v>
          </cell>
          <cell r="P2067" t="str">
            <v>64482000</v>
          </cell>
          <cell r="Q2067" t="str">
            <v>5100</v>
          </cell>
        </row>
        <row r="2068">
          <cell r="N2068" t="str">
            <v>82000</v>
          </cell>
          <cell r="O2068" t="str">
            <v>!65</v>
          </cell>
          <cell r="P2068" t="str">
            <v>!6582000</v>
          </cell>
          <cell r="Q2068" t="str">
            <v>5100</v>
          </cell>
        </row>
        <row r="2069">
          <cell r="N2069" t="str">
            <v>82000</v>
          </cell>
          <cell r="O2069" t="str">
            <v>652</v>
          </cell>
          <cell r="P2069" t="str">
            <v>65282000</v>
          </cell>
          <cell r="Q2069" t="str">
            <v>5100</v>
          </cell>
        </row>
        <row r="2070">
          <cell r="N2070" t="str">
            <v>82000</v>
          </cell>
          <cell r="O2070" t="str">
            <v>656</v>
          </cell>
          <cell r="P2070" t="str">
            <v>65682000</v>
          </cell>
          <cell r="Q2070" t="str">
            <v>5100</v>
          </cell>
        </row>
        <row r="2071">
          <cell r="N2071" t="str">
            <v>82000</v>
          </cell>
          <cell r="O2071" t="str">
            <v>657</v>
          </cell>
          <cell r="P2071" t="str">
            <v>65782000</v>
          </cell>
          <cell r="Q2071" t="str">
            <v>5100</v>
          </cell>
        </row>
        <row r="2072">
          <cell r="N2072" t="str">
            <v>82000</v>
          </cell>
          <cell r="O2072" t="str">
            <v>664</v>
          </cell>
          <cell r="P2072" t="str">
            <v>66482000</v>
          </cell>
          <cell r="Q2072" t="str">
            <v>5100</v>
          </cell>
        </row>
        <row r="2073">
          <cell r="N2073" t="str">
            <v>82000</v>
          </cell>
          <cell r="O2073" t="str">
            <v>673</v>
          </cell>
          <cell r="P2073" t="str">
            <v>67382000</v>
          </cell>
          <cell r="Q2073" t="str">
            <v>5100</v>
          </cell>
        </row>
        <row r="2074">
          <cell r="N2074" t="str">
            <v>82000</v>
          </cell>
          <cell r="O2074" t="str">
            <v>69O</v>
          </cell>
          <cell r="P2074" t="str">
            <v>69O82000</v>
          </cell>
          <cell r="Q2074" t="str">
            <v>5100</v>
          </cell>
        </row>
        <row r="2075">
          <cell r="N2075" t="str">
            <v>82000</v>
          </cell>
          <cell r="O2075" t="str">
            <v>8MX</v>
          </cell>
          <cell r="P2075" t="str">
            <v>8MX82000</v>
          </cell>
          <cell r="Q2075" t="str">
            <v>5100</v>
          </cell>
        </row>
        <row r="2076">
          <cell r="N2076" t="str">
            <v>82000</v>
          </cell>
          <cell r="O2076" t="str">
            <v>861</v>
          </cell>
          <cell r="P2076" t="str">
            <v>86182000</v>
          </cell>
          <cell r="Q2076" t="str">
            <v>5100</v>
          </cell>
        </row>
        <row r="2077">
          <cell r="N2077" t="str">
            <v>82001</v>
          </cell>
          <cell r="O2077" t="str">
            <v/>
          </cell>
          <cell r="P2077" t="str">
            <v/>
          </cell>
          <cell r="Q2077" t="str">
            <v>51090</v>
          </cell>
        </row>
        <row r="2078">
          <cell r="N2078" t="str">
            <v>82001</v>
          </cell>
          <cell r="O2078" t="str">
            <v>LRA</v>
          </cell>
          <cell r="P2078" t="str">
            <v>LRA82001</v>
          </cell>
          <cell r="Q2078" t="str">
            <v>51090</v>
          </cell>
        </row>
        <row r="2079">
          <cell r="N2079" t="str">
            <v>82002</v>
          </cell>
          <cell r="O2079" t="str">
            <v/>
          </cell>
          <cell r="P2079" t="str">
            <v/>
          </cell>
          <cell r="Q2079" t="str">
            <v>5100</v>
          </cell>
        </row>
        <row r="2080">
          <cell r="N2080" t="str">
            <v>82002</v>
          </cell>
          <cell r="O2080" t="str">
            <v>111</v>
          </cell>
          <cell r="P2080" t="str">
            <v>11182002</v>
          </cell>
          <cell r="Q2080" t="str">
            <v>5100</v>
          </cell>
        </row>
        <row r="2081">
          <cell r="N2081" t="str">
            <v>82004</v>
          </cell>
          <cell r="O2081" t="str">
            <v/>
          </cell>
          <cell r="P2081" t="str">
            <v/>
          </cell>
          <cell r="Q2081" t="str">
            <v>51090</v>
          </cell>
        </row>
        <row r="2082">
          <cell r="N2082" t="str">
            <v>82004</v>
          </cell>
          <cell r="O2082" t="str">
            <v>!OA</v>
          </cell>
          <cell r="P2082" t="str">
            <v>!OA82004</v>
          </cell>
          <cell r="Q2082" t="str">
            <v>51090</v>
          </cell>
        </row>
        <row r="2083">
          <cell r="N2083" t="str">
            <v>82005</v>
          </cell>
          <cell r="O2083" t="str">
            <v/>
          </cell>
          <cell r="P2083" t="str">
            <v/>
          </cell>
          <cell r="Q2083" t="str">
            <v>51090</v>
          </cell>
        </row>
        <row r="2084">
          <cell r="N2084" t="str">
            <v>82005</v>
          </cell>
          <cell r="O2084" t="str">
            <v>!OA</v>
          </cell>
          <cell r="P2084" t="str">
            <v>!OA82005</v>
          </cell>
          <cell r="Q2084" t="str">
            <v>51090</v>
          </cell>
        </row>
        <row r="2085">
          <cell r="N2085" t="str">
            <v>82005</v>
          </cell>
          <cell r="O2085" t="str">
            <v>!OB</v>
          </cell>
          <cell r="P2085" t="str">
            <v>!OB82005</v>
          </cell>
          <cell r="Q2085" t="str">
            <v>51090</v>
          </cell>
        </row>
        <row r="2086">
          <cell r="N2086" t="str">
            <v>82005</v>
          </cell>
          <cell r="O2086" t="str">
            <v>!O6</v>
          </cell>
          <cell r="P2086" t="str">
            <v>!O682005</v>
          </cell>
          <cell r="Q2086" t="str">
            <v>51090</v>
          </cell>
        </row>
        <row r="2087">
          <cell r="N2087" t="str">
            <v>82005</v>
          </cell>
          <cell r="O2087" t="str">
            <v>!65</v>
          </cell>
          <cell r="P2087" t="str">
            <v>!6582005</v>
          </cell>
          <cell r="Q2087" t="str">
            <v>51090</v>
          </cell>
        </row>
        <row r="2088">
          <cell r="N2088" t="str">
            <v>82006</v>
          </cell>
          <cell r="O2088" t="str">
            <v/>
          </cell>
          <cell r="P2088" t="str">
            <v/>
          </cell>
          <cell r="Q2088" t="str">
            <v>5100</v>
          </cell>
        </row>
        <row r="2089">
          <cell r="N2089" t="str">
            <v>82006</v>
          </cell>
          <cell r="O2089" t="str">
            <v>!OA</v>
          </cell>
          <cell r="P2089" t="str">
            <v>!OA82006</v>
          </cell>
          <cell r="Q2089" t="str">
            <v>5100</v>
          </cell>
        </row>
        <row r="2090">
          <cell r="N2090" t="str">
            <v>82006</v>
          </cell>
          <cell r="O2090" t="str">
            <v>!OB</v>
          </cell>
          <cell r="P2090" t="str">
            <v>!OB82006</v>
          </cell>
          <cell r="Q2090" t="str">
            <v>5100</v>
          </cell>
        </row>
        <row r="2091">
          <cell r="N2091" t="str">
            <v>82006</v>
          </cell>
          <cell r="O2091" t="str">
            <v>!O6</v>
          </cell>
          <cell r="P2091" t="str">
            <v>!O682006</v>
          </cell>
          <cell r="Q2091" t="str">
            <v>5100</v>
          </cell>
        </row>
        <row r="2092">
          <cell r="N2092" t="str">
            <v>82006</v>
          </cell>
          <cell r="O2092" t="str">
            <v>!65</v>
          </cell>
          <cell r="P2092" t="str">
            <v>!6582006</v>
          </cell>
          <cell r="Q2092" t="str">
            <v>5100</v>
          </cell>
        </row>
        <row r="2093">
          <cell r="N2093" t="str">
            <v>89354</v>
          </cell>
          <cell r="O2093" t="str">
            <v/>
          </cell>
          <cell r="P2093" t="str">
            <v/>
          </cell>
          <cell r="Q2093" t="str">
            <v>4311811</v>
          </cell>
        </row>
        <row r="2094">
          <cell r="N2094" t="str">
            <v>89354</v>
          </cell>
          <cell r="O2094" t="str">
            <v>CRR</v>
          </cell>
          <cell r="P2094" t="str">
            <v>CRR89354</v>
          </cell>
          <cell r="Q2094" t="str">
            <v>4311811</v>
          </cell>
        </row>
        <row r="2095">
          <cell r="N2095" t="str">
            <v>89354</v>
          </cell>
          <cell r="O2095" t="str">
            <v>!GL</v>
          </cell>
          <cell r="P2095" t="str">
            <v>!GL89354</v>
          </cell>
          <cell r="Q2095" t="str">
            <v>4311811</v>
          </cell>
        </row>
        <row r="2096">
          <cell r="N2096" t="str">
            <v>89354</v>
          </cell>
          <cell r="O2096" t="str">
            <v>OGX</v>
          </cell>
          <cell r="P2096" t="str">
            <v>OGX89354</v>
          </cell>
          <cell r="Q2096" t="str">
            <v>4311811</v>
          </cell>
        </row>
        <row r="2097">
          <cell r="N2097" t="str">
            <v>89354</v>
          </cell>
          <cell r="O2097" t="str">
            <v>ONL</v>
          </cell>
          <cell r="P2097" t="str">
            <v>ONL89354</v>
          </cell>
          <cell r="Q2097" t="str">
            <v>4311811</v>
          </cell>
        </row>
        <row r="2098">
          <cell r="N2098" t="str">
            <v>89354</v>
          </cell>
          <cell r="O2098" t="str">
            <v>USE</v>
          </cell>
          <cell r="P2098" t="str">
            <v>USE89354</v>
          </cell>
          <cell r="Q2098" t="str">
            <v>4311811</v>
          </cell>
        </row>
        <row r="2099">
          <cell r="N2099" t="str">
            <v>89354</v>
          </cell>
          <cell r="O2099" t="str">
            <v>USZ</v>
          </cell>
          <cell r="P2099" t="str">
            <v>USZ89354</v>
          </cell>
          <cell r="Q2099" t="str">
            <v>4311811</v>
          </cell>
        </row>
        <row r="2100">
          <cell r="N2100" t="str">
            <v>89354</v>
          </cell>
          <cell r="O2100" t="str">
            <v>111</v>
          </cell>
          <cell r="P2100" t="str">
            <v>11189354</v>
          </cell>
          <cell r="Q2100" t="str">
            <v>4311811</v>
          </cell>
        </row>
        <row r="2101">
          <cell r="N2101" t="str">
            <v>89354</v>
          </cell>
          <cell r="O2101" t="str">
            <v>6F8</v>
          </cell>
          <cell r="P2101" t="str">
            <v>6F889354</v>
          </cell>
          <cell r="Q2101" t="str">
            <v>4311811</v>
          </cell>
        </row>
        <row r="2102">
          <cell r="N2102" t="str">
            <v>89354</v>
          </cell>
          <cell r="O2102" t="str">
            <v>659</v>
          </cell>
          <cell r="P2102" t="str">
            <v>65989354</v>
          </cell>
          <cell r="Q2102" t="str">
            <v>4311811</v>
          </cell>
        </row>
        <row r="2103">
          <cell r="N2103" t="str">
            <v>89354</v>
          </cell>
          <cell r="O2103" t="str">
            <v>8NI</v>
          </cell>
          <cell r="P2103" t="str">
            <v>8NI89354</v>
          </cell>
          <cell r="Q2103" t="str">
            <v>4311811</v>
          </cell>
        </row>
        <row r="2104">
          <cell r="N2104" t="str">
            <v/>
          </cell>
          <cell r="O2104" t="str">
            <v/>
          </cell>
          <cell r="P2104" t="str">
            <v/>
          </cell>
          <cell r="Q2104" t="str">
            <v/>
          </cell>
        </row>
        <row r="2105">
          <cell r="N2105" t="str">
            <v/>
          </cell>
          <cell r="O2105" t="str">
            <v/>
          </cell>
          <cell r="P2105" t="str">
            <v/>
          </cell>
          <cell r="Q2105" t="str">
            <v/>
          </cell>
        </row>
        <row r="2106">
          <cell r="N2106" t="str">
            <v>825911</v>
          </cell>
          <cell r="O2106" t="str">
            <v/>
          </cell>
          <cell r="P2106" t="str">
            <v/>
          </cell>
          <cell r="Q2106" t="str">
            <v>519399</v>
          </cell>
        </row>
        <row r="2107">
          <cell r="N2107" t="str">
            <v>825911</v>
          </cell>
          <cell r="O2107" t="str">
            <v>CRR</v>
          </cell>
          <cell r="P2107" t="str">
            <v>CRR825911</v>
          </cell>
          <cell r="Q2107" t="str">
            <v>519399</v>
          </cell>
        </row>
        <row r="2108">
          <cell r="N2108" t="str">
            <v>825911</v>
          </cell>
          <cell r="O2108" t="str">
            <v>DAU</v>
          </cell>
          <cell r="P2108" t="str">
            <v>DAU825911</v>
          </cell>
          <cell r="Q2108" t="str">
            <v>519399</v>
          </cell>
        </row>
        <row r="2109">
          <cell r="N2109" t="str">
            <v>825911</v>
          </cell>
          <cell r="O2109" t="str">
            <v>EAU</v>
          </cell>
          <cell r="P2109" t="str">
            <v>EAU825911</v>
          </cell>
          <cell r="Q2109" t="str">
            <v>519399</v>
          </cell>
        </row>
        <row r="2110">
          <cell r="N2110" t="str">
            <v>825911</v>
          </cell>
          <cell r="O2110" t="str">
            <v>LQA</v>
          </cell>
          <cell r="P2110" t="str">
            <v>LQA825911</v>
          </cell>
          <cell r="Q2110" t="str">
            <v>519399</v>
          </cell>
        </row>
        <row r="2111">
          <cell r="N2111" t="str">
            <v>825911</v>
          </cell>
          <cell r="O2111" t="str">
            <v>!MF</v>
          </cell>
          <cell r="P2111" t="str">
            <v>!MF825911</v>
          </cell>
          <cell r="Q2111" t="str">
            <v>519399</v>
          </cell>
        </row>
        <row r="2112">
          <cell r="N2112" t="str">
            <v>825911</v>
          </cell>
          <cell r="O2112" t="str">
            <v>ONL</v>
          </cell>
          <cell r="P2112" t="str">
            <v>ONL825911</v>
          </cell>
          <cell r="Q2112" t="str">
            <v>519399</v>
          </cell>
        </row>
        <row r="2113">
          <cell r="N2113" t="str">
            <v>825911</v>
          </cell>
          <cell r="O2113" t="str">
            <v>REG</v>
          </cell>
          <cell r="P2113" t="str">
            <v>REG825911</v>
          </cell>
          <cell r="Q2113" t="str">
            <v>519399</v>
          </cell>
        </row>
        <row r="2114">
          <cell r="N2114" t="str">
            <v>825911</v>
          </cell>
          <cell r="O2114" t="str">
            <v>111</v>
          </cell>
          <cell r="P2114" t="str">
            <v>111825911</v>
          </cell>
          <cell r="Q2114" t="str">
            <v>519399</v>
          </cell>
        </row>
        <row r="2115">
          <cell r="N2115" t="str">
            <v>825911</v>
          </cell>
          <cell r="O2115" t="str">
            <v>6FX</v>
          </cell>
          <cell r="P2115" t="str">
            <v>6FX825911</v>
          </cell>
          <cell r="Q2115" t="str">
            <v>519399</v>
          </cell>
        </row>
        <row r="2116">
          <cell r="N2116" t="str">
            <v>825911</v>
          </cell>
          <cell r="O2116" t="str">
            <v>61Y</v>
          </cell>
          <cell r="P2116" t="str">
            <v>61Y825911</v>
          </cell>
          <cell r="Q2116" t="str">
            <v>519399</v>
          </cell>
        </row>
        <row r="2117">
          <cell r="N2117" t="str">
            <v>825911</v>
          </cell>
          <cell r="O2117" t="str">
            <v>612</v>
          </cell>
          <cell r="P2117" t="str">
            <v>612825911</v>
          </cell>
          <cell r="Q2117" t="str">
            <v>519399</v>
          </cell>
        </row>
        <row r="2118">
          <cell r="N2118" t="str">
            <v>825911</v>
          </cell>
          <cell r="O2118" t="str">
            <v>63C</v>
          </cell>
          <cell r="P2118" t="str">
            <v>63C825911</v>
          </cell>
          <cell r="Q2118" t="str">
            <v>519399</v>
          </cell>
        </row>
        <row r="2119">
          <cell r="N2119" t="str">
            <v>825911</v>
          </cell>
          <cell r="O2119" t="str">
            <v>!65</v>
          </cell>
          <cell r="P2119" t="str">
            <v>!65825911</v>
          </cell>
          <cell r="Q2119" t="str">
            <v>519399</v>
          </cell>
        </row>
        <row r="2120">
          <cell r="N2120" t="str">
            <v>825911</v>
          </cell>
          <cell r="O2120" t="str">
            <v>8NL</v>
          </cell>
          <cell r="P2120" t="str">
            <v>8NL825911</v>
          </cell>
          <cell r="Q2120" t="str">
            <v>519399</v>
          </cell>
        </row>
        <row r="2121">
          <cell r="N2121" t="str">
            <v>825911</v>
          </cell>
          <cell r="O2121" t="str">
            <v>862</v>
          </cell>
          <cell r="P2121" t="str">
            <v>862825911</v>
          </cell>
          <cell r="Q2121" t="str">
            <v>519399</v>
          </cell>
        </row>
        <row r="2122">
          <cell r="N2122" t="str">
            <v>82591720</v>
          </cell>
          <cell r="O2122" t="str">
            <v/>
          </cell>
          <cell r="P2122" t="str">
            <v/>
          </cell>
          <cell r="Q2122" t="str">
            <v>501530470</v>
          </cell>
        </row>
        <row r="2123">
          <cell r="N2123" t="str">
            <v>82591720</v>
          </cell>
          <cell r="O2123" t="str">
            <v>612</v>
          </cell>
          <cell r="P2123" t="str">
            <v>61282591720</v>
          </cell>
          <cell r="Q2123" t="str">
            <v>501530470</v>
          </cell>
        </row>
        <row r="2124">
          <cell r="N2124" t="str">
            <v>89351</v>
          </cell>
          <cell r="O2124" t="str">
            <v/>
          </cell>
          <cell r="P2124" t="str">
            <v/>
          </cell>
          <cell r="Q2124" t="str">
            <v>4311811</v>
          </cell>
        </row>
        <row r="2125">
          <cell r="N2125" t="str">
            <v>89351</v>
          </cell>
          <cell r="O2125" t="str">
            <v>LQA</v>
          </cell>
          <cell r="P2125" t="str">
            <v>LQA89351</v>
          </cell>
          <cell r="Q2125" t="str">
            <v>4311811</v>
          </cell>
        </row>
        <row r="2126">
          <cell r="N2126" t="str">
            <v>89351</v>
          </cell>
          <cell r="O2126" t="str">
            <v>RRH</v>
          </cell>
          <cell r="P2126" t="str">
            <v>RRH89351</v>
          </cell>
          <cell r="Q2126" t="str">
            <v>4311811</v>
          </cell>
        </row>
        <row r="2127">
          <cell r="N2127" t="str">
            <v/>
          </cell>
          <cell r="O2127" t="str">
            <v/>
          </cell>
          <cell r="P2127" t="str">
            <v/>
          </cell>
          <cell r="Q2127" t="str">
            <v/>
          </cell>
        </row>
        <row r="2128">
          <cell r="N2128" t="str">
            <v/>
          </cell>
          <cell r="O2128" t="str">
            <v/>
          </cell>
          <cell r="P2128" t="str">
            <v/>
          </cell>
          <cell r="Q2128" t="str">
            <v/>
          </cell>
        </row>
        <row r="2129">
          <cell r="N2129" t="str">
            <v>825911</v>
          </cell>
          <cell r="O2129" t="str">
            <v/>
          </cell>
          <cell r="P2129" t="str">
            <v/>
          </cell>
          <cell r="Q2129" t="str">
            <v>519399</v>
          </cell>
        </row>
        <row r="2130">
          <cell r="N2130" t="str">
            <v>825911</v>
          </cell>
          <cell r="O2130" t="str">
            <v>HAV</v>
          </cell>
          <cell r="P2130" t="str">
            <v>HAV825911</v>
          </cell>
          <cell r="Q2130" t="str">
            <v>519399</v>
          </cell>
        </row>
        <row r="2131">
          <cell r="N2131" t="str">
            <v>825911</v>
          </cell>
          <cell r="O2131" t="str">
            <v>613</v>
          </cell>
          <cell r="P2131" t="str">
            <v>613825911</v>
          </cell>
          <cell r="Q2131" t="str">
            <v>519399</v>
          </cell>
        </row>
        <row r="2132">
          <cell r="N2132" t="str">
            <v>825912</v>
          </cell>
          <cell r="O2132" t="str">
            <v/>
          </cell>
          <cell r="P2132" t="str">
            <v/>
          </cell>
          <cell r="Q2132" t="str">
            <v/>
          </cell>
        </row>
        <row r="2133">
          <cell r="N2133" t="str">
            <v>825912</v>
          </cell>
          <cell r="O2133" t="str">
            <v>CEA</v>
          </cell>
          <cell r="P2133" t="str">
            <v>CEA825912</v>
          </cell>
          <cell r="Q2133" t="str">
            <v/>
          </cell>
        </row>
        <row r="2134">
          <cell r="N2134" t="str">
            <v>825912</v>
          </cell>
          <cell r="O2134" t="str">
            <v>CRE</v>
          </cell>
          <cell r="P2134" t="str">
            <v>CRE825912</v>
          </cell>
          <cell r="Q2134" t="str">
            <v/>
          </cell>
        </row>
        <row r="2135">
          <cell r="N2135" t="str">
            <v>825912</v>
          </cell>
          <cell r="O2135" t="str">
            <v>HAV</v>
          </cell>
          <cell r="P2135" t="str">
            <v>HAV825912</v>
          </cell>
          <cell r="Q2135" t="str">
            <v/>
          </cell>
        </row>
        <row r="2136">
          <cell r="N2136" t="str">
            <v>825912</v>
          </cell>
          <cell r="O2136" t="str">
            <v>ONL</v>
          </cell>
          <cell r="P2136" t="str">
            <v>ONL825912</v>
          </cell>
          <cell r="Q2136" t="str">
            <v/>
          </cell>
        </row>
        <row r="2137">
          <cell r="N2137" t="str">
            <v>825912</v>
          </cell>
          <cell r="O2137" t="str">
            <v>111</v>
          </cell>
          <cell r="P2137" t="str">
            <v>111825912</v>
          </cell>
          <cell r="Q2137" t="str">
            <v/>
          </cell>
        </row>
        <row r="2138">
          <cell r="N2138" t="str">
            <v>825912</v>
          </cell>
          <cell r="O2138" t="str">
            <v>368</v>
          </cell>
          <cell r="P2138" t="str">
            <v>368825912</v>
          </cell>
          <cell r="Q2138" t="str">
            <v/>
          </cell>
        </row>
        <row r="2139">
          <cell r="N2139" t="str">
            <v>825912</v>
          </cell>
          <cell r="O2139" t="str">
            <v>612</v>
          </cell>
          <cell r="P2139" t="str">
            <v>612825912</v>
          </cell>
          <cell r="Q2139" t="str">
            <v/>
          </cell>
        </row>
        <row r="2140">
          <cell r="N2140" t="str">
            <v>825912</v>
          </cell>
          <cell r="O2140" t="str">
            <v>613</v>
          </cell>
          <cell r="P2140" t="str">
            <v>613825912</v>
          </cell>
          <cell r="Q2140" t="str">
            <v/>
          </cell>
        </row>
        <row r="2141">
          <cell r="N2141" t="str">
            <v>825912</v>
          </cell>
          <cell r="O2141" t="str">
            <v>864</v>
          </cell>
          <cell r="P2141" t="str">
            <v>864825912</v>
          </cell>
          <cell r="Q2141" t="str">
            <v/>
          </cell>
        </row>
        <row r="2142">
          <cell r="N2142" t="str">
            <v>8259120</v>
          </cell>
          <cell r="O2142" t="str">
            <v/>
          </cell>
          <cell r="P2142" t="str">
            <v/>
          </cell>
          <cell r="Q2142" t="str">
            <v/>
          </cell>
        </row>
        <row r="2143">
          <cell r="N2143" t="str">
            <v>8259120</v>
          </cell>
          <cell r="O2143" t="str">
            <v>ONL</v>
          </cell>
          <cell r="P2143" t="str">
            <v>ONL8259120</v>
          </cell>
          <cell r="Q2143" t="str">
            <v/>
          </cell>
        </row>
        <row r="2144">
          <cell r="N2144" t="str">
            <v>8259120</v>
          </cell>
          <cell r="O2144" t="str">
            <v>612</v>
          </cell>
          <cell r="P2144" t="str">
            <v>6128259120</v>
          </cell>
          <cell r="Q2144" t="str">
            <v/>
          </cell>
        </row>
        <row r="2145">
          <cell r="N2145" t="str">
            <v>8259120</v>
          </cell>
          <cell r="O2145" t="str">
            <v>864</v>
          </cell>
          <cell r="P2145" t="str">
            <v>8648259120</v>
          </cell>
          <cell r="Q2145" t="str">
            <v/>
          </cell>
        </row>
        <row r="2146">
          <cell r="N2146" t="str">
            <v>82591200</v>
          </cell>
          <cell r="O2146" t="str">
            <v/>
          </cell>
          <cell r="P2146" t="str">
            <v/>
          </cell>
          <cell r="Q2146" t="str">
            <v>501530470</v>
          </cell>
        </row>
        <row r="2147">
          <cell r="N2147" t="str">
            <v>82591200</v>
          </cell>
          <cell r="O2147" t="str">
            <v>!N7</v>
          </cell>
          <cell r="P2147" t="str">
            <v>!N782591200</v>
          </cell>
          <cell r="Q2147" t="str">
            <v>501530470</v>
          </cell>
        </row>
        <row r="2148">
          <cell r="N2148" t="str">
            <v>82591200</v>
          </cell>
          <cell r="O2148" t="str">
            <v>ONL</v>
          </cell>
          <cell r="P2148" t="str">
            <v>ONL82591200</v>
          </cell>
          <cell r="Q2148" t="str">
            <v>501530470</v>
          </cell>
        </row>
        <row r="2149">
          <cell r="N2149" t="str">
            <v>82591200</v>
          </cell>
          <cell r="O2149" t="str">
            <v>REG</v>
          </cell>
          <cell r="P2149" t="str">
            <v>REG82591200</v>
          </cell>
          <cell r="Q2149" t="str">
            <v>501530470</v>
          </cell>
        </row>
        <row r="2150">
          <cell r="N2150" t="str">
            <v>82591200</v>
          </cell>
          <cell r="O2150" t="str">
            <v>111</v>
          </cell>
          <cell r="P2150" t="str">
            <v>11182591200</v>
          </cell>
          <cell r="Q2150" t="str">
            <v>501530470</v>
          </cell>
        </row>
        <row r="2151">
          <cell r="N2151" t="str">
            <v>82591200</v>
          </cell>
          <cell r="O2151" t="str">
            <v>612</v>
          </cell>
          <cell r="P2151" t="str">
            <v>61282591200</v>
          </cell>
          <cell r="Q2151" t="str">
            <v>501530470</v>
          </cell>
        </row>
        <row r="2152">
          <cell r="N2152" t="str">
            <v>82591200</v>
          </cell>
          <cell r="O2152" t="str">
            <v>864</v>
          </cell>
          <cell r="P2152" t="str">
            <v>86482591200</v>
          </cell>
          <cell r="Q2152" t="str">
            <v>501530470</v>
          </cell>
        </row>
        <row r="2153">
          <cell r="N2153" t="str">
            <v>82591201</v>
          </cell>
          <cell r="O2153" t="str">
            <v/>
          </cell>
          <cell r="P2153" t="str">
            <v/>
          </cell>
          <cell r="Q2153" t="str">
            <v>501530470</v>
          </cell>
        </row>
        <row r="2154">
          <cell r="N2154" t="str">
            <v>82591201</v>
          </cell>
          <cell r="O2154" t="str">
            <v>ONL</v>
          </cell>
          <cell r="P2154" t="str">
            <v>ONL82591201</v>
          </cell>
          <cell r="Q2154" t="str">
            <v>501530470</v>
          </cell>
        </row>
        <row r="2155">
          <cell r="N2155" t="str">
            <v>8259170</v>
          </cell>
          <cell r="O2155" t="str">
            <v/>
          </cell>
          <cell r="P2155" t="str">
            <v/>
          </cell>
          <cell r="Q2155" t="str">
            <v>5015305700</v>
          </cell>
        </row>
        <row r="2156">
          <cell r="N2156" t="str">
            <v>8259170</v>
          </cell>
          <cell r="O2156" t="str">
            <v>612</v>
          </cell>
          <cell r="P2156" t="str">
            <v>6128259170</v>
          </cell>
          <cell r="Q2156" t="str">
            <v>5015305700</v>
          </cell>
        </row>
        <row r="2157">
          <cell r="N2157" t="str">
            <v>82598</v>
          </cell>
          <cell r="O2157" t="str">
            <v/>
          </cell>
          <cell r="P2157" t="str">
            <v/>
          </cell>
          <cell r="Q2157" t="str">
            <v>502031047</v>
          </cell>
        </row>
        <row r="2158">
          <cell r="N2158" t="str">
            <v>82598</v>
          </cell>
          <cell r="O2158" t="str">
            <v>ONL</v>
          </cell>
          <cell r="P2158" t="str">
            <v>ONL82598</v>
          </cell>
          <cell r="Q2158" t="str">
            <v>502031047</v>
          </cell>
        </row>
        <row r="2159">
          <cell r="N2159" t="str">
            <v>82598</v>
          </cell>
          <cell r="O2159" t="str">
            <v>28S</v>
          </cell>
          <cell r="P2159" t="str">
            <v>28S82598</v>
          </cell>
          <cell r="Q2159" t="str">
            <v>502031047</v>
          </cell>
        </row>
        <row r="2160">
          <cell r="N2160" t="str">
            <v/>
          </cell>
          <cell r="O2160" t="str">
            <v/>
          </cell>
          <cell r="P2160" t="str">
            <v/>
          </cell>
          <cell r="Q2160" t="str">
            <v/>
          </cell>
        </row>
        <row r="2161">
          <cell r="N2161" t="str">
            <v>825912</v>
          </cell>
          <cell r="O2161" t="str">
            <v/>
          </cell>
          <cell r="P2161" t="str">
            <v/>
          </cell>
          <cell r="Q2161" t="str">
            <v/>
          </cell>
        </row>
        <row r="2162">
          <cell r="N2162" t="str">
            <v>825912</v>
          </cell>
          <cell r="O2162" t="str">
            <v>6ID</v>
          </cell>
          <cell r="P2162" t="str">
            <v>6ID825912</v>
          </cell>
          <cell r="Q2162" t="str">
            <v/>
          </cell>
        </row>
        <row r="2163">
          <cell r="N2163" t="str">
            <v>8259120</v>
          </cell>
          <cell r="O2163" t="str">
            <v/>
          </cell>
          <cell r="P2163" t="str">
            <v/>
          </cell>
          <cell r="Q2163" t="str">
            <v/>
          </cell>
        </row>
        <row r="2164">
          <cell r="N2164" t="str">
            <v>8259120</v>
          </cell>
          <cell r="O2164" t="str">
            <v>6ID</v>
          </cell>
          <cell r="P2164" t="str">
            <v>6ID8259120</v>
          </cell>
          <cell r="Q2164" t="str">
            <v/>
          </cell>
        </row>
        <row r="2165">
          <cell r="N2165" t="str">
            <v/>
          </cell>
          <cell r="O2165" t="str">
            <v/>
          </cell>
          <cell r="P2165" t="str">
            <v/>
          </cell>
          <cell r="Q2165" t="str">
            <v/>
          </cell>
        </row>
        <row r="2166">
          <cell r="N2166" t="str">
            <v/>
          </cell>
          <cell r="O2166" t="str">
            <v/>
          </cell>
          <cell r="P2166" t="str">
            <v/>
          </cell>
          <cell r="Q2166" t="str">
            <v/>
          </cell>
        </row>
        <row r="2167">
          <cell r="N2167" t="str">
            <v>8259142</v>
          </cell>
          <cell r="O2167" t="str">
            <v/>
          </cell>
          <cell r="P2167" t="str">
            <v/>
          </cell>
          <cell r="Q2167" t="str">
            <v/>
          </cell>
        </row>
        <row r="2168">
          <cell r="N2168" t="str">
            <v>8259142</v>
          </cell>
          <cell r="O2168" t="str">
            <v>ECV</v>
          </cell>
          <cell r="P2168" t="str">
            <v>ECV8259142</v>
          </cell>
          <cell r="Q2168" t="str">
            <v/>
          </cell>
        </row>
        <row r="2169">
          <cell r="N2169" t="str">
            <v>8259142</v>
          </cell>
          <cell r="O2169" t="str">
            <v>681</v>
          </cell>
          <cell r="P2169" t="str">
            <v>6818259142</v>
          </cell>
          <cell r="Q2169" t="str">
            <v/>
          </cell>
        </row>
        <row r="2170">
          <cell r="N2170" t="str">
            <v>82591420</v>
          </cell>
          <cell r="O2170" t="str">
            <v/>
          </cell>
          <cell r="P2170" t="str">
            <v/>
          </cell>
          <cell r="Q2170" t="str">
            <v>501530500</v>
          </cell>
        </row>
        <row r="2171">
          <cell r="N2171" t="str">
            <v>82591420</v>
          </cell>
          <cell r="O2171" t="str">
            <v>ECV</v>
          </cell>
          <cell r="P2171" t="str">
            <v>ECV82591420</v>
          </cell>
          <cell r="Q2171" t="str">
            <v>501530500</v>
          </cell>
        </row>
        <row r="2172">
          <cell r="N2172" t="str">
            <v>82591420</v>
          </cell>
          <cell r="O2172" t="str">
            <v>681</v>
          </cell>
          <cell r="P2172" t="str">
            <v>68182591420</v>
          </cell>
          <cell r="Q2172" t="str">
            <v>501530500</v>
          </cell>
        </row>
        <row r="2173">
          <cell r="N2173" t="str">
            <v>8259146</v>
          </cell>
          <cell r="O2173" t="str">
            <v/>
          </cell>
          <cell r="P2173" t="str">
            <v/>
          </cell>
          <cell r="Q2173" t="str">
            <v/>
          </cell>
        </row>
        <row r="2174">
          <cell r="N2174" t="str">
            <v>8259146</v>
          </cell>
          <cell r="O2174" t="str">
            <v>61V</v>
          </cell>
          <cell r="P2174" t="str">
            <v>61V8259146</v>
          </cell>
          <cell r="Q2174" t="str">
            <v/>
          </cell>
        </row>
        <row r="2175">
          <cell r="N2175" t="str">
            <v>82591460</v>
          </cell>
          <cell r="O2175" t="str">
            <v/>
          </cell>
          <cell r="P2175" t="str">
            <v/>
          </cell>
          <cell r="Q2175" t="str">
            <v>501530470</v>
          </cell>
        </row>
        <row r="2176">
          <cell r="N2176" t="str">
            <v>82591460</v>
          </cell>
          <cell r="O2176" t="str">
            <v>CVO</v>
          </cell>
          <cell r="P2176" t="str">
            <v>CVO82591460</v>
          </cell>
          <cell r="Q2176" t="str">
            <v>501530470</v>
          </cell>
        </row>
        <row r="2177">
          <cell r="N2177" t="str">
            <v>82591460</v>
          </cell>
          <cell r="O2177" t="str">
            <v>61V</v>
          </cell>
          <cell r="P2177" t="str">
            <v>61V82591460</v>
          </cell>
          <cell r="Q2177" t="str">
            <v>501530470</v>
          </cell>
        </row>
        <row r="2178">
          <cell r="N2178" t="str">
            <v>82591720</v>
          </cell>
          <cell r="O2178" t="str">
            <v/>
          </cell>
          <cell r="P2178" t="str">
            <v/>
          </cell>
          <cell r="Q2178" t="str">
            <v>501530470</v>
          </cell>
        </row>
        <row r="2179">
          <cell r="N2179" t="str">
            <v>82591720</v>
          </cell>
          <cell r="O2179" t="str">
            <v>61V</v>
          </cell>
          <cell r="P2179" t="str">
            <v>61V82591720</v>
          </cell>
          <cell r="Q2179" t="str">
            <v>501530470</v>
          </cell>
        </row>
        <row r="2180">
          <cell r="N2180" t="str">
            <v/>
          </cell>
          <cell r="O2180" t="str">
            <v/>
          </cell>
          <cell r="P2180" t="str">
            <v/>
          </cell>
          <cell r="Q2180" t="str">
            <v/>
          </cell>
        </row>
        <row r="2181">
          <cell r="N2181" t="str">
            <v>82591460</v>
          </cell>
          <cell r="O2181" t="str">
            <v/>
          </cell>
          <cell r="P2181" t="str">
            <v/>
          </cell>
          <cell r="Q2181" t="str">
            <v>501530470</v>
          </cell>
        </row>
        <row r="2182">
          <cell r="N2182" t="str">
            <v>82591460</v>
          </cell>
          <cell r="O2182" t="str">
            <v>ONL</v>
          </cell>
          <cell r="P2182" t="str">
            <v>ONL82591460</v>
          </cell>
          <cell r="Q2182" t="str">
            <v>501530470</v>
          </cell>
        </row>
        <row r="2183">
          <cell r="N2183" t="str">
            <v>82591460</v>
          </cell>
          <cell r="O2183" t="str">
            <v>6IG</v>
          </cell>
          <cell r="P2183" t="str">
            <v>6IG82591460</v>
          </cell>
          <cell r="Q2183" t="str">
            <v>501530470</v>
          </cell>
        </row>
        <row r="2184">
          <cell r="N2184" t="str">
            <v>82591720</v>
          </cell>
          <cell r="O2184" t="str">
            <v/>
          </cell>
          <cell r="P2184" t="str">
            <v/>
          </cell>
          <cell r="Q2184" t="str">
            <v>501530470</v>
          </cell>
        </row>
        <row r="2185">
          <cell r="N2185" t="str">
            <v>82591720</v>
          </cell>
          <cell r="O2185" t="str">
            <v>6IG</v>
          </cell>
          <cell r="P2185" t="str">
            <v>6IG82591720</v>
          </cell>
          <cell r="Q2185" t="str">
            <v>501530470</v>
          </cell>
        </row>
        <row r="2186">
          <cell r="N2186" t="str">
            <v/>
          </cell>
          <cell r="O2186" t="str">
            <v/>
          </cell>
          <cell r="P2186" t="str">
            <v/>
          </cell>
          <cell r="Q2186" t="str">
            <v/>
          </cell>
        </row>
        <row r="2187">
          <cell r="N2187" t="str">
            <v/>
          </cell>
          <cell r="O2187" t="str">
            <v/>
          </cell>
          <cell r="P2187" t="str">
            <v/>
          </cell>
          <cell r="Q2187" t="str">
            <v/>
          </cell>
        </row>
        <row r="2188">
          <cell r="N2188" t="str">
            <v>7169502</v>
          </cell>
          <cell r="O2188" t="str">
            <v/>
          </cell>
          <cell r="P2188" t="str">
            <v/>
          </cell>
          <cell r="Q2188" t="str">
            <v>41610</v>
          </cell>
        </row>
        <row r="2189">
          <cell r="N2189" t="str">
            <v>7169502</v>
          </cell>
          <cell r="O2189" t="str">
            <v>L01</v>
          </cell>
          <cell r="P2189" t="str">
            <v>L017169502</v>
          </cell>
          <cell r="Q2189" t="str">
            <v>41610</v>
          </cell>
        </row>
        <row r="2190">
          <cell r="N2190" t="str">
            <v>7169502</v>
          </cell>
          <cell r="O2190" t="str">
            <v>ONL</v>
          </cell>
          <cell r="P2190" t="str">
            <v>ONL7169502</v>
          </cell>
          <cell r="Q2190" t="str">
            <v>41610</v>
          </cell>
        </row>
        <row r="2191">
          <cell r="N2191" t="str">
            <v>779501</v>
          </cell>
          <cell r="O2191" t="str">
            <v/>
          </cell>
          <cell r="P2191" t="str">
            <v/>
          </cell>
          <cell r="Q2191" t="str">
            <v>4161599</v>
          </cell>
        </row>
        <row r="2192">
          <cell r="N2192" t="str">
            <v>779501</v>
          </cell>
          <cell r="O2192" t="str">
            <v>L01</v>
          </cell>
          <cell r="P2192" t="str">
            <v>L01779501</v>
          </cell>
          <cell r="Q2192" t="str">
            <v>4161599</v>
          </cell>
        </row>
        <row r="2193">
          <cell r="N2193" t="str">
            <v>779501</v>
          </cell>
          <cell r="O2193" t="str">
            <v>ONL</v>
          </cell>
          <cell r="P2193" t="str">
            <v>ONL779501</v>
          </cell>
          <cell r="Q2193" t="str">
            <v>4161599</v>
          </cell>
        </row>
        <row r="2194">
          <cell r="N2194" t="str">
            <v>779501</v>
          </cell>
          <cell r="O2194" t="str">
            <v>REG</v>
          </cell>
          <cell r="P2194" t="str">
            <v>REG779501</v>
          </cell>
          <cell r="Q2194" t="str">
            <v>4161599</v>
          </cell>
        </row>
        <row r="2195">
          <cell r="N2195" t="str">
            <v>779501</v>
          </cell>
          <cell r="O2195" t="str">
            <v>TL5</v>
          </cell>
          <cell r="P2195" t="str">
            <v>TL5779501</v>
          </cell>
          <cell r="Q2195" t="str">
            <v>4161599</v>
          </cell>
        </row>
        <row r="2196">
          <cell r="N2196" t="str">
            <v>779501</v>
          </cell>
          <cell r="O2196" t="str">
            <v>111</v>
          </cell>
          <cell r="P2196" t="str">
            <v>111779501</v>
          </cell>
          <cell r="Q2196" t="str">
            <v>4161599</v>
          </cell>
        </row>
        <row r="2197">
          <cell r="N2197" t="str">
            <v>77951</v>
          </cell>
          <cell r="O2197" t="str">
            <v/>
          </cell>
          <cell r="P2197" t="str">
            <v/>
          </cell>
          <cell r="Q2197" t="str">
            <v>4161599</v>
          </cell>
        </row>
        <row r="2198">
          <cell r="N2198" t="str">
            <v>77951</v>
          </cell>
          <cell r="O2198" t="str">
            <v>L01</v>
          </cell>
          <cell r="P2198" t="str">
            <v>L0177951</v>
          </cell>
          <cell r="Q2198" t="str">
            <v>4161599</v>
          </cell>
        </row>
        <row r="2199">
          <cell r="N2199" t="str">
            <v>77951</v>
          </cell>
          <cell r="O2199" t="str">
            <v>ONL</v>
          </cell>
          <cell r="P2199" t="str">
            <v>ONL77951</v>
          </cell>
          <cell r="Q2199" t="str">
            <v>4161599</v>
          </cell>
        </row>
        <row r="2200">
          <cell r="N2200" t="str">
            <v>77951</v>
          </cell>
          <cell r="O2200" t="str">
            <v>REG</v>
          </cell>
          <cell r="P2200" t="str">
            <v>REG77951</v>
          </cell>
          <cell r="Q2200" t="str">
            <v>4161599</v>
          </cell>
        </row>
        <row r="2201">
          <cell r="N2201" t="str">
            <v>77951</v>
          </cell>
          <cell r="O2201" t="str">
            <v>111</v>
          </cell>
          <cell r="P2201" t="str">
            <v>11177951</v>
          </cell>
          <cell r="Q2201" t="str">
            <v>4161599</v>
          </cell>
        </row>
        <row r="2202">
          <cell r="N2202" t="str">
            <v>825100</v>
          </cell>
          <cell r="O2202" t="str">
            <v/>
          </cell>
          <cell r="P2202" t="str">
            <v/>
          </cell>
          <cell r="Q2202" t="str">
            <v/>
          </cell>
        </row>
        <row r="2203">
          <cell r="N2203" t="str">
            <v>825100</v>
          </cell>
          <cell r="O2203" t="str">
            <v>CDZ</v>
          </cell>
          <cell r="P2203" t="str">
            <v>CDZ825100</v>
          </cell>
          <cell r="Q2203" t="str">
            <v/>
          </cell>
        </row>
        <row r="2204">
          <cell r="N2204" t="str">
            <v>825100</v>
          </cell>
          <cell r="O2204" t="str">
            <v>ONL</v>
          </cell>
          <cell r="P2204" t="str">
            <v>ONL825100</v>
          </cell>
          <cell r="Q2204" t="str">
            <v/>
          </cell>
        </row>
        <row r="2205">
          <cell r="N2205" t="str">
            <v>825100</v>
          </cell>
          <cell r="O2205" t="str">
            <v>REG</v>
          </cell>
          <cell r="P2205" t="str">
            <v>REG825100</v>
          </cell>
          <cell r="Q2205" t="str">
            <v/>
          </cell>
        </row>
        <row r="2206">
          <cell r="N2206" t="str">
            <v>825100</v>
          </cell>
          <cell r="O2206" t="str">
            <v>111</v>
          </cell>
          <cell r="P2206" t="str">
            <v>111825100</v>
          </cell>
          <cell r="Q2206" t="str">
            <v/>
          </cell>
        </row>
        <row r="2207">
          <cell r="N2207" t="str">
            <v>8251000</v>
          </cell>
          <cell r="O2207" t="str">
            <v/>
          </cell>
          <cell r="P2207" t="str">
            <v/>
          </cell>
          <cell r="Q2207" t="str">
            <v>501530430</v>
          </cell>
        </row>
        <row r="2208">
          <cell r="N2208" t="str">
            <v>8251000</v>
          </cell>
          <cell r="O2208" t="str">
            <v>111</v>
          </cell>
          <cell r="P2208" t="str">
            <v>1118251000</v>
          </cell>
          <cell r="Q2208" t="str">
            <v>501530430</v>
          </cell>
        </row>
        <row r="2209">
          <cell r="N2209" t="str">
            <v>8251001</v>
          </cell>
          <cell r="O2209" t="str">
            <v/>
          </cell>
          <cell r="P2209" t="str">
            <v/>
          </cell>
          <cell r="Q2209" t="str">
            <v>51510</v>
          </cell>
        </row>
        <row r="2210">
          <cell r="N2210" t="str">
            <v>8251001</v>
          </cell>
          <cell r="O2210" t="str">
            <v>EF4</v>
          </cell>
          <cell r="P2210" t="str">
            <v>EF48251001</v>
          </cell>
          <cell r="Q2210" t="str">
            <v>51510</v>
          </cell>
        </row>
        <row r="2211">
          <cell r="N2211" t="str">
            <v>8251001</v>
          </cell>
          <cell r="O2211" t="str">
            <v>ONL</v>
          </cell>
          <cell r="P2211" t="str">
            <v>ONL8251001</v>
          </cell>
          <cell r="Q2211" t="str">
            <v>51510</v>
          </cell>
        </row>
        <row r="2212">
          <cell r="N2212" t="str">
            <v>825101</v>
          </cell>
          <cell r="O2212" t="str">
            <v/>
          </cell>
          <cell r="P2212" t="str">
            <v/>
          </cell>
          <cell r="Q2212" t="str">
            <v>51510</v>
          </cell>
        </row>
        <row r="2213">
          <cell r="N2213" t="str">
            <v>825101</v>
          </cell>
          <cell r="O2213" t="str">
            <v>ONL</v>
          </cell>
          <cell r="P2213" t="str">
            <v>ONL825101</v>
          </cell>
          <cell r="Q2213" t="str">
            <v>51510</v>
          </cell>
        </row>
        <row r="2214">
          <cell r="N2214" t="str">
            <v>825101</v>
          </cell>
          <cell r="O2214" t="str">
            <v>REG</v>
          </cell>
          <cell r="P2214" t="str">
            <v>REG825101</v>
          </cell>
          <cell r="Q2214" t="str">
            <v>51510</v>
          </cell>
        </row>
        <row r="2215">
          <cell r="N2215" t="str">
            <v>825101</v>
          </cell>
          <cell r="O2215" t="str">
            <v>111</v>
          </cell>
          <cell r="P2215" t="str">
            <v>111825101</v>
          </cell>
          <cell r="Q2215" t="str">
            <v>51510</v>
          </cell>
        </row>
        <row r="2216">
          <cell r="N2216" t="str">
            <v>82592</v>
          </cell>
          <cell r="O2216" t="str">
            <v/>
          </cell>
          <cell r="P2216" t="str">
            <v/>
          </cell>
          <cell r="Q2216" t="str">
            <v/>
          </cell>
        </row>
        <row r="2217">
          <cell r="N2217" t="str">
            <v>82592</v>
          </cell>
          <cell r="O2217" t="str">
            <v>DEF</v>
          </cell>
          <cell r="P2217" t="str">
            <v>DEF82592</v>
          </cell>
          <cell r="Q2217" t="str">
            <v/>
          </cell>
        </row>
        <row r="2218">
          <cell r="N2218" t="str">
            <v>82592</v>
          </cell>
          <cell r="O2218" t="str">
            <v>EF3</v>
          </cell>
          <cell r="P2218" t="str">
            <v>EF382592</v>
          </cell>
          <cell r="Q2218" t="str">
            <v/>
          </cell>
        </row>
        <row r="2219">
          <cell r="N2219" t="str">
            <v>82592</v>
          </cell>
          <cell r="O2219" t="str">
            <v>EF6</v>
          </cell>
          <cell r="P2219" t="str">
            <v>EF682592</v>
          </cell>
          <cell r="Q2219" t="str">
            <v/>
          </cell>
        </row>
        <row r="2220">
          <cell r="N2220" t="str">
            <v>82592</v>
          </cell>
          <cell r="O2220" t="str">
            <v>TRP</v>
          </cell>
          <cell r="P2220" t="str">
            <v>TRP82592</v>
          </cell>
          <cell r="Q2220" t="str">
            <v/>
          </cell>
        </row>
        <row r="2221">
          <cell r="N2221" t="str">
            <v>82592</v>
          </cell>
          <cell r="O2221" t="str">
            <v>2DE</v>
          </cell>
          <cell r="P2221" t="str">
            <v>2DE82592</v>
          </cell>
          <cell r="Q2221" t="str">
            <v/>
          </cell>
        </row>
        <row r="2222">
          <cell r="N2222" t="str">
            <v>825920</v>
          </cell>
          <cell r="O2222" t="str">
            <v/>
          </cell>
          <cell r="P2222" t="str">
            <v/>
          </cell>
          <cell r="Q2222" t="str">
            <v>519399</v>
          </cell>
        </row>
        <row r="2223">
          <cell r="N2223" t="str">
            <v>825920</v>
          </cell>
          <cell r="O2223" t="str">
            <v>DEF</v>
          </cell>
          <cell r="P2223" t="str">
            <v>DEF825920</v>
          </cell>
          <cell r="Q2223" t="str">
            <v>519399</v>
          </cell>
        </row>
        <row r="2224">
          <cell r="N2224" t="str">
            <v>825920</v>
          </cell>
          <cell r="O2224" t="str">
            <v>EF3</v>
          </cell>
          <cell r="P2224" t="str">
            <v>EF3825920</v>
          </cell>
          <cell r="Q2224" t="str">
            <v>519399</v>
          </cell>
        </row>
        <row r="2225">
          <cell r="N2225" t="str">
            <v>825920</v>
          </cell>
          <cell r="O2225" t="str">
            <v>EF4</v>
          </cell>
          <cell r="P2225" t="str">
            <v>EF4825920</v>
          </cell>
          <cell r="Q2225" t="str">
            <v>519399</v>
          </cell>
        </row>
        <row r="2226">
          <cell r="N2226" t="str">
            <v>825920</v>
          </cell>
          <cell r="O2226" t="str">
            <v>EF6</v>
          </cell>
          <cell r="P2226" t="str">
            <v>EF6825920</v>
          </cell>
          <cell r="Q2226" t="str">
            <v>519399</v>
          </cell>
        </row>
        <row r="2227">
          <cell r="N2227" t="str">
            <v>825920</v>
          </cell>
          <cell r="O2227" t="str">
            <v>ONL</v>
          </cell>
          <cell r="P2227" t="str">
            <v>ONL825920</v>
          </cell>
          <cell r="Q2227" t="str">
            <v>519399</v>
          </cell>
        </row>
        <row r="2228">
          <cell r="N2228" t="str">
            <v>825920</v>
          </cell>
          <cell r="O2228" t="str">
            <v>REG</v>
          </cell>
          <cell r="P2228" t="str">
            <v>REG825920</v>
          </cell>
          <cell r="Q2228" t="str">
            <v>519399</v>
          </cell>
        </row>
        <row r="2229">
          <cell r="N2229" t="str">
            <v>825920</v>
          </cell>
          <cell r="O2229" t="str">
            <v>TRE</v>
          </cell>
          <cell r="P2229" t="str">
            <v>TRE825920</v>
          </cell>
          <cell r="Q2229" t="str">
            <v>519399</v>
          </cell>
        </row>
        <row r="2230">
          <cell r="N2230" t="str">
            <v>825920</v>
          </cell>
          <cell r="O2230" t="str">
            <v>TRP</v>
          </cell>
          <cell r="P2230" t="str">
            <v>TRP825920</v>
          </cell>
          <cell r="Q2230" t="str">
            <v>519399</v>
          </cell>
        </row>
        <row r="2231">
          <cell r="N2231" t="str">
            <v>825920</v>
          </cell>
          <cell r="O2231" t="str">
            <v>111</v>
          </cell>
          <cell r="P2231" t="str">
            <v>111825920</v>
          </cell>
          <cell r="Q2231" t="str">
            <v>519399</v>
          </cell>
        </row>
        <row r="2232">
          <cell r="N2232" t="str">
            <v>825920</v>
          </cell>
          <cell r="O2232" t="str">
            <v>2DE</v>
          </cell>
          <cell r="P2232" t="str">
            <v>2DE825920</v>
          </cell>
          <cell r="Q2232" t="str">
            <v>519399</v>
          </cell>
        </row>
        <row r="2233">
          <cell r="N2233" t="str">
            <v>825921</v>
          </cell>
          <cell r="O2233" t="str">
            <v/>
          </cell>
          <cell r="P2233" t="str">
            <v/>
          </cell>
          <cell r="Q2233" t="str">
            <v>519399</v>
          </cell>
        </row>
        <row r="2234">
          <cell r="N2234" t="str">
            <v>825921</v>
          </cell>
          <cell r="O2234" t="str">
            <v>EF3</v>
          </cell>
          <cell r="P2234" t="str">
            <v>EF3825921</v>
          </cell>
          <cell r="Q2234" t="str">
            <v>519399</v>
          </cell>
        </row>
        <row r="2235">
          <cell r="N2235" t="str">
            <v>825921</v>
          </cell>
          <cell r="O2235" t="str">
            <v>EF4</v>
          </cell>
          <cell r="P2235" t="str">
            <v>EF4825921</v>
          </cell>
          <cell r="Q2235" t="str">
            <v>519399</v>
          </cell>
        </row>
        <row r="2236">
          <cell r="N2236" t="str">
            <v>825921</v>
          </cell>
          <cell r="O2236" t="str">
            <v>E6F</v>
          </cell>
          <cell r="P2236" t="str">
            <v>E6F825921</v>
          </cell>
          <cell r="Q2236" t="str">
            <v>519399</v>
          </cell>
        </row>
        <row r="2237">
          <cell r="N2237" t="str">
            <v>825921</v>
          </cell>
          <cell r="O2237" t="str">
            <v>ONL</v>
          </cell>
          <cell r="P2237" t="str">
            <v>ONL825921</v>
          </cell>
          <cell r="Q2237" t="str">
            <v>519399</v>
          </cell>
        </row>
        <row r="2238">
          <cell r="N2238" t="str">
            <v>825921</v>
          </cell>
          <cell r="O2238" t="str">
            <v>111</v>
          </cell>
          <cell r="P2238" t="str">
            <v>111825921</v>
          </cell>
          <cell r="Q2238" t="str">
            <v>519399</v>
          </cell>
        </row>
        <row r="2239">
          <cell r="N2239" t="str">
            <v>825929</v>
          </cell>
          <cell r="O2239" t="str">
            <v/>
          </cell>
          <cell r="P2239" t="str">
            <v/>
          </cell>
          <cell r="Q2239" t="str">
            <v/>
          </cell>
        </row>
        <row r="2240">
          <cell r="N2240" t="str">
            <v>825929</v>
          </cell>
          <cell r="O2240" t="str">
            <v>DEF</v>
          </cell>
          <cell r="P2240" t="str">
            <v>DEF825929</v>
          </cell>
          <cell r="Q2240" t="str">
            <v/>
          </cell>
        </row>
        <row r="2241">
          <cell r="N2241" t="str">
            <v>825929</v>
          </cell>
          <cell r="O2241" t="str">
            <v>EF6</v>
          </cell>
          <cell r="P2241" t="str">
            <v>EF6825929</v>
          </cell>
          <cell r="Q2241" t="str">
            <v/>
          </cell>
        </row>
        <row r="2242">
          <cell r="N2242" t="str">
            <v>825929</v>
          </cell>
          <cell r="O2242" t="str">
            <v>ONL</v>
          </cell>
          <cell r="P2242" t="str">
            <v>ONL825929</v>
          </cell>
          <cell r="Q2242" t="str">
            <v/>
          </cell>
        </row>
        <row r="2243">
          <cell r="N2243" t="str">
            <v>825929</v>
          </cell>
          <cell r="O2243" t="str">
            <v>TRE</v>
          </cell>
          <cell r="P2243" t="str">
            <v>TRE825929</v>
          </cell>
          <cell r="Q2243" t="str">
            <v/>
          </cell>
        </row>
        <row r="2244">
          <cell r="N2244" t="str">
            <v>825929</v>
          </cell>
          <cell r="O2244" t="str">
            <v>111</v>
          </cell>
          <cell r="P2244" t="str">
            <v>111825929</v>
          </cell>
          <cell r="Q2244" t="str">
            <v/>
          </cell>
        </row>
        <row r="2245">
          <cell r="N2245" t="str">
            <v>825929</v>
          </cell>
          <cell r="O2245" t="str">
            <v>2DE</v>
          </cell>
          <cell r="P2245" t="str">
            <v>2DE825929</v>
          </cell>
          <cell r="Q2245" t="str">
            <v/>
          </cell>
        </row>
        <row r="2246">
          <cell r="N2246" t="str">
            <v>8931</v>
          </cell>
          <cell r="O2246" t="str">
            <v/>
          </cell>
          <cell r="P2246" t="str">
            <v/>
          </cell>
          <cell r="Q2246" t="str">
            <v>550811</v>
          </cell>
        </row>
        <row r="2247">
          <cell r="N2247" t="str">
            <v>8931</v>
          </cell>
          <cell r="O2247" t="str">
            <v>CEL</v>
          </cell>
          <cell r="P2247" t="str">
            <v>CEL8931</v>
          </cell>
          <cell r="Q2247" t="str">
            <v>550811</v>
          </cell>
        </row>
        <row r="2248">
          <cell r="N2248" t="str">
            <v>8931</v>
          </cell>
          <cell r="O2248" t="str">
            <v>EC2</v>
          </cell>
          <cell r="P2248" t="str">
            <v>EC28931</v>
          </cell>
          <cell r="Q2248" t="str">
            <v>550811</v>
          </cell>
        </row>
        <row r="2249">
          <cell r="N2249" t="str">
            <v>8931</v>
          </cell>
          <cell r="O2249" t="str">
            <v>EF6</v>
          </cell>
          <cell r="P2249" t="str">
            <v>EF68931</v>
          </cell>
          <cell r="Q2249" t="str">
            <v>550811</v>
          </cell>
        </row>
        <row r="2250">
          <cell r="N2250" t="str">
            <v>8931</v>
          </cell>
          <cell r="O2250" t="str">
            <v>ONL</v>
          </cell>
          <cell r="P2250" t="str">
            <v>ONL8931</v>
          </cell>
          <cell r="Q2250" t="str">
            <v>550811</v>
          </cell>
        </row>
        <row r="2251">
          <cell r="N2251" t="str">
            <v>89342</v>
          </cell>
          <cell r="O2251" t="str">
            <v/>
          </cell>
          <cell r="P2251" t="str">
            <v/>
          </cell>
          <cell r="Q2251" t="str">
            <v>431111</v>
          </cell>
        </row>
        <row r="2252">
          <cell r="N2252" t="str">
            <v>89342</v>
          </cell>
          <cell r="O2252" t="str">
            <v>EDX</v>
          </cell>
          <cell r="P2252" t="str">
            <v>EDX89342</v>
          </cell>
          <cell r="Q2252" t="str">
            <v>431111</v>
          </cell>
        </row>
        <row r="2253">
          <cell r="N2253" t="str">
            <v>89342</v>
          </cell>
          <cell r="O2253" t="str">
            <v>ED1</v>
          </cell>
          <cell r="P2253" t="str">
            <v>ED189342</v>
          </cell>
          <cell r="Q2253" t="str">
            <v>431111</v>
          </cell>
        </row>
        <row r="2254">
          <cell r="N2254" t="str">
            <v>89342</v>
          </cell>
          <cell r="O2254" t="str">
            <v>JM3</v>
          </cell>
          <cell r="P2254" t="str">
            <v>JM389342</v>
          </cell>
          <cell r="Q2254" t="str">
            <v>431111</v>
          </cell>
        </row>
        <row r="2255">
          <cell r="N2255" t="str">
            <v>89343</v>
          </cell>
          <cell r="O2255" t="str">
            <v/>
          </cell>
          <cell r="P2255" t="str">
            <v/>
          </cell>
          <cell r="Q2255" t="str">
            <v>431110</v>
          </cell>
        </row>
        <row r="2256">
          <cell r="N2256" t="str">
            <v>89343</v>
          </cell>
          <cell r="O2256" t="str">
            <v>TL6</v>
          </cell>
          <cell r="P2256" t="str">
            <v>TL689343</v>
          </cell>
          <cell r="Q2256" t="str">
            <v>431110</v>
          </cell>
        </row>
        <row r="2257">
          <cell r="N2257" t="str">
            <v>89351</v>
          </cell>
          <cell r="O2257" t="str">
            <v/>
          </cell>
          <cell r="P2257" t="str">
            <v/>
          </cell>
          <cell r="Q2257" t="str">
            <v>4311811</v>
          </cell>
        </row>
        <row r="2258">
          <cell r="N2258" t="str">
            <v>89351</v>
          </cell>
          <cell r="O2258" t="str">
            <v>C6R</v>
          </cell>
          <cell r="P2258" t="str">
            <v>C6R89351</v>
          </cell>
          <cell r="Q2258" t="str">
            <v>4311811</v>
          </cell>
        </row>
        <row r="2259">
          <cell r="N2259" t="str">
            <v>89351</v>
          </cell>
          <cell r="O2259" t="str">
            <v>045</v>
          </cell>
          <cell r="P2259" t="str">
            <v>04589351</v>
          </cell>
          <cell r="Q2259" t="str">
            <v>4311811</v>
          </cell>
        </row>
        <row r="2260">
          <cell r="N2260" t="str">
            <v>8938</v>
          </cell>
          <cell r="O2260" t="str">
            <v/>
          </cell>
          <cell r="P2260" t="str">
            <v/>
          </cell>
          <cell r="Q2260" t="str">
            <v/>
          </cell>
        </row>
        <row r="2261">
          <cell r="N2261" t="str">
            <v>8938</v>
          </cell>
          <cell r="O2261" t="str">
            <v>CDE</v>
          </cell>
          <cell r="P2261" t="str">
            <v>CDE8938</v>
          </cell>
          <cell r="Q2261" t="str">
            <v/>
          </cell>
        </row>
        <row r="2262">
          <cell r="N2262" t="str">
            <v>8939</v>
          </cell>
          <cell r="O2262" t="str">
            <v/>
          </cell>
          <cell r="P2262" t="str">
            <v/>
          </cell>
          <cell r="Q2262" t="str">
            <v/>
          </cell>
        </row>
        <row r="2263">
          <cell r="N2263" t="str">
            <v>8939</v>
          </cell>
          <cell r="O2263" t="str">
            <v>CDE</v>
          </cell>
          <cell r="P2263" t="str">
            <v>CDE8939</v>
          </cell>
          <cell r="Q2263" t="str">
            <v/>
          </cell>
        </row>
        <row r="2264">
          <cell r="N2264" t="str">
            <v>8999</v>
          </cell>
          <cell r="O2264" t="str">
            <v/>
          </cell>
          <cell r="P2264" t="str">
            <v/>
          </cell>
          <cell r="Q2264" t="str">
            <v/>
          </cell>
        </row>
        <row r="2265">
          <cell r="N2265" t="str">
            <v>8999</v>
          </cell>
          <cell r="O2265" t="str">
            <v>ED1</v>
          </cell>
          <cell r="P2265" t="str">
            <v>ED18999</v>
          </cell>
          <cell r="Q2265" t="str">
            <v/>
          </cell>
        </row>
        <row r="2266">
          <cell r="N2266" t="str">
            <v/>
          </cell>
          <cell r="O2266" t="str">
            <v/>
          </cell>
          <cell r="P2266" t="str">
            <v/>
          </cell>
          <cell r="Q2266" t="str">
            <v/>
          </cell>
        </row>
        <row r="2267">
          <cell r="N2267" t="str">
            <v>825919</v>
          </cell>
          <cell r="O2267" t="str">
            <v/>
          </cell>
          <cell r="P2267" t="str">
            <v/>
          </cell>
          <cell r="Q2267" t="str">
            <v>519399</v>
          </cell>
        </row>
        <row r="2268">
          <cell r="N2268" t="str">
            <v>825919</v>
          </cell>
          <cell r="O2268" t="str">
            <v>CCW</v>
          </cell>
          <cell r="P2268" t="str">
            <v>CCW825919</v>
          </cell>
          <cell r="Q2268" t="str">
            <v>519399</v>
          </cell>
        </row>
        <row r="2269">
          <cell r="N2269" t="str">
            <v>825919</v>
          </cell>
          <cell r="O2269" t="str">
            <v>CCY</v>
          </cell>
          <cell r="P2269" t="str">
            <v>CCY825919</v>
          </cell>
          <cell r="Q2269" t="str">
            <v>519399</v>
          </cell>
        </row>
        <row r="2270">
          <cell r="N2270" t="str">
            <v>825919</v>
          </cell>
          <cell r="O2270" t="str">
            <v>LTA</v>
          </cell>
          <cell r="P2270" t="str">
            <v>LTA825919</v>
          </cell>
          <cell r="Q2270" t="str">
            <v>519399</v>
          </cell>
        </row>
        <row r="2271">
          <cell r="N2271" t="str">
            <v>825919</v>
          </cell>
          <cell r="O2271" t="str">
            <v>6DC</v>
          </cell>
          <cell r="P2271" t="str">
            <v>6DC825919</v>
          </cell>
          <cell r="Q2271" t="str">
            <v>519399</v>
          </cell>
        </row>
        <row r="2272">
          <cell r="N2272" t="str">
            <v>89221</v>
          </cell>
          <cell r="O2272" t="str">
            <v/>
          </cell>
          <cell r="P2272" t="str">
            <v/>
          </cell>
          <cell r="Q2272" t="str">
            <v>55083</v>
          </cell>
        </row>
        <row r="2273">
          <cell r="N2273" t="str">
            <v>89221</v>
          </cell>
          <cell r="O2273" t="str">
            <v>CCW</v>
          </cell>
          <cell r="P2273" t="str">
            <v>CCW89221</v>
          </cell>
          <cell r="Q2273" t="str">
            <v>55083</v>
          </cell>
        </row>
        <row r="2274">
          <cell r="N2274" t="str">
            <v>89221</v>
          </cell>
          <cell r="O2274" t="str">
            <v>CCY</v>
          </cell>
          <cell r="P2274" t="str">
            <v>CCY89221</v>
          </cell>
          <cell r="Q2274" t="str">
            <v>55083</v>
          </cell>
        </row>
        <row r="2275">
          <cell r="N2275" t="str">
            <v>89221</v>
          </cell>
          <cell r="O2275" t="str">
            <v>LTA</v>
          </cell>
          <cell r="P2275" t="str">
            <v>LTA89221</v>
          </cell>
          <cell r="Q2275" t="str">
            <v>55083</v>
          </cell>
        </row>
        <row r="2276">
          <cell r="N2276" t="str">
            <v>89221</v>
          </cell>
          <cell r="O2276" t="str">
            <v>ONL</v>
          </cell>
          <cell r="P2276" t="str">
            <v>ONL89221</v>
          </cell>
          <cell r="Q2276" t="str">
            <v>55083</v>
          </cell>
        </row>
        <row r="2277">
          <cell r="N2277" t="str">
            <v>89221</v>
          </cell>
          <cell r="O2277" t="str">
            <v>111</v>
          </cell>
          <cell r="P2277" t="str">
            <v>11189221</v>
          </cell>
          <cell r="Q2277" t="str">
            <v>55083</v>
          </cell>
        </row>
        <row r="2278">
          <cell r="N2278" t="str">
            <v>89221</v>
          </cell>
          <cell r="O2278" t="str">
            <v>6DC</v>
          </cell>
          <cell r="P2278" t="str">
            <v>6DC89221</v>
          </cell>
          <cell r="Q2278" t="str">
            <v>55083</v>
          </cell>
        </row>
        <row r="2279">
          <cell r="N2279" t="str">
            <v/>
          </cell>
          <cell r="O2279" t="str">
            <v/>
          </cell>
          <cell r="P2279" t="str">
            <v/>
          </cell>
          <cell r="Q2279" t="str">
            <v/>
          </cell>
        </row>
        <row r="2280">
          <cell r="N2280" t="str">
            <v>825911</v>
          </cell>
          <cell r="O2280" t="str">
            <v/>
          </cell>
          <cell r="P2280" t="str">
            <v/>
          </cell>
          <cell r="Q2280" t="str">
            <v>519399</v>
          </cell>
        </row>
        <row r="2281">
          <cell r="N2281" t="str">
            <v>825911</v>
          </cell>
          <cell r="O2281" t="str">
            <v>6TD</v>
          </cell>
          <cell r="P2281" t="str">
            <v>6TD825911</v>
          </cell>
          <cell r="Q2281" t="str">
            <v>519399</v>
          </cell>
        </row>
        <row r="2282">
          <cell r="N2282" t="str">
            <v>82591720</v>
          </cell>
          <cell r="O2282" t="str">
            <v/>
          </cell>
          <cell r="P2282" t="str">
            <v/>
          </cell>
          <cell r="Q2282" t="str">
            <v>501530470</v>
          </cell>
        </row>
        <row r="2283">
          <cell r="N2283" t="str">
            <v>82591720</v>
          </cell>
          <cell r="O2283" t="str">
            <v>6TD</v>
          </cell>
          <cell r="P2283" t="str">
            <v>6TD82591720</v>
          </cell>
          <cell r="Q2283" t="str">
            <v>501530470</v>
          </cell>
        </row>
        <row r="2284">
          <cell r="N2284" t="str">
            <v>82591721</v>
          </cell>
          <cell r="O2284" t="str">
            <v/>
          </cell>
          <cell r="P2284" t="str">
            <v/>
          </cell>
          <cell r="Q2284" t="str">
            <v>519399</v>
          </cell>
        </row>
        <row r="2285">
          <cell r="N2285" t="str">
            <v>82591721</v>
          </cell>
          <cell r="O2285" t="str">
            <v>6TD</v>
          </cell>
          <cell r="P2285" t="str">
            <v>6TD82591721</v>
          </cell>
          <cell r="Q2285" t="str">
            <v>519399</v>
          </cell>
        </row>
        <row r="2286">
          <cell r="N2286" t="str">
            <v>89342</v>
          </cell>
          <cell r="O2286" t="str">
            <v/>
          </cell>
          <cell r="P2286" t="str">
            <v/>
          </cell>
          <cell r="Q2286" t="str">
            <v>431111</v>
          </cell>
        </row>
        <row r="2287">
          <cell r="N2287" t="str">
            <v>89342</v>
          </cell>
          <cell r="O2287" t="str">
            <v>11J</v>
          </cell>
          <cell r="P2287" t="str">
            <v>11J89342</v>
          </cell>
          <cell r="Q2287" t="str">
            <v>431111</v>
          </cell>
        </row>
        <row r="2288">
          <cell r="N2288" t="str">
            <v>89351</v>
          </cell>
          <cell r="O2288" t="str">
            <v/>
          </cell>
          <cell r="P2288" t="str">
            <v/>
          </cell>
          <cell r="Q2288" t="str">
            <v>4311811</v>
          </cell>
        </row>
        <row r="2289">
          <cell r="N2289" t="str">
            <v>89351</v>
          </cell>
          <cell r="O2289" t="str">
            <v>CRR</v>
          </cell>
          <cell r="P2289" t="str">
            <v>CRR89351</v>
          </cell>
          <cell r="Q2289" t="str">
            <v>4311811</v>
          </cell>
        </row>
        <row r="2290">
          <cell r="N2290" t="str">
            <v>89351</v>
          </cell>
          <cell r="O2290" t="str">
            <v>DCK</v>
          </cell>
          <cell r="P2290" t="str">
            <v>DCK89351</v>
          </cell>
          <cell r="Q2290" t="str">
            <v>4311811</v>
          </cell>
        </row>
        <row r="2291">
          <cell r="N2291" t="str">
            <v>89351</v>
          </cell>
          <cell r="O2291" t="str">
            <v>HAA</v>
          </cell>
          <cell r="P2291" t="str">
            <v>HAA89351</v>
          </cell>
          <cell r="Q2291" t="str">
            <v>4311811</v>
          </cell>
        </row>
        <row r="2292">
          <cell r="N2292" t="str">
            <v>89351</v>
          </cell>
          <cell r="O2292" t="str">
            <v>HBA</v>
          </cell>
          <cell r="P2292" t="str">
            <v>HBA89351</v>
          </cell>
          <cell r="Q2292" t="str">
            <v>4311811</v>
          </cell>
        </row>
        <row r="2293">
          <cell r="N2293" t="str">
            <v>89351</v>
          </cell>
          <cell r="O2293" t="str">
            <v>HBD</v>
          </cell>
          <cell r="P2293" t="str">
            <v>HBD89351</v>
          </cell>
          <cell r="Q2293" t="str">
            <v>4311811</v>
          </cell>
        </row>
        <row r="2294">
          <cell r="N2294" t="str">
            <v>89351</v>
          </cell>
          <cell r="O2294" t="str">
            <v>LTA</v>
          </cell>
          <cell r="P2294" t="str">
            <v>LTA89351</v>
          </cell>
          <cell r="Q2294" t="str">
            <v>4311811</v>
          </cell>
        </row>
        <row r="2295">
          <cell r="N2295" t="str">
            <v>89351</v>
          </cell>
          <cell r="O2295" t="str">
            <v>ONL</v>
          </cell>
          <cell r="P2295" t="str">
            <v>ONL89351</v>
          </cell>
          <cell r="Q2295" t="str">
            <v>4311811</v>
          </cell>
        </row>
        <row r="2296">
          <cell r="N2296" t="str">
            <v>89351</v>
          </cell>
          <cell r="O2296" t="str">
            <v>REG</v>
          </cell>
          <cell r="P2296" t="str">
            <v>REG89351</v>
          </cell>
          <cell r="Q2296" t="str">
            <v>4311811</v>
          </cell>
        </row>
        <row r="2297">
          <cell r="N2297" t="str">
            <v>89351</v>
          </cell>
          <cell r="O2297" t="str">
            <v>055</v>
          </cell>
          <cell r="P2297" t="str">
            <v>05589351</v>
          </cell>
          <cell r="Q2297" t="str">
            <v>4311811</v>
          </cell>
        </row>
        <row r="2298">
          <cell r="N2298" t="str">
            <v>89351</v>
          </cell>
          <cell r="O2298" t="str">
            <v>11J</v>
          </cell>
          <cell r="P2298" t="str">
            <v>11J89351</v>
          </cell>
          <cell r="Q2298" t="str">
            <v>4311811</v>
          </cell>
        </row>
        <row r="2299">
          <cell r="N2299" t="str">
            <v>89351</v>
          </cell>
          <cell r="O2299" t="str">
            <v>111</v>
          </cell>
          <cell r="P2299" t="str">
            <v>11189351</v>
          </cell>
          <cell r="Q2299" t="str">
            <v>4311811</v>
          </cell>
        </row>
        <row r="2300">
          <cell r="N2300" t="str">
            <v/>
          </cell>
          <cell r="O2300" t="str">
            <v/>
          </cell>
          <cell r="P2300" t="str">
            <v/>
          </cell>
          <cell r="Q2300" t="str">
            <v/>
          </cell>
        </row>
        <row r="2301">
          <cell r="N2301" t="str">
            <v/>
          </cell>
          <cell r="O2301" t="str">
            <v/>
          </cell>
          <cell r="P2301" t="str">
            <v/>
          </cell>
          <cell r="Q2301" t="str">
            <v/>
          </cell>
        </row>
        <row r="2302">
          <cell r="N2302" t="str">
            <v>825913</v>
          </cell>
          <cell r="O2302" t="str">
            <v/>
          </cell>
          <cell r="P2302" t="str">
            <v/>
          </cell>
          <cell r="Q2302" t="str">
            <v/>
          </cell>
        </row>
        <row r="2303">
          <cell r="N2303" t="str">
            <v>825913</v>
          </cell>
          <cell r="O2303" t="str">
            <v>CAL</v>
          </cell>
          <cell r="P2303" t="str">
            <v>CAL825913</v>
          </cell>
          <cell r="Q2303" t="str">
            <v/>
          </cell>
        </row>
        <row r="2304">
          <cell r="N2304" t="str">
            <v>825913</v>
          </cell>
          <cell r="O2304" t="str">
            <v>EAL</v>
          </cell>
          <cell r="P2304" t="str">
            <v>EAL825913</v>
          </cell>
          <cell r="Q2304" t="str">
            <v/>
          </cell>
        </row>
        <row r="2305">
          <cell r="N2305" t="str">
            <v>825913</v>
          </cell>
          <cell r="O2305" t="str">
            <v>ONL</v>
          </cell>
          <cell r="P2305" t="str">
            <v>ONL825913</v>
          </cell>
          <cell r="Q2305" t="str">
            <v/>
          </cell>
        </row>
        <row r="2306">
          <cell r="N2306" t="str">
            <v>825913</v>
          </cell>
          <cell r="O2306" t="str">
            <v>111</v>
          </cell>
          <cell r="P2306" t="str">
            <v>111825913</v>
          </cell>
          <cell r="Q2306" t="str">
            <v/>
          </cell>
        </row>
        <row r="2307">
          <cell r="N2307" t="str">
            <v>825913</v>
          </cell>
          <cell r="O2307" t="str">
            <v>6PH</v>
          </cell>
          <cell r="P2307" t="str">
            <v>6PH825913</v>
          </cell>
          <cell r="Q2307" t="str">
            <v/>
          </cell>
        </row>
        <row r="2308">
          <cell r="N2308" t="str">
            <v>825913</v>
          </cell>
          <cell r="O2308" t="str">
            <v>865</v>
          </cell>
          <cell r="P2308" t="str">
            <v>865825913</v>
          </cell>
          <cell r="Q2308" t="str">
            <v/>
          </cell>
        </row>
        <row r="2309">
          <cell r="N2309" t="str">
            <v>8259130</v>
          </cell>
          <cell r="O2309" t="str">
            <v/>
          </cell>
          <cell r="P2309" t="str">
            <v/>
          </cell>
          <cell r="Q2309" t="str">
            <v>501530470</v>
          </cell>
        </row>
        <row r="2310">
          <cell r="N2310" t="str">
            <v>8259130</v>
          </cell>
          <cell r="O2310" t="str">
            <v>CAL</v>
          </cell>
          <cell r="P2310" t="str">
            <v>CAL8259130</v>
          </cell>
          <cell r="Q2310" t="str">
            <v>501530470</v>
          </cell>
        </row>
        <row r="2311">
          <cell r="N2311" t="str">
            <v>8259130</v>
          </cell>
          <cell r="O2311" t="str">
            <v>EAL</v>
          </cell>
          <cell r="P2311" t="str">
            <v>EAL8259130</v>
          </cell>
          <cell r="Q2311" t="str">
            <v>501530470</v>
          </cell>
        </row>
        <row r="2312">
          <cell r="N2312" t="str">
            <v>8259130</v>
          </cell>
          <cell r="O2312" t="str">
            <v>ONL</v>
          </cell>
          <cell r="P2312" t="str">
            <v>ONL8259130</v>
          </cell>
          <cell r="Q2312" t="str">
            <v>501530470</v>
          </cell>
        </row>
        <row r="2313">
          <cell r="N2313" t="str">
            <v>8259130</v>
          </cell>
          <cell r="O2313" t="str">
            <v>111</v>
          </cell>
          <cell r="P2313" t="str">
            <v>1118259130</v>
          </cell>
          <cell r="Q2313" t="str">
            <v>501530470</v>
          </cell>
        </row>
        <row r="2314">
          <cell r="N2314" t="str">
            <v>8259130</v>
          </cell>
          <cell r="O2314" t="str">
            <v>6PH</v>
          </cell>
          <cell r="P2314" t="str">
            <v>6PH8259130</v>
          </cell>
          <cell r="Q2314" t="str">
            <v>501530470</v>
          </cell>
        </row>
        <row r="2315">
          <cell r="N2315" t="str">
            <v>82591720</v>
          </cell>
          <cell r="O2315" t="str">
            <v/>
          </cell>
          <cell r="P2315" t="str">
            <v/>
          </cell>
          <cell r="Q2315" t="str">
            <v>501530470</v>
          </cell>
        </row>
        <row r="2316">
          <cell r="N2316" t="str">
            <v>82591720</v>
          </cell>
          <cell r="O2316" t="str">
            <v>6PH</v>
          </cell>
          <cell r="P2316" t="str">
            <v>6PH82591720</v>
          </cell>
          <cell r="Q2316" t="str">
            <v>501530470</v>
          </cell>
        </row>
        <row r="2317">
          <cell r="N2317" t="str">
            <v/>
          </cell>
          <cell r="O2317" t="str">
            <v/>
          </cell>
          <cell r="P2317" t="str">
            <v/>
          </cell>
          <cell r="Q2317" t="str">
            <v/>
          </cell>
        </row>
        <row r="2318">
          <cell r="N2318" t="str">
            <v>825913</v>
          </cell>
          <cell r="O2318" t="str">
            <v/>
          </cell>
          <cell r="P2318" t="str">
            <v/>
          </cell>
          <cell r="Q2318" t="str">
            <v/>
          </cell>
        </row>
        <row r="2319">
          <cell r="N2319" t="str">
            <v>825913</v>
          </cell>
          <cell r="O2319" t="str">
            <v>6IC</v>
          </cell>
          <cell r="P2319" t="str">
            <v>6IC825913</v>
          </cell>
          <cell r="Q2319" t="str">
            <v/>
          </cell>
        </row>
        <row r="2320">
          <cell r="N2320" t="str">
            <v>8259130</v>
          </cell>
          <cell r="O2320" t="str">
            <v/>
          </cell>
          <cell r="P2320" t="str">
            <v/>
          </cell>
          <cell r="Q2320" t="str">
            <v>501530470</v>
          </cell>
        </row>
        <row r="2321">
          <cell r="N2321" t="str">
            <v>8259130</v>
          </cell>
          <cell r="O2321" t="str">
            <v>6IC</v>
          </cell>
          <cell r="P2321" t="str">
            <v>6IC8259130</v>
          </cell>
          <cell r="Q2321" t="str">
            <v>501530470</v>
          </cell>
        </row>
        <row r="2322">
          <cell r="N2322" t="str">
            <v>82591720</v>
          </cell>
          <cell r="O2322" t="str">
            <v/>
          </cell>
          <cell r="P2322" t="str">
            <v/>
          </cell>
          <cell r="Q2322" t="str">
            <v>501530470</v>
          </cell>
        </row>
        <row r="2323">
          <cell r="N2323" t="str">
            <v>82591720</v>
          </cell>
          <cell r="O2323" t="str">
            <v>6IC</v>
          </cell>
          <cell r="P2323" t="str">
            <v>6IC82591720</v>
          </cell>
          <cell r="Q2323" t="str">
            <v>501530470</v>
          </cell>
        </row>
        <row r="2324">
          <cell r="N2324" t="str">
            <v/>
          </cell>
          <cell r="O2324" t="str">
            <v/>
          </cell>
          <cell r="P2324" t="str">
            <v/>
          </cell>
          <cell r="Q2324" t="str">
            <v/>
          </cell>
        </row>
        <row r="2325">
          <cell r="N2325" t="str">
            <v/>
          </cell>
          <cell r="O2325" t="str">
            <v/>
          </cell>
          <cell r="P2325" t="str">
            <v/>
          </cell>
          <cell r="Q2325" t="str">
            <v/>
          </cell>
        </row>
        <row r="2326">
          <cell r="N2326" t="str">
            <v>825919</v>
          </cell>
          <cell r="O2326" t="str">
            <v/>
          </cell>
          <cell r="P2326" t="str">
            <v/>
          </cell>
          <cell r="Q2326" t="str">
            <v>519399</v>
          </cell>
        </row>
        <row r="2327">
          <cell r="N2327" t="str">
            <v>825919</v>
          </cell>
          <cell r="O2327" t="str">
            <v>6PK</v>
          </cell>
          <cell r="P2327" t="str">
            <v>6PK825919</v>
          </cell>
          <cell r="Q2327" t="str">
            <v>519399</v>
          </cell>
        </row>
        <row r="2328">
          <cell r="N2328" t="str">
            <v/>
          </cell>
          <cell r="O2328" t="str">
            <v/>
          </cell>
          <cell r="P2328" t="str">
            <v/>
          </cell>
          <cell r="Q2328" t="str">
            <v/>
          </cell>
        </row>
        <row r="2329">
          <cell r="N2329" t="str">
            <v>825919</v>
          </cell>
          <cell r="O2329" t="str">
            <v/>
          </cell>
          <cell r="P2329" t="str">
            <v/>
          </cell>
          <cell r="Q2329" t="str">
            <v>519399</v>
          </cell>
        </row>
        <row r="2330">
          <cell r="N2330" t="str">
            <v>825919</v>
          </cell>
          <cell r="O2330" t="str">
            <v>6PJ</v>
          </cell>
          <cell r="P2330" t="str">
            <v>6PJ825919</v>
          </cell>
          <cell r="Q2330" t="str">
            <v>519399</v>
          </cell>
        </row>
        <row r="2331">
          <cell r="N2331" t="str">
            <v/>
          </cell>
          <cell r="O2331" t="str">
            <v/>
          </cell>
          <cell r="P2331" t="str">
            <v/>
          </cell>
          <cell r="Q2331" t="str">
            <v/>
          </cell>
        </row>
        <row r="2332">
          <cell r="N2332" t="str">
            <v/>
          </cell>
          <cell r="O2332" t="str">
            <v/>
          </cell>
          <cell r="P2332" t="str">
            <v/>
          </cell>
          <cell r="Q2332" t="str">
            <v/>
          </cell>
        </row>
        <row r="2333">
          <cell r="N2333" t="str">
            <v/>
          </cell>
          <cell r="O2333" t="str">
            <v/>
          </cell>
          <cell r="P2333" t="str">
            <v/>
          </cell>
          <cell r="Q2333" t="str">
            <v/>
          </cell>
        </row>
        <row r="2334">
          <cell r="N2334" t="str">
            <v>8259140</v>
          </cell>
          <cell r="O2334" t="str">
            <v/>
          </cell>
          <cell r="P2334" t="str">
            <v/>
          </cell>
          <cell r="Q2334" t="str">
            <v>519399</v>
          </cell>
        </row>
        <row r="2335">
          <cell r="N2335" t="str">
            <v>8259140</v>
          </cell>
          <cell r="O2335" t="str">
            <v>CRR</v>
          </cell>
          <cell r="P2335" t="str">
            <v>CRR8259140</v>
          </cell>
          <cell r="Q2335" t="str">
            <v>519399</v>
          </cell>
        </row>
        <row r="2336">
          <cell r="N2336" t="str">
            <v>8259140</v>
          </cell>
          <cell r="O2336" t="str">
            <v>!MF</v>
          </cell>
          <cell r="P2336" t="str">
            <v>!MF8259140</v>
          </cell>
          <cell r="Q2336" t="str">
            <v>519399</v>
          </cell>
        </row>
        <row r="2337">
          <cell r="N2337" t="str">
            <v>8259140</v>
          </cell>
          <cell r="O2337" t="str">
            <v>!N8</v>
          </cell>
          <cell r="P2337" t="str">
            <v>!N88259140</v>
          </cell>
          <cell r="Q2337" t="str">
            <v>519399</v>
          </cell>
        </row>
        <row r="2338">
          <cell r="N2338" t="str">
            <v>8259140</v>
          </cell>
          <cell r="O2338" t="str">
            <v>ONL</v>
          </cell>
          <cell r="P2338" t="str">
            <v>ONL8259140</v>
          </cell>
          <cell r="Q2338" t="str">
            <v>519399</v>
          </cell>
        </row>
        <row r="2339">
          <cell r="N2339" t="str">
            <v>8259140</v>
          </cell>
          <cell r="O2339" t="str">
            <v>REG</v>
          </cell>
          <cell r="P2339" t="str">
            <v>REG8259140</v>
          </cell>
          <cell r="Q2339" t="str">
            <v>519399</v>
          </cell>
        </row>
        <row r="2340">
          <cell r="N2340" t="str">
            <v>8259140</v>
          </cell>
          <cell r="O2340" t="str">
            <v>111</v>
          </cell>
          <cell r="P2340" t="str">
            <v>1118259140</v>
          </cell>
          <cell r="Q2340" t="str">
            <v>519399</v>
          </cell>
        </row>
        <row r="2341">
          <cell r="N2341" t="str">
            <v>8259140</v>
          </cell>
          <cell r="O2341" t="str">
            <v>675</v>
          </cell>
          <cell r="P2341" t="str">
            <v>6758259140</v>
          </cell>
          <cell r="Q2341" t="str">
            <v>519399</v>
          </cell>
        </row>
        <row r="2342">
          <cell r="N2342" t="str">
            <v>8259140</v>
          </cell>
          <cell r="O2342" t="str">
            <v>676</v>
          </cell>
          <cell r="P2342" t="str">
            <v>6768259140</v>
          </cell>
          <cell r="Q2342" t="str">
            <v>519399</v>
          </cell>
        </row>
        <row r="2343">
          <cell r="N2343" t="str">
            <v>8259140</v>
          </cell>
          <cell r="O2343" t="str">
            <v>677</v>
          </cell>
          <cell r="P2343" t="str">
            <v>6778259140</v>
          </cell>
          <cell r="Q2343" t="str">
            <v>519399</v>
          </cell>
        </row>
        <row r="2344">
          <cell r="N2344" t="str">
            <v>8259140</v>
          </cell>
          <cell r="O2344" t="str">
            <v>678</v>
          </cell>
          <cell r="P2344" t="str">
            <v>6788259140</v>
          </cell>
          <cell r="Q2344" t="str">
            <v>519399</v>
          </cell>
        </row>
        <row r="2345">
          <cell r="N2345" t="str">
            <v>8259140</v>
          </cell>
          <cell r="O2345" t="str">
            <v>8NK</v>
          </cell>
          <cell r="P2345" t="str">
            <v>8NK8259140</v>
          </cell>
          <cell r="Q2345" t="str">
            <v>519399</v>
          </cell>
        </row>
        <row r="2346">
          <cell r="N2346" t="str">
            <v>8259140</v>
          </cell>
          <cell r="O2346" t="str">
            <v>906</v>
          </cell>
          <cell r="P2346" t="str">
            <v>9068259140</v>
          </cell>
          <cell r="Q2346" t="str">
            <v>519399</v>
          </cell>
        </row>
        <row r="2347">
          <cell r="N2347" t="str">
            <v/>
          </cell>
          <cell r="O2347" t="str">
            <v/>
          </cell>
          <cell r="P2347" t="str">
            <v/>
          </cell>
          <cell r="Q2347" t="str">
            <v/>
          </cell>
        </row>
        <row r="2348">
          <cell r="N2348" t="str">
            <v/>
          </cell>
          <cell r="O2348" t="str">
            <v/>
          </cell>
          <cell r="P2348" t="str">
            <v/>
          </cell>
          <cell r="Q2348" t="str">
            <v/>
          </cell>
        </row>
        <row r="2349">
          <cell r="N2349" t="str">
            <v/>
          </cell>
          <cell r="O2349" t="str">
            <v/>
          </cell>
          <cell r="P2349" t="str">
            <v/>
          </cell>
          <cell r="Q2349" t="str">
            <v/>
          </cell>
        </row>
        <row r="2350">
          <cell r="N2350" t="str">
            <v/>
          </cell>
          <cell r="O2350" t="str">
            <v/>
          </cell>
          <cell r="P2350" t="str">
            <v/>
          </cell>
          <cell r="Q2350" t="str">
            <v/>
          </cell>
        </row>
        <row r="2351">
          <cell r="N2351" t="str">
            <v>718900</v>
          </cell>
          <cell r="O2351" t="str">
            <v/>
          </cell>
          <cell r="P2351" t="str">
            <v/>
          </cell>
          <cell r="Q2351" t="str">
            <v>41499</v>
          </cell>
        </row>
        <row r="2352">
          <cell r="N2352" t="str">
            <v>718900</v>
          </cell>
          <cell r="O2352" t="str">
            <v>LO1</v>
          </cell>
          <cell r="P2352" t="str">
            <v>LO1718900</v>
          </cell>
          <cell r="Q2352" t="str">
            <v>41499</v>
          </cell>
        </row>
        <row r="2353">
          <cell r="N2353" t="str">
            <v>718900</v>
          </cell>
          <cell r="O2353" t="str">
            <v>LRA</v>
          </cell>
          <cell r="P2353" t="str">
            <v>LRA718900</v>
          </cell>
          <cell r="Q2353" t="str">
            <v>41499</v>
          </cell>
        </row>
        <row r="2354">
          <cell r="N2354" t="str">
            <v>718900</v>
          </cell>
          <cell r="O2354" t="str">
            <v>L01</v>
          </cell>
          <cell r="P2354" t="str">
            <v>L01718900</v>
          </cell>
          <cell r="Q2354" t="str">
            <v>41499</v>
          </cell>
        </row>
        <row r="2355">
          <cell r="N2355" t="str">
            <v>718900</v>
          </cell>
          <cell r="O2355" t="str">
            <v>ONL</v>
          </cell>
          <cell r="P2355" t="str">
            <v>ONL718900</v>
          </cell>
          <cell r="Q2355" t="str">
            <v>41499</v>
          </cell>
        </row>
        <row r="2356">
          <cell r="N2356" t="str">
            <v>718900</v>
          </cell>
          <cell r="O2356" t="str">
            <v>T30</v>
          </cell>
          <cell r="P2356" t="str">
            <v>T30718900</v>
          </cell>
          <cell r="Q2356" t="str">
            <v>41499</v>
          </cell>
        </row>
        <row r="2357">
          <cell r="N2357" t="str">
            <v>718901</v>
          </cell>
          <cell r="O2357" t="str">
            <v/>
          </cell>
          <cell r="P2357" t="str">
            <v/>
          </cell>
          <cell r="Q2357" t="str">
            <v>41499</v>
          </cell>
        </row>
        <row r="2358">
          <cell r="N2358" t="str">
            <v>718901</v>
          </cell>
          <cell r="O2358" t="str">
            <v>LO1</v>
          </cell>
          <cell r="P2358" t="str">
            <v>LO1718901</v>
          </cell>
          <cell r="Q2358" t="str">
            <v>41499</v>
          </cell>
        </row>
        <row r="2359">
          <cell r="N2359" t="str">
            <v>718901</v>
          </cell>
          <cell r="O2359" t="str">
            <v>LRA</v>
          </cell>
          <cell r="P2359" t="str">
            <v>LRA718901</v>
          </cell>
          <cell r="Q2359" t="str">
            <v>41499</v>
          </cell>
        </row>
        <row r="2360">
          <cell r="N2360" t="str">
            <v>718901</v>
          </cell>
          <cell r="O2360" t="str">
            <v>L01</v>
          </cell>
          <cell r="P2360" t="str">
            <v>L01718901</v>
          </cell>
          <cell r="Q2360" t="str">
            <v>41499</v>
          </cell>
        </row>
        <row r="2361">
          <cell r="N2361" t="str">
            <v>718901</v>
          </cell>
          <cell r="O2361" t="str">
            <v>ONL</v>
          </cell>
          <cell r="P2361" t="str">
            <v>ONL718901</v>
          </cell>
          <cell r="Q2361" t="str">
            <v>41499</v>
          </cell>
        </row>
        <row r="2362">
          <cell r="N2362" t="str">
            <v>718901</v>
          </cell>
          <cell r="O2362" t="str">
            <v>QLA</v>
          </cell>
          <cell r="P2362" t="str">
            <v>QLA718901</v>
          </cell>
          <cell r="Q2362" t="str">
            <v>41499</v>
          </cell>
        </row>
        <row r="2363">
          <cell r="N2363" t="str">
            <v>718902</v>
          </cell>
          <cell r="O2363" t="str">
            <v/>
          </cell>
          <cell r="P2363" t="str">
            <v/>
          </cell>
          <cell r="Q2363" t="str">
            <v>41499</v>
          </cell>
        </row>
        <row r="2364">
          <cell r="N2364" t="str">
            <v>718902</v>
          </cell>
          <cell r="O2364" t="str">
            <v>ONL</v>
          </cell>
          <cell r="P2364" t="str">
            <v>ONL718902</v>
          </cell>
          <cell r="Q2364" t="str">
            <v>41499</v>
          </cell>
        </row>
        <row r="2365">
          <cell r="N2365" t="str">
            <v>718909</v>
          </cell>
          <cell r="O2365" t="str">
            <v/>
          </cell>
          <cell r="P2365" t="str">
            <v/>
          </cell>
          <cell r="Q2365" t="str">
            <v>5015305700</v>
          </cell>
        </row>
        <row r="2366">
          <cell r="N2366" t="str">
            <v>718909</v>
          </cell>
          <cell r="O2366" t="str">
            <v>ONL</v>
          </cell>
          <cell r="P2366" t="str">
            <v>ONL718909</v>
          </cell>
          <cell r="Q2366" t="str">
            <v>5015305700</v>
          </cell>
        </row>
        <row r="2367">
          <cell r="N2367" t="str">
            <v/>
          </cell>
          <cell r="O2367" t="str">
            <v/>
          </cell>
          <cell r="P2367" t="str">
            <v/>
          </cell>
          <cell r="Q2367" t="str">
            <v/>
          </cell>
        </row>
        <row r="2368">
          <cell r="N2368" t="str">
            <v>718910</v>
          </cell>
          <cell r="O2368" t="str">
            <v/>
          </cell>
          <cell r="P2368" t="str">
            <v/>
          </cell>
          <cell r="Q2368" t="str">
            <v>41499</v>
          </cell>
        </row>
        <row r="2369">
          <cell r="N2369" t="str">
            <v>718910</v>
          </cell>
          <cell r="O2369" t="str">
            <v>BUS</v>
          </cell>
          <cell r="P2369" t="str">
            <v>BUS718910</v>
          </cell>
          <cell r="Q2369" t="str">
            <v>41499</v>
          </cell>
        </row>
        <row r="2370">
          <cell r="N2370" t="str">
            <v>718910</v>
          </cell>
          <cell r="O2370" t="str">
            <v>EBU</v>
          </cell>
          <cell r="P2370" t="str">
            <v>EBU718910</v>
          </cell>
          <cell r="Q2370" t="str">
            <v>41499</v>
          </cell>
        </row>
        <row r="2371">
          <cell r="N2371" t="str">
            <v>718910</v>
          </cell>
          <cell r="O2371" t="str">
            <v>LO1</v>
          </cell>
          <cell r="P2371" t="str">
            <v>LO1718910</v>
          </cell>
          <cell r="Q2371" t="str">
            <v>41499</v>
          </cell>
        </row>
        <row r="2372">
          <cell r="N2372" t="str">
            <v>718910</v>
          </cell>
          <cell r="O2372" t="str">
            <v>ONL</v>
          </cell>
          <cell r="P2372" t="str">
            <v>ONL718910</v>
          </cell>
          <cell r="Q2372" t="str">
            <v>41499</v>
          </cell>
        </row>
        <row r="2373">
          <cell r="N2373" t="str">
            <v>718910</v>
          </cell>
          <cell r="O2373" t="str">
            <v>SLF</v>
          </cell>
          <cell r="P2373" t="str">
            <v>SLF718910</v>
          </cell>
          <cell r="Q2373" t="str">
            <v>41499</v>
          </cell>
        </row>
        <row r="2374">
          <cell r="N2374" t="str">
            <v>718910</v>
          </cell>
          <cell r="O2374" t="str">
            <v>SLG</v>
          </cell>
          <cell r="P2374" t="str">
            <v>SLG718910</v>
          </cell>
          <cell r="Q2374" t="str">
            <v>41499</v>
          </cell>
        </row>
        <row r="2375">
          <cell r="N2375" t="str">
            <v>718910</v>
          </cell>
          <cell r="O2375" t="str">
            <v>SLQ</v>
          </cell>
          <cell r="P2375" t="str">
            <v>SLQ718910</v>
          </cell>
          <cell r="Q2375" t="str">
            <v>41499</v>
          </cell>
        </row>
        <row r="2376">
          <cell r="N2376" t="str">
            <v>718912</v>
          </cell>
          <cell r="O2376" t="str">
            <v/>
          </cell>
          <cell r="P2376" t="str">
            <v/>
          </cell>
          <cell r="Q2376" t="str">
            <v>41499</v>
          </cell>
        </row>
        <row r="2377">
          <cell r="N2377" t="str">
            <v>718912</v>
          </cell>
          <cell r="O2377" t="str">
            <v>HNS</v>
          </cell>
          <cell r="P2377" t="str">
            <v>HNS718912</v>
          </cell>
          <cell r="Q2377" t="str">
            <v>41499</v>
          </cell>
        </row>
        <row r="2378">
          <cell r="N2378" t="str">
            <v>718912</v>
          </cell>
          <cell r="O2378" t="str">
            <v>HSC</v>
          </cell>
          <cell r="P2378" t="str">
            <v>HSC718912</v>
          </cell>
          <cell r="Q2378" t="str">
            <v>41499</v>
          </cell>
        </row>
        <row r="2379">
          <cell r="N2379" t="str">
            <v>718912</v>
          </cell>
          <cell r="O2379" t="str">
            <v>IDA</v>
          </cell>
          <cell r="P2379" t="str">
            <v>IDA718912</v>
          </cell>
          <cell r="Q2379" t="str">
            <v>41499</v>
          </cell>
        </row>
        <row r="2380">
          <cell r="N2380" t="str">
            <v>718912</v>
          </cell>
          <cell r="O2380" t="str">
            <v>IDR</v>
          </cell>
          <cell r="P2380" t="str">
            <v>IDR718912</v>
          </cell>
          <cell r="Q2380" t="str">
            <v>41499</v>
          </cell>
        </row>
        <row r="2381">
          <cell r="N2381" t="str">
            <v>718912</v>
          </cell>
          <cell r="O2381" t="str">
            <v>IHC</v>
          </cell>
          <cell r="P2381" t="str">
            <v>IHC718912</v>
          </cell>
          <cell r="Q2381" t="str">
            <v>41499</v>
          </cell>
        </row>
        <row r="2382">
          <cell r="N2382" t="str">
            <v>718912</v>
          </cell>
          <cell r="O2382" t="str">
            <v>IHS</v>
          </cell>
          <cell r="P2382" t="str">
            <v>IHS718912</v>
          </cell>
          <cell r="Q2382" t="str">
            <v>41499</v>
          </cell>
        </row>
        <row r="2383">
          <cell r="N2383" t="str">
            <v>718912</v>
          </cell>
          <cell r="O2383" t="str">
            <v>IPC</v>
          </cell>
          <cell r="P2383" t="str">
            <v>IPC718912</v>
          </cell>
          <cell r="Q2383" t="str">
            <v>41499</v>
          </cell>
        </row>
        <row r="2384">
          <cell r="N2384" t="str">
            <v>718912</v>
          </cell>
          <cell r="O2384" t="str">
            <v>IPR</v>
          </cell>
          <cell r="P2384" t="str">
            <v>IPR718912</v>
          </cell>
          <cell r="Q2384" t="str">
            <v>41499</v>
          </cell>
        </row>
        <row r="2385">
          <cell r="N2385" t="str">
            <v>718912</v>
          </cell>
          <cell r="O2385" t="str">
            <v>LO1</v>
          </cell>
          <cell r="P2385" t="str">
            <v>LO1718912</v>
          </cell>
          <cell r="Q2385" t="str">
            <v>41499</v>
          </cell>
        </row>
        <row r="2386">
          <cell r="N2386" t="str">
            <v>718912</v>
          </cell>
          <cell r="O2386" t="str">
            <v>LRA</v>
          </cell>
          <cell r="P2386" t="str">
            <v>LRA718912</v>
          </cell>
          <cell r="Q2386" t="str">
            <v>41499</v>
          </cell>
        </row>
        <row r="2387">
          <cell r="N2387" t="str">
            <v>718912</v>
          </cell>
          <cell r="O2387" t="str">
            <v>L01</v>
          </cell>
          <cell r="P2387" t="str">
            <v>L01718912</v>
          </cell>
          <cell r="Q2387" t="str">
            <v>41499</v>
          </cell>
        </row>
        <row r="2388">
          <cell r="N2388" t="str">
            <v>718912</v>
          </cell>
          <cell r="O2388" t="str">
            <v>ONL</v>
          </cell>
          <cell r="P2388" t="str">
            <v>ONL718912</v>
          </cell>
          <cell r="Q2388" t="str">
            <v>41499</v>
          </cell>
        </row>
        <row r="2389">
          <cell r="N2389" t="str">
            <v>718912</v>
          </cell>
          <cell r="O2389" t="str">
            <v>REG</v>
          </cell>
          <cell r="P2389" t="str">
            <v>REG718912</v>
          </cell>
          <cell r="Q2389" t="str">
            <v>41499</v>
          </cell>
        </row>
        <row r="2390">
          <cell r="N2390" t="str">
            <v>718912</v>
          </cell>
          <cell r="O2390" t="str">
            <v>111</v>
          </cell>
          <cell r="P2390" t="str">
            <v>111718912</v>
          </cell>
          <cell r="Q2390" t="str">
            <v>41499</v>
          </cell>
        </row>
        <row r="2391">
          <cell r="N2391" t="str">
            <v>718913</v>
          </cell>
          <cell r="O2391" t="str">
            <v/>
          </cell>
          <cell r="P2391" t="str">
            <v/>
          </cell>
          <cell r="Q2391" t="str">
            <v>41499</v>
          </cell>
        </row>
        <row r="2392">
          <cell r="N2392" t="str">
            <v>718913</v>
          </cell>
          <cell r="O2392" t="str">
            <v>HNC</v>
          </cell>
          <cell r="P2392" t="str">
            <v>HNC718913</v>
          </cell>
          <cell r="Q2392" t="str">
            <v>41499</v>
          </cell>
        </row>
        <row r="2393">
          <cell r="N2393" t="str">
            <v>718913</v>
          </cell>
          <cell r="O2393" t="str">
            <v>LO1</v>
          </cell>
          <cell r="P2393" t="str">
            <v>LO1718913</v>
          </cell>
          <cell r="Q2393" t="str">
            <v>41499</v>
          </cell>
        </row>
        <row r="2394">
          <cell r="N2394" t="str">
            <v>718913</v>
          </cell>
          <cell r="O2394" t="str">
            <v>LRA</v>
          </cell>
          <cell r="P2394" t="str">
            <v>LRA718913</v>
          </cell>
          <cell r="Q2394" t="str">
            <v>41499</v>
          </cell>
        </row>
        <row r="2395">
          <cell r="N2395" t="str">
            <v>718913</v>
          </cell>
          <cell r="O2395" t="str">
            <v>L01</v>
          </cell>
          <cell r="P2395" t="str">
            <v>L01718913</v>
          </cell>
          <cell r="Q2395" t="str">
            <v>41499</v>
          </cell>
        </row>
        <row r="2396">
          <cell r="N2396" t="str">
            <v>718913</v>
          </cell>
          <cell r="O2396" t="str">
            <v>REG</v>
          </cell>
          <cell r="P2396" t="str">
            <v>REG718913</v>
          </cell>
          <cell r="Q2396" t="str">
            <v>41499</v>
          </cell>
        </row>
        <row r="2397">
          <cell r="N2397" t="str">
            <v>71899</v>
          </cell>
          <cell r="O2397" t="str">
            <v/>
          </cell>
          <cell r="P2397" t="str">
            <v/>
          </cell>
          <cell r="Q2397" t="str">
            <v>41499</v>
          </cell>
        </row>
        <row r="2398">
          <cell r="N2398" t="str">
            <v>71899</v>
          </cell>
          <cell r="O2398" t="str">
            <v>U74</v>
          </cell>
          <cell r="P2398" t="str">
            <v>U7471899</v>
          </cell>
          <cell r="Q2398" t="str">
            <v>41499</v>
          </cell>
        </row>
        <row r="2399">
          <cell r="N2399" t="str">
            <v>71899</v>
          </cell>
          <cell r="O2399" t="str">
            <v>U77</v>
          </cell>
          <cell r="P2399" t="str">
            <v>U7771899</v>
          </cell>
          <cell r="Q2399" t="str">
            <v>41499</v>
          </cell>
        </row>
        <row r="2400">
          <cell r="N2400" t="str">
            <v>71899</v>
          </cell>
          <cell r="O2400" t="str">
            <v>111</v>
          </cell>
          <cell r="P2400" t="str">
            <v>11171899</v>
          </cell>
          <cell r="Q2400" t="str">
            <v>41499</v>
          </cell>
        </row>
        <row r="2401">
          <cell r="N2401" t="str">
            <v>7190429</v>
          </cell>
          <cell r="O2401" t="str">
            <v/>
          </cell>
          <cell r="P2401" t="str">
            <v/>
          </cell>
          <cell r="Q2401" t="str">
            <v>4198</v>
          </cell>
        </row>
        <row r="2402">
          <cell r="N2402" t="str">
            <v>7190429</v>
          </cell>
          <cell r="O2402" t="str">
            <v>LO1</v>
          </cell>
          <cell r="P2402" t="str">
            <v>LO17190429</v>
          </cell>
          <cell r="Q2402" t="str">
            <v>4198</v>
          </cell>
        </row>
        <row r="2403">
          <cell r="N2403" t="str">
            <v>7190429</v>
          </cell>
          <cell r="O2403" t="str">
            <v>111</v>
          </cell>
          <cell r="P2403" t="str">
            <v>1117190429</v>
          </cell>
          <cell r="Q2403" t="str">
            <v>4198</v>
          </cell>
        </row>
        <row r="2404">
          <cell r="N2404" t="str">
            <v>779633</v>
          </cell>
          <cell r="O2404" t="str">
            <v/>
          </cell>
          <cell r="P2404" t="str">
            <v/>
          </cell>
          <cell r="Q2404" t="str">
            <v>41499</v>
          </cell>
        </row>
        <row r="2405">
          <cell r="N2405" t="str">
            <v>779633</v>
          </cell>
          <cell r="O2405" t="str">
            <v>ONL</v>
          </cell>
          <cell r="P2405" t="str">
            <v>ONL779633</v>
          </cell>
          <cell r="Q2405" t="str">
            <v>41499</v>
          </cell>
        </row>
        <row r="2406">
          <cell r="N2406" t="str">
            <v>89351</v>
          </cell>
          <cell r="O2406" t="str">
            <v/>
          </cell>
          <cell r="P2406" t="str">
            <v/>
          </cell>
          <cell r="Q2406" t="str">
            <v>4311811</v>
          </cell>
        </row>
        <row r="2407">
          <cell r="N2407" t="str">
            <v>89351</v>
          </cell>
          <cell r="O2407" t="str">
            <v>U74</v>
          </cell>
          <cell r="P2407" t="str">
            <v>U7489351</v>
          </cell>
          <cell r="Q2407" t="str">
            <v>4311811</v>
          </cell>
        </row>
        <row r="2408">
          <cell r="N2408" t="str">
            <v/>
          </cell>
          <cell r="O2408" t="str">
            <v/>
          </cell>
          <cell r="P2408" t="str">
            <v/>
          </cell>
          <cell r="Q2408" t="str">
            <v/>
          </cell>
        </row>
        <row r="2409">
          <cell r="N2409" t="str">
            <v/>
          </cell>
          <cell r="O2409" t="str">
            <v/>
          </cell>
          <cell r="P2409" t="str">
            <v/>
          </cell>
          <cell r="Q2409" t="str">
            <v/>
          </cell>
        </row>
        <row r="2410">
          <cell r="N2410" t="str">
            <v/>
          </cell>
          <cell r="O2410" t="str">
            <v/>
          </cell>
          <cell r="P2410" t="str">
            <v/>
          </cell>
          <cell r="Q2410" t="str">
            <v/>
          </cell>
        </row>
        <row r="2411">
          <cell r="N2411" t="str">
            <v>71900</v>
          </cell>
          <cell r="O2411" t="str">
            <v/>
          </cell>
          <cell r="P2411" t="str">
            <v/>
          </cell>
          <cell r="Q2411" t="str">
            <v/>
          </cell>
        </row>
        <row r="2412">
          <cell r="N2412" t="str">
            <v>71900</v>
          </cell>
          <cell r="O2412" t="str">
            <v>LO1</v>
          </cell>
          <cell r="P2412" t="str">
            <v>LO171900</v>
          </cell>
          <cell r="Q2412" t="str">
            <v/>
          </cell>
        </row>
        <row r="2413">
          <cell r="N2413" t="str">
            <v>71900</v>
          </cell>
          <cell r="O2413" t="str">
            <v>LRA</v>
          </cell>
          <cell r="P2413" t="str">
            <v>LRA71900</v>
          </cell>
          <cell r="Q2413" t="str">
            <v/>
          </cell>
        </row>
        <row r="2414">
          <cell r="N2414" t="str">
            <v>71900</v>
          </cell>
          <cell r="O2414" t="str">
            <v>ONL</v>
          </cell>
          <cell r="P2414" t="str">
            <v>ONL71900</v>
          </cell>
          <cell r="Q2414" t="str">
            <v/>
          </cell>
        </row>
        <row r="2415">
          <cell r="N2415" t="str">
            <v>719000</v>
          </cell>
          <cell r="O2415" t="str">
            <v/>
          </cell>
          <cell r="P2415" t="str">
            <v/>
          </cell>
          <cell r="Q2415" t="str">
            <v>4198</v>
          </cell>
        </row>
        <row r="2416">
          <cell r="N2416" t="str">
            <v>719000</v>
          </cell>
          <cell r="O2416" t="str">
            <v>LO1</v>
          </cell>
          <cell r="P2416" t="str">
            <v>LO1719000</v>
          </cell>
          <cell r="Q2416" t="str">
            <v>4198</v>
          </cell>
        </row>
        <row r="2417">
          <cell r="N2417" t="str">
            <v>719000</v>
          </cell>
          <cell r="O2417" t="str">
            <v>L01</v>
          </cell>
          <cell r="P2417" t="str">
            <v>L01719000</v>
          </cell>
          <cell r="Q2417" t="str">
            <v>4198</v>
          </cell>
        </row>
        <row r="2418">
          <cell r="N2418" t="str">
            <v>719000</v>
          </cell>
          <cell r="O2418" t="str">
            <v>ONL</v>
          </cell>
          <cell r="P2418" t="str">
            <v>ONL719000</v>
          </cell>
          <cell r="Q2418" t="str">
            <v>4198</v>
          </cell>
        </row>
        <row r="2419">
          <cell r="N2419" t="str">
            <v>719003</v>
          </cell>
          <cell r="O2419" t="str">
            <v/>
          </cell>
          <cell r="P2419" t="str">
            <v/>
          </cell>
          <cell r="Q2419" t="str">
            <v>4198</v>
          </cell>
        </row>
        <row r="2420">
          <cell r="N2420" t="str">
            <v>719003</v>
          </cell>
          <cell r="O2420" t="str">
            <v>L01</v>
          </cell>
          <cell r="P2420" t="str">
            <v>L01719003</v>
          </cell>
          <cell r="Q2420" t="str">
            <v>4198</v>
          </cell>
        </row>
        <row r="2421">
          <cell r="N2421" t="str">
            <v>719003</v>
          </cell>
          <cell r="O2421" t="str">
            <v>ONL</v>
          </cell>
          <cell r="P2421" t="str">
            <v>ONL719003</v>
          </cell>
          <cell r="Q2421" t="str">
            <v>4198</v>
          </cell>
        </row>
        <row r="2422">
          <cell r="N2422" t="str">
            <v>719003</v>
          </cell>
          <cell r="O2422" t="str">
            <v>VI1</v>
          </cell>
          <cell r="P2422" t="str">
            <v>VI1719003</v>
          </cell>
          <cell r="Q2422" t="str">
            <v>4198</v>
          </cell>
        </row>
        <row r="2423">
          <cell r="N2423" t="str">
            <v>719003</v>
          </cell>
          <cell r="O2423" t="str">
            <v>VI4</v>
          </cell>
          <cell r="P2423" t="str">
            <v>VI4719003</v>
          </cell>
          <cell r="Q2423" t="str">
            <v>4198</v>
          </cell>
        </row>
        <row r="2424">
          <cell r="N2424" t="str">
            <v>719004</v>
          </cell>
          <cell r="O2424" t="str">
            <v/>
          </cell>
          <cell r="P2424" t="str">
            <v/>
          </cell>
          <cell r="Q2424" t="str">
            <v>4030310570</v>
          </cell>
        </row>
        <row r="2425">
          <cell r="N2425" t="str">
            <v>719004</v>
          </cell>
          <cell r="O2425" t="str">
            <v>ONL</v>
          </cell>
          <cell r="P2425" t="str">
            <v>ONL719004</v>
          </cell>
          <cell r="Q2425" t="str">
            <v>4030310570</v>
          </cell>
        </row>
        <row r="2426">
          <cell r="N2426" t="str">
            <v>719004</v>
          </cell>
          <cell r="O2426" t="str">
            <v>VI1</v>
          </cell>
          <cell r="P2426" t="str">
            <v>VI1719004</v>
          </cell>
          <cell r="Q2426" t="str">
            <v>4030310570</v>
          </cell>
        </row>
        <row r="2427">
          <cell r="N2427" t="str">
            <v>719004</v>
          </cell>
          <cell r="O2427" t="str">
            <v>VI4</v>
          </cell>
          <cell r="P2427" t="str">
            <v>VI4719004</v>
          </cell>
          <cell r="Q2427" t="str">
            <v>4030310570</v>
          </cell>
        </row>
        <row r="2428">
          <cell r="N2428" t="str">
            <v>719004</v>
          </cell>
          <cell r="O2428" t="str">
            <v>VI8</v>
          </cell>
          <cell r="P2428" t="str">
            <v>VI8719004</v>
          </cell>
          <cell r="Q2428" t="str">
            <v>4030310570</v>
          </cell>
        </row>
        <row r="2429">
          <cell r="N2429" t="str">
            <v>719004</v>
          </cell>
          <cell r="O2429" t="str">
            <v>VI9</v>
          </cell>
          <cell r="P2429" t="str">
            <v>VI9719004</v>
          </cell>
          <cell r="Q2429" t="str">
            <v>4030310570</v>
          </cell>
        </row>
        <row r="2430">
          <cell r="N2430" t="str">
            <v>7192</v>
          </cell>
          <cell r="O2430" t="str">
            <v/>
          </cell>
          <cell r="P2430" t="str">
            <v/>
          </cell>
          <cell r="Q2430" t="str">
            <v>4198</v>
          </cell>
        </row>
        <row r="2431">
          <cell r="N2431" t="str">
            <v>7192</v>
          </cell>
          <cell r="O2431" t="str">
            <v>LO1</v>
          </cell>
          <cell r="P2431" t="str">
            <v>LO17192</v>
          </cell>
          <cell r="Q2431" t="str">
            <v>4198</v>
          </cell>
        </row>
        <row r="2432">
          <cell r="N2432" t="str">
            <v>7192</v>
          </cell>
          <cell r="O2432" t="str">
            <v>LRA</v>
          </cell>
          <cell r="P2432" t="str">
            <v>LRA7192</v>
          </cell>
          <cell r="Q2432" t="str">
            <v>4198</v>
          </cell>
        </row>
        <row r="2433">
          <cell r="N2433" t="str">
            <v/>
          </cell>
          <cell r="O2433" t="str">
            <v/>
          </cell>
          <cell r="P2433" t="str">
            <v/>
          </cell>
          <cell r="Q2433" t="str">
            <v/>
          </cell>
        </row>
        <row r="2434">
          <cell r="N2434" t="str">
            <v>719001</v>
          </cell>
          <cell r="O2434" t="str">
            <v/>
          </cell>
          <cell r="P2434" t="str">
            <v/>
          </cell>
          <cell r="Q2434" t="str">
            <v>4198</v>
          </cell>
        </row>
        <row r="2435">
          <cell r="N2435" t="str">
            <v>719001</v>
          </cell>
          <cell r="O2435" t="str">
            <v>ONL</v>
          </cell>
          <cell r="P2435" t="str">
            <v>ONL719001</v>
          </cell>
          <cell r="Q2435" t="str">
            <v>4198</v>
          </cell>
        </row>
        <row r="2436">
          <cell r="N2436" t="str">
            <v>719002</v>
          </cell>
          <cell r="O2436" t="str">
            <v/>
          </cell>
          <cell r="P2436" t="str">
            <v/>
          </cell>
          <cell r="Q2436" t="str">
            <v>4030310570</v>
          </cell>
        </row>
        <row r="2437">
          <cell r="N2437" t="str">
            <v>719002</v>
          </cell>
          <cell r="O2437" t="str">
            <v>ONL</v>
          </cell>
          <cell r="P2437" t="str">
            <v>ONL719002</v>
          </cell>
          <cell r="Q2437" t="str">
            <v>4030310570</v>
          </cell>
        </row>
        <row r="2438">
          <cell r="N2438" t="str">
            <v>719003</v>
          </cell>
          <cell r="O2438" t="str">
            <v/>
          </cell>
          <cell r="P2438" t="str">
            <v/>
          </cell>
          <cell r="Q2438" t="str">
            <v>4198</v>
          </cell>
        </row>
        <row r="2439">
          <cell r="N2439" t="str">
            <v>719003</v>
          </cell>
          <cell r="O2439" t="str">
            <v>VI6</v>
          </cell>
          <cell r="P2439" t="str">
            <v>VI6719003</v>
          </cell>
          <cell r="Q2439" t="str">
            <v>4198</v>
          </cell>
        </row>
        <row r="2440">
          <cell r="N2440" t="str">
            <v>719004</v>
          </cell>
          <cell r="O2440" t="str">
            <v/>
          </cell>
          <cell r="P2440" t="str">
            <v/>
          </cell>
          <cell r="Q2440" t="str">
            <v>4030310570</v>
          </cell>
        </row>
        <row r="2441">
          <cell r="N2441" t="str">
            <v>719004</v>
          </cell>
          <cell r="O2441" t="str">
            <v>VI6</v>
          </cell>
          <cell r="P2441" t="str">
            <v>VI6719004</v>
          </cell>
          <cell r="Q2441" t="str">
            <v>4030310570</v>
          </cell>
        </row>
        <row r="2442">
          <cell r="N2442" t="str">
            <v>719009</v>
          </cell>
          <cell r="O2442" t="str">
            <v/>
          </cell>
          <cell r="P2442" t="str">
            <v/>
          </cell>
          <cell r="Q2442" t="str">
            <v/>
          </cell>
        </row>
        <row r="2443">
          <cell r="N2443" t="str">
            <v>719009</v>
          </cell>
          <cell r="O2443" t="str">
            <v>ONL</v>
          </cell>
          <cell r="P2443" t="str">
            <v>ONL719009</v>
          </cell>
          <cell r="Q2443" t="str">
            <v/>
          </cell>
        </row>
        <row r="2444">
          <cell r="N2444" t="str">
            <v/>
          </cell>
          <cell r="O2444" t="str">
            <v/>
          </cell>
          <cell r="P2444" t="str">
            <v/>
          </cell>
          <cell r="Q2444" t="str">
            <v/>
          </cell>
        </row>
        <row r="2445">
          <cell r="N2445" t="str">
            <v/>
          </cell>
          <cell r="O2445" t="str">
            <v/>
          </cell>
          <cell r="P2445" t="str">
            <v/>
          </cell>
          <cell r="Q2445" t="str">
            <v/>
          </cell>
        </row>
        <row r="2446">
          <cell r="N2446" t="str">
            <v>7190600</v>
          </cell>
          <cell r="O2446" t="str">
            <v/>
          </cell>
          <cell r="P2446" t="str">
            <v/>
          </cell>
          <cell r="Q2446" t="str">
            <v>403031357</v>
          </cell>
        </row>
        <row r="2447">
          <cell r="N2447" t="str">
            <v>7190600</v>
          </cell>
          <cell r="O2447" t="str">
            <v>L01</v>
          </cell>
          <cell r="P2447" t="str">
            <v>L017190600</v>
          </cell>
          <cell r="Q2447" t="str">
            <v>403031357</v>
          </cell>
        </row>
        <row r="2448">
          <cell r="N2448" t="str">
            <v>7190600</v>
          </cell>
          <cell r="O2448" t="str">
            <v>ONL</v>
          </cell>
          <cell r="P2448" t="str">
            <v>ONL7190600</v>
          </cell>
          <cell r="Q2448" t="str">
            <v>403031357</v>
          </cell>
        </row>
        <row r="2449">
          <cell r="N2449" t="str">
            <v/>
          </cell>
          <cell r="O2449" t="str">
            <v/>
          </cell>
          <cell r="P2449" t="str">
            <v/>
          </cell>
          <cell r="Q2449" t="str">
            <v/>
          </cell>
        </row>
        <row r="2450">
          <cell r="N2450" t="str">
            <v>7190601</v>
          </cell>
          <cell r="O2450" t="str">
            <v/>
          </cell>
          <cell r="P2450" t="str">
            <v/>
          </cell>
          <cell r="Q2450" t="str">
            <v>403031357</v>
          </cell>
        </row>
        <row r="2451">
          <cell r="N2451" t="str">
            <v>7190601</v>
          </cell>
          <cell r="O2451" t="str">
            <v>ONL</v>
          </cell>
          <cell r="P2451" t="str">
            <v>ONL7190601</v>
          </cell>
          <cell r="Q2451" t="str">
            <v>403031357</v>
          </cell>
        </row>
        <row r="2452">
          <cell r="N2452" t="str">
            <v>7190602</v>
          </cell>
          <cell r="O2452" t="str">
            <v/>
          </cell>
          <cell r="P2452" t="str">
            <v/>
          </cell>
          <cell r="Q2452" t="str">
            <v>403031357</v>
          </cell>
        </row>
        <row r="2453">
          <cell r="N2453" t="str">
            <v>7190602</v>
          </cell>
          <cell r="O2453" t="str">
            <v>ONL</v>
          </cell>
          <cell r="P2453" t="str">
            <v>ONL7190602</v>
          </cell>
          <cell r="Q2453" t="str">
            <v>403031357</v>
          </cell>
        </row>
        <row r="2454">
          <cell r="N2454" t="str">
            <v/>
          </cell>
          <cell r="O2454" t="str">
            <v/>
          </cell>
          <cell r="P2454" t="str">
            <v/>
          </cell>
          <cell r="Q2454" t="str">
            <v/>
          </cell>
        </row>
        <row r="2455">
          <cell r="N2455" t="str">
            <v/>
          </cell>
          <cell r="O2455" t="str">
            <v/>
          </cell>
          <cell r="P2455" t="str">
            <v/>
          </cell>
          <cell r="Q2455" t="str">
            <v/>
          </cell>
        </row>
        <row r="2456">
          <cell r="N2456" t="str">
            <v>7190610</v>
          </cell>
          <cell r="O2456" t="str">
            <v/>
          </cell>
          <cell r="P2456" t="str">
            <v/>
          </cell>
          <cell r="Q2456" t="str">
            <v>403031347</v>
          </cell>
        </row>
        <row r="2457">
          <cell r="N2457" t="str">
            <v>7190610</v>
          </cell>
          <cell r="O2457" t="str">
            <v>L01</v>
          </cell>
          <cell r="P2457" t="str">
            <v>L017190610</v>
          </cell>
          <cell r="Q2457" t="str">
            <v>403031347</v>
          </cell>
        </row>
        <row r="2458">
          <cell r="N2458" t="str">
            <v>7190610</v>
          </cell>
          <cell r="O2458" t="str">
            <v>ONL</v>
          </cell>
          <cell r="P2458" t="str">
            <v>ONL7190610</v>
          </cell>
          <cell r="Q2458" t="str">
            <v>403031347</v>
          </cell>
        </row>
        <row r="2459">
          <cell r="N2459" t="str">
            <v/>
          </cell>
          <cell r="O2459" t="str">
            <v/>
          </cell>
          <cell r="P2459" t="str">
            <v/>
          </cell>
          <cell r="Q2459" t="str">
            <v/>
          </cell>
        </row>
        <row r="2460">
          <cell r="N2460" t="str">
            <v>7190611</v>
          </cell>
          <cell r="O2460" t="str">
            <v/>
          </cell>
          <cell r="P2460" t="str">
            <v/>
          </cell>
          <cell r="Q2460" t="str">
            <v>403031347</v>
          </cell>
        </row>
        <row r="2461">
          <cell r="N2461" t="str">
            <v>7190611</v>
          </cell>
          <cell r="O2461" t="str">
            <v>ONL</v>
          </cell>
          <cell r="P2461" t="str">
            <v>ONL7190611</v>
          </cell>
          <cell r="Q2461" t="str">
            <v>403031347</v>
          </cell>
        </row>
        <row r="2462">
          <cell r="N2462" t="str">
            <v>7190612</v>
          </cell>
          <cell r="O2462" t="str">
            <v/>
          </cell>
          <cell r="P2462" t="str">
            <v/>
          </cell>
          <cell r="Q2462" t="str">
            <v>403031347</v>
          </cell>
        </row>
        <row r="2463">
          <cell r="N2463" t="str">
            <v>7190612</v>
          </cell>
          <cell r="O2463" t="str">
            <v>ONL</v>
          </cell>
          <cell r="P2463" t="str">
            <v>ONL7190612</v>
          </cell>
          <cell r="Q2463" t="str">
            <v>403031347</v>
          </cell>
        </row>
        <row r="2464">
          <cell r="N2464" t="str">
            <v/>
          </cell>
          <cell r="O2464" t="str">
            <v/>
          </cell>
          <cell r="P2464" t="str">
            <v/>
          </cell>
          <cell r="Q2464" t="str">
            <v/>
          </cell>
        </row>
        <row r="2465">
          <cell r="N2465" t="str">
            <v/>
          </cell>
          <cell r="O2465" t="str">
            <v/>
          </cell>
          <cell r="P2465" t="str">
            <v/>
          </cell>
          <cell r="Q2465" t="str">
            <v/>
          </cell>
        </row>
        <row r="2466">
          <cell r="N2466" t="str">
            <v>71900</v>
          </cell>
          <cell r="O2466" t="str">
            <v/>
          </cell>
          <cell r="P2466" t="str">
            <v/>
          </cell>
          <cell r="Q2466" t="str">
            <v/>
          </cell>
        </row>
        <row r="2467">
          <cell r="N2467" t="str">
            <v>71900</v>
          </cell>
          <cell r="O2467" t="str">
            <v>RB4</v>
          </cell>
          <cell r="P2467" t="str">
            <v>RB471900</v>
          </cell>
          <cell r="Q2467" t="str">
            <v/>
          </cell>
        </row>
        <row r="2468">
          <cell r="N2468" t="str">
            <v>719000</v>
          </cell>
          <cell r="O2468" t="str">
            <v/>
          </cell>
          <cell r="P2468" t="str">
            <v/>
          </cell>
          <cell r="Q2468" t="str">
            <v>4198</v>
          </cell>
        </row>
        <row r="2469">
          <cell r="N2469" t="str">
            <v>719000</v>
          </cell>
          <cell r="O2469" t="str">
            <v>RB4</v>
          </cell>
          <cell r="P2469" t="str">
            <v>RB4719000</v>
          </cell>
          <cell r="Q2469" t="str">
            <v>4198</v>
          </cell>
        </row>
        <row r="2470">
          <cell r="N2470" t="str">
            <v>7190420</v>
          </cell>
          <cell r="O2470" t="str">
            <v/>
          </cell>
          <cell r="P2470" t="str">
            <v/>
          </cell>
          <cell r="Q2470" t="str">
            <v>5015305700</v>
          </cell>
        </row>
        <row r="2471">
          <cell r="N2471" t="str">
            <v>7190420</v>
          </cell>
          <cell r="O2471" t="str">
            <v>CCC</v>
          </cell>
          <cell r="P2471" t="str">
            <v>CCC7190420</v>
          </cell>
          <cell r="Q2471" t="str">
            <v>5015305700</v>
          </cell>
        </row>
        <row r="2472">
          <cell r="N2472" t="str">
            <v>7190420</v>
          </cell>
          <cell r="O2472" t="str">
            <v>DPF</v>
          </cell>
          <cell r="P2472" t="str">
            <v>DPF7190420</v>
          </cell>
          <cell r="Q2472" t="str">
            <v>5015305700</v>
          </cell>
        </row>
        <row r="2473">
          <cell r="N2473" t="str">
            <v>7190420</v>
          </cell>
          <cell r="O2473" t="str">
            <v>LTA</v>
          </cell>
          <cell r="P2473" t="str">
            <v>LTA7190420</v>
          </cell>
          <cell r="Q2473" t="str">
            <v>5015305700</v>
          </cell>
        </row>
        <row r="2474">
          <cell r="N2474" t="str">
            <v>7190420</v>
          </cell>
          <cell r="O2474" t="str">
            <v>!MF</v>
          </cell>
          <cell r="P2474" t="str">
            <v>!MF7190420</v>
          </cell>
          <cell r="Q2474" t="str">
            <v>5015305700</v>
          </cell>
        </row>
        <row r="2475">
          <cell r="N2475" t="str">
            <v>7190420</v>
          </cell>
          <cell r="O2475" t="str">
            <v>ONL</v>
          </cell>
          <cell r="P2475" t="str">
            <v>ONL7190420</v>
          </cell>
          <cell r="Q2475" t="str">
            <v>5015305700</v>
          </cell>
        </row>
        <row r="2476">
          <cell r="N2476" t="str">
            <v>7190420</v>
          </cell>
          <cell r="O2476" t="str">
            <v>TRE</v>
          </cell>
          <cell r="P2476" t="str">
            <v>TRE7190420</v>
          </cell>
          <cell r="Q2476" t="str">
            <v>5015305700</v>
          </cell>
        </row>
        <row r="2477">
          <cell r="N2477" t="str">
            <v>7190420</v>
          </cell>
          <cell r="O2477" t="str">
            <v>XXD</v>
          </cell>
          <cell r="P2477" t="str">
            <v>XXD7190420</v>
          </cell>
          <cell r="Q2477" t="str">
            <v>5015305700</v>
          </cell>
        </row>
        <row r="2478">
          <cell r="N2478" t="str">
            <v>7190420</v>
          </cell>
          <cell r="O2478" t="str">
            <v>XXE</v>
          </cell>
          <cell r="P2478" t="str">
            <v>XXE7190420</v>
          </cell>
          <cell r="Q2478" t="str">
            <v>5015305700</v>
          </cell>
        </row>
        <row r="2479">
          <cell r="N2479" t="str">
            <v>7190420</v>
          </cell>
          <cell r="O2479" t="str">
            <v>111</v>
          </cell>
          <cell r="P2479" t="str">
            <v>1117190420</v>
          </cell>
          <cell r="Q2479" t="str">
            <v>5015305700</v>
          </cell>
        </row>
        <row r="2480">
          <cell r="N2480" t="str">
            <v>7190420</v>
          </cell>
          <cell r="O2480" t="str">
            <v>6AX</v>
          </cell>
          <cell r="P2480" t="str">
            <v>6AX7190420</v>
          </cell>
          <cell r="Q2480" t="str">
            <v>5015305700</v>
          </cell>
        </row>
        <row r="2481">
          <cell r="N2481" t="str">
            <v>7190420</v>
          </cell>
          <cell r="O2481" t="str">
            <v>6PV</v>
          </cell>
          <cell r="P2481" t="str">
            <v>6PV7190420</v>
          </cell>
          <cell r="Q2481" t="str">
            <v>5015305700</v>
          </cell>
        </row>
        <row r="2482">
          <cell r="N2482" t="str">
            <v>7190420</v>
          </cell>
          <cell r="O2482" t="str">
            <v>6TR</v>
          </cell>
          <cell r="P2482" t="str">
            <v>6TR7190420</v>
          </cell>
          <cell r="Q2482" t="str">
            <v>5015305700</v>
          </cell>
        </row>
        <row r="2483">
          <cell r="N2483" t="str">
            <v>7190422</v>
          </cell>
          <cell r="O2483" t="str">
            <v/>
          </cell>
          <cell r="P2483" t="str">
            <v/>
          </cell>
          <cell r="Q2483" t="str">
            <v/>
          </cell>
        </row>
        <row r="2484">
          <cell r="N2484" t="str">
            <v>7190422</v>
          </cell>
          <cell r="O2484" t="str">
            <v>LTA</v>
          </cell>
          <cell r="P2484" t="str">
            <v>LTA7190422</v>
          </cell>
          <cell r="Q2484" t="str">
            <v/>
          </cell>
        </row>
        <row r="2485">
          <cell r="N2485" t="str">
            <v>7190422</v>
          </cell>
          <cell r="O2485" t="str">
            <v>PMR</v>
          </cell>
          <cell r="P2485" t="str">
            <v>PMR7190422</v>
          </cell>
          <cell r="Q2485" t="str">
            <v/>
          </cell>
        </row>
        <row r="2486">
          <cell r="N2486" t="str">
            <v>7190423</v>
          </cell>
          <cell r="O2486" t="str">
            <v/>
          </cell>
          <cell r="P2486" t="str">
            <v/>
          </cell>
          <cell r="Q2486" t="str">
            <v>4198</v>
          </cell>
        </row>
        <row r="2487">
          <cell r="N2487" t="str">
            <v>7190423</v>
          </cell>
          <cell r="O2487" t="str">
            <v>6MC</v>
          </cell>
          <cell r="P2487" t="str">
            <v>6MC7190423</v>
          </cell>
          <cell r="Q2487" t="str">
            <v>4198</v>
          </cell>
        </row>
        <row r="2488">
          <cell r="N2488" t="str">
            <v>7190429</v>
          </cell>
          <cell r="O2488" t="str">
            <v/>
          </cell>
          <cell r="P2488" t="str">
            <v/>
          </cell>
          <cell r="Q2488" t="str">
            <v>4198</v>
          </cell>
        </row>
        <row r="2489">
          <cell r="N2489" t="str">
            <v>7190429</v>
          </cell>
          <cell r="O2489" t="str">
            <v>C3H</v>
          </cell>
          <cell r="P2489" t="str">
            <v>C3H7190429</v>
          </cell>
          <cell r="Q2489" t="str">
            <v>4198</v>
          </cell>
        </row>
        <row r="2490">
          <cell r="N2490" t="str">
            <v>7190429</v>
          </cell>
          <cell r="O2490" t="str">
            <v>REG</v>
          </cell>
          <cell r="P2490" t="str">
            <v>REG7190429</v>
          </cell>
          <cell r="Q2490" t="str">
            <v>4198</v>
          </cell>
        </row>
        <row r="2491">
          <cell r="N2491" t="str">
            <v>71907</v>
          </cell>
          <cell r="O2491" t="str">
            <v/>
          </cell>
          <cell r="P2491" t="str">
            <v/>
          </cell>
          <cell r="Q2491" t="str">
            <v>4198</v>
          </cell>
        </row>
        <row r="2492">
          <cell r="N2492" t="str">
            <v>71907</v>
          </cell>
          <cell r="O2492" t="str">
            <v>LRA</v>
          </cell>
          <cell r="P2492" t="str">
            <v>LRA71907</v>
          </cell>
          <cell r="Q2492" t="str">
            <v>4198</v>
          </cell>
        </row>
        <row r="2493">
          <cell r="N2493" t="str">
            <v>71907</v>
          </cell>
          <cell r="O2493" t="str">
            <v>LTA</v>
          </cell>
          <cell r="P2493" t="str">
            <v>LTA71907</v>
          </cell>
          <cell r="Q2493" t="str">
            <v>4198</v>
          </cell>
        </row>
        <row r="2494">
          <cell r="N2494" t="str">
            <v>71907</v>
          </cell>
          <cell r="O2494" t="str">
            <v>ONL</v>
          </cell>
          <cell r="P2494" t="str">
            <v>ONL71907</v>
          </cell>
          <cell r="Q2494" t="str">
            <v>4198</v>
          </cell>
        </row>
        <row r="2495">
          <cell r="N2495" t="str">
            <v>71907</v>
          </cell>
          <cell r="O2495" t="str">
            <v>XXB</v>
          </cell>
          <cell r="P2495" t="str">
            <v>XXB71907</v>
          </cell>
          <cell r="Q2495" t="str">
            <v>4198</v>
          </cell>
        </row>
        <row r="2496">
          <cell r="N2496" t="str">
            <v>71907</v>
          </cell>
          <cell r="O2496" t="str">
            <v>XXC</v>
          </cell>
          <cell r="P2496" t="str">
            <v>XXC71907</v>
          </cell>
          <cell r="Q2496" t="str">
            <v>4198</v>
          </cell>
        </row>
        <row r="2497">
          <cell r="N2497" t="str">
            <v>71907</v>
          </cell>
          <cell r="O2497" t="str">
            <v>111</v>
          </cell>
          <cell r="P2497" t="str">
            <v>11171907</v>
          </cell>
          <cell r="Q2497" t="str">
            <v>4198</v>
          </cell>
        </row>
        <row r="2498">
          <cell r="N2498" t="str">
            <v>71907</v>
          </cell>
          <cell r="O2498" t="str">
            <v>6AU</v>
          </cell>
          <cell r="P2498" t="str">
            <v>6AU71907</v>
          </cell>
          <cell r="Q2498" t="str">
            <v>4198</v>
          </cell>
        </row>
        <row r="2499">
          <cell r="N2499" t="str">
            <v>71908</v>
          </cell>
          <cell r="O2499" t="str">
            <v/>
          </cell>
          <cell r="P2499" t="str">
            <v/>
          </cell>
          <cell r="Q2499" t="str">
            <v/>
          </cell>
        </row>
        <row r="2500">
          <cell r="N2500" t="str">
            <v>71908</v>
          </cell>
          <cell r="O2500" t="str">
            <v>TRP</v>
          </cell>
          <cell r="P2500" t="str">
            <v>TRP71908</v>
          </cell>
          <cell r="Q2500" t="str">
            <v/>
          </cell>
        </row>
        <row r="2501">
          <cell r="N2501" t="str">
            <v>71908</v>
          </cell>
          <cell r="O2501" t="str">
            <v>XXD</v>
          </cell>
          <cell r="P2501" t="str">
            <v>XXD71908</v>
          </cell>
          <cell r="Q2501" t="str">
            <v/>
          </cell>
        </row>
        <row r="2502">
          <cell r="N2502" t="str">
            <v>71908</v>
          </cell>
          <cell r="O2502" t="str">
            <v>XXE</v>
          </cell>
          <cell r="P2502" t="str">
            <v>XXE71908</v>
          </cell>
          <cell r="Q2502" t="str">
            <v/>
          </cell>
        </row>
        <row r="2503">
          <cell r="N2503" t="str">
            <v>719080</v>
          </cell>
          <cell r="O2503" t="str">
            <v/>
          </cell>
          <cell r="P2503" t="str">
            <v/>
          </cell>
          <cell r="Q2503" t="str">
            <v/>
          </cell>
        </row>
        <row r="2504">
          <cell r="N2504" t="str">
            <v>719080</v>
          </cell>
          <cell r="O2504" t="str">
            <v>LTA</v>
          </cell>
          <cell r="P2504" t="str">
            <v>LTA719080</v>
          </cell>
          <cell r="Q2504" t="str">
            <v/>
          </cell>
        </row>
        <row r="2505">
          <cell r="N2505" t="str">
            <v>719080</v>
          </cell>
          <cell r="O2505" t="str">
            <v>ONL</v>
          </cell>
          <cell r="P2505" t="str">
            <v>ONL719080</v>
          </cell>
          <cell r="Q2505" t="str">
            <v/>
          </cell>
        </row>
        <row r="2506">
          <cell r="N2506" t="str">
            <v>719080</v>
          </cell>
          <cell r="O2506" t="str">
            <v>TRE</v>
          </cell>
          <cell r="P2506" t="str">
            <v>TRE719080</v>
          </cell>
          <cell r="Q2506" t="str">
            <v/>
          </cell>
        </row>
        <row r="2507">
          <cell r="N2507" t="str">
            <v>719080</v>
          </cell>
          <cell r="O2507" t="str">
            <v>TRP</v>
          </cell>
          <cell r="P2507" t="str">
            <v>TRP719080</v>
          </cell>
          <cell r="Q2507" t="str">
            <v/>
          </cell>
        </row>
        <row r="2508">
          <cell r="N2508" t="str">
            <v>719080</v>
          </cell>
          <cell r="O2508" t="str">
            <v>XXD</v>
          </cell>
          <cell r="P2508" t="str">
            <v>XXD719080</v>
          </cell>
          <cell r="Q2508" t="str">
            <v/>
          </cell>
        </row>
        <row r="2509">
          <cell r="N2509" t="str">
            <v>719080</v>
          </cell>
          <cell r="O2509" t="str">
            <v>XXE</v>
          </cell>
          <cell r="P2509" t="str">
            <v>XXE719080</v>
          </cell>
          <cell r="Q2509" t="str">
            <v/>
          </cell>
        </row>
        <row r="2510">
          <cell r="N2510" t="str">
            <v>719080</v>
          </cell>
          <cell r="O2510" t="str">
            <v>045</v>
          </cell>
          <cell r="P2510" t="str">
            <v>045719080</v>
          </cell>
          <cell r="Q2510" t="str">
            <v/>
          </cell>
        </row>
        <row r="2511">
          <cell r="N2511" t="str">
            <v>719080</v>
          </cell>
          <cell r="O2511" t="str">
            <v>111</v>
          </cell>
          <cell r="P2511" t="str">
            <v>111719080</v>
          </cell>
          <cell r="Q2511" t="str">
            <v/>
          </cell>
        </row>
        <row r="2512">
          <cell r="N2512" t="str">
            <v>719080</v>
          </cell>
          <cell r="O2512" t="str">
            <v>6PV</v>
          </cell>
          <cell r="P2512" t="str">
            <v>6PV719080</v>
          </cell>
          <cell r="Q2512" t="str">
            <v/>
          </cell>
        </row>
        <row r="2513">
          <cell r="N2513" t="str">
            <v>719089</v>
          </cell>
          <cell r="O2513" t="str">
            <v/>
          </cell>
          <cell r="P2513" t="str">
            <v/>
          </cell>
          <cell r="Q2513" t="str">
            <v/>
          </cell>
        </row>
        <row r="2514">
          <cell r="N2514" t="str">
            <v>719089</v>
          </cell>
          <cell r="O2514" t="str">
            <v>LTA</v>
          </cell>
          <cell r="P2514" t="str">
            <v>LTA719089</v>
          </cell>
          <cell r="Q2514" t="str">
            <v/>
          </cell>
        </row>
        <row r="2515">
          <cell r="N2515" t="str">
            <v>719089</v>
          </cell>
          <cell r="O2515" t="str">
            <v>TRE</v>
          </cell>
          <cell r="P2515" t="str">
            <v>TRE719089</v>
          </cell>
          <cell r="Q2515" t="str">
            <v/>
          </cell>
        </row>
        <row r="2516">
          <cell r="N2516" t="str">
            <v>719089</v>
          </cell>
          <cell r="O2516" t="str">
            <v>XXD</v>
          </cell>
          <cell r="P2516" t="str">
            <v>XXD719089</v>
          </cell>
          <cell r="Q2516" t="str">
            <v/>
          </cell>
        </row>
        <row r="2517">
          <cell r="N2517" t="str">
            <v>719089</v>
          </cell>
          <cell r="O2517" t="str">
            <v>111</v>
          </cell>
          <cell r="P2517" t="str">
            <v>111719089</v>
          </cell>
          <cell r="Q2517" t="str">
            <v/>
          </cell>
        </row>
        <row r="2518">
          <cell r="N2518" t="str">
            <v>7192</v>
          </cell>
          <cell r="O2518" t="str">
            <v/>
          </cell>
          <cell r="P2518" t="str">
            <v/>
          </cell>
          <cell r="Q2518" t="str">
            <v>4198</v>
          </cell>
        </row>
        <row r="2519">
          <cell r="N2519" t="str">
            <v>7192</v>
          </cell>
          <cell r="O2519" t="str">
            <v>ONL</v>
          </cell>
          <cell r="P2519" t="str">
            <v>ONL7192</v>
          </cell>
          <cell r="Q2519" t="str">
            <v>4198</v>
          </cell>
        </row>
        <row r="2520">
          <cell r="N2520" t="str">
            <v>7192</v>
          </cell>
          <cell r="O2520" t="str">
            <v>RB4</v>
          </cell>
          <cell r="P2520" t="str">
            <v>RB47192</v>
          </cell>
          <cell r="Q2520" t="str">
            <v>4198</v>
          </cell>
        </row>
        <row r="2521">
          <cell r="N2521" t="str">
            <v>7192</v>
          </cell>
          <cell r="O2521" t="str">
            <v>61W</v>
          </cell>
          <cell r="P2521" t="str">
            <v>61W7192</v>
          </cell>
          <cell r="Q2521" t="str">
            <v>4198</v>
          </cell>
        </row>
        <row r="2522">
          <cell r="N2522" t="str">
            <v>825911</v>
          </cell>
          <cell r="O2522" t="str">
            <v/>
          </cell>
          <cell r="P2522" t="str">
            <v/>
          </cell>
          <cell r="Q2522" t="str">
            <v>519399</v>
          </cell>
        </row>
        <row r="2523">
          <cell r="N2523" t="str">
            <v>825911</v>
          </cell>
          <cell r="O2523" t="str">
            <v>LTA</v>
          </cell>
          <cell r="P2523" t="str">
            <v>LTA825911</v>
          </cell>
          <cell r="Q2523" t="str">
            <v>519399</v>
          </cell>
        </row>
        <row r="2524">
          <cell r="N2524" t="str">
            <v>825911</v>
          </cell>
          <cell r="O2524" t="str">
            <v>61W</v>
          </cell>
          <cell r="P2524" t="str">
            <v>61W825911</v>
          </cell>
          <cell r="Q2524" t="str">
            <v>519399</v>
          </cell>
        </row>
        <row r="2525">
          <cell r="N2525" t="str">
            <v>8999</v>
          </cell>
          <cell r="O2525" t="str">
            <v/>
          </cell>
          <cell r="P2525" t="str">
            <v/>
          </cell>
          <cell r="Q2525" t="str">
            <v/>
          </cell>
        </row>
        <row r="2526">
          <cell r="N2526" t="str">
            <v>8999</v>
          </cell>
          <cell r="O2526" t="str">
            <v>181</v>
          </cell>
          <cell r="P2526" t="str">
            <v>1818999</v>
          </cell>
          <cell r="Q2526" t="str">
            <v/>
          </cell>
        </row>
        <row r="2527">
          <cell r="N2527" t="str">
            <v>89990</v>
          </cell>
          <cell r="O2527" t="str">
            <v/>
          </cell>
          <cell r="P2527" t="str">
            <v/>
          </cell>
          <cell r="Q2527" t="str">
            <v>55088091</v>
          </cell>
        </row>
        <row r="2528">
          <cell r="N2528" t="str">
            <v>89990</v>
          </cell>
          <cell r="O2528" t="str">
            <v>181</v>
          </cell>
          <cell r="P2528" t="str">
            <v>18189990</v>
          </cell>
          <cell r="Q2528" t="str">
            <v>55088091</v>
          </cell>
        </row>
        <row r="2529">
          <cell r="N2529" t="str">
            <v/>
          </cell>
          <cell r="O2529" t="str">
            <v/>
          </cell>
          <cell r="P2529" t="str">
            <v/>
          </cell>
          <cell r="Q2529" t="str">
            <v/>
          </cell>
        </row>
        <row r="2530">
          <cell r="N2530" t="str">
            <v>7190420</v>
          </cell>
          <cell r="O2530" t="str">
            <v/>
          </cell>
          <cell r="P2530" t="str">
            <v/>
          </cell>
          <cell r="Q2530" t="str">
            <v>5015305700</v>
          </cell>
        </row>
        <row r="2531">
          <cell r="N2531" t="str">
            <v>7190420</v>
          </cell>
          <cell r="O2531" t="str">
            <v>6VV</v>
          </cell>
          <cell r="P2531" t="str">
            <v>6VV7190420</v>
          </cell>
          <cell r="Q2531" t="str">
            <v>5015305700</v>
          </cell>
        </row>
        <row r="2532">
          <cell r="N2532" t="str">
            <v>7190423</v>
          </cell>
          <cell r="O2532" t="str">
            <v/>
          </cell>
          <cell r="P2532" t="str">
            <v/>
          </cell>
          <cell r="Q2532" t="str">
            <v>4198</v>
          </cell>
        </row>
        <row r="2533">
          <cell r="N2533" t="str">
            <v>7190423</v>
          </cell>
          <cell r="O2533" t="str">
            <v>6MP</v>
          </cell>
          <cell r="P2533" t="str">
            <v>6MP7190423</v>
          </cell>
          <cell r="Q2533" t="str">
            <v>4198</v>
          </cell>
        </row>
        <row r="2534">
          <cell r="N2534" t="str">
            <v>719080</v>
          </cell>
          <cell r="O2534" t="str">
            <v/>
          </cell>
          <cell r="P2534" t="str">
            <v/>
          </cell>
          <cell r="Q2534" t="str">
            <v/>
          </cell>
        </row>
        <row r="2535">
          <cell r="N2535" t="str">
            <v>719080</v>
          </cell>
          <cell r="O2535" t="str">
            <v>6VV</v>
          </cell>
          <cell r="P2535" t="str">
            <v>6VV719080</v>
          </cell>
          <cell r="Q2535" t="str">
            <v/>
          </cell>
        </row>
        <row r="2536">
          <cell r="N2536" t="str">
            <v/>
          </cell>
          <cell r="O2536" t="str">
            <v/>
          </cell>
          <cell r="P2536" t="str">
            <v/>
          </cell>
          <cell r="Q2536" t="str">
            <v/>
          </cell>
        </row>
        <row r="2537">
          <cell r="N2537" t="str">
            <v>77965</v>
          </cell>
          <cell r="O2537" t="str">
            <v/>
          </cell>
          <cell r="P2537" t="str">
            <v/>
          </cell>
          <cell r="Q2537" t="str">
            <v>41499</v>
          </cell>
        </row>
        <row r="2538">
          <cell r="N2538" t="str">
            <v>77965</v>
          </cell>
          <cell r="O2538" t="str">
            <v>D5H</v>
          </cell>
          <cell r="P2538" t="str">
            <v>D5H77965</v>
          </cell>
          <cell r="Q2538" t="str">
            <v>41499</v>
          </cell>
        </row>
        <row r="2539">
          <cell r="N2539" t="str">
            <v>77965</v>
          </cell>
          <cell r="O2539" t="str">
            <v>D5M</v>
          </cell>
          <cell r="P2539" t="str">
            <v>D5M77965</v>
          </cell>
          <cell r="Q2539" t="str">
            <v>41499</v>
          </cell>
        </row>
        <row r="2540">
          <cell r="N2540" t="str">
            <v>77965</v>
          </cell>
          <cell r="O2540" t="str">
            <v>D5P</v>
          </cell>
          <cell r="P2540" t="str">
            <v>D5P77965</v>
          </cell>
          <cell r="Q2540" t="str">
            <v>41499</v>
          </cell>
        </row>
        <row r="2541">
          <cell r="N2541" t="str">
            <v>77965</v>
          </cell>
          <cell r="O2541" t="str">
            <v>GD5</v>
          </cell>
          <cell r="P2541" t="str">
            <v>GD577965</v>
          </cell>
          <cell r="Q2541" t="str">
            <v>41499</v>
          </cell>
        </row>
        <row r="2542">
          <cell r="N2542" t="str">
            <v>77965</v>
          </cell>
          <cell r="O2542" t="str">
            <v>ONL</v>
          </cell>
          <cell r="P2542" t="str">
            <v>ONL77965</v>
          </cell>
          <cell r="Q2542" t="str">
            <v>41499</v>
          </cell>
        </row>
        <row r="2543">
          <cell r="N2543" t="str">
            <v>77965</v>
          </cell>
          <cell r="O2543" t="str">
            <v>YIM</v>
          </cell>
          <cell r="P2543" t="str">
            <v>YIM77965</v>
          </cell>
          <cell r="Q2543" t="str">
            <v>41499</v>
          </cell>
        </row>
        <row r="2544">
          <cell r="N2544" t="str">
            <v>77965</v>
          </cell>
          <cell r="O2544" t="str">
            <v>5DG</v>
          </cell>
          <cell r="P2544" t="str">
            <v>5DG77965</v>
          </cell>
          <cell r="Q2544" t="str">
            <v>41499</v>
          </cell>
        </row>
        <row r="2545">
          <cell r="N2545" t="str">
            <v>77965</v>
          </cell>
          <cell r="O2545" t="str">
            <v>5DH</v>
          </cell>
          <cell r="P2545" t="str">
            <v>5DH77965</v>
          </cell>
          <cell r="Q2545" t="str">
            <v>41499</v>
          </cell>
        </row>
        <row r="2546">
          <cell r="N2546" t="str">
            <v>77965</v>
          </cell>
          <cell r="O2546" t="str">
            <v>5DM</v>
          </cell>
          <cell r="P2546" t="str">
            <v>5DM77965</v>
          </cell>
          <cell r="Q2546" t="str">
            <v>41499</v>
          </cell>
        </row>
        <row r="2547">
          <cell r="N2547" t="str">
            <v>77965</v>
          </cell>
          <cell r="O2547" t="str">
            <v>5DP</v>
          </cell>
          <cell r="P2547" t="str">
            <v>5DP77965</v>
          </cell>
          <cell r="Q2547" t="str">
            <v>41499</v>
          </cell>
        </row>
        <row r="2548">
          <cell r="N2548" t="str">
            <v>77980</v>
          </cell>
          <cell r="O2548" t="str">
            <v/>
          </cell>
          <cell r="P2548" t="str">
            <v/>
          </cell>
          <cell r="Q2548" t="str">
            <v>4508809110</v>
          </cell>
        </row>
        <row r="2549">
          <cell r="N2549" t="str">
            <v>77980</v>
          </cell>
          <cell r="O2549" t="str">
            <v>MER</v>
          </cell>
          <cell r="P2549" t="str">
            <v>MER77980</v>
          </cell>
          <cell r="Q2549" t="str">
            <v>4508809110</v>
          </cell>
        </row>
        <row r="2550">
          <cell r="N2550" t="str">
            <v>77986</v>
          </cell>
          <cell r="O2550" t="str">
            <v/>
          </cell>
          <cell r="P2550" t="str">
            <v/>
          </cell>
          <cell r="Q2550" t="str">
            <v>4508809116</v>
          </cell>
        </row>
        <row r="2551">
          <cell r="N2551" t="str">
            <v>77986</v>
          </cell>
          <cell r="O2551" t="str">
            <v>MER</v>
          </cell>
          <cell r="P2551" t="str">
            <v>MER77986</v>
          </cell>
          <cell r="Q2551" t="str">
            <v>4508809116</v>
          </cell>
        </row>
        <row r="2552">
          <cell r="N2552" t="str">
            <v>7799</v>
          </cell>
          <cell r="O2552" t="str">
            <v/>
          </cell>
          <cell r="P2552" t="str">
            <v/>
          </cell>
          <cell r="Q2552" t="str">
            <v/>
          </cell>
        </row>
        <row r="2553">
          <cell r="N2553" t="str">
            <v>7799</v>
          </cell>
          <cell r="O2553" t="str">
            <v>DCX</v>
          </cell>
          <cell r="P2553" t="str">
            <v>DCX7799</v>
          </cell>
          <cell r="Q2553" t="str">
            <v/>
          </cell>
        </row>
        <row r="2554">
          <cell r="N2554" t="str">
            <v>779900</v>
          </cell>
          <cell r="O2554" t="str">
            <v/>
          </cell>
          <cell r="P2554" t="str">
            <v/>
          </cell>
          <cell r="Q2554" t="str">
            <v>450880910</v>
          </cell>
        </row>
        <row r="2555">
          <cell r="N2555" t="str">
            <v>779900</v>
          </cell>
          <cell r="O2555" t="str">
            <v>DCX</v>
          </cell>
          <cell r="P2555" t="str">
            <v>DCX779900</v>
          </cell>
          <cell r="Q2555" t="str">
            <v>450880910</v>
          </cell>
        </row>
        <row r="2556">
          <cell r="N2556" t="str">
            <v>8251202</v>
          </cell>
          <cell r="O2556" t="str">
            <v/>
          </cell>
          <cell r="P2556" t="str">
            <v/>
          </cell>
          <cell r="Q2556" t="str">
            <v>5151202</v>
          </cell>
        </row>
        <row r="2557">
          <cell r="N2557" t="str">
            <v>8251202</v>
          </cell>
          <cell r="O2557" t="str">
            <v>C00</v>
          </cell>
          <cell r="P2557" t="str">
            <v>C008251202</v>
          </cell>
          <cell r="Q2557" t="str">
            <v>5151202</v>
          </cell>
        </row>
        <row r="2558">
          <cell r="N2558" t="str">
            <v>825181</v>
          </cell>
          <cell r="O2558" t="str">
            <v/>
          </cell>
          <cell r="P2558" t="str">
            <v/>
          </cell>
          <cell r="Q2558" t="str">
            <v>51518</v>
          </cell>
        </row>
        <row r="2559">
          <cell r="N2559" t="str">
            <v>825181</v>
          </cell>
          <cell r="O2559" t="str">
            <v>ONL</v>
          </cell>
          <cell r="P2559" t="str">
            <v>ONL825181</v>
          </cell>
          <cell r="Q2559" t="str">
            <v>51518</v>
          </cell>
        </row>
        <row r="2560">
          <cell r="N2560" t="str">
            <v>825181</v>
          </cell>
          <cell r="O2560" t="str">
            <v>1CG</v>
          </cell>
          <cell r="P2560" t="str">
            <v>1CG825181</v>
          </cell>
          <cell r="Q2560" t="str">
            <v>51518</v>
          </cell>
        </row>
        <row r="2561">
          <cell r="N2561" t="str">
            <v>825919</v>
          </cell>
          <cell r="O2561" t="str">
            <v/>
          </cell>
          <cell r="P2561" t="str">
            <v/>
          </cell>
          <cell r="Q2561" t="str">
            <v>519399</v>
          </cell>
        </row>
        <row r="2562">
          <cell r="N2562" t="str">
            <v>825919</v>
          </cell>
          <cell r="O2562" t="str">
            <v>C00</v>
          </cell>
          <cell r="P2562" t="str">
            <v>C00825919</v>
          </cell>
          <cell r="Q2562" t="str">
            <v>519399</v>
          </cell>
        </row>
        <row r="2563">
          <cell r="N2563" t="str">
            <v>825919</v>
          </cell>
          <cell r="O2563" t="str">
            <v>C4G</v>
          </cell>
          <cell r="P2563" t="str">
            <v>C4G825919</v>
          </cell>
          <cell r="Q2563" t="str">
            <v>519399</v>
          </cell>
        </row>
        <row r="2564">
          <cell r="N2564" t="str">
            <v>825919</v>
          </cell>
          <cell r="O2564" t="str">
            <v>1CP</v>
          </cell>
          <cell r="P2564" t="str">
            <v>1CP825919</v>
          </cell>
          <cell r="Q2564" t="str">
            <v>519399</v>
          </cell>
        </row>
        <row r="2565">
          <cell r="N2565" t="str">
            <v>825919</v>
          </cell>
          <cell r="O2565" t="str">
            <v>4CG</v>
          </cell>
          <cell r="P2565" t="str">
            <v>4CG825919</v>
          </cell>
          <cell r="Q2565" t="str">
            <v>519399</v>
          </cell>
        </row>
        <row r="2566">
          <cell r="N2566" t="str">
            <v>825919</v>
          </cell>
          <cell r="O2566" t="str">
            <v>4CK</v>
          </cell>
          <cell r="P2566" t="str">
            <v>4CK825919</v>
          </cell>
          <cell r="Q2566" t="str">
            <v>519399</v>
          </cell>
        </row>
        <row r="2567">
          <cell r="N2567" t="str">
            <v>82599</v>
          </cell>
          <cell r="O2567" t="str">
            <v/>
          </cell>
          <cell r="P2567" t="str">
            <v/>
          </cell>
          <cell r="Q2567" t="str">
            <v>519399</v>
          </cell>
        </row>
        <row r="2568">
          <cell r="N2568" t="str">
            <v>82599</v>
          </cell>
          <cell r="O2568" t="str">
            <v>C00</v>
          </cell>
          <cell r="P2568" t="str">
            <v>C0082599</v>
          </cell>
          <cell r="Q2568" t="str">
            <v>519399</v>
          </cell>
        </row>
        <row r="2569">
          <cell r="N2569" t="str">
            <v>8299</v>
          </cell>
          <cell r="O2569" t="str">
            <v/>
          </cell>
          <cell r="P2569" t="str">
            <v/>
          </cell>
          <cell r="Q2569" t="str">
            <v/>
          </cell>
        </row>
        <row r="2570">
          <cell r="N2570" t="str">
            <v>8299</v>
          </cell>
          <cell r="O2570" t="str">
            <v>1CP</v>
          </cell>
          <cell r="P2570" t="str">
            <v>1CP8299</v>
          </cell>
          <cell r="Q2570" t="str">
            <v/>
          </cell>
        </row>
        <row r="2571">
          <cell r="N2571" t="str">
            <v>8299</v>
          </cell>
          <cell r="O2571" t="str">
            <v>1CQ</v>
          </cell>
          <cell r="P2571" t="str">
            <v>1CQ8299</v>
          </cell>
          <cell r="Q2571" t="str">
            <v/>
          </cell>
        </row>
        <row r="2572">
          <cell r="N2572" t="str">
            <v>8299</v>
          </cell>
          <cell r="O2572" t="str">
            <v>3CU</v>
          </cell>
          <cell r="P2572" t="str">
            <v>3CU8299</v>
          </cell>
          <cell r="Q2572" t="str">
            <v/>
          </cell>
        </row>
        <row r="2573">
          <cell r="N2573" t="str">
            <v>82999</v>
          </cell>
          <cell r="O2573" t="str">
            <v/>
          </cell>
          <cell r="P2573" t="str">
            <v/>
          </cell>
          <cell r="Q2573" t="str">
            <v>51999</v>
          </cell>
        </row>
        <row r="2574">
          <cell r="N2574" t="str">
            <v>82999</v>
          </cell>
          <cell r="O2574" t="str">
            <v>C4C</v>
          </cell>
          <cell r="P2574" t="str">
            <v>C4C82999</v>
          </cell>
          <cell r="Q2574" t="str">
            <v>51999</v>
          </cell>
        </row>
        <row r="2575">
          <cell r="N2575" t="str">
            <v>82999</v>
          </cell>
          <cell r="O2575" t="str">
            <v>XC0</v>
          </cell>
          <cell r="P2575" t="str">
            <v>XC082999</v>
          </cell>
          <cell r="Q2575" t="str">
            <v>51999</v>
          </cell>
        </row>
        <row r="2576">
          <cell r="N2576" t="str">
            <v>82999</v>
          </cell>
          <cell r="O2576" t="str">
            <v>ZC0</v>
          </cell>
          <cell r="P2576" t="str">
            <v>ZC082999</v>
          </cell>
          <cell r="Q2576" t="str">
            <v>51999</v>
          </cell>
        </row>
        <row r="2577">
          <cell r="N2577" t="str">
            <v>82999</v>
          </cell>
          <cell r="O2577" t="str">
            <v>1CP</v>
          </cell>
          <cell r="P2577" t="str">
            <v>1CP82999</v>
          </cell>
          <cell r="Q2577" t="str">
            <v>51999</v>
          </cell>
        </row>
        <row r="2578">
          <cell r="N2578" t="str">
            <v>89352</v>
          </cell>
          <cell r="O2578" t="str">
            <v/>
          </cell>
          <cell r="P2578" t="str">
            <v/>
          </cell>
          <cell r="Q2578" t="str">
            <v>4311811</v>
          </cell>
        </row>
        <row r="2579">
          <cell r="N2579" t="str">
            <v>89352</v>
          </cell>
          <cell r="O2579" t="str">
            <v>DCQ</v>
          </cell>
          <cell r="P2579" t="str">
            <v>DCQ89352</v>
          </cell>
          <cell r="Q2579" t="str">
            <v>4311811</v>
          </cell>
        </row>
        <row r="2580">
          <cell r="N2580" t="str">
            <v>89352</v>
          </cell>
          <cell r="O2580" t="str">
            <v>DCX</v>
          </cell>
          <cell r="P2580" t="str">
            <v>DCX89352</v>
          </cell>
          <cell r="Q2580" t="str">
            <v>4311811</v>
          </cell>
        </row>
        <row r="2581">
          <cell r="N2581" t="str">
            <v>89352</v>
          </cell>
          <cell r="O2581" t="str">
            <v>DC5</v>
          </cell>
          <cell r="P2581" t="str">
            <v>DC589352</v>
          </cell>
          <cell r="Q2581" t="str">
            <v>4311811</v>
          </cell>
        </row>
        <row r="2582">
          <cell r="N2582" t="str">
            <v>89352</v>
          </cell>
          <cell r="O2582" t="str">
            <v>DC9</v>
          </cell>
          <cell r="P2582" t="str">
            <v>DC989352</v>
          </cell>
          <cell r="Q2582" t="str">
            <v>4311811</v>
          </cell>
        </row>
        <row r="2583">
          <cell r="N2583" t="str">
            <v>89352</v>
          </cell>
          <cell r="O2583" t="str">
            <v>EXP</v>
          </cell>
          <cell r="P2583" t="str">
            <v>EXP89352</v>
          </cell>
          <cell r="Q2583" t="str">
            <v>4311811</v>
          </cell>
        </row>
        <row r="2584">
          <cell r="N2584" t="str">
            <v>89352</v>
          </cell>
          <cell r="O2584" t="str">
            <v>LRA</v>
          </cell>
          <cell r="P2584" t="str">
            <v>LRA89352</v>
          </cell>
          <cell r="Q2584" t="str">
            <v>4311811</v>
          </cell>
        </row>
        <row r="2585">
          <cell r="N2585" t="str">
            <v>89352</v>
          </cell>
          <cell r="O2585" t="str">
            <v>ONL</v>
          </cell>
          <cell r="P2585" t="str">
            <v>ONL89352</v>
          </cell>
          <cell r="Q2585" t="str">
            <v>4311811</v>
          </cell>
        </row>
        <row r="2586">
          <cell r="N2586" t="str">
            <v>89352</v>
          </cell>
          <cell r="O2586" t="str">
            <v>RDJ</v>
          </cell>
          <cell r="P2586" t="str">
            <v>RDJ89352</v>
          </cell>
          <cell r="Q2586" t="str">
            <v>4311811</v>
          </cell>
        </row>
        <row r="2587">
          <cell r="N2587" t="str">
            <v>89352</v>
          </cell>
          <cell r="O2587" t="str">
            <v>0C4</v>
          </cell>
          <cell r="P2587" t="str">
            <v>0C489352</v>
          </cell>
          <cell r="Q2587" t="str">
            <v>4311811</v>
          </cell>
        </row>
        <row r="2588">
          <cell r="N2588" t="str">
            <v>89352</v>
          </cell>
          <cell r="O2588" t="str">
            <v>014</v>
          </cell>
          <cell r="P2588" t="str">
            <v>01489352</v>
          </cell>
          <cell r="Q2588" t="str">
            <v>4311811</v>
          </cell>
        </row>
        <row r="2589">
          <cell r="N2589" t="str">
            <v>89352</v>
          </cell>
          <cell r="O2589" t="str">
            <v>111</v>
          </cell>
          <cell r="P2589" t="str">
            <v>11189352</v>
          </cell>
          <cell r="Q2589" t="str">
            <v>4311811</v>
          </cell>
        </row>
        <row r="2590">
          <cell r="N2590" t="str">
            <v>89352</v>
          </cell>
          <cell r="O2590" t="str">
            <v>73B</v>
          </cell>
          <cell r="P2590" t="str">
            <v>73B89352</v>
          </cell>
          <cell r="Q2590" t="str">
            <v>4311811</v>
          </cell>
        </row>
        <row r="2591">
          <cell r="N2591" t="str">
            <v>89353</v>
          </cell>
          <cell r="O2591" t="str">
            <v/>
          </cell>
          <cell r="P2591" t="str">
            <v/>
          </cell>
          <cell r="Q2591" t="str">
            <v>4311811</v>
          </cell>
        </row>
        <row r="2592">
          <cell r="N2592" t="str">
            <v>89353</v>
          </cell>
          <cell r="O2592" t="str">
            <v>C4X</v>
          </cell>
          <cell r="P2592" t="str">
            <v>C4X89353</v>
          </cell>
          <cell r="Q2592" t="str">
            <v>4311811</v>
          </cell>
        </row>
        <row r="2593">
          <cell r="N2593" t="str">
            <v>89353</v>
          </cell>
          <cell r="O2593" t="str">
            <v>MER</v>
          </cell>
          <cell r="P2593" t="str">
            <v>MER89353</v>
          </cell>
          <cell r="Q2593" t="str">
            <v>4311811</v>
          </cell>
        </row>
        <row r="2594">
          <cell r="N2594" t="str">
            <v>89353</v>
          </cell>
          <cell r="O2594" t="str">
            <v>ONL</v>
          </cell>
          <cell r="P2594" t="str">
            <v>ONL89353</v>
          </cell>
          <cell r="Q2594" t="str">
            <v>4311811</v>
          </cell>
        </row>
        <row r="2595">
          <cell r="N2595" t="str">
            <v>89353</v>
          </cell>
          <cell r="O2595" t="str">
            <v>RGP</v>
          </cell>
          <cell r="P2595" t="str">
            <v>RGP89353</v>
          </cell>
          <cell r="Q2595" t="str">
            <v>4311811</v>
          </cell>
        </row>
        <row r="2596">
          <cell r="N2596" t="str">
            <v>89353</v>
          </cell>
          <cell r="O2596" t="str">
            <v>ZC3</v>
          </cell>
          <cell r="P2596" t="str">
            <v>ZC389353</v>
          </cell>
          <cell r="Q2596" t="str">
            <v>4311811</v>
          </cell>
        </row>
        <row r="2597">
          <cell r="N2597" t="str">
            <v>89353</v>
          </cell>
          <cell r="O2597" t="str">
            <v>111</v>
          </cell>
          <cell r="P2597" t="str">
            <v>11189353</v>
          </cell>
          <cell r="Q2597" t="str">
            <v>4311811</v>
          </cell>
        </row>
        <row r="2598">
          <cell r="N2598" t="str">
            <v>89353</v>
          </cell>
          <cell r="O2598" t="str">
            <v>4CX</v>
          </cell>
          <cell r="P2598" t="str">
            <v>4CX89353</v>
          </cell>
          <cell r="Q2598" t="str">
            <v>4311811</v>
          </cell>
        </row>
        <row r="2599">
          <cell r="N2599" t="str">
            <v>8951</v>
          </cell>
          <cell r="O2599" t="str">
            <v/>
          </cell>
          <cell r="P2599" t="str">
            <v/>
          </cell>
          <cell r="Q2599" t="str">
            <v>5753949</v>
          </cell>
        </row>
        <row r="2600">
          <cell r="N2600" t="str">
            <v>8951</v>
          </cell>
          <cell r="O2600" t="str">
            <v>MIM</v>
          </cell>
          <cell r="P2600" t="str">
            <v>MIM8951</v>
          </cell>
          <cell r="Q2600" t="str">
            <v>5753949</v>
          </cell>
        </row>
        <row r="2601">
          <cell r="N2601" t="str">
            <v>8952</v>
          </cell>
          <cell r="O2601" t="str">
            <v/>
          </cell>
          <cell r="P2601" t="str">
            <v/>
          </cell>
          <cell r="Q2601" t="str">
            <v>5508210</v>
          </cell>
        </row>
        <row r="2602">
          <cell r="N2602" t="str">
            <v>8952</v>
          </cell>
          <cell r="O2602" t="str">
            <v>DC5</v>
          </cell>
          <cell r="P2602" t="str">
            <v>DC58952</v>
          </cell>
          <cell r="Q2602" t="str">
            <v>5508210</v>
          </cell>
        </row>
        <row r="2603">
          <cell r="N2603" t="str">
            <v>8999</v>
          </cell>
          <cell r="O2603" t="str">
            <v/>
          </cell>
          <cell r="P2603" t="str">
            <v/>
          </cell>
          <cell r="Q2603" t="str">
            <v/>
          </cell>
        </row>
        <row r="2604">
          <cell r="N2604" t="str">
            <v>8999</v>
          </cell>
          <cell r="O2604" t="str">
            <v>RGP</v>
          </cell>
          <cell r="P2604" t="str">
            <v>RGP8999</v>
          </cell>
          <cell r="Q2604" t="str">
            <v/>
          </cell>
        </row>
        <row r="2605">
          <cell r="N2605" t="str">
            <v/>
          </cell>
          <cell r="O2605" t="str">
            <v/>
          </cell>
          <cell r="P2605" t="str">
            <v/>
          </cell>
          <cell r="Q2605" t="str">
            <v/>
          </cell>
        </row>
        <row r="2606">
          <cell r="N2606" t="str">
            <v/>
          </cell>
          <cell r="O2606" t="str">
            <v/>
          </cell>
          <cell r="P2606" t="str">
            <v/>
          </cell>
          <cell r="Q2606" t="str">
            <v/>
          </cell>
        </row>
        <row r="2607">
          <cell r="N2607" t="str">
            <v>77951</v>
          </cell>
          <cell r="O2607" t="str">
            <v/>
          </cell>
          <cell r="P2607" t="str">
            <v/>
          </cell>
          <cell r="Q2607" t="str">
            <v>4161599</v>
          </cell>
        </row>
        <row r="2608">
          <cell r="N2608" t="str">
            <v>77951</v>
          </cell>
          <cell r="O2608" t="str">
            <v>LRA</v>
          </cell>
          <cell r="P2608" t="str">
            <v>LRA77951</v>
          </cell>
          <cell r="Q2608" t="str">
            <v>4161599</v>
          </cell>
        </row>
        <row r="2609">
          <cell r="N2609" t="str">
            <v>779900</v>
          </cell>
          <cell r="O2609" t="str">
            <v/>
          </cell>
          <cell r="P2609" t="str">
            <v/>
          </cell>
          <cell r="Q2609" t="str">
            <v>450880910</v>
          </cell>
        </row>
        <row r="2610">
          <cell r="N2610" t="str">
            <v>779900</v>
          </cell>
          <cell r="O2610" t="str">
            <v>XTP</v>
          </cell>
          <cell r="P2610" t="str">
            <v>XTP779900</v>
          </cell>
          <cell r="Q2610" t="str">
            <v>450880910</v>
          </cell>
        </row>
        <row r="2611">
          <cell r="N2611" t="str">
            <v>82040</v>
          </cell>
          <cell r="O2611" t="str">
            <v/>
          </cell>
          <cell r="P2611" t="str">
            <v/>
          </cell>
          <cell r="Q2611" t="str">
            <v>51091</v>
          </cell>
        </row>
        <row r="2612">
          <cell r="N2612" t="str">
            <v>82040</v>
          </cell>
          <cell r="O2612" t="str">
            <v>CRR</v>
          </cell>
          <cell r="P2612" t="str">
            <v>CRR82040</v>
          </cell>
          <cell r="Q2612" t="str">
            <v>51091</v>
          </cell>
        </row>
        <row r="2613">
          <cell r="N2613" t="str">
            <v>82041</v>
          </cell>
          <cell r="O2613" t="str">
            <v/>
          </cell>
          <cell r="P2613" t="str">
            <v/>
          </cell>
          <cell r="Q2613" t="str">
            <v>51091</v>
          </cell>
        </row>
        <row r="2614">
          <cell r="N2614" t="str">
            <v>82041</v>
          </cell>
          <cell r="O2614" t="str">
            <v>CRR</v>
          </cell>
          <cell r="P2614" t="str">
            <v>CRR82041</v>
          </cell>
          <cell r="Q2614" t="str">
            <v>51091</v>
          </cell>
        </row>
        <row r="2615">
          <cell r="N2615" t="str">
            <v>82519</v>
          </cell>
          <cell r="O2615" t="str">
            <v/>
          </cell>
          <cell r="P2615" t="str">
            <v/>
          </cell>
          <cell r="Q2615" t="str">
            <v/>
          </cell>
        </row>
        <row r="2616">
          <cell r="N2616" t="str">
            <v>82519</v>
          </cell>
          <cell r="O2616" t="str">
            <v>CRR</v>
          </cell>
          <cell r="P2616" t="str">
            <v>CRR82519</v>
          </cell>
          <cell r="Q2616" t="str">
            <v/>
          </cell>
        </row>
        <row r="2617">
          <cell r="N2617" t="str">
            <v>8258</v>
          </cell>
          <cell r="O2617" t="str">
            <v/>
          </cell>
          <cell r="P2617" t="str">
            <v/>
          </cell>
          <cell r="Q2617" t="str">
            <v/>
          </cell>
        </row>
        <row r="2618">
          <cell r="N2618" t="str">
            <v>8258</v>
          </cell>
          <cell r="O2618" t="str">
            <v>ONL</v>
          </cell>
          <cell r="P2618" t="str">
            <v>ONL8258</v>
          </cell>
          <cell r="Q2618" t="str">
            <v/>
          </cell>
        </row>
        <row r="2619">
          <cell r="N2619" t="str">
            <v>8258</v>
          </cell>
          <cell r="O2619" t="str">
            <v>111</v>
          </cell>
          <cell r="P2619" t="str">
            <v>1118258</v>
          </cell>
          <cell r="Q2619" t="str">
            <v/>
          </cell>
        </row>
        <row r="2620">
          <cell r="N2620" t="str">
            <v>82589</v>
          </cell>
          <cell r="O2620" t="str">
            <v/>
          </cell>
          <cell r="P2620" t="str">
            <v/>
          </cell>
          <cell r="Q2620" t="str">
            <v>5192</v>
          </cell>
        </row>
        <row r="2621">
          <cell r="N2621" t="str">
            <v>82589</v>
          </cell>
          <cell r="O2621" t="str">
            <v>111</v>
          </cell>
          <cell r="P2621" t="str">
            <v>11182589</v>
          </cell>
          <cell r="Q2621" t="str">
            <v>5192</v>
          </cell>
        </row>
        <row r="2622">
          <cell r="N2622" t="str">
            <v>825919</v>
          </cell>
          <cell r="O2622" t="str">
            <v/>
          </cell>
          <cell r="P2622" t="str">
            <v/>
          </cell>
          <cell r="Q2622" t="str">
            <v>519399</v>
          </cell>
        </row>
        <row r="2623">
          <cell r="N2623" t="str">
            <v>825919</v>
          </cell>
          <cell r="O2623" t="str">
            <v>CCO</v>
          </cell>
          <cell r="P2623" t="str">
            <v>CCO825919</v>
          </cell>
          <cell r="Q2623" t="str">
            <v>519399</v>
          </cell>
        </row>
        <row r="2624">
          <cell r="N2624" t="str">
            <v>825919</v>
          </cell>
          <cell r="O2624" t="str">
            <v>L01</v>
          </cell>
          <cell r="P2624" t="str">
            <v>L01825919</v>
          </cell>
          <cell r="Q2624" t="str">
            <v>519399</v>
          </cell>
        </row>
        <row r="2625">
          <cell r="N2625" t="str">
            <v>825919</v>
          </cell>
          <cell r="O2625" t="str">
            <v>ONL</v>
          </cell>
          <cell r="P2625" t="str">
            <v>ONL825919</v>
          </cell>
          <cell r="Q2625" t="str">
            <v>519399</v>
          </cell>
        </row>
        <row r="2626">
          <cell r="N2626" t="str">
            <v>825919</v>
          </cell>
          <cell r="O2626" t="str">
            <v>XTP</v>
          </cell>
          <cell r="P2626" t="str">
            <v>XTP825919</v>
          </cell>
          <cell r="Q2626" t="str">
            <v>519399</v>
          </cell>
        </row>
        <row r="2627">
          <cell r="N2627" t="str">
            <v>825919</v>
          </cell>
          <cell r="O2627" t="str">
            <v>5CC</v>
          </cell>
          <cell r="P2627" t="str">
            <v>5CC825919</v>
          </cell>
          <cell r="Q2627" t="str">
            <v>519399</v>
          </cell>
        </row>
        <row r="2628">
          <cell r="N2628" t="str">
            <v>825919</v>
          </cell>
          <cell r="O2628" t="str">
            <v>611</v>
          </cell>
          <cell r="P2628" t="str">
            <v>611825919</v>
          </cell>
          <cell r="Q2628" t="str">
            <v>519399</v>
          </cell>
        </row>
        <row r="2629">
          <cell r="N2629" t="str">
            <v>825919</v>
          </cell>
          <cell r="O2629" t="str">
            <v>67T</v>
          </cell>
          <cell r="P2629" t="str">
            <v>67T825919</v>
          </cell>
          <cell r="Q2629" t="str">
            <v>519399</v>
          </cell>
        </row>
        <row r="2630">
          <cell r="N2630" t="str">
            <v>825919</v>
          </cell>
          <cell r="O2630" t="str">
            <v>873</v>
          </cell>
          <cell r="P2630" t="str">
            <v>873825919</v>
          </cell>
          <cell r="Q2630" t="str">
            <v>519399</v>
          </cell>
        </row>
        <row r="2631">
          <cell r="N2631" t="str">
            <v>825930</v>
          </cell>
          <cell r="O2631" t="str">
            <v/>
          </cell>
          <cell r="P2631" t="str">
            <v/>
          </cell>
          <cell r="Q2631" t="str">
            <v>501530470</v>
          </cell>
        </row>
        <row r="2632">
          <cell r="N2632" t="str">
            <v>825930</v>
          </cell>
          <cell r="O2632" t="str">
            <v>CRR</v>
          </cell>
          <cell r="P2632" t="str">
            <v>CRR825930</v>
          </cell>
          <cell r="Q2632" t="str">
            <v>501530470</v>
          </cell>
        </row>
        <row r="2633">
          <cell r="N2633" t="str">
            <v>825930</v>
          </cell>
          <cell r="O2633" t="str">
            <v>!85</v>
          </cell>
          <cell r="P2633" t="str">
            <v>!85825930</v>
          </cell>
          <cell r="Q2633" t="str">
            <v>501530470</v>
          </cell>
        </row>
        <row r="2634">
          <cell r="N2634" t="str">
            <v>825944</v>
          </cell>
          <cell r="O2634" t="str">
            <v/>
          </cell>
          <cell r="P2634" t="str">
            <v/>
          </cell>
          <cell r="Q2634" t="str">
            <v>512018</v>
          </cell>
        </row>
        <row r="2635">
          <cell r="N2635" t="str">
            <v>825944</v>
          </cell>
          <cell r="O2635" t="str">
            <v>APG</v>
          </cell>
          <cell r="P2635" t="str">
            <v>APG825944</v>
          </cell>
          <cell r="Q2635" t="str">
            <v>512018</v>
          </cell>
        </row>
        <row r="2636">
          <cell r="N2636" t="str">
            <v>825944</v>
          </cell>
          <cell r="O2636" t="str">
            <v>CRR</v>
          </cell>
          <cell r="P2636" t="str">
            <v>CRR825944</v>
          </cell>
          <cell r="Q2636" t="str">
            <v>512018</v>
          </cell>
        </row>
        <row r="2637">
          <cell r="N2637" t="str">
            <v>825944</v>
          </cell>
          <cell r="O2637" t="str">
            <v>LRA</v>
          </cell>
          <cell r="P2637" t="str">
            <v>LRA825944</v>
          </cell>
          <cell r="Q2637" t="str">
            <v>512018</v>
          </cell>
        </row>
        <row r="2638">
          <cell r="N2638" t="str">
            <v>82595</v>
          </cell>
          <cell r="O2638" t="str">
            <v/>
          </cell>
          <cell r="P2638" t="str">
            <v/>
          </cell>
          <cell r="Q2638" t="str">
            <v/>
          </cell>
        </row>
        <row r="2639">
          <cell r="N2639" t="str">
            <v>82595</v>
          </cell>
          <cell r="O2639" t="str">
            <v>ONL</v>
          </cell>
          <cell r="P2639" t="str">
            <v>ONL82595</v>
          </cell>
          <cell r="Q2639" t="str">
            <v/>
          </cell>
        </row>
        <row r="2640">
          <cell r="N2640" t="str">
            <v>82596</v>
          </cell>
          <cell r="O2640" t="str">
            <v/>
          </cell>
          <cell r="P2640" t="str">
            <v/>
          </cell>
          <cell r="Q2640" t="str">
            <v>502031047</v>
          </cell>
        </row>
        <row r="2641">
          <cell r="N2641" t="str">
            <v>82596</v>
          </cell>
          <cell r="O2641" t="str">
            <v>AE4</v>
          </cell>
          <cell r="P2641" t="str">
            <v>AE482596</v>
          </cell>
          <cell r="Q2641" t="str">
            <v>502031047</v>
          </cell>
        </row>
        <row r="2642">
          <cell r="N2642" t="str">
            <v>82596</v>
          </cell>
          <cell r="O2642" t="str">
            <v>CCO</v>
          </cell>
          <cell r="P2642" t="str">
            <v>CCO82596</v>
          </cell>
          <cell r="Q2642" t="str">
            <v>502031047</v>
          </cell>
        </row>
        <row r="2643">
          <cell r="N2643" t="str">
            <v>82599</v>
          </cell>
          <cell r="O2643" t="str">
            <v/>
          </cell>
          <cell r="P2643" t="str">
            <v/>
          </cell>
          <cell r="Q2643" t="str">
            <v>519399</v>
          </cell>
        </row>
        <row r="2644">
          <cell r="N2644" t="str">
            <v>82599</v>
          </cell>
          <cell r="O2644" t="str">
            <v>APG</v>
          </cell>
          <cell r="P2644" t="str">
            <v>APG82599</v>
          </cell>
          <cell r="Q2644" t="str">
            <v>519399</v>
          </cell>
        </row>
        <row r="2645">
          <cell r="N2645" t="str">
            <v>82599</v>
          </cell>
          <cell r="O2645" t="str">
            <v>CAG</v>
          </cell>
          <cell r="P2645" t="str">
            <v>CAG82599</v>
          </cell>
          <cell r="Q2645" t="str">
            <v>519399</v>
          </cell>
        </row>
        <row r="2646">
          <cell r="N2646" t="str">
            <v>82599</v>
          </cell>
          <cell r="O2646" t="str">
            <v>CRR</v>
          </cell>
          <cell r="P2646" t="str">
            <v>CRR82599</v>
          </cell>
          <cell r="Q2646" t="str">
            <v>519399</v>
          </cell>
        </row>
        <row r="2647">
          <cell r="N2647" t="str">
            <v>82599</v>
          </cell>
          <cell r="O2647" t="str">
            <v>L01</v>
          </cell>
          <cell r="P2647" t="str">
            <v>L0182599</v>
          </cell>
          <cell r="Q2647" t="str">
            <v>519399</v>
          </cell>
        </row>
        <row r="2648">
          <cell r="N2648" t="str">
            <v>82599</v>
          </cell>
          <cell r="O2648" t="str">
            <v>ONL</v>
          </cell>
          <cell r="P2648" t="str">
            <v>ONL82599</v>
          </cell>
          <cell r="Q2648" t="str">
            <v>519399</v>
          </cell>
        </row>
        <row r="2649">
          <cell r="N2649" t="str">
            <v>82599</v>
          </cell>
          <cell r="O2649" t="str">
            <v>111</v>
          </cell>
          <cell r="P2649" t="str">
            <v>11182599</v>
          </cell>
          <cell r="Q2649" t="str">
            <v>519399</v>
          </cell>
        </row>
        <row r="2650">
          <cell r="N2650" t="str">
            <v>89284</v>
          </cell>
          <cell r="O2650" t="str">
            <v/>
          </cell>
          <cell r="P2650" t="str">
            <v/>
          </cell>
          <cell r="Q2650" t="str">
            <v/>
          </cell>
        </row>
        <row r="2651">
          <cell r="N2651" t="str">
            <v>89284</v>
          </cell>
          <cell r="O2651" t="str">
            <v>CRR</v>
          </cell>
          <cell r="P2651" t="str">
            <v>CRR89284</v>
          </cell>
          <cell r="Q2651" t="str">
            <v/>
          </cell>
        </row>
        <row r="2652">
          <cell r="N2652" t="str">
            <v>89343</v>
          </cell>
          <cell r="O2652" t="str">
            <v/>
          </cell>
          <cell r="P2652" t="str">
            <v/>
          </cell>
          <cell r="Q2652" t="str">
            <v>431110</v>
          </cell>
        </row>
        <row r="2653">
          <cell r="N2653" t="str">
            <v>89343</v>
          </cell>
          <cell r="O2653" t="str">
            <v>CRR</v>
          </cell>
          <cell r="P2653" t="str">
            <v>CRR89343</v>
          </cell>
          <cell r="Q2653" t="str">
            <v>431110</v>
          </cell>
        </row>
        <row r="2654">
          <cell r="N2654" t="str">
            <v>89990</v>
          </cell>
          <cell r="O2654" t="str">
            <v/>
          </cell>
          <cell r="P2654" t="str">
            <v/>
          </cell>
          <cell r="Q2654" t="str">
            <v>55088091</v>
          </cell>
        </row>
        <row r="2655">
          <cell r="N2655" t="str">
            <v>89990</v>
          </cell>
          <cell r="O2655" t="str">
            <v>CRR</v>
          </cell>
          <cell r="P2655" t="str">
            <v>CRR89990</v>
          </cell>
          <cell r="Q2655" t="str">
            <v>55088091</v>
          </cell>
        </row>
        <row r="2656">
          <cell r="N2656" t="str">
            <v/>
          </cell>
          <cell r="O2656" t="str">
            <v/>
          </cell>
          <cell r="P2656" t="str">
            <v/>
          </cell>
          <cell r="Q2656" t="str">
            <v/>
          </cell>
        </row>
        <row r="2657">
          <cell r="N2657" t="str">
            <v/>
          </cell>
          <cell r="O2657" t="str">
            <v/>
          </cell>
          <cell r="P2657" t="str">
            <v/>
          </cell>
          <cell r="Q2657" t="str">
            <v/>
          </cell>
        </row>
        <row r="2658">
          <cell r="N2658" t="str">
            <v>8259100</v>
          </cell>
          <cell r="O2658" t="str">
            <v/>
          </cell>
          <cell r="P2658" t="str">
            <v/>
          </cell>
          <cell r="Q2658" t="str">
            <v>5015305700</v>
          </cell>
        </row>
        <row r="2659">
          <cell r="N2659" t="str">
            <v>8259100</v>
          </cell>
          <cell r="O2659" t="str">
            <v>C0K</v>
          </cell>
          <cell r="P2659" t="str">
            <v>C0K8259100</v>
          </cell>
          <cell r="Q2659" t="str">
            <v>5015305700</v>
          </cell>
        </row>
        <row r="2660">
          <cell r="N2660" t="str">
            <v/>
          </cell>
          <cell r="O2660" t="str">
            <v/>
          </cell>
          <cell r="P2660" t="str">
            <v/>
          </cell>
          <cell r="Q2660" t="str">
            <v/>
          </cell>
        </row>
        <row r="2661">
          <cell r="N2661" t="str">
            <v>82591450</v>
          </cell>
          <cell r="O2661" t="str">
            <v/>
          </cell>
          <cell r="P2661" t="str">
            <v/>
          </cell>
          <cell r="Q2661" t="str">
            <v>501530470</v>
          </cell>
        </row>
        <row r="2662">
          <cell r="N2662" t="str">
            <v>82591450</v>
          </cell>
          <cell r="O2662" t="str">
            <v>C0L</v>
          </cell>
          <cell r="P2662" t="str">
            <v>C0L82591450</v>
          </cell>
          <cell r="Q2662" t="str">
            <v>501530470</v>
          </cell>
        </row>
        <row r="2663">
          <cell r="N2663" t="str">
            <v/>
          </cell>
          <cell r="O2663" t="str">
            <v/>
          </cell>
          <cell r="P2663" t="str">
            <v/>
          </cell>
          <cell r="Q2663" t="str">
            <v/>
          </cell>
        </row>
        <row r="2664">
          <cell r="N2664" t="str">
            <v>82591420</v>
          </cell>
          <cell r="O2664" t="str">
            <v/>
          </cell>
          <cell r="P2664" t="str">
            <v/>
          </cell>
          <cell r="Q2664" t="str">
            <v>501530500</v>
          </cell>
        </row>
        <row r="2665">
          <cell r="N2665" t="str">
            <v>82591420</v>
          </cell>
          <cell r="O2665" t="str">
            <v>C0M</v>
          </cell>
          <cell r="P2665" t="str">
            <v>C0M82591420</v>
          </cell>
          <cell r="Q2665" t="str">
            <v>501530500</v>
          </cell>
        </row>
        <row r="2666">
          <cell r="N2666" t="str">
            <v/>
          </cell>
          <cell r="O2666" t="str">
            <v/>
          </cell>
          <cell r="P2666" t="str">
            <v/>
          </cell>
          <cell r="Q2666" t="str">
            <v/>
          </cell>
        </row>
        <row r="2667">
          <cell r="N2667" t="str">
            <v>825919</v>
          </cell>
          <cell r="O2667" t="str">
            <v/>
          </cell>
          <cell r="P2667" t="str">
            <v/>
          </cell>
          <cell r="Q2667" t="str">
            <v>519399</v>
          </cell>
        </row>
        <row r="2668">
          <cell r="N2668" t="str">
            <v>825919</v>
          </cell>
          <cell r="O2668" t="str">
            <v>C0N</v>
          </cell>
          <cell r="P2668" t="str">
            <v>C0N825919</v>
          </cell>
          <cell r="Q2668" t="str">
            <v>519399</v>
          </cell>
        </row>
        <row r="2669">
          <cell r="N2669" t="str">
            <v/>
          </cell>
          <cell r="O2669" t="str">
            <v/>
          </cell>
          <cell r="P2669" t="str">
            <v/>
          </cell>
          <cell r="Q2669" t="str">
            <v/>
          </cell>
        </row>
        <row r="2670">
          <cell r="N2670" t="str">
            <v>82599</v>
          </cell>
          <cell r="O2670" t="str">
            <v/>
          </cell>
          <cell r="P2670" t="str">
            <v/>
          </cell>
          <cell r="Q2670" t="str">
            <v>519399</v>
          </cell>
        </row>
        <row r="2671">
          <cell r="N2671" t="str">
            <v>82599</v>
          </cell>
          <cell r="O2671" t="str">
            <v>C0O</v>
          </cell>
          <cell r="P2671" t="str">
            <v>C0O82599</v>
          </cell>
          <cell r="Q2671" t="str">
            <v>519399</v>
          </cell>
        </row>
        <row r="2672">
          <cell r="N2672" t="str">
            <v/>
          </cell>
          <cell r="O2672" t="str">
            <v/>
          </cell>
          <cell r="P2672" t="str">
            <v/>
          </cell>
          <cell r="Q2672" t="str">
            <v/>
          </cell>
        </row>
        <row r="2673">
          <cell r="N2673" t="str">
            <v>825919</v>
          </cell>
          <cell r="O2673" t="str">
            <v/>
          </cell>
          <cell r="P2673" t="str">
            <v/>
          </cell>
          <cell r="Q2673" t="str">
            <v>519399</v>
          </cell>
        </row>
        <row r="2674">
          <cell r="N2674" t="str">
            <v>825919</v>
          </cell>
          <cell r="O2674" t="str">
            <v>C0P</v>
          </cell>
          <cell r="P2674" t="str">
            <v>C0P825919</v>
          </cell>
          <cell r="Q2674" t="str">
            <v>519399</v>
          </cell>
        </row>
        <row r="2675">
          <cell r="N2675" t="str">
            <v/>
          </cell>
          <cell r="O2675" t="str">
            <v/>
          </cell>
          <cell r="P2675" t="str">
            <v/>
          </cell>
          <cell r="Q2675" t="str">
            <v/>
          </cell>
        </row>
        <row r="2676">
          <cell r="N2676" t="str">
            <v>82522</v>
          </cell>
          <cell r="O2676" t="str">
            <v/>
          </cell>
          <cell r="P2676" t="str">
            <v/>
          </cell>
          <cell r="Q2676" t="str">
            <v/>
          </cell>
        </row>
        <row r="2677">
          <cell r="N2677" t="str">
            <v>82522</v>
          </cell>
          <cell r="O2677" t="str">
            <v>LRA</v>
          </cell>
          <cell r="P2677" t="str">
            <v>LRA82522</v>
          </cell>
          <cell r="Q2677" t="str">
            <v/>
          </cell>
        </row>
        <row r="2678">
          <cell r="N2678" t="str">
            <v>82522</v>
          </cell>
          <cell r="O2678" t="str">
            <v>OF7</v>
          </cell>
          <cell r="P2678" t="str">
            <v>OF782522</v>
          </cell>
          <cell r="Q2678" t="str">
            <v/>
          </cell>
        </row>
        <row r="2679">
          <cell r="N2679" t="str">
            <v>82522</v>
          </cell>
          <cell r="O2679" t="str">
            <v>ONL</v>
          </cell>
          <cell r="P2679" t="str">
            <v>ONL82522</v>
          </cell>
          <cell r="Q2679" t="str">
            <v/>
          </cell>
        </row>
        <row r="2680">
          <cell r="N2680" t="str">
            <v>825220</v>
          </cell>
          <cell r="O2680" t="str">
            <v/>
          </cell>
          <cell r="P2680" t="str">
            <v/>
          </cell>
          <cell r="Q2680" t="str">
            <v/>
          </cell>
        </row>
        <row r="2681">
          <cell r="N2681" t="str">
            <v>825220</v>
          </cell>
          <cell r="O2681" t="str">
            <v>OF7</v>
          </cell>
          <cell r="P2681" t="str">
            <v>OF7825220</v>
          </cell>
          <cell r="Q2681" t="str">
            <v/>
          </cell>
        </row>
        <row r="2682">
          <cell r="N2682" t="str">
            <v>825220</v>
          </cell>
          <cell r="O2682" t="str">
            <v>ONL</v>
          </cell>
          <cell r="P2682" t="str">
            <v>ONL825220</v>
          </cell>
          <cell r="Q2682" t="str">
            <v/>
          </cell>
        </row>
        <row r="2683">
          <cell r="N2683" t="str">
            <v>825220</v>
          </cell>
          <cell r="O2683" t="str">
            <v>6AY</v>
          </cell>
          <cell r="P2683" t="str">
            <v>6AY825220</v>
          </cell>
          <cell r="Q2683" t="str">
            <v/>
          </cell>
        </row>
        <row r="2684">
          <cell r="N2684" t="str">
            <v>8252200</v>
          </cell>
          <cell r="O2684" t="str">
            <v/>
          </cell>
          <cell r="P2684" t="str">
            <v/>
          </cell>
          <cell r="Q2684" t="str">
            <v>515289</v>
          </cell>
        </row>
        <row r="2685">
          <cell r="N2685" t="str">
            <v>8252200</v>
          </cell>
          <cell r="O2685" t="str">
            <v>ONL</v>
          </cell>
          <cell r="P2685" t="str">
            <v>ONL8252200</v>
          </cell>
          <cell r="Q2685" t="str">
            <v>515289</v>
          </cell>
        </row>
        <row r="2686">
          <cell r="N2686" t="str">
            <v>8252201</v>
          </cell>
          <cell r="O2686" t="str">
            <v/>
          </cell>
          <cell r="P2686" t="str">
            <v/>
          </cell>
          <cell r="Q2686" t="str">
            <v>515289</v>
          </cell>
        </row>
        <row r="2687">
          <cell r="N2687" t="str">
            <v>8252201</v>
          </cell>
          <cell r="O2687" t="str">
            <v>OF7</v>
          </cell>
          <cell r="P2687" t="str">
            <v>OF78252201</v>
          </cell>
          <cell r="Q2687" t="str">
            <v>515289</v>
          </cell>
        </row>
        <row r="2688">
          <cell r="N2688" t="str">
            <v>8252201</v>
          </cell>
          <cell r="O2688" t="str">
            <v>ONL</v>
          </cell>
          <cell r="P2688" t="str">
            <v>ONL8252201</v>
          </cell>
          <cell r="Q2688" t="str">
            <v>515289</v>
          </cell>
        </row>
        <row r="2689">
          <cell r="N2689" t="str">
            <v>8252201</v>
          </cell>
          <cell r="O2689" t="str">
            <v>6AY</v>
          </cell>
          <cell r="P2689" t="str">
            <v>6AY8252201</v>
          </cell>
          <cell r="Q2689" t="str">
            <v>515289</v>
          </cell>
        </row>
        <row r="2690">
          <cell r="N2690" t="str">
            <v>825221</v>
          </cell>
          <cell r="O2690" t="str">
            <v/>
          </cell>
          <cell r="P2690" t="str">
            <v/>
          </cell>
          <cell r="Q2690" t="str">
            <v/>
          </cell>
        </row>
        <row r="2691">
          <cell r="N2691" t="str">
            <v>825221</v>
          </cell>
          <cell r="O2691" t="str">
            <v>OF7</v>
          </cell>
          <cell r="P2691" t="str">
            <v>OF7825221</v>
          </cell>
          <cell r="Q2691" t="str">
            <v/>
          </cell>
        </row>
        <row r="2692">
          <cell r="N2692" t="str">
            <v>825221</v>
          </cell>
          <cell r="O2692" t="str">
            <v>ONL</v>
          </cell>
          <cell r="P2692" t="str">
            <v>ONL825221</v>
          </cell>
          <cell r="Q2692" t="str">
            <v/>
          </cell>
        </row>
        <row r="2693">
          <cell r="N2693" t="str">
            <v>825221</v>
          </cell>
          <cell r="O2693" t="str">
            <v>6AY</v>
          </cell>
          <cell r="P2693" t="str">
            <v>6AY825221</v>
          </cell>
          <cell r="Q2693" t="str">
            <v/>
          </cell>
        </row>
        <row r="2694">
          <cell r="N2694" t="str">
            <v>8252210</v>
          </cell>
          <cell r="O2694" t="str">
            <v/>
          </cell>
          <cell r="P2694" t="str">
            <v/>
          </cell>
          <cell r="Q2694" t="str">
            <v>501530470</v>
          </cell>
        </row>
        <row r="2695">
          <cell r="N2695" t="str">
            <v>8252210</v>
          </cell>
          <cell r="O2695" t="str">
            <v>ONL</v>
          </cell>
          <cell r="P2695" t="str">
            <v>ONL8252210</v>
          </cell>
          <cell r="Q2695" t="str">
            <v>501530470</v>
          </cell>
        </row>
        <row r="2696">
          <cell r="N2696" t="str">
            <v>8252211</v>
          </cell>
          <cell r="O2696" t="str">
            <v/>
          </cell>
          <cell r="P2696" t="str">
            <v/>
          </cell>
          <cell r="Q2696" t="str">
            <v>5015305700</v>
          </cell>
        </row>
        <row r="2697">
          <cell r="N2697" t="str">
            <v>8252211</v>
          </cell>
          <cell r="O2697" t="str">
            <v>OF7</v>
          </cell>
          <cell r="P2697" t="str">
            <v>OF78252211</v>
          </cell>
          <cell r="Q2697" t="str">
            <v>5015305700</v>
          </cell>
        </row>
        <row r="2698">
          <cell r="N2698" t="str">
            <v>8252211</v>
          </cell>
          <cell r="O2698" t="str">
            <v>ONL</v>
          </cell>
          <cell r="P2698" t="str">
            <v>ONL8252211</v>
          </cell>
          <cell r="Q2698" t="str">
            <v>5015305700</v>
          </cell>
        </row>
        <row r="2699">
          <cell r="N2699" t="str">
            <v>8252211</v>
          </cell>
          <cell r="O2699" t="str">
            <v>6AY</v>
          </cell>
          <cell r="P2699" t="str">
            <v>6AY8252211</v>
          </cell>
          <cell r="Q2699" t="str">
            <v>5015305700</v>
          </cell>
        </row>
        <row r="2700">
          <cell r="N2700" t="str">
            <v>82580</v>
          </cell>
          <cell r="O2700" t="str">
            <v/>
          </cell>
          <cell r="P2700" t="str">
            <v/>
          </cell>
          <cell r="Q2700" t="str">
            <v>5192</v>
          </cell>
        </row>
        <row r="2701">
          <cell r="N2701" t="str">
            <v>82580</v>
          </cell>
          <cell r="O2701" t="str">
            <v>ONL</v>
          </cell>
          <cell r="P2701" t="str">
            <v>ONL82580</v>
          </cell>
          <cell r="Q2701" t="str">
            <v>5192</v>
          </cell>
        </row>
        <row r="2702">
          <cell r="N2702" t="str">
            <v/>
          </cell>
          <cell r="O2702" t="str">
            <v/>
          </cell>
          <cell r="P2702" t="str">
            <v/>
          </cell>
          <cell r="Q2702" t="str">
            <v/>
          </cell>
        </row>
        <row r="2703">
          <cell r="N2703" t="str">
            <v>718903</v>
          </cell>
          <cell r="O2703" t="str">
            <v/>
          </cell>
          <cell r="P2703" t="str">
            <v/>
          </cell>
          <cell r="Q2703" t="str">
            <v>41499</v>
          </cell>
        </row>
        <row r="2704">
          <cell r="N2704" t="str">
            <v>718903</v>
          </cell>
          <cell r="O2704" t="str">
            <v>L01</v>
          </cell>
          <cell r="P2704" t="str">
            <v>L01718903</v>
          </cell>
          <cell r="Q2704" t="str">
            <v>41499</v>
          </cell>
        </row>
        <row r="2705">
          <cell r="N2705" t="str">
            <v>718903</v>
          </cell>
          <cell r="O2705" t="str">
            <v>ONL</v>
          </cell>
          <cell r="P2705" t="str">
            <v>ONL718903</v>
          </cell>
          <cell r="Q2705" t="str">
            <v>41499</v>
          </cell>
        </row>
        <row r="2706">
          <cell r="N2706" t="str">
            <v>71899</v>
          </cell>
          <cell r="O2706" t="str">
            <v/>
          </cell>
          <cell r="P2706" t="str">
            <v/>
          </cell>
          <cell r="Q2706" t="str">
            <v>41499</v>
          </cell>
        </row>
        <row r="2707">
          <cell r="N2707" t="str">
            <v>71899</v>
          </cell>
          <cell r="O2707" t="str">
            <v>L01</v>
          </cell>
          <cell r="P2707" t="str">
            <v>L0171899</v>
          </cell>
          <cell r="Q2707" t="str">
            <v>41499</v>
          </cell>
        </row>
        <row r="2708">
          <cell r="N2708" t="str">
            <v>71899</v>
          </cell>
          <cell r="O2708" t="str">
            <v>ONL</v>
          </cell>
          <cell r="P2708" t="str">
            <v>ONL71899</v>
          </cell>
          <cell r="Q2708" t="str">
            <v>41499</v>
          </cell>
        </row>
        <row r="2709">
          <cell r="N2709" t="str">
            <v>779632</v>
          </cell>
          <cell r="O2709" t="str">
            <v/>
          </cell>
          <cell r="P2709" t="str">
            <v/>
          </cell>
          <cell r="Q2709" t="str">
            <v>41499</v>
          </cell>
        </row>
        <row r="2710">
          <cell r="N2710" t="str">
            <v>779632</v>
          </cell>
          <cell r="O2710" t="str">
            <v>XXF</v>
          </cell>
          <cell r="P2710" t="str">
            <v>XXF779632</v>
          </cell>
          <cell r="Q2710" t="str">
            <v>41499</v>
          </cell>
        </row>
        <row r="2711">
          <cell r="N2711" t="str">
            <v>779633</v>
          </cell>
          <cell r="O2711" t="str">
            <v/>
          </cell>
          <cell r="P2711" t="str">
            <v/>
          </cell>
          <cell r="Q2711" t="str">
            <v>41499</v>
          </cell>
        </row>
        <row r="2712">
          <cell r="N2712" t="str">
            <v>779633</v>
          </cell>
          <cell r="O2712" t="str">
            <v>66H</v>
          </cell>
          <cell r="P2712" t="str">
            <v>66H779633</v>
          </cell>
          <cell r="Q2712" t="str">
            <v>41499</v>
          </cell>
        </row>
        <row r="2713">
          <cell r="N2713" t="str">
            <v>779633</v>
          </cell>
          <cell r="O2713" t="str">
            <v>66I</v>
          </cell>
          <cell r="P2713" t="str">
            <v>66I779633</v>
          </cell>
          <cell r="Q2713" t="str">
            <v>41499</v>
          </cell>
        </row>
        <row r="2714">
          <cell r="N2714" t="str">
            <v>77965</v>
          </cell>
          <cell r="O2714" t="str">
            <v/>
          </cell>
          <cell r="P2714" t="str">
            <v/>
          </cell>
          <cell r="Q2714" t="str">
            <v>41499</v>
          </cell>
        </row>
        <row r="2715">
          <cell r="N2715" t="str">
            <v>77965</v>
          </cell>
          <cell r="O2715" t="str">
            <v>N62</v>
          </cell>
          <cell r="P2715" t="str">
            <v>N6277965</v>
          </cell>
          <cell r="Q2715" t="str">
            <v>41499</v>
          </cell>
        </row>
        <row r="2716">
          <cell r="N2716" t="str">
            <v>7799</v>
          </cell>
          <cell r="O2716" t="str">
            <v/>
          </cell>
          <cell r="P2716" t="str">
            <v/>
          </cell>
          <cell r="Q2716" t="str">
            <v/>
          </cell>
        </row>
        <row r="2717">
          <cell r="N2717" t="str">
            <v>7799</v>
          </cell>
          <cell r="O2717" t="str">
            <v>589</v>
          </cell>
          <cell r="P2717" t="str">
            <v>5897799</v>
          </cell>
          <cell r="Q2717" t="str">
            <v/>
          </cell>
        </row>
        <row r="2718">
          <cell r="N2718" t="str">
            <v>7799</v>
          </cell>
          <cell r="O2718" t="str">
            <v>6AI</v>
          </cell>
          <cell r="P2718" t="str">
            <v>6AI7799</v>
          </cell>
          <cell r="Q2718" t="str">
            <v/>
          </cell>
        </row>
        <row r="2719">
          <cell r="N2719" t="str">
            <v>7799</v>
          </cell>
          <cell r="O2719" t="str">
            <v>77Y</v>
          </cell>
          <cell r="P2719" t="str">
            <v>77Y7799</v>
          </cell>
          <cell r="Q2719" t="str">
            <v/>
          </cell>
        </row>
        <row r="2720">
          <cell r="N2720" t="str">
            <v>77990</v>
          </cell>
          <cell r="O2720" t="str">
            <v/>
          </cell>
          <cell r="P2720" t="str">
            <v/>
          </cell>
          <cell r="Q2720" t="str">
            <v/>
          </cell>
        </row>
        <row r="2721">
          <cell r="N2721" t="str">
            <v>77990</v>
          </cell>
          <cell r="O2721" t="str">
            <v>6AI</v>
          </cell>
          <cell r="P2721" t="str">
            <v>6AI77990</v>
          </cell>
          <cell r="Q2721" t="str">
            <v/>
          </cell>
        </row>
        <row r="2722">
          <cell r="N2722" t="str">
            <v>779900</v>
          </cell>
          <cell r="O2722" t="str">
            <v/>
          </cell>
          <cell r="P2722" t="str">
            <v/>
          </cell>
          <cell r="Q2722" t="str">
            <v>450880910</v>
          </cell>
        </row>
        <row r="2723">
          <cell r="N2723" t="str">
            <v>779900</v>
          </cell>
          <cell r="O2723" t="str">
            <v>6AI</v>
          </cell>
          <cell r="P2723" t="str">
            <v>6AI779900</v>
          </cell>
          <cell r="Q2723" t="str">
            <v>450880910</v>
          </cell>
        </row>
        <row r="2724">
          <cell r="N2724" t="str">
            <v>779900</v>
          </cell>
          <cell r="O2724" t="str">
            <v>77Y</v>
          </cell>
          <cell r="P2724" t="str">
            <v>77Y779900</v>
          </cell>
          <cell r="Q2724" t="str">
            <v>450880910</v>
          </cell>
        </row>
        <row r="2725">
          <cell r="N2725" t="str">
            <v>8259101</v>
          </cell>
          <cell r="O2725" t="str">
            <v/>
          </cell>
          <cell r="P2725" t="str">
            <v/>
          </cell>
          <cell r="Q2725" t="str">
            <v>519399</v>
          </cell>
        </row>
        <row r="2726">
          <cell r="N2726" t="str">
            <v>8259101</v>
          </cell>
          <cell r="O2726" t="str">
            <v>RCS</v>
          </cell>
          <cell r="P2726" t="str">
            <v>RCS8259101</v>
          </cell>
          <cell r="Q2726" t="str">
            <v>519399</v>
          </cell>
        </row>
        <row r="2727">
          <cell r="N2727" t="str">
            <v>8259143</v>
          </cell>
          <cell r="O2727" t="str">
            <v/>
          </cell>
          <cell r="P2727" t="str">
            <v/>
          </cell>
          <cell r="Q2727" t="str">
            <v>519399</v>
          </cell>
        </row>
        <row r="2728">
          <cell r="N2728" t="str">
            <v>8259143</v>
          </cell>
          <cell r="O2728" t="str">
            <v>6PU</v>
          </cell>
          <cell r="P2728" t="str">
            <v>6PU8259143</v>
          </cell>
          <cell r="Q2728" t="str">
            <v>519399</v>
          </cell>
        </row>
        <row r="2729">
          <cell r="N2729" t="str">
            <v>8259147</v>
          </cell>
          <cell r="O2729" t="str">
            <v/>
          </cell>
          <cell r="P2729" t="str">
            <v/>
          </cell>
          <cell r="Q2729" t="str">
            <v>519399</v>
          </cell>
        </row>
        <row r="2730">
          <cell r="N2730" t="str">
            <v>8259147</v>
          </cell>
          <cell r="O2730" t="str">
            <v>DEN</v>
          </cell>
          <cell r="P2730" t="str">
            <v>DEN8259147</v>
          </cell>
          <cell r="Q2730" t="str">
            <v>519399</v>
          </cell>
        </row>
        <row r="2731">
          <cell r="N2731" t="str">
            <v>8259147</v>
          </cell>
          <cell r="O2731" t="str">
            <v>111</v>
          </cell>
          <cell r="P2731" t="str">
            <v>1118259147</v>
          </cell>
          <cell r="Q2731" t="str">
            <v>519399</v>
          </cell>
        </row>
        <row r="2732">
          <cell r="N2732" t="str">
            <v>825917</v>
          </cell>
          <cell r="O2732" t="str">
            <v/>
          </cell>
          <cell r="P2732" t="str">
            <v/>
          </cell>
          <cell r="Q2732" t="str">
            <v/>
          </cell>
        </row>
        <row r="2733">
          <cell r="N2733" t="str">
            <v>825917</v>
          </cell>
          <cell r="O2733" t="str">
            <v>LTA</v>
          </cell>
          <cell r="P2733" t="str">
            <v>LTA825917</v>
          </cell>
          <cell r="Q2733" t="str">
            <v/>
          </cell>
        </row>
        <row r="2734">
          <cell r="N2734" t="str">
            <v>825917</v>
          </cell>
          <cell r="O2734" t="str">
            <v>ONL</v>
          </cell>
          <cell r="P2734" t="str">
            <v>ONL825917</v>
          </cell>
          <cell r="Q2734" t="str">
            <v/>
          </cell>
        </row>
        <row r="2735">
          <cell r="N2735" t="str">
            <v>8259188</v>
          </cell>
          <cell r="O2735" t="str">
            <v/>
          </cell>
          <cell r="P2735" t="str">
            <v/>
          </cell>
          <cell r="Q2735" t="str">
            <v>501530470</v>
          </cell>
        </row>
        <row r="2736">
          <cell r="N2736" t="str">
            <v>8259188</v>
          </cell>
          <cell r="O2736" t="str">
            <v>ONL</v>
          </cell>
          <cell r="P2736" t="str">
            <v>ONL8259188</v>
          </cell>
          <cell r="Q2736" t="str">
            <v>501530470</v>
          </cell>
        </row>
        <row r="2737">
          <cell r="N2737" t="str">
            <v>825919</v>
          </cell>
          <cell r="O2737" t="str">
            <v/>
          </cell>
          <cell r="P2737" t="str">
            <v/>
          </cell>
          <cell r="Q2737" t="str">
            <v>519399</v>
          </cell>
        </row>
        <row r="2738">
          <cell r="N2738" t="str">
            <v>825919</v>
          </cell>
          <cell r="O2738" t="str">
            <v>BS1</v>
          </cell>
          <cell r="P2738" t="str">
            <v>BS1825919</v>
          </cell>
          <cell r="Q2738" t="str">
            <v>519399</v>
          </cell>
        </row>
        <row r="2739">
          <cell r="N2739" t="str">
            <v>825919</v>
          </cell>
          <cell r="O2739" t="str">
            <v>ELC</v>
          </cell>
          <cell r="P2739" t="str">
            <v>ELC825919</v>
          </cell>
          <cell r="Q2739" t="str">
            <v>519399</v>
          </cell>
        </row>
        <row r="2740">
          <cell r="N2740" t="str">
            <v>825919</v>
          </cell>
          <cell r="O2740" t="str">
            <v>ELI</v>
          </cell>
          <cell r="P2740" t="str">
            <v>ELI825919</v>
          </cell>
          <cell r="Q2740" t="str">
            <v>519399</v>
          </cell>
        </row>
        <row r="2741">
          <cell r="N2741" t="str">
            <v>825919</v>
          </cell>
          <cell r="O2741" t="str">
            <v>EMA</v>
          </cell>
          <cell r="P2741" t="str">
            <v>EMA825919</v>
          </cell>
          <cell r="Q2741" t="str">
            <v>519399</v>
          </cell>
        </row>
        <row r="2742">
          <cell r="N2742" t="str">
            <v>825919</v>
          </cell>
          <cell r="O2742" t="str">
            <v>MI9</v>
          </cell>
          <cell r="P2742" t="str">
            <v>MI9825919</v>
          </cell>
          <cell r="Q2742" t="str">
            <v>519399</v>
          </cell>
        </row>
        <row r="2743">
          <cell r="N2743" t="str">
            <v>825919</v>
          </cell>
          <cell r="O2743" t="str">
            <v>N62</v>
          </cell>
          <cell r="P2743" t="str">
            <v>N62825919</v>
          </cell>
          <cell r="Q2743" t="str">
            <v>519399</v>
          </cell>
        </row>
        <row r="2744">
          <cell r="N2744" t="str">
            <v>825919</v>
          </cell>
          <cell r="O2744" t="str">
            <v>REG</v>
          </cell>
          <cell r="P2744" t="str">
            <v>REG825919</v>
          </cell>
          <cell r="Q2744" t="str">
            <v>519399</v>
          </cell>
        </row>
        <row r="2745">
          <cell r="N2745" t="str">
            <v>825919</v>
          </cell>
          <cell r="O2745" t="str">
            <v>TZC</v>
          </cell>
          <cell r="P2745" t="str">
            <v>TZC825919</v>
          </cell>
          <cell r="Q2745" t="str">
            <v>519399</v>
          </cell>
        </row>
        <row r="2746">
          <cell r="N2746" t="str">
            <v>825919</v>
          </cell>
          <cell r="O2746" t="str">
            <v>UE8</v>
          </cell>
          <cell r="P2746" t="str">
            <v>UE8825919</v>
          </cell>
          <cell r="Q2746" t="str">
            <v>519399</v>
          </cell>
        </row>
        <row r="2747">
          <cell r="N2747" t="str">
            <v>825919</v>
          </cell>
          <cell r="O2747" t="str">
            <v>111</v>
          </cell>
          <cell r="P2747" t="str">
            <v>111825919</v>
          </cell>
          <cell r="Q2747" t="str">
            <v>519399</v>
          </cell>
        </row>
        <row r="2748">
          <cell r="N2748" t="str">
            <v>825919</v>
          </cell>
          <cell r="O2748" t="str">
            <v>6DE</v>
          </cell>
          <cell r="P2748" t="str">
            <v>6DE825919</v>
          </cell>
          <cell r="Q2748" t="str">
            <v>519399</v>
          </cell>
        </row>
        <row r="2749">
          <cell r="N2749" t="str">
            <v>825919</v>
          </cell>
          <cell r="O2749" t="str">
            <v>6PI</v>
          </cell>
          <cell r="P2749" t="str">
            <v>6PI825919</v>
          </cell>
          <cell r="Q2749" t="str">
            <v>519399</v>
          </cell>
        </row>
        <row r="2750">
          <cell r="N2750" t="str">
            <v>825919</v>
          </cell>
          <cell r="O2750" t="str">
            <v>863</v>
          </cell>
          <cell r="P2750" t="str">
            <v>863825919</v>
          </cell>
          <cell r="Q2750" t="str">
            <v>519399</v>
          </cell>
        </row>
        <row r="2751">
          <cell r="N2751" t="str">
            <v>825919</v>
          </cell>
          <cell r="O2751" t="str">
            <v>865</v>
          </cell>
          <cell r="P2751" t="str">
            <v>865825919</v>
          </cell>
          <cell r="Q2751" t="str">
            <v>519399</v>
          </cell>
        </row>
        <row r="2752">
          <cell r="N2752" t="str">
            <v>8295</v>
          </cell>
          <cell r="O2752" t="str">
            <v/>
          </cell>
          <cell r="P2752" t="str">
            <v/>
          </cell>
          <cell r="Q2752" t="str">
            <v>51999</v>
          </cell>
        </row>
        <row r="2753">
          <cell r="N2753" t="str">
            <v>8295</v>
          </cell>
          <cell r="O2753" t="str">
            <v>ONL</v>
          </cell>
          <cell r="P2753" t="str">
            <v>ONL8295</v>
          </cell>
          <cell r="Q2753" t="str">
            <v>51999</v>
          </cell>
        </row>
        <row r="2754">
          <cell r="N2754" t="str">
            <v>8298</v>
          </cell>
          <cell r="O2754" t="str">
            <v/>
          </cell>
          <cell r="P2754" t="str">
            <v/>
          </cell>
          <cell r="Q2754" t="str">
            <v>5151594</v>
          </cell>
        </row>
        <row r="2755">
          <cell r="N2755" t="str">
            <v>8298</v>
          </cell>
          <cell r="O2755" t="str">
            <v>LO1</v>
          </cell>
          <cell r="P2755" t="str">
            <v>LO18298</v>
          </cell>
          <cell r="Q2755" t="str">
            <v>5151594</v>
          </cell>
        </row>
        <row r="2756">
          <cell r="N2756" t="str">
            <v>82982</v>
          </cell>
          <cell r="O2756" t="str">
            <v/>
          </cell>
          <cell r="P2756" t="str">
            <v/>
          </cell>
          <cell r="Q2756" t="str">
            <v/>
          </cell>
        </row>
        <row r="2757">
          <cell r="N2757" t="str">
            <v>82982</v>
          </cell>
          <cell r="O2757" t="str">
            <v>LO1</v>
          </cell>
          <cell r="P2757" t="str">
            <v>LO182982</v>
          </cell>
          <cell r="Q2757" t="str">
            <v/>
          </cell>
        </row>
        <row r="2758">
          <cell r="N2758" t="str">
            <v>82982</v>
          </cell>
          <cell r="O2758" t="str">
            <v>LRA</v>
          </cell>
          <cell r="P2758" t="str">
            <v>LRA82982</v>
          </cell>
          <cell r="Q2758" t="str">
            <v/>
          </cell>
        </row>
        <row r="2759">
          <cell r="N2759" t="str">
            <v>89299</v>
          </cell>
          <cell r="O2759" t="str">
            <v/>
          </cell>
          <cell r="P2759" t="str">
            <v/>
          </cell>
          <cell r="Q2759" t="str">
            <v/>
          </cell>
        </row>
        <row r="2760">
          <cell r="N2760" t="str">
            <v>89299</v>
          </cell>
          <cell r="O2760" t="str">
            <v>278</v>
          </cell>
          <cell r="P2760" t="str">
            <v>27889299</v>
          </cell>
          <cell r="Q2760" t="str">
            <v/>
          </cell>
        </row>
        <row r="2761">
          <cell r="N2761" t="str">
            <v>89299</v>
          </cell>
          <cell r="O2761" t="str">
            <v>6DE</v>
          </cell>
          <cell r="P2761" t="str">
            <v>6DE89299</v>
          </cell>
          <cell r="Q2761" t="str">
            <v/>
          </cell>
        </row>
        <row r="2762">
          <cell r="N2762" t="str">
            <v>89299</v>
          </cell>
          <cell r="O2762" t="str">
            <v>67S</v>
          </cell>
          <cell r="P2762" t="str">
            <v>67S89299</v>
          </cell>
          <cell r="Q2762" t="str">
            <v/>
          </cell>
        </row>
        <row r="2763">
          <cell r="N2763" t="str">
            <v>89299</v>
          </cell>
          <cell r="O2763" t="str">
            <v>863</v>
          </cell>
          <cell r="P2763" t="str">
            <v>86389299</v>
          </cell>
          <cell r="Q2763" t="str">
            <v/>
          </cell>
        </row>
        <row r="2764">
          <cell r="N2764" t="str">
            <v>89351</v>
          </cell>
          <cell r="O2764" t="str">
            <v/>
          </cell>
          <cell r="P2764" t="str">
            <v/>
          </cell>
          <cell r="Q2764" t="str">
            <v>4311811</v>
          </cell>
        </row>
        <row r="2765">
          <cell r="N2765" t="str">
            <v>89351</v>
          </cell>
          <cell r="O2765" t="str">
            <v>CNO</v>
          </cell>
          <cell r="P2765" t="str">
            <v>CNO89351</v>
          </cell>
          <cell r="Q2765" t="str">
            <v>4311811</v>
          </cell>
        </row>
        <row r="2766">
          <cell r="N2766" t="str">
            <v>89351</v>
          </cell>
          <cell r="O2766" t="str">
            <v>623</v>
          </cell>
          <cell r="P2766" t="str">
            <v>62389351</v>
          </cell>
          <cell r="Q2766" t="str">
            <v>4311811</v>
          </cell>
        </row>
        <row r="2767">
          <cell r="N2767" t="str">
            <v>89351</v>
          </cell>
          <cell r="O2767" t="str">
            <v>858</v>
          </cell>
          <cell r="P2767" t="str">
            <v>85889351</v>
          </cell>
          <cell r="Q2767" t="str">
            <v>4311811</v>
          </cell>
        </row>
        <row r="2768">
          <cell r="N2768" t="str">
            <v>8939</v>
          </cell>
          <cell r="O2768" t="str">
            <v/>
          </cell>
          <cell r="P2768" t="str">
            <v/>
          </cell>
          <cell r="Q2768" t="str">
            <v/>
          </cell>
        </row>
        <row r="2769">
          <cell r="N2769" t="str">
            <v>8939</v>
          </cell>
          <cell r="O2769" t="str">
            <v>256</v>
          </cell>
          <cell r="P2769" t="str">
            <v>2568939</v>
          </cell>
          <cell r="Q2769" t="str">
            <v/>
          </cell>
        </row>
        <row r="2770">
          <cell r="N2770" t="str">
            <v>8999</v>
          </cell>
          <cell r="O2770" t="str">
            <v/>
          </cell>
          <cell r="P2770" t="str">
            <v/>
          </cell>
          <cell r="Q2770" t="str">
            <v/>
          </cell>
        </row>
        <row r="2771">
          <cell r="N2771" t="str">
            <v>8999</v>
          </cell>
          <cell r="O2771" t="str">
            <v>OI1</v>
          </cell>
          <cell r="P2771" t="str">
            <v>OI18999</v>
          </cell>
          <cell r="Q2771" t="str">
            <v/>
          </cell>
        </row>
        <row r="2772">
          <cell r="N2772" t="str">
            <v>8999</v>
          </cell>
          <cell r="O2772" t="str">
            <v>77Z</v>
          </cell>
          <cell r="P2772" t="str">
            <v>77Z8999</v>
          </cell>
          <cell r="Q2772" t="str">
            <v/>
          </cell>
        </row>
        <row r="2773">
          <cell r="N2773" t="str">
            <v>8999</v>
          </cell>
          <cell r="O2773" t="str">
            <v>854</v>
          </cell>
          <cell r="P2773" t="str">
            <v>8548999</v>
          </cell>
          <cell r="Q2773" t="str">
            <v/>
          </cell>
        </row>
        <row r="2774">
          <cell r="N2774" t="str">
            <v>89990</v>
          </cell>
          <cell r="O2774" t="str">
            <v/>
          </cell>
          <cell r="P2774" t="str">
            <v/>
          </cell>
          <cell r="Q2774" t="str">
            <v>55088091</v>
          </cell>
        </row>
        <row r="2775">
          <cell r="N2775" t="str">
            <v>89990</v>
          </cell>
          <cell r="O2775" t="str">
            <v>854</v>
          </cell>
          <cell r="P2775" t="str">
            <v>85489990</v>
          </cell>
          <cell r="Q2775" t="str">
            <v>55088091</v>
          </cell>
        </row>
        <row r="2776">
          <cell r="N2776" t="str">
            <v/>
          </cell>
          <cell r="O2776" t="str">
            <v/>
          </cell>
          <cell r="P2776" t="str">
            <v/>
          </cell>
          <cell r="Q2776" t="str">
            <v/>
          </cell>
        </row>
        <row r="2777">
          <cell r="N2777" t="str">
            <v>82591720</v>
          </cell>
          <cell r="O2777" t="str">
            <v/>
          </cell>
          <cell r="P2777" t="str">
            <v/>
          </cell>
          <cell r="Q2777" t="str">
            <v>501530470</v>
          </cell>
        </row>
        <row r="2778">
          <cell r="N2778" t="str">
            <v>82591720</v>
          </cell>
          <cell r="O2778" t="str">
            <v>ONL</v>
          </cell>
          <cell r="P2778" t="str">
            <v>ONL82591720</v>
          </cell>
          <cell r="Q2778" t="str">
            <v>501530470</v>
          </cell>
        </row>
        <row r="2779">
          <cell r="N2779" t="str">
            <v/>
          </cell>
          <cell r="O2779" t="str">
            <v/>
          </cell>
          <cell r="P2779" t="str">
            <v/>
          </cell>
          <cell r="Q2779" t="str">
            <v/>
          </cell>
        </row>
        <row r="2780">
          <cell r="N2780" t="str">
            <v/>
          </cell>
          <cell r="O2780" t="str">
            <v/>
          </cell>
          <cell r="P2780" t="str">
            <v/>
          </cell>
          <cell r="Q2780" t="str">
            <v/>
          </cell>
        </row>
        <row r="2781">
          <cell r="N2781" t="str">
            <v/>
          </cell>
          <cell r="O2781" t="str">
            <v/>
          </cell>
          <cell r="P2781" t="str">
            <v/>
          </cell>
          <cell r="Q2781" t="str">
            <v/>
          </cell>
        </row>
        <row r="2782">
          <cell r="N2782" t="str">
            <v>719402</v>
          </cell>
          <cell r="O2782" t="str">
            <v/>
          </cell>
          <cell r="P2782" t="str">
            <v/>
          </cell>
          <cell r="Q2782" t="str">
            <v>4198</v>
          </cell>
        </row>
        <row r="2783">
          <cell r="N2783" t="str">
            <v>719402</v>
          </cell>
          <cell r="O2783" t="str">
            <v>ONL</v>
          </cell>
          <cell r="P2783" t="str">
            <v>ONL719402</v>
          </cell>
          <cell r="Q2783" t="str">
            <v>4198</v>
          </cell>
        </row>
        <row r="2784">
          <cell r="N2784" t="str">
            <v/>
          </cell>
          <cell r="O2784" t="str">
            <v/>
          </cell>
          <cell r="P2784" t="str">
            <v/>
          </cell>
          <cell r="Q2784" t="str">
            <v/>
          </cell>
        </row>
        <row r="2785">
          <cell r="N2785" t="str">
            <v>719405</v>
          </cell>
          <cell r="O2785" t="str">
            <v/>
          </cell>
          <cell r="P2785" t="str">
            <v/>
          </cell>
          <cell r="Q2785" t="str">
            <v>4198</v>
          </cell>
        </row>
        <row r="2786">
          <cell r="N2786" t="str">
            <v>719405</v>
          </cell>
          <cell r="O2786" t="str">
            <v>ONL</v>
          </cell>
          <cell r="P2786" t="str">
            <v>ONL719405</v>
          </cell>
          <cell r="Q2786" t="str">
            <v>4198</v>
          </cell>
        </row>
        <row r="2787">
          <cell r="N2787" t="str">
            <v/>
          </cell>
          <cell r="O2787" t="str">
            <v/>
          </cell>
          <cell r="P2787" t="str">
            <v/>
          </cell>
          <cell r="Q2787" t="str">
            <v/>
          </cell>
        </row>
        <row r="2788">
          <cell r="N2788" t="str">
            <v>71894</v>
          </cell>
          <cell r="O2788" t="str">
            <v/>
          </cell>
          <cell r="P2788" t="str">
            <v/>
          </cell>
          <cell r="Q2788" t="str">
            <v>4030310570</v>
          </cell>
        </row>
        <row r="2789">
          <cell r="N2789" t="str">
            <v>71894</v>
          </cell>
          <cell r="O2789" t="str">
            <v>ONL</v>
          </cell>
          <cell r="P2789" t="str">
            <v>ONL71894</v>
          </cell>
          <cell r="Q2789" t="str">
            <v>4030310570</v>
          </cell>
        </row>
        <row r="2790">
          <cell r="N2790" t="str">
            <v/>
          </cell>
          <cell r="O2790" t="str">
            <v/>
          </cell>
          <cell r="P2790" t="str">
            <v/>
          </cell>
          <cell r="Q2790" t="str">
            <v/>
          </cell>
        </row>
        <row r="2791">
          <cell r="N2791" t="str">
            <v/>
          </cell>
          <cell r="O2791" t="str">
            <v/>
          </cell>
          <cell r="P2791" t="str">
            <v/>
          </cell>
          <cell r="Q2791" t="str">
            <v/>
          </cell>
        </row>
        <row r="2792">
          <cell r="N2792" t="str">
            <v/>
          </cell>
          <cell r="O2792" t="str">
            <v/>
          </cell>
          <cell r="P2792" t="str">
            <v/>
          </cell>
          <cell r="Q2792" t="str">
            <v/>
          </cell>
        </row>
        <row r="2793">
          <cell r="N2793" t="str">
            <v/>
          </cell>
          <cell r="O2793" t="str">
            <v/>
          </cell>
          <cell r="P2793" t="str">
            <v/>
          </cell>
          <cell r="Q2793" t="str">
            <v/>
          </cell>
        </row>
        <row r="2794">
          <cell r="N2794" t="str">
            <v/>
          </cell>
          <cell r="O2794" t="str">
            <v/>
          </cell>
          <cell r="P2794" t="str">
            <v/>
          </cell>
          <cell r="Q2794" t="str">
            <v/>
          </cell>
        </row>
        <row r="2795">
          <cell r="N2795" t="str">
            <v>518501</v>
          </cell>
          <cell r="O2795" t="str">
            <v/>
          </cell>
          <cell r="P2795" t="str">
            <v/>
          </cell>
          <cell r="Q2795" t="str">
            <v>1999</v>
          </cell>
        </row>
        <row r="2796">
          <cell r="N2796" t="str">
            <v>518501</v>
          </cell>
          <cell r="O2796" t="str">
            <v>!D3</v>
          </cell>
          <cell r="P2796" t="str">
            <v>!D3518501</v>
          </cell>
          <cell r="Q2796" t="str">
            <v>1999</v>
          </cell>
        </row>
        <row r="2797">
          <cell r="N2797" t="str">
            <v>5499630</v>
          </cell>
          <cell r="O2797" t="str">
            <v/>
          </cell>
          <cell r="P2797" t="str">
            <v/>
          </cell>
          <cell r="Q2797" t="str">
            <v>29939</v>
          </cell>
        </row>
        <row r="2798">
          <cell r="N2798" t="str">
            <v>5499630</v>
          </cell>
          <cell r="O2798" t="str">
            <v>!JI</v>
          </cell>
          <cell r="P2798" t="str">
            <v>!JI5499630</v>
          </cell>
          <cell r="Q2798" t="str">
            <v>29939</v>
          </cell>
        </row>
        <row r="2799">
          <cell r="N2799" t="str">
            <v>5499630</v>
          </cell>
          <cell r="O2799" t="str">
            <v>!MN</v>
          </cell>
          <cell r="P2799" t="str">
            <v>!MN5499630</v>
          </cell>
          <cell r="Q2799" t="str">
            <v>29939</v>
          </cell>
        </row>
        <row r="2800">
          <cell r="N2800" t="str">
            <v>5499630</v>
          </cell>
          <cell r="O2800" t="str">
            <v>!PD</v>
          </cell>
          <cell r="P2800" t="str">
            <v>!PD5499630</v>
          </cell>
          <cell r="Q2800" t="str">
            <v>29939</v>
          </cell>
        </row>
        <row r="2801">
          <cell r="N2801" t="str">
            <v>5499641</v>
          </cell>
          <cell r="O2801" t="str">
            <v/>
          </cell>
          <cell r="P2801" t="str">
            <v/>
          </cell>
          <cell r="Q2801" t="str">
            <v>29939</v>
          </cell>
        </row>
        <row r="2802">
          <cell r="N2802" t="str">
            <v>5499641</v>
          </cell>
          <cell r="O2802" t="str">
            <v>!D3</v>
          </cell>
          <cell r="P2802" t="str">
            <v>!D35499641</v>
          </cell>
          <cell r="Q2802" t="str">
            <v>29939</v>
          </cell>
        </row>
        <row r="2803">
          <cell r="N2803" t="str">
            <v>825931</v>
          </cell>
          <cell r="O2803" t="str">
            <v/>
          </cell>
          <cell r="P2803" t="str">
            <v/>
          </cell>
          <cell r="Q2803" t="str">
            <v>501530400</v>
          </cell>
        </row>
        <row r="2804">
          <cell r="N2804" t="str">
            <v>825931</v>
          </cell>
          <cell r="O2804" t="str">
            <v>A66</v>
          </cell>
          <cell r="P2804" t="str">
            <v>A66825931</v>
          </cell>
          <cell r="Q2804" t="str">
            <v>501530400</v>
          </cell>
        </row>
        <row r="2805">
          <cell r="N2805" t="str">
            <v>825931</v>
          </cell>
          <cell r="O2805" t="str">
            <v>A76</v>
          </cell>
          <cell r="P2805" t="str">
            <v>A76825931</v>
          </cell>
          <cell r="Q2805" t="str">
            <v>501530400</v>
          </cell>
        </row>
        <row r="2806">
          <cell r="N2806" t="str">
            <v>825931</v>
          </cell>
          <cell r="O2806" t="str">
            <v>A77</v>
          </cell>
          <cell r="P2806" t="str">
            <v>A77825931</v>
          </cell>
          <cell r="Q2806" t="str">
            <v>501530400</v>
          </cell>
        </row>
        <row r="2807">
          <cell r="N2807" t="str">
            <v>825931</v>
          </cell>
          <cell r="O2807" t="str">
            <v>B7C</v>
          </cell>
          <cell r="P2807" t="str">
            <v>B7C825931</v>
          </cell>
          <cell r="Q2807" t="str">
            <v>501530400</v>
          </cell>
        </row>
        <row r="2808">
          <cell r="N2808" t="str">
            <v>825931</v>
          </cell>
          <cell r="O2808" t="str">
            <v>ONL</v>
          </cell>
          <cell r="P2808" t="str">
            <v>ONL825931</v>
          </cell>
          <cell r="Q2808" t="str">
            <v>501530400</v>
          </cell>
        </row>
        <row r="2809">
          <cell r="N2809" t="str">
            <v>825931</v>
          </cell>
          <cell r="O2809" t="str">
            <v>REG</v>
          </cell>
          <cell r="P2809" t="str">
            <v>REG825931</v>
          </cell>
          <cell r="Q2809" t="str">
            <v>501530400</v>
          </cell>
        </row>
        <row r="2810">
          <cell r="N2810" t="str">
            <v>825931</v>
          </cell>
          <cell r="O2810" t="str">
            <v>111</v>
          </cell>
          <cell r="P2810" t="str">
            <v>111825931</v>
          </cell>
          <cell r="Q2810" t="str">
            <v>501530400</v>
          </cell>
        </row>
        <row r="2811">
          <cell r="N2811" t="str">
            <v>825931</v>
          </cell>
          <cell r="O2811" t="str">
            <v>!63</v>
          </cell>
          <cell r="P2811" t="str">
            <v>!63825931</v>
          </cell>
          <cell r="Q2811" t="str">
            <v>501530400</v>
          </cell>
        </row>
        <row r="2812">
          <cell r="N2812" t="str">
            <v>825931</v>
          </cell>
          <cell r="O2812" t="str">
            <v>8NT</v>
          </cell>
          <cell r="P2812" t="str">
            <v>8NT825931</v>
          </cell>
          <cell r="Q2812" t="str">
            <v>501530400</v>
          </cell>
        </row>
        <row r="2813">
          <cell r="N2813" t="str">
            <v>825931</v>
          </cell>
          <cell r="O2813" t="str">
            <v>856</v>
          </cell>
          <cell r="P2813" t="str">
            <v>856825931</v>
          </cell>
          <cell r="Q2813" t="str">
            <v>501530400</v>
          </cell>
        </row>
        <row r="2814">
          <cell r="N2814" t="str">
            <v>825933</v>
          </cell>
          <cell r="O2814" t="str">
            <v/>
          </cell>
          <cell r="P2814" t="str">
            <v/>
          </cell>
          <cell r="Q2814" t="str">
            <v>512010</v>
          </cell>
        </row>
        <row r="2815">
          <cell r="N2815" t="str">
            <v>825933</v>
          </cell>
          <cell r="O2815" t="str">
            <v>ONL</v>
          </cell>
          <cell r="P2815" t="str">
            <v>ONL825933</v>
          </cell>
          <cell r="Q2815" t="str">
            <v>512010</v>
          </cell>
        </row>
        <row r="2816">
          <cell r="N2816" t="str">
            <v>825933</v>
          </cell>
          <cell r="O2816" t="str">
            <v>REG</v>
          </cell>
          <cell r="P2816" t="str">
            <v>REG825933</v>
          </cell>
          <cell r="Q2816" t="str">
            <v>512010</v>
          </cell>
        </row>
        <row r="2817">
          <cell r="N2817" t="str">
            <v>825933</v>
          </cell>
          <cell r="O2817" t="str">
            <v>XEX</v>
          </cell>
          <cell r="P2817" t="str">
            <v>XEX825933</v>
          </cell>
          <cell r="Q2817" t="str">
            <v>512010</v>
          </cell>
        </row>
        <row r="2818">
          <cell r="N2818" t="str">
            <v>825933</v>
          </cell>
          <cell r="O2818" t="str">
            <v>XWX</v>
          </cell>
          <cell r="P2818" t="str">
            <v>XWX825933</v>
          </cell>
          <cell r="Q2818" t="str">
            <v>512010</v>
          </cell>
        </row>
        <row r="2819">
          <cell r="N2819" t="str">
            <v>825933</v>
          </cell>
          <cell r="O2819" t="str">
            <v>XWZ</v>
          </cell>
          <cell r="P2819" t="str">
            <v>XWZ825933</v>
          </cell>
          <cell r="Q2819" t="str">
            <v>512010</v>
          </cell>
        </row>
        <row r="2820">
          <cell r="N2820" t="str">
            <v>825936</v>
          </cell>
          <cell r="O2820" t="str">
            <v/>
          </cell>
          <cell r="P2820" t="str">
            <v/>
          </cell>
          <cell r="Q2820" t="str">
            <v>512010</v>
          </cell>
        </row>
        <row r="2821">
          <cell r="N2821" t="str">
            <v>825936</v>
          </cell>
          <cell r="O2821" t="str">
            <v>A7A</v>
          </cell>
          <cell r="P2821" t="str">
            <v>A7A825936</v>
          </cell>
          <cell r="Q2821" t="str">
            <v>512010</v>
          </cell>
        </row>
        <row r="2822">
          <cell r="N2822" t="str">
            <v>825942</v>
          </cell>
          <cell r="O2822" t="str">
            <v/>
          </cell>
          <cell r="P2822" t="str">
            <v/>
          </cell>
          <cell r="Q2822" t="str">
            <v>51950</v>
          </cell>
        </row>
        <row r="2823">
          <cell r="N2823" t="str">
            <v>825942</v>
          </cell>
          <cell r="O2823" t="str">
            <v>!75</v>
          </cell>
          <cell r="P2823" t="str">
            <v>!75825942</v>
          </cell>
          <cell r="Q2823" t="str">
            <v>51950</v>
          </cell>
        </row>
        <row r="2824">
          <cell r="N2824" t="str">
            <v>825944</v>
          </cell>
          <cell r="O2824" t="str">
            <v/>
          </cell>
          <cell r="P2824" t="str">
            <v/>
          </cell>
          <cell r="Q2824" t="str">
            <v>512018</v>
          </cell>
        </row>
        <row r="2825">
          <cell r="N2825" t="str">
            <v>825944</v>
          </cell>
          <cell r="O2825" t="str">
            <v>!NB</v>
          </cell>
          <cell r="P2825" t="str">
            <v>!NB825944</v>
          </cell>
          <cell r="Q2825" t="str">
            <v>512018</v>
          </cell>
        </row>
        <row r="2826">
          <cell r="N2826" t="str">
            <v>825944</v>
          </cell>
          <cell r="O2826" t="str">
            <v>ONL</v>
          </cell>
          <cell r="P2826" t="str">
            <v>ONL825944</v>
          </cell>
          <cell r="Q2826" t="str">
            <v>512018</v>
          </cell>
        </row>
        <row r="2827">
          <cell r="N2827" t="str">
            <v/>
          </cell>
          <cell r="O2827" t="str">
            <v/>
          </cell>
          <cell r="P2827" t="str">
            <v/>
          </cell>
          <cell r="Q2827" t="str">
            <v/>
          </cell>
        </row>
        <row r="2828">
          <cell r="N2828" t="str">
            <v>825931</v>
          </cell>
          <cell r="O2828" t="str">
            <v/>
          </cell>
          <cell r="P2828" t="str">
            <v/>
          </cell>
          <cell r="Q2828" t="str">
            <v>501530400</v>
          </cell>
        </row>
        <row r="2829">
          <cell r="N2829" t="str">
            <v>825931</v>
          </cell>
          <cell r="O2829" t="str">
            <v>VEH</v>
          </cell>
          <cell r="P2829" t="str">
            <v>VEH825931</v>
          </cell>
          <cell r="Q2829" t="str">
            <v>501530400</v>
          </cell>
        </row>
        <row r="2830">
          <cell r="N2830" t="str">
            <v>825931</v>
          </cell>
          <cell r="O2830" t="str">
            <v>VE2</v>
          </cell>
          <cell r="P2830" t="str">
            <v>VE2825931</v>
          </cell>
          <cell r="Q2830" t="str">
            <v>501530400</v>
          </cell>
        </row>
        <row r="2831">
          <cell r="N2831" t="str">
            <v/>
          </cell>
          <cell r="O2831" t="str">
            <v/>
          </cell>
          <cell r="P2831" t="str">
            <v/>
          </cell>
          <cell r="Q2831" t="str">
            <v/>
          </cell>
        </row>
        <row r="2832">
          <cell r="N2832" t="str">
            <v/>
          </cell>
          <cell r="O2832" t="str">
            <v/>
          </cell>
          <cell r="P2832" t="str">
            <v/>
          </cell>
          <cell r="Q2832" t="str">
            <v/>
          </cell>
        </row>
        <row r="2833">
          <cell r="N2833" t="str">
            <v>825931</v>
          </cell>
          <cell r="O2833" t="str">
            <v/>
          </cell>
          <cell r="P2833" t="str">
            <v/>
          </cell>
          <cell r="Q2833" t="str">
            <v>501530400</v>
          </cell>
        </row>
        <row r="2834">
          <cell r="N2834" t="str">
            <v>825931</v>
          </cell>
          <cell r="O2834" t="str">
            <v>A6A</v>
          </cell>
          <cell r="P2834" t="str">
            <v>A6A825931</v>
          </cell>
          <cell r="Q2834" t="str">
            <v>501530400</v>
          </cell>
        </row>
        <row r="2835">
          <cell r="N2835" t="str">
            <v>825931</v>
          </cell>
          <cell r="O2835" t="str">
            <v>!MF</v>
          </cell>
          <cell r="P2835" t="str">
            <v>!MF825931</v>
          </cell>
          <cell r="Q2835" t="str">
            <v>501530400</v>
          </cell>
        </row>
        <row r="2836">
          <cell r="N2836" t="str">
            <v>825931</v>
          </cell>
          <cell r="O2836" t="str">
            <v>!NB</v>
          </cell>
          <cell r="P2836" t="str">
            <v>!NB825931</v>
          </cell>
          <cell r="Q2836" t="str">
            <v>501530400</v>
          </cell>
        </row>
        <row r="2837">
          <cell r="N2837" t="str">
            <v>825931</v>
          </cell>
          <cell r="O2837" t="str">
            <v>!PC</v>
          </cell>
          <cell r="P2837" t="str">
            <v>!PC825931</v>
          </cell>
          <cell r="Q2837" t="str">
            <v>501530400</v>
          </cell>
        </row>
        <row r="2838">
          <cell r="N2838" t="str">
            <v>825931</v>
          </cell>
          <cell r="O2838" t="str">
            <v>!64</v>
          </cell>
          <cell r="P2838" t="str">
            <v>!64825931</v>
          </cell>
          <cell r="Q2838" t="str">
            <v>501530400</v>
          </cell>
        </row>
        <row r="2839">
          <cell r="N2839" t="str">
            <v/>
          </cell>
          <cell r="O2839" t="str">
            <v/>
          </cell>
          <cell r="P2839" t="str">
            <v/>
          </cell>
          <cell r="Q2839" t="str">
            <v/>
          </cell>
        </row>
        <row r="2840">
          <cell r="N2840" t="str">
            <v>825931</v>
          </cell>
          <cell r="O2840" t="str">
            <v/>
          </cell>
          <cell r="P2840" t="str">
            <v/>
          </cell>
          <cell r="Q2840" t="str">
            <v>501530400</v>
          </cell>
        </row>
        <row r="2841">
          <cell r="N2841" t="str">
            <v>825931</v>
          </cell>
          <cell r="O2841" t="str">
            <v>VEI</v>
          </cell>
          <cell r="P2841" t="str">
            <v>VEI825931</v>
          </cell>
          <cell r="Q2841" t="str">
            <v>501530400</v>
          </cell>
        </row>
        <row r="2842">
          <cell r="N2842" t="str">
            <v>825931</v>
          </cell>
          <cell r="O2842" t="str">
            <v>VE3</v>
          </cell>
          <cell r="P2842" t="str">
            <v>VE3825931</v>
          </cell>
          <cell r="Q2842" t="str">
            <v>501530400</v>
          </cell>
        </row>
        <row r="2843">
          <cell r="N2843" t="str">
            <v/>
          </cell>
          <cell r="O2843" t="str">
            <v/>
          </cell>
          <cell r="P2843" t="str">
            <v/>
          </cell>
          <cell r="Q2843" t="str">
            <v/>
          </cell>
        </row>
        <row r="2844">
          <cell r="N2844" t="str">
            <v/>
          </cell>
          <cell r="O2844" t="str">
            <v/>
          </cell>
          <cell r="P2844" t="str">
            <v/>
          </cell>
          <cell r="Q2844" t="str">
            <v/>
          </cell>
        </row>
        <row r="2845">
          <cell r="N2845" t="str">
            <v>5499631</v>
          </cell>
          <cell r="O2845" t="str">
            <v/>
          </cell>
          <cell r="P2845" t="str">
            <v/>
          </cell>
          <cell r="Q2845" t="str">
            <v>29939</v>
          </cell>
        </row>
        <row r="2846">
          <cell r="N2846" t="str">
            <v>5499631</v>
          </cell>
          <cell r="O2846" t="str">
            <v>!JK</v>
          </cell>
          <cell r="P2846" t="str">
            <v>!JK5499631</v>
          </cell>
          <cell r="Q2846" t="str">
            <v>29939</v>
          </cell>
        </row>
        <row r="2847">
          <cell r="N2847" t="str">
            <v>579910325</v>
          </cell>
          <cell r="O2847" t="str">
            <v/>
          </cell>
          <cell r="P2847" t="str">
            <v/>
          </cell>
          <cell r="Q2847" t="str">
            <v>1999</v>
          </cell>
        </row>
        <row r="2848">
          <cell r="N2848" t="str">
            <v>579910325</v>
          </cell>
          <cell r="O2848" t="str">
            <v>!CX</v>
          </cell>
          <cell r="P2848" t="str">
            <v>!CX579910325</v>
          </cell>
          <cell r="Q2848" t="str">
            <v>1999</v>
          </cell>
        </row>
        <row r="2849">
          <cell r="N2849" t="str">
            <v>579910325</v>
          </cell>
          <cell r="O2849" t="str">
            <v>!DO</v>
          </cell>
          <cell r="P2849" t="str">
            <v>!DO579910325</v>
          </cell>
          <cell r="Q2849" t="str">
            <v>1999</v>
          </cell>
        </row>
        <row r="2850">
          <cell r="N2850" t="str">
            <v>825930</v>
          </cell>
          <cell r="O2850" t="str">
            <v/>
          </cell>
          <cell r="P2850" t="str">
            <v/>
          </cell>
          <cell r="Q2850" t="str">
            <v>501530470</v>
          </cell>
        </row>
        <row r="2851">
          <cell r="N2851" t="str">
            <v>825930</v>
          </cell>
          <cell r="O2851" t="str">
            <v>111</v>
          </cell>
          <cell r="P2851" t="str">
            <v>111825930</v>
          </cell>
          <cell r="Q2851" t="str">
            <v>501530470</v>
          </cell>
        </row>
        <row r="2852">
          <cell r="N2852" t="str">
            <v>825930</v>
          </cell>
          <cell r="O2852" t="str">
            <v>23D</v>
          </cell>
          <cell r="P2852" t="str">
            <v>23D825930</v>
          </cell>
          <cell r="Q2852" t="str">
            <v>501530470</v>
          </cell>
        </row>
        <row r="2853">
          <cell r="N2853" t="str">
            <v>825930</v>
          </cell>
          <cell r="O2853" t="str">
            <v>853</v>
          </cell>
          <cell r="P2853" t="str">
            <v>853825930</v>
          </cell>
          <cell r="Q2853" t="str">
            <v>501530470</v>
          </cell>
        </row>
        <row r="2854">
          <cell r="N2854" t="str">
            <v>825942</v>
          </cell>
          <cell r="O2854" t="str">
            <v/>
          </cell>
          <cell r="P2854" t="str">
            <v/>
          </cell>
          <cell r="Q2854" t="str">
            <v>51950</v>
          </cell>
        </row>
        <row r="2855">
          <cell r="N2855" t="str">
            <v>825942</v>
          </cell>
          <cell r="O2855" t="str">
            <v>23D</v>
          </cell>
          <cell r="P2855" t="str">
            <v>23D825942</v>
          </cell>
          <cell r="Q2855" t="str">
            <v>51950</v>
          </cell>
        </row>
        <row r="2856">
          <cell r="N2856" t="str">
            <v>825942</v>
          </cell>
          <cell r="O2856" t="str">
            <v>853</v>
          </cell>
          <cell r="P2856" t="str">
            <v>853825942</v>
          </cell>
          <cell r="Q2856" t="str">
            <v>51950</v>
          </cell>
        </row>
        <row r="2857">
          <cell r="N2857" t="str">
            <v/>
          </cell>
          <cell r="O2857" t="str">
            <v/>
          </cell>
          <cell r="P2857" t="str">
            <v/>
          </cell>
          <cell r="Q2857" t="str">
            <v/>
          </cell>
        </row>
        <row r="2858">
          <cell r="N2858" t="str">
            <v>825930</v>
          </cell>
          <cell r="O2858" t="str">
            <v/>
          </cell>
          <cell r="P2858" t="str">
            <v/>
          </cell>
          <cell r="Q2858" t="str">
            <v>501530470</v>
          </cell>
        </row>
        <row r="2859">
          <cell r="N2859" t="str">
            <v>825930</v>
          </cell>
          <cell r="O2859" t="str">
            <v>ONL</v>
          </cell>
          <cell r="P2859" t="str">
            <v>ONL825930</v>
          </cell>
          <cell r="Q2859" t="str">
            <v>501530470</v>
          </cell>
        </row>
        <row r="2860">
          <cell r="N2860" t="str">
            <v>825930</v>
          </cell>
          <cell r="O2860" t="str">
            <v>23E</v>
          </cell>
          <cell r="P2860" t="str">
            <v>23E825930</v>
          </cell>
          <cell r="Q2860" t="str">
            <v>501530470</v>
          </cell>
        </row>
        <row r="2861">
          <cell r="N2861" t="str">
            <v>825930</v>
          </cell>
          <cell r="O2861" t="str">
            <v>!63</v>
          </cell>
          <cell r="P2861" t="str">
            <v>!63825930</v>
          </cell>
          <cell r="Q2861" t="str">
            <v>501530470</v>
          </cell>
        </row>
        <row r="2862">
          <cell r="N2862" t="str">
            <v>825930</v>
          </cell>
          <cell r="O2862" t="str">
            <v>!83</v>
          </cell>
          <cell r="P2862" t="str">
            <v>!83825930</v>
          </cell>
          <cell r="Q2862" t="str">
            <v>501530470</v>
          </cell>
        </row>
        <row r="2863">
          <cell r="N2863" t="str">
            <v>825930</v>
          </cell>
          <cell r="O2863" t="str">
            <v>!93</v>
          </cell>
          <cell r="P2863" t="str">
            <v>!93825930</v>
          </cell>
          <cell r="Q2863" t="str">
            <v>501530470</v>
          </cell>
        </row>
        <row r="2864">
          <cell r="N2864" t="str">
            <v/>
          </cell>
          <cell r="O2864" t="str">
            <v/>
          </cell>
          <cell r="P2864" t="str">
            <v/>
          </cell>
          <cell r="Q2864" t="str">
            <v/>
          </cell>
        </row>
        <row r="2865">
          <cell r="N2865" t="str">
            <v/>
          </cell>
          <cell r="O2865" t="str">
            <v/>
          </cell>
          <cell r="P2865" t="str">
            <v/>
          </cell>
          <cell r="Q2865" t="str">
            <v/>
          </cell>
        </row>
        <row r="2866">
          <cell r="N2866" t="str">
            <v/>
          </cell>
          <cell r="O2866" t="str">
            <v/>
          </cell>
          <cell r="P2866" t="str">
            <v/>
          </cell>
          <cell r="Q2866" t="str">
            <v/>
          </cell>
        </row>
        <row r="2867">
          <cell r="N2867" t="str">
            <v>825931</v>
          </cell>
          <cell r="O2867" t="str">
            <v/>
          </cell>
          <cell r="P2867" t="str">
            <v/>
          </cell>
          <cell r="Q2867" t="str">
            <v>501530400</v>
          </cell>
        </row>
        <row r="2868">
          <cell r="N2868" t="str">
            <v>825931</v>
          </cell>
          <cell r="O2868" t="str">
            <v>A7B</v>
          </cell>
          <cell r="P2868" t="str">
            <v>A7B825931</v>
          </cell>
          <cell r="Q2868" t="str">
            <v>501530400</v>
          </cell>
        </row>
        <row r="2869">
          <cell r="N2869" t="str">
            <v>825931</v>
          </cell>
          <cell r="O2869" t="str">
            <v>A7C</v>
          </cell>
          <cell r="P2869" t="str">
            <v>A7C825931</v>
          </cell>
          <cell r="Q2869" t="str">
            <v>501530400</v>
          </cell>
        </row>
        <row r="2870">
          <cell r="N2870" t="str">
            <v>825931</v>
          </cell>
          <cell r="O2870" t="str">
            <v>!PE</v>
          </cell>
          <cell r="P2870" t="str">
            <v>!PE825931</v>
          </cell>
          <cell r="Q2870" t="str">
            <v>501530400</v>
          </cell>
        </row>
        <row r="2871">
          <cell r="N2871" t="str">
            <v>825931</v>
          </cell>
          <cell r="O2871" t="str">
            <v>8NZ</v>
          </cell>
          <cell r="P2871" t="str">
            <v>8NZ825931</v>
          </cell>
          <cell r="Q2871" t="str">
            <v>501530400</v>
          </cell>
        </row>
        <row r="2872">
          <cell r="N2872" t="str">
            <v>825936</v>
          </cell>
          <cell r="O2872" t="str">
            <v/>
          </cell>
          <cell r="P2872" t="str">
            <v/>
          </cell>
          <cell r="Q2872" t="str">
            <v>512010</v>
          </cell>
        </row>
        <row r="2873">
          <cell r="N2873" t="str">
            <v>825936</v>
          </cell>
          <cell r="O2873" t="str">
            <v>!PE</v>
          </cell>
          <cell r="P2873" t="str">
            <v>!PE825936</v>
          </cell>
          <cell r="Q2873" t="str">
            <v>512010</v>
          </cell>
        </row>
        <row r="2874">
          <cell r="N2874" t="str">
            <v/>
          </cell>
          <cell r="O2874" t="str">
            <v/>
          </cell>
          <cell r="P2874" t="str">
            <v/>
          </cell>
          <cell r="Q2874" t="str">
            <v/>
          </cell>
        </row>
        <row r="2875">
          <cell r="N2875" t="str">
            <v/>
          </cell>
          <cell r="O2875" t="str">
            <v/>
          </cell>
          <cell r="P2875" t="str">
            <v/>
          </cell>
          <cell r="Q2875" t="str">
            <v/>
          </cell>
        </row>
        <row r="2876">
          <cell r="N2876" t="str">
            <v>518502</v>
          </cell>
          <cell r="O2876" t="str">
            <v/>
          </cell>
          <cell r="P2876" t="str">
            <v/>
          </cell>
          <cell r="Q2876" t="str">
            <v>1999</v>
          </cell>
        </row>
        <row r="2877">
          <cell r="N2877" t="str">
            <v>518502</v>
          </cell>
          <cell r="O2877" t="str">
            <v>!CZ</v>
          </cell>
          <cell r="P2877" t="str">
            <v>!CZ518502</v>
          </cell>
          <cell r="Q2877" t="str">
            <v>1999</v>
          </cell>
        </row>
        <row r="2878">
          <cell r="N2878" t="str">
            <v>579910320</v>
          </cell>
          <cell r="O2878" t="str">
            <v/>
          </cell>
          <cell r="P2878" t="str">
            <v/>
          </cell>
          <cell r="Q2878" t="str">
            <v>1999</v>
          </cell>
        </row>
        <row r="2879">
          <cell r="N2879" t="str">
            <v>579910320</v>
          </cell>
          <cell r="O2879" t="str">
            <v>!D1</v>
          </cell>
          <cell r="P2879" t="str">
            <v>!D1579910320</v>
          </cell>
          <cell r="Q2879" t="str">
            <v>1999</v>
          </cell>
        </row>
        <row r="2880">
          <cell r="N2880" t="str">
            <v>579910322</v>
          </cell>
          <cell r="O2880" t="str">
            <v/>
          </cell>
          <cell r="P2880" t="str">
            <v/>
          </cell>
          <cell r="Q2880" t="str">
            <v>2999</v>
          </cell>
        </row>
        <row r="2881">
          <cell r="N2881" t="str">
            <v>579910322</v>
          </cell>
          <cell r="O2881" t="str">
            <v>!CZ</v>
          </cell>
          <cell r="P2881" t="str">
            <v>!CZ579910322</v>
          </cell>
          <cell r="Q2881" t="str">
            <v>2999</v>
          </cell>
        </row>
        <row r="2882">
          <cell r="N2882" t="str">
            <v>7799</v>
          </cell>
          <cell r="O2882" t="str">
            <v/>
          </cell>
          <cell r="P2882" t="str">
            <v/>
          </cell>
          <cell r="Q2882" t="str">
            <v/>
          </cell>
        </row>
        <row r="2883">
          <cell r="N2883" t="str">
            <v>7799</v>
          </cell>
          <cell r="O2883" t="str">
            <v>239</v>
          </cell>
          <cell r="P2883" t="str">
            <v>2397799</v>
          </cell>
          <cell r="Q2883" t="str">
            <v/>
          </cell>
        </row>
        <row r="2884">
          <cell r="N2884" t="str">
            <v>825932</v>
          </cell>
          <cell r="O2884" t="str">
            <v/>
          </cell>
          <cell r="P2884" t="str">
            <v/>
          </cell>
          <cell r="Q2884" t="str">
            <v>512018</v>
          </cell>
        </row>
        <row r="2885">
          <cell r="N2885" t="str">
            <v>825932</v>
          </cell>
          <cell r="O2885" t="str">
            <v>A8A</v>
          </cell>
          <cell r="P2885" t="str">
            <v>A8A825932</v>
          </cell>
          <cell r="Q2885" t="str">
            <v>512018</v>
          </cell>
        </row>
        <row r="2886">
          <cell r="N2886" t="str">
            <v>825932</v>
          </cell>
          <cell r="O2886" t="str">
            <v>A8B</v>
          </cell>
          <cell r="P2886" t="str">
            <v>A8B825932</v>
          </cell>
          <cell r="Q2886" t="str">
            <v>512018</v>
          </cell>
        </row>
        <row r="2887">
          <cell r="N2887" t="str">
            <v>825932</v>
          </cell>
          <cell r="O2887" t="str">
            <v>ED4</v>
          </cell>
          <cell r="P2887" t="str">
            <v>ED4825932</v>
          </cell>
          <cell r="Q2887" t="str">
            <v>512018</v>
          </cell>
        </row>
        <row r="2888">
          <cell r="N2888" t="str">
            <v>825932</v>
          </cell>
          <cell r="O2888" t="str">
            <v>!MF</v>
          </cell>
          <cell r="P2888" t="str">
            <v>!MF825932</v>
          </cell>
          <cell r="Q2888" t="str">
            <v>512018</v>
          </cell>
        </row>
        <row r="2889">
          <cell r="N2889" t="str">
            <v>825932</v>
          </cell>
          <cell r="O2889" t="str">
            <v>!NB</v>
          </cell>
          <cell r="P2889" t="str">
            <v>!NB825932</v>
          </cell>
          <cell r="Q2889" t="str">
            <v>512018</v>
          </cell>
        </row>
        <row r="2890">
          <cell r="N2890" t="str">
            <v>825932</v>
          </cell>
          <cell r="O2890" t="str">
            <v>ONL</v>
          </cell>
          <cell r="P2890" t="str">
            <v>ONL825932</v>
          </cell>
          <cell r="Q2890" t="str">
            <v>512018</v>
          </cell>
        </row>
        <row r="2891">
          <cell r="N2891" t="str">
            <v>825932</v>
          </cell>
          <cell r="O2891" t="str">
            <v>111</v>
          </cell>
          <cell r="P2891" t="str">
            <v>111825932</v>
          </cell>
          <cell r="Q2891" t="str">
            <v>512018</v>
          </cell>
        </row>
        <row r="2892">
          <cell r="N2892" t="str">
            <v>825932</v>
          </cell>
          <cell r="O2892" t="str">
            <v>233</v>
          </cell>
          <cell r="P2892" t="str">
            <v>233825932</v>
          </cell>
          <cell r="Q2892" t="str">
            <v>512018</v>
          </cell>
        </row>
        <row r="2893">
          <cell r="N2893" t="str">
            <v>825932</v>
          </cell>
          <cell r="O2893" t="str">
            <v>239</v>
          </cell>
          <cell r="P2893" t="str">
            <v>239825932</v>
          </cell>
          <cell r="Q2893" t="str">
            <v>512018</v>
          </cell>
        </row>
        <row r="2894">
          <cell r="N2894" t="str">
            <v>825932</v>
          </cell>
          <cell r="O2894" t="str">
            <v>!72</v>
          </cell>
          <cell r="P2894" t="str">
            <v>!72825932</v>
          </cell>
          <cell r="Q2894" t="str">
            <v>512018</v>
          </cell>
        </row>
        <row r="2895">
          <cell r="N2895" t="str">
            <v>825932</v>
          </cell>
          <cell r="O2895" t="str">
            <v>!73</v>
          </cell>
          <cell r="P2895" t="str">
            <v>!73825932</v>
          </cell>
          <cell r="Q2895" t="str">
            <v>512018</v>
          </cell>
        </row>
        <row r="2896">
          <cell r="N2896" t="str">
            <v>825932</v>
          </cell>
          <cell r="O2896" t="str">
            <v>8NS</v>
          </cell>
          <cell r="P2896" t="str">
            <v>8NS825932</v>
          </cell>
          <cell r="Q2896" t="str">
            <v>512018</v>
          </cell>
        </row>
        <row r="2897">
          <cell r="N2897" t="str">
            <v>825932</v>
          </cell>
          <cell r="O2897" t="str">
            <v>856</v>
          </cell>
          <cell r="P2897" t="str">
            <v>856825932</v>
          </cell>
          <cell r="Q2897" t="str">
            <v>512018</v>
          </cell>
        </row>
        <row r="2898">
          <cell r="N2898" t="str">
            <v>825934</v>
          </cell>
          <cell r="O2898" t="str">
            <v/>
          </cell>
          <cell r="P2898" t="str">
            <v/>
          </cell>
          <cell r="Q2898" t="str">
            <v>512010</v>
          </cell>
        </row>
        <row r="2899">
          <cell r="N2899" t="str">
            <v>825934</v>
          </cell>
          <cell r="O2899" t="str">
            <v>XEY</v>
          </cell>
          <cell r="P2899" t="str">
            <v>XEY825934</v>
          </cell>
          <cell r="Q2899" t="str">
            <v>512010</v>
          </cell>
        </row>
        <row r="2900">
          <cell r="N2900" t="str">
            <v>89921</v>
          </cell>
          <cell r="O2900" t="str">
            <v/>
          </cell>
          <cell r="P2900" t="str">
            <v/>
          </cell>
          <cell r="Q2900" t="str">
            <v>51959</v>
          </cell>
        </row>
        <row r="2901">
          <cell r="N2901" t="str">
            <v>89921</v>
          </cell>
          <cell r="O2901" t="str">
            <v>ED4</v>
          </cell>
          <cell r="P2901" t="str">
            <v>ED489921</v>
          </cell>
          <cell r="Q2901" t="str">
            <v>51959</v>
          </cell>
        </row>
        <row r="2902">
          <cell r="N2902" t="str">
            <v>89921</v>
          </cell>
          <cell r="O2902" t="str">
            <v>233</v>
          </cell>
          <cell r="P2902" t="str">
            <v>23389921</v>
          </cell>
          <cell r="Q2902" t="str">
            <v>51959</v>
          </cell>
        </row>
        <row r="2903">
          <cell r="N2903" t="str">
            <v>89921</v>
          </cell>
          <cell r="O2903" t="str">
            <v>239</v>
          </cell>
          <cell r="P2903" t="str">
            <v>23989921</v>
          </cell>
          <cell r="Q2903" t="str">
            <v>51959</v>
          </cell>
        </row>
        <row r="2904">
          <cell r="N2904" t="str">
            <v/>
          </cell>
          <cell r="O2904" t="str">
            <v/>
          </cell>
          <cell r="P2904" t="str">
            <v/>
          </cell>
          <cell r="Q2904" t="str">
            <v/>
          </cell>
        </row>
        <row r="2905">
          <cell r="N2905" t="str">
            <v>825932</v>
          </cell>
          <cell r="O2905" t="str">
            <v/>
          </cell>
          <cell r="P2905" t="str">
            <v/>
          </cell>
          <cell r="Q2905" t="str">
            <v>512018</v>
          </cell>
        </row>
        <row r="2906">
          <cell r="N2906" t="str">
            <v>825932</v>
          </cell>
          <cell r="O2906" t="str">
            <v>VEG</v>
          </cell>
          <cell r="P2906" t="str">
            <v>VEG825932</v>
          </cell>
          <cell r="Q2906" t="str">
            <v>512018</v>
          </cell>
        </row>
        <row r="2907">
          <cell r="N2907" t="str">
            <v>825932</v>
          </cell>
          <cell r="O2907" t="str">
            <v>VE1</v>
          </cell>
          <cell r="P2907" t="str">
            <v>VE1825932</v>
          </cell>
          <cell r="Q2907" t="str">
            <v>512018</v>
          </cell>
        </row>
        <row r="2908">
          <cell r="N2908" t="str">
            <v/>
          </cell>
          <cell r="O2908" t="str">
            <v/>
          </cell>
          <cell r="P2908" t="str">
            <v/>
          </cell>
          <cell r="Q2908" t="str">
            <v/>
          </cell>
        </row>
        <row r="2909">
          <cell r="N2909" t="str">
            <v>71990</v>
          </cell>
          <cell r="O2909" t="str">
            <v/>
          </cell>
          <cell r="P2909" t="str">
            <v/>
          </cell>
          <cell r="Q2909" t="str">
            <v>41999</v>
          </cell>
        </row>
        <row r="2910">
          <cell r="N2910" t="str">
            <v>71990</v>
          </cell>
          <cell r="O2910" t="str">
            <v>MER</v>
          </cell>
          <cell r="P2910" t="str">
            <v>MER71990</v>
          </cell>
          <cell r="Q2910" t="str">
            <v>41999</v>
          </cell>
        </row>
        <row r="2911">
          <cell r="N2911" t="str">
            <v>71990</v>
          </cell>
          <cell r="O2911" t="str">
            <v>ONL</v>
          </cell>
          <cell r="P2911" t="str">
            <v>ONL71990</v>
          </cell>
          <cell r="Q2911" t="str">
            <v>41999</v>
          </cell>
        </row>
        <row r="2912">
          <cell r="N2912" t="str">
            <v>71990</v>
          </cell>
          <cell r="O2912" t="str">
            <v>111</v>
          </cell>
          <cell r="P2912" t="str">
            <v>11171990</v>
          </cell>
          <cell r="Q2912" t="str">
            <v>41999</v>
          </cell>
        </row>
        <row r="2913">
          <cell r="N2913" t="str">
            <v>71990</v>
          </cell>
          <cell r="O2913" t="str">
            <v>294</v>
          </cell>
          <cell r="P2913" t="str">
            <v>29471990</v>
          </cell>
          <cell r="Q2913" t="str">
            <v>41999</v>
          </cell>
        </row>
        <row r="2914">
          <cell r="N2914" t="str">
            <v>8220300</v>
          </cell>
          <cell r="O2914" t="str">
            <v/>
          </cell>
          <cell r="P2914" t="str">
            <v/>
          </cell>
          <cell r="Q2914" t="str">
            <v/>
          </cell>
        </row>
        <row r="2915">
          <cell r="N2915" t="str">
            <v>8220300</v>
          </cell>
          <cell r="O2915" t="str">
            <v>291</v>
          </cell>
          <cell r="P2915" t="str">
            <v>2918220300</v>
          </cell>
          <cell r="Q2915" t="str">
            <v/>
          </cell>
        </row>
        <row r="2916">
          <cell r="N2916" t="str">
            <v>825930</v>
          </cell>
          <cell r="O2916" t="str">
            <v/>
          </cell>
          <cell r="P2916" t="str">
            <v/>
          </cell>
          <cell r="Q2916" t="str">
            <v>501530470</v>
          </cell>
        </row>
        <row r="2917">
          <cell r="N2917" t="str">
            <v>825930</v>
          </cell>
          <cell r="O2917" t="str">
            <v>178</v>
          </cell>
          <cell r="P2917" t="str">
            <v>178825930</v>
          </cell>
          <cell r="Q2917" t="str">
            <v>501530470</v>
          </cell>
        </row>
        <row r="2918">
          <cell r="N2918" t="str">
            <v>825931</v>
          </cell>
          <cell r="O2918" t="str">
            <v/>
          </cell>
          <cell r="P2918" t="str">
            <v/>
          </cell>
          <cell r="Q2918" t="str">
            <v>501530400</v>
          </cell>
        </row>
        <row r="2919">
          <cell r="N2919" t="str">
            <v>825931</v>
          </cell>
          <cell r="O2919" t="str">
            <v>A7A</v>
          </cell>
          <cell r="P2919" t="str">
            <v>A7A825931</v>
          </cell>
          <cell r="Q2919" t="str">
            <v>501530400</v>
          </cell>
        </row>
        <row r="2920">
          <cell r="N2920" t="str">
            <v>825931</v>
          </cell>
          <cell r="O2920" t="str">
            <v>XTP</v>
          </cell>
          <cell r="P2920" t="str">
            <v>XTP825931</v>
          </cell>
          <cell r="Q2920" t="str">
            <v>501530400</v>
          </cell>
        </row>
        <row r="2921">
          <cell r="N2921" t="str">
            <v>82999</v>
          </cell>
          <cell r="O2921" t="str">
            <v/>
          </cell>
          <cell r="P2921" t="str">
            <v/>
          </cell>
          <cell r="Q2921" t="str">
            <v>51999</v>
          </cell>
        </row>
        <row r="2922">
          <cell r="N2922" t="str">
            <v>82999</v>
          </cell>
          <cell r="O2922" t="str">
            <v>291</v>
          </cell>
          <cell r="P2922" t="str">
            <v>29182999</v>
          </cell>
          <cell r="Q2922" t="str">
            <v>51999</v>
          </cell>
        </row>
        <row r="2923">
          <cell r="N2923" t="str">
            <v>89921</v>
          </cell>
          <cell r="O2923" t="str">
            <v/>
          </cell>
          <cell r="P2923" t="str">
            <v/>
          </cell>
          <cell r="Q2923" t="str">
            <v>51959</v>
          </cell>
        </row>
        <row r="2924">
          <cell r="N2924" t="str">
            <v>89921</v>
          </cell>
          <cell r="O2924" t="str">
            <v>ONL</v>
          </cell>
          <cell r="P2924" t="str">
            <v>ONL89921</v>
          </cell>
          <cell r="Q2924" t="str">
            <v>51959</v>
          </cell>
        </row>
        <row r="2925">
          <cell r="N2925" t="str">
            <v/>
          </cell>
          <cell r="O2925" t="str">
            <v/>
          </cell>
          <cell r="P2925" t="str">
            <v/>
          </cell>
          <cell r="Q2925" t="str">
            <v/>
          </cell>
        </row>
        <row r="2926">
          <cell r="N2926" t="str">
            <v/>
          </cell>
          <cell r="O2926" t="str">
            <v/>
          </cell>
          <cell r="P2926" t="str">
            <v/>
          </cell>
          <cell r="Q2926" t="str">
            <v/>
          </cell>
        </row>
        <row r="2927">
          <cell r="N2927" t="str">
            <v/>
          </cell>
          <cell r="O2927" t="str">
            <v/>
          </cell>
          <cell r="P2927" t="str">
            <v/>
          </cell>
          <cell r="Q2927" t="str">
            <v/>
          </cell>
        </row>
        <row r="2928">
          <cell r="N2928" t="str">
            <v/>
          </cell>
          <cell r="O2928" t="str">
            <v/>
          </cell>
          <cell r="P2928" t="str">
            <v/>
          </cell>
          <cell r="Q2928" t="str">
            <v/>
          </cell>
        </row>
        <row r="2929">
          <cell r="N2929" t="str">
            <v/>
          </cell>
          <cell r="O2929" t="str">
            <v/>
          </cell>
          <cell r="P2929" t="str">
            <v/>
          </cell>
          <cell r="Q2929" t="str">
            <v/>
          </cell>
        </row>
        <row r="2930">
          <cell r="N2930" t="str">
            <v>8296</v>
          </cell>
          <cell r="O2930" t="str">
            <v/>
          </cell>
          <cell r="P2930" t="str">
            <v/>
          </cell>
          <cell r="Q2930" t="str">
            <v>51999</v>
          </cell>
        </row>
        <row r="2931">
          <cell r="N2931" t="str">
            <v>8296</v>
          </cell>
          <cell r="O2931" t="str">
            <v>ONL</v>
          </cell>
          <cell r="P2931" t="str">
            <v>ONL8296</v>
          </cell>
          <cell r="Q2931" t="str">
            <v>51999</v>
          </cell>
        </row>
        <row r="2932">
          <cell r="N2932" t="str">
            <v>89250</v>
          </cell>
          <cell r="O2932" t="str">
            <v/>
          </cell>
          <cell r="P2932" t="str">
            <v/>
          </cell>
          <cell r="Q2932" t="str">
            <v>55088091</v>
          </cell>
        </row>
        <row r="2933">
          <cell r="N2933" t="str">
            <v>89250</v>
          </cell>
          <cell r="O2933" t="str">
            <v>ONL</v>
          </cell>
          <cell r="P2933" t="str">
            <v>ONL89250</v>
          </cell>
          <cell r="Q2933" t="str">
            <v>55088091</v>
          </cell>
        </row>
        <row r="2934">
          <cell r="N2934" t="str">
            <v>89251</v>
          </cell>
          <cell r="O2934" t="str">
            <v/>
          </cell>
          <cell r="P2934" t="str">
            <v/>
          </cell>
          <cell r="Q2934" t="str">
            <v>55088091</v>
          </cell>
        </row>
        <row r="2935">
          <cell r="N2935" t="str">
            <v>89251</v>
          </cell>
          <cell r="O2935" t="str">
            <v>ONL</v>
          </cell>
          <cell r="P2935" t="str">
            <v>ONL89251</v>
          </cell>
          <cell r="Q2935" t="str">
            <v>55088091</v>
          </cell>
        </row>
        <row r="2936">
          <cell r="N2936" t="str">
            <v/>
          </cell>
          <cell r="O2936" t="str">
            <v/>
          </cell>
          <cell r="P2936" t="str">
            <v/>
          </cell>
          <cell r="Q2936" t="str">
            <v/>
          </cell>
        </row>
        <row r="2937">
          <cell r="N2937" t="str">
            <v/>
          </cell>
          <cell r="O2937" t="str">
            <v/>
          </cell>
          <cell r="P2937" t="str">
            <v/>
          </cell>
          <cell r="Q2937" t="str">
            <v/>
          </cell>
        </row>
        <row r="2938">
          <cell r="N2938" t="str">
            <v/>
          </cell>
          <cell r="O2938" t="str">
            <v/>
          </cell>
          <cell r="P2938" t="str">
            <v/>
          </cell>
          <cell r="Q2938" t="str">
            <v/>
          </cell>
        </row>
        <row r="2939">
          <cell r="N2939" t="str">
            <v>SCH</v>
          </cell>
          <cell r="O2939" t="str">
            <v/>
          </cell>
          <cell r="P2939" t="str">
            <v/>
          </cell>
          <cell r="Q2939" t="str">
            <v/>
          </cell>
        </row>
        <row r="2940">
          <cell r="N2940" t="str">
            <v>SCH</v>
          </cell>
          <cell r="O2940" t="str">
            <v>JOP</v>
          </cell>
          <cell r="P2940" t="str">
            <v>JOPSCH</v>
          </cell>
          <cell r="Q2940" t="str">
            <v/>
          </cell>
        </row>
        <row r="2941">
          <cell r="N2941" t="str">
            <v>SCH</v>
          </cell>
          <cell r="O2941" t="str">
            <v>VIC</v>
          </cell>
          <cell r="P2941" t="str">
            <v>VICSCH</v>
          </cell>
          <cell r="Q2941" t="str">
            <v/>
          </cell>
        </row>
        <row r="2942">
          <cell r="N2942" t="str">
            <v/>
          </cell>
          <cell r="O2942" t="str">
            <v/>
          </cell>
          <cell r="P2942" t="str">
            <v/>
          </cell>
          <cell r="Q2942" t="str">
            <v/>
          </cell>
        </row>
        <row r="2943">
          <cell r="N2943" t="str">
            <v>SCH</v>
          </cell>
          <cell r="O2943" t="str">
            <v/>
          </cell>
          <cell r="P2943" t="str">
            <v/>
          </cell>
          <cell r="Q2943" t="str">
            <v/>
          </cell>
        </row>
        <row r="2944">
          <cell r="N2944" t="str">
            <v>SCH</v>
          </cell>
          <cell r="O2944" t="str">
            <v>AVA</v>
          </cell>
          <cell r="P2944" t="str">
            <v>AVASCH</v>
          </cell>
          <cell r="Q2944" t="str">
            <v/>
          </cell>
        </row>
        <row r="2945">
          <cell r="N2945" t="str">
            <v/>
          </cell>
          <cell r="O2945" t="str">
            <v/>
          </cell>
          <cell r="P2945" t="str">
            <v/>
          </cell>
          <cell r="Q2945" t="str">
            <v/>
          </cell>
        </row>
        <row r="2946">
          <cell r="N2946" t="str">
            <v/>
          </cell>
          <cell r="O2946" t="str">
            <v/>
          </cell>
          <cell r="P2946" t="str">
            <v/>
          </cell>
          <cell r="Q2946" t="str">
            <v/>
          </cell>
        </row>
        <row r="2947">
          <cell r="N2947" t="str">
            <v/>
          </cell>
          <cell r="O2947" t="str">
            <v/>
          </cell>
          <cell r="P2947" t="str">
            <v/>
          </cell>
          <cell r="Q2947" t="str">
            <v/>
          </cell>
        </row>
        <row r="2948">
          <cell r="N2948" t="str">
            <v>SCH</v>
          </cell>
          <cell r="O2948" t="str">
            <v/>
          </cell>
          <cell r="P2948" t="str">
            <v/>
          </cell>
          <cell r="Q2948" t="str">
            <v/>
          </cell>
        </row>
        <row r="2949">
          <cell r="N2949" t="str">
            <v>SCH</v>
          </cell>
          <cell r="O2949" t="str">
            <v>CGA</v>
          </cell>
          <cell r="P2949" t="str">
            <v>CGASCH</v>
          </cell>
          <cell r="Q2949" t="str">
            <v/>
          </cell>
        </row>
        <row r="2950">
          <cell r="N2950" t="str">
            <v>SCH</v>
          </cell>
          <cell r="O2950" t="str">
            <v>CGX</v>
          </cell>
          <cell r="P2950" t="str">
            <v>CGXSCH</v>
          </cell>
          <cell r="Q2950" t="str">
            <v/>
          </cell>
        </row>
        <row r="2951">
          <cell r="N2951" t="str">
            <v/>
          </cell>
          <cell r="O2951" t="str">
            <v/>
          </cell>
          <cell r="P2951" t="str">
            <v/>
          </cell>
          <cell r="Q2951" t="str">
            <v/>
          </cell>
        </row>
        <row r="2952">
          <cell r="N2952" t="str">
            <v>SCH</v>
          </cell>
          <cell r="O2952" t="str">
            <v/>
          </cell>
          <cell r="P2952" t="str">
            <v/>
          </cell>
          <cell r="Q2952" t="str">
            <v/>
          </cell>
        </row>
        <row r="2953">
          <cell r="N2953" t="str">
            <v>SCH</v>
          </cell>
          <cell r="O2953" t="str">
            <v>CTT</v>
          </cell>
          <cell r="P2953" t="str">
            <v>CTTSCH</v>
          </cell>
          <cell r="Q2953" t="str">
            <v/>
          </cell>
        </row>
        <row r="2954">
          <cell r="N2954" t="str">
            <v>SCH</v>
          </cell>
          <cell r="O2954" t="str">
            <v>DB6</v>
          </cell>
          <cell r="P2954" t="str">
            <v>DB6SCH</v>
          </cell>
          <cell r="Q2954" t="str">
            <v/>
          </cell>
        </row>
        <row r="2955">
          <cell r="N2955" t="str">
            <v>SCH</v>
          </cell>
          <cell r="O2955" t="str">
            <v>EN6</v>
          </cell>
          <cell r="P2955" t="str">
            <v>EN6SCH</v>
          </cell>
          <cell r="Q2955" t="str">
            <v/>
          </cell>
        </row>
        <row r="2956">
          <cell r="N2956" t="str">
            <v>SCH</v>
          </cell>
          <cell r="O2956" t="str">
            <v>POR</v>
          </cell>
          <cell r="P2956" t="str">
            <v>PORSCH</v>
          </cell>
          <cell r="Q2956" t="str">
            <v/>
          </cell>
        </row>
        <row r="2957">
          <cell r="N2957" t="str">
            <v>SCH</v>
          </cell>
          <cell r="O2957" t="str">
            <v>PR6</v>
          </cell>
          <cell r="P2957" t="str">
            <v>PR6SCH</v>
          </cell>
          <cell r="Q2957" t="str">
            <v/>
          </cell>
        </row>
        <row r="2958">
          <cell r="N2958" t="str">
            <v>SCH</v>
          </cell>
          <cell r="O2958" t="str">
            <v>VA6</v>
          </cell>
          <cell r="P2958" t="str">
            <v>VA6SCH</v>
          </cell>
          <cell r="Q2958" t="str">
            <v/>
          </cell>
        </row>
        <row r="2959">
          <cell r="N2959" t="str">
            <v/>
          </cell>
          <cell r="O2959" t="str">
            <v/>
          </cell>
          <cell r="P2959" t="str">
            <v/>
          </cell>
          <cell r="Q2959" t="str">
            <v/>
          </cell>
        </row>
        <row r="2960">
          <cell r="N2960" t="str">
            <v>SCH</v>
          </cell>
          <cell r="O2960" t="str">
            <v/>
          </cell>
          <cell r="P2960" t="str">
            <v/>
          </cell>
          <cell r="Q2960" t="str">
            <v/>
          </cell>
        </row>
        <row r="2961">
          <cell r="N2961" t="str">
            <v>SCH</v>
          </cell>
          <cell r="O2961" t="str">
            <v>NDR</v>
          </cell>
          <cell r="P2961" t="str">
            <v>NDRSCH</v>
          </cell>
          <cell r="Q2961" t="str">
            <v/>
          </cell>
        </row>
        <row r="2962">
          <cell r="N2962" t="str">
            <v>SCH</v>
          </cell>
          <cell r="O2962" t="str">
            <v>PEN</v>
          </cell>
          <cell r="P2962" t="str">
            <v>PENSCH</v>
          </cell>
          <cell r="Q2962" t="str">
            <v/>
          </cell>
        </row>
        <row r="2963">
          <cell r="N2963" t="str">
            <v>SCH</v>
          </cell>
          <cell r="O2963" t="str">
            <v>PER</v>
          </cell>
          <cell r="P2963" t="str">
            <v>PERSCH</v>
          </cell>
          <cell r="Q2963" t="str">
            <v/>
          </cell>
        </row>
        <row r="2964">
          <cell r="N2964" t="str">
            <v>SCH</v>
          </cell>
          <cell r="O2964" t="str">
            <v>RC1</v>
          </cell>
          <cell r="P2964" t="str">
            <v>RC1SCH</v>
          </cell>
          <cell r="Q2964" t="str">
            <v/>
          </cell>
        </row>
        <row r="2965">
          <cell r="N2965" t="str">
            <v>SCH</v>
          </cell>
          <cell r="O2965" t="str">
            <v>RES</v>
          </cell>
          <cell r="P2965" t="str">
            <v>RESSCH</v>
          </cell>
          <cell r="Q2965" t="str">
            <v/>
          </cell>
        </row>
        <row r="2966">
          <cell r="N2966" t="str">
            <v>SCH</v>
          </cell>
          <cell r="O2966" t="str">
            <v>RSC</v>
          </cell>
          <cell r="P2966" t="str">
            <v>RSCSCH</v>
          </cell>
          <cell r="Q2966" t="str">
            <v/>
          </cell>
        </row>
        <row r="2967">
          <cell r="N2967" t="str">
            <v/>
          </cell>
          <cell r="O2967" t="str">
            <v/>
          </cell>
          <cell r="P2967" t="str">
            <v/>
          </cell>
          <cell r="Q2967" t="str">
            <v/>
          </cell>
        </row>
        <row r="2968">
          <cell r="N2968" t="str">
            <v>SCH</v>
          </cell>
          <cell r="O2968" t="str">
            <v/>
          </cell>
          <cell r="P2968" t="str">
            <v/>
          </cell>
          <cell r="Q2968" t="str">
            <v/>
          </cell>
        </row>
        <row r="2969">
          <cell r="N2969" t="str">
            <v>SCH</v>
          </cell>
          <cell r="O2969" t="str">
            <v>ANS</v>
          </cell>
          <cell r="P2969" t="str">
            <v>ANSSCH</v>
          </cell>
          <cell r="Q2969" t="str">
            <v/>
          </cell>
        </row>
        <row r="2970">
          <cell r="N2970" t="str">
            <v>SCH</v>
          </cell>
          <cell r="O2970" t="str">
            <v>ATS</v>
          </cell>
          <cell r="P2970" t="str">
            <v>ATSSCH</v>
          </cell>
          <cell r="Q2970" t="str">
            <v/>
          </cell>
        </row>
        <row r="2971">
          <cell r="N2971" t="str">
            <v>SCH</v>
          </cell>
          <cell r="O2971" t="str">
            <v>CPC</v>
          </cell>
          <cell r="P2971" t="str">
            <v>CPCSCH</v>
          </cell>
          <cell r="Q2971" t="str">
            <v/>
          </cell>
        </row>
        <row r="2972">
          <cell r="N2972" t="str">
            <v>SCH</v>
          </cell>
          <cell r="O2972" t="str">
            <v>DB1</v>
          </cell>
          <cell r="P2972" t="str">
            <v>DB1SCH</v>
          </cell>
          <cell r="Q2972" t="str">
            <v/>
          </cell>
        </row>
        <row r="2973">
          <cell r="N2973" t="str">
            <v>SCH</v>
          </cell>
          <cell r="O2973" t="str">
            <v>DDA</v>
          </cell>
          <cell r="P2973" t="str">
            <v>DDASCH</v>
          </cell>
          <cell r="Q2973" t="str">
            <v/>
          </cell>
        </row>
        <row r="2974">
          <cell r="N2974" t="str">
            <v>SCH</v>
          </cell>
          <cell r="O2974" t="str">
            <v>DDB</v>
          </cell>
          <cell r="P2974" t="str">
            <v>DDBSCH</v>
          </cell>
          <cell r="Q2974" t="str">
            <v/>
          </cell>
        </row>
        <row r="2975">
          <cell r="N2975" t="str">
            <v>SCH</v>
          </cell>
          <cell r="O2975" t="str">
            <v>DDZ</v>
          </cell>
          <cell r="P2975" t="str">
            <v>DDZSCH</v>
          </cell>
          <cell r="Q2975" t="str">
            <v/>
          </cell>
        </row>
        <row r="2976">
          <cell r="N2976" t="str">
            <v>SCH</v>
          </cell>
          <cell r="O2976" t="str">
            <v>DFI</v>
          </cell>
          <cell r="P2976" t="str">
            <v>DFISCH</v>
          </cell>
          <cell r="Q2976" t="str">
            <v/>
          </cell>
        </row>
        <row r="2977">
          <cell r="N2977" t="str">
            <v>SCH</v>
          </cell>
          <cell r="O2977" t="str">
            <v>DIU</v>
          </cell>
          <cell r="P2977" t="str">
            <v>DIUSCH</v>
          </cell>
          <cell r="Q2977" t="str">
            <v/>
          </cell>
        </row>
        <row r="2978">
          <cell r="N2978" t="str">
            <v>SCH</v>
          </cell>
          <cell r="O2978" t="str">
            <v>DOM</v>
          </cell>
          <cell r="P2978" t="str">
            <v>DOMSCH</v>
          </cell>
          <cell r="Q2978" t="str">
            <v/>
          </cell>
        </row>
        <row r="2979">
          <cell r="N2979" t="str">
            <v>SCH</v>
          </cell>
          <cell r="O2979" t="str">
            <v>DPC</v>
          </cell>
          <cell r="P2979" t="str">
            <v>DPCSCH</v>
          </cell>
          <cell r="Q2979" t="str">
            <v/>
          </cell>
        </row>
        <row r="2980">
          <cell r="N2980" t="str">
            <v>SCH</v>
          </cell>
          <cell r="O2980" t="str">
            <v>DSE</v>
          </cell>
          <cell r="P2980" t="str">
            <v>DSESCH</v>
          </cell>
          <cell r="Q2980" t="str">
            <v/>
          </cell>
        </row>
        <row r="2981">
          <cell r="N2981" t="str">
            <v>SCH</v>
          </cell>
          <cell r="O2981" t="str">
            <v>EN1</v>
          </cell>
          <cell r="P2981" t="str">
            <v>EN1SCH</v>
          </cell>
          <cell r="Q2981" t="str">
            <v/>
          </cell>
        </row>
        <row r="2982">
          <cell r="N2982" t="str">
            <v>SCH</v>
          </cell>
          <cell r="O2982" t="str">
            <v>HOL</v>
          </cell>
          <cell r="P2982" t="str">
            <v>HOLSCH</v>
          </cell>
          <cell r="Q2982" t="str">
            <v/>
          </cell>
        </row>
        <row r="2983">
          <cell r="N2983" t="str">
            <v>SCH</v>
          </cell>
          <cell r="O2983" t="str">
            <v>HON</v>
          </cell>
          <cell r="P2983" t="str">
            <v>HONSCH</v>
          </cell>
          <cell r="Q2983" t="str">
            <v/>
          </cell>
        </row>
        <row r="2984">
          <cell r="N2984" t="str">
            <v>SCH</v>
          </cell>
          <cell r="O2984" t="str">
            <v>IMD</v>
          </cell>
          <cell r="P2984" t="str">
            <v>IMDSCH</v>
          </cell>
          <cell r="Q2984" t="str">
            <v/>
          </cell>
        </row>
        <row r="2985">
          <cell r="N2985" t="str">
            <v>SCH</v>
          </cell>
          <cell r="O2985" t="str">
            <v>MAL</v>
          </cell>
          <cell r="P2985" t="str">
            <v>MALSCH</v>
          </cell>
          <cell r="Q2985" t="str">
            <v/>
          </cell>
        </row>
        <row r="2986">
          <cell r="N2986" t="str">
            <v>SCH</v>
          </cell>
          <cell r="O2986" t="str">
            <v>MAN</v>
          </cell>
          <cell r="P2986" t="str">
            <v>MANSCH</v>
          </cell>
          <cell r="Q2986" t="str">
            <v/>
          </cell>
        </row>
        <row r="2987">
          <cell r="N2987" t="str">
            <v>SCH</v>
          </cell>
          <cell r="O2987" t="str">
            <v>MRC</v>
          </cell>
          <cell r="P2987" t="str">
            <v>MRCSCH</v>
          </cell>
          <cell r="Q2987" t="str">
            <v/>
          </cell>
        </row>
        <row r="2988">
          <cell r="N2988" t="str">
            <v>SCH</v>
          </cell>
          <cell r="O2988" t="str">
            <v>NIB</v>
          </cell>
          <cell r="P2988" t="str">
            <v>NIBSCH</v>
          </cell>
          <cell r="Q2988" t="str">
            <v/>
          </cell>
        </row>
        <row r="2989">
          <cell r="N2989" t="str">
            <v>SCH</v>
          </cell>
          <cell r="O2989" t="str">
            <v>PR1</v>
          </cell>
          <cell r="P2989" t="str">
            <v>PR1SCH</v>
          </cell>
          <cell r="Q2989" t="str">
            <v/>
          </cell>
        </row>
        <row r="2990">
          <cell r="N2990" t="str">
            <v>SCH</v>
          </cell>
          <cell r="O2990" t="str">
            <v>SVV</v>
          </cell>
          <cell r="P2990" t="str">
            <v>SVVSCH</v>
          </cell>
          <cell r="Q2990" t="str">
            <v/>
          </cell>
        </row>
        <row r="2991">
          <cell r="N2991" t="str">
            <v>SCH</v>
          </cell>
          <cell r="O2991" t="str">
            <v>VA1</v>
          </cell>
          <cell r="P2991" t="str">
            <v>VA1SCH</v>
          </cell>
          <cell r="Q2991" t="str">
            <v/>
          </cell>
        </row>
        <row r="2992">
          <cell r="N2992" t="str">
            <v>SCH</v>
          </cell>
          <cell r="O2992" t="str">
            <v>VA3</v>
          </cell>
          <cell r="P2992" t="str">
            <v>VA3SCH</v>
          </cell>
          <cell r="Q2992" t="str">
            <v/>
          </cell>
        </row>
        <row r="2993">
          <cell r="N2993" t="str">
            <v>SCH</v>
          </cell>
          <cell r="O2993" t="str">
            <v>VA7</v>
          </cell>
          <cell r="P2993" t="str">
            <v>VA7SCH</v>
          </cell>
          <cell r="Q2993" t="str">
            <v/>
          </cell>
        </row>
        <row r="2994">
          <cell r="N2994" t="str">
            <v/>
          </cell>
          <cell r="O2994" t="str">
            <v/>
          </cell>
          <cell r="P2994" t="str">
            <v/>
          </cell>
          <cell r="Q2994" t="str">
            <v/>
          </cell>
        </row>
        <row r="2995">
          <cell r="N2995" t="str">
            <v/>
          </cell>
          <cell r="O2995" t="str">
            <v/>
          </cell>
          <cell r="P2995" t="str">
            <v/>
          </cell>
          <cell r="Q2995" t="str">
            <v/>
          </cell>
        </row>
        <row r="2996">
          <cell r="N2996" t="str">
            <v>SCH</v>
          </cell>
          <cell r="O2996" t="str">
            <v/>
          </cell>
          <cell r="P2996" t="str">
            <v/>
          </cell>
          <cell r="Q2996" t="str">
            <v/>
          </cell>
        </row>
        <row r="2997">
          <cell r="N2997" t="str">
            <v>SCH</v>
          </cell>
          <cell r="O2997" t="str">
            <v>COB</v>
          </cell>
          <cell r="P2997" t="str">
            <v>COBSCH</v>
          </cell>
          <cell r="Q2997" t="str">
            <v/>
          </cell>
        </row>
        <row r="2998">
          <cell r="N2998" t="str">
            <v>SCH</v>
          </cell>
          <cell r="O2998" t="str">
            <v>DAC</v>
          </cell>
          <cell r="P2998" t="str">
            <v>DACSCH</v>
          </cell>
          <cell r="Q2998" t="str">
            <v/>
          </cell>
        </row>
        <row r="2999">
          <cell r="N2999" t="str">
            <v>SCH</v>
          </cell>
          <cell r="O2999" t="str">
            <v>DB4</v>
          </cell>
          <cell r="P2999" t="str">
            <v>DB4SCH</v>
          </cell>
          <cell r="Q2999" t="str">
            <v/>
          </cell>
        </row>
        <row r="3000">
          <cell r="N3000" t="str">
            <v>SCH</v>
          </cell>
          <cell r="O3000" t="str">
            <v>DB5</v>
          </cell>
          <cell r="P3000" t="str">
            <v>DB5SCH</v>
          </cell>
          <cell r="Q3000" t="str">
            <v/>
          </cell>
        </row>
        <row r="3001">
          <cell r="N3001" t="str">
            <v>SCH</v>
          </cell>
          <cell r="O3001" t="str">
            <v>DB8</v>
          </cell>
          <cell r="P3001" t="str">
            <v>DB8SCH</v>
          </cell>
          <cell r="Q3001" t="str">
            <v/>
          </cell>
        </row>
        <row r="3002">
          <cell r="N3002" t="str">
            <v>SCH</v>
          </cell>
          <cell r="O3002" t="str">
            <v>DC</v>
          </cell>
          <cell r="P3002" t="str">
            <v>DCSCH</v>
          </cell>
          <cell r="Q3002" t="str">
            <v/>
          </cell>
        </row>
        <row r="3003">
          <cell r="N3003" t="str">
            <v>SCH</v>
          </cell>
          <cell r="O3003" t="str">
            <v>DEC</v>
          </cell>
          <cell r="P3003" t="str">
            <v>DECSCH</v>
          </cell>
          <cell r="Q3003" t="str">
            <v/>
          </cell>
        </row>
        <row r="3004">
          <cell r="N3004" t="str">
            <v>SCH</v>
          </cell>
          <cell r="O3004" t="str">
            <v>DEV</v>
          </cell>
          <cell r="P3004" t="str">
            <v>DEVSCH</v>
          </cell>
          <cell r="Q3004" t="str">
            <v/>
          </cell>
        </row>
        <row r="3005">
          <cell r="N3005" t="str">
            <v>SCH</v>
          </cell>
          <cell r="O3005" t="str">
            <v>DIN</v>
          </cell>
          <cell r="P3005" t="str">
            <v>DINSCH</v>
          </cell>
          <cell r="Q3005" t="str">
            <v/>
          </cell>
        </row>
        <row r="3006">
          <cell r="N3006" t="str">
            <v>SCH</v>
          </cell>
          <cell r="O3006" t="str">
            <v>DSC</v>
          </cell>
          <cell r="P3006" t="str">
            <v>DSCSCH</v>
          </cell>
          <cell r="Q3006" t="str">
            <v/>
          </cell>
        </row>
        <row r="3007">
          <cell r="N3007" t="str">
            <v>SCH</v>
          </cell>
          <cell r="O3007" t="str">
            <v>EN4</v>
          </cell>
          <cell r="P3007" t="str">
            <v>EN4SCH</v>
          </cell>
          <cell r="Q3007" t="str">
            <v/>
          </cell>
        </row>
        <row r="3008">
          <cell r="N3008" t="str">
            <v>SCH</v>
          </cell>
          <cell r="O3008" t="str">
            <v>EN5</v>
          </cell>
          <cell r="P3008" t="str">
            <v>EN5SCH</v>
          </cell>
          <cell r="Q3008" t="str">
            <v/>
          </cell>
        </row>
        <row r="3009">
          <cell r="N3009" t="str">
            <v>SCH</v>
          </cell>
          <cell r="O3009" t="str">
            <v>EN8</v>
          </cell>
          <cell r="P3009" t="str">
            <v>EN8SCH</v>
          </cell>
          <cell r="Q3009" t="str">
            <v/>
          </cell>
        </row>
        <row r="3010">
          <cell r="N3010" t="str">
            <v>SCH</v>
          </cell>
          <cell r="O3010" t="str">
            <v>PR4</v>
          </cell>
          <cell r="P3010" t="str">
            <v>PR4SCH</v>
          </cell>
          <cell r="Q3010" t="str">
            <v/>
          </cell>
        </row>
        <row r="3011">
          <cell r="N3011" t="str">
            <v>SCH</v>
          </cell>
          <cell r="O3011" t="str">
            <v>PR5</v>
          </cell>
          <cell r="P3011" t="str">
            <v>PR5SCH</v>
          </cell>
          <cell r="Q3011" t="str">
            <v/>
          </cell>
        </row>
        <row r="3012">
          <cell r="N3012" t="str">
            <v>SCH</v>
          </cell>
          <cell r="O3012" t="str">
            <v>PR8</v>
          </cell>
          <cell r="P3012" t="str">
            <v>PR8SCH</v>
          </cell>
          <cell r="Q3012" t="str">
            <v/>
          </cell>
        </row>
        <row r="3013">
          <cell r="N3013" t="str">
            <v>SCH</v>
          </cell>
          <cell r="O3013" t="str">
            <v>VA4</v>
          </cell>
          <cell r="P3013" t="str">
            <v>VA4SCH</v>
          </cell>
          <cell r="Q3013" t="str">
            <v/>
          </cell>
        </row>
        <row r="3014">
          <cell r="N3014" t="str">
            <v>SCH</v>
          </cell>
          <cell r="O3014" t="str">
            <v>VA5</v>
          </cell>
          <cell r="P3014" t="str">
            <v>VA5SCH</v>
          </cell>
          <cell r="Q3014" t="str">
            <v/>
          </cell>
        </row>
        <row r="3015">
          <cell r="N3015" t="str">
            <v/>
          </cell>
          <cell r="O3015" t="str">
            <v/>
          </cell>
          <cell r="P3015" t="str">
            <v/>
          </cell>
          <cell r="Q3015" t="str">
            <v/>
          </cell>
        </row>
        <row r="3016">
          <cell r="N3016" t="str">
            <v>SCH</v>
          </cell>
          <cell r="O3016" t="str">
            <v/>
          </cell>
          <cell r="P3016" t="str">
            <v/>
          </cell>
          <cell r="Q3016" t="str">
            <v/>
          </cell>
        </row>
        <row r="3017">
          <cell r="N3017" t="str">
            <v>SCH</v>
          </cell>
          <cell r="O3017" t="str">
            <v>DB2</v>
          </cell>
          <cell r="P3017" t="str">
            <v>DB2SCH</v>
          </cell>
          <cell r="Q3017" t="str">
            <v/>
          </cell>
        </row>
        <row r="3018">
          <cell r="N3018" t="str">
            <v>SCH</v>
          </cell>
          <cell r="O3018" t="str">
            <v>DRR</v>
          </cell>
          <cell r="P3018" t="str">
            <v>DRRSCH</v>
          </cell>
          <cell r="Q3018" t="str">
            <v/>
          </cell>
        </row>
        <row r="3019">
          <cell r="N3019" t="str">
            <v>SCH</v>
          </cell>
          <cell r="O3019" t="str">
            <v>EN2</v>
          </cell>
          <cell r="P3019" t="str">
            <v>EN2SCH</v>
          </cell>
          <cell r="Q3019" t="str">
            <v/>
          </cell>
        </row>
        <row r="3020">
          <cell r="N3020" t="str">
            <v>SCH</v>
          </cell>
          <cell r="O3020" t="str">
            <v>INC</v>
          </cell>
          <cell r="P3020" t="str">
            <v>INCSCH</v>
          </cell>
          <cell r="Q3020" t="str">
            <v/>
          </cell>
        </row>
        <row r="3021">
          <cell r="N3021" t="str">
            <v>SCH</v>
          </cell>
          <cell r="O3021" t="str">
            <v>JDV</v>
          </cell>
          <cell r="P3021" t="str">
            <v>JDVSCH</v>
          </cell>
          <cell r="Q3021" t="str">
            <v/>
          </cell>
        </row>
        <row r="3022">
          <cell r="N3022" t="str">
            <v>SCH</v>
          </cell>
          <cell r="O3022" t="str">
            <v>PR2</v>
          </cell>
          <cell r="P3022" t="str">
            <v>PR2SCH</v>
          </cell>
          <cell r="Q3022" t="str">
            <v/>
          </cell>
        </row>
        <row r="3023">
          <cell r="N3023" t="str">
            <v>SCH</v>
          </cell>
          <cell r="O3023" t="str">
            <v>VA2</v>
          </cell>
          <cell r="P3023" t="str">
            <v>VA2SCH</v>
          </cell>
          <cell r="Q3023" t="str">
            <v/>
          </cell>
        </row>
        <row r="3024">
          <cell r="N3024" t="str">
            <v/>
          </cell>
          <cell r="O3024" t="str">
            <v/>
          </cell>
          <cell r="P3024" t="str">
            <v/>
          </cell>
          <cell r="Q3024" t="str">
            <v/>
          </cell>
        </row>
        <row r="3025">
          <cell r="N3025" t="str">
            <v/>
          </cell>
          <cell r="O3025" t="str">
            <v/>
          </cell>
          <cell r="P3025" t="str">
            <v/>
          </cell>
          <cell r="Q3025" t="str">
            <v/>
          </cell>
        </row>
        <row r="3026">
          <cell r="N3026" t="str">
            <v/>
          </cell>
          <cell r="O3026" t="str">
            <v/>
          </cell>
          <cell r="P3026" t="str">
            <v/>
          </cell>
          <cell r="Q3026" t="str">
            <v/>
          </cell>
        </row>
        <row r="3027">
          <cell r="N3027" t="str">
            <v>SCH</v>
          </cell>
          <cell r="O3027" t="str">
            <v/>
          </cell>
          <cell r="P3027" t="str">
            <v/>
          </cell>
          <cell r="Q3027" t="str">
            <v/>
          </cell>
        </row>
        <row r="3028">
          <cell r="N3028" t="str">
            <v>SCH</v>
          </cell>
          <cell r="O3028" t="str">
            <v>CAE</v>
          </cell>
          <cell r="P3028" t="str">
            <v>CAESCH</v>
          </cell>
          <cell r="Q3028" t="str">
            <v/>
          </cell>
        </row>
        <row r="3029">
          <cell r="N3029" t="str">
            <v>SCH</v>
          </cell>
          <cell r="O3029" t="str">
            <v>CAV</v>
          </cell>
          <cell r="P3029" t="str">
            <v>CAVSCH</v>
          </cell>
          <cell r="Q3029" t="str">
            <v/>
          </cell>
        </row>
        <row r="3030">
          <cell r="N3030" t="str">
            <v>SCH</v>
          </cell>
          <cell r="O3030" t="str">
            <v>COA</v>
          </cell>
          <cell r="P3030" t="str">
            <v>COASCH</v>
          </cell>
          <cell r="Q3030" t="str">
            <v/>
          </cell>
        </row>
        <row r="3031">
          <cell r="N3031" t="str">
            <v>SCH</v>
          </cell>
          <cell r="O3031" t="str">
            <v>COI</v>
          </cell>
          <cell r="P3031" t="str">
            <v>COISCH</v>
          </cell>
          <cell r="Q3031" t="str">
            <v/>
          </cell>
        </row>
        <row r="3032">
          <cell r="N3032" t="str">
            <v>SCH</v>
          </cell>
          <cell r="O3032" t="str">
            <v>COR</v>
          </cell>
          <cell r="P3032" t="str">
            <v>CORSCH</v>
          </cell>
          <cell r="Q3032" t="str">
            <v/>
          </cell>
        </row>
        <row r="3033">
          <cell r="N3033" t="str">
            <v/>
          </cell>
          <cell r="O3033" t="str">
            <v/>
          </cell>
          <cell r="P3033" t="str">
            <v/>
          </cell>
          <cell r="Q3033" t="str">
            <v/>
          </cell>
        </row>
        <row r="3034">
          <cell r="N3034" t="str">
            <v/>
          </cell>
          <cell r="O3034" t="str">
            <v/>
          </cell>
          <cell r="P3034" t="str">
            <v/>
          </cell>
          <cell r="Q3034" t="str">
            <v/>
          </cell>
        </row>
        <row r="3035">
          <cell r="N3035" t="str">
            <v>71906300</v>
          </cell>
          <cell r="O3035" t="str">
            <v/>
          </cell>
          <cell r="P3035" t="str">
            <v/>
          </cell>
          <cell r="Q3035" t="str">
            <v>403031355</v>
          </cell>
        </row>
        <row r="3036">
          <cell r="N3036" t="str">
            <v>71906300</v>
          </cell>
          <cell r="O3036" t="str">
            <v>L01</v>
          </cell>
          <cell r="P3036" t="str">
            <v>L0171906300</v>
          </cell>
          <cell r="Q3036" t="str">
            <v>403031355</v>
          </cell>
        </row>
        <row r="3037">
          <cell r="N3037" t="str">
            <v>71906300</v>
          </cell>
          <cell r="O3037" t="str">
            <v>ONL</v>
          </cell>
          <cell r="P3037" t="str">
            <v>ONL71906300</v>
          </cell>
          <cell r="Q3037" t="str">
            <v>403031355</v>
          </cell>
        </row>
        <row r="3038">
          <cell r="N3038" t="str">
            <v/>
          </cell>
          <cell r="O3038" t="str">
            <v/>
          </cell>
          <cell r="P3038" t="str">
            <v/>
          </cell>
          <cell r="Q3038" t="str">
            <v/>
          </cell>
        </row>
        <row r="3039">
          <cell r="N3039" t="str">
            <v>71906301</v>
          </cell>
          <cell r="O3039" t="str">
            <v/>
          </cell>
          <cell r="P3039" t="str">
            <v/>
          </cell>
          <cell r="Q3039" t="str">
            <v>403031355</v>
          </cell>
        </row>
        <row r="3040">
          <cell r="N3040" t="str">
            <v>71906301</v>
          </cell>
          <cell r="O3040" t="str">
            <v>ONL</v>
          </cell>
          <cell r="P3040" t="str">
            <v>ONL71906301</v>
          </cell>
          <cell r="Q3040" t="str">
            <v>403031355</v>
          </cell>
        </row>
        <row r="3041">
          <cell r="N3041" t="str">
            <v>71906302</v>
          </cell>
          <cell r="O3041" t="str">
            <v/>
          </cell>
          <cell r="P3041" t="str">
            <v/>
          </cell>
          <cell r="Q3041" t="str">
            <v>403031355</v>
          </cell>
        </row>
        <row r="3042">
          <cell r="N3042" t="str">
            <v>71906302</v>
          </cell>
          <cell r="O3042" t="str">
            <v>ONL</v>
          </cell>
          <cell r="P3042" t="str">
            <v>ONL71906302</v>
          </cell>
          <cell r="Q3042" t="str">
            <v>403031355</v>
          </cell>
        </row>
        <row r="3043">
          <cell r="N3043" t="str">
            <v/>
          </cell>
          <cell r="O3043" t="str">
            <v/>
          </cell>
          <cell r="P3043" t="str">
            <v/>
          </cell>
          <cell r="Q3043" t="str">
            <v/>
          </cell>
        </row>
        <row r="3044">
          <cell r="N3044" t="str">
            <v/>
          </cell>
          <cell r="O3044" t="str">
            <v/>
          </cell>
          <cell r="P3044" t="str">
            <v/>
          </cell>
          <cell r="Q3044" t="str">
            <v/>
          </cell>
        </row>
        <row r="3045">
          <cell r="N3045" t="str">
            <v>71906310</v>
          </cell>
          <cell r="O3045" t="str">
            <v/>
          </cell>
          <cell r="P3045" t="str">
            <v/>
          </cell>
          <cell r="Q3045" t="str">
            <v>403031354</v>
          </cell>
        </row>
        <row r="3046">
          <cell r="N3046" t="str">
            <v>71906310</v>
          </cell>
          <cell r="O3046" t="str">
            <v>L01</v>
          </cell>
          <cell r="P3046" t="str">
            <v>L0171906310</v>
          </cell>
          <cell r="Q3046" t="str">
            <v>403031354</v>
          </cell>
        </row>
        <row r="3047">
          <cell r="N3047" t="str">
            <v>71906310</v>
          </cell>
          <cell r="O3047" t="str">
            <v>ONL</v>
          </cell>
          <cell r="P3047" t="str">
            <v>ONL71906310</v>
          </cell>
          <cell r="Q3047" t="str">
            <v>403031354</v>
          </cell>
        </row>
        <row r="3048">
          <cell r="N3048" t="str">
            <v/>
          </cell>
          <cell r="O3048" t="str">
            <v/>
          </cell>
          <cell r="P3048" t="str">
            <v/>
          </cell>
          <cell r="Q3048" t="str">
            <v/>
          </cell>
        </row>
        <row r="3049">
          <cell r="N3049" t="str">
            <v>71906311</v>
          </cell>
          <cell r="O3049" t="str">
            <v/>
          </cell>
          <cell r="P3049" t="str">
            <v/>
          </cell>
          <cell r="Q3049" t="str">
            <v>403031354</v>
          </cell>
        </row>
        <row r="3050">
          <cell r="N3050" t="str">
            <v>71906311</v>
          </cell>
          <cell r="O3050" t="str">
            <v>ONL</v>
          </cell>
          <cell r="P3050" t="str">
            <v>ONL71906311</v>
          </cell>
          <cell r="Q3050" t="str">
            <v>403031354</v>
          </cell>
        </row>
        <row r="3051">
          <cell r="N3051" t="str">
            <v>71906312</v>
          </cell>
          <cell r="O3051" t="str">
            <v/>
          </cell>
          <cell r="P3051" t="str">
            <v/>
          </cell>
          <cell r="Q3051" t="str">
            <v>403031354</v>
          </cell>
        </row>
        <row r="3052">
          <cell r="N3052" t="str">
            <v>71906312</v>
          </cell>
          <cell r="O3052" t="str">
            <v>ONL</v>
          </cell>
          <cell r="P3052" t="str">
            <v>ONL71906312</v>
          </cell>
          <cell r="Q3052" t="str">
            <v>403031354</v>
          </cell>
        </row>
        <row r="3053">
          <cell r="N3053" t="str">
            <v/>
          </cell>
          <cell r="O3053" t="str">
            <v/>
          </cell>
          <cell r="P3053" t="str">
            <v/>
          </cell>
          <cell r="Q3053" t="str">
            <v/>
          </cell>
        </row>
        <row r="3054">
          <cell r="N3054" t="str">
            <v>SCH</v>
          </cell>
          <cell r="O3054" t="str">
            <v/>
          </cell>
          <cell r="P3054" t="str">
            <v/>
          </cell>
          <cell r="Q3054" t="str">
            <v/>
          </cell>
        </row>
        <row r="3055">
          <cell r="N3055" t="str">
            <v>SCH</v>
          </cell>
          <cell r="O3055" t="str">
            <v>HSJ</v>
          </cell>
          <cell r="P3055" t="str">
            <v>HSJSCH</v>
          </cell>
          <cell r="Q3055" t="str">
            <v/>
          </cell>
        </row>
        <row r="3056">
          <cell r="N3056" t="str">
            <v/>
          </cell>
          <cell r="O3056" t="str">
            <v/>
          </cell>
          <cell r="P3056" t="str">
            <v/>
          </cell>
          <cell r="Q3056" t="str">
            <v/>
          </cell>
        </row>
        <row r="3057">
          <cell r="N3057" t="str">
            <v/>
          </cell>
          <cell r="O3057" t="str">
            <v/>
          </cell>
          <cell r="P3057" t="str">
            <v/>
          </cell>
          <cell r="Q3057" t="str">
            <v/>
          </cell>
        </row>
        <row r="3058">
          <cell r="N3058" t="str">
            <v/>
          </cell>
          <cell r="O3058" t="str">
            <v/>
          </cell>
          <cell r="P3058" t="str">
            <v/>
          </cell>
          <cell r="Q3058" t="str">
            <v/>
          </cell>
        </row>
        <row r="3059">
          <cell r="N3059" t="str">
            <v>SCH</v>
          </cell>
          <cell r="O3059" t="str">
            <v/>
          </cell>
          <cell r="P3059" t="str">
            <v/>
          </cell>
          <cell r="Q3059" t="str">
            <v/>
          </cell>
        </row>
        <row r="3060">
          <cell r="N3060" t="str">
            <v>SCH</v>
          </cell>
          <cell r="O3060" t="str">
            <v>APO</v>
          </cell>
          <cell r="P3060" t="str">
            <v>APOSCH</v>
          </cell>
          <cell r="Q3060" t="str">
            <v/>
          </cell>
        </row>
        <row r="3061">
          <cell r="N3061" t="str">
            <v>SCH</v>
          </cell>
          <cell r="O3061" t="str">
            <v>SGE</v>
          </cell>
          <cell r="P3061" t="str">
            <v>SGESCH</v>
          </cell>
          <cell r="Q3061" t="str">
            <v/>
          </cell>
        </row>
        <row r="3062">
          <cell r="N3062" t="str">
            <v>SCH</v>
          </cell>
          <cell r="O3062" t="str">
            <v>SGI</v>
          </cell>
          <cell r="P3062" t="str">
            <v>SGISCH</v>
          </cell>
          <cell r="Q3062" t="str">
            <v/>
          </cell>
        </row>
        <row r="3063">
          <cell r="N3063" t="str">
            <v>SCH</v>
          </cell>
          <cell r="O3063" t="str">
            <v>SGZ</v>
          </cell>
          <cell r="P3063" t="str">
            <v>SGZSCH</v>
          </cell>
          <cell r="Q3063" t="str">
            <v/>
          </cell>
        </row>
        <row r="3064">
          <cell r="N3064" t="str">
            <v>SCH</v>
          </cell>
          <cell r="O3064" t="str">
            <v>SL1</v>
          </cell>
          <cell r="P3064" t="str">
            <v>SL1SCH</v>
          </cell>
          <cell r="Q3064" t="str">
            <v/>
          </cell>
        </row>
        <row r="3065">
          <cell r="N3065" t="str">
            <v>SCH</v>
          </cell>
          <cell r="O3065" t="str">
            <v>SL2</v>
          </cell>
          <cell r="P3065" t="str">
            <v>SL2SCH</v>
          </cell>
          <cell r="Q3065" t="str">
            <v/>
          </cell>
        </row>
        <row r="3066">
          <cell r="N3066" t="str">
            <v>SCH</v>
          </cell>
          <cell r="O3066" t="str">
            <v>SL3</v>
          </cell>
          <cell r="P3066" t="str">
            <v>SL3SCH</v>
          </cell>
          <cell r="Q3066" t="str">
            <v/>
          </cell>
        </row>
        <row r="3067">
          <cell r="N3067" t="str">
            <v>SCH</v>
          </cell>
          <cell r="O3067" t="str">
            <v>SL4</v>
          </cell>
          <cell r="P3067" t="str">
            <v>SL4SCH</v>
          </cell>
          <cell r="Q3067" t="str">
            <v/>
          </cell>
        </row>
        <row r="3068">
          <cell r="N3068" t="str">
            <v>SCH</v>
          </cell>
          <cell r="O3068" t="str">
            <v>SL5</v>
          </cell>
          <cell r="P3068" t="str">
            <v>SL5SCH</v>
          </cell>
          <cell r="Q3068" t="str">
            <v/>
          </cell>
        </row>
        <row r="3069">
          <cell r="N3069" t="str">
            <v>SCH</v>
          </cell>
          <cell r="O3069" t="str">
            <v>SL6</v>
          </cell>
          <cell r="P3069" t="str">
            <v>SL6SCH</v>
          </cell>
          <cell r="Q3069" t="str">
            <v/>
          </cell>
        </row>
        <row r="3070">
          <cell r="N3070" t="str">
            <v>SCH</v>
          </cell>
          <cell r="O3070" t="str">
            <v>SL7</v>
          </cell>
          <cell r="P3070" t="str">
            <v>SL7SCH</v>
          </cell>
          <cell r="Q3070" t="str">
            <v/>
          </cell>
        </row>
        <row r="3071">
          <cell r="N3071" t="str">
            <v>SCH</v>
          </cell>
          <cell r="O3071" t="str">
            <v>SL8</v>
          </cell>
          <cell r="P3071" t="str">
            <v>SL8SCH</v>
          </cell>
          <cell r="Q3071" t="str">
            <v/>
          </cell>
        </row>
        <row r="3072">
          <cell r="N3072" t="str">
            <v>SCH</v>
          </cell>
          <cell r="O3072" t="str">
            <v>SL9</v>
          </cell>
          <cell r="P3072" t="str">
            <v>SL9SCH</v>
          </cell>
          <cell r="Q3072" t="str">
            <v/>
          </cell>
        </row>
        <row r="3073">
          <cell r="N3073" t="str">
            <v/>
          </cell>
          <cell r="O3073" t="str">
            <v/>
          </cell>
          <cell r="P3073" t="str">
            <v/>
          </cell>
          <cell r="Q3073" t="str">
            <v/>
          </cell>
        </row>
        <row r="3074">
          <cell r="N3074" t="str">
            <v>SCH</v>
          </cell>
          <cell r="O3074" t="str">
            <v/>
          </cell>
          <cell r="P3074" t="str">
            <v/>
          </cell>
          <cell r="Q3074" t="str">
            <v/>
          </cell>
        </row>
        <row r="3075">
          <cell r="N3075" t="str">
            <v>SCH</v>
          </cell>
          <cell r="O3075" t="str">
            <v>CAD</v>
          </cell>
          <cell r="P3075" t="str">
            <v>CADSCH</v>
          </cell>
          <cell r="Q3075" t="str">
            <v/>
          </cell>
        </row>
        <row r="3076">
          <cell r="N3076" t="str">
            <v>SCH</v>
          </cell>
          <cell r="O3076" t="str">
            <v>CDV</v>
          </cell>
          <cell r="P3076" t="str">
            <v>CDVSCH</v>
          </cell>
          <cell r="Q3076" t="str">
            <v/>
          </cell>
        </row>
        <row r="3077">
          <cell r="N3077" t="str">
            <v>SCH</v>
          </cell>
          <cell r="O3077" t="str">
            <v>DB3</v>
          </cell>
          <cell r="P3077" t="str">
            <v>DB3SCH</v>
          </cell>
          <cell r="Q3077" t="str">
            <v/>
          </cell>
        </row>
        <row r="3078">
          <cell r="N3078" t="str">
            <v>SCH</v>
          </cell>
          <cell r="O3078" t="str">
            <v>DB7</v>
          </cell>
          <cell r="P3078" t="str">
            <v>DB7SCH</v>
          </cell>
          <cell r="Q3078" t="str">
            <v/>
          </cell>
        </row>
        <row r="3079">
          <cell r="N3079" t="str">
            <v>SCH</v>
          </cell>
          <cell r="O3079" t="str">
            <v>DB9</v>
          </cell>
          <cell r="P3079" t="str">
            <v>DB9SCH</v>
          </cell>
          <cell r="Q3079" t="str">
            <v/>
          </cell>
        </row>
        <row r="3080">
          <cell r="N3080" t="str">
            <v>SCH</v>
          </cell>
          <cell r="O3080" t="str">
            <v>DCM</v>
          </cell>
          <cell r="P3080" t="str">
            <v>DCMSCH</v>
          </cell>
          <cell r="Q3080" t="str">
            <v/>
          </cell>
        </row>
        <row r="3081">
          <cell r="N3081" t="str">
            <v>SCH</v>
          </cell>
          <cell r="O3081" t="str">
            <v>DEI</v>
          </cell>
          <cell r="P3081" t="str">
            <v>DEISCH</v>
          </cell>
          <cell r="Q3081" t="str">
            <v/>
          </cell>
        </row>
        <row r="3082">
          <cell r="N3082" t="str">
            <v>SCH</v>
          </cell>
          <cell r="O3082" t="str">
            <v>DIA</v>
          </cell>
          <cell r="P3082" t="str">
            <v>DIASCH</v>
          </cell>
          <cell r="Q3082" t="str">
            <v/>
          </cell>
        </row>
        <row r="3083">
          <cell r="N3083" t="str">
            <v>SCH</v>
          </cell>
          <cell r="O3083" t="str">
            <v>DIV</v>
          </cell>
          <cell r="P3083" t="str">
            <v>DIVSCH</v>
          </cell>
          <cell r="Q3083" t="str">
            <v/>
          </cell>
        </row>
        <row r="3084">
          <cell r="N3084" t="str">
            <v>SCH</v>
          </cell>
          <cell r="O3084" t="str">
            <v>D2V</v>
          </cell>
          <cell r="P3084" t="str">
            <v>D2VSCH</v>
          </cell>
          <cell r="Q3084" t="str">
            <v/>
          </cell>
        </row>
        <row r="3085">
          <cell r="N3085" t="str">
            <v>SCH</v>
          </cell>
          <cell r="O3085" t="str">
            <v>EN3</v>
          </cell>
          <cell r="P3085" t="str">
            <v>EN3SCH</v>
          </cell>
          <cell r="Q3085" t="str">
            <v/>
          </cell>
        </row>
        <row r="3086">
          <cell r="N3086" t="str">
            <v>SCH</v>
          </cell>
          <cell r="O3086" t="str">
            <v>EN7</v>
          </cell>
          <cell r="P3086" t="str">
            <v>EN7SCH</v>
          </cell>
          <cell r="Q3086" t="str">
            <v/>
          </cell>
        </row>
        <row r="3087">
          <cell r="N3087" t="str">
            <v>SCH</v>
          </cell>
          <cell r="O3087" t="str">
            <v>ESC</v>
          </cell>
          <cell r="P3087" t="str">
            <v>ESCSCH</v>
          </cell>
          <cell r="Q3087" t="str">
            <v/>
          </cell>
        </row>
        <row r="3088">
          <cell r="N3088" t="str">
            <v>SCH</v>
          </cell>
          <cell r="O3088" t="str">
            <v>IAU</v>
          </cell>
          <cell r="P3088" t="str">
            <v>IAUSCH</v>
          </cell>
          <cell r="Q3088" t="str">
            <v/>
          </cell>
        </row>
        <row r="3089">
          <cell r="N3089" t="str">
            <v>SCH</v>
          </cell>
          <cell r="O3089" t="str">
            <v>PRO</v>
          </cell>
          <cell r="P3089" t="str">
            <v>PROSCH</v>
          </cell>
          <cell r="Q3089" t="str">
            <v/>
          </cell>
        </row>
        <row r="3090">
          <cell r="N3090" t="str">
            <v>SCH</v>
          </cell>
          <cell r="O3090" t="str">
            <v>PR3</v>
          </cell>
          <cell r="P3090" t="str">
            <v>PR3SCH</v>
          </cell>
          <cell r="Q3090" t="str">
            <v/>
          </cell>
        </row>
        <row r="3091">
          <cell r="N3091" t="str">
            <v>SCH</v>
          </cell>
          <cell r="O3091" t="str">
            <v>PR7</v>
          </cell>
          <cell r="P3091" t="str">
            <v>PR7SCH</v>
          </cell>
          <cell r="Q3091" t="str">
            <v/>
          </cell>
        </row>
        <row r="3092">
          <cell r="N3092" t="str">
            <v>SCH</v>
          </cell>
          <cell r="O3092" t="str">
            <v>VIA</v>
          </cell>
          <cell r="P3092" t="str">
            <v>VIASCH</v>
          </cell>
          <cell r="Q3092" t="str">
            <v/>
          </cell>
        </row>
        <row r="3093">
          <cell r="N3093" t="str">
            <v/>
          </cell>
          <cell r="O3093" t="str">
            <v/>
          </cell>
          <cell r="P3093" t="str">
            <v/>
          </cell>
          <cell r="Q3093" t="str">
            <v/>
          </cell>
        </row>
        <row r="3094">
          <cell r="N3094" t="str">
            <v/>
          </cell>
          <cell r="O3094" t="str">
            <v/>
          </cell>
          <cell r="P3094" t="str">
            <v/>
          </cell>
          <cell r="Q3094" t="str">
            <v/>
          </cell>
        </row>
        <row r="3095">
          <cell r="N3095" t="str">
            <v/>
          </cell>
          <cell r="O3095" t="str">
            <v/>
          </cell>
          <cell r="P3095" t="str">
            <v/>
          </cell>
          <cell r="Q3095" t="str">
            <v/>
          </cell>
        </row>
        <row r="3096">
          <cell r="N3096" t="str">
            <v/>
          </cell>
          <cell r="O3096" t="str">
            <v/>
          </cell>
          <cell r="P3096" t="str">
            <v/>
          </cell>
          <cell r="Q3096" t="str">
            <v/>
          </cell>
        </row>
        <row r="3097">
          <cell r="N3097" t="str">
            <v>SCH</v>
          </cell>
          <cell r="O3097" t="str">
            <v/>
          </cell>
          <cell r="P3097" t="str">
            <v/>
          </cell>
          <cell r="Q3097" t="str">
            <v/>
          </cell>
        </row>
        <row r="3098">
          <cell r="N3098" t="str">
            <v>SCH</v>
          </cell>
          <cell r="O3098" t="str">
            <v>SB0</v>
          </cell>
          <cell r="P3098" t="str">
            <v>SB0SCH</v>
          </cell>
          <cell r="Q3098" t="str">
            <v/>
          </cell>
        </row>
        <row r="3099">
          <cell r="N3099" t="str">
            <v>SCH</v>
          </cell>
          <cell r="O3099" t="str">
            <v>SF0</v>
          </cell>
          <cell r="P3099" t="str">
            <v>SF0SCH</v>
          </cell>
          <cell r="Q3099" t="str">
            <v/>
          </cell>
        </row>
        <row r="3100">
          <cell r="N3100" t="str">
            <v>SCH</v>
          </cell>
          <cell r="O3100" t="str">
            <v>SK4</v>
          </cell>
          <cell r="P3100" t="str">
            <v>SK4SCH</v>
          </cell>
          <cell r="Q3100" t="str">
            <v/>
          </cell>
        </row>
        <row r="3101">
          <cell r="N3101" t="str">
            <v>SCH</v>
          </cell>
          <cell r="O3101" t="str">
            <v>SK6</v>
          </cell>
          <cell r="P3101" t="str">
            <v>SK6SCH</v>
          </cell>
          <cell r="Q3101" t="str">
            <v/>
          </cell>
        </row>
        <row r="3102">
          <cell r="N3102" t="str">
            <v>SCH</v>
          </cell>
          <cell r="O3102" t="str">
            <v>SM8</v>
          </cell>
          <cell r="P3102" t="str">
            <v>SM8SCH</v>
          </cell>
          <cell r="Q3102" t="str">
            <v/>
          </cell>
        </row>
        <row r="3103">
          <cell r="N3103" t="str">
            <v>SCH</v>
          </cell>
          <cell r="O3103" t="str">
            <v>SP0</v>
          </cell>
          <cell r="P3103" t="str">
            <v>SP0SCH</v>
          </cell>
          <cell r="Q3103" t="str">
            <v/>
          </cell>
        </row>
        <row r="3104">
          <cell r="N3104" t="str">
            <v/>
          </cell>
          <cell r="O3104" t="str">
            <v/>
          </cell>
          <cell r="P3104" t="str">
            <v/>
          </cell>
          <cell r="Q3104" t="str">
            <v/>
          </cell>
        </row>
        <row r="3105">
          <cell r="N3105" t="str">
            <v>SCH</v>
          </cell>
          <cell r="O3105" t="str">
            <v/>
          </cell>
          <cell r="P3105" t="str">
            <v/>
          </cell>
          <cell r="Q3105" t="str">
            <v/>
          </cell>
        </row>
        <row r="3106">
          <cell r="N3106" t="str">
            <v>SCH</v>
          </cell>
          <cell r="O3106" t="str">
            <v>SCR</v>
          </cell>
          <cell r="P3106" t="str">
            <v>SCRSCH</v>
          </cell>
          <cell r="Q3106" t="str">
            <v/>
          </cell>
        </row>
        <row r="3107">
          <cell r="N3107" t="str">
            <v/>
          </cell>
          <cell r="O3107" t="str">
            <v/>
          </cell>
          <cell r="P3107" t="str">
            <v/>
          </cell>
          <cell r="Q3107" t="str">
            <v/>
          </cell>
        </row>
        <row r="3108">
          <cell r="N3108" t="str">
            <v/>
          </cell>
          <cell r="O3108" t="str">
            <v/>
          </cell>
          <cell r="P3108" t="str">
            <v/>
          </cell>
          <cell r="Q3108" t="str">
            <v/>
          </cell>
        </row>
        <row r="3109">
          <cell r="N3109" t="str">
            <v/>
          </cell>
          <cell r="O3109" t="str">
            <v/>
          </cell>
          <cell r="P3109" t="str">
            <v/>
          </cell>
          <cell r="Q3109" t="str">
            <v/>
          </cell>
        </row>
        <row r="3110">
          <cell r="N3110" t="str">
            <v>SCH</v>
          </cell>
          <cell r="O3110" t="str">
            <v/>
          </cell>
          <cell r="P3110" t="str">
            <v/>
          </cell>
          <cell r="Q3110" t="str">
            <v/>
          </cell>
        </row>
        <row r="3111">
          <cell r="N3111" t="str">
            <v>SCH</v>
          </cell>
          <cell r="O3111" t="str">
            <v>SO1</v>
          </cell>
          <cell r="P3111" t="str">
            <v>SO1SCH</v>
          </cell>
          <cell r="Q3111" t="str">
            <v/>
          </cell>
        </row>
        <row r="3112">
          <cell r="N3112" t="str">
            <v>SCH</v>
          </cell>
          <cell r="O3112" t="str">
            <v>SO2</v>
          </cell>
          <cell r="P3112" t="str">
            <v>SO2SCH</v>
          </cell>
          <cell r="Q3112" t="str">
            <v/>
          </cell>
        </row>
        <row r="3113">
          <cell r="N3113" t="str">
            <v/>
          </cell>
          <cell r="O3113" t="str">
            <v/>
          </cell>
          <cell r="P3113" t="str">
            <v/>
          </cell>
          <cell r="Q3113" t="str">
            <v/>
          </cell>
        </row>
        <row r="3114">
          <cell r="N3114" t="str">
            <v>SCH</v>
          </cell>
          <cell r="O3114" t="str">
            <v/>
          </cell>
          <cell r="P3114" t="str">
            <v/>
          </cell>
          <cell r="Q3114" t="str">
            <v/>
          </cell>
        </row>
        <row r="3115">
          <cell r="N3115" t="str">
            <v>SCH</v>
          </cell>
          <cell r="O3115" t="str">
            <v>SC9</v>
          </cell>
          <cell r="P3115" t="str">
            <v>SC9SCH</v>
          </cell>
          <cell r="Q3115" t="str">
            <v/>
          </cell>
        </row>
        <row r="3116">
          <cell r="N3116" t="str">
            <v>SCH</v>
          </cell>
          <cell r="O3116" t="str">
            <v>SD0</v>
          </cell>
          <cell r="P3116" t="str">
            <v>SD0SCH</v>
          </cell>
          <cell r="Q3116" t="str">
            <v/>
          </cell>
        </row>
        <row r="3117">
          <cell r="N3117" t="str">
            <v>SCH</v>
          </cell>
          <cell r="O3117" t="str">
            <v>SD1</v>
          </cell>
          <cell r="P3117" t="str">
            <v>SD1SCH</v>
          </cell>
          <cell r="Q3117" t="str">
            <v/>
          </cell>
        </row>
        <row r="3118">
          <cell r="N3118" t="str">
            <v>SCH</v>
          </cell>
          <cell r="O3118" t="str">
            <v>SD2</v>
          </cell>
          <cell r="P3118" t="str">
            <v>SD2SCH</v>
          </cell>
          <cell r="Q3118" t="str">
            <v/>
          </cell>
        </row>
        <row r="3119">
          <cell r="N3119" t="str">
            <v>SCH</v>
          </cell>
          <cell r="O3119" t="str">
            <v>SD3</v>
          </cell>
          <cell r="P3119" t="str">
            <v>SD3SCH</v>
          </cell>
          <cell r="Q3119" t="str">
            <v/>
          </cell>
        </row>
        <row r="3120">
          <cell r="N3120" t="str">
            <v>SCH</v>
          </cell>
          <cell r="O3120" t="str">
            <v>SG9</v>
          </cell>
          <cell r="P3120" t="str">
            <v>SG9SCH</v>
          </cell>
          <cell r="Q3120" t="str">
            <v/>
          </cell>
        </row>
        <row r="3121">
          <cell r="N3121" t="str">
            <v>SCH</v>
          </cell>
          <cell r="O3121" t="str">
            <v>SH0</v>
          </cell>
          <cell r="P3121" t="str">
            <v>SH0SCH</v>
          </cell>
          <cell r="Q3121" t="str">
            <v/>
          </cell>
        </row>
        <row r="3122">
          <cell r="N3122" t="str">
            <v>SCH</v>
          </cell>
          <cell r="O3122" t="str">
            <v>SH1</v>
          </cell>
          <cell r="P3122" t="str">
            <v>SH1SCH</v>
          </cell>
          <cell r="Q3122" t="str">
            <v/>
          </cell>
        </row>
        <row r="3123">
          <cell r="N3123" t="str">
            <v>SCH</v>
          </cell>
          <cell r="O3123" t="str">
            <v>SH2</v>
          </cell>
          <cell r="P3123" t="str">
            <v>SH2SCH</v>
          </cell>
          <cell r="Q3123" t="str">
            <v/>
          </cell>
        </row>
        <row r="3124">
          <cell r="N3124" t="str">
            <v>SCH</v>
          </cell>
          <cell r="O3124" t="str">
            <v>SH3</v>
          </cell>
          <cell r="P3124" t="str">
            <v>SH3SCH</v>
          </cell>
          <cell r="Q3124" t="str">
            <v/>
          </cell>
        </row>
        <row r="3125">
          <cell r="N3125" t="str">
            <v>SCH</v>
          </cell>
          <cell r="O3125" t="str">
            <v>SI5</v>
          </cell>
          <cell r="P3125" t="str">
            <v>SI5SCH</v>
          </cell>
          <cell r="Q3125" t="str">
            <v/>
          </cell>
        </row>
        <row r="3126">
          <cell r="N3126" t="str">
            <v>SCH</v>
          </cell>
          <cell r="O3126" t="str">
            <v>SN9</v>
          </cell>
          <cell r="P3126" t="str">
            <v>SN9SCH</v>
          </cell>
          <cell r="Q3126" t="str">
            <v/>
          </cell>
        </row>
        <row r="3127">
          <cell r="N3127" t="str">
            <v/>
          </cell>
          <cell r="O3127" t="str">
            <v/>
          </cell>
          <cell r="P3127" t="str">
            <v/>
          </cell>
          <cell r="Q3127" t="str">
            <v/>
          </cell>
        </row>
        <row r="3128">
          <cell r="N3128" t="str">
            <v>SCH</v>
          </cell>
          <cell r="O3128" t="str">
            <v/>
          </cell>
          <cell r="P3128" t="str">
            <v/>
          </cell>
          <cell r="Q3128" t="str">
            <v/>
          </cell>
        </row>
        <row r="3129">
          <cell r="N3129" t="str">
            <v>SCH</v>
          </cell>
          <cell r="O3129" t="str">
            <v>SI4</v>
          </cell>
          <cell r="P3129" t="str">
            <v>SI4SCH</v>
          </cell>
          <cell r="Q3129" t="str">
            <v/>
          </cell>
        </row>
        <row r="3130">
          <cell r="N3130" t="str">
            <v>SCH</v>
          </cell>
          <cell r="O3130" t="str">
            <v>SK8</v>
          </cell>
          <cell r="P3130" t="str">
            <v>SK8SCH</v>
          </cell>
          <cell r="Q3130" t="str">
            <v/>
          </cell>
        </row>
        <row r="3131">
          <cell r="N3131" t="str">
            <v/>
          </cell>
          <cell r="O3131" t="str">
            <v/>
          </cell>
          <cell r="P3131" t="str">
            <v/>
          </cell>
          <cell r="Q3131" t="str">
            <v/>
          </cell>
        </row>
        <row r="3132">
          <cell r="N3132" t="str">
            <v>SCH</v>
          </cell>
          <cell r="O3132" t="str">
            <v/>
          </cell>
          <cell r="P3132" t="str">
            <v/>
          </cell>
          <cell r="Q3132" t="str">
            <v/>
          </cell>
        </row>
        <row r="3133">
          <cell r="N3133" t="str">
            <v>SCH</v>
          </cell>
          <cell r="O3133" t="str">
            <v>SA1</v>
          </cell>
          <cell r="P3133" t="str">
            <v>SA1SCH</v>
          </cell>
          <cell r="Q3133" t="str">
            <v/>
          </cell>
        </row>
        <row r="3134">
          <cell r="N3134" t="str">
            <v>SCH</v>
          </cell>
          <cell r="O3134" t="str">
            <v>SA2</v>
          </cell>
          <cell r="P3134" t="str">
            <v>SA2SCH</v>
          </cell>
          <cell r="Q3134" t="str">
            <v/>
          </cell>
        </row>
        <row r="3135">
          <cell r="N3135" t="str">
            <v>SCH</v>
          </cell>
          <cell r="O3135" t="str">
            <v>SA3</v>
          </cell>
          <cell r="P3135" t="str">
            <v>SA3SCH</v>
          </cell>
          <cell r="Q3135" t="str">
            <v/>
          </cell>
        </row>
        <row r="3136">
          <cell r="N3136" t="str">
            <v>SCH</v>
          </cell>
          <cell r="O3136" t="str">
            <v>SA4</v>
          </cell>
          <cell r="P3136" t="str">
            <v>SA4SCH</v>
          </cell>
          <cell r="Q3136" t="str">
            <v/>
          </cell>
        </row>
        <row r="3137">
          <cell r="N3137" t="str">
            <v>SCH</v>
          </cell>
          <cell r="O3137" t="str">
            <v>SA5</v>
          </cell>
          <cell r="P3137" t="str">
            <v>SA5SCH</v>
          </cell>
          <cell r="Q3137" t="str">
            <v/>
          </cell>
        </row>
        <row r="3138">
          <cell r="N3138" t="str">
            <v>SCH</v>
          </cell>
          <cell r="O3138" t="str">
            <v>SA6</v>
          </cell>
          <cell r="P3138" t="str">
            <v>SA6SCH</v>
          </cell>
          <cell r="Q3138" t="str">
            <v/>
          </cell>
        </row>
        <row r="3139">
          <cell r="N3139" t="str">
            <v>SCH</v>
          </cell>
          <cell r="O3139" t="str">
            <v>SA7</v>
          </cell>
          <cell r="P3139" t="str">
            <v>SA7SCH</v>
          </cell>
          <cell r="Q3139" t="str">
            <v/>
          </cell>
        </row>
        <row r="3140">
          <cell r="N3140" t="str">
            <v>SCH</v>
          </cell>
          <cell r="O3140" t="str">
            <v>SA8</v>
          </cell>
          <cell r="P3140" t="str">
            <v>SA8SCH</v>
          </cell>
          <cell r="Q3140" t="str">
            <v/>
          </cell>
        </row>
        <row r="3141">
          <cell r="N3141" t="str">
            <v>SCH</v>
          </cell>
          <cell r="O3141" t="str">
            <v>SC5</v>
          </cell>
          <cell r="P3141" t="str">
            <v>SC5SCH</v>
          </cell>
          <cell r="Q3141" t="str">
            <v/>
          </cell>
        </row>
        <row r="3142">
          <cell r="N3142" t="str">
            <v>SCH</v>
          </cell>
          <cell r="O3142" t="str">
            <v>SC6</v>
          </cell>
          <cell r="P3142" t="str">
            <v>SC6SCH</v>
          </cell>
          <cell r="Q3142" t="str">
            <v/>
          </cell>
        </row>
        <row r="3143">
          <cell r="N3143" t="str">
            <v>SCH</v>
          </cell>
          <cell r="O3143" t="str">
            <v>SC7</v>
          </cell>
          <cell r="P3143" t="str">
            <v>SC7SCH</v>
          </cell>
          <cell r="Q3143" t="str">
            <v/>
          </cell>
        </row>
        <row r="3144">
          <cell r="N3144" t="str">
            <v>SCH</v>
          </cell>
          <cell r="O3144" t="str">
            <v>SC8</v>
          </cell>
          <cell r="P3144" t="str">
            <v>SC8SCH</v>
          </cell>
          <cell r="Q3144" t="str">
            <v/>
          </cell>
        </row>
        <row r="3145">
          <cell r="N3145" t="str">
            <v>SCH</v>
          </cell>
          <cell r="O3145" t="str">
            <v>SK1</v>
          </cell>
          <cell r="P3145" t="str">
            <v>SK1SCH</v>
          </cell>
          <cell r="Q3145" t="str">
            <v/>
          </cell>
        </row>
        <row r="3146">
          <cell r="N3146" t="str">
            <v>SCH</v>
          </cell>
          <cell r="O3146" t="str">
            <v>SK2</v>
          </cell>
          <cell r="P3146" t="str">
            <v>SK2SCH</v>
          </cell>
          <cell r="Q3146" t="str">
            <v/>
          </cell>
        </row>
        <row r="3147">
          <cell r="N3147" t="str">
            <v>SCH</v>
          </cell>
          <cell r="O3147" t="str">
            <v>SK9</v>
          </cell>
          <cell r="P3147" t="str">
            <v>SK9SCH</v>
          </cell>
          <cell r="Q3147" t="str">
            <v/>
          </cell>
        </row>
        <row r="3148">
          <cell r="N3148" t="str">
            <v>SCH</v>
          </cell>
          <cell r="O3148" t="str">
            <v>SM3</v>
          </cell>
          <cell r="P3148" t="str">
            <v>SM3SCH</v>
          </cell>
          <cell r="Q3148" t="str">
            <v/>
          </cell>
        </row>
        <row r="3149">
          <cell r="N3149" t="str">
            <v>SCH</v>
          </cell>
          <cell r="O3149" t="str">
            <v>SM9</v>
          </cell>
          <cell r="P3149" t="str">
            <v>SM9SCH</v>
          </cell>
          <cell r="Q3149" t="str">
            <v/>
          </cell>
        </row>
        <row r="3150">
          <cell r="N3150" t="str">
            <v>SCH</v>
          </cell>
          <cell r="O3150" t="str">
            <v>SN1</v>
          </cell>
          <cell r="P3150" t="str">
            <v>SN1SCH</v>
          </cell>
          <cell r="Q3150" t="str">
            <v/>
          </cell>
        </row>
        <row r="3151">
          <cell r="N3151" t="str">
            <v>8260</v>
          </cell>
          <cell r="O3151" t="str">
            <v/>
          </cell>
          <cell r="P3151" t="str">
            <v/>
          </cell>
          <cell r="Q3151" t="str">
            <v>502031042</v>
          </cell>
        </row>
        <row r="3152">
          <cell r="N3152" t="str">
            <v>8260</v>
          </cell>
          <cell r="O3152" t="str">
            <v>ONL</v>
          </cell>
          <cell r="P3152" t="str">
            <v>ONL8260</v>
          </cell>
          <cell r="Q3152" t="str">
            <v>502031042</v>
          </cell>
        </row>
        <row r="3153">
          <cell r="N3153" t="str">
            <v>8260</v>
          </cell>
          <cell r="O3153" t="str">
            <v>S05</v>
          </cell>
          <cell r="P3153" t="str">
            <v>S058260</v>
          </cell>
          <cell r="Q3153" t="str">
            <v>502031042</v>
          </cell>
        </row>
        <row r="3154">
          <cell r="N3154" t="str">
            <v>8260</v>
          </cell>
          <cell r="O3154" t="str">
            <v>S06</v>
          </cell>
          <cell r="P3154" t="str">
            <v>S068260</v>
          </cell>
          <cell r="Q3154" t="str">
            <v>502031042</v>
          </cell>
        </row>
        <row r="3155">
          <cell r="N3155" t="str">
            <v/>
          </cell>
          <cell r="O3155" t="str">
            <v/>
          </cell>
          <cell r="P3155" t="str">
            <v/>
          </cell>
          <cell r="Q3155" t="str">
            <v/>
          </cell>
        </row>
        <row r="3156">
          <cell r="N3156" t="str">
            <v/>
          </cell>
          <cell r="O3156" t="str">
            <v/>
          </cell>
          <cell r="P3156" t="str">
            <v/>
          </cell>
          <cell r="Q3156" t="str">
            <v/>
          </cell>
        </row>
        <row r="3157">
          <cell r="N3157" t="str">
            <v/>
          </cell>
          <cell r="O3157" t="str">
            <v/>
          </cell>
          <cell r="P3157" t="str">
            <v/>
          </cell>
          <cell r="Q3157" t="str">
            <v/>
          </cell>
        </row>
        <row r="3158">
          <cell r="N3158" t="str">
            <v>SCH</v>
          </cell>
          <cell r="O3158" t="str">
            <v/>
          </cell>
          <cell r="P3158" t="str">
            <v/>
          </cell>
          <cell r="Q3158" t="str">
            <v/>
          </cell>
        </row>
        <row r="3159">
          <cell r="N3159" t="str">
            <v>SCH</v>
          </cell>
          <cell r="O3159" t="str">
            <v>SJ2</v>
          </cell>
          <cell r="P3159" t="str">
            <v>SJ2SCH</v>
          </cell>
          <cell r="Q3159" t="str">
            <v/>
          </cell>
        </row>
        <row r="3160">
          <cell r="N3160" t="str">
            <v>SCH</v>
          </cell>
          <cell r="O3160" t="str">
            <v>SJ4</v>
          </cell>
          <cell r="P3160" t="str">
            <v>SJ4SCH</v>
          </cell>
          <cell r="Q3160" t="str">
            <v/>
          </cell>
        </row>
        <row r="3161">
          <cell r="N3161" t="str">
            <v>SCH</v>
          </cell>
          <cell r="O3161" t="str">
            <v>SJ8</v>
          </cell>
          <cell r="P3161" t="str">
            <v>SJ8SCH</v>
          </cell>
          <cell r="Q3161" t="str">
            <v/>
          </cell>
        </row>
        <row r="3162">
          <cell r="N3162" t="str">
            <v/>
          </cell>
          <cell r="O3162" t="str">
            <v/>
          </cell>
          <cell r="P3162" t="str">
            <v/>
          </cell>
          <cell r="Q3162" t="str">
            <v/>
          </cell>
        </row>
        <row r="3163">
          <cell r="N3163" t="str">
            <v>SCH</v>
          </cell>
          <cell r="O3163" t="str">
            <v/>
          </cell>
          <cell r="P3163" t="str">
            <v/>
          </cell>
          <cell r="Q3163" t="str">
            <v/>
          </cell>
        </row>
        <row r="3164">
          <cell r="N3164" t="str">
            <v>SCH</v>
          </cell>
          <cell r="O3164" t="str">
            <v>SC3</v>
          </cell>
          <cell r="P3164" t="str">
            <v>SC3SCH</v>
          </cell>
          <cell r="Q3164" t="str">
            <v/>
          </cell>
        </row>
        <row r="3165">
          <cell r="N3165" t="str">
            <v>SCH</v>
          </cell>
          <cell r="O3165" t="str">
            <v>SG3</v>
          </cell>
          <cell r="P3165" t="str">
            <v>SG3SCH</v>
          </cell>
          <cell r="Q3165" t="str">
            <v/>
          </cell>
        </row>
        <row r="3166">
          <cell r="N3166" t="str">
            <v/>
          </cell>
          <cell r="O3166" t="str">
            <v/>
          </cell>
          <cell r="P3166" t="str">
            <v/>
          </cell>
          <cell r="Q3166" t="str">
            <v/>
          </cell>
        </row>
        <row r="3167">
          <cell r="N3167" t="str">
            <v/>
          </cell>
          <cell r="O3167" t="str">
            <v/>
          </cell>
          <cell r="P3167" t="str">
            <v/>
          </cell>
          <cell r="Q3167" t="str">
            <v/>
          </cell>
        </row>
        <row r="3168">
          <cell r="N3168" t="str">
            <v/>
          </cell>
          <cell r="O3168" t="str">
            <v/>
          </cell>
          <cell r="P3168" t="str">
            <v/>
          </cell>
          <cell r="Q3168" t="str">
            <v/>
          </cell>
        </row>
        <row r="3169">
          <cell r="N3169" t="str">
            <v>SCH</v>
          </cell>
          <cell r="O3169" t="str">
            <v/>
          </cell>
          <cell r="P3169" t="str">
            <v/>
          </cell>
          <cell r="Q3169" t="str">
            <v/>
          </cell>
        </row>
        <row r="3170">
          <cell r="N3170" t="str">
            <v>SCH</v>
          </cell>
          <cell r="O3170" t="str">
            <v>SC2</v>
          </cell>
          <cell r="P3170" t="str">
            <v>SC2SCH</v>
          </cell>
          <cell r="Q3170" t="str">
            <v/>
          </cell>
        </row>
        <row r="3171">
          <cell r="N3171" t="str">
            <v>SCH</v>
          </cell>
          <cell r="O3171" t="str">
            <v>SG2</v>
          </cell>
          <cell r="P3171" t="str">
            <v>SG2SCH</v>
          </cell>
          <cell r="Q3171" t="str">
            <v/>
          </cell>
        </row>
        <row r="3172">
          <cell r="N3172" t="str">
            <v>SCH</v>
          </cell>
          <cell r="O3172" t="str">
            <v>SM2</v>
          </cell>
          <cell r="P3172" t="str">
            <v>SM2SCH</v>
          </cell>
          <cell r="Q3172" t="str">
            <v/>
          </cell>
        </row>
        <row r="3173">
          <cell r="N3173" t="str">
            <v/>
          </cell>
          <cell r="O3173" t="str">
            <v/>
          </cell>
          <cell r="P3173" t="str">
            <v/>
          </cell>
          <cell r="Q3173" t="str">
            <v/>
          </cell>
        </row>
        <row r="3174">
          <cell r="N3174" t="str">
            <v/>
          </cell>
          <cell r="O3174" t="str">
            <v/>
          </cell>
          <cell r="P3174" t="str">
            <v/>
          </cell>
          <cell r="Q3174" t="str">
            <v/>
          </cell>
        </row>
        <row r="3175">
          <cell r="N3175" t="str">
            <v/>
          </cell>
          <cell r="O3175" t="str">
            <v/>
          </cell>
          <cell r="P3175" t="str">
            <v/>
          </cell>
          <cell r="Q3175" t="str">
            <v/>
          </cell>
        </row>
        <row r="3176">
          <cell r="N3176" t="str">
            <v>SCH</v>
          </cell>
          <cell r="O3176" t="str">
            <v/>
          </cell>
          <cell r="P3176" t="str">
            <v/>
          </cell>
          <cell r="Q3176" t="str">
            <v/>
          </cell>
        </row>
        <row r="3177">
          <cell r="N3177" t="str">
            <v>SCH</v>
          </cell>
          <cell r="O3177" t="str">
            <v>SA0</v>
          </cell>
          <cell r="P3177" t="str">
            <v>SA0SCH</v>
          </cell>
          <cell r="Q3177" t="str">
            <v/>
          </cell>
        </row>
        <row r="3178">
          <cell r="N3178" t="str">
            <v>SCH</v>
          </cell>
          <cell r="O3178" t="str">
            <v>SA9</v>
          </cell>
          <cell r="P3178" t="str">
            <v>SA9SCH</v>
          </cell>
          <cell r="Q3178" t="str">
            <v/>
          </cell>
        </row>
        <row r="3179">
          <cell r="N3179" t="str">
            <v>SCH</v>
          </cell>
          <cell r="O3179" t="str">
            <v>SB1</v>
          </cell>
          <cell r="P3179" t="str">
            <v>SB1SCH</v>
          </cell>
          <cell r="Q3179" t="str">
            <v/>
          </cell>
        </row>
        <row r="3180">
          <cell r="N3180" t="str">
            <v>SCH</v>
          </cell>
          <cell r="O3180" t="str">
            <v>SB2</v>
          </cell>
          <cell r="P3180" t="str">
            <v>SB2SCH</v>
          </cell>
          <cell r="Q3180" t="str">
            <v/>
          </cell>
        </row>
        <row r="3181">
          <cell r="N3181" t="str">
            <v>SCH</v>
          </cell>
          <cell r="O3181" t="str">
            <v>SB3</v>
          </cell>
          <cell r="P3181" t="str">
            <v>SB3SCH</v>
          </cell>
          <cell r="Q3181" t="str">
            <v/>
          </cell>
        </row>
        <row r="3182">
          <cell r="N3182" t="str">
            <v>SCH</v>
          </cell>
          <cell r="O3182" t="str">
            <v>SB4</v>
          </cell>
          <cell r="P3182" t="str">
            <v>SB4SCH</v>
          </cell>
          <cell r="Q3182" t="str">
            <v/>
          </cell>
        </row>
        <row r="3183">
          <cell r="N3183" t="str">
            <v>SCH</v>
          </cell>
          <cell r="O3183" t="str">
            <v>SB5</v>
          </cell>
          <cell r="P3183" t="str">
            <v>SB5SCH</v>
          </cell>
          <cell r="Q3183" t="str">
            <v/>
          </cell>
        </row>
        <row r="3184">
          <cell r="N3184" t="str">
            <v>SCH</v>
          </cell>
          <cell r="O3184" t="str">
            <v>SB6</v>
          </cell>
          <cell r="P3184" t="str">
            <v>SB6SCH</v>
          </cell>
          <cell r="Q3184" t="str">
            <v/>
          </cell>
        </row>
        <row r="3185">
          <cell r="N3185" t="str">
            <v>SCH</v>
          </cell>
          <cell r="O3185" t="str">
            <v>SB7</v>
          </cell>
          <cell r="P3185" t="str">
            <v>SB7SCH</v>
          </cell>
          <cell r="Q3185" t="str">
            <v/>
          </cell>
        </row>
        <row r="3186">
          <cell r="N3186" t="str">
            <v>SCH</v>
          </cell>
          <cell r="O3186" t="str">
            <v>SB8</v>
          </cell>
          <cell r="P3186" t="str">
            <v>SB8SCH</v>
          </cell>
          <cell r="Q3186" t="str">
            <v/>
          </cell>
        </row>
        <row r="3187">
          <cell r="N3187" t="str">
            <v>SCH</v>
          </cell>
          <cell r="O3187" t="str">
            <v>SB9</v>
          </cell>
          <cell r="P3187" t="str">
            <v>SB9SCH</v>
          </cell>
          <cell r="Q3187" t="str">
            <v/>
          </cell>
        </row>
        <row r="3188">
          <cell r="N3188" t="str">
            <v>SCH</v>
          </cell>
          <cell r="O3188" t="str">
            <v>SC0</v>
          </cell>
          <cell r="P3188" t="str">
            <v>SC0SCH</v>
          </cell>
          <cell r="Q3188" t="str">
            <v/>
          </cell>
        </row>
        <row r="3189">
          <cell r="N3189" t="str">
            <v>SCH</v>
          </cell>
          <cell r="O3189" t="str">
            <v>SC1</v>
          </cell>
          <cell r="P3189" t="str">
            <v>SC1SCH</v>
          </cell>
          <cell r="Q3189" t="str">
            <v/>
          </cell>
        </row>
        <row r="3190">
          <cell r="N3190" t="str">
            <v>SCH</v>
          </cell>
          <cell r="O3190" t="str">
            <v>SC4</v>
          </cell>
          <cell r="P3190" t="str">
            <v>SC4SCH</v>
          </cell>
          <cell r="Q3190" t="str">
            <v/>
          </cell>
        </row>
        <row r="3191">
          <cell r="N3191" t="str">
            <v>SCH</v>
          </cell>
          <cell r="O3191" t="str">
            <v>SD5</v>
          </cell>
          <cell r="P3191" t="str">
            <v>SD5SCH</v>
          </cell>
          <cell r="Q3191" t="str">
            <v/>
          </cell>
        </row>
        <row r="3192">
          <cell r="N3192" t="str">
            <v>SCH</v>
          </cell>
          <cell r="O3192" t="str">
            <v>SD6</v>
          </cell>
          <cell r="P3192" t="str">
            <v>SD6SCH</v>
          </cell>
          <cell r="Q3192" t="str">
            <v/>
          </cell>
        </row>
        <row r="3193">
          <cell r="N3193" t="str">
            <v>SCH</v>
          </cell>
          <cell r="O3193" t="str">
            <v>SD7</v>
          </cell>
          <cell r="P3193" t="str">
            <v>SD7SCH</v>
          </cell>
          <cell r="Q3193" t="str">
            <v/>
          </cell>
        </row>
        <row r="3194">
          <cell r="N3194" t="str">
            <v>SCH</v>
          </cell>
          <cell r="O3194" t="str">
            <v>SE9</v>
          </cell>
          <cell r="P3194" t="str">
            <v>SE9SCH</v>
          </cell>
          <cell r="Q3194" t="str">
            <v/>
          </cell>
        </row>
        <row r="3195">
          <cell r="N3195" t="str">
            <v>SCH</v>
          </cell>
          <cell r="O3195" t="str">
            <v>SF1</v>
          </cell>
          <cell r="P3195" t="str">
            <v>SF1SCH</v>
          </cell>
          <cell r="Q3195" t="str">
            <v/>
          </cell>
        </row>
        <row r="3196">
          <cell r="N3196" t="str">
            <v>SCH</v>
          </cell>
          <cell r="O3196" t="str">
            <v>SF2</v>
          </cell>
          <cell r="P3196" t="str">
            <v>SF2SCH</v>
          </cell>
          <cell r="Q3196" t="str">
            <v/>
          </cell>
        </row>
        <row r="3197">
          <cell r="N3197" t="str">
            <v>SCH</v>
          </cell>
          <cell r="O3197" t="str">
            <v>SF3</v>
          </cell>
          <cell r="P3197" t="str">
            <v>SF3SCH</v>
          </cell>
          <cell r="Q3197" t="str">
            <v/>
          </cell>
        </row>
        <row r="3198">
          <cell r="N3198" t="str">
            <v>SCH</v>
          </cell>
          <cell r="O3198" t="str">
            <v>SF4</v>
          </cell>
          <cell r="P3198" t="str">
            <v>SF4SCH</v>
          </cell>
          <cell r="Q3198" t="str">
            <v/>
          </cell>
        </row>
        <row r="3199">
          <cell r="N3199" t="str">
            <v>SCH</v>
          </cell>
          <cell r="O3199" t="str">
            <v>SF5</v>
          </cell>
          <cell r="P3199" t="str">
            <v>SF5SCH</v>
          </cell>
          <cell r="Q3199" t="str">
            <v/>
          </cell>
        </row>
        <row r="3200">
          <cell r="N3200" t="str">
            <v>SCH</v>
          </cell>
          <cell r="O3200" t="str">
            <v>SF6</v>
          </cell>
          <cell r="P3200" t="str">
            <v>SF6SCH</v>
          </cell>
          <cell r="Q3200" t="str">
            <v/>
          </cell>
        </row>
        <row r="3201">
          <cell r="N3201" t="str">
            <v>SCH</v>
          </cell>
          <cell r="O3201" t="str">
            <v>SF7</v>
          </cell>
          <cell r="P3201" t="str">
            <v>SF7SCH</v>
          </cell>
          <cell r="Q3201" t="str">
            <v/>
          </cell>
        </row>
        <row r="3202">
          <cell r="N3202" t="str">
            <v>SCH</v>
          </cell>
          <cell r="O3202" t="str">
            <v>SF8</v>
          </cell>
          <cell r="P3202" t="str">
            <v>SF8SCH</v>
          </cell>
          <cell r="Q3202" t="str">
            <v/>
          </cell>
        </row>
        <row r="3203">
          <cell r="N3203" t="str">
            <v>SCH</v>
          </cell>
          <cell r="O3203" t="str">
            <v>SF9</v>
          </cell>
          <cell r="P3203" t="str">
            <v>SF9SCH</v>
          </cell>
          <cell r="Q3203" t="str">
            <v/>
          </cell>
        </row>
        <row r="3204">
          <cell r="N3204" t="str">
            <v>SCH</v>
          </cell>
          <cell r="O3204" t="str">
            <v>SG0</v>
          </cell>
          <cell r="P3204" t="str">
            <v>SG0SCH</v>
          </cell>
          <cell r="Q3204" t="str">
            <v/>
          </cell>
        </row>
        <row r="3205">
          <cell r="N3205" t="str">
            <v>SCH</v>
          </cell>
          <cell r="O3205" t="str">
            <v>SG1</v>
          </cell>
          <cell r="P3205" t="str">
            <v>SG1SCH</v>
          </cell>
          <cell r="Q3205" t="str">
            <v/>
          </cell>
        </row>
        <row r="3206">
          <cell r="N3206" t="str">
            <v>SCH</v>
          </cell>
          <cell r="O3206" t="str">
            <v>SG4</v>
          </cell>
          <cell r="P3206" t="str">
            <v>SG4SCH</v>
          </cell>
          <cell r="Q3206" t="str">
            <v/>
          </cell>
        </row>
        <row r="3207">
          <cell r="N3207" t="str">
            <v>SCH</v>
          </cell>
          <cell r="O3207" t="str">
            <v>SH6</v>
          </cell>
          <cell r="P3207" t="str">
            <v>SH6SCH</v>
          </cell>
          <cell r="Q3207" t="str">
            <v/>
          </cell>
        </row>
        <row r="3208">
          <cell r="N3208" t="str">
            <v>SCH</v>
          </cell>
          <cell r="O3208" t="str">
            <v>SI1</v>
          </cell>
          <cell r="P3208" t="str">
            <v>SI1SCH</v>
          </cell>
          <cell r="Q3208" t="str">
            <v/>
          </cell>
        </row>
        <row r="3209">
          <cell r="N3209" t="str">
            <v>SCH</v>
          </cell>
          <cell r="O3209" t="str">
            <v>SI3</v>
          </cell>
          <cell r="P3209" t="str">
            <v>SI3SCH</v>
          </cell>
          <cell r="Q3209" t="str">
            <v/>
          </cell>
        </row>
        <row r="3210">
          <cell r="N3210" t="str">
            <v>SCH</v>
          </cell>
          <cell r="O3210" t="str">
            <v>SI7</v>
          </cell>
          <cell r="P3210" t="str">
            <v>SI7SCH</v>
          </cell>
          <cell r="Q3210" t="str">
            <v/>
          </cell>
        </row>
        <row r="3211">
          <cell r="N3211" t="str">
            <v>SCH</v>
          </cell>
          <cell r="O3211" t="str">
            <v>SI8</v>
          </cell>
          <cell r="P3211" t="str">
            <v>SI8SCH</v>
          </cell>
          <cell r="Q3211" t="str">
            <v/>
          </cell>
        </row>
        <row r="3212">
          <cell r="N3212" t="str">
            <v>SCH</v>
          </cell>
          <cell r="O3212" t="str">
            <v>SI9</v>
          </cell>
          <cell r="P3212" t="str">
            <v>SI9SCH</v>
          </cell>
          <cell r="Q3212" t="str">
            <v/>
          </cell>
        </row>
        <row r="3213">
          <cell r="N3213" t="str">
            <v>SCH</v>
          </cell>
          <cell r="O3213" t="str">
            <v>SJ1</v>
          </cell>
          <cell r="P3213" t="str">
            <v>SJ1SCH</v>
          </cell>
          <cell r="Q3213" t="str">
            <v/>
          </cell>
        </row>
        <row r="3214">
          <cell r="N3214" t="str">
            <v>SCH</v>
          </cell>
          <cell r="O3214" t="str">
            <v>SJ3</v>
          </cell>
          <cell r="P3214" t="str">
            <v>SJ3SCH</v>
          </cell>
          <cell r="Q3214" t="str">
            <v/>
          </cell>
        </row>
        <row r="3215">
          <cell r="N3215" t="str">
            <v>SCH</v>
          </cell>
          <cell r="O3215" t="str">
            <v>SJ5</v>
          </cell>
          <cell r="P3215" t="str">
            <v>SJ5SCH</v>
          </cell>
          <cell r="Q3215" t="str">
            <v/>
          </cell>
        </row>
        <row r="3216">
          <cell r="N3216" t="str">
            <v>SCH</v>
          </cell>
          <cell r="O3216" t="str">
            <v>SJ6</v>
          </cell>
          <cell r="P3216" t="str">
            <v>SJ6SCH</v>
          </cell>
          <cell r="Q3216" t="str">
            <v/>
          </cell>
        </row>
        <row r="3217">
          <cell r="N3217" t="str">
            <v>SCH</v>
          </cell>
          <cell r="O3217" t="str">
            <v>SJ7</v>
          </cell>
          <cell r="P3217" t="str">
            <v>SJ7SCH</v>
          </cell>
          <cell r="Q3217" t="str">
            <v/>
          </cell>
        </row>
        <row r="3218">
          <cell r="N3218" t="str">
            <v>SCH</v>
          </cell>
          <cell r="O3218" t="str">
            <v>SJ9</v>
          </cell>
          <cell r="P3218" t="str">
            <v>SJ9SCH</v>
          </cell>
          <cell r="Q3218" t="str">
            <v/>
          </cell>
        </row>
        <row r="3219">
          <cell r="N3219" t="str">
            <v>SCH</v>
          </cell>
          <cell r="O3219" t="str">
            <v>SK3</v>
          </cell>
          <cell r="P3219" t="str">
            <v>SK3SCH</v>
          </cell>
          <cell r="Q3219" t="str">
            <v/>
          </cell>
        </row>
        <row r="3220">
          <cell r="N3220" t="str">
            <v>SCH</v>
          </cell>
          <cell r="O3220" t="str">
            <v>SK5</v>
          </cell>
          <cell r="P3220" t="str">
            <v>SK5SCH</v>
          </cell>
          <cell r="Q3220" t="str">
            <v/>
          </cell>
        </row>
        <row r="3221">
          <cell r="N3221" t="str">
            <v>SCH</v>
          </cell>
          <cell r="O3221" t="str">
            <v>SM1</v>
          </cell>
          <cell r="P3221" t="str">
            <v>SM1SCH</v>
          </cell>
          <cell r="Q3221" t="str">
            <v/>
          </cell>
        </row>
        <row r="3222">
          <cell r="N3222" t="str">
            <v>SCH</v>
          </cell>
          <cell r="O3222" t="str">
            <v>SM4</v>
          </cell>
          <cell r="P3222" t="str">
            <v>SM4SCH</v>
          </cell>
          <cell r="Q3222" t="str">
            <v/>
          </cell>
        </row>
        <row r="3223">
          <cell r="N3223" t="str">
            <v>SCH</v>
          </cell>
          <cell r="O3223" t="str">
            <v>SM5</v>
          </cell>
          <cell r="P3223" t="str">
            <v>SM5SCH</v>
          </cell>
          <cell r="Q3223" t="str">
            <v/>
          </cell>
        </row>
        <row r="3224">
          <cell r="N3224" t="str">
            <v>SCH</v>
          </cell>
          <cell r="O3224" t="str">
            <v>SM6</v>
          </cell>
          <cell r="P3224" t="str">
            <v>SM6SCH</v>
          </cell>
          <cell r="Q3224" t="str">
            <v/>
          </cell>
        </row>
        <row r="3225">
          <cell r="N3225" t="str">
            <v>SCH</v>
          </cell>
          <cell r="O3225" t="str">
            <v>SM7</v>
          </cell>
          <cell r="P3225" t="str">
            <v>SM7SCH</v>
          </cell>
          <cell r="Q3225" t="str">
            <v/>
          </cell>
        </row>
        <row r="3226">
          <cell r="N3226" t="str">
            <v>SCH</v>
          </cell>
          <cell r="O3226" t="str">
            <v>SN5</v>
          </cell>
          <cell r="P3226" t="str">
            <v>SN5SCH</v>
          </cell>
          <cell r="Q3226" t="str">
            <v/>
          </cell>
        </row>
        <row r="3227">
          <cell r="N3227" t="str">
            <v>SCH</v>
          </cell>
          <cell r="O3227" t="str">
            <v>SN6</v>
          </cell>
          <cell r="P3227" t="str">
            <v>SN6SCH</v>
          </cell>
          <cell r="Q3227" t="str">
            <v/>
          </cell>
        </row>
        <row r="3228">
          <cell r="N3228" t="str">
            <v>SCH</v>
          </cell>
          <cell r="O3228" t="str">
            <v>SN7</v>
          </cell>
          <cell r="P3228" t="str">
            <v>SN7SCH</v>
          </cell>
          <cell r="Q3228" t="str">
            <v/>
          </cell>
        </row>
        <row r="3229">
          <cell r="N3229" t="str">
            <v>SCH</v>
          </cell>
          <cell r="O3229" t="str">
            <v>SQ1</v>
          </cell>
          <cell r="P3229" t="str">
            <v>SQ1SCH</v>
          </cell>
          <cell r="Q3229" t="str">
            <v/>
          </cell>
        </row>
        <row r="3230">
          <cell r="N3230" t="str">
            <v>SCH</v>
          </cell>
          <cell r="O3230" t="str">
            <v>SQ2</v>
          </cell>
          <cell r="P3230" t="str">
            <v>SQ2SCH</v>
          </cell>
          <cell r="Q3230" t="str">
            <v/>
          </cell>
        </row>
        <row r="3231">
          <cell r="N3231" t="str">
            <v>SCH</v>
          </cell>
          <cell r="O3231" t="str">
            <v>TBF</v>
          </cell>
          <cell r="P3231" t="str">
            <v>TBFSCH</v>
          </cell>
          <cell r="Q3231" t="str">
            <v/>
          </cell>
        </row>
        <row r="3232">
          <cell r="N3232" t="str">
            <v/>
          </cell>
          <cell r="O3232" t="str">
            <v/>
          </cell>
          <cell r="P3232" t="str">
            <v/>
          </cell>
          <cell r="Q3232" t="str">
            <v/>
          </cell>
        </row>
        <row r="3233">
          <cell r="N3233" t="str">
            <v/>
          </cell>
          <cell r="O3233" t="str">
            <v/>
          </cell>
          <cell r="P3233" t="str">
            <v/>
          </cell>
          <cell r="Q3233" t="str">
            <v/>
          </cell>
        </row>
        <row r="3234">
          <cell r="N3234" t="str">
            <v/>
          </cell>
          <cell r="O3234" t="str">
            <v/>
          </cell>
          <cell r="P3234" t="str">
            <v/>
          </cell>
          <cell r="Q3234" t="str">
            <v/>
          </cell>
        </row>
        <row r="3235">
          <cell r="N3235" t="str">
            <v/>
          </cell>
          <cell r="O3235" t="str">
            <v/>
          </cell>
          <cell r="P3235" t="str">
            <v/>
          </cell>
          <cell r="Q3235" t="str">
            <v/>
          </cell>
        </row>
        <row r="3236">
          <cell r="N3236" t="str">
            <v>8259570</v>
          </cell>
          <cell r="O3236" t="str">
            <v/>
          </cell>
          <cell r="P3236" t="str">
            <v/>
          </cell>
          <cell r="Q3236" t="str">
            <v>5151216</v>
          </cell>
        </row>
        <row r="3237">
          <cell r="N3237" t="str">
            <v>8259570</v>
          </cell>
          <cell r="O3237" t="str">
            <v>QE1</v>
          </cell>
          <cell r="P3237" t="str">
            <v>QE18259570</v>
          </cell>
          <cell r="Q3237" t="str">
            <v>5151216</v>
          </cell>
        </row>
        <row r="3238">
          <cell r="N3238" t="str">
            <v/>
          </cell>
          <cell r="O3238" t="str">
            <v/>
          </cell>
          <cell r="P3238" t="str">
            <v/>
          </cell>
          <cell r="Q3238" t="str">
            <v/>
          </cell>
        </row>
        <row r="3239">
          <cell r="N3239" t="str">
            <v>8259570</v>
          </cell>
          <cell r="O3239" t="str">
            <v/>
          </cell>
          <cell r="P3239" t="str">
            <v/>
          </cell>
          <cell r="Q3239" t="str">
            <v>5151216</v>
          </cell>
        </row>
        <row r="3240">
          <cell r="N3240" t="str">
            <v>8259570</v>
          </cell>
          <cell r="O3240" t="str">
            <v>QEM</v>
          </cell>
          <cell r="P3240" t="str">
            <v>QEM8259570</v>
          </cell>
          <cell r="Q3240" t="str">
            <v>5151216</v>
          </cell>
        </row>
        <row r="3241">
          <cell r="N3241" t="str">
            <v>8259570</v>
          </cell>
          <cell r="O3241" t="str">
            <v>QE2</v>
          </cell>
          <cell r="P3241" t="str">
            <v>QE28259570</v>
          </cell>
          <cell r="Q3241" t="str">
            <v>5151216</v>
          </cell>
        </row>
        <row r="3242">
          <cell r="N3242" t="str">
            <v/>
          </cell>
          <cell r="O3242" t="str">
            <v/>
          </cell>
          <cell r="P3242" t="str">
            <v/>
          </cell>
          <cell r="Q3242" t="str">
            <v/>
          </cell>
        </row>
        <row r="3243">
          <cell r="N3243" t="str">
            <v/>
          </cell>
          <cell r="O3243" t="str">
            <v/>
          </cell>
          <cell r="P3243" t="str">
            <v/>
          </cell>
          <cell r="Q3243" t="str">
            <v/>
          </cell>
        </row>
        <row r="3244">
          <cell r="N3244" t="str">
            <v/>
          </cell>
          <cell r="O3244" t="str">
            <v/>
          </cell>
          <cell r="P3244" t="str">
            <v/>
          </cell>
          <cell r="Q3244" t="str">
            <v/>
          </cell>
        </row>
        <row r="3245">
          <cell r="N3245" t="str">
            <v>8259570</v>
          </cell>
          <cell r="O3245" t="str">
            <v/>
          </cell>
          <cell r="P3245" t="str">
            <v/>
          </cell>
          <cell r="Q3245" t="str">
            <v>5151216</v>
          </cell>
        </row>
        <row r="3246">
          <cell r="N3246" t="str">
            <v>8259570</v>
          </cell>
          <cell r="O3246" t="str">
            <v>QPI</v>
          </cell>
          <cell r="P3246" t="str">
            <v>QPI8259570</v>
          </cell>
          <cell r="Q3246" t="str">
            <v>5151216</v>
          </cell>
        </row>
        <row r="3247">
          <cell r="N3247" t="str">
            <v>8259572</v>
          </cell>
          <cell r="O3247" t="str">
            <v/>
          </cell>
          <cell r="P3247" t="str">
            <v/>
          </cell>
          <cell r="Q3247" t="str">
            <v>5151216</v>
          </cell>
        </row>
        <row r="3248">
          <cell r="N3248" t="str">
            <v>8259572</v>
          </cell>
          <cell r="O3248" t="str">
            <v>!MF</v>
          </cell>
          <cell r="P3248" t="str">
            <v>!MF8259572</v>
          </cell>
          <cell r="Q3248" t="str">
            <v>5151216</v>
          </cell>
        </row>
        <row r="3249">
          <cell r="N3249" t="str">
            <v>8259572</v>
          </cell>
          <cell r="O3249" t="str">
            <v>QPI</v>
          </cell>
          <cell r="P3249" t="str">
            <v>QPI8259572</v>
          </cell>
          <cell r="Q3249" t="str">
            <v>5151216</v>
          </cell>
        </row>
        <row r="3250">
          <cell r="N3250" t="str">
            <v/>
          </cell>
          <cell r="O3250" t="str">
            <v/>
          </cell>
          <cell r="P3250" t="str">
            <v/>
          </cell>
          <cell r="Q3250" t="str">
            <v/>
          </cell>
        </row>
        <row r="3251">
          <cell r="N3251" t="str">
            <v>8259570</v>
          </cell>
          <cell r="O3251" t="str">
            <v/>
          </cell>
          <cell r="P3251" t="str">
            <v/>
          </cell>
          <cell r="Q3251" t="str">
            <v>5151216</v>
          </cell>
        </row>
        <row r="3252">
          <cell r="N3252" t="str">
            <v>8259570</v>
          </cell>
          <cell r="O3252" t="str">
            <v>QEP</v>
          </cell>
          <cell r="P3252" t="str">
            <v>QEP8259570</v>
          </cell>
          <cell r="Q3252" t="str">
            <v>5151216</v>
          </cell>
        </row>
        <row r="3253">
          <cell r="N3253" t="str">
            <v>8259572</v>
          </cell>
          <cell r="O3253" t="str">
            <v/>
          </cell>
          <cell r="P3253" t="str">
            <v/>
          </cell>
          <cell r="Q3253" t="str">
            <v>5151216</v>
          </cell>
        </row>
        <row r="3254">
          <cell r="N3254" t="str">
            <v>8259572</v>
          </cell>
          <cell r="O3254" t="str">
            <v>QEP</v>
          </cell>
          <cell r="P3254" t="str">
            <v>QEP8259572</v>
          </cell>
          <cell r="Q3254" t="str">
            <v>5151216</v>
          </cell>
        </row>
        <row r="3255">
          <cell r="N3255" t="str">
            <v/>
          </cell>
          <cell r="O3255" t="str">
            <v/>
          </cell>
          <cell r="P3255" t="str">
            <v/>
          </cell>
          <cell r="Q3255" t="str">
            <v/>
          </cell>
        </row>
        <row r="3256">
          <cell r="N3256" t="str">
            <v/>
          </cell>
          <cell r="O3256" t="str">
            <v/>
          </cell>
          <cell r="P3256" t="str">
            <v/>
          </cell>
          <cell r="Q3256" t="str">
            <v/>
          </cell>
        </row>
        <row r="3257">
          <cell r="N3257" t="str">
            <v/>
          </cell>
          <cell r="O3257" t="str">
            <v/>
          </cell>
          <cell r="P3257" t="str">
            <v/>
          </cell>
          <cell r="Q3257" t="str">
            <v/>
          </cell>
        </row>
        <row r="3258">
          <cell r="N3258" t="str">
            <v>FCS</v>
          </cell>
          <cell r="O3258" t="str">
            <v/>
          </cell>
          <cell r="P3258" t="str">
            <v/>
          </cell>
          <cell r="Q3258" t="str">
            <v/>
          </cell>
        </row>
        <row r="3259">
          <cell r="N3259" t="str">
            <v>FCS</v>
          </cell>
          <cell r="O3259" t="str">
            <v>QEQ</v>
          </cell>
          <cell r="P3259" t="str">
            <v>QEQFCS</v>
          </cell>
          <cell r="Q3259" t="str">
            <v/>
          </cell>
        </row>
        <row r="3260">
          <cell r="N3260" t="str">
            <v>8259570</v>
          </cell>
          <cell r="O3260" t="str">
            <v/>
          </cell>
          <cell r="P3260" t="str">
            <v/>
          </cell>
          <cell r="Q3260" t="str">
            <v>5151216</v>
          </cell>
        </row>
        <row r="3261">
          <cell r="N3261" t="str">
            <v>8259570</v>
          </cell>
          <cell r="O3261" t="str">
            <v>QEQ</v>
          </cell>
          <cell r="P3261" t="str">
            <v>QEQ8259570</v>
          </cell>
          <cell r="Q3261" t="str">
            <v>5151216</v>
          </cell>
        </row>
        <row r="3262">
          <cell r="N3262" t="str">
            <v>8259571</v>
          </cell>
          <cell r="O3262" t="str">
            <v/>
          </cell>
          <cell r="P3262" t="str">
            <v/>
          </cell>
          <cell r="Q3262" t="str">
            <v>501530420</v>
          </cell>
        </row>
        <row r="3263">
          <cell r="N3263" t="str">
            <v>8259571</v>
          </cell>
          <cell r="O3263" t="str">
            <v>QEQ</v>
          </cell>
          <cell r="P3263" t="str">
            <v>QEQ8259571</v>
          </cell>
          <cell r="Q3263" t="str">
            <v>501530420</v>
          </cell>
        </row>
        <row r="3264">
          <cell r="N3264" t="str">
            <v>8259573</v>
          </cell>
          <cell r="O3264" t="str">
            <v/>
          </cell>
          <cell r="P3264" t="str">
            <v/>
          </cell>
          <cell r="Q3264" t="str">
            <v>501530420</v>
          </cell>
        </row>
        <row r="3265">
          <cell r="N3265" t="str">
            <v>8259573</v>
          </cell>
          <cell r="O3265" t="str">
            <v>QEQ</v>
          </cell>
          <cell r="P3265" t="str">
            <v>QEQ8259573</v>
          </cell>
          <cell r="Q3265" t="str">
            <v>501530420</v>
          </cell>
        </row>
        <row r="3266">
          <cell r="N3266" t="str">
            <v/>
          </cell>
          <cell r="O3266" t="str">
            <v/>
          </cell>
          <cell r="P3266" t="str">
            <v/>
          </cell>
          <cell r="Q3266" t="str">
            <v/>
          </cell>
        </row>
        <row r="3267">
          <cell r="N3267" t="str">
            <v>FCS</v>
          </cell>
          <cell r="O3267" t="str">
            <v/>
          </cell>
          <cell r="P3267" t="str">
            <v/>
          </cell>
          <cell r="Q3267" t="str">
            <v/>
          </cell>
        </row>
        <row r="3268">
          <cell r="N3268" t="str">
            <v>FCS</v>
          </cell>
          <cell r="O3268" t="str">
            <v>QPC</v>
          </cell>
          <cell r="P3268" t="str">
            <v>QPCFCS</v>
          </cell>
          <cell r="Q3268" t="str">
            <v/>
          </cell>
        </row>
        <row r="3269">
          <cell r="N3269" t="str">
            <v>FCS</v>
          </cell>
          <cell r="O3269" t="str">
            <v>QPD</v>
          </cell>
          <cell r="P3269" t="str">
            <v>QPDFCS</v>
          </cell>
          <cell r="Q3269" t="str">
            <v/>
          </cell>
        </row>
        <row r="3270">
          <cell r="N3270" t="str">
            <v>8259571</v>
          </cell>
          <cell r="O3270" t="str">
            <v/>
          </cell>
          <cell r="P3270" t="str">
            <v/>
          </cell>
          <cell r="Q3270" t="str">
            <v>501530420</v>
          </cell>
        </row>
        <row r="3271">
          <cell r="N3271" t="str">
            <v>8259571</v>
          </cell>
          <cell r="O3271" t="str">
            <v>ONL</v>
          </cell>
          <cell r="P3271" t="str">
            <v>ONL8259571</v>
          </cell>
          <cell r="Q3271" t="str">
            <v>501530420</v>
          </cell>
        </row>
        <row r="3272">
          <cell r="N3272" t="str">
            <v>8259571</v>
          </cell>
          <cell r="O3272" t="str">
            <v>QPC</v>
          </cell>
          <cell r="P3272" t="str">
            <v>QPC8259571</v>
          </cell>
          <cell r="Q3272" t="str">
            <v>501530420</v>
          </cell>
        </row>
        <row r="3273">
          <cell r="N3273" t="str">
            <v>8259571</v>
          </cell>
          <cell r="O3273" t="str">
            <v>QPD</v>
          </cell>
          <cell r="P3273" t="str">
            <v>QPD8259571</v>
          </cell>
          <cell r="Q3273" t="str">
            <v>501530420</v>
          </cell>
        </row>
        <row r="3274">
          <cell r="N3274" t="str">
            <v>8259571</v>
          </cell>
          <cell r="O3274" t="str">
            <v>111</v>
          </cell>
          <cell r="P3274" t="str">
            <v>1118259571</v>
          </cell>
          <cell r="Q3274" t="str">
            <v>501530420</v>
          </cell>
        </row>
        <row r="3275">
          <cell r="N3275" t="str">
            <v>8259573</v>
          </cell>
          <cell r="O3275" t="str">
            <v/>
          </cell>
          <cell r="P3275" t="str">
            <v/>
          </cell>
          <cell r="Q3275" t="str">
            <v>501530420</v>
          </cell>
        </row>
        <row r="3276">
          <cell r="N3276" t="str">
            <v>8259573</v>
          </cell>
          <cell r="O3276" t="str">
            <v>ONL</v>
          </cell>
          <cell r="P3276" t="str">
            <v>ONL8259573</v>
          </cell>
          <cell r="Q3276" t="str">
            <v>501530420</v>
          </cell>
        </row>
        <row r="3277">
          <cell r="N3277" t="str">
            <v>8259573</v>
          </cell>
          <cell r="O3277" t="str">
            <v>QPC</v>
          </cell>
          <cell r="P3277" t="str">
            <v>QPC8259573</v>
          </cell>
          <cell r="Q3277" t="str">
            <v>501530420</v>
          </cell>
        </row>
        <row r="3278">
          <cell r="N3278" t="str">
            <v/>
          </cell>
          <cell r="O3278" t="str">
            <v/>
          </cell>
          <cell r="P3278" t="str">
            <v/>
          </cell>
          <cell r="Q3278" t="str">
            <v/>
          </cell>
        </row>
        <row r="3279">
          <cell r="N3279" t="str">
            <v>FCS</v>
          </cell>
          <cell r="O3279" t="str">
            <v/>
          </cell>
          <cell r="P3279" t="str">
            <v/>
          </cell>
          <cell r="Q3279" t="str">
            <v/>
          </cell>
        </row>
        <row r="3280">
          <cell r="N3280" t="str">
            <v>FCS</v>
          </cell>
          <cell r="O3280" t="str">
            <v>QEZ</v>
          </cell>
          <cell r="P3280" t="str">
            <v>QEZFCS</v>
          </cell>
          <cell r="Q3280" t="str">
            <v/>
          </cell>
        </row>
        <row r="3281">
          <cell r="N3281" t="str">
            <v>FCS</v>
          </cell>
          <cell r="O3281" t="str">
            <v>QHB</v>
          </cell>
          <cell r="P3281" t="str">
            <v>QHBFCS</v>
          </cell>
          <cell r="Q3281" t="str">
            <v/>
          </cell>
        </row>
        <row r="3282">
          <cell r="N3282" t="str">
            <v>FCS</v>
          </cell>
          <cell r="O3282" t="str">
            <v>QPF</v>
          </cell>
          <cell r="P3282" t="str">
            <v>QPFFCS</v>
          </cell>
          <cell r="Q3282" t="str">
            <v/>
          </cell>
        </row>
        <row r="3283">
          <cell r="N3283" t="str">
            <v>719032</v>
          </cell>
          <cell r="O3283" t="str">
            <v/>
          </cell>
          <cell r="P3283" t="str">
            <v/>
          </cell>
          <cell r="Q3283" t="str">
            <v>4198</v>
          </cell>
        </row>
        <row r="3284">
          <cell r="N3284" t="str">
            <v>719032</v>
          </cell>
          <cell r="O3284" t="str">
            <v>ONL</v>
          </cell>
          <cell r="P3284" t="str">
            <v>ONL719032</v>
          </cell>
          <cell r="Q3284" t="str">
            <v>4198</v>
          </cell>
        </row>
        <row r="3285">
          <cell r="N3285" t="str">
            <v>719032</v>
          </cell>
          <cell r="O3285" t="str">
            <v>QD4</v>
          </cell>
          <cell r="P3285" t="str">
            <v>QD4719032</v>
          </cell>
          <cell r="Q3285" t="str">
            <v>4198</v>
          </cell>
        </row>
        <row r="3286">
          <cell r="N3286" t="str">
            <v>719032</v>
          </cell>
          <cell r="O3286" t="str">
            <v>QD6</v>
          </cell>
          <cell r="P3286" t="str">
            <v>QD6719032</v>
          </cell>
          <cell r="Q3286" t="str">
            <v>4198</v>
          </cell>
        </row>
        <row r="3287">
          <cell r="N3287" t="str">
            <v>719032</v>
          </cell>
          <cell r="O3287" t="str">
            <v>QEZ</v>
          </cell>
          <cell r="P3287" t="str">
            <v>QEZ719032</v>
          </cell>
          <cell r="Q3287" t="str">
            <v>4198</v>
          </cell>
        </row>
        <row r="3288">
          <cell r="N3288" t="str">
            <v>719032</v>
          </cell>
          <cell r="O3288" t="str">
            <v>QHB</v>
          </cell>
          <cell r="P3288" t="str">
            <v>QHB719032</v>
          </cell>
          <cell r="Q3288" t="str">
            <v>4198</v>
          </cell>
        </row>
        <row r="3289">
          <cell r="N3289" t="str">
            <v>719032</v>
          </cell>
          <cell r="O3289" t="str">
            <v>QPF</v>
          </cell>
          <cell r="P3289" t="str">
            <v>QPF719032</v>
          </cell>
          <cell r="Q3289" t="str">
            <v>4198</v>
          </cell>
        </row>
        <row r="3290">
          <cell r="N3290" t="str">
            <v>719033</v>
          </cell>
          <cell r="O3290" t="str">
            <v/>
          </cell>
          <cell r="P3290" t="str">
            <v/>
          </cell>
          <cell r="Q3290" t="str">
            <v>4198</v>
          </cell>
        </row>
        <row r="3291">
          <cell r="N3291" t="str">
            <v>719033</v>
          </cell>
          <cell r="O3291" t="str">
            <v>ONL</v>
          </cell>
          <cell r="P3291" t="str">
            <v>ONL719033</v>
          </cell>
          <cell r="Q3291" t="str">
            <v>4198</v>
          </cell>
        </row>
        <row r="3292">
          <cell r="N3292" t="str">
            <v>719033</v>
          </cell>
          <cell r="O3292" t="str">
            <v>QEZ</v>
          </cell>
          <cell r="P3292" t="str">
            <v>QEZ719033</v>
          </cell>
          <cell r="Q3292" t="str">
            <v>4198</v>
          </cell>
        </row>
        <row r="3293">
          <cell r="N3293" t="str">
            <v>719033</v>
          </cell>
          <cell r="O3293" t="str">
            <v>QHB</v>
          </cell>
          <cell r="P3293" t="str">
            <v>QHB719033</v>
          </cell>
          <cell r="Q3293" t="str">
            <v>4198</v>
          </cell>
        </row>
        <row r="3294">
          <cell r="N3294" t="str">
            <v>719033</v>
          </cell>
          <cell r="O3294" t="str">
            <v>QPF</v>
          </cell>
          <cell r="P3294" t="str">
            <v>QPF719033</v>
          </cell>
          <cell r="Q3294" t="str">
            <v>4198</v>
          </cell>
        </row>
        <row r="3295">
          <cell r="N3295" t="str">
            <v/>
          </cell>
          <cell r="O3295" t="str">
            <v/>
          </cell>
          <cell r="P3295" t="str">
            <v/>
          </cell>
          <cell r="Q3295" t="str">
            <v/>
          </cell>
        </row>
        <row r="3296">
          <cell r="N3296" t="str">
            <v/>
          </cell>
          <cell r="O3296" t="str">
            <v/>
          </cell>
          <cell r="P3296" t="str">
            <v/>
          </cell>
          <cell r="Q3296" t="str">
            <v/>
          </cell>
        </row>
        <row r="3297">
          <cell r="N3297" t="str">
            <v>8259570</v>
          </cell>
          <cell r="O3297" t="str">
            <v/>
          </cell>
          <cell r="P3297" t="str">
            <v/>
          </cell>
          <cell r="Q3297" t="str">
            <v>5151216</v>
          </cell>
        </row>
        <row r="3298">
          <cell r="N3298" t="str">
            <v>8259570</v>
          </cell>
          <cell r="O3298" t="str">
            <v>QPH</v>
          </cell>
          <cell r="P3298" t="str">
            <v>QPH8259570</v>
          </cell>
          <cell r="Q3298" t="str">
            <v>5151216</v>
          </cell>
        </row>
        <row r="3299">
          <cell r="N3299" t="str">
            <v>8259571</v>
          </cell>
          <cell r="O3299" t="str">
            <v/>
          </cell>
          <cell r="P3299" t="str">
            <v/>
          </cell>
          <cell r="Q3299" t="str">
            <v>501530420</v>
          </cell>
        </row>
        <row r="3300">
          <cell r="N3300" t="str">
            <v>8259571</v>
          </cell>
          <cell r="O3300" t="str">
            <v>QPH</v>
          </cell>
          <cell r="P3300" t="str">
            <v>QPH8259571</v>
          </cell>
          <cell r="Q3300" t="str">
            <v>501530420</v>
          </cell>
        </row>
        <row r="3301">
          <cell r="N3301" t="str">
            <v>8259573</v>
          </cell>
          <cell r="O3301" t="str">
            <v/>
          </cell>
          <cell r="P3301" t="str">
            <v/>
          </cell>
          <cell r="Q3301" t="str">
            <v>501530420</v>
          </cell>
        </row>
        <row r="3302">
          <cell r="N3302" t="str">
            <v>8259573</v>
          </cell>
          <cell r="O3302" t="str">
            <v>QPH</v>
          </cell>
          <cell r="P3302" t="str">
            <v>QPH8259573</v>
          </cell>
          <cell r="Q3302" t="str">
            <v>501530420</v>
          </cell>
        </row>
        <row r="3303">
          <cell r="N3303" t="str">
            <v/>
          </cell>
          <cell r="O3303" t="str">
            <v/>
          </cell>
          <cell r="P3303" t="str">
            <v/>
          </cell>
          <cell r="Q3303" t="str">
            <v/>
          </cell>
        </row>
        <row r="3304">
          <cell r="N3304" t="str">
            <v>8259571</v>
          </cell>
          <cell r="O3304" t="str">
            <v/>
          </cell>
          <cell r="P3304" t="str">
            <v/>
          </cell>
          <cell r="Q3304" t="str">
            <v>501530420</v>
          </cell>
        </row>
        <row r="3305">
          <cell r="N3305" t="str">
            <v>8259571</v>
          </cell>
          <cell r="O3305" t="str">
            <v>QPM</v>
          </cell>
          <cell r="P3305" t="str">
            <v>QPM8259571</v>
          </cell>
          <cell r="Q3305" t="str">
            <v>501530420</v>
          </cell>
        </row>
        <row r="3306">
          <cell r="N3306" t="str">
            <v>8259571</v>
          </cell>
          <cell r="O3306" t="str">
            <v>QPP</v>
          </cell>
          <cell r="P3306" t="str">
            <v>QPP8259571</v>
          </cell>
          <cell r="Q3306" t="str">
            <v>501530420</v>
          </cell>
        </row>
        <row r="3307">
          <cell r="N3307" t="str">
            <v>8259573</v>
          </cell>
          <cell r="O3307" t="str">
            <v/>
          </cell>
          <cell r="P3307" t="str">
            <v/>
          </cell>
          <cell r="Q3307" t="str">
            <v>501530420</v>
          </cell>
        </row>
        <row r="3308">
          <cell r="N3308" t="str">
            <v>8259573</v>
          </cell>
          <cell r="O3308" t="str">
            <v>QPP</v>
          </cell>
          <cell r="P3308" t="str">
            <v>QPP8259573</v>
          </cell>
          <cell r="Q3308" t="str">
            <v>501530420</v>
          </cell>
        </row>
        <row r="3309">
          <cell r="N3309" t="str">
            <v/>
          </cell>
          <cell r="O3309" t="str">
            <v/>
          </cell>
          <cell r="P3309" t="str">
            <v/>
          </cell>
          <cell r="Q3309" t="str">
            <v/>
          </cell>
        </row>
        <row r="3310">
          <cell r="N3310" t="str">
            <v>FCS</v>
          </cell>
          <cell r="O3310" t="str">
            <v/>
          </cell>
          <cell r="P3310" t="str">
            <v/>
          </cell>
          <cell r="Q3310" t="str">
            <v/>
          </cell>
        </row>
        <row r="3311">
          <cell r="N3311" t="str">
            <v>FCS</v>
          </cell>
          <cell r="O3311" t="str">
            <v>QEB</v>
          </cell>
          <cell r="P3311" t="str">
            <v>QEBFCS</v>
          </cell>
          <cell r="Q3311" t="str">
            <v/>
          </cell>
        </row>
        <row r="3312">
          <cell r="N3312" t="str">
            <v>8259570</v>
          </cell>
          <cell r="O3312" t="str">
            <v/>
          </cell>
          <cell r="P3312" t="str">
            <v/>
          </cell>
          <cell r="Q3312" t="str">
            <v>5151216</v>
          </cell>
        </row>
        <row r="3313">
          <cell r="N3313" t="str">
            <v>8259570</v>
          </cell>
          <cell r="O3313" t="str">
            <v>QEB</v>
          </cell>
          <cell r="P3313" t="str">
            <v>QEB8259570</v>
          </cell>
          <cell r="Q3313" t="str">
            <v>5151216</v>
          </cell>
        </row>
        <row r="3314">
          <cell r="N3314" t="str">
            <v>8259572</v>
          </cell>
          <cell r="O3314" t="str">
            <v/>
          </cell>
          <cell r="P3314" t="str">
            <v/>
          </cell>
          <cell r="Q3314" t="str">
            <v>5151216</v>
          </cell>
        </row>
        <row r="3315">
          <cell r="N3315" t="str">
            <v>8259572</v>
          </cell>
          <cell r="O3315" t="str">
            <v>ONL</v>
          </cell>
          <cell r="P3315" t="str">
            <v>ONL8259572</v>
          </cell>
          <cell r="Q3315" t="str">
            <v>5151216</v>
          </cell>
        </row>
        <row r="3316">
          <cell r="N3316" t="str">
            <v>8259572</v>
          </cell>
          <cell r="O3316" t="str">
            <v>QEB</v>
          </cell>
          <cell r="P3316" t="str">
            <v>QEB8259572</v>
          </cell>
          <cell r="Q3316" t="str">
            <v>5151216</v>
          </cell>
        </row>
        <row r="3317">
          <cell r="N3317" t="str">
            <v/>
          </cell>
          <cell r="O3317" t="str">
            <v/>
          </cell>
          <cell r="P3317" t="str">
            <v/>
          </cell>
          <cell r="Q3317" t="str">
            <v/>
          </cell>
        </row>
        <row r="3318">
          <cell r="N3318" t="str">
            <v/>
          </cell>
          <cell r="O3318" t="str">
            <v/>
          </cell>
          <cell r="P3318" t="str">
            <v/>
          </cell>
          <cell r="Q3318" t="str">
            <v/>
          </cell>
        </row>
        <row r="3319">
          <cell r="N3319" t="str">
            <v/>
          </cell>
          <cell r="O3319" t="str">
            <v/>
          </cell>
          <cell r="P3319" t="str">
            <v/>
          </cell>
          <cell r="Q3319" t="str">
            <v/>
          </cell>
        </row>
        <row r="3320">
          <cell r="N3320" t="str">
            <v/>
          </cell>
          <cell r="O3320" t="str">
            <v/>
          </cell>
          <cell r="P3320" t="str">
            <v/>
          </cell>
          <cell r="Q3320" t="str">
            <v/>
          </cell>
        </row>
        <row r="3321">
          <cell r="N3321" t="str">
            <v/>
          </cell>
          <cell r="O3321" t="str">
            <v/>
          </cell>
          <cell r="P3321" t="str">
            <v/>
          </cell>
          <cell r="Q3321" t="str">
            <v/>
          </cell>
        </row>
        <row r="3322">
          <cell r="N3322" t="str">
            <v>SCH</v>
          </cell>
          <cell r="O3322" t="str">
            <v/>
          </cell>
          <cell r="P3322" t="str">
            <v/>
          </cell>
          <cell r="Q3322" t="str">
            <v/>
          </cell>
        </row>
        <row r="3323">
          <cell r="N3323" t="str">
            <v>SCH</v>
          </cell>
          <cell r="O3323" t="str">
            <v>SD4</v>
          </cell>
          <cell r="P3323" t="str">
            <v>SD4SCH</v>
          </cell>
          <cell r="Q3323" t="str">
            <v/>
          </cell>
        </row>
        <row r="3324">
          <cell r="N3324" t="str">
            <v>SCH</v>
          </cell>
          <cell r="O3324" t="str">
            <v>SE1</v>
          </cell>
          <cell r="P3324" t="str">
            <v>SE1SCH</v>
          </cell>
          <cell r="Q3324" t="str">
            <v/>
          </cell>
        </row>
        <row r="3325">
          <cell r="N3325" t="str">
            <v>SCH</v>
          </cell>
          <cell r="O3325" t="str">
            <v>SE2</v>
          </cell>
          <cell r="P3325" t="str">
            <v>SE2SCH</v>
          </cell>
          <cell r="Q3325" t="str">
            <v/>
          </cell>
        </row>
        <row r="3326">
          <cell r="N3326" t="str">
            <v>SCH</v>
          </cell>
          <cell r="O3326" t="str">
            <v>SE3</v>
          </cell>
          <cell r="P3326" t="str">
            <v>SE3SCH</v>
          </cell>
          <cell r="Q3326" t="str">
            <v/>
          </cell>
        </row>
        <row r="3327">
          <cell r="N3327" t="str">
            <v>SCH</v>
          </cell>
          <cell r="O3327" t="str">
            <v>SE4</v>
          </cell>
          <cell r="P3327" t="str">
            <v>SE4SCH</v>
          </cell>
          <cell r="Q3327" t="str">
            <v/>
          </cell>
        </row>
        <row r="3328">
          <cell r="N3328" t="str">
            <v>SCH</v>
          </cell>
          <cell r="O3328" t="str">
            <v>SE5</v>
          </cell>
          <cell r="P3328" t="str">
            <v>SE5SCH</v>
          </cell>
          <cell r="Q3328" t="str">
            <v/>
          </cell>
        </row>
        <row r="3329">
          <cell r="N3329" t="str">
            <v>SCH</v>
          </cell>
          <cell r="O3329" t="str">
            <v>SE6</v>
          </cell>
          <cell r="P3329" t="str">
            <v>SE6SCH</v>
          </cell>
          <cell r="Q3329" t="str">
            <v/>
          </cell>
        </row>
        <row r="3330">
          <cell r="N3330" t="str">
            <v>SCH</v>
          </cell>
          <cell r="O3330" t="str">
            <v>SE7</v>
          </cell>
          <cell r="P3330" t="str">
            <v>SE7SCH</v>
          </cell>
          <cell r="Q3330" t="str">
            <v/>
          </cell>
        </row>
        <row r="3331">
          <cell r="N3331" t="str">
            <v>SCH</v>
          </cell>
          <cell r="O3331" t="str">
            <v>SE8</v>
          </cell>
          <cell r="P3331" t="str">
            <v>SE8SCH</v>
          </cell>
          <cell r="Q3331" t="str">
            <v/>
          </cell>
        </row>
        <row r="3332">
          <cell r="N3332" t="str">
            <v>SCH</v>
          </cell>
          <cell r="O3332" t="str">
            <v>SG5</v>
          </cell>
          <cell r="P3332" t="str">
            <v>SG5SCH</v>
          </cell>
          <cell r="Q3332" t="str">
            <v/>
          </cell>
        </row>
        <row r="3333">
          <cell r="N3333" t="str">
            <v>SCH</v>
          </cell>
          <cell r="O3333" t="str">
            <v>SG6</v>
          </cell>
          <cell r="P3333" t="str">
            <v>SG6SCH</v>
          </cell>
          <cell r="Q3333" t="str">
            <v/>
          </cell>
        </row>
        <row r="3334">
          <cell r="N3334" t="str">
            <v>SCH</v>
          </cell>
          <cell r="O3334" t="str">
            <v>SG7</v>
          </cell>
          <cell r="P3334" t="str">
            <v>SG7SCH</v>
          </cell>
          <cell r="Q3334" t="str">
            <v/>
          </cell>
        </row>
        <row r="3335">
          <cell r="N3335" t="str">
            <v>SCH</v>
          </cell>
          <cell r="O3335" t="str">
            <v>SG8</v>
          </cell>
          <cell r="P3335" t="str">
            <v>SG8SCH</v>
          </cell>
          <cell r="Q3335" t="str">
            <v/>
          </cell>
        </row>
        <row r="3336">
          <cell r="N3336" t="str">
            <v>SCH</v>
          </cell>
          <cell r="O3336" t="str">
            <v>SH4</v>
          </cell>
          <cell r="P3336" t="str">
            <v>SH4SCH</v>
          </cell>
          <cell r="Q3336" t="str">
            <v/>
          </cell>
        </row>
        <row r="3337">
          <cell r="N3337" t="str">
            <v>SCH</v>
          </cell>
          <cell r="O3337" t="str">
            <v>SH5</v>
          </cell>
          <cell r="P3337" t="str">
            <v>SH5SCH</v>
          </cell>
          <cell r="Q3337" t="str">
            <v/>
          </cell>
        </row>
        <row r="3338">
          <cell r="N3338" t="str">
            <v>SCH</v>
          </cell>
          <cell r="O3338" t="str">
            <v>SN2</v>
          </cell>
          <cell r="P3338" t="str">
            <v>SN2SCH</v>
          </cell>
          <cell r="Q3338" t="str">
            <v/>
          </cell>
        </row>
        <row r="3339">
          <cell r="N3339" t="str">
            <v>SCH</v>
          </cell>
          <cell r="O3339" t="str">
            <v>SN3</v>
          </cell>
          <cell r="P3339" t="str">
            <v>SN3SCH</v>
          </cell>
          <cell r="Q3339" t="str">
            <v/>
          </cell>
        </row>
        <row r="3340">
          <cell r="N3340" t="str">
            <v>SCH</v>
          </cell>
          <cell r="O3340" t="str">
            <v>SN4</v>
          </cell>
          <cell r="P3340" t="str">
            <v>SN4SCH</v>
          </cell>
          <cell r="Q3340" t="str">
            <v/>
          </cell>
        </row>
        <row r="3341">
          <cell r="N3341" t="str">
            <v>71903</v>
          </cell>
          <cell r="O3341" t="str">
            <v/>
          </cell>
          <cell r="P3341" t="str">
            <v/>
          </cell>
          <cell r="Q3341" t="str">
            <v/>
          </cell>
        </row>
        <row r="3342">
          <cell r="N3342" t="str">
            <v>71903</v>
          </cell>
          <cell r="O3342" t="str">
            <v>C1I</v>
          </cell>
          <cell r="P3342" t="str">
            <v>C1I71903</v>
          </cell>
          <cell r="Q3342" t="str">
            <v/>
          </cell>
        </row>
        <row r="3343">
          <cell r="N3343" t="str">
            <v>82595</v>
          </cell>
          <cell r="O3343" t="str">
            <v/>
          </cell>
          <cell r="P3343" t="str">
            <v/>
          </cell>
          <cell r="Q3343" t="str">
            <v/>
          </cell>
        </row>
        <row r="3344">
          <cell r="N3344" t="str">
            <v>82595</v>
          </cell>
          <cell r="O3344" t="str">
            <v>FBC</v>
          </cell>
          <cell r="P3344" t="str">
            <v>FBC82595</v>
          </cell>
          <cell r="Q3344" t="str">
            <v/>
          </cell>
        </row>
        <row r="3345">
          <cell r="N3345" t="str">
            <v>82595503</v>
          </cell>
          <cell r="O3345" t="str">
            <v/>
          </cell>
          <cell r="P3345" t="str">
            <v/>
          </cell>
          <cell r="Q3345" t="str">
            <v>51999</v>
          </cell>
        </row>
        <row r="3346">
          <cell r="N3346" t="str">
            <v>82595503</v>
          </cell>
          <cell r="O3346" t="str">
            <v>EJC</v>
          </cell>
          <cell r="P3346" t="str">
            <v>EJC82595503</v>
          </cell>
          <cell r="Q3346" t="str">
            <v>51999</v>
          </cell>
        </row>
        <row r="3347">
          <cell r="N3347" t="str">
            <v>82595503</v>
          </cell>
          <cell r="O3347" t="str">
            <v>ONL</v>
          </cell>
          <cell r="P3347" t="str">
            <v>ONL82595503</v>
          </cell>
          <cell r="Q3347" t="str">
            <v>51999</v>
          </cell>
        </row>
        <row r="3348">
          <cell r="N3348" t="str">
            <v>8259570</v>
          </cell>
          <cell r="O3348" t="str">
            <v/>
          </cell>
          <cell r="P3348" t="str">
            <v/>
          </cell>
          <cell r="Q3348" t="str">
            <v>5151216</v>
          </cell>
        </row>
        <row r="3349">
          <cell r="N3349" t="str">
            <v>8259570</v>
          </cell>
          <cell r="O3349" t="str">
            <v>ONL</v>
          </cell>
          <cell r="P3349" t="str">
            <v>ONL8259570</v>
          </cell>
          <cell r="Q3349" t="str">
            <v>5151216</v>
          </cell>
        </row>
        <row r="3350">
          <cell r="N3350" t="str">
            <v>8259570</v>
          </cell>
          <cell r="O3350" t="str">
            <v>QD4</v>
          </cell>
          <cell r="P3350" t="str">
            <v>QD48259570</v>
          </cell>
          <cell r="Q3350" t="str">
            <v>5151216</v>
          </cell>
        </row>
        <row r="3351">
          <cell r="N3351" t="str">
            <v>8259570</v>
          </cell>
          <cell r="O3351" t="str">
            <v>REG</v>
          </cell>
          <cell r="P3351" t="str">
            <v>REG8259570</v>
          </cell>
          <cell r="Q3351" t="str">
            <v>5151216</v>
          </cell>
        </row>
        <row r="3352">
          <cell r="N3352" t="str">
            <v>8259570</v>
          </cell>
          <cell r="O3352" t="str">
            <v>111</v>
          </cell>
          <cell r="P3352" t="str">
            <v>1118259570</v>
          </cell>
          <cell r="Q3352" t="str">
            <v>5151216</v>
          </cell>
        </row>
        <row r="3353">
          <cell r="N3353" t="str">
            <v>8259572</v>
          </cell>
          <cell r="O3353" t="str">
            <v/>
          </cell>
          <cell r="P3353" t="str">
            <v/>
          </cell>
          <cell r="Q3353" t="str">
            <v>5151216</v>
          </cell>
        </row>
        <row r="3354">
          <cell r="N3354" t="str">
            <v>8259572</v>
          </cell>
          <cell r="O3354" t="str">
            <v>111</v>
          </cell>
          <cell r="P3354" t="str">
            <v>1118259572</v>
          </cell>
          <cell r="Q3354" t="str">
            <v>5151216</v>
          </cell>
        </row>
        <row r="3355">
          <cell r="N3355" t="str">
            <v/>
          </cell>
          <cell r="O3355" t="str">
            <v/>
          </cell>
          <cell r="P3355" t="str">
            <v/>
          </cell>
          <cell r="Q3355" t="str">
            <v/>
          </cell>
        </row>
        <row r="3356">
          <cell r="N3356" t="str">
            <v/>
          </cell>
          <cell r="O3356" t="str">
            <v/>
          </cell>
          <cell r="P3356" t="str">
            <v/>
          </cell>
          <cell r="Q3356" t="str">
            <v/>
          </cell>
        </row>
        <row r="3357">
          <cell r="N3357" t="str">
            <v/>
          </cell>
          <cell r="O3357" t="str">
            <v/>
          </cell>
          <cell r="P3357" t="str">
            <v/>
          </cell>
          <cell r="Q3357" t="str">
            <v/>
          </cell>
        </row>
        <row r="3358">
          <cell r="N3358" t="str">
            <v/>
          </cell>
          <cell r="O3358" t="str">
            <v/>
          </cell>
          <cell r="P3358" t="str">
            <v/>
          </cell>
          <cell r="Q3358" t="str">
            <v/>
          </cell>
        </row>
        <row r="3359">
          <cell r="N3359" t="str">
            <v/>
          </cell>
          <cell r="O3359" t="str">
            <v/>
          </cell>
          <cell r="P3359" t="str">
            <v/>
          </cell>
          <cell r="Q3359" t="str">
            <v/>
          </cell>
        </row>
        <row r="3360">
          <cell r="N3360" t="str">
            <v>5899706</v>
          </cell>
          <cell r="O3360" t="str">
            <v/>
          </cell>
          <cell r="P3360" t="str">
            <v/>
          </cell>
          <cell r="Q3360" t="str">
            <v/>
          </cell>
        </row>
        <row r="3361">
          <cell r="N3361" t="str">
            <v>5899706</v>
          </cell>
          <cell r="O3361" t="str">
            <v>K8C</v>
          </cell>
          <cell r="P3361" t="str">
            <v>K8C5899706</v>
          </cell>
          <cell r="Q3361" t="str">
            <v/>
          </cell>
        </row>
        <row r="3362">
          <cell r="N3362" t="str">
            <v>5899706</v>
          </cell>
          <cell r="O3362" t="str">
            <v>K88</v>
          </cell>
          <cell r="P3362" t="str">
            <v>K885899706</v>
          </cell>
          <cell r="Q3362" t="str">
            <v/>
          </cell>
        </row>
        <row r="3363">
          <cell r="N3363" t="str">
            <v>58997060</v>
          </cell>
          <cell r="O3363" t="str">
            <v/>
          </cell>
          <cell r="P3363" t="str">
            <v/>
          </cell>
          <cell r="Q3363" t="str">
            <v>2999</v>
          </cell>
        </row>
        <row r="3364">
          <cell r="N3364" t="str">
            <v>58997060</v>
          </cell>
          <cell r="O3364" t="str">
            <v>K8C</v>
          </cell>
          <cell r="P3364" t="str">
            <v>K8C58997060</v>
          </cell>
          <cell r="Q3364" t="str">
            <v>2999</v>
          </cell>
        </row>
        <row r="3365">
          <cell r="N3365" t="str">
            <v>58997060</v>
          </cell>
          <cell r="O3365" t="str">
            <v>K88</v>
          </cell>
          <cell r="P3365" t="str">
            <v>K8858997060</v>
          </cell>
          <cell r="Q3365" t="str">
            <v>2999</v>
          </cell>
        </row>
        <row r="3366">
          <cell r="N3366" t="str">
            <v>82800</v>
          </cell>
          <cell r="O3366" t="str">
            <v/>
          </cell>
          <cell r="P3366" t="str">
            <v/>
          </cell>
          <cell r="Q3366" t="str">
            <v/>
          </cell>
        </row>
        <row r="3367">
          <cell r="N3367" t="str">
            <v>82800</v>
          </cell>
          <cell r="O3367" t="str">
            <v>TIL</v>
          </cell>
          <cell r="P3367" t="str">
            <v>TIL82800</v>
          </cell>
          <cell r="Q3367" t="str">
            <v/>
          </cell>
        </row>
        <row r="3368">
          <cell r="N3368" t="str">
            <v>8280001</v>
          </cell>
          <cell r="O3368" t="str">
            <v/>
          </cell>
          <cell r="P3368" t="str">
            <v/>
          </cell>
          <cell r="Q3368" t="str">
            <v>51400</v>
          </cell>
        </row>
        <row r="3369">
          <cell r="N3369" t="str">
            <v>8280001</v>
          </cell>
          <cell r="O3369" t="str">
            <v>ECU</v>
          </cell>
          <cell r="P3369" t="str">
            <v>ECU8280001</v>
          </cell>
          <cell r="Q3369" t="str">
            <v>51400</v>
          </cell>
        </row>
        <row r="3370">
          <cell r="N3370" t="str">
            <v>8280001</v>
          </cell>
          <cell r="O3370" t="str">
            <v>K0S</v>
          </cell>
          <cell r="P3370" t="str">
            <v>K0S8280001</v>
          </cell>
          <cell r="Q3370" t="str">
            <v>51400</v>
          </cell>
        </row>
        <row r="3371">
          <cell r="N3371" t="str">
            <v>8280001</v>
          </cell>
          <cell r="O3371" t="str">
            <v>ONL</v>
          </cell>
          <cell r="P3371" t="str">
            <v>ONL8280001</v>
          </cell>
          <cell r="Q3371" t="str">
            <v>51400</v>
          </cell>
        </row>
        <row r="3372">
          <cell r="N3372" t="str">
            <v>8280001</v>
          </cell>
          <cell r="O3372" t="str">
            <v>PPC</v>
          </cell>
          <cell r="P3372" t="str">
            <v>PPC8280001</v>
          </cell>
          <cell r="Q3372" t="str">
            <v>51400</v>
          </cell>
        </row>
        <row r="3373">
          <cell r="N3373" t="str">
            <v>8280001</v>
          </cell>
          <cell r="O3373" t="str">
            <v>TIL</v>
          </cell>
          <cell r="P3373" t="str">
            <v>TIL8280001</v>
          </cell>
          <cell r="Q3373" t="str">
            <v>51400</v>
          </cell>
        </row>
        <row r="3374">
          <cell r="N3374" t="str">
            <v>8280001</v>
          </cell>
          <cell r="O3374" t="str">
            <v>111</v>
          </cell>
          <cell r="P3374" t="str">
            <v>1118280001</v>
          </cell>
          <cell r="Q3374" t="str">
            <v>51400</v>
          </cell>
        </row>
        <row r="3375">
          <cell r="N3375" t="str">
            <v/>
          </cell>
          <cell r="O3375" t="str">
            <v/>
          </cell>
          <cell r="P3375" t="str">
            <v/>
          </cell>
          <cell r="Q3375" t="str">
            <v/>
          </cell>
        </row>
        <row r="3376">
          <cell r="N3376" t="str">
            <v>8280001</v>
          </cell>
          <cell r="O3376" t="str">
            <v/>
          </cell>
          <cell r="P3376" t="str">
            <v/>
          </cell>
          <cell r="Q3376" t="str">
            <v>51400</v>
          </cell>
        </row>
        <row r="3377">
          <cell r="N3377" t="str">
            <v>8280001</v>
          </cell>
          <cell r="O3377" t="str">
            <v>K00</v>
          </cell>
          <cell r="P3377" t="str">
            <v>K008280001</v>
          </cell>
          <cell r="Q3377" t="str">
            <v>51400</v>
          </cell>
        </row>
        <row r="3378">
          <cell r="N3378" t="str">
            <v>8280001</v>
          </cell>
          <cell r="O3378" t="str">
            <v>K8D</v>
          </cell>
          <cell r="P3378" t="str">
            <v>K8D8280001</v>
          </cell>
          <cell r="Q3378" t="str">
            <v>51400</v>
          </cell>
        </row>
        <row r="3379">
          <cell r="N3379" t="str">
            <v/>
          </cell>
          <cell r="O3379" t="str">
            <v/>
          </cell>
          <cell r="P3379" t="str">
            <v/>
          </cell>
          <cell r="Q3379" t="str">
            <v/>
          </cell>
        </row>
        <row r="3380">
          <cell r="N3380" t="str">
            <v/>
          </cell>
          <cell r="O3380" t="str">
            <v/>
          </cell>
          <cell r="P3380" t="str">
            <v/>
          </cell>
          <cell r="Q3380" t="str">
            <v/>
          </cell>
        </row>
        <row r="3381">
          <cell r="N3381" t="str">
            <v>8280003</v>
          </cell>
          <cell r="O3381" t="str">
            <v/>
          </cell>
          <cell r="P3381" t="str">
            <v/>
          </cell>
          <cell r="Q3381" t="str">
            <v>512018</v>
          </cell>
        </row>
        <row r="3382">
          <cell r="N3382" t="str">
            <v>8280003</v>
          </cell>
          <cell r="O3382" t="str">
            <v>CRR</v>
          </cell>
          <cell r="P3382" t="str">
            <v>CRR8280003</v>
          </cell>
          <cell r="Q3382" t="str">
            <v>512018</v>
          </cell>
        </row>
        <row r="3383">
          <cell r="N3383" t="str">
            <v>8280003</v>
          </cell>
          <cell r="O3383" t="str">
            <v>ECU</v>
          </cell>
          <cell r="P3383" t="str">
            <v>ECU8280003</v>
          </cell>
          <cell r="Q3383" t="str">
            <v>512018</v>
          </cell>
        </row>
        <row r="3384">
          <cell r="N3384" t="str">
            <v>8280003</v>
          </cell>
          <cell r="O3384" t="str">
            <v>K2C</v>
          </cell>
          <cell r="P3384" t="str">
            <v>K2C8280003</v>
          </cell>
          <cell r="Q3384" t="str">
            <v>512018</v>
          </cell>
        </row>
        <row r="3385">
          <cell r="N3385" t="str">
            <v>8280003</v>
          </cell>
          <cell r="O3385" t="str">
            <v>ONL</v>
          </cell>
          <cell r="P3385" t="str">
            <v>ONL8280003</v>
          </cell>
          <cell r="Q3385" t="str">
            <v>512018</v>
          </cell>
        </row>
        <row r="3386">
          <cell r="N3386" t="str">
            <v>8280003</v>
          </cell>
          <cell r="O3386" t="str">
            <v>PPC</v>
          </cell>
          <cell r="P3386" t="str">
            <v>PPC8280003</v>
          </cell>
          <cell r="Q3386" t="str">
            <v>512018</v>
          </cell>
        </row>
        <row r="3387">
          <cell r="N3387" t="str">
            <v>8280003</v>
          </cell>
          <cell r="O3387" t="str">
            <v>111</v>
          </cell>
          <cell r="P3387" t="str">
            <v>1118280003</v>
          </cell>
          <cell r="Q3387" t="str">
            <v>512018</v>
          </cell>
        </row>
        <row r="3388">
          <cell r="N3388" t="str">
            <v/>
          </cell>
          <cell r="O3388" t="str">
            <v/>
          </cell>
          <cell r="P3388" t="str">
            <v/>
          </cell>
          <cell r="Q3388" t="str">
            <v/>
          </cell>
        </row>
        <row r="3389">
          <cell r="N3389" t="str">
            <v/>
          </cell>
          <cell r="O3389" t="str">
            <v/>
          </cell>
          <cell r="P3389" t="str">
            <v/>
          </cell>
          <cell r="Q3389" t="str">
            <v/>
          </cell>
        </row>
        <row r="3390">
          <cell r="N3390" t="str">
            <v/>
          </cell>
          <cell r="O3390" t="str">
            <v/>
          </cell>
          <cell r="P3390" t="str">
            <v/>
          </cell>
          <cell r="Q3390" t="str">
            <v/>
          </cell>
        </row>
        <row r="3391">
          <cell r="N3391" t="str">
            <v>8280001</v>
          </cell>
          <cell r="O3391" t="str">
            <v/>
          </cell>
          <cell r="P3391" t="str">
            <v/>
          </cell>
          <cell r="Q3391" t="str">
            <v>51400</v>
          </cell>
        </row>
        <row r="3392">
          <cell r="N3392" t="str">
            <v>8280001</v>
          </cell>
          <cell r="O3392" t="str">
            <v>K0K</v>
          </cell>
          <cell r="P3392" t="str">
            <v>K0K8280001</v>
          </cell>
          <cell r="Q3392" t="str">
            <v>51400</v>
          </cell>
        </row>
        <row r="3393">
          <cell r="N3393" t="str">
            <v>8280004</v>
          </cell>
          <cell r="O3393" t="str">
            <v/>
          </cell>
          <cell r="P3393" t="str">
            <v/>
          </cell>
          <cell r="Q3393" t="str">
            <v>512018</v>
          </cell>
        </row>
        <row r="3394">
          <cell r="N3394" t="str">
            <v>8280004</v>
          </cell>
          <cell r="O3394" t="str">
            <v>K0K</v>
          </cell>
          <cell r="P3394" t="str">
            <v>K0K8280004</v>
          </cell>
          <cell r="Q3394" t="str">
            <v>512018</v>
          </cell>
        </row>
        <row r="3395">
          <cell r="N3395" t="str">
            <v>8280004</v>
          </cell>
          <cell r="O3395" t="str">
            <v>K0M</v>
          </cell>
          <cell r="P3395" t="str">
            <v>K0M8280004</v>
          </cell>
          <cell r="Q3395" t="str">
            <v>512018</v>
          </cell>
        </row>
        <row r="3396">
          <cell r="N3396" t="str">
            <v>8280004</v>
          </cell>
          <cell r="O3396" t="str">
            <v>111</v>
          </cell>
          <cell r="P3396" t="str">
            <v>1118280004</v>
          </cell>
          <cell r="Q3396" t="str">
            <v>512018</v>
          </cell>
        </row>
        <row r="3397">
          <cell r="N3397" t="str">
            <v/>
          </cell>
          <cell r="O3397" t="str">
            <v/>
          </cell>
          <cell r="P3397" t="str">
            <v/>
          </cell>
          <cell r="Q3397" t="str">
            <v/>
          </cell>
        </row>
        <row r="3398">
          <cell r="N3398" t="str">
            <v/>
          </cell>
          <cell r="O3398" t="str">
            <v/>
          </cell>
          <cell r="P3398" t="str">
            <v/>
          </cell>
          <cell r="Q3398" t="str">
            <v/>
          </cell>
        </row>
        <row r="3399">
          <cell r="N3399" t="str">
            <v/>
          </cell>
          <cell r="O3399" t="str">
            <v/>
          </cell>
          <cell r="P3399" t="str">
            <v/>
          </cell>
          <cell r="Q3399" t="str">
            <v/>
          </cell>
        </row>
        <row r="3400">
          <cell r="N3400" t="str">
            <v/>
          </cell>
          <cell r="O3400" t="str">
            <v/>
          </cell>
          <cell r="P3400" t="str">
            <v/>
          </cell>
          <cell r="Q3400" t="str">
            <v/>
          </cell>
        </row>
        <row r="3401">
          <cell r="N3401" t="str">
            <v>8251212</v>
          </cell>
          <cell r="O3401" t="str">
            <v/>
          </cell>
          <cell r="P3401" t="str">
            <v/>
          </cell>
          <cell r="Q3401" t="str">
            <v>5151212</v>
          </cell>
        </row>
        <row r="3402">
          <cell r="N3402" t="str">
            <v>8251212</v>
          </cell>
          <cell r="O3402" t="str">
            <v>RRT</v>
          </cell>
          <cell r="P3402" t="str">
            <v>RRT8251212</v>
          </cell>
          <cell r="Q3402" t="str">
            <v>5151212</v>
          </cell>
        </row>
        <row r="3403">
          <cell r="N3403" t="str">
            <v>8251212</v>
          </cell>
          <cell r="O3403" t="str">
            <v>RRX</v>
          </cell>
          <cell r="P3403" t="str">
            <v>RRX8251212</v>
          </cell>
          <cell r="Q3403" t="str">
            <v>5151212</v>
          </cell>
        </row>
        <row r="3404">
          <cell r="N3404" t="str">
            <v>82540</v>
          </cell>
          <cell r="O3404" t="str">
            <v/>
          </cell>
          <cell r="P3404" t="str">
            <v/>
          </cell>
          <cell r="Q3404" t="str">
            <v>51516</v>
          </cell>
        </row>
        <row r="3405">
          <cell r="N3405" t="str">
            <v>82540</v>
          </cell>
          <cell r="O3405" t="str">
            <v>AP9</v>
          </cell>
          <cell r="P3405" t="str">
            <v>AP982540</v>
          </cell>
          <cell r="Q3405" t="str">
            <v>51516</v>
          </cell>
        </row>
        <row r="3406">
          <cell r="N3406" t="str">
            <v>82540</v>
          </cell>
          <cell r="O3406" t="str">
            <v>LRA</v>
          </cell>
          <cell r="P3406" t="str">
            <v>LRA82540</v>
          </cell>
          <cell r="Q3406" t="str">
            <v>51516</v>
          </cell>
        </row>
        <row r="3407">
          <cell r="N3407" t="str">
            <v>82540</v>
          </cell>
          <cell r="O3407" t="str">
            <v>!MF</v>
          </cell>
          <cell r="P3407" t="str">
            <v>!MF82540</v>
          </cell>
          <cell r="Q3407" t="str">
            <v>51516</v>
          </cell>
        </row>
        <row r="3408">
          <cell r="N3408" t="str">
            <v>82540</v>
          </cell>
          <cell r="O3408" t="str">
            <v>!OE</v>
          </cell>
          <cell r="P3408" t="str">
            <v>!OE82540</v>
          </cell>
          <cell r="Q3408" t="str">
            <v>51516</v>
          </cell>
        </row>
        <row r="3409">
          <cell r="N3409" t="str">
            <v>82540</v>
          </cell>
          <cell r="O3409" t="str">
            <v>OEO</v>
          </cell>
          <cell r="P3409" t="str">
            <v>OEO82540</v>
          </cell>
          <cell r="Q3409" t="str">
            <v>51516</v>
          </cell>
        </row>
        <row r="3410">
          <cell r="N3410" t="str">
            <v>82540</v>
          </cell>
          <cell r="O3410" t="str">
            <v>OE2</v>
          </cell>
          <cell r="P3410" t="str">
            <v>OE282540</v>
          </cell>
          <cell r="Q3410" t="str">
            <v>51516</v>
          </cell>
        </row>
        <row r="3411">
          <cell r="N3411" t="str">
            <v>82540</v>
          </cell>
          <cell r="O3411" t="str">
            <v>OGX</v>
          </cell>
          <cell r="P3411" t="str">
            <v>OGX82540</v>
          </cell>
          <cell r="Q3411" t="str">
            <v>51516</v>
          </cell>
        </row>
        <row r="3412">
          <cell r="N3412" t="str">
            <v>82540</v>
          </cell>
          <cell r="O3412" t="str">
            <v>OHE</v>
          </cell>
          <cell r="P3412" t="str">
            <v>OHE82540</v>
          </cell>
          <cell r="Q3412" t="str">
            <v>51516</v>
          </cell>
        </row>
        <row r="3413">
          <cell r="N3413" t="str">
            <v>82540</v>
          </cell>
          <cell r="O3413" t="str">
            <v>ONL</v>
          </cell>
          <cell r="P3413" t="str">
            <v>ONL82540</v>
          </cell>
          <cell r="Q3413" t="str">
            <v>51516</v>
          </cell>
        </row>
        <row r="3414">
          <cell r="N3414" t="str">
            <v>82540</v>
          </cell>
          <cell r="O3414" t="str">
            <v>UP8</v>
          </cell>
          <cell r="P3414" t="str">
            <v>UP882540</v>
          </cell>
          <cell r="Q3414" t="str">
            <v>51516</v>
          </cell>
        </row>
        <row r="3415">
          <cell r="N3415" t="str">
            <v>82540</v>
          </cell>
          <cell r="O3415" t="str">
            <v>111</v>
          </cell>
          <cell r="P3415" t="str">
            <v>11182540</v>
          </cell>
          <cell r="Q3415" t="str">
            <v>51516</v>
          </cell>
        </row>
        <row r="3416">
          <cell r="N3416" t="str">
            <v>82540</v>
          </cell>
          <cell r="O3416" t="str">
            <v>158</v>
          </cell>
          <cell r="P3416" t="str">
            <v>15882540</v>
          </cell>
          <cell r="Q3416" t="str">
            <v>51516</v>
          </cell>
        </row>
        <row r="3417">
          <cell r="N3417" t="str">
            <v>82540</v>
          </cell>
          <cell r="O3417" t="str">
            <v>217</v>
          </cell>
          <cell r="P3417" t="str">
            <v>21782540</v>
          </cell>
          <cell r="Q3417" t="str">
            <v>51516</v>
          </cell>
        </row>
        <row r="3418">
          <cell r="N3418" t="str">
            <v>82540</v>
          </cell>
          <cell r="O3418" t="str">
            <v>4RC</v>
          </cell>
          <cell r="P3418" t="str">
            <v>4RC82540</v>
          </cell>
          <cell r="Q3418" t="str">
            <v>51516</v>
          </cell>
        </row>
        <row r="3419">
          <cell r="N3419" t="str">
            <v>82540</v>
          </cell>
          <cell r="O3419" t="str">
            <v>4RI</v>
          </cell>
          <cell r="P3419" t="str">
            <v>4RI82540</v>
          </cell>
          <cell r="Q3419" t="str">
            <v>51516</v>
          </cell>
        </row>
        <row r="3420">
          <cell r="N3420" t="str">
            <v>82540</v>
          </cell>
          <cell r="O3420" t="str">
            <v>8MZ</v>
          </cell>
          <cell r="P3420" t="str">
            <v>8MZ82540</v>
          </cell>
          <cell r="Q3420" t="str">
            <v>51516</v>
          </cell>
        </row>
        <row r="3421">
          <cell r="N3421" t="str">
            <v>82540</v>
          </cell>
          <cell r="O3421" t="str">
            <v>8NM</v>
          </cell>
          <cell r="P3421" t="str">
            <v>8NM82540</v>
          </cell>
          <cell r="Q3421" t="str">
            <v>51516</v>
          </cell>
        </row>
        <row r="3422">
          <cell r="N3422" t="str">
            <v>82540</v>
          </cell>
          <cell r="O3422" t="str">
            <v>8NW</v>
          </cell>
          <cell r="P3422" t="str">
            <v>8NW82540</v>
          </cell>
          <cell r="Q3422" t="str">
            <v>51516</v>
          </cell>
        </row>
        <row r="3423">
          <cell r="N3423" t="str">
            <v>89340</v>
          </cell>
          <cell r="O3423" t="str">
            <v/>
          </cell>
          <cell r="P3423" t="str">
            <v/>
          </cell>
          <cell r="Q3423" t="str">
            <v>431110</v>
          </cell>
        </row>
        <row r="3424">
          <cell r="N3424" t="str">
            <v>89340</v>
          </cell>
          <cell r="O3424" t="str">
            <v>RQ7</v>
          </cell>
          <cell r="P3424" t="str">
            <v>RQ789340</v>
          </cell>
          <cell r="Q3424" t="str">
            <v>431110</v>
          </cell>
        </row>
        <row r="3425">
          <cell r="N3425" t="str">
            <v>89340</v>
          </cell>
          <cell r="O3425" t="str">
            <v>RQ8</v>
          </cell>
          <cell r="P3425" t="str">
            <v>RQ889340</v>
          </cell>
          <cell r="Q3425" t="str">
            <v>431110</v>
          </cell>
        </row>
        <row r="3426">
          <cell r="N3426" t="str">
            <v>89340</v>
          </cell>
          <cell r="O3426" t="str">
            <v>RQ9</v>
          </cell>
          <cell r="P3426" t="str">
            <v>RQ989340</v>
          </cell>
          <cell r="Q3426" t="str">
            <v>431110</v>
          </cell>
        </row>
        <row r="3427">
          <cell r="N3427" t="str">
            <v>89340</v>
          </cell>
          <cell r="O3427" t="str">
            <v>RRD</v>
          </cell>
          <cell r="P3427" t="str">
            <v>RRD89340</v>
          </cell>
          <cell r="Q3427" t="str">
            <v>431110</v>
          </cell>
        </row>
        <row r="3428">
          <cell r="N3428" t="str">
            <v>89342</v>
          </cell>
          <cell r="O3428" t="str">
            <v/>
          </cell>
          <cell r="P3428" t="str">
            <v/>
          </cell>
          <cell r="Q3428" t="str">
            <v>431111</v>
          </cell>
        </row>
        <row r="3429">
          <cell r="N3429" t="str">
            <v>89342</v>
          </cell>
          <cell r="O3429" t="str">
            <v>!GK</v>
          </cell>
          <cell r="P3429" t="str">
            <v>!GK89342</v>
          </cell>
          <cell r="Q3429" t="str">
            <v>431111</v>
          </cell>
        </row>
        <row r="3430">
          <cell r="N3430" t="str">
            <v>89342</v>
          </cell>
          <cell r="O3430" t="str">
            <v>RRD</v>
          </cell>
          <cell r="P3430" t="str">
            <v>RRD89342</v>
          </cell>
          <cell r="Q3430" t="str">
            <v>431111</v>
          </cell>
        </row>
        <row r="3431">
          <cell r="N3431" t="str">
            <v>89343</v>
          </cell>
          <cell r="O3431" t="str">
            <v/>
          </cell>
          <cell r="P3431" t="str">
            <v/>
          </cell>
          <cell r="Q3431" t="str">
            <v>431110</v>
          </cell>
        </row>
        <row r="3432">
          <cell r="N3432" t="str">
            <v>89343</v>
          </cell>
          <cell r="O3432" t="str">
            <v>OE1</v>
          </cell>
          <cell r="P3432" t="str">
            <v>OE189343</v>
          </cell>
          <cell r="Q3432" t="str">
            <v>431110</v>
          </cell>
        </row>
        <row r="3433">
          <cell r="N3433" t="str">
            <v>89343</v>
          </cell>
          <cell r="O3433" t="str">
            <v>OHG</v>
          </cell>
          <cell r="P3433" t="str">
            <v>OHG89343</v>
          </cell>
          <cell r="Q3433" t="str">
            <v>431110</v>
          </cell>
        </row>
        <row r="3434">
          <cell r="N3434" t="str">
            <v/>
          </cell>
          <cell r="O3434" t="str">
            <v/>
          </cell>
          <cell r="P3434" t="str">
            <v/>
          </cell>
          <cell r="Q3434" t="str">
            <v/>
          </cell>
        </row>
        <row r="3435">
          <cell r="N3435" t="str">
            <v>71691</v>
          </cell>
          <cell r="O3435" t="str">
            <v/>
          </cell>
          <cell r="P3435" t="str">
            <v/>
          </cell>
          <cell r="Q3435" t="str">
            <v>416190</v>
          </cell>
        </row>
        <row r="3436">
          <cell r="N3436" t="str">
            <v>71691</v>
          </cell>
          <cell r="O3436" t="str">
            <v>TAN</v>
          </cell>
          <cell r="P3436" t="str">
            <v>TAN71691</v>
          </cell>
          <cell r="Q3436" t="str">
            <v>416190</v>
          </cell>
        </row>
        <row r="3437">
          <cell r="N3437" t="str">
            <v>8251202</v>
          </cell>
          <cell r="O3437" t="str">
            <v/>
          </cell>
          <cell r="P3437" t="str">
            <v/>
          </cell>
          <cell r="Q3437" t="str">
            <v>5151202</v>
          </cell>
        </row>
        <row r="3438">
          <cell r="N3438" t="str">
            <v>8251202</v>
          </cell>
          <cell r="O3438" t="str">
            <v>!AK</v>
          </cell>
          <cell r="P3438" t="str">
            <v>!AK8251202</v>
          </cell>
          <cell r="Q3438" t="str">
            <v>5151202</v>
          </cell>
        </row>
        <row r="3439">
          <cell r="N3439" t="str">
            <v>8251202</v>
          </cell>
          <cell r="O3439" t="str">
            <v>!MF</v>
          </cell>
          <cell r="P3439" t="str">
            <v>!MF8251202</v>
          </cell>
          <cell r="Q3439" t="str">
            <v>5151202</v>
          </cell>
        </row>
        <row r="3440">
          <cell r="N3440" t="str">
            <v>8251202</v>
          </cell>
          <cell r="O3440" t="str">
            <v>OGX</v>
          </cell>
          <cell r="P3440" t="str">
            <v>OGX8251202</v>
          </cell>
          <cell r="Q3440" t="str">
            <v>5151202</v>
          </cell>
        </row>
        <row r="3441">
          <cell r="N3441" t="str">
            <v>8251202</v>
          </cell>
          <cell r="O3441" t="str">
            <v>ONL</v>
          </cell>
          <cell r="P3441" t="str">
            <v>ONL8251202</v>
          </cell>
          <cell r="Q3441" t="str">
            <v>5151202</v>
          </cell>
        </row>
        <row r="3442">
          <cell r="N3442" t="str">
            <v>8251202</v>
          </cell>
          <cell r="O3442" t="str">
            <v>REG</v>
          </cell>
          <cell r="P3442" t="str">
            <v>REG8251202</v>
          </cell>
          <cell r="Q3442" t="str">
            <v>5151202</v>
          </cell>
        </row>
        <row r="3443">
          <cell r="N3443" t="str">
            <v>8251202</v>
          </cell>
          <cell r="O3443" t="str">
            <v>TAR</v>
          </cell>
          <cell r="P3443" t="str">
            <v>TAR8251202</v>
          </cell>
          <cell r="Q3443" t="str">
            <v>5151202</v>
          </cell>
        </row>
        <row r="3444">
          <cell r="N3444" t="str">
            <v>8251202</v>
          </cell>
          <cell r="O3444" t="str">
            <v>TBP</v>
          </cell>
          <cell r="P3444" t="str">
            <v>TBP8251202</v>
          </cell>
          <cell r="Q3444" t="str">
            <v>5151202</v>
          </cell>
        </row>
        <row r="3445">
          <cell r="N3445" t="str">
            <v>8251202</v>
          </cell>
          <cell r="O3445" t="str">
            <v>TBR</v>
          </cell>
          <cell r="P3445" t="str">
            <v>TBR8251202</v>
          </cell>
          <cell r="Q3445" t="str">
            <v>5151202</v>
          </cell>
        </row>
        <row r="3446">
          <cell r="N3446" t="str">
            <v>8251202</v>
          </cell>
          <cell r="O3446" t="str">
            <v>UBC</v>
          </cell>
          <cell r="P3446" t="str">
            <v>UBC8251202</v>
          </cell>
          <cell r="Q3446" t="str">
            <v>5151202</v>
          </cell>
        </row>
        <row r="3447">
          <cell r="N3447" t="str">
            <v>8251202</v>
          </cell>
          <cell r="O3447" t="str">
            <v>UBJ</v>
          </cell>
          <cell r="P3447" t="str">
            <v>UBJ8251202</v>
          </cell>
          <cell r="Q3447" t="str">
            <v>5151202</v>
          </cell>
        </row>
        <row r="3448">
          <cell r="N3448" t="str">
            <v>8251202</v>
          </cell>
          <cell r="O3448" t="str">
            <v>UHN</v>
          </cell>
          <cell r="P3448" t="str">
            <v>UHN8251202</v>
          </cell>
          <cell r="Q3448" t="str">
            <v>5151202</v>
          </cell>
        </row>
        <row r="3449">
          <cell r="N3449" t="str">
            <v>8251202</v>
          </cell>
          <cell r="O3449" t="str">
            <v>UP3</v>
          </cell>
          <cell r="P3449" t="str">
            <v>UP38251202</v>
          </cell>
          <cell r="Q3449" t="str">
            <v>5151202</v>
          </cell>
        </row>
        <row r="3450">
          <cell r="N3450" t="str">
            <v>8251202</v>
          </cell>
          <cell r="O3450" t="str">
            <v>UP9</v>
          </cell>
          <cell r="P3450" t="str">
            <v>UP98251202</v>
          </cell>
          <cell r="Q3450" t="str">
            <v>5151202</v>
          </cell>
        </row>
        <row r="3451">
          <cell r="N3451" t="str">
            <v>8251202</v>
          </cell>
          <cell r="O3451" t="str">
            <v>UVA</v>
          </cell>
          <cell r="P3451" t="str">
            <v>UVA8251202</v>
          </cell>
          <cell r="Q3451" t="str">
            <v>5151202</v>
          </cell>
        </row>
        <row r="3452">
          <cell r="N3452" t="str">
            <v>8251202</v>
          </cell>
          <cell r="O3452" t="str">
            <v>111</v>
          </cell>
          <cell r="P3452" t="str">
            <v>1118251202</v>
          </cell>
          <cell r="Q3452" t="str">
            <v>5151202</v>
          </cell>
        </row>
        <row r="3453">
          <cell r="N3453" t="str">
            <v>8251202</v>
          </cell>
          <cell r="O3453" t="str">
            <v>218</v>
          </cell>
          <cell r="P3453" t="str">
            <v>2188251202</v>
          </cell>
          <cell r="Q3453" t="str">
            <v>5151202</v>
          </cell>
        </row>
        <row r="3454">
          <cell r="N3454" t="str">
            <v>8251202</v>
          </cell>
          <cell r="O3454" t="str">
            <v>8NN</v>
          </cell>
          <cell r="P3454" t="str">
            <v>8NN8251202</v>
          </cell>
          <cell r="Q3454" t="str">
            <v>5151202</v>
          </cell>
        </row>
        <row r="3455">
          <cell r="N3455" t="str">
            <v>8251202</v>
          </cell>
          <cell r="O3455" t="str">
            <v>8N7</v>
          </cell>
          <cell r="P3455" t="str">
            <v>8N78251202</v>
          </cell>
          <cell r="Q3455" t="str">
            <v>5151202</v>
          </cell>
        </row>
        <row r="3456">
          <cell r="N3456" t="str">
            <v>89308</v>
          </cell>
          <cell r="O3456" t="str">
            <v/>
          </cell>
          <cell r="P3456" t="str">
            <v/>
          </cell>
          <cell r="Q3456" t="str">
            <v>4311884</v>
          </cell>
        </row>
        <row r="3457">
          <cell r="N3457" t="str">
            <v>89308</v>
          </cell>
          <cell r="O3457" t="str">
            <v>TBA</v>
          </cell>
          <cell r="P3457" t="str">
            <v>TBA89308</v>
          </cell>
          <cell r="Q3457" t="str">
            <v>4311884</v>
          </cell>
        </row>
        <row r="3458">
          <cell r="N3458" t="str">
            <v>89308</v>
          </cell>
          <cell r="O3458" t="str">
            <v>TBN</v>
          </cell>
          <cell r="P3458" t="str">
            <v>TBN89308</v>
          </cell>
          <cell r="Q3458" t="str">
            <v>4311884</v>
          </cell>
        </row>
        <row r="3459">
          <cell r="N3459" t="str">
            <v>89308</v>
          </cell>
          <cell r="O3459" t="str">
            <v>UDO</v>
          </cell>
          <cell r="P3459" t="str">
            <v>UDO89308</v>
          </cell>
          <cell r="Q3459" t="str">
            <v>4311884</v>
          </cell>
        </row>
        <row r="3460">
          <cell r="N3460" t="str">
            <v>89342</v>
          </cell>
          <cell r="O3460" t="str">
            <v/>
          </cell>
          <cell r="P3460" t="str">
            <v/>
          </cell>
          <cell r="Q3460" t="str">
            <v>431111</v>
          </cell>
        </row>
        <row r="3461">
          <cell r="N3461" t="str">
            <v>89342</v>
          </cell>
          <cell r="O3461" t="str">
            <v>ODX</v>
          </cell>
          <cell r="P3461" t="str">
            <v>ODX89342</v>
          </cell>
          <cell r="Q3461" t="str">
            <v>431111</v>
          </cell>
        </row>
        <row r="3462">
          <cell r="N3462" t="str">
            <v>89342</v>
          </cell>
          <cell r="O3462" t="str">
            <v>UHG</v>
          </cell>
          <cell r="P3462" t="str">
            <v>UHG89342</v>
          </cell>
          <cell r="Q3462" t="str">
            <v>431111</v>
          </cell>
        </row>
        <row r="3463">
          <cell r="N3463" t="str">
            <v>89342</v>
          </cell>
          <cell r="O3463" t="str">
            <v>UHN</v>
          </cell>
          <cell r="P3463" t="str">
            <v>UHN89342</v>
          </cell>
          <cell r="Q3463" t="str">
            <v>431111</v>
          </cell>
        </row>
        <row r="3464">
          <cell r="N3464" t="str">
            <v>89342</v>
          </cell>
          <cell r="O3464" t="str">
            <v>UTB</v>
          </cell>
          <cell r="P3464" t="str">
            <v>UTB89342</v>
          </cell>
          <cell r="Q3464" t="str">
            <v>431111</v>
          </cell>
        </row>
        <row r="3465">
          <cell r="N3465" t="str">
            <v/>
          </cell>
          <cell r="O3465" t="str">
            <v/>
          </cell>
          <cell r="P3465" t="str">
            <v/>
          </cell>
          <cell r="Q3465" t="str">
            <v/>
          </cell>
        </row>
        <row r="3466">
          <cell r="N3466" t="str">
            <v>8251203</v>
          </cell>
          <cell r="O3466" t="str">
            <v/>
          </cell>
          <cell r="P3466" t="str">
            <v/>
          </cell>
          <cell r="Q3466" t="str">
            <v>5151203</v>
          </cell>
        </row>
        <row r="3467">
          <cell r="N3467" t="str">
            <v>8251203</v>
          </cell>
          <cell r="O3467" t="str">
            <v>EX8</v>
          </cell>
          <cell r="P3467" t="str">
            <v>EX88251203</v>
          </cell>
          <cell r="Q3467" t="str">
            <v>5151203</v>
          </cell>
        </row>
        <row r="3468">
          <cell r="N3468" t="str">
            <v>8251203</v>
          </cell>
          <cell r="O3468" t="str">
            <v>ICK</v>
          </cell>
          <cell r="P3468" t="str">
            <v>ICK8251203</v>
          </cell>
          <cell r="Q3468" t="str">
            <v>5151203</v>
          </cell>
        </row>
        <row r="3469">
          <cell r="N3469" t="str">
            <v>8251203</v>
          </cell>
          <cell r="O3469" t="str">
            <v>IS7</v>
          </cell>
          <cell r="P3469" t="str">
            <v>IS78251203</v>
          </cell>
          <cell r="Q3469" t="str">
            <v>5151203</v>
          </cell>
        </row>
        <row r="3470">
          <cell r="N3470" t="str">
            <v>8251203</v>
          </cell>
          <cell r="O3470" t="str">
            <v>IS8</v>
          </cell>
          <cell r="P3470" t="str">
            <v>IS88251203</v>
          </cell>
          <cell r="Q3470" t="str">
            <v>5151203</v>
          </cell>
        </row>
        <row r="3471">
          <cell r="N3471" t="str">
            <v>8251203</v>
          </cell>
          <cell r="O3471" t="str">
            <v>ITS</v>
          </cell>
          <cell r="P3471" t="str">
            <v>ITS8251203</v>
          </cell>
          <cell r="Q3471" t="str">
            <v>5151203</v>
          </cell>
        </row>
        <row r="3472">
          <cell r="N3472" t="str">
            <v>8251203</v>
          </cell>
          <cell r="O3472" t="str">
            <v>IU3</v>
          </cell>
          <cell r="P3472" t="str">
            <v>IU38251203</v>
          </cell>
          <cell r="Q3472" t="str">
            <v>5151203</v>
          </cell>
        </row>
        <row r="3473">
          <cell r="N3473" t="str">
            <v>8251203</v>
          </cell>
          <cell r="O3473" t="str">
            <v>IXX</v>
          </cell>
          <cell r="P3473" t="str">
            <v>IXX8251203</v>
          </cell>
          <cell r="Q3473" t="str">
            <v>5151203</v>
          </cell>
        </row>
        <row r="3474">
          <cell r="N3474" t="str">
            <v>8251203</v>
          </cell>
          <cell r="O3474" t="str">
            <v>IXZ</v>
          </cell>
          <cell r="P3474" t="str">
            <v>IXZ8251203</v>
          </cell>
          <cell r="Q3474" t="str">
            <v>5151203</v>
          </cell>
        </row>
        <row r="3475">
          <cell r="N3475" t="str">
            <v>8251203</v>
          </cell>
          <cell r="O3475" t="str">
            <v>IZJ</v>
          </cell>
          <cell r="P3475" t="str">
            <v>IZJ8251203</v>
          </cell>
          <cell r="Q3475" t="str">
            <v>5151203</v>
          </cell>
        </row>
        <row r="3476">
          <cell r="N3476" t="str">
            <v>8251203</v>
          </cell>
          <cell r="O3476" t="str">
            <v>ONL</v>
          </cell>
          <cell r="P3476" t="str">
            <v>ONL8251203</v>
          </cell>
          <cell r="Q3476" t="str">
            <v>5151203</v>
          </cell>
        </row>
        <row r="3477">
          <cell r="N3477" t="str">
            <v>8251203</v>
          </cell>
          <cell r="O3477" t="str">
            <v>UPX</v>
          </cell>
          <cell r="P3477" t="str">
            <v>UPX8251203</v>
          </cell>
          <cell r="Q3477" t="str">
            <v>5151203</v>
          </cell>
        </row>
        <row r="3478">
          <cell r="N3478" t="str">
            <v>8251203</v>
          </cell>
          <cell r="O3478" t="str">
            <v>219</v>
          </cell>
          <cell r="P3478" t="str">
            <v>2198251203</v>
          </cell>
          <cell r="Q3478" t="str">
            <v>5151203</v>
          </cell>
        </row>
        <row r="3479">
          <cell r="N3479" t="str">
            <v>825945</v>
          </cell>
          <cell r="O3479" t="str">
            <v/>
          </cell>
          <cell r="P3479" t="str">
            <v/>
          </cell>
          <cell r="Q3479" t="str">
            <v>51959</v>
          </cell>
        </row>
        <row r="3480">
          <cell r="N3480" t="str">
            <v>825945</v>
          </cell>
          <cell r="O3480" t="str">
            <v>NRP</v>
          </cell>
          <cell r="P3480" t="str">
            <v>NRP825945</v>
          </cell>
          <cell r="Q3480" t="str">
            <v>51959</v>
          </cell>
        </row>
        <row r="3481">
          <cell r="N3481" t="str">
            <v>825945</v>
          </cell>
          <cell r="O3481" t="str">
            <v>NRS</v>
          </cell>
          <cell r="P3481" t="str">
            <v>NRS825945</v>
          </cell>
          <cell r="Q3481" t="str">
            <v>51959</v>
          </cell>
        </row>
        <row r="3482">
          <cell r="N3482" t="str">
            <v>825945</v>
          </cell>
          <cell r="O3482" t="str">
            <v>111</v>
          </cell>
          <cell r="P3482" t="str">
            <v>111825945</v>
          </cell>
          <cell r="Q3482" t="str">
            <v>51959</v>
          </cell>
        </row>
        <row r="3483">
          <cell r="N3483" t="str">
            <v>89223</v>
          </cell>
          <cell r="O3483" t="str">
            <v/>
          </cell>
          <cell r="P3483" t="str">
            <v/>
          </cell>
          <cell r="Q3483" t="str">
            <v>55083</v>
          </cell>
        </row>
        <row r="3484">
          <cell r="N3484" t="str">
            <v>89223</v>
          </cell>
          <cell r="O3484" t="str">
            <v>EXS</v>
          </cell>
          <cell r="P3484" t="str">
            <v>EXS89223</v>
          </cell>
          <cell r="Q3484" t="str">
            <v>55083</v>
          </cell>
        </row>
        <row r="3485">
          <cell r="N3485" t="str">
            <v>89223</v>
          </cell>
          <cell r="O3485" t="str">
            <v>9EX</v>
          </cell>
          <cell r="P3485" t="str">
            <v>9EX89223</v>
          </cell>
          <cell r="Q3485" t="str">
            <v>55083</v>
          </cell>
        </row>
        <row r="3486">
          <cell r="N3486" t="str">
            <v/>
          </cell>
          <cell r="O3486" t="str">
            <v/>
          </cell>
          <cell r="P3486" t="str">
            <v/>
          </cell>
          <cell r="Q3486" t="str">
            <v/>
          </cell>
        </row>
        <row r="3487">
          <cell r="N3487" t="str">
            <v/>
          </cell>
          <cell r="O3487" t="str">
            <v/>
          </cell>
          <cell r="P3487" t="str">
            <v/>
          </cell>
          <cell r="Q3487" t="str">
            <v/>
          </cell>
        </row>
        <row r="3488">
          <cell r="N3488" t="str">
            <v>825112</v>
          </cell>
          <cell r="O3488" t="str">
            <v/>
          </cell>
          <cell r="P3488" t="str">
            <v/>
          </cell>
          <cell r="Q3488" t="str">
            <v>51511</v>
          </cell>
        </row>
        <row r="3489">
          <cell r="N3489" t="str">
            <v>825112</v>
          </cell>
          <cell r="O3489" t="str">
            <v>AAQ</v>
          </cell>
          <cell r="P3489" t="str">
            <v>AAQ825112</v>
          </cell>
          <cell r="Q3489" t="str">
            <v>51511</v>
          </cell>
        </row>
        <row r="3490">
          <cell r="N3490" t="str">
            <v>825112</v>
          </cell>
          <cell r="O3490" t="str">
            <v>ABV</v>
          </cell>
          <cell r="P3490" t="str">
            <v>ABV825112</v>
          </cell>
          <cell r="Q3490" t="str">
            <v>51511</v>
          </cell>
        </row>
        <row r="3491">
          <cell r="N3491" t="str">
            <v>825112</v>
          </cell>
          <cell r="O3491" t="str">
            <v>AEC</v>
          </cell>
          <cell r="P3491" t="str">
            <v>AEC825112</v>
          </cell>
          <cell r="Q3491" t="str">
            <v>51511</v>
          </cell>
        </row>
        <row r="3492">
          <cell r="N3492" t="str">
            <v>825112</v>
          </cell>
          <cell r="O3492" t="str">
            <v>AEM</v>
          </cell>
          <cell r="P3492" t="str">
            <v>AEM825112</v>
          </cell>
          <cell r="Q3492" t="str">
            <v>51511</v>
          </cell>
        </row>
        <row r="3493">
          <cell r="N3493" t="str">
            <v>825112</v>
          </cell>
          <cell r="O3493" t="str">
            <v>A1B</v>
          </cell>
          <cell r="P3493" t="str">
            <v>A1B825112</v>
          </cell>
          <cell r="Q3493" t="str">
            <v>51511</v>
          </cell>
        </row>
        <row r="3494">
          <cell r="N3494" t="str">
            <v>825112</v>
          </cell>
          <cell r="O3494" t="str">
            <v>OGX</v>
          </cell>
          <cell r="P3494" t="str">
            <v>OGX825112</v>
          </cell>
          <cell r="Q3494" t="str">
            <v>51511</v>
          </cell>
        </row>
        <row r="3495">
          <cell r="N3495" t="str">
            <v>825112</v>
          </cell>
          <cell r="O3495" t="str">
            <v>ONL</v>
          </cell>
          <cell r="P3495" t="str">
            <v>ONL825112</v>
          </cell>
          <cell r="Q3495" t="str">
            <v>51511</v>
          </cell>
        </row>
        <row r="3496">
          <cell r="N3496" t="str">
            <v>825112</v>
          </cell>
          <cell r="O3496" t="str">
            <v>REG</v>
          </cell>
          <cell r="P3496" t="str">
            <v>REG825112</v>
          </cell>
          <cell r="Q3496" t="str">
            <v>51511</v>
          </cell>
        </row>
        <row r="3497">
          <cell r="N3497" t="str">
            <v>825112</v>
          </cell>
          <cell r="O3497" t="str">
            <v>SMC</v>
          </cell>
          <cell r="P3497" t="str">
            <v>SMC825112</v>
          </cell>
          <cell r="Q3497" t="str">
            <v>51511</v>
          </cell>
        </row>
        <row r="3498">
          <cell r="N3498" t="str">
            <v>825112</v>
          </cell>
          <cell r="O3498" t="str">
            <v>UP1</v>
          </cell>
          <cell r="P3498" t="str">
            <v>UP1825112</v>
          </cell>
          <cell r="Q3498" t="str">
            <v>51511</v>
          </cell>
        </row>
        <row r="3499">
          <cell r="N3499" t="str">
            <v>825112</v>
          </cell>
          <cell r="O3499" t="str">
            <v>119</v>
          </cell>
          <cell r="P3499" t="str">
            <v>119825112</v>
          </cell>
          <cell r="Q3499" t="str">
            <v>51511</v>
          </cell>
        </row>
        <row r="3500">
          <cell r="N3500" t="str">
            <v>825112</v>
          </cell>
          <cell r="O3500" t="str">
            <v>317</v>
          </cell>
          <cell r="P3500" t="str">
            <v>317825112</v>
          </cell>
          <cell r="Q3500" t="str">
            <v>51511</v>
          </cell>
        </row>
        <row r="3501">
          <cell r="N3501" t="str">
            <v>825113</v>
          </cell>
          <cell r="O3501" t="str">
            <v/>
          </cell>
          <cell r="P3501" t="str">
            <v/>
          </cell>
          <cell r="Q3501" t="str">
            <v>51511</v>
          </cell>
        </row>
        <row r="3502">
          <cell r="N3502" t="str">
            <v>825113</v>
          </cell>
          <cell r="O3502" t="str">
            <v>A1C</v>
          </cell>
          <cell r="P3502" t="str">
            <v>A1C825113</v>
          </cell>
          <cell r="Q3502" t="str">
            <v>51511</v>
          </cell>
        </row>
        <row r="3503">
          <cell r="N3503" t="str">
            <v>825113</v>
          </cell>
          <cell r="O3503" t="str">
            <v>OGX</v>
          </cell>
          <cell r="P3503" t="str">
            <v>OGX825113</v>
          </cell>
          <cell r="Q3503" t="str">
            <v>51511</v>
          </cell>
        </row>
        <row r="3504">
          <cell r="N3504" t="str">
            <v>825113</v>
          </cell>
          <cell r="O3504" t="str">
            <v>ONL</v>
          </cell>
          <cell r="P3504" t="str">
            <v>ONL825113</v>
          </cell>
          <cell r="Q3504" t="str">
            <v>51511</v>
          </cell>
        </row>
        <row r="3505">
          <cell r="N3505" t="str">
            <v>825113</v>
          </cell>
          <cell r="O3505" t="str">
            <v>111</v>
          </cell>
          <cell r="P3505" t="str">
            <v>111825113</v>
          </cell>
          <cell r="Q3505" t="str">
            <v>51511</v>
          </cell>
        </row>
        <row r="3506">
          <cell r="N3506" t="str">
            <v/>
          </cell>
          <cell r="O3506" t="str">
            <v/>
          </cell>
          <cell r="P3506" t="str">
            <v/>
          </cell>
          <cell r="Q3506" t="str">
            <v/>
          </cell>
        </row>
        <row r="3507">
          <cell r="N3507" t="str">
            <v>825110</v>
          </cell>
          <cell r="O3507" t="str">
            <v/>
          </cell>
          <cell r="P3507" t="str">
            <v/>
          </cell>
          <cell r="Q3507" t="str">
            <v>51511</v>
          </cell>
        </row>
        <row r="3508">
          <cell r="N3508" t="str">
            <v>825110</v>
          </cell>
          <cell r="O3508" t="str">
            <v>!AJ</v>
          </cell>
          <cell r="P3508" t="str">
            <v>!AJ825110</v>
          </cell>
          <cell r="Q3508" t="str">
            <v>51511</v>
          </cell>
        </row>
        <row r="3509">
          <cell r="N3509" t="str">
            <v>825110</v>
          </cell>
          <cell r="O3509" t="str">
            <v>OGX</v>
          </cell>
          <cell r="P3509" t="str">
            <v>OGX825110</v>
          </cell>
          <cell r="Q3509" t="str">
            <v>51511</v>
          </cell>
        </row>
        <row r="3510">
          <cell r="N3510" t="str">
            <v>825110</v>
          </cell>
          <cell r="O3510" t="str">
            <v>ONL</v>
          </cell>
          <cell r="P3510" t="str">
            <v>ONL825110</v>
          </cell>
          <cell r="Q3510" t="str">
            <v>51511</v>
          </cell>
        </row>
        <row r="3511">
          <cell r="N3511" t="str">
            <v>825110</v>
          </cell>
          <cell r="O3511" t="str">
            <v>REG</v>
          </cell>
          <cell r="P3511" t="str">
            <v>REG825110</v>
          </cell>
          <cell r="Q3511" t="str">
            <v>51511</v>
          </cell>
        </row>
        <row r="3512">
          <cell r="N3512" t="str">
            <v>825110</v>
          </cell>
          <cell r="O3512" t="str">
            <v>S1F</v>
          </cell>
          <cell r="P3512" t="str">
            <v>S1F825110</v>
          </cell>
          <cell r="Q3512" t="str">
            <v>51511</v>
          </cell>
        </row>
        <row r="3513">
          <cell r="N3513" t="str">
            <v>825110</v>
          </cell>
          <cell r="O3513" t="str">
            <v>S3I</v>
          </cell>
          <cell r="P3513" t="str">
            <v>S3I825110</v>
          </cell>
          <cell r="Q3513" t="str">
            <v>51511</v>
          </cell>
        </row>
        <row r="3514">
          <cell r="N3514" t="str">
            <v>825110</v>
          </cell>
          <cell r="O3514" t="str">
            <v>074</v>
          </cell>
          <cell r="P3514" t="str">
            <v>074825110</v>
          </cell>
          <cell r="Q3514" t="str">
            <v>51511</v>
          </cell>
        </row>
        <row r="3515">
          <cell r="N3515" t="str">
            <v>825110</v>
          </cell>
          <cell r="O3515" t="str">
            <v>301</v>
          </cell>
          <cell r="P3515" t="str">
            <v>301825110</v>
          </cell>
          <cell r="Q3515" t="str">
            <v>51511</v>
          </cell>
        </row>
        <row r="3516">
          <cell r="N3516" t="str">
            <v>825110</v>
          </cell>
          <cell r="O3516" t="str">
            <v>303</v>
          </cell>
          <cell r="P3516" t="str">
            <v>303825110</v>
          </cell>
          <cell r="Q3516" t="str">
            <v>51511</v>
          </cell>
        </row>
        <row r="3517">
          <cell r="N3517" t="str">
            <v>825110</v>
          </cell>
          <cell r="O3517" t="str">
            <v>8NG</v>
          </cell>
          <cell r="P3517" t="str">
            <v>8NG825110</v>
          </cell>
          <cell r="Q3517" t="str">
            <v>51511</v>
          </cell>
        </row>
        <row r="3518">
          <cell r="N3518" t="str">
            <v>825971</v>
          </cell>
          <cell r="O3518" t="str">
            <v/>
          </cell>
          <cell r="P3518" t="str">
            <v/>
          </cell>
          <cell r="Q3518" t="str">
            <v>5194</v>
          </cell>
        </row>
        <row r="3519">
          <cell r="N3519" t="str">
            <v>825971</v>
          </cell>
          <cell r="O3519" t="str">
            <v>REG</v>
          </cell>
          <cell r="P3519" t="str">
            <v>REG825971</v>
          </cell>
          <cell r="Q3519" t="str">
            <v>5194</v>
          </cell>
        </row>
        <row r="3520">
          <cell r="N3520" t="str">
            <v>825971</v>
          </cell>
          <cell r="O3520" t="str">
            <v>054</v>
          </cell>
          <cell r="P3520" t="str">
            <v>054825971</v>
          </cell>
          <cell r="Q3520" t="str">
            <v>5194</v>
          </cell>
        </row>
        <row r="3521">
          <cell r="N3521" t="str">
            <v>89341</v>
          </cell>
          <cell r="O3521" t="str">
            <v/>
          </cell>
          <cell r="P3521" t="str">
            <v/>
          </cell>
          <cell r="Q3521" t="str">
            <v>431110</v>
          </cell>
        </row>
        <row r="3522">
          <cell r="N3522" t="str">
            <v>89341</v>
          </cell>
          <cell r="O3522" t="str">
            <v>ODX</v>
          </cell>
          <cell r="P3522" t="str">
            <v>ODX89341</v>
          </cell>
          <cell r="Q3522" t="str">
            <v>431110</v>
          </cell>
        </row>
        <row r="3523">
          <cell r="N3523" t="str">
            <v>89341</v>
          </cell>
          <cell r="O3523" t="str">
            <v>OGX</v>
          </cell>
          <cell r="P3523" t="str">
            <v>OGX89341</v>
          </cell>
          <cell r="Q3523" t="str">
            <v>431110</v>
          </cell>
        </row>
        <row r="3524">
          <cell r="N3524" t="str">
            <v>89341</v>
          </cell>
          <cell r="O3524" t="str">
            <v>S1H</v>
          </cell>
          <cell r="P3524" t="str">
            <v>S1H89341</v>
          </cell>
          <cell r="Q3524" t="str">
            <v>431110</v>
          </cell>
        </row>
        <row r="3525">
          <cell r="N3525" t="str">
            <v>89341</v>
          </cell>
          <cell r="O3525" t="str">
            <v>S3L</v>
          </cell>
          <cell r="P3525" t="str">
            <v>S3L89341</v>
          </cell>
          <cell r="Q3525" t="str">
            <v>431110</v>
          </cell>
        </row>
        <row r="3526">
          <cell r="N3526" t="str">
            <v>89341</v>
          </cell>
          <cell r="O3526" t="str">
            <v>077</v>
          </cell>
          <cell r="P3526" t="str">
            <v>07789341</v>
          </cell>
          <cell r="Q3526" t="str">
            <v>431110</v>
          </cell>
        </row>
        <row r="3527">
          <cell r="N3527" t="str">
            <v>89341</v>
          </cell>
          <cell r="O3527" t="str">
            <v>8NF</v>
          </cell>
          <cell r="P3527" t="str">
            <v>8NF89341</v>
          </cell>
          <cell r="Q3527" t="str">
            <v>431110</v>
          </cell>
        </row>
        <row r="3528">
          <cell r="N3528" t="str">
            <v>89342</v>
          </cell>
          <cell r="O3528" t="str">
            <v/>
          </cell>
          <cell r="P3528" t="str">
            <v/>
          </cell>
          <cell r="Q3528" t="str">
            <v>431111</v>
          </cell>
        </row>
        <row r="3529">
          <cell r="N3529" t="str">
            <v>89342</v>
          </cell>
          <cell r="O3529" t="str">
            <v>334</v>
          </cell>
          <cell r="P3529" t="str">
            <v>33489342</v>
          </cell>
          <cell r="Q3529" t="str">
            <v>431111</v>
          </cell>
        </row>
        <row r="3530">
          <cell r="N3530" t="str">
            <v>89343</v>
          </cell>
          <cell r="O3530" t="str">
            <v/>
          </cell>
          <cell r="P3530" t="str">
            <v/>
          </cell>
          <cell r="Q3530" t="str">
            <v>431110</v>
          </cell>
        </row>
        <row r="3531">
          <cell r="N3531" t="str">
            <v>89343</v>
          </cell>
          <cell r="O3531" t="str">
            <v>FGT</v>
          </cell>
          <cell r="P3531" t="str">
            <v>FGT89343</v>
          </cell>
          <cell r="Q3531" t="str">
            <v>431110</v>
          </cell>
        </row>
        <row r="3532">
          <cell r="N3532" t="str">
            <v>89343</v>
          </cell>
          <cell r="O3532" t="str">
            <v>ODX</v>
          </cell>
          <cell r="P3532" t="str">
            <v>ODX89343</v>
          </cell>
          <cell r="Q3532" t="str">
            <v>431110</v>
          </cell>
        </row>
        <row r="3533">
          <cell r="N3533" t="str">
            <v>89343</v>
          </cell>
          <cell r="O3533" t="str">
            <v>OGX</v>
          </cell>
          <cell r="P3533" t="str">
            <v>OGX89343</v>
          </cell>
          <cell r="Q3533" t="str">
            <v>431110</v>
          </cell>
        </row>
        <row r="3534">
          <cell r="N3534" t="str">
            <v>89343</v>
          </cell>
          <cell r="O3534" t="str">
            <v>S1G</v>
          </cell>
          <cell r="P3534" t="str">
            <v>S1G89343</v>
          </cell>
          <cell r="Q3534" t="str">
            <v>431110</v>
          </cell>
        </row>
        <row r="3535">
          <cell r="N3535" t="str">
            <v>89343</v>
          </cell>
          <cell r="O3535" t="str">
            <v>S3J</v>
          </cell>
          <cell r="P3535" t="str">
            <v>S3J89343</v>
          </cell>
          <cell r="Q3535" t="str">
            <v>431110</v>
          </cell>
        </row>
        <row r="3536">
          <cell r="N3536" t="str">
            <v>89343</v>
          </cell>
          <cell r="O3536" t="str">
            <v>076</v>
          </cell>
          <cell r="P3536" t="str">
            <v>07689343</v>
          </cell>
          <cell r="Q3536" t="str">
            <v>431110</v>
          </cell>
        </row>
        <row r="3537">
          <cell r="N3537" t="str">
            <v>89343</v>
          </cell>
          <cell r="O3537" t="str">
            <v>303</v>
          </cell>
          <cell r="P3537" t="str">
            <v>30389343</v>
          </cell>
          <cell r="Q3537" t="str">
            <v>431110</v>
          </cell>
        </row>
        <row r="3538">
          <cell r="N3538" t="str">
            <v>89344</v>
          </cell>
          <cell r="O3538" t="str">
            <v/>
          </cell>
          <cell r="P3538" t="str">
            <v/>
          </cell>
          <cell r="Q3538" t="str">
            <v>431110</v>
          </cell>
        </row>
        <row r="3539">
          <cell r="N3539" t="str">
            <v>89344</v>
          </cell>
          <cell r="O3539" t="str">
            <v>AP9</v>
          </cell>
          <cell r="P3539" t="str">
            <v>AP989344</v>
          </cell>
          <cell r="Q3539" t="str">
            <v>431110</v>
          </cell>
        </row>
        <row r="3540">
          <cell r="N3540" t="str">
            <v>89344</v>
          </cell>
          <cell r="O3540" t="str">
            <v>ODX</v>
          </cell>
          <cell r="P3540" t="str">
            <v>ODX89344</v>
          </cell>
          <cell r="Q3540" t="str">
            <v>431110</v>
          </cell>
        </row>
        <row r="3541">
          <cell r="N3541" t="str">
            <v>89344</v>
          </cell>
          <cell r="O3541" t="str">
            <v>OGX</v>
          </cell>
          <cell r="P3541" t="str">
            <v>OGX89344</v>
          </cell>
          <cell r="Q3541" t="str">
            <v>431110</v>
          </cell>
        </row>
        <row r="3542">
          <cell r="N3542" t="str">
            <v>89344</v>
          </cell>
          <cell r="O3542" t="str">
            <v>TAW</v>
          </cell>
          <cell r="P3542" t="str">
            <v>TAW89344</v>
          </cell>
          <cell r="Q3542" t="str">
            <v>431110</v>
          </cell>
        </row>
        <row r="3543">
          <cell r="N3543" t="str">
            <v>89344</v>
          </cell>
          <cell r="O3543" t="str">
            <v>077</v>
          </cell>
          <cell r="P3543" t="str">
            <v>07789344</v>
          </cell>
          <cell r="Q3543" t="str">
            <v>431110</v>
          </cell>
        </row>
        <row r="3544">
          <cell r="N3544" t="str">
            <v>89344</v>
          </cell>
          <cell r="O3544" t="str">
            <v>304</v>
          </cell>
          <cell r="P3544" t="str">
            <v>30489344</v>
          </cell>
          <cell r="Q3544" t="str">
            <v>431110</v>
          </cell>
        </row>
        <row r="3545">
          <cell r="N3545" t="str">
            <v/>
          </cell>
          <cell r="O3545" t="str">
            <v/>
          </cell>
          <cell r="P3545" t="str">
            <v/>
          </cell>
          <cell r="Q3545" t="str">
            <v/>
          </cell>
        </row>
        <row r="3546">
          <cell r="N3546" t="str">
            <v>8251204</v>
          </cell>
          <cell r="O3546" t="str">
            <v/>
          </cell>
          <cell r="P3546" t="str">
            <v/>
          </cell>
          <cell r="Q3546" t="str">
            <v>5151204</v>
          </cell>
        </row>
        <row r="3547">
          <cell r="N3547" t="str">
            <v>8251204</v>
          </cell>
          <cell r="O3547" t="str">
            <v>CQ2</v>
          </cell>
          <cell r="P3547" t="str">
            <v>CQ28251204</v>
          </cell>
          <cell r="Q3547" t="str">
            <v>5151204</v>
          </cell>
        </row>
        <row r="3548">
          <cell r="N3548" t="str">
            <v>8251204</v>
          </cell>
          <cell r="O3548" t="str">
            <v>OGX</v>
          </cell>
          <cell r="P3548" t="str">
            <v>OGX8251204</v>
          </cell>
          <cell r="Q3548" t="str">
            <v>5151204</v>
          </cell>
        </row>
        <row r="3549">
          <cell r="N3549" t="str">
            <v>8251204</v>
          </cell>
          <cell r="O3549" t="str">
            <v>!PG</v>
          </cell>
          <cell r="P3549" t="str">
            <v>!PG8251204</v>
          </cell>
          <cell r="Q3549" t="str">
            <v>5151204</v>
          </cell>
        </row>
        <row r="3550">
          <cell r="N3550" t="str">
            <v>8251204</v>
          </cell>
          <cell r="O3550" t="str">
            <v>228</v>
          </cell>
          <cell r="P3550" t="str">
            <v>2288251204</v>
          </cell>
          <cell r="Q3550" t="str">
            <v>5151204</v>
          </cell>
        </row>
        <row r="3551">
          <cell r="N3551" t="str">
            <v>8251204</v>
          </cell>
          <cell r="O3551" t="str">
            <v>315</v>
          </cell>
          <cell r="P3551" t="str">
            <v>3158251204</v>
          </cell>
          <cell r="Q3551" t="str">
            <v>5151204</v>
          </cell>
        </row>
        <row r="3552">
          <cell r="N3552" t="str">
            <v/>
          </cell>
          <cell r="O3552" t="str">
            <v/>
          </cell>
          <cell r="P3552" t="str">
            <v/>
          </cell>
          <cell r="Q3552" t="str">
            <v/>
          </cell>
        </row>
        <row r="3553">
          <cell r="N3553" t="str">
            <v/>
          </cell>
          <cell r="O3553" t="str">
            <v/>
          </cell>
          <cell r="P3553" t="str">
            <v/>
          </cell>
          <cell r="Q3553" t="str">
            <v/>
          </cell>
        </row>
        <row r="3554">
          <cell r="N3554" t="str">
            <v/>
          </cell>
          <cell r="O3554" t="str">
            <v/>
          </cell>
          <cell r="P3554" t="str">
            <v/>
          </cell>
          <cell r="Q3554" t="str">
            <v/>
          </cell>
        </row>
        <row r="3555">
          <cell r="N3555" t="str">
            <v>825100</v>
          </cell>
          <cell r="O3555" t="str">
            <v/>
          </cell>
          <cell r="P3555" t="str">
            <v/>
          </cell>
          <cell r="Q3555" t="str">
            <v/>
          </cell>
        </row>
        <row r="3556">
          <cell r="N3556" t="str">
            <v>825100</v>
          </cell>
          <cell r="O3556" t="str">
            <v>E3L</v>
          </cell>
          <cell r="P3556" t="str">
            <v>E3L825100</v>
          </cell>
          <cell r="Q3556" t="str">
            <v/>
          </cell>
        </row>
        <row r="3557">
          <cell r="N3557" t="str">
            <v>82512000</v>
          </cell>
          <cell r="O3557" t="str">
            <v/>
          </cell>
          <cell r="P3557" t="str">
            <v/>
          </cell>
          <cell r="Q3557" t="str">
            <v>5151200</v>
          </cell>
        </row>
        <row r="3558">
          <cell r="N3558" t="str">
            <v>82512000</v>
          </cell>
          <cell r="O3558" t="str">
            <v>ODX</v>
          </cell>
          <cell r="P3558" t="str">
            <v>ODX82512000</v>
          </cell>
          <cell r="Q3558" t="str">
            <v>5151200</v>
          </cell>
        </row>
        <row r="3559">
          <cell r="N3559" t="str">
            <v>82512000</v>
          </cell>
          <cell r="O3559" t="str">
            <v>OGX</v>
          </cell>
          <cell r="P3559" t="str">
            <v>OGX82512000</v>
          </cell>
          <cell r="Q3559" t="str">
            <v>5151200</v>
          </cell>
        </row>
        <row r="3560">
          <cell r="N3560" t="str">
            <v>82512000</v>
          </cell>
          <cell r="O3560" t="str">
            <v>UAR</v>
          </cell>
          <cell r="P3560" t="str">
            <v>UAR82512000</v>
          </cell>
          <cell r="Q3560" t="str">
            <v>5151200</v>
          </cell>
        </row>
        <row r="3561">
          <cell r="N3561" t="str">
            <v>82512000</v>
          </cell>
          <cell r="O3561" t="str">
            <v>UP2</v>
          </cell>
          <cell r="P3561" t="str">
            <v>UP282512000</v>
          </cell>
          <cell r="Q3561" t="str">
            <v>5151200</v>
          </cell>
        </row>
        <row r="3562">
          <cell r="N3562" t="str">
            <v>82512000</v>
          </cell>
          <cell r="O3562" t="str">
            <v>111</v>
          </cell>
          <cell r="P3562" t="str">
            <v>11182512000</v>
          </cell>
          <cell r="Q3562" t="str">
            <v>5151200</v>
          </cell>
        </row>
        <row r="3563">
          <cell r="N3563" t="str">
            <v>82512000</v>
          </cell>
          <cell r="O3563" t="str">
            <v>137</v>
          </cell>
          <cell r="P3563" t="str">
            <v>13782512000</v>
          </cell>
          <cell r="Q3563" t="str">
            <v>5151200</v>
          </cell>
        </row>
        <row r="3564">
          <cell r="N3564" t="str">
            <v>89340</v>
          </cell>
          <cell r="O3564" t="str">
            <v/>
          </cell>
          <cell r="P3564" t="str">
            <v/>
          </cell>
          <cell r="Q3564" t="str">
            <v>431110</v>
          </cell>
        </row>
        <row r="3565">
          <cell r="N3565" t="str">
            <v>89340</v>
          </cell>
          <cell r="O3565" t="str">
            <v>UA8</v>
          </cell>
          <cell r="P3565" t="str">
            <v>UA889340</v>
          </cell>
          <cell r="Q3565" t="str">
            <v>431110</v>
          </cell>
        </row>
        <row r="3566">
          <cell r="N3566" t="str">
            <v>89341</v>
          </cell>
          <cell r="O3566" t="str">
            <v/>
          </cell>
          <cell r="P3566" t="str">
            <v/>
          </cell>
          <cell r="Q3566" t="str">
            <v>431110</v>
          </cell>
        </row>
        <row r="3567">
          <cell r="N3567" t="str">
            <v>89341</v>
          </cell>
          <cell r="O3567" t="str">
            <v>UA9</v>
          </cell>
          <cell r="P3567" t="str">
            <v>UA989341</v>
          </cell>
          <cell r="Q3567" t="str">
            <v>431110</v>
          </cell>
        </row>
        <row r="3568">
          <cell r="N3568" t="str">
            <v>89342</v>
          </cell>
          <cell r="O3568" t="str">
            <v/>
          </cell>
          <cell r="P3568" t="str">
            <v/>
          </cell>
          <cell r="Q3568" t="str">
            <v>431111</v>
          </cell>
        </row>
        <row r="3569">
          <cell r="N3569" t="str">
            <v>89342</v>
          </cell>
          <cell r="O3569" t="str">
            <v>UFG</v>
          </cell>
          <cell r="P3569" t="str">
            <v>UFG89342</v>
          </cell>
          <cell r="Q3569" t="str">
            <v>431111</v>
          </cell>
        </row>
        <row r="3570">
          <cell r="N3570" t="str">
            <v>89343</v>
          </cell>
          <cell r="O3570" t="str">
            <v/>
          </cell>
          <cell r="P3570" t="str">
            <v/>
          </cell>
          <cell r="Q3570" t="str">
            <v>431110</v>
          </cell>
        </row>
        <row r="3571">
          <cell r="N3571" t="str">
            <v>89343</v>
          </cell>
          <cell r="O3571" t="str">
            <v>UAT</v>
          </cell>
          <cell r="P3571" t="str">
            <v>UAT89343</v>
          </cell>
          <cell r="Q3571" t="str">
            <v>431110</v>
          </cell>
        </row>
        <row r="3572">
          <cell r="N3572" t="str">
            <v>89343</v>
          </cell>
          <cell r="O3572" t="str">
            <v>UNA</v>
          </cell>
          <cell r="P3572" t="str">
            <v>UNA89343</v>
          </cell>
          <cell r="Q3572" t="str">
            <v>431110</v>
          </cell>
        </row>
        <row r="3573">
          <cell r="N3573" t="str">
            <v>89343</v>
          </cell>
          <cell r="O3573" t="str">
            <v>U1E</v>
          </cell>
          <cell r="P3573" t="str">
            <v>U1E89343</v>
          </cell>
          <cell r="Q3573" t="str">
            <v>431110</v>
          </cell>
        </row>
        <row r="3574">
          <cell r="N3574" t="str">
            <v>89343</v>
          </cell>
          <cell r="O3574" t="str">
            <v>U1F</v>
          </cell>
          <cell r="P3574" t="str">
            <v>U1F89343</v>
          </cell>
          <cell r="Q3574" t="str">
            <v>431110</v>
          </cell>
        </row>
        <row r="3575">
          <cell r="N3575" t="str">
            <v>89343</v>
          </cell>
          <cell r="O3575" t="str">
            <v>U1G</v>
          </cell>
          <cell r="P3575" t="str">
            <v>U1G89343</v>
          </cell>
          <cell r="Q3575" t="str">
            <v>431110</v>
          </cell>
        </row>
        <row r="3576">
          <cell r="N3576" t="str">
            <v>89343</v>
          </cell>
          <cell r="O3576" t="str">
            <v>U1H</v>
          </cell>
          <cell r="P3576" t="str">
            <v>U1H89343</v>
          </cell>
          <cell r="Q3576" t="str">
            <v>431110</v>
          </cell>
        </row>
        <row r="3577">
          <cell r="N3577" t="str">
            <v>89343</v>
          </cell>
          <cell r="O3577" t="str">
            <v>U1I</v>
          </cell>
          <cell r="P3577" t="str">
            <v>U1I89343</v>
          </cell>
          <cell r="Q3577" t="str">
            <v>431110</v>
          </cell>
        </row>
        <row r="3578">
          <cell r="N3578" t="str">
            <v/>
          </cell>
          <cell r="O3578" t="str">
            <v/>
          </cell>
          <cell r="P3578" t="str">
            <v/>
          </cell>
          <cell r="Q3578" t="str">
            <v/>
          </cell>
        </row>
        <row r="3579">
          <cell r="N3579" t="str">
            <v/>
          </cell>
          <cell r="O3579" t="str">
            <v/>
          </cell>
          <cell r="P3579" t="str">
            <v/>
          </cell>
          <cell r="Q3579" t="str">
            <v/>
          </cell>
        </row>
        <row r="3580">
          <cell r="N3580" t="str">
            <v/>
          </cell>
          <cell r="O3580" t="str">
            <v/>
          </cell>
          <cell r="P3580" t="str">
            <v/>
          </cell>
          <cell r="Q3580" t="str">
            <v/>
          </cell>
        </row>
        <row r="3581">
          <cell r="N3581" t="str">
            <v>82512001</v>
          </cell>
          <cell r="O3581" t="str">
            <v/>
          </cell>
          <cell r="P3581" t="str">
            <v/>
          </cell>
          <cell r="Q3581" t="str">
            <v>501530430</v>
          </cell>
        </row>
        <row r="3582">
          <cell r="N3582" t="str">
            <v>82512001</v>
          </cell>
          <cell r="O3582" t="str">
            <v>ODX</v>
          </cell>
          <cell r="P3582" t="str">
            <v>ODX82512001</v>
          </cell>
          <cell r="Q3582" t="str">
            <v>501530430</v>
          </cell>
        </row>
        <row r="3583">
          <cell r="N3583" t="str">
            <v>82512001</v>
          </cell>
          <cell r="O3583" t="str">
            <v>ONL</v>
          </cell>
          <cell r="P3583" t="str">
            <v>ONL82512001</v>
          </cell>
          <cell r="Q3583" t="str">
            <v>501530430</v>
          </cell>
        </row>
        <row r="3584">
          <cell r="N3584" t="str">
            <v>82512001</v>
          </cell>
          <cell r="O3584" t="str">
            <v>REG</v>
          </cell>
          <cell r="P3584" t="str">
            <v>REG82512001</v>
          </cell>
          <cell r="Q3584" t="str">
            <v>501530430</v>
          </cell>
        </row>
        <row r="3585">
          <cell r="N3585" t="str">
            <v>82512001</v>
          </cell>
          <cell r="O3585" t="str">
            <v>ULF</v>
          </cell>
          <cell r="P3585" t="str">
            <v>ULF82512001</v>
          </cell>
          <cell r="Q3585" t="str">
            <v>501530430</v>
          </cell>
        </row>
        <row r="3586">
          <cell r="N3586" t="str">
            <v>82512001</v>
          </cell>
          <cell r="O3586" t="str">
            <v>UP4</v>
          </cell>
          <cell r="P3586" t="str">
            <v>UP482512001</v>
          </cell>
          <cell r="Q3586" t="str">
            <v>501530430</v>
          </cell>
        </row>
        <row r="3587">
          <cell r="N3587" t="str">
            <v>82512001</v>
          </cell>
          <cell r="O3587" t="str">
            <v>192</v>
          </cell>
          <cell r="P3587" t="str">
            <v>19282512001</v>
          </cell>
          <cell r="Q3587" t="str">
            <v>501530430</v>
          </cell>
        </row>
        <row r="3588">
          <cell r="N3588" t="str">
            <v/>
          </cell>
          <cell r="O3588" t="str">
            <v/>
          </cell>
          <cell r="P3588" t="str">
            <v/>
          </cell>
          <cell r="Q3588" t="str">
            <v/>
          </cell>
        </row>
        <row r="3589">
          <cell r="N3589" t="str">
            <v>82512001</v>
          </cell>
          <cell r="O3589" t="str">
            <v/>
          </cell>
          <cell r="P3589" t="str">
            <v/>
          </cell>
          <cell r="Q3589" t="str">
            <v>501530430</v>
          </cell>
        </row>
        <row r="3590">
          <cell r="N3590" t="str">
            <v>82512001</v>
          </cell>
          <cell r="O3590" t="str">
            <v>UMA</v>
          </cell>
          <cell r="P3590" t="str">
            <v>UMA82512001</v>
          </cell>
          <cell r="Q3590" t="str">
            <v>501530430</v>
          </cell>
        </row>
        <row r="3591">
          <cell r="N3591" t="str">
            <v/>
          </cell>
          <cell r="O3591" t="str">
            <v/>
          </cell>
          <cell r="P3591" t="str">
            <v/>
          </cell>
          <cell r="Q3591" t="str">
            <v/>
          </cell>
        </row>
        <row r="3592">
          <cell r="N3592" t="str">
            <v>82512001</v>
          </cell>
          <cell r="O3592" t="str">
            <v/>
          </cell>
          <cell r="P3592" t="str">
            <v/>
          </cell>
          <cell r="Q3592" t="str">
            <v>501530430</v>
          </cell>
        </row>
        <row r="3593">
          <cell r="N3593" t="str">
            <v>82512001</v>
          </cell>
          <cell r="O3593" t="str">
            <v>ULI</v>
          </cell>
          <cell r="P3593" t="str">
            <v>ULI82512001</v>
          </cell>
          <cell r="Q3593" t="str">
            <v>501530430</v>
          </cell>
        </row>
        <row r="3594">
          <cell r="N3594" t="str">
            <v>8259411</v>
          </cell>
          <cell r="O3594" t="str">
            <v/>
          </cell>
          <cell r="P3594" t="str">
            <v/>
          </cell>
          <cell r="Q3594" t="str">
            <v>51931</v>
          </cell>
        </row>
        <row r="3595">
          <cell r="N3595" t="str">
            <v>8259411</v>
          </cell>
          <cell r="O3595" t="str">
            <v>ODX</v>
          </cell>
          <cell r="P3595" t="str">
            <v>ODX8259411</v>
          </cell>
          <cell r="Q3595" t="str">
            <v>51931</v>
          </cell>
        </row>
        <row r="3596">
          <cell r="N3596" t="str">
            <v>89303</v>
          </cell>
          <cell r="O3596" t="str">
            <v/>
          </cell>
          <cell r="P3596" t="str">
            <v/>
          </cell>
          <cell r="Q3596" t="str">
            <v>4311885</v>
          </cell>
        </row>
        <row r="3597">
          <cell r="N3597" t="str">
            <v>89303</v>
          </cell>
          <cell r="O3597" t="str">
            <v>ODX</v>
          </cell>
          <cell r="P3597" t="str">
            <v>ODX89303</v>
          </cell>
          <cell r="Q3597" t="str">
            <v>4311885</v>
          </cell>
        </row>
        <row r="3598">
          <cell r="N3598" t="str">
            <v>89303</v>
          </cell>
          <cell r="O3598" t="str">
            <v>OGX</v>
          </cell>
          <cell r="P3598" t="str">
            <v>OGX89303</v>
          </cell>
          <cell r="Q3598" t="str">
            <v>4311885</v>
          </cell>
        </row>
        <row r="3599">
          <cell r="N3599" t="str">
            <v>89303</v>
          </cell>
          <cell r="O3599" t="str">
            <v>ONL</v>
          </cell>
          <cell r="P3599" t="str">
            <v>ONL89303</v>
          </cell>
          <cell r="Q3599" t="str">
            <v>4311885</v>
          </cell>
        </row>
        <row r="3600">
          <cell r="N3600" t="str">
            <v>89340</v>
          </cell>
          <cell r="O3600" t="str">
            <v/>
          </cell>
          <cell r="P3600" t="str">
            <v/>
          </cell>
          <cell r="Q3600" t="str">
            <v>431110</v>
          </cell>
        </row>
        <row r="3601">
          <cell r="N3601" t="str">
            <v>89340</v>
          </cell>
          <cell r="O3601" t="str">
            <v>ULG</v>
          </cell>
          <cell r="P3601" t="str">
            <v>ULG89340</v>
          </cell>
          <cell r="Q3601" t="str">
            <v>431110</v>
          </cell>
        </row>
        <row r="3602">
          <cell r="N3602" t="str">
            <v>89341</v>
          </cell>
          <cell r="O3602" t="str">
            <v/>
          </cell>
          <cell r="P3602" t="str">
            <v/>
          </cell>
          <cell r="Q3602" t="str">
            <v>431110</v>
          </cell>
        </row>
        <row r="3603">
          <cell r="N3603" t="str">
            <v>89341</v>
          </cell>
          <cell r="O3603" t="str">
            <v>ULH</v>
          </cell>
          <cell r="P3603" t="str">
            <v>ULH89341</v>
          </cell>
          <cell r="Q3603" t="str">
            <v>431110</v>
          </cell>
        </row>
        <row r="3604">
          <cell r="N3604" t="str">
            <v/>
          </cell>
          <cell r="O3604" t="str">
            <v/>
          </cell>
          <cell r="P3604" t="str">
            <v/>
          </cell>
          <cell r="Q3604" t="str">
            <v/>
          </cell>
        </row>
        <row r="3605">
          <cell r="N3605" t="str">
            <v/>
          </cell>
          <cell r="O3605" t="str">
            <v/>
          </cell>
          <cell r="P3605" t="str">
            <v/>
          </cell>
          <cell r="Q3605" t="str">
            <v/>
          </cell>
        </row>
        <row r="3606">
          <cell r="N3606" t="str">
            <v>82040</v>
          </cell>
          <cell r="O3606" t="str">
            <v/>
          </cell>
          <cell r="P3606" t="str">
            <v/>
          </cell>
          <cell r="Q3606" t="str">
            <v>51091</v>
          </cell>
        </row>
        <row r="3607">
          <cell r="N3607" t="str">
            <v>82040</v>
          </cell>
          <cell r="O3607" t="str">
            <v>ODX</v>
          </cell>
          <cell r="P3607" t="str">
            <v>ODX82040</v>
          </cell>
          <cell r="Q3607" t="str">
            <v>51091</v>
          </cell>
        </row>
        <row r="3608">
          <cell r="N3608" t="str">
            <v>82040</v>
          </cell>
          <cell r="O3608" t="str">
            <v>OGX</v>
          </cell>
          <cell r="P3608" t="str">
            <v>OGX82040</v>
          </cell>
          <cell r="Q3608" t="str">
            <v>51091</v>
          </cell>
        </row>
        <row r="3609">
          <cell r="N3609" t="str">
            <v>82040</v>
          </cell>
          <cell r="O3609" t="str">
            <v>ONL</v>
          </cell>
          <cell r="P3609" t="str">
            <v>ONL82040</v>
          </cell>
          <cell r="Q3609" t="str">
            <v>51091</v>
          </cell>
        </row>
        <row r="3610">
          <cell r="N3610" t="str">
            <v>82040</v>
          </cell>
          <cell r="O3610" t="str">
            <v>UDB</v>
          </cell>
          <cell r="P3610" t="str">
            <v>UDB82040</v>
          </cell>
          <cell r="Q3610" t="str">
            <v>51091</v>
          </cell>
        </row>
        <row r="3611">
          <cell r="N3611" t="str">
            <v>82040</v>
          </cell>
          <cell r="O3611" t="str">
            <v>UDK</v>
          </cell>
          <cell r="P3611" t="str">
            <v>UDK82040</v>
          </cell>
          <cell r="Q3611" t="str">
            <v>51091</v>
          </cell>
        </row>
        <row r="3612">
          <cell r="N3612" t="str">
            <v>82040</v>
          </cell>
          <cell r="O3612" t="str">
            <v>UDY</v>
          </cell>
          <cell r="P3612" t="str">
            <v>UDY82040</v>
          </cell>
          <cell r="Q3612" t="str">
            <v>51091</v>
          </cell>
        </row>
        <row r="3613">
          <cell r="N3613" t="str">
            <v>82040</v>
          </cell>
          <cell r="O3613" t="str">
            <v>UP6</v>
          </cell>
          <cell r="P3613" t="str">
            <v>UP682040</v>
          </cell>
          <cell r="Q3613" t="str">
            <v>51091</v>
          </cell>
        </row>
        <row r="3614">
          <cell r="N3614" t="str">
            <v>82040</v>
          </cell>
          <cell r="O3614" t="str">
            <v>215</v>
          </cell>
          <cell r="P3614" t="str">
            <v>21582040</v>
          </cell>
          <cell r="Q3614" t="str">
            <v>51091</v>
          </cell>
        </row>
        <row r="3615">
          <cell r="N3615" t="str">
            <v>89300</v>
          </cell>
          <cell r="O3615" t="str">
            <v/>
          </cell>
          <cell r="P3615" t="str">
            <v/>
          </cell>
          <cell r="Q3615" t="str">
            <v>4311884</v>
          </cell>
        </row>
        <row r="3616">
          <cell r="N3616" t="str">
            <v>89300</v>
          </cell>
          <cell r="O3616" t="str">
            <v>ODX</v>
          </cell>
          <cell r="P3616" t="str">
            <v>ODX89300</v>
          </cell>
          <cell r="Q3616" t="str">
            <v>4311884</v>
          </cell>
        </row>
        <row r="3617">
          <cell r="N3617" t="str">
            <v>89300</v>
          </cell>
          <cell r="O3617" t="str">
            <v>UE6</v>
          </cell>
          <cell r="P3617" t="str">
            <v>UE689300</v>
          </cell>
          <cell r="Q3617" t="str">
            <v>4311884</v>
          </cell>
        </row>
        <row r="3618">
          <cell r="N3618" t="str">
            <v>89340</v>
          </cell>
          <cell r="O3618" t="str">
            <v/>
          </cell>
          <cell r="P3618" t="str">
            <v/>
          </cell>
          <cell r="Q3618" t="str">
            <v>431110</v>
          </cell>
        </row>
        <row r="3619">
          <cell r="N3619" t="str">
            <v>89340</v>
          </cell>
          <cell r="O3619" t="str">
            <v>ODX</v>
          </cell>
          <cell r="P3619" t="str">
            <v>ODX89340</v>
          </cell>
          <cell r="Q3619" t="str">
            <v>431110</v>
          </cell>
        </row>
        <row r="3620">
          <cell r="N3620" t="str">
            <v>89340</v>
          </cell>
          <cell r="O3620" t="str">
            <v>OGX</v>
          </cell>
          <cell r="P3620" t="str">
            <v>OGX89340</v>
          </cell>
          <cell r="Q3620" t="str">
            <v>431110</v>
          </cell>
        </row>
        <row r="3621">
          <cell r="N3621" t="str">
            <v>89340</v>
          </cell>
          <cell r="O3621" t="str">
            <v>ONL</v>
          </cell>
          <cell r="P3621" t="str">
            <v>ONL89340</v>
          </cell>
          <cell r="Q3621" t="str">
            <v>431110</v>
          </cell>
        </row>
        <row r="3622">
          <cell r="N3622" t="str">
            <v>89340</v>
          </cell>
          <cell r="O3622" t="str">
            <v>UDC</v>
          </cell>
          <cell r="P3622" t="str">
            <v>UDC89340</v>
          </cell>
          <cell r="Q3622" t="str">
            <v>431110</v>
          </cell>
        </row>
        <row r="3623">
          <cell r="N3623" t="str">
            <v>89340</v>
          </cell>
          <cell r="O3623" t="str">
            <v>U1Y</v>
          </cell>
          <cell r="P3623" t="str">
            <v>U1Y89340</v>
          </cell>
          <cell r="Q3623" t="str">
            <v>431110</v>
          </cell>
        </row>
        <row r="3624">
          <cell r="N3624" t="str">
            <v>89340</v>
          </cell>
          <cell r="O3624" t="str">
            <v>111</v>
          </cell>
          <cell r="P3624" t="str">
            <v>11189340</v>
          </cell>
          <cell r="Q3624" t="str">
            <v>431110</v>
          </cell>
        </row>
        <row r="3625">
          <cell r="N3625" t="str">
            <v>89340</v>
          </cell>
          <cell r="O3625" t="str">
            <v>8NH</v>
          </cell>
          <cell r="P3625" t="str">
            <v>8NH89340</v>
          </cell>
          <cell r="Q3625" t="str">
            <v>431110</v>
          </cell>
        </row>
        <row r="3626">
          <cell r="N3626" t="str">
            <v>89343</v>
          </cell>
          <cell r="O3626" t="str">
            <v/>
          </cell>
          <cell r="P3626" t="str">
            <v/>
          </cell>
          <cell r="Q3626" t="str">
            <v>431110</v>
          </cell>
        </row>
        <row r="3627">
          <cell r="N3627" t="str">
            <v>89343</v>
          </cell>
          <cell r="O3627" t="str">
            <v>!GH</v>
          </cell>
          <cell r="P3627" t="str">
            <v>!GH89343</v>
          </cell>
          <cell r="Q3627" t="str">
            <v>431110</v>
          </cell>
        </row>
        <row r="3628">
          <cell r="N3628" t="str">
            <v>89343</v>
          </cell>
          <cell r="O3628" t="str">
            <v>UDD</v>
          </cell>
          <cell r="P3628" t="str">
            <v>UDD89343</v>
          </cell>
          <cell r="Q3628" t="str">
            <v>431110</v>
          </cell>
        </row>
        <row r="3629">
          <cell r="N3629" t="str">
            <v/>
          </cell>
          <cell r="O3629" t="str">
            <v/>
          </cell>
          <cell r="P3629" t="str">
            <v/>
          </cell>
          <cell r="Q3629" t="str">
            <v/>
          </cell>
        </row>
        <row r="3630">
          <cell r="N3630" t="str">
            <v>71691</v>
          </cell>
          <cell r="O3630" t="str">
            <v/>
          </cell>
          <cell r="P3630" t="str">
            <v/>
          </cell>
          <cell r="Q3630" t="str">
            <v>416190</v>
          </cell>
        </row>
        <row r="3631">
          <cell r="N3631" t="str">
            <v>71691</v>
          </cell>
          <cell r="O3631" t="str">
            <v>POF</v>
          </cell>
          <cell r="P3631" t="str">
            <v>POF71691</v>
          </cell>
          <cell r="Q3631" t="str">
            <v>416190</v>
          </cell>
        </row>
        <row r="3632">
          <cell r="N3632" t="str">
            <v>82041</v>
          </cell>
          <cell r="O3632" t="str">
            <v/>
          </cell>
          <cell r="P3632" t="str">
            <v/>
          </cell>
          <cell r="Q3632" t="str">
            <v>51091</v>
          </cell>
        </row>
        <row r="3633">
          <cell r="N3633" t="str">
            <v>82041</v>
          </cell>
          <cell r="O3633" t="str">
            <v>ODX</v>
          </cell>
          <cell r="P3633" t="str">
            <v>ODX82041</v>
          </cell>
          <cell r="Q3633" t="str">
            <v>51091</v>
          </cell>
        </row>
        <row r="3634">
          <cell r="N3634" t="str">
            <v>82041</v>
          </cell>
          <cell r="O3634" t="str">
            <v>ONL</v>
          </cell>
          <cell r="P3634" t="str">
            <v>ONL82041</v>
          </cell>
          <cell r="Q3634" t="str">
            <v>51091</v>
          </cell>
        </row>
        <row r="3635">
          <cell r="N3635" t="str">
            <v>82041</v>
          </cell>
          <cell r="O3635" t="str">
            <v>UEF</v>
          </cell>
          <cell r="P3635" t="str">
            <v>UEF82041</v>
          </cell>
          <cell r="Q3635" t="str">
            <v>51091</v>
          </cell>
        </row>
        <row r="3636">
          <cell r="N3636" t="str">
            <v>82041</v>
          </cell>
          <cell r="O3636" t="str">
            <v>UEG</v>
          </cell>
          <cell r="P3636" t="str">
            <v>UEG82041</v>
          </cell>
          <cell r="Q3636" t="str">
            <v>51091</v>
          </cell>
        </row>
        <row r="3637">
          <cell r="N3637" t="str">
            <v>82041</v>
          </cell>
          <cell r="O3637" t="str">
            <v>UEH</v>
          </cell>
          <cell r="P3637" t="str">
            <v>UEH82041</v>
          </cell>
          <cell r="Q3637" t="str">
            <v>51091</v>
          </cell>
        </row>
        <row r="3638">
          <cell r="N3638" t="str">
            <v>82041</v>
          </cell>
          <cell r="O3638" t="str">
            <v>UEI</v>
          </cell>
          <cell r="P3638" t="str">
            <v>UEI82041</v>
          </cell>
          <cell r="Q3638" t="str">
            <v>51091</v>
          </cell>
        </row>
        <row r="3639">
          <cell r="N3639" t="str">
            <v>82041</v>
          </cell>
          <cell r="O3639" t="str">
            <v>UEJ</v>
          </cell>
          <cell r="P3639" t="str">
            <v>UEJ82041</v>
          </cell>
          <cell r="Q3639" t="str">
            <v>51091</v>
          </cell>
        </row>
        <row r="3640">
          <cell r="N3640" t="str">
            <v>82041</v>
          </cell>
          <cell r="O3640" t="str">
            <v>UOF</v>
          </cell>
          <cell r="P3640" t="str">
            <v>UOF82041</v>
          </cell>
          <cell r="Q3640" t="str">
            <v>51091</v>
          </cell>
        </row>
        <row r="3641">
          <cell r="N3641" t="str">
            <v>82041</v>
          </cell>
          <cell r="O3641" t="str">
            <v>UP7</v>
          </cell>
          <cell r="P3641" t="str">
            <v>UP782041</v>
          </cell>
          <cell r="Q3641" t="str">
            <v>51091</v>
          </cell>
        </row>
        <row r="3642">
          <cell r="N3642" t="str">
            <v>82041</v>
          </cell>
          <cell r="O3642" t="str">
            <v>U52</v>
          </cell>
          <cell r="P3642" t="str">
            <v>U5282041</v>
          </cell>
          <cell r="Q3642" t="str">
            <v>51091</v>
          </cell>
        </row>
        <row r="3643">
          <cell r="N3643" t="str">
            <v>82041</v>
          </cell>
          <cell r="O3643" t="str">
            <v>U53</v>
          </cell>
          <cell r="P3643" t="str">
            <v>U5382041</v>
          </cell>
          <cell r="Q3643" t="str">
            <v>51091</v>
          </cell>
        </row>
        <row r="3644">
          <cell r="N3644" t="str">
            <v>82041</v>
          </cell>
          <cell r="O3644" t="str">
            <v>U54</v>
          </cell>
          <cell r="P3644" t="str">
            <v>U5482041</v>
          </cell>
          <cell r="Q3644" t="str">
            <v>51091</v>
          </cell>
        </row>
        <row r="3645">
          <cell r="N3645" t="str">
            <v>82041</v>
          </cell>
          <cell r="O3645" t="str">
            <v>064</v>
          </cell>
          <cell r="P3645" t="str">
            <v>06482041</v>
          </cell>
          <cell r="Q3645" t="str">
            <v>51091</v>
          </cell>
        </row>
        <row r="3646">
          <cell r="N3646" t="str">
            <v>82041</v>
          </cell>
          <cell r="O3646" t="str">
            <v>216</v>
          </cell>
          <cell r="P3646" t="str">
            <v>21682041</v>
          </cell>
          <cell r="Q3646" t="str">
            <v>51091</v>
          </cell>
        </row>
        <row r="3647">
          <cell r="N3647" t="str">
            <v>89340</v>
          </cell>
          <cell r="O3647" t="str">
            <v/>
          </cell>
          <cell r="P3647" t="str">
            <v/>
          </cell>
          <cell r="Q3647" t="str">
            <v>431110</v>
          </cell>
        </row>
        <row r="3648">
          <cell r="N3648" t="str">
            <v>89340</v>
          </cell>
          <cell r="O3648" t="str">
            <v>UEC</v>
          </cell>
          <cell r="P3648" t="str">
            <v>UEC89340</v>
          </cell>
          <cell r="Q3648" t="str">
            <v>431110</v>
          </cell>
        </row>
        <row r="3649">
          <cell r="N3649" t="str">
            <v>89340</v>
          </cell>
          <cell r="O3649" t="str">
            <v>UOF</v>
          </cell>
          <cell r="P3649" t="str">
            <v>UOF89340</v>
          </cell>
          <cell r="Q3649" t="str">
            <v>431110</v>
          </cell>
        </row>
        <row r="3650">
          <cell r="N3650" t="str">
            <v>89340</v>
          </cell>
          <cell r="O3650" t="str">
            <v>U1X</v>
          </cell>
          <cell r="P3650" t="str">
            <v>U1X89340</v>
          </cell>
          <cell r="Q3650" t="str">
            <v>431110</v>
          </cell>
        </row>
        <row r="3651">
          <cell r="N3651" t="str">
            <v>89341</v>
          </cell>
          <cell r="O3651" t="str">
            <v/>
          </cell>
          <cell r="P3651" t="str">
            <v/>
          </cell>
          <cell r="Q3651" t="str">
            <v>431110</v>
          </cell>
        </row>
        <row r="3652">
          <cell r="N3652" t="str">
            <v>89341</v>
          </cell>
          <cell r="O3652" t="str">
            <v>UED</v>
          </cell>
          <cell r="P3652" t="str">
            <v>UED89341</v>
          </cell>
          <cell r="Q3652" t="str">
            <v>431110</v>
          </cell>
        </row>
        <row r="3653">
          <cell r="N3653" t="str">
            <v>89343</v>
          </cell>
          <cell r="O3653" t="str">
            <v/>
          </cell>
          <cell r="P3653" t="str">
            <v/>
          </cell>
          <cell r="Q3653" t="str">
            <v>431110</v>
          </cell>
        </row>
        <row r="3654">
          <cell r="N3654" t="str">
            <v>89343</v>
          </cell>
          <cell r="O3654" t="str">
            <v>UEA</v>
          </cell>
          <cell r="P3654" t="str">
            <v>UEA89343</v>
          </cell>
          <cell r="Q3654" t="str">
            <v>431110</v>
          </cell>
        </row>
        <row r="3655">
          <cell r="N3655" t="str">
            <v>89343</v>
          </cell>
          <cell r="O3655" t="str">
            <v>UEB</v>
          </cell>
          <cell r="P3655" t="str">
            <v>UEB89343</v>
          </cell>
          <cell r="Q3655" t="str">
            <v>431110</v>
          </cell>
        </row>
        <row r="3656">
          <cell r="N3656" t="str">
            <v/>
          </cell>
          <cell r="O3656" t="str">
            <v/>
          </cell>
          <cell r="P3656" t="str">
            <v/>
          </cell>
          <cell r="Q3656" t="str">
            <v/>
          </cell>
        </row>
        <row r="3657">
          <cell r="N3657" t="str">
            <v>82040</v>
          </cell>
          <cell r="O3657" t="str">
            <v/>
          </cell>
          <cell r="P3657" t="str">
            <v/>
          </cell>
          <cell r="Q3657" t="str">
            <v>51091</v>
          </cell>
        </row>
        <row r="3658">
          <cell r="N3658" t="str">
            <v>82040</v>
          </cell>
          <cell r="O3658" t="str">
            <v>UOF</v>
          </cell>
          <cell r="P3658" t="str">
            <v>UOF82040</v>
          </cell>
          <cell r="Q3658" t="str">
            <v>51091</v>
          </cell>
        </row>
        <row r="3659">
          <cell r="N3659" t="str">
            <v>89340</v>
          </cell>
          <cell r="O3659" t="str">
            <v/>
          </cell>
          <cell r="P3659" t="str">
            <v/>
          </cell>
          <cell r="Q3659" t="str">
            <v>431110</v>
          </cell>
        </row>
        <row r="3660">
          <cell r="N3660" t="str">
            <v>89340</v>
          </cell>
          <cell r="O3660" t="str">
            <v>UOG</v>
          </cell>
          <cell r="P3660" t="str">
            <v>UOG89340</v>
          </cell>
          <cell r="Q3660" t="str">
            <v>431110</v>
          </cell>
        </row>
        <row r="3661">
          <cell r="N3661" t="str">
            <v>89341</v>
          </cell>
          <cell r="O3661" t="str">
            <v/>
          </cell>
          <cell r="P3661" t="str">
            <v/>
          </cell>
          <cell r="Q3661" t="str">
            <v>431110</v>
          </cell>
        </row>
        <row r="3662">
          <cell r="N3662" t="str">
            <v>89341</v>
          </cell>
          <cell r="O3662" t="str">
            <v>UOH</v>
          </cell>
          <cell r="P3662" t="str">
            <v>UOH89341</v>
          </cell>
          <cell r="Q3662" t="str">
            <v>431110</v>
          </cell>
        </row>
        <row r="3663">
          <cell r="N3663" t="str">
            <v>89343</v>
          </cell>
          <cell r="O3663" t="str">
            <v/>
          </cell>
          <cell r="P3663" t="str">
            <v/>
          </cell>
          <cell r="Q3663" t="str">
            <v>431110</v>
          </cell>
        </row>
        <row r="3664">
          <cell r="N3664" t="str">
            <v>89343</v>
          </cell>
          <cell r="O3664" t="str">
            <v>UOI</v>
          </cell>
          <cell r="P3664" t="str">
            <v>UOI89343</v>
          </cell>
          <cell r="Q3664" t="str">
            <v>431110</v>
          </cell>
        </row>
        <row r="3665">
          <cell r="N3665" t="str">
            <v>8990</v>
          </cell>
          <cell r="O3665" t="str">
            <v/>
          </cell>
          <cell r="P3665" t="str">
            <v/>
          </cell>
          <cell r="Q3665" t="str">
            <v>55088091</v>
          </cell>
        </row>
        <row r="3666">
          <cell r="N3666" t="str">
            <v>8990</v>
          </cell>
          <cell r="O3666" t="str">
            <v>UOF</v>
          </cell>
          <cell r="P3666" t="str">
            <v>UOF8990</v>
          </cell>
          <cell r="Q3666" t="str">
            <v>55088091</v>
          </cell>
        </row>
        <row r="3667">
          <cell r="N3667" t="str">
            <v/>
          </cell>
          <cell r="O3667" t="str">
            <v/>
          </cell>
          <cell r="P3667" t="str">
            <v/>
          </cell>
          <cell r="Q3667" t="str">
            <v/>
          </cell>
        </row>
        <row r="3668">
          <cell r="N3668" t="str">
            <v/>
          </cell>
          <cell r="O3668" t="str">
            <v/>
          </cell>
          <cell r="P3668" t="str">
            <v/>
          </cell>
          <cell r="Q3668" t="str">
            <v/>
          </cell>
        </row>
        <row r="3669">
          <cell r="N3669" t="str">
            <v/>
          </cell>
          <cell r="O3669" t="str">
            <v/>
          </cell>
          <cell r="P3669" t="str">
            <v/>
          </cell>
          <cell r="Q3669" t="str">
            <v/>
          </cell>
        </row>
        <row r="3670">
          <cell r="N3670" t="str">
            <v>5499603</v>
          </cell>
          <cell r="O3670" t="str">
            <v/>
          </cell>
          <cell r="P3670" t="str">
            <v/>
          </cell>
          <cell r="Q3670" t="str">
            <v>29929</v>
          </cell>
        </row>
        <row r="3671">
          <cell r="N3671" t="str">
            <v>5499603</v>
          </cell>
          <cell r="O3671" t="str">
            <v>!JM</v>
          </cell>
          <cell r="P3671" t="str">
            <v>!JM5499603</v>
          </cell>
          <cell r="Q3671" t="str">
            <v>29929</v>
          </cell>
        </row>
        <row r="3672">
          <cell r="N3672" t="str">
            <v>5499607</v>
          </cell>
          <cell r="O3672" t="str">
            <v/>
          </cell>
          <cell r="P3672" t="str">
            <v/>
          </cell>
          <cell r="Q3672" t="str">
            <v>29929</v>
          </cell>
        </row>
        <row r="3673">
          <cell r="N3673" t="str">
            <v>5499607</v>
          </cell>
          <cell r="O3673" t="str">
            <v>!JI</v>
          </cell>
          <cell r="P3673" t="str">
            <v>!JI5499607</v>
          </cell>
          <cell r="Q3673" t="str">
            <v>29929</v>
          </cell>
        </row>
        <row r="3674">
          <cell r="N3674" t="str">
            <v>5499607</v>
          </cell>
          <cell r="O3674" t="str">
            <v>!JM</v>
          </cell>
          <cell r="P3674" t="str">
            <v>!JM5499607</v>
          </cell>
          <cell r="Q3674" t="str">
            <v>29929</v>
          </cell>
        </row>
        <row r="3675">
          <cell r="N3675" t="str">
            <v>5499608</v>
          </cell>
          <cell r="O3675" t="str">
            <v/>
          </cell>
          <cell r="P3675" t="str">
            <v/>
          </cell>
          <cell r="Q3675" t="str">
            <v>29929</v>
          </cell>
        </row>
        <row r="3676">
          <cell r="N3676" t="str">
            <v>5499608</v>
          </cell>
          <cell r="O3676" t="str">
            <v>!JM</v>
          </cell>
          <cell r="P3676" t="str">
            <v>!JM5499608</v>
          </cell>
          <cell r="Q3676" t="str">
            <v>29929</v>
          </cell>
        </row>
        <row r="3677">
          <cell r="N3677" t="str">
            <v>5499609</v>
          </cell>
          <cell r="O3677" t="str">
            <v/>
          </cell>
          <cell r="P3677" t="str">
            <v/>
          </cell>
          <cell r="Q3677" t="str">
            <v>29929</v>
          </cell>
        </row>
        <row r="3678">
          <cell r="N3678" t="str">
            <v>5499609</v>
          </cell>
          <cell r="O3678" t="str">
            <v>!JM</v>
          </cell>
          <cell r="P3678" t="str">
            <v>!JM5499609</v>
          </cell>
          <cell r="Q3678" t="str">
            <v>29929</v>
          </cell>
        </row>
        <row r="3679">
          <cell r="N3679" t="str">
            <v/>
          </cell>
          <cell r="O3679" t="str">
            <v/>
          </cell>
          <cell r="P3679" t="str">
            <v/>
          </cell>
          <cell r="Q3679" t="str">
            <v/>
          </cell>
        </row>
        <row r="3680">
          <cell r="N3680" t="str">
            <v>82001</v>
          </cell>
          <cell r="O3680" t="str">
            <v/>
          </cell>
          <cell r="P3680" t="str">
            <v/>
          </cell>
          <cell r="Q3680" t="str">
            <v>51090</v>
          </cell>
        </row>
        <row r="3681">
          <cell r="N3681" t="str">
            <v>82001</v>
          </cell>
          <cell r="O3681" t="str">
            <v>!A3</v>
          </cell>
          <cell r="P3681" t="str">
            <v>!A382001</v>
          </cell>
          <cell r="Q3681" t="str">
            <v>51090</v>
          </cell>
        </row>
        <row r="3682">
          <cell r="N3682" t="str">
            <v>82001</v>
          </cell>
          <cell r="O3682" t="str">
            <v>!64</v>
          </cell>
          <cell r="P3682" t="str">
            <v>!6482001</v>
          </cell>
          <cell r="Q3682" t="str">
            <v>51090</v>
          </cell>
        </row>
        <row r="3683">
          <cell r="N3683" t="str">
            <v>82001</v>
          </cell>
          <cell r="O3683" t="str">
            <v>673</v>
          </cell>
          <cell r="P3683" t="str">
            <v>67382001</v>
          </cell>
          <cell r="Q3683" t="str">
            <v>51090</v>
          </cell>
        </row>
        <row r="3684">
          <cell r="N3684" t="str">
            <v>82003</v>
          </cell>
          <cell r="O3684" t="str">
            <v/>
          </cell>
          <cell r="P3684" t="str">
            <v/>
          </cell>
          <cell r="Q3684" t="str">
            <v>5100</v>
          </cell>
        </row>
        <row r="3685">
          <cell r="N3685" t="str">
            <v>82003</v>
          </cell>
          <cell r="O3685" t="str">
            <v>!A3</v>
          </cell>
          <cell r="P3685" t="str">
            <v>!A382003</v>
          </cell>
          <cell r="Q3685" t="str">
            <v>5100</v>
          </cell>
        </row>
        <row r="3686">
          <cell r="N3686" t="str">
            <v>82004</v>
          </cell>
          <cell r="O3686" t="str">
            <v/>
          </cell>
          <cell r="P3686" t="str">
            <v/>
          </cell>
          <cell r="Q3686" t="str">
            <v>51090</v>
          </cell>
        </row>
        <row r="3687">
          <cell r="N3687" t="str">
            <v>82004</v>
          </cell>
          <cell r="O3687" t="str">
            <v>!A3</v>
          </cell>
          <cell r="P3687" t="str">
            <v>!A382004</v>
          </cell>
          <cell r="Q3687" t="str">
            <v>51090</v>
          </cell>
        </row>
        <row r="3688">
          <cell r="N3688" t="str">
            <v>82007</v>
          </cell>
          <cell r="O3688" t="str">
            <v/>
          </cell>
          <cell r="P3688" t="str">
            <v/>
          </cell>
          <cell r="Q3688" t="str">
            <v>5100</v>
          </cell>
        </row>
        <row r="3689">
          <cell r="N3689" t="str">
            <v>82007</v>
          </cell>
          <cell r="O3689" t="str">
            <v>!A3</v>
          </cell>
          <cell r="P3689" t="str">
            <v>!A382007</v>
          </cell>
          <cell r="Q3689" t="str">
            <v>5100</v>
          </cell>
        </row>
        <row r="3690">
          <cell r="N3690" t="str">
            <v>82007</v>
          </cell>
          <cell r="O3690" t="str">
            <v>!O6</v>
          </cell>
          <cell r="P3690" t="str">
            <v>!O682007</v>
          </cell>
          <cell r="Q3690" t="str">
            <v>5100</v>
          </cell>
        </row>
        <row r="3691">
          <cell r="N3691" t="str">
            <v>82007</v>
          </cell>
          <cell r="O3691" t="str">
            <v>!65</v>
          </cell>
          <cell r="P3691" t="str">
            <v>!6582007</v>
          </cell>
          <cell r="Q3691" t="str">
            <v>5100</v>
          </cell>
        </row>
        <row r="3692">
          <cell r="N3692" t="str">
            <v/>
          </cell>
          <cell r="O3692" t="str">
            <v/>
          </cell>
          <cell r="P3692" t="str">
            <v/>
          </cell>
          <cell r="Q3692" t="str">
            <v/>
          </cell>
        </row>
        <row r="3693">
          <cell r="N3693" t="str">
            <v>7100</v>
          </cell>
          <cell r="O3693" t="str">
            <v/>
          </cell>
          <cell r="P3693" t="str">
            <v/>
          </cell>
          <cell r="Q3693" t="str">
            <v>41100</v>
          </cell>
        </row>
        <row r="3694">
          <cell r="N3694" t="str">
            <v>7100</v>
          </cell>
          <cell r="O3694" t="str">
            <v>OGX</v>
          </cell>
          <cell r="P3694" t="str">
            <v>OGX7100</v>
          </cell>
          <cell r="Q3694" t="str">
            <v>41100</v>
          </cell>
        </row>
        <row r="3695">
          <cell r="N3695" t="str">
            <v>82000</v>
          </cell>
          <cell r="O3695" t="str">
            <v/>
          </cell>
          <cell r="P3695" t="str">
            <v/>
          </cell>
          <cell r="Q3695" t="str">
            <v>5100</v>
          </cell>
        </row>
        <row r="3696">
          <cell r="N3696" t="str">
            <v>82000</v>
          </cell>
          <cell r="O3696" t="str">
            <v>ODX</v>
          </cell>
          <cell r="P3696" t="str">
            <v>ODX82000</v>
          </cell>
          <cell r="Q3696" t="str">
            <v>5100</v>
          </cell>
        </row>
        <row r="3697">
          <cell r="N3697" t="str">
            <v>82001</v>
          </cell>
          <cell r="O3697" t="str">
            <v/>
          </cell>
          <cell r="P3697" t="str">
            <v/>
          </cell>
          <cell r="Q3697" t="str">
            <v>51090</v>
          </cell>
        </row>
        <row r="3698">
          <cell r="N3698" t="str">
            <v>82001</v>
          </cell>
          <cell r="O3698" t="str">
            <v>CRR</v>
          </cell>
          <cell r="P3698" t="str">
            <v>CRR82001</v>
          </cell>
          <cell r="Q3698" t="str">
            <v>51090</v>
          </cell>
        </row>
        <row r="3699">
          <cell r="N3699" t="str">
            <v>82001</v>
          </cell>
          <cell r="O3699" t="str">
            <v>GA1</v>
          </cell>
          <cell r="P3699" t="str">
            <v>GA182001</v>
          </cell>
          <cell r="Q3699" t="str">
            <v>51090</v>
          </cell>
        </row>
        <row r="3700">
          <cell r="N3700" t="str">
            <v>82001</v>
          </cell>
          <cell r="O3700" t="str">
            <v>L01</v>
          </cell>
          <cell r="P3700" t="str">
            <v>L0182001</v>
          </cell>
          <cell r="Q3700" t="str">
            <v>51090</v>
          </cell>
        </row>
        <row r="3701">
          <cell r="N3701" t="str">
            <v>82001</v>
          </cell>
          <cell r="O3701" t="str">
            <v>!MF</v>
          </cell>
          <cell r="P3701" t="str">
            <v>!MF82001</v>
          </cell>
          <cell r="Q3701" t="str">
            <v>51090</v>
          </cell>
        </row>
        <row r="3702">
          <cell r="N3702" t="str">
            <v>82001</v>
          </cell>
          <cell r="O3702" t="str">
            <v>!OA</v>
          </cell>
          <cell r="P3702" t="str">
            <v>!OA82001</v>
          </cell>
          <cell r="Q3702" t="str">
            <v>51090</v>
          </cell>
        </row>
        <row r="3703">
          <cell r="N3703" t="str">
            <v>82001</v>
          </cell>
          <cell r="O3703" t="str">
            <v>!OB</v>
          </cell>
          <cell r="P3703" t="str">
            <v>!OB82001</v>
          </cell>
          <cell r="Q3703" t="str">
            <v>51090</v>
          </cell>
        </row>
        <row r="3704">
          <cell r="N3704" t="str">
            <v>82001</v>
          </cell>
          <cell r="O3704" t="str">
            <v>ODX</v>
          </cell>
          <cell r="P3704" t="str">
            <v>ODX82001</v>
          </cell>
          <cell r="Q3704" t="str">
            <v>51090</v>
          </cell>
        </row>
        <row r="3705">
          <cell r="N3705" t="str">
            <v>82001</v>
          </cell>
          <cell r="O3705" t="str">
            <v>OGX</v>
          </cell>
          <cell r="P3705" t="str">
            <v>OGX82001</v>
          </cell>
          <cell r="Q3705" t="str">
            <v>51090</v>
          </cell>
        </row>
        <row r="3706">
          <cell r="N3706" t="str">
            <v>82001</v>
          </cell>
          <cell r="O3706" t="str">
            <v>ONL</v>
          </cell>
          <cell r="P3706" t="str">
            <v>ONL82001</v>
          </cell>
          <cell r="Q3706" t="str">
            <v>51090</v>
          </cell>
        </row>
        <row r="3707">
          <cell r="N3707" t="str">
            <v>82001</v>
          </cell>
          <cell r="O3707" t="str">
            <v>!O6</v>
          </cell>
          <cell r="P3707" t="str">
            <v>!O682001</v>
          </cell>
          <cell r="Q3707" t="str">
            <v>51090</v>
          </cell>
        </row>
        <row r="3708">
          <cell r="N3708" t="str">
            <v>82001</v>
          </cell>
          <cell r="O3708" t="str">
            <v>REG</v>
          </cell>
          <cell r="P3708" t="str">
            <v>REG82001</v>
          </cell>
          <cell r="Q3708" t="str">
            <v>51090</v>
          </cell>
        </row>
        <row r="3709">
          <cell r="N3709" t="str">
            <v>82001</v>
          </cell>
          <cell r="O3709" t="str">
            <v>UIC</v>
          </cell>
          <cell r="P3709" t="str">
            <v>UIC82001</v>
          </cell>
          <cell r="Q3709" t="str">
            <v>51090</v>
          </cell>
        </row>
        <row r="3710">
          <cell r="N3710" t="str">
            <v>82001</v>
          </cell>
          <cell r="O3710" t="str">
            <v>UIE</v>
          </cell>
          <cell r="P3710" t="str">
            <v>UIE82001</v>
          </cell>
          <cell r="Q3710" t="str">
            <v>51090</v>
          </cell>
        </row>
        <row r="3711">
          <cell r="N3711" t="str">
            <v>82001</v>
          </cell>
          <cell r="O3711" t="str">
            <v>UJC</v>
          </cell>
          <cell r="P3711" t="str">
            <v>UJC82001</v>
          </cell>
          <cell r="Q3711" t="str">
            <v>51090</v>
          </cell>
        </row>
        <row r="3712">
          <cell r="N3712" t="str">
            <v>82001</v>
          </cell>
          <cell r="O3712" t="str">
            <v>UJE</v>
          </cell>
          <cell r="P3712" t="str">
            <v>UJE82001</v>
          </cell>
          <cell r="Q3712" t="str">
            <v>51090</v>
          </cell>
        </row>
        <row r="3713">
          <cell r="N3713" t="str">
            <v>82001</v>
          </cell>
          <cell r="O3713" t="str">
            <v>UP5</v>
          </cell>
          <cell r="P3713" t="str">
            <v>UP582001</v>
          </cell>
          <cell r="Q3713" t="str">
            <v>51090</v>
          </cell>
        </row>
        <row r="3714">
          <cell r="N3714" t="str">
            <v>82001</v>
          </cell>
          <cell r="O3714" t="str">
            <v>U00</v>
          </cell>
          <cell r="P3714" t="str">
            <v>U0082001</v>
          </cell>
          <cell r="Q3714" t="str">
            <v>51090</v>
          </cell>
        </row>
        <row r="3715">
          <cell r="N3715" t="str">
            <v>82001</v>
          </cell>
          <cell r="O3715" t="str">
            <v>U07</v>
          </cell>
          <cell r="P3715" t="str">
            <v>U0782001</v>
          </cell>
          <cell r="Q3715" t="str">
            <v>51090</v>
          </cell>
        </row>
        <row r="3716">
          <cell r="N3716" t="str">
            <v>82001</v>
          </cell>
          <cell r="O3716" t="str">
            <v>111</v>
          </cell>
          <cell r="P3716" t="str">
            <v>11182001</v>
          </cell>
          <cell r="Q3716" t="str">
            <v>51090</v>
          </cell>
        </row>
        <row r="3717">
          <cell r="N3717" t="str">
            <v>82001</v>
          </cell>
          <cell r="O3717" t="str">
            <v>196</v>
          </cell>
          <cell r="P3717" t="str">
            <v>19682001</v>
          </cell>
          <cell r="Q3717" t="str">
            <v>51090</v>
          </cell>
        </row>
        <row r="3718">
          <cell r="N3718" t="str">
            <v>82001</v>
          </cell>
          <cell r="O3718" t="str">
            <v>!65</v>
          </cell>
          <cell r="P3718" t="str">
            <v>!6582001</v>
          </cell>
          <cell r="Q3718" t="str">
            <v>51090</v>
          </cell>
        </row>
        <row r="3719">
          <cell r="N3719" t="str">
            <v>82003</v>
          </cell>
          <cell r="O3719" t="str">
            <v/>
          </cell>
          <cell r="P3719" t="str">
            <v/>
          </cell>
          <cell r="Q3719" t="str">
            <v>5100</v>
          </cell>
        </row>
        <row r="3720">
          <cell r="N3720" t="str">
            <v>82003</v>
          </cell>
          <cell r="O3720" t="str">
            <v>!OA</v>
          </cell>
          <cell r="P3720" t="str">
            <v>!OA82003</v>
          </cell>
          <cell r="Q3720" t="str">
            <v>5100</v>
          </cell>
        </row>
        <row r="3721">
          <cell r="N3721" t="str">
            <v>82003</v>
          </cell>
          <cell r="O3721" t="str">
            <v>!OB</v>
          </cell>
          <cell r="P3721" t="str">
            <v>!OB82003</v>
          </cell>
          <cell r="Q3721" t="str">
            <v>5100</v>
          </cell>
        </row>
        <row r="3722">
          <cell r="N3722" t="str">
            <v>82003</v>
          </cell>
          <cell r="O3722" t="str">
            <v>ODX</v>
          </cell>
          <cell r="P3722" t="str">
            <v>ODX82003</v>
          </cell>
          <cell r="Q3722" t="str">
            <v>5100</v>
          </cell>
        </row>
        <row r="3723">
          <cell r="N3723" t="str">
            <v>82003</v>
          </cell>
          <cell r="O3723" t="str">
            <v>!O6</v>
          </cell>
          <cell r="P3723" t="str">
            <v>!O682003</v>
          </cell>
          <cell r="Q3723" t="str">
            <v>5100</v>
          </cell>
        </row>
        <row r="3724">
          <cell r="N3724" t="str">
            <v>82003</v>
          </cell>
          <cell r="O3724" t="str">
            <v>111</v>
          </cell>
          <cell r="P3724" t="str">
            <v>11182003</v>
          </cell>
          <cell r="Q3724" t="str">
            <v>5100</v>
          </cell>
        </row>
        <row r="3725">
          <cell r="N3725" t="str">
            <v>82003</v>
          </cell>
          <cell r="O3725" t="str">
            <v>!65</v>
          </cell>
          <cell r="P3725" t="str">
            <v>!6582003</v>
          </cell>
          <cell r="Q3725" t="str">
            <v>5100</v>
          </cell>
        </row>
        <row r="3726">
          <cell r="N3726" t="str">
            <v>82004</v>
          </cell>
          <cell r="O3726" t="str">
            <v/>
          </cell>
          <cell r="P3726" t="str">
            <v/>
          </cell>
          <cell r="Q3726" t="str">
            <v>51090</v>
          </cell>
        </row>
        <row r="3727">
          <cell r="N3727" t="str">
            <v>82004</v>
          </cell>
          <cell r="O3727" t="str">
            <v>CRR</v>
          </cell>
          <cell r="P3727" t="str">
            <v>CRR82004</v>
          </cell>
          <cell r="Q3727" t="str">
            <v>51090</v>
          </cell>
        </row>
        <row r="3728">
          <cell r="N3728" t="str">
            <v>82004</v>
          </cell>
          <cell r="O3728" t="str">
            <v>!OB</v>
          </cell>
          <cell r="P3728" t="str">
            <v>!OB82004</v>
          </cell>
          <cell r="Q3728" t="str">
            <v>51090</v>
          </cell>
        </row>
        <row r="3729">
          <cell r="N3729" t="str">
            <v>82004</v>
          </cell>
          <cell r="O3729" t="str">
            <v>ODX</v>
          </cell>
          <cell r="P3729" t="str">
            <v>ODX82004</v>
          </cell>
          <cell r="Q3729" t="str">
            <v>51090</v>
          </cell>
        </row>
        <row r="3730">
          <cell r="N3730" t="str">
            <v>82004</v>
          </cell>
          <cell r="O3730" t="str">
            <v>ONL</v>
          </cell>
          <cell r="P3730" t="str">
            <v>ONL82004</v>
          </cell>
          <cell r="Q3730" t="str">
            <v>51090</v>
          </cell>
        </row>
        <row r="3731">
          <cell r="N3731" t="str">
            <v>82004</v>
          </cell>
          <cell r="O3731" t="str">
            <v>!O6</v>
          </cell>
          <cell r="P3731" t="str">
            <v>!O682004</v>
          </cell>
          <cell r="Q3731" t="str">
            <v>51090</v>
          </cell>
        </row>
        <row r="3732">
          <cell r="N3732" t="str">
            <v>82004</v>
          </cell>
          <cell r="O3732" t="str">
            <v>!65</v>
          </cell>
          <cell r="P3732" t="str">
            <v>!6582004</v>
          </cell>
          <cell r="Q3732" t="str">
            <v>51090</v>
          </cell>
        </row>
        <row r="3733">
          <cell r="N3733" t="str">
            <v>82007</v>
          </cell>
          <cell r="O3733" t="str">
            <v/>
          </cell>
          <cell r="P3733" t="str">
            <v/>
          </cell>
          <cell r="Q3733" t="str">
            <v>5100</v>
          </cell>
        </row>
        <row r="3734">
          <cell r="N3734" t="str">
            <v>82007</v>
          </cell>
          <cell r="O3734" t="str">
            <v>!OA</v>
          </cell>
          <cell r="P3734" t="str">
            <v>!OA82007</v>
          </cell>
          <cell r="Q3734" t="str">
            <v>5100</v>
          </cell>
        </row>
        <row r="3735">
          <cell r="N3735" t="str">
            <v>82007</v>
          </cell>
          <cell r="O3735" t="str">
            <v>!OB</v>
          </cell>
          <cell r="P3735" t="str">
            <v>!OB82007</v>
          </cell>
          <cell r="Q3735" t="str">
            <v>5100</v>
          </cell>
        </row>
        <row r="3736">
          <cell r="N3736" t="str">
            <v>82007</v>
          </cell>
          <cell r="O3736" t="str">
            <v>ODX</v>
          </cell>
          <cell r="P3736" t="str">
            <v>ODX82007</v>
          </cell>
          <cell r="Q3736" t="str">
            <v>5100</v>
          </cell>
        </row>
        <row r="3737">
          <cell r="N3737" t="str">
            <v>82999</v>
          </cell>
          <cell r="O3737" t="str">
            <v/>
          </cell>
          <cell r="P3737" t="str">
            <v/>
          </cell>
          <cell r="Q3737" t="str">
            <v>51999</v>
          </cell>
        </row>
        <row r="3738">
          <cell r="N3738" t="str">
            <v>82999</v>
          </cell>
          <cell r="O3738" t="str">
            <v>OGX</v>
          </cell>
          <cell r="P3738" t="str">
            <v>OGX82999</v>
          </cell>
          <cell r="Q3738" t="str">
            <v>51999</v>
          </cell>
        </row>
        <row r="3739">
          <cell r="N3739" t="str">
            <v>89340</v>
          </cell>
          <cell r="O3739" t="str">
            <v/>
          </cell>
          <cell r="P3739" t="str">
            <v/>
          </cell>
          <cell r="Q3739" t="str">
            <v>431110</v>
          </cell>
        </row>
        <row r="3740">
          <cell r="N3740" t="str">
            <v>89340</v>
          </cell>
          <cell r="O3740" t="str">
            <v>!ON</v>
          </cell>
          <cell r="P3740" t="str">
            <v>!ON89340</v>
          </cell>
          <cell r="Q3740" t="str">
            <v>431110</v>
          </cell>
        </row>
        <row r="3741">
          <cell r="N3741" t="str">
            <v>89340</v>
          </cell>
          <cell r="O3741" t="str">
            <v>UIH</v>
          </cell>
          <cell r="P3741" t="str">
            <v>UIH89340</v>
          </cell>
          <cell r="Q3741" t="str">
            <v>431110</v>
          </cell>
        </row>
        <row r="3742">
          <cell r="N3742" t="str">
            <v>89340</v>
          </cell>
          <cell r="O3742" t="str">
            <v>UJH</v>
          </cell>
          <cell r="P3742" t="str">
            <v>UJH89340</v>
          </cell>
          <cell r="Q3742" t="str">
            <v>431110</v>
          </cell>
        </row>
        <row r="3743">
          <cell r="N3743" t="str">
            <v>89340</v>
          </cell>
          <cell r="O3743" t="str">
            <v>U09</v>
          </cell>
          <cell r="P3743" t="str">
            <v>U0989340</v>
          </cell>
          <cell r="Q3743" t="str">
            <v>431110</v>
          </cell>
        </row>
        <row r="3744">
          <cell r="N3744" t="str">
            <v>89344</v>
          </cell>
          <cell r="O3744" t="str">
            <v/>
          </cell>
          <cell r="P3744" t="str">
            <v/>
          </cell>
          <cell r="Q3744" t="str">
            <v>431110</v>
          </cell>
        </row>
        <row r="3745">
          <cell r="N3745" t="str">
            <v>89344</v>
          </cell>
          <cell r="O3745" t="str">
            <v>!GK</v>
          </cell>
          <cell r="P3745" t="str">
            <v>!GK89344</v>
          </cell>
          <cell r="Q3745" t="str">
            <v>431110</v>
          </cell>
        </row>
        <row r="3746">
          <cell r="N3746" t="str">
            <v>89354</v>
          </cell>
          <cell r="O3746" t="str">
            <v/>
          </cell>
          <cell r="P3746" t="str">
            <v/>
          </cell>
          <cell r="Q3746" t="str">
            <v>4311811</v>
          </cell>
        </row>
        <row r="3747">
          <cell r="N3747" t="str">
            <v>89354</v>
          </cell>
          <cell r="O3747" t="str">
            <v>ODX</v>
          </cell>
          <cell r="P3747" t="str">
            <v>ODX89354</v>
          </cell>
          <cell r="Q3747" t="str">
            <v>4311811</v>
          </cell>
        </row>
        <row r="3748">
          <cell r="N3748" t="str">
            <v/>
          </cell>
          <cell r="O3748" t="str">
            <v/>
          </cell>
          <cell r="P3748" t="str">
            <v/>
          </cell>
          <cell r="Q3748" t="str">
            <v/>
          </cell>
        </row>
        <row r="3749">
          <cell r="N3749" t="str">
            <v/>
          </cell>
          <cell r="O3749" t="str">
            <v/>
          </cell>
          <cell r="P3749" t="str">
            <v/>
          </cell>
          <cell r="Q3749" t="str">
            <v/>
          </cell>
        </row>
        <row r="3750">
          <cell r="N3750" t="str">
            <v>7799</v>
          </cell>
          <cell r="O3750" t="str">
            <v/>
          </cell>
          <cell r="P3750" t="str">
            <v/>
          </cell>
          <cell r="Q3750" t="str">
            <v/>
          </cell>
        </row>
        <row r="3751">
          <cell r="N3751" t="str">
            <v>7799</v>
          </cell>
          <cell r="O3751" t="str">
            <v>76U</v>
          </cell>
          <cell r="P3751" t="str">
            <v>76U7799</v>
          </cell>
          <cell r="Q3751" t="str">
            <v/>
          </cell>
        </row>
        <row r="3752">
          <cell r="N3752" t="str">
            <v>7799</v>
          </cell>
          <cell r="O3752" t="str">
            <v>76V</v>
          </cell>
          <cell r="P3752" t="str">
            <v>76V7799</v>
          </cell>
          <cell r="Q3752" t="str">
            <v/>
          </cell>
        </row>
        <row r="3753">
          <cell r="N3753" t="str">
            <v>7799</v>
          </cell>
          <cell r="O3753" t="str">
            <v>86V</v>
          </cell>
          <cell r="P3753" t="str">
            <v>86V7799</v>
          </cell>
          <cell r="Q3753" t="str">
            <v/>
          </cell>
        </row>
        <row r="3754">
          <cell r="N3754" t="str">
            <v>77990</v>
          </cell>
          <cell r="O3754" t="str">
            <v/>
          </cell>
          <cell r="P3754" t="str">
            <v/>
          </cell>
          <cell r="Q3754" t="str">
            <v/>
          </cell>
        </row>
        <row r="3755">
          <cell r="N3755" t="str">
            <v>77990</v>
          </cell>
          <cell r="O3755" t="str">
            <v>76U</v>
          </cell>
          <cell r="P3755" t="str">
            <v>76U77990</v>
          </cell>
          <cell r="Q3755" t="str">
            <v/>
          </cell>
        </row>
        <row r="3756">
          <cell r="N3756" t="str">
            <v>77990</v>
          </cell>
          <cell r="O3756" t="str">
            <v>76V</v>
          </cell>
          <cell r="P3756" t="str">
            <v>76V77990</v>
          </cell>
          <cell r="Q3756" t="str">
            <v/>
          </cell>
        </row>
        <row r="3757">
          <cell r="N3757" t="str">
            <v>77990</v>
          </cell>
          <cell r="O3757" t="str">
            <v>86V</v>
          </cell>
          <cell r="P3757" t="str">
            <v>86V77990</v>
          </cell>
          <cell r="Q3757" t="str">
            <v/>
          </cell>
        </row>
        <row r="3758">
          <cell r="N3758" t="str">
            <v>779900</v>
          </cell>
          <cell r="O3758" t="str">
            <v/>
          </cell>
          <cell r="P3758" t="str">
            <v/>
          </cell>
          <cell r="Q3758" t="str">
            <v>450880910</v>
          </cell>
        </row>
        <row r="3759">
          <cell r="N3759" t="str">
            <v>779900</v>
          </cell>
          <cell r="O3759" t="str">
            <v>76U</v>
          </cell>
          <cell r="P3759" t="str">
            <v>76U779900</v>
          </cell>
          <cell r="Q3759" t="str">
            <v>450880910</v>
          </cell>
        </row>
        <row r="3760">
          <cell r="N3760" t="str">
            <v>779900</v>
          </cell>
          <cell r="O3760" t="str">
            <v>76V</v>
          </cell>
          <cell r="P3760" t="str">
            <v>76V779900</v>
          </cell>
          <cell r="Q3760" t="str">
            <v>450880910</v>
          </cell>
        </row>
        <row r="3761">
          <cell r="N3761" t="str">
            <v>779900</v>
          </cell>
          <cell r="O3761" t="str">
            <v>86V</v>
          </cell>
          <cell r="P3761" t="str">
            <v>86V779900</v>
          </cell>
          <cell r="Q3761" t="str">
            <v>450880910</v>
          </cell>
        </row>
        <row r="3762">
          <cell r="N3762" t="str">
            <v>82810</v>
          </cell>
          <cell r="O3762" t="str">
            <v/>
          </cell>
          <cell r="P3762" t="str">
            <v/>
          </cell>
          <cell r="Q3762" t="str">
            <v>5148</v>
          </cell>
        </row>
        <row r="3763">
          <cell r="N3763" t="str">
            <v>82810</v>
          </cell>
          <cell r="O3763" t="str">
            <v>B33</v>
          </cell>
          <cell r="P3763" t="str">
            <v>B3382810</v>
          </cell>
          <cell r="Q3763" t="str">
            <v>5148</v>
          </cell>
        </row>
        <row r="3764">
          <cell r="N3764" t="str">
            <v>82810</v>
          </cell>
          <cell r="O3764" t="str">
            <v>B34</v>
          </cell>
          <cell r="P3764" t="str">
            <v>B3482810</v>
          </cell>
          <cell r="Q3764" t="str">
            <v>5148</v>
          </cell>
        </row>
        <row r="3765">
          <cell r="N3765" t="str">
            <v>82810</v>
          </cell>
          <cell r="O3765" t="str">
            <v>!MF</v>
          </cell>
          <cell r="P3765" t="str">
            <v>!MF82810</v>
          </cell>
          <cell r="Q3765" t="str">
            <v>5148</v>
          </cell>
        </row>
        <row r="3766">
          <cell r="N3766" t="str">
            <v>82810</v>
          </cell>
          <cell r="O3766" t="str">
            <v>ONL</v>
          </cell>
          <cell r="P3766" t="str">
            <v>ONL82810</v>
          </cell>
          <cell r="Q3766" t="str">
            <v>5148</v>
          </cell>
        </row>
        <row r="3767">
          <cell r="N3767" t="str">
            <v>82810</v>
          </cell>
          <cell r="O3767" t="str">
            <v>REG</v>
          </cell>
          <cell r="P3767" t="str">
            <v>REG82810</v>
          </cell>
          <cell r="Q3767" t="str">
            <v>5148</v>
          </cell>
        </row>
        <row r="3768">
          <cell r="N3768" t="str">
            <v>82810</v>
          </cell>
          <cell r="O3768" t="str">
            <v>UPV</v>
          </cell>
          <cell r="P3768" t="str">
            <v>UPV82810</v>
          </cell>
          <cell r="Q3768" t="str">
            <v>5148</v>
          </cell>
        </row>
        <row r="3769">
          <cell r="N3769" t="str">
            <v>82810</v>
          </cell>
          <cell r="O3769" t="str">
            <v>075</v>
          </cell>
          <cell r="P3769" t="str">
            <v>07582810</v>
          </cell>
          <cell r="Q3769" t="str">
            <v>5148</v>
          </cell>
        </row>
        <row r="3770">
          <cell r="N3770" t="str">
            <v>82810</v>
          </cell>
          <cell r="O3770" t="str">
            <v>111</v>
          </cell>
          <cell r="P3770" t="str">
            <v>11182810</v>
          </cell>
          <cell r="Q3770" t="str">
            <v>5148</v>
          </cell>
        </row>
        <row r="3771">
          <cell r="N3771" t="str">
            <v>82810</v>
          </cell>
          <cell r="O3771" t="str">
            <v>302</v>
          </cell>
          <cell r="P3771" t="str">
            <v>30282810</v>
          </cell>
          <cell r="Q3771" t="str">
            <v>5148</v>
          </cell>
        </row>
        <row r="3772">
          <cell r="N3772" t="str">
            <v>82810</v>
          </cell>
          <cell r="O3772" t="str">
            <v>62B</v>
          </cell>
          <cell r="P3772" t="str">
            <v>62B82810</v>
          </cell>
          <cell r="Q3772" t="str">
            <v>5148</v>
          </cell>
        </row>
        <row r="3773">
          <cell r="N3773" t="str">
            <v>82810</v>
          </cell>
          <cell r="O3773" t="str">
            <v>62J</v>
          </cell>
          <cell r="P3773" t="str">
            <v>62J82810</v>
          </cell>
          <cell r="Q3773" t="str">
            <v>5148</v>
          </cell>
        </row>
        <row r="3774">
          <cell r="N3774" t="str">
            <v>82810</v>
          </cell>
          <cell r="O3774" t="str">
            <v>63B</v>
          </cell>
          <cell r="P3774" t="str">
            <v>63B82810</v>
          </cell>
          <cell r="Q3774" t="str">
            <v>5148</v>
          </cell>
        </row>
        <row r="3775">
          <cell r="N3775" t="str">
            <v>82810</v>
          </cell>
          <cell r="O3775" t="str">
            <v>63J</v>
          </cell>
          <cell r="P3775" t="str">
            <v>63J82810</v>
          </cell>
          <cell r="Q3775" t="str">
            <v>5148</v>
          </cell>
        </row>
        <row r="3776">
          <cell r="N3776" t="str">
            <v>82810</v>
          </cell>
          <cell r="O3776" t="str">
            <v>!66</v>
          </cell>
          <cell r="P3776" t="str">
            <v>!6682810</v>
          </cell>
          <cell r="Q3776" t="str">
            <v>5148</v>
          </cell>
        </row>
        <row r="3777">
          <cell r="N3777" t="str">
            <v>8999</v>
          </cell>
          <cell r="O3777" t="str">
            <v/>
          </cell>
          <cell r="P3777" t="str">
            <v/>
          </cell>
          <cell r="Q3777" t="str">
            <v/>
          </cell>
        </row>
        <row r="3778">
          <cell r="N3778" t="str">
            <v>8999</v>
          </cell>
          <cell r="O3778" t="str">
            <v>86U</v>
          </cell>
          <cell r="P3778" t="str">
            <v>86U8999</v>
          </cell>
          <cell r="Q3778" t="str">
            <v/>
          </cell>
        </row>
        <row r="3779">
          <cell r="N3779" t="str">
            <v>89990</v>
          </cell>
          <cell r="O3779" t="str">
            <v/>
          </cell>
          <cell r="P3779" t="str">
            <v/>
          </cell>
          <cell r="Q3779" t="str">
            <v>55088091</v>
          </cell>
        </row>
        <row r="3780">
          <cell r="N3780" t="str">
            <v>89990</v>
          </cell>
          <cell r="O3780" t="str">
            <v>86U</v>
          </cell>
          <cell r="P3780" t="str">
            <v>86U89990</v>
          </cell>
          <cell r="Q3780" t="str">
            <v>55088091</v>
          </cell>
        </row>
        <row r="3781">
          <cell r="N3781" t="str">
            <v/>
          </cell>
          <cell r="O3781" t="str">
            <v/>
          </cell>
          <cell r="P3781" t="str">
            <v/>
          </cell>
          <cell r="Q3781" t="str">
            <v/>
          </cell>
        </row>
        <row r="3782">
          <cell r="N3782" t="str">
            <v>71698</v>
          </cell>
          <cell r="O3782" t="str">
            <v/>
          </cell>
          <cell r="P3782" t="str">
            <v/>
          </cell>
          <cell r="Q3782" t="str">
            <v/>
          </cell>
        </row>
        <row r="3783">
          <cell r="N3783" t="str">
            <v>71698</v>
          </cell>
          <cell r="O3783" t="str">
            <v>L01</v>
          </cell>
          <cell r="P3783" t="str">
            <v>L0171698</v>
          </cell>
          <cell r="Q3783" t="str">
            <v/>
          </cell>
        </row>
        <row r="3784">
          <cell r="N3784" t="str">
            <v>71698</v>
          </cell>
          <cell r="O3784" t="str">
            <v>ONL</v>
          </cell>
          <cell r="P3784" t="str">
            <v>ONL71698</v>
          </cell>
          <cell r="Q3784" t="str">
            <v/>
          </cell>
        </row>
        <row r="3785">
          <cell r="N3785" t="str">
            <v>716980</v>
          </cell>
          <cell r="O3785" t="str">
            <v/>
          </cell>
          <cell r="P3785" t="str">
            <v/>
          </cell>
          <cell r="Q3785" t="str">
            <v>416190</v>
          </cell>
        </row>
        <row r="3786">
          <cell r="N3786" t="str">
            <v>716980</v>
          </cell>
          <cell r="O3786" t="str">
            <v>L01</v>
          </cell>
          <cell r="P3786" t="str">
            <v>L01716980</v>
          </cell>
          <cell r="Q3786" t="str">
            <v>416190</v>
          </cell>
        </row>
        <row r="3787">
          <cell r="N3787" t="str">
            <v>716980</v>
          </cell>
          <cell r="O3787" t="str">
            <v>ONL</v>
          </cell>
          <cell r="P3787" t="str">
            <v>ONL716980</v>
          </cell>
          <cell r="Q3787" t="str">
            <v>416190</v>
          </cell>
        </row>
        <row r="3788">
          <cell r="N3788" t="str">
            <v>71699</v>
          </cell>
          <cell r="O3788" t="str">
            <v/>
          </cell>
          <cell r="P3788" t="str">
            <v/>
          </cell>
          <cell r="Q3788" t="str">
            <v>41999</v>
          </cell>
        </row>
        <row r="3789">
          <cell r="N3789" t="str">
            <v>71699</v>
          </cell>
          <cell r="O3789" t="str">
            <v>OGX</v>
          </cell>
          <cell r="P3789" t="str">
            <v>OGX71699</v>
          </cell>
          <cell r="Q3789" t="str">
            <v>41999</v>
          </cell>
        </row>
        <row r="3790">
          <cell r="N3790" t="str">
            <v>71892</v>
          </cell>
          <cell r="O3790" t="str">
            <v/>
          </cell>
          <cell r="P3790" t="str">
            <v/>
          </cell>
          <cell r="Q3790" t="str">
            <v>41401</v>
          </cell>
        </row>
        <row r="3791">
          <cell r="N3791" t="str">
            <v>71892</v>
          </cell>
          <cell r="O3791" t="str">
            <v>OGX</v>
          </cell>
          <cell r="P3791" t="str">
            <v>OGX71892</v>
          </cell>
          <cell r="Q3791" t="str">
            <v>41401</v>
          </cell>
        </row>
        <row r="3792">
          <cell r="N3792" t="str">
            <v>71899</v>
          </cell>
          <cell r="O3792" t="str">
            <v/>
          </cell>
          <cell r="P3792" t="str">
            <v/>
          </cell>
          <cell r="Q3792" t="str">
            <v>41499</v>
          </cell>
        </row>
        <row r="3793">
          <cell r="N3793" t="str">
            <v>71899</v>
          </cell>
          <cell r="O3793" t="str">
            <v>OGX</v>
          </cell>
          <cell r="P3793" t="str">
            <v>OGX71899</v>
          </cell>
          <cell r="Q3793" t="str">
            <v>41499</v>
          </cell>
        </row>
        <row r="3794">
          <cell r="N3794" t="str">
            <v>7199</v>
          </cell>
          <cell r="O3794" t="str">
            <v/>
          </cell>
          <cell r="P3794" t="str">
            <v/>
          </cell>
          <cell r="Q3794" t="str">
            <v/>
          </cell>
        </row>
        <row r="3795">
          <cell r="N3795" t="str">
            <v>7199</v>
          </cell>
          <cell r="O3795" t="str">
            <v>OGX</v>
          </cell>
          <cell r="P3795" t="str">
            <v>OGX7199</v>
          </cell>
          <cell r="Q3795" t="str">
            <v/>
          </cell>
        </row>
        <row r="3796">
          <cell r="N3796" t="str">
            <v>71999</v>
          </cell>
          <cell r="O3796" t="str">
            <v/>
          </cell>
          <cell r="P3796" t="str">
            <v/>
          </cell>
          <cell r="Q3796" t="str">
            <v>41999</v>
          </cell>
        </row>
        <row r="3797">
          <cell r="N3797" t="str">
            <v>71999</v>
          </cell>
          <cell r="O3797" t="str">
            <v>OGX</v>
          </cell>
          <cell r="P3797" t="str">
            <v>OGX71999</v>
          </cell>
          <cell r="Q3797" t="str">
            <v>41999</v>
          </cell>
        </row>
        <row r="3798">
          <cell r="N3798" t="str">
            <v>77951</v>
          </cell>
          <cell r="O3798" t="str">
            <v/>
          </cell>
          <cell r="P3798" t="str">
            <v/>
          </cell>
          <cell r="Q3798" t="str">
            <v>4161599</v>
          </cell>
        </row>
        <row r="3799">
          <cell r="N3799" t="str">
            <v>77951</v>
          </cell>
          <cell r="O3799" t="str">
            <v>OGX</v>
          </cell>
          <cell r="P3799" t="str">
            <v>OGX77951</v>
          </cell>
          <cell r="Q3799" t="str">
            <v>4161599</v>
          </cell>
        </row>
        <row r="3800">
          <cell r="N3800" t="str">
            <v>77953</v>
          </cell>
          <cell r="O3800" t="str">
            <v/>
          </cell>
          <cell r="P3800" t="str">
            <v/>
          </cell>
          <cell r="Q3800" t="str">
            <v>4161599</v>
          </cell>
        </row>
        <row r="3801">
          <cell r="N3801" t="str">
            <v>77953</v>
          </cell>
          <cell r="O3801" t="str">
            <v>LO1</v>
          </cell>
          <cell r="P3801" t="str">
            <v>LO177953</v>
          </cell>
          <cell r="Q3801" t="str">
            <v>4161599</v>
          </cell>
        </row>
        <row r="3802">
          <cell r="N3802" t="str">
            <v>77953</v>
          </cell>
          <cell r="O3802" t="str">
            <v>LRA</v>
          </cell>
          <cell r="P3802" t="str">
            <v>LRA77953</v>
          </cell>
          <cell r="Q3802" t="str">
            <v>4161599</v>
          </cell>
        </row>
        <row r="3803">
          <cell r="N3803" t="str">
            <v>77953</v>
          </cell>
          <cell r="O3803" t="str">
            <v>L01</v>
          </cell>
          <cell r="P3803" t="str">
            <v>L0177953</v>
          </cell>
          <cell r="Q3803" t="str">
            <v>4161599</v>
          </cell>
        </row>
        <row r="3804">
          <cell r="N3804" t="str">
            <v>77953</v>
          </cell>
          <cell r="O3804" t="str">
            <v>OGX</v>
          </cell>
          <cell r="P3804" t="str">
            <v>OGX77953</v>
          </cell>
          <cell r="Q3804" t="str">
            <v>4161599</v>
          </cell>
        </row>
        <row r="3805">
          <cell r="N3805" t="str">
            <v>77953</v>
          </cell>
          <cell r="O3805" t="str">
            <v>ONL</v>
          </cell>
          <cell r="P3805" t="str">
            <v>ONL77953</v>
          </cell>
          <cell r="Q3805" t="str">
            <v>4161599</v>
          </cell>
        </row>
        <row r="3806">
          <cell r="N3806" t="str">
            <v>77985</v>
          </cell>
          <cell r="O3806" t="str">
            <v/>
          </cell>
          <cell r="P3806" t="str">
            <v/>
          </cell>
          <cell r="Q3806" t="str">
            <v>4508809115</v>
          </cell>
        </row>
        <row r="3807">
          <cell r="N3807" t="str">
            <v>77985</v>
          </cell>
          <cell r="O3807" t="str">
            <v>ODX</v>
          </cell>
          <cell r="P3807" t="str">
            <v>ODX77985</v>
          </cell>
          <cell r="Q3807" t="str">
            <v>4508809115</v>
          </cell>
        </row>
        <row r="3808">
          <cell r="N3808" t="str">
            <v>77985</v>
          </cell>
          <cell r="O3808" t="str">
            <v>OGX</v>
          </cell>
          <cell r="P3808" t="str">
            <v>OGX77985</v>
          </cell>
          <cell r="Q3808" t="str">
            <v>4508809115</v>
          </cell>
        </row>
        <row r="3809">
          <cell r="N3809" t="str">
            <v>77986</v>
          </cell>
          <cell r="O3809" t="str">
            <v/>
          </cell>
          <cell r="P3809" t="str">
            <v/>
          </cell>
          <cell r="Q3809" t="str">
            <v>4508809116</v>
          </cell>
        </row>
        <row r="3810">
          <cell r="N3810" t="str">
            <v>77986</v>
          </cell>
          <cell r="O3810" t="str">
            <v>ODX</v>
          </cell>
          <cell r="P3810" t="str">
            <v>ODX77986</v>
          </cell>
          <cell r="Q3810" t="str">
            <v>4508809116</v>
          </cell>
        </row>
        <row r="3811">
          <cell r="N3811" t="str">
            <v>77986</v>
          </cell>
          <cell r="O3811" t="str">
            <v>OGX</v>
          </cell>
          <cell r="P3811" t="str">
            <v>OGX77986</v>
          </cell>
          <cell r="Q3811" t="str">
            <v>4508809116</v>
          </cell>
        </row>
        <row r="3812">
          <cell r="N3812" t="str">
            <v>7799</v>
          </cell>
          <cell r="O3812" t="str">
            <v/>
          </cell>
          <cell r="P3812" t="str">
            <v/>
          </cell>
          <cell r="Q3812" t="str">
            <v/>
          </cell>
        </row>
        <row r="3813">
          <cell r="N3813" t="str">
            <v>7799</v>
          </cell>
          <cell r="O3813" t="str">
            <v>ODX</v>
          </cell>
          <cell r="P3813" t="str">
            <v>ODX7799</v>
          </cell>
          <cell r="Q3813" t="str">
            <v/>
          </cell>
        </row>
        <row r="3814">
          <cell r="N3814" t="str">
            <v>7799</v>
          </cell>
          <cell r="O3814" t="str">
            <v>OGX</v>
          </cell>
          <cell r="P3814" t="str">
            <v>OGX7799</v>
          </cell>
          <cell r="Q3814" t="str">
            <v/>
          </cell>
        </row>
        <row r="3815">
          <cell r="N3815" t="str">
            <v>7799</v>
          </cell>
          <cell r="O3815" t="str">
            <v>UPR</v>
          </cell>
          <cell r="P3815" t="str">
            <v>UPR7799</v>
          </cell>
          <cell r="Q3815" t="str">
            <v/>
          </cell>
        </row>
        <row r="3816">
          <cell r="N3816" t="str">
            <v>77990</v>
          </cell>
          <cell r="O3816" t="str">
            <v/>
          </cell>
          <cell r="P3816" t="str">
            <v/>
          </cell>
          <cell r="Q3816" t="str">
            <v/>
          </cell>
        </row>
        <row r="3817">
          <cell r="N3817" t="str">
            <v>77990</v>
          </cell>
          <cell r="O3817" t="str">
            <v>ODX</v>
          </cell>
          <cell r="P3817" t="str">
            <v>ODX77990</v>
          </cell>
          <cell r="Q3817" t="str">
            <v/>
          </cell>
        </row>
        <row r="3818">
          <cell r="N3818" t="str">
            <v>77990</v>
          </cell>
          <cell r="O3818" t="str">
            <v>OGX</v>
          </cell>
          <cell r="P3818" t="str">
            <v>OGX77990</v>
          </cell>
          <cell r="Q3818" t="str">
            <v/>
          </cell>
        </row>
        <row r="3819">
          <cell r="N3819" t="str">
            <v>77990</v>
          </cell>
          <cell r="O3819" t="str">
            <v>UPR</v>
          </cell>
          <cell r="P3819" t="str">
            <v>UPR77990</v>
          </cell>
          <cell r="Q3819" t="str">
            <v/>
          </cell>
        </row>
        <row r="3820">
          <cell r="N3820" t="str">
            <v>779900</v>
          </cell>
          <cell r="O3820" t="str">
            <v/>
          </cell>
          <cell r="P3820" t="str">
            <v/>
          </cell>
          <cell r="Q3820" t="str">
            <v>450880910</v>
          </cell>
        </row>
        <row r="3821">
          <cell r="N3821" t="str">
            <v>779900</v>
          </cell>
          <cell r="O3821" t="str">
            <v>ODX</v>
          </cell>
          <cell r="P3821" t="str">
            <v>ODX779900</v>
          </cell>
          <cell r="Q3821" t="str">
            <v>450880910</v>
          </cell>
        </row>
        <row r="3822">
          <cell r="N3822" t="str">
            <v>779900</v>
          </cell>
          <cell r="O3822" t="str">
            <v>OGX</v>
          </cell>
          <cell r="P3822" t="str">
            <v>OGX779900</v>
          </cell>
          <cell r="Q3822" t="str">
            <v>450880910</v>
          </cell>
        </row>
        <row r="3823">
          <cell r="N3823" t="str">
            <v>779900</v>
          </cell>
          <cell r="O3823" t="str">
            <v>UPR</v>
          </cell>
          <cell r="P3823" t="str">
            <v>UPR779900</v>
          </cell>
          <cell r="Q3823" t="str">
            <v>450880910</v>
          </cell>
        </row>
        <row r="3824">
          <cell r="N3824" t="str">
            <v>779900</v>
          </cell>
          <cell r="O3824" t="str">
            <v>XXX</v>
          </cell>
          <cell r="P3824" t="str">
            <v>XXX779900</v>
          </cell>
          <cell r="Q3824" t="str">
            <v>450880910</v>
          </cell>
        </row>
        <row r="3825">
          <cell r="N3825" t="str">
            <v>8251215</v>
          </cell>
          <cell r="O3825" t="str">
            <v/>
          </cell>
          <cell r="P3825" t="str">
            <v/>
          </cell>
          <cell r="Q3825" t="str">
            <v>5151215</v>
          </cell>
        </row>
        <row r="3826">
          <cell r="N3826" t="str">
            <v>8251215</v>
          </cell>
          <cell r="O3826" t="str">
            <v>C1K</v>
          </cell>
          <cell r="P3826" t="str">
            <v>C1K8251215</v>
          </cell>
          <cell r="Q3826" t="str">
            <v>5151215</v>
          </cell>
        </row>
        <row r="3827">
          <cell r="N3827" t="str">
            <v>8251215</v>
          </cell>
          <cell r="O3827" t="str">
            <v>REG</v>
          </cell>
          <cell r="P3827" t="str">
            <v>REG8251215</v>
          </cell>
          <cell r="Q3827" t="str">
            <v>5151215</v>
          </cell>
        </row>
        <row r="3828">
          <cell r="N3828" t="str">
            <v>825919</v>
          </cell>
          <cell r="O3828" t="str">
            <v/>
          </cell>
          <cell r="P3828" t="str">
            <v/>
          </cell>
          <cell r="Q3828" t="str">
            <v>519399</v>
          </cell>
        </row>
        <row r="3829">
          <cell r="N3829" t="str">
            <v>825919</v>
          </cell>
          <cell r="O3829" t="str">
            <v>UN4</v>
          </cell>
          <cell r="P3829" t="str">
            <v>UN4825919</v>
          </cell>
          <cell r="Q3829" t="str">
            <v>519399</v>
          </cell>
        </row>
        <row r="3830">
          <cell r="N3830" t="str">
            <v>825942</v>
          </cell>
          <cell r="O3830" t="str">
            <v/>
          </cell>
          <cell r="P3830" t="str">
            <v/>
          </cell>
          <cell r="Q3830" t="str">
            <v>51950</v>
          </cell>
        </row>
        <row r="3831">
          <cell r="N3831" t="str">
            <v>825942</v>
          </cell>
          <cell r="O3831" t="str">
            <v>OGX</v>
          </cell>
          <cell r="P3831" t="str">
            <v>OGX825942</v>
          </cell>
          <cell r="Q3831" t="str">
            <v>51950</v>
          </cell>
        </row>
        <row r="3832">
          <cell r="N3832" t="str">
            <v>825973</v>
          </cell>
          <cell r="O3832" t="str">
            <v/>
          </cell>
          <cell r="P3832" t="str">
            <v/>
          </cell>
          <cell r="Q3832" t="str">
            <v>5194</v>
          </cell>
        </row>
        <row r="3833">
          <cell r="N3833" t="str">
            <v>825973</v>
          </cell>
          <cell r="O3833" t="str">
            <v>ONL</v>
          </cell>
          <cell r="P3833" t="str">
            <v>ONL825973</v>
          </cell>
          <cell r="Q3833" t="str">
            <v>5194</v>
          </cell>
        </row>
        <row r="3834">
          <cell r="N3834" t="str">
            <v>825973</v>
          </cell>
          <cell r="O3834" t="str">
            <v>078</v>
          </cell>
          <cell r="P3834" t="str">
            <v>078825973</v>
          </cell>
          <cell r="Q3834" t="str">
            <v>5194</v>
          </cell>
        </row>
        <row r="3835">
          <cell r="N3835" t="str">
            <v>825973</v>
          </cell>
          <cell r="O3835" t="str">
            <v>333</v>
          </cell>
          <cell r="P3835" t="str">
            <v>333825973</v>
          </cell>
          <cell r="Q3835" t="str">
            <v>5194</v>
          </cell>
        </row>
        <row r="3836">
          <cell r="N3836" t="str">
            <v>825973</v>
          </cell>
          <cell r="O3836" t="str">
            <v>67B</v>
          </cell>
          <cell r="P3836" t="str">
            <v>67B825973</v>
          </cell>
          <cell r="Q3836" t="str">
            <v>5194</v>
          </cell>
        </row>
        <row r="3837">
          <cell r="N3837" t="str">
            <v>82599</v>
          </cell>
          <cell r="O3837" t="str">
            <v/>
          </cell>
          <cell r="P3837" t="str">
            <v/>
          </cell>
          <cell r="Q3837" t="str">
            <v>519399</v>
          </cell>
        </row>
        <row r="3838">
          <cell r="N3838" t="str">
            <v>82599</v>
          </cell>
          <cell r="O3838" t="str">
            <v>OGX</v>
          </cell>
          <cell r="P3838" t="str">
            <v>OGX82599</v>
          </cell>
          <cell r="Q3838" t="str">
            <v>519399</v>
          </cell>
        </row>
        <row r="3839">
          <cell r="N3839" t="str">
            <v>8291</v>
          </cell>
          <cell r="O3839" t="str">
            <v/>
          </cell>
          <cell r="P3839" t="str">
            <v/>
          </cell>
          <cell r="Q3839" t="str">
            <v>51999</v>
          </cell>
        </row>
        <row r="3840">
          <cell r="N3840" t="str">
            <v>8291</v>
          </cell>
          <cell r="O3840" t="str">
            <v>FE7</v>
          </cell>
          <cell r="P3840" t="str">
            <v>FE78291</v>
          </cell>
          <cell r="Q3840" t="str">
            <v>51999</v>
          </cell>
        </row>
        <row r="3841">
          <cell r="N3841" t="str">
            <v>8291</v>
          </cell>
          <cell r="O3841" t="str">
            <v>ONL</v>
          </cell>
          <cell r="P3841" t="str">
            <v>ONL8291</v>
          </cell>
          <cell r="Q3841" t="str">
            <v>51999</v>
          </cell>
        </row>
        <row r="3842">
          <cell r="N3842" t="str">
            <v>8291</v>
          </cell>
          <cell r="O3842" t="str">
            <v>111</v>
          </cell>
          <cell r="P3842" t="str">
            <v>1118291</v>
          </cell>
          <cell r="Q3842" t="str">
            <v>51999</v>
          </cell>
        </row>
        <row r="3843">
          <cell r="N3843" t="str">
            <v>8291</v>
          </cell>
          <cell r="O3843" t="str">
            <v>221</v>
          </cell>
          <cell r="P3843" t="str">
            <v>2218291</v>
          </cell>
          <cell r="Q3843" t="str">
            <v>51999</v>
          </cell>
        </row>
        <row r="3844">
          <cell r="N3844" t="str">
            <v>8291</v>
          </cell>
          <cell r="O3844" t="str">
            <v>314</v>
          </cell>
          <cell r="P3844" t="str">
            <v>3148291</v>
          </cell>
          <cell r="Q3844" t="str">
            <v>51999</v>
          </cell>
        </row>
        <row r="3845">
          <cell r="N3845" t="str">
            <v>89290</v>
          </cell>
          <cell r="O3845" t="str">
            <v/>
          </cell>
          <cell r="P3845" t="str">
            <v/>
          </cell>
          <cell r="Q3845" t="str">
            <v>55088091</v>
          </cell>
        </row>
        <row r="3846">
          <cell r="N3846" t="str">
            <v>89290</v>
          </cell>
          <cell r="O3846" t="str">
            <v>CCN</v>
          </cell>
          <cell r="P3846" t="str">
            <v>CCN89290</v>
          </cell>
          <cell r="Q3846" t="str">
            <v>55088091</v>
          </cell>
        </row>
        <row r="3847">
          <cell r="N3847" t="str">
            <v>89290</v>
          </cell>
          <cell r="O3847" t="str">
            <v>REG</v>
          </cell>
          <cell r="P3847" t="str">
            <v>REG89290</v>
          </cell>
          <cell r="Q3847" t="str">
            <v>55088091</v>
          </cell>
        </row>
        <row r="3848">
          <cell r="N3848" t="str">
            <v>89308</v>
          </cell>
          <cell r="O3848" t="str">
            <v/>
          </cell>
          <cell r="P3848" t="str">
            <v/>
          </cell>
          <cell r="Q3848" t="str">
            <v>4311884</v>
          </cell>
        </row>
        <row r="3849">
          <cell r="N3849" t="str">
            <v>89308</v>
          </cell>
          <cell r="O3849" t="str">
            <v>OGX</v>
          </cell>
          <cell r="P3849" t="str">
            <v>OGX89308</v>
          </cell>
          <cell r="Q3849" t="str">
            <v>4311884</v>
          </cell>
        </row>
        <row r="3850">
          <cell r="N3850" t="str">
            <v>89308</v>
          </cell>
          <cell r="O3850" t="str">
            <v>ONL</v>
          </cell>
          <cell r="P3850" t="str">
            <v>ONL89308</v>
          </cell>
          <cell r="Q3850" t="str">
            <v>4311884</v>
          </cell>
        </row>
        <row r="3851">
          <cell r="N3851" t="str">
            <v>89308</v>
          </cell>
          <cell r="O3851" t="str">
            <v>REG</v>
          </cell>
          <cell r="P3851" t="str">
            <v>REG89308</v>
          </cell>
          <cell r="Q3851" t="str">
            <v>4311884</v>
          </cell>
        </row>
        <row r="3852">
          <cell r="N3852" t="str">
            <v>89308</v>
          </cell>
          <cell r="O3852" t="str">
            <v>UOA</v>
          </cell>
          <cell r="P3852" t="str">
            <v>UOA89308</v>
          </cell>
          <cell r="Q3852" t="str">
            <v>4311884</v>
          </cell>
        </row>
        <row r="3853">
          <cell r="N3853" t="str">
            <v>89308</v>
          </cell>
          <cell r="O3853" t="str">
            <v>111</v>
          </cell>
          <cell r="P3853" t="str">
            <v>11189308</v>
          </cell>
          <cell r="Q3853" t="str">
            <v>4311884</v>
          </cell>
        </row>
        <row r="3854">
          <cell r="N3854" t="str">
            <v>8931</v>
          </cell>
          <cell r="O3854" t="str">
            <v/>
          </cell>
          <cell r="P3854" t="str">
            <v/>
          </cell>
          <cell r="Q3854" t="str">
            <v>550811</v>
          </cell>
        </row>
        <row r="3855">
          <cell r="N3855" t="str">
            <v>8931</v>
          </cell>
          <cell r="O3855" t="str">
            <v>111</v>
          </cell>
          <cell r="P3855" t="str">
            <v>1118931</v>
          </cell>
          <cell r="Q3855" t="str">
            <v>550811</v>
          </cell>
        </row>
        <row r="3856">
          <cell r="N3856" t="str">
            <v>89342</v>
          </cell>
          <cell r="O3856" t="str">
            <v/>
          </cell>
          <cell r="P3856" t="str">
            <v/>
          </cell>
          <cell r="Q3856" t="str">
            <v>431111</v>
          </cell>
        </row>
        <row r="3857">
          <cell r="N3857" t="str">
            <v>89342</v>
          </cell>
          <cell r="O3857" t="str">
            <v>OGX</v>
          </cell>
          <cell r="P3857" t="str">
            <v>OGX89342</v>
          </cell>
          <cell r="Q3857" t="str">
            <v>431111</v>
          </cell>
        </row>
        <row r="3858">
          <cell r="N3858" t="str">
            <v>89342</v>
          </cell>
          <cell r="O3858" t="str">
            <v>UCJ</v>
          </cell>
          <cell r="P3858" t="str">
            <v>UCJ89342</v>
          </cell>
          <cell r="Q3858" t="str">
            <v>431111</v>
          </cell>
        </row>
        <row r="3859">
          <cell r="N3859" t="str">
            <v>89342</v>
          </cell>
          <cell r="O3859" t="str">
            <v>8N0</v>
          </cell>
          <cell r="P3859" t="str">
            <v>8N089342</v>
          </cell>
          <cell r="Q3859" t="str">
            <v>431111</v>
          </cell>
        </row>
        <row r="3860">
          <cell r="N3860" t="str">
            <v>89344</v>
          </cell>
          <cell r="O3860" t="str">
            <v/>
          </cell>
          <cell r="P3860" t="str">
            <v/>
          </cell>
          <cell r="Q3860" t="str">
            <v>431110</v>
          </cell>
        </row>
        <row r="3861">
          <cell r="N3861" t="str">
            <v>89344</v>
          </cell>
          <cell r="O3861" t="str">
            <v>UCL</v>
          </cell>
          <cell r="P3861" t="str">
            <v>UCL89344</v>
          </cell>
          <cell r="Q3861" t="str">
            <v>431110</v>
          </cell>
        </row>
        <row r="3862">
          <cell r="N3862" t="str">
            <v>8939</v>
          </cell>
          <cell r="O3862" t="str">
            <v/>
          </cell>
          <cell r="P3862" t="str">
            <v/>
          </cell>
          <cell r="Q3862" t="str">
            <v/>
          </cell>
        </row>
        <row r="3863">
          <cell r="N3863" t="str">
            <v>8939</v>
          </cell>
          <cell r="O3863" t="str">
            <v>ODX</v>
          </cell>
          <cell r="P3863" t="str">
            <v>ODX8939</v>
          </cell>
          <cell r="Q3863" t="str">
            <v/>
          </cell>
        </row>
        <row r="3864">
          <cell r="N3864" t="str">
            <v>89390</v>
          </cell>
          <cell r="O3864" t="str">
            <v/>
          </cell>
          <cell r="P3864" t="str">
            <v/>
          </cell>
          <cell r="Q3864" t="str">
            <v>431199</v>
          </cell>
        </row>
        <row r="3865">
          <cell r="N3865" t="str">
            <v>89390</v>
          </cell>
          <cell r="O3865" t="str">
            <v>ODX</v>
          </cell>
          <cell r="P3865" t="str">
            <v>ODX89390</v>
          </cell>
          <cell r="Q3865" t="str">
            <v>431199</v>
          </cell>
        </row>
        <row r="3866">
          <cell r="N3866" t="str">
            <v>8990</v>
          </cell>
          <cell r="O3866" t="str">
            <v/>
          </cell>
          <cell r="P3866" t="str">
            <v/>
          </cell>
          <cell r="Q3866" t="str">
            <v>55088091</v>
          </cell>
        </row>
        <row r="3867">
          <cell r="N3867" t="str">
            <v>8990</v>
          </cell>
          <cell r="O3867" t="str">
            <v>ODX</v>
          </cell>
          <cell r="P3867" t="str">
            <v>ODX8990</v>
          </cell>
          <cell r="Q3867" t="str">
            <v>55088091</v>
          </cell>
        </row>
        <row r="3868">
          <cell r="N3868" t="str">
            <v>8990</v>
          </cell>
          <cell r="O3868" t="str">
            <v>OGX</v>
          </cell>
          <cell r="P3868" t="str">
            <v>OGX8990</v>
          </cell>
          <cell r="Q3868" t="str">
            <v>55088091</v>
          </cell>
        </row>
        <row r="3869">
          <cell r="N3869" t="str">
            <v>8999</v>
          </cell>
          <cell r="O3869" t="str">
            <v/>
          </cell>
          <cell r="P3869" t="str">
            <v/>
          </cell>
          <cell r="Q3869" t="str">
            <v/>
          </cell>
        </row>
        <row r="3870">
          <cell r="N3870" t="str">
            <v>8999</v>
          </cell>
          <cell r="O3870" t="str">
            <v>ODX</v>
          </cell>
          <cell r="P3870" t="str">
            <v>ODX8999</v>
          </cell>
          <cell r="Q3870" t="str">
            <v/>
          </cell>
        </row>
        <row r="3871">
          <cell r="N3871" t="str">
            <v>8999</v>
          </cell>
          <cell r="O3871" t="str">
            <v>OGX</v>
          </cell>
          <cell r="P3871" t="str">
            <v>OGX8999</v>
          </cell>
          <cell r="Q3871" t="str">
            <v/>
          </cell>
        </row>
        <row r="3872">
          <cell r="N3872" t="str">
            <v>8999</v>
          </cell>
          <cell r="O3872" t="str">
            <v>UN4</v>
          </cell>
          <cell r="P3872" t="str">
            <v>UN48999</v>
          </cell>
          <cell r="Q3872" t="str">
            <v/>
          </cell>
        </row>
        <row r="3873">
          <cell r="N3873" t="str">
            <v>8999</v>
          </cell>
          <cell r="O3873" t="str">
            <v>UPS</v>
          </cell>
          <cell r="P3873" t="str">
            <v>UPS8999</v>
          </cell>
          <cell r="Q3873" t="str">
            <v/>
          </cell>
        </row>
        <row r="3874">
          <cell r="N3874" t="str">
            <v>89990</v>
          </cell>
          <cell r="O3874" t="str">
            <v/>
          </cell>
          <cell r="P3874" t="str">
            <v/>
          </cell>
          <cell r="Q3874" t="str">
            <v>55088091</v>
          </cell>
        </row>
        <row r="3875">
          <cell r="N3875" t="str">
            <v>89990</v>
          </cell>
          <cell r="O3875" t="str">
            <v>ODX</v>
          </cell>
          <cell r="P3875" t="str">
            <v>ODX89990</v>
          </cell>
          <cell r="Q3875" t="str">
            <v>55088091</v>
          </cell>
        </row>
        <row r="3876">
          <cell r="N3876" t="str">
            <v>89990</v>
          </cell>
          <cell r="O3876" t="str">
            <v>OGX</v>
          </cell>
          <cell r="P3876" t="str">
            <v>OGX89990</v>
          </cell>
          <cell r="Q3876" t="str">
            <v>55088091</v>
          </cell>
        </row>
        <row r="3877">
          <cell r="N3877" t="str">
            <v>89990</v>
          </cell>
          <cell r="O3877" t="str">
            <v>UPS</v>
          </cell>
          <cell r="P3877" t="str">
            <v>UPS89990</v>
          </cell>
          <cell r="Q3877" t="str">
            <v>55088091</v>
          </cell>
        </row>
        <row r="3878">
          <cell r="N3878" t="str">
            <v/>
          </cell>
          <cell r="O3878" t="str">
            <v/>
          </cell>
          <cell r="P3878" t="str">
            <v/>
          </cell>
          <cell r="Q3878" t="str">
            <v/>
          </cell>
        </row>
        <row r="3879">
          <cell r="N3879" t="str">
            <v/>
          </cell>
          <cell r="O3879" t="str">
            <v/>
          </cell>
          <cell r="P3879" t="str">
            <v/>
          </cell>
          <cell r="Q3879" t="str">
            <v/>
          </cell>
        </row>
        <row r="3880">
          <cell r="N3880" t="str">
            <v>71691</v>
          </cell>
          <cell r="O3880" t="str">
            <v/>
          </cell>
          <cell r="P3880" t="str">
            <v/>
          </cell>
          <cell r="Q3880" t="str">
            <v>416190</v>
          </cell>
        </row>
        <row r="3881">
          <cell r="N3881" t="str">
            <v>71691</v>
          </cell>
          <cell r="O3881" t="str">
            <v>BOF</v>
          </cell>
          <cell r="P3881" t="str">
            <v>BOF71691</v>
          </cell>
          <cell r="Q3881" t="str">
            <v>416190</v>
          </cell>
        </row>
        <row r="3882">
          <cell r="N3882" t="str">
            <v>71691</v>
          </cell>
          <cell r="O3882" t="str">
            <v>B90</v>
          </cell>
          <cell r="P3882" t="str">
            <v>B9071691</v>
          </cell>
          <cell r="Q3882" t="str">
            <v>416190</v>
          </cell>
        </row>
        <row r="3883">
          <cell r="N3883" t="str">
            <v>71691</v>
          </cell>
          <cell r="O3883" t="str">
            <v>CRR</v>
          </cell>
          <cell r="P3883" t="str">
            <v>CRR71691</v>
          </cell>
          <cell r="Q3883" t="str">
            <v>416190</v>
          </cell>
        </row>
        <row r="3884">
          <cell r="N3884" t="str">
            <v>71691</v>
          </cell>
          <cell r="O3884" t="str">
            <v>LO1</v>
          </cell>
          <cell r="P3884" t="str">
            <v>LO171691</v>
          </cell>
          <cell r="Q3884" t="str">
            <v>416190</v>
          </cell>
        </row>
        <row r="3885">
          <cell r="N3885" t="str">
            <v>71691</v>
          </cell>
          <cell r="O3885" t="str">
            <v>LRA</v>
          </cell>
          <cell r="P3885" t="str">
            <v>LRA71691</v>
          </cell>
          <cell r="Q3885" t="str">
            <v>416190</v>
          </cell>
        </row>
        <row r="3886">
          <cell r="N3886" t="str">
            <v>71691</v>
          </cell>
          <cell r="O3886" t="str">
            <v>L01</v>
          </cell>
          <cell r="P3886" t="str">
            <v>L0171691</v>
          </cell>
          <cell r="Q3886" t="str">
            <v>416190</v>
          </cell>
        </row>
        <row r="3887">
          <cell r="N3887" t="str">
            <v>71691</v>
          </cell>
          <cell r="O3887" t="str">
            <v>!MF</v>
          </cell>
          <cell r="P3887" t="str">
            <v>!MF71691</v>
          </cell>
          <cell r="Q3887" t="str">
            <v>416190</v>
          </cell>
        </row>
        <row r="3888">
          <cell r="N3888" t="str">
            <v>71691</v>
          </cell>
          <cell r="O3888" t="str">
            <v>ODX</v>
          </cell>
          <cell r="P3888" t="str">
            <v>ODX71691</v>
          </cell>
          <cell r="Q3888" t="str">
            <v>416190</v>
          </cell>
        </row>
        <row r="3889">
          <cell r="N3889" t="str">
            <v>71691</v>
          </cell>
          <cell r="O3889" t="str">
            <v>OGX</v>
          </cell>
          <cell r="P3889" t="str">
            <v>OGX71691</v>
          </cell>
          <cell r="Q3889" t="str">
            <v>416190</v>
          </cell>
        </row>
        <row r="3890">
          <cell r="N3890" t="str">
            <v>71691</v>
          </cell>
          <cell r="O3890" t="str">
            <v>ONL</v>
          </cell>
          <cell r="P3890" t="str">
            <v>ONL71691</v>
          </cell>
          <cell r="Q3890" t="str">
            <v>416190</v>
          </cell>
        </row>
        <row r="3891">
          <cell r="N3891" t="str">
            <v>71691</v>
          </cell>
          <cell r="O3891" t="str">
            <v>OZE</v>
          </cell>
          <cell r="P3891" t="str">
            <v>OZE71691</v>
          </cell>
          <cell r="Q3891" t="str">
            <v>416190</v>
          </cell>
        </row>
        <row r="3892">
          <cell r="N3892" t="str">
            <v>71691</v>
          </cell>
          <cell r="O3892" t="str">
            <v>UK7</v>
          </cell>
          <cell r="P3892" t="str">
            <v>UK771691</v>
          </cell>
          <cell r="Q3892" t="str">
            <v>416190</v>
          </cell>
        </row>
        <row r="3893">
          <cell r="N3893" t="str">
            <v>71691</v>
          </cell>
          <cell r="O3893" t="str">
            <v>UND</v>
          </cell>
          <cell r="P3893" t="str">
            <v>UND71691</v>
          </cell>
          <cell r="Q3893" t="str">
            <v>416190</v>
          </cell>
        </row>
        <row r="3894">
          <cell r="N3894" t="str">
            <v>71691</v>
          </cell>
          <cell r="O3894" t="str">
            <v>UNE</v>
          </cell>
          <cell r="P3894" t="str">
            <v>UNE71691</v>
          </cell>
          <cell r="Q3894" t="str">
            <v>416190</v>
          </cell>
        </row>
        <row r="3895">
          <cell r="N3895" t="str">
            <v>71691</v>
          </cell>
          <cell r="O3895" t="str">
            <v>064</v>
          </cell>
          <cell r="P3895" t="str">
            <v>06471691</v>
          </cell>
          <cell r="Q3895" t="str">
            <v>416190</v>
          </cell>
        </row>
        <row r="3896">
          <cell r="N3896" t="str">
            <v>71691</v>
          </cell>
          <cell r="O3896" t="str">
            <v>111</v>
          </cell>
          <cell r="P3896" t="str">
            <v>11171691</v>
          </cell>
          <cell r="Q3896" t="str">
            <v>416190</v>
          </cell>
        </row>
        <row r="3897">
          <cell r="N3897" t="str">
            <v>71691</v>
          </cell>
          <cell r="O3897" t="str">
            <v>237</v>
          </cell>
          <cell r="P3897" t="str">
            <v>23771691</v>
          </cell>
          <cell r="Q3897" t="str">
            <v>416190</v>
          </cell>
        </row>
        <row r="3898">
          <cell r="N3898" t="str">
            <v>7799</v>
          </cell>
          <cell r="O3898" t="str">
            <v/>
          </cell>
          <cell r="P3898" t="str">
            <v/>
          </cell>
          <cell r="Q3898" t="str">
            <v/>
          </cell>
        </row>
        <row r="3899">
          <cell r="N3899" t="str">
            <v>7799</v>
          </cell>
          <cell r="O3899" t="str">
            <v>OD1</v>
          </cell>
          <cell r="P3899" t="str">
            <v>OD17799</v>
          </cell>
          <cell r="Q3899" t="str">
            <v/>
          </cell>
        </row>
        <row r="3900">
          <cell r="N3900" t="str">
            <v>89307</v>
          </cell>
          <cell r="O3900" t="str">
            <v/>
          </cell>
          <cell r="P3900" t="str">
            <v/>
          </cell>
          <cell r="Q3900" t="str">
            <v>43118821</v>
          </cell>
        </row>
        <row r="3901">
          <cell r="N3901" t="str">
            <v>89307</v>
          </cell>
          <cell r="O3901" t="str">
            <v>!MF</v>
          </cell>
          <cell r="P3901" t="str">
            <v>!MF89307</v>
          </cell>
          <cell r="Q3901" t="str">
            <v>43118821</v>
          </cell>
        </row>
        <row r="3902">
          <cell r="N3902" t="str">
            <v>89307</v>
          </cell>
          <cell r="O3902" t="str">
            <v>ODX</v>
          </cell>
          <cell r="P3902" t="str">
            <v>ODX89307</v>
          </cell>
          <cell r="Q3902" t="str">
            <v>43118821</v>
          </cell>
        </row>
        <row r="3903">
          <cell r="N3903" t="str">
            <v>89307</v>
          </cell>
          <cell r="O3903" t="str">
            <v>OGX</v>
          </cell>
          <cell r="P3903" t="str">
            <v>OGX89307</v>
          </cell>
          <cell r="Q3903" t="str">
            <v>43118821</v>
          </cell>
        </row>
        <row r="3904">
          <cell r="N3904" t="str">
            <v>89307</v>
          </cell>
          <cell r="O3904" t="str">
            <v>ONL</v>
          </cell>
          <cell r="P3904" t="str">
            <v>ONL89307</v>
          </cell>
          <cell r="Q3904" t="str">
            <v>43118821</v>
          </cell>
        </row>
        <row r="3905">
          <cell r="N3905" t="str">
            <v>89307</v>
          </cell>
          <cell r="O3905" t="str">
            <v>111</v>
          </cell>
          <cell r="P3905" t="str">
            <v>11189307</v>
          </cell>
          <cell r="Q3905" t="str">
            <v>43118821</v>
          </cell>
        </row>
        <row r="3906">
          <cell r="N3906" t="str">
            <v>89308</v>
          </cell>
          <cell r="O3906" t="str">
            <v/>
          </cell>
          <cell r="P3906" t="str">
            <v/>
          </cell>
          <cell r="Q3906" t="str">
            <v>4311884</v>
          </cell>
        </row>
        <row r="3907">
          <cell r="N3907" t="str">
            <v>89308</v>
          </cell>
          <cell r="O3907" t="str">
            <v>B90</v>
          </cell>
          <cell r="P3907" t="str">
            <v>B9089308</v>
          </cell>
          <cell r="Q3907" t="str">
            <v>4311884</v>
          </cell>
        </row>
        <row r="3908">
          <cell r="N3908" t="str">
            <v>8999</v>
          </cell>
          <cell r="O3908" t="str">
            <v/>
          </cell>
          <cell r="P3908" t="str">
            <v/>
          </cell>
          <cell r="Q3908" t="str">
            <v/>
          </cell>
        </row>
        <row r="3909">
          <cell r="N3909" t="str">
            <v>8999</v>
          </cell>
          <cell r="O3909" t="str">
            <v>UKU</v>
          </cell>
          <cell r="P3909" t="str">
            <v>UKU8999</v>
          </cell>
          <cell r="Q3909" t="str">
            <v/>
          </cell>
        </row>
        <row r="3910">
          <cell r="N3910" t="str">
            <v>8999</v>
          </cell>
          <cell r="O3910" t="str">
            <v>UKV</v>
          </cell>
          <cell r="P3910" t="str">
            <v>UKV8999</v>
          </cell>
          <cell r="Q3910" t="str">
            <v/>
          </cell>
        </row>
        <row r="3911">
          <cell r="N3911" t="str">
            <v>89990</v>
          </cell>
          <cell r="O3911" t="str">
            <v/>
          </cell>
          <cell r="P3911" t="str">
            <v/>
          </cell>
          <cell r="Q3911" t="str">
            <v>55088091</v>
          </cell>
        </row>
        <row r="3912">
          <cell r="N3912" t="str">
            <v>89990</v>
          </cell>
          <cell r="O3912" t="str">
            <v>UKU</v>
          </cell>
          <cell r="P3912" t="str">
            <v>UKU89990</v>
          </cell>
          <cell r="Q3912" t="str">
            <v>55088091</v>
          </cell>
        </row>
        <row r="3913">
          <cell r="N3913" t="str">
            <v/>
          </cell>
          <cell r="O3913" t="str">
            <v/>
          </cell>
          <cell r="P3913" t="str">
            <v/>
          </cell>
          <cell r="Q3913" t="str">
            <v/>
          </cell>
        </row>
        <row r="3914">
          <cell r="N3914" t="str">
            <v>71691</v>
          </cell>
          <cell r="O3914" t="str">
            <v/>
          </cell>
          <cell r="P3914" t="str">
            <v/>
          </cell>
          <cell r="Q3914" t="str">
            <v>416190</v>
          </cell>
        </row>
        <row r="3915">
          <cell r="N3915" t="str">
            <v>71691</v>
          </cell>
          <cell r="O3915" t="str">
            <v>B91</v>
          </cell>
          <cell r="P3915" t="str">
            <v>B9171691</v>
          </cell>
          <cell r="Q3915" t="str">
            <v>416190</v>
          </cell>
        </row>
        <row r="3916">
          <cell r="N3916" t="str">
            <v>89307</v>
          </cell>
          <cell r="O3916" t="str">
            <v/>
          </cell>
          <cell r="P3916" t="str">
            <v/>
          </cell>
          <cell r="Q3916" t="str">
            <v>43118821</v>
          </cell>
        </row>
        <row r="3917">
          <cell r="N3917" t="str">
            <v>89307</v>
          </cell>
          <cell r="O3917" t="str">
            <v>B92</v>
          </cell>
          <cell r="P3917" t="str">
            <v>B9289307</v>
          </cell>
          <cell r="Q3917" t="str">
            <v>43118821</v>
          </cell>
        </row>
        <row r="3918">
          <cell r="N3918" t="str">
            <v>89307</v>
          </cell>
          <cell r="O3918" t="str">
            <v>B94</v>
          </cell>
          <cell r="P3918" t="str">
            <v>B9489307</v>
          </cell>
          <cell r="Q3918" t="str">
            <v>43118821</v>
          </cell>
        </row>
        <row r="3919">
          <cell r="N3919" t="str">
            <v>89308</v>
          </cell>
          <cell r="O3919" t="str">
            <v/>
          </cell>
          <cell r="P3919" t="str">
            <v/>
          </cell>
          <cell r="Q3919" t="str">
            <v>4311884</v>
          </cell>
        </row>
        <row r="3920">
          <cell r="N3920" t="str">
            <v>89308</v>
          </cell>
          <cell r="O3920" t="str">
            <v>B91</v>
          </cell>
          <cell r="P3920" t="str">
            <v>B9189308</v>
          </cell>
          <cell r="Q3920" t="str">
            <v>4311884</v>
          </cell>
        </row>
        <row r="3921">
          <cell r="N3921" t="str">
            <v>89308</v>
          </cell>
          <cell r="O3921" t="str">
            <v>B92</v>
          </cell>
          <cell r="P3921" t="str">
            <v>B9289308</v>
          </cell>
          <cell r="Q3921" t="str">
            <v>4311884</v>
          </cell>
        </row>
        <row r="3922">
          <cell r="N3922" t="str">
            <v>89308</v>
          </cell>
          <cell r="O3922" t="str">
            <v>B93</v>
          </cell>
          <cell r="P3922" t="str">
            <v>B9389308</v>
          </cell>
          <cell r="Q3922" t="str">
            <v>4311884</v>
          </cell>
        </row>
        <row r="3923">
          <cell r="N3923" t="str">
            <v/>
          </cell>
          <cell r="O3923" t="str">
            <v/>
          </cell>
          <cell r="P3923" t="str">
            <v/>
          </cell>
          <cell r="Q3923" t="str">
            <v/>
          </cell>
        </row>
        <row r="3924">
          <cell r="N3924" t="str">
            <v/>
          </cell>
          <cell r="O3924" t="str">
            <v/>
          </cell>
          <cell r="P3924" t="str">
            <v/>
          </cell>
          <cell r="Q3924" t="str">
            <v/>
          </cell>
        </row>
        <row r="3925">
          <cell r="N3925" t="str">
            <v/>
          </cell>
          <cell r="O3925" t="str">
            <v/>
          </cell>
          <cell r="P3925" t="str">
            <v/>
          </cell>
          <cell r="Q3925" t="str">
            <v/>
          </cell>
        </row>
        <row r="3926">
          <cell r="N3926" t="str">
            <v>82500</v>
          </cell>
          <cell r="O3926" t="str">
            <v/>
          </cell>
          <cell r="P3926" t="str">
            <v/>
          </cell>
          <cell r="Q3926" t="str">
            <v/>
          </cell>
        </row>
        <row r="3927">
          <cell r="N3927" t="str">
            <v>82500</v>
          </cell>
          <cell r="O3927" t="str">
            <v>CGT</v>
          </cell>
          <cell r="P3927" t="str">
            <v>CGT82500</v>
          </cell>
          <cell r="Q3927" t="str">
            <v/>
          </cell>
        </row>
        <row r="3928">
          <cell r="N3928" t="str">
            <v>82500</v>
          </cell>
          <cell r="O3928" t="str">
            <v>C1T</v>
          </cell>
          <cell r="P3928" t="str">
            <v>C1T82500</v>
          </cell>
          <cell r="Q3928" t="str">
            <v/>
          </cell>
        </row>
        <row r="3929">
          <cell r="N3929" t="str">
            <v>82500</v>
          </cell>
          <cell r="O3929" t="str">
            <v>EDG</v>
          </cell>
          <cell r="P3929" t="str">
            <v>EDG82500</v>
          </cell>
          <cell r="Q3929" t="str">
            <v/>
          </cell>
        </row>
        <row r="3930">
          <cell r="N3930" t="str">
            <v>82500</v>
          </cell>
          <cell r="O3930" t="str">
            <v>EUP</v>
          </cell>
          <cell r="P3930" t="str">
            <v>EUP82500</v>
          </cell>
          <cell r="Q3930" t="str">
            <v/>
          </cell>
        </row>
        <row r="3931">
          <cell r="N3931" t="str">
            <v>82500</v>
          </cell>
          <cell r="O3931" t="str">
            <v>ONL</v>
          </cell>
          <cell r="P3931" t="str">
            <v>ONL82500</v>
          </cell>
          <cell r="Q3931" t="str">
            <v/>
          </cell>
        </row>
        <row r="3932">
          <cell r="N3932" t="str">
            <v>82500</v>
          </cell>
          <cell r="O3932" t="str">
            <v>REG</v>
          </cell>
          <cell r="P3932" t="str">
            <v>REG82500</v>
          </cell>
          <cell r="Q3932" t="str">
            <v/>
          </cell>
        </row>
        <row r="3933">
          <cell r="N3933" t="str">
            <v>82500</v>
          </cell>
          <cell r="O3933" t="str">
            <v>TIT</v>
          </cell>
          <cell r="P3933" t="str">
            <v>TIT82500</v>
          </cell>
          <cell r="Q3933" t="str">
            <v/>
          </cell>
        </row>
        <row r="3934">
          <cell r="N3934" t="str">
            <v>82500</v>
          </cell>
          <cell r="O3934" t="str">
            <v>00T</v>
          </cell>
          <cell r="P3934" t="str">
            <v>00T82500</v>
          </cell>
          <cell r="Q3934" t="str">
            <v/>
          </cell>
        </row>
        <row r="3935">
          <cell r="N3935" t="str">
            <v>825000</v>
          </cell>
          <cell r="O3935" t="str">
            <v/>
          </cell>
          <cell r="P3935" t="str">
            <v/>
          </cell>
          <cell r="Q3935" t="str">
            <v>51509</v>
          </cell>
        </row>
        <row r="3936">
          <cell r="N3936" t="str">
            <v>825000</v>
          </cell>
          <cell r="O3936" t="str">
            <v>AYD</v>
          </cell>
          <cell r="P3936" t="str">
            <v>AYD825000</v>
          </cell>
          <cell r="Q3936" t="str">
            <v>51509</v>
          </cell>
        </row>
        <row r="3937">
          <cell r="N3937" t="str">
            <v>825000</v>
          </cell>
          <cell r="O3937" t="str">
            <v>AYE</v>
          </cell>
          <cell r="P3937" t="str">
            <v>AYE825000</v>
          </cell>
          <cell r="Q3937" t="str">
            <v>51509</v>
          </cell>
        </row>
        <row r="3938">
          <cell r="N3938" t="str">
            <v>825000</v>
          </cell>
          <cell r="O3938" t="str">
            <v>AY1</v>
          </cell>
          <cell r="P3938" t="str">
            <v>AY1825000</v>
          </cell>
          <cell r="Q3938" t="str">
            <v>51509</v>
          </cell>
        </row>
        <row r="3939">
          <cell r="N3939" t="str">
            <v>825000</v>
          </cell>
          <cell r="O3939" t="str">
            <v>AZD</v>
          </cell>
          <cell r="P3939" t="str">
            <v>AZD825000</v>
          </cell>
          <cell r="Q3939" t="str">
            <v>51509</v>
          </cell>
        </row>
        <row r="3940">
          <cell r="N3940" t="str">
            <v>825000</v>
          </cell>
          <cell r="O3940" t="str">
            <v>AZE</v>
          </cell>
          <cell r="P3940" t="str">
            <v>AZE825000</v>
          </cell>
          <cell r="Q3940" t="str">
            <v>51509</v>
          </cell>
        </row>
        <row r="3941">
          <cell r="N3941" t="str">
            <v>825000</v>
          </cell>
          <cell r="O3941" t="str">
            <v>AZ1</v>
          </cell>
          <cell r="P3941" t="str">
            <v>AZ1825000</v>
          </cell>
          <cell r="Q3941" t="str">
            <v>51509</v>
          </cell>
        </row>
        <row r="3942">
          <cell r="N3942" t="str">
            <v>825000</v>
          </cell>
          <cell r="O3942" t="str">
            <v>CCC</v>
          </cell>
          <cell r="P3942" t="str">
            <v>CCC825000</v>
          </cell>
          <cell r="Q3942" t="str">
            <v>51509</v>
          </cell>
        </row>
        <row r="3943">
          <cell r="N3943" t="str">
            <v>825000</v>
          </cell>
          <cell r="O3943" t="str">
            <v>CGT</v>
          </cell>
          <cell r="P3943" t="str">
            <v>CGT825000</v>
          </cell>
          <cell r="Q3943" t="str">
            <v>51509</v>
          </cell>
        </row>
        <row r="3944">
          <cell r="N3944" t="str">
            <v>825000</v>
          </cell>
          <cell r="O3944" t="str">
            <v>EDG</v>
          </cell>
          <cell r="P3944" t="str">
            <v>EDG825000</v>
          </cell>
          <cell r="Q3944" t="str">
            <v>51509</v>
          </cell>
        </row>
        <row r="3945">
          <cell r="N3945" t="str">
            <v>825000</v>
          </cell>
          <cell r="O3945" t="str">
            <v>E1T</v>
          </cell>
          <cell r="P3945" t="str">
            <v>E1T825000</v>
          </cell>
          <cell r="Q3945" t="str">
            <v>51509</v>
          </cell>
        </row>
        <row r="3946">
          <cell r="N3946" t="str">
            <v>825000</v>
          </cell>
          <cell r="O3946" t="str">
            <v>ONL</v>
          </cell>
          <cell r="P3946" t="str">
            <v>ONL825000</v>
          </cell>
          <cell r="Q3946" t="str">
            <v>51509</v>
          </cell>
        </row>
        <row r="3947">
          <cell r="N3947" t="str">
            <v>825000</v>
          </cell>
          <cell r="O3947" t="str">
            <v>REG</v>
          </cell>
          <cell r="P3947" t="str">
            <v>REG825000</v>
          </cell>
          <cell r="Q3947" t="str">
            <v>51509</v>
          </cell>
        </row>
        <row r="3948">
          <cell r="N3948" t="str">
            <v>825000</v>
          </cell>
          <cell r="O3948" t="str">
            <v>TIT</v>
          </cell>
          <cell r="P3948" t="str">
            <v>TIT825000</v>
          </cell>
          <cell r="Q3948" t="str">
            <v>51509</v>
          </cell>
        </row>
        <row r="3949">
          <cell r="N3949" t="str">
            <v>825000</v>
          </cell>
          <cell r="O3949" t="str">
            <v>ZC8</v>
          </cell>
          <cell r="P3949" t="str">
            <v>ZC8825000</v>
          </cell>
          <cell r="Q3949" t="str">
            <v>51509</v>
          </cell>
        </row>
        <row r="3950">
          <cell r="N3950" t="str">
            <v>825000</v>
          </cell>
          <cell r="O3950" t="str">
            <v>0EK</v>
          </cell>
          <cell r="P3950" t="str">
            <v>0EK825000</v>
          </cell>
          <cell r="Q3950" t="str">
            <v>51509</v>
          </cell>
        </row>
        <row r="3951">
          <cell r="N3951" t="str">
            <v>825000</v>
          </cell>
          <cell r="O3951" t="str">
            <v>00T</v>
          </cell>
          <cell r="P3951" t="str">
            <v>00T825000</v>
          </cell>
          <cell r="Q3951" t="str">
            <v>51509</v>
          </cell>
        </row>
        <row r="3952">
          <cell r="N3952" t="str">
            <v>825000</v>
          </cell>
          <cell r="O3952" t="str">
            <v>02T</v>
          </cell>
          <cell r="P3952" t="str">
            <v>02T825000</v>
          </cell>
          <cell r="Q3952" t="str">
            <v>51509</v>
          </cell>
        </row>
        <row r="3953">
          <cell r="N3953" t="str">
            <v>825000</v>
          </cell>
          <cell r="O3953" t="str">
            <v>06K</v>
          </cell>
          <cell r="P3953" t="str">
            <v>06K825000</v>
          </cell>
          <cell r="Q3953" t="str">
            <v>51509</v>
          </cell>
        </row>
        <row r="3954">
          <cell r="N3954" t="str">
            <v>825000</v>
          </cell>
          <cell r="O3954" t="str">
            <v>111</v>
          </cell>
          <cell r="P3954" t="str">
            <v>111825000</v>
          </cell>
          <cell r="Q3954" t="str">
            <v>51509</v>
          </cell>
        </row>
        <row r="3955">
          <cell r="N3955" t="str">
            <v>825000</v>
          </cell>
          <cell r="O3955" t="str">
            <v>34K</v>
          </cell>
          <cell r="P3955" t="str">
            <v>34K825000</v>
          </cell>
          <cell r="Q3955" t="str">
            <v>51509</v>
          </cell>
        </row>
        <row r="3956">
          <cell r="N3956" t="str">
            <v>8250010</v>
          </cell>
          <cell r="O3956" t="str">
            <v/>
          </cell>
          <cell r="P3956" t="str">
            <v/>
          </cell>
          <cell r="Q3956" t="str">
            <v>51509</v>
          </cell>
        </row>
        <row r="3957">
          <cell r="N3957" t="str">
            <v>8250010</v>
          </cell>
          <cell r="O3957" t="str">
            <v>ONL</v>
          </cell>
          <cell r="P3957" t="str">
            <v>ONL8250010</v>
          </cell>
          <cell r="Q3957" t="str">
            <v>51509</v>
          </cell>
        </row>
        <row r="3958">
          <cell r="N3958" t="str">
            <v>8250011</v>
          </cell>
          <cell r="O3958" t="str">
            <v/>
          </cell>
          <cell r="P3958" t="str">
            <v/>
          </cell>
          <cell r="Q3958" t="str">
            <v>501530370</v>
          </cell>
        </row>
        <row r="3959">
          <cell r="N3959" t="str">
            <v>8250011</v>
          </cell>
          <cell r="O3959" t="str">
            <v>ONL</v>
          </cell>
          <cell r="P3959" t="str">
            <v>ONL8250011</v>
          </cell>
          <cell r="Q3959" t="str">
            <v>501530370</v>
          </cell>
        </row>
        <row r="3960">
          <cell r="N3960" t="str">
            <v>82502</v>
          </cell>
          <cell r="O3960" t="str">
            <v/>
          </cell>
          <cell r="P3960" t="str">
            <v/>
          </cell>
          <cell r="Q3960" t="str">
            <v>51509</v>
          </cell>
        </row>
        <row r="3961">
          <cell r="N3961" t="str">
            <v>82502</v>
          </cell>
          <cell r="O3961" t="str">
            <v>ZCB</v>
          </cell>
          <cell r="P3961" t="str">
            <v>ZCB82502</v>
          </cell>
          <cell r="Q3961" t="str">
            <v>51509</v>
          </cell>
        </row>
        <row r="3962">
          <cell r="N3962" t="str">
            <v>82502</v>
          </cell>
          <cell r="O3962" t="str">
            <v>111</v>
          </cell>
          <cell r="P3962" t="str">
            <v>11182502</v>
          </cell>
          <cell r="Q3962" t="str">
            <v>51509</v>
          </cell>
        </row>
        <row r="3963">
          <cell r="N3963" t="str">
            <v>825301</v>
          </cell>
          <cell r="O3963" t="str">
            <v/>
          </cell>
          <cell r="P3963" t="str">
            <v/>
          </cell>
          <cell r="Q3963" t="str">
            <v>51580</v>
          </cell>
        </row>
        <row r="3964">
          <cell r="N3964" t="str">
            <v>825301</v>
          </cell>
          <cell r="O3964" t="str">
            <v>LRA</v>
          </cell>
          <cell r="P3964" t="str">
            <v>LRA825301</v>
          </cell>
          <cell r="Q3964" t="str">
            <v>51580</v>
          </cell>
        </row>
        <row r="3965">
          <cell r="N3965" t="str">
            <v>825301</v>
          </cell>
          <cell r="O3965" t="str">
            <v>ONL</v>
          </cell>
          <cell r="P3965" t="str">
            <v>ONL825301</v>
          </cell>
          <cell r="Q3965" t="str">
            <v>51580</v>
          </cell>
        </row>
        <row r="3966">
          <cell r="N3966" t="str">
            <v>825301</v>
          </cell>
          <cell r="O3966" t="str">
            <v>TIT</v>
          </cell>
          <cell r="P3966" t="str">
            <v>TIT825301</v>
          </cell>
          <cell r="Q3966" t="str">
            <v>51580</v>
          </cell>
        </row>
        <row r="3967">
          <cell r="N3967" t="str">
            <v>8932</v>
          </cell>
          <cell r="O3967" t="str">
            <v/>
          </cell>
          <cell r="P3967" t="str">
            <v/>
          </cell>
          <cell r="Q3967" t="str">
            <v/>
          </cell>
        </row>
        <row r="3968">
          <cell r="N3968" t="str">
            <v>8932</v>
          </cell>
          <cell r="O3968" t="str">
            <v>CGT</v>
          </cell>
          <cell r="P3968" t="str">
            <v>CGT8932</v>
          </cell>
          <cell r="Q3968" t="str">
            <v/>
          </cell>
        </row>
        <row r="3969">
          <cell r="N3969" t="str">
            <v>8932</v>
          </cell>
          <cell r="O3969" t="str">
            <v>EDG</v>
          </cell>
          <cell r="P3969" t="str">
            <v>EDG8932</v>
          </cell>
          <cell r="Q3969" t="str">
            <v/>
          </cell>
        </row>
        <row r="3970">
          <cell r="N3970" t="str">
            <v>8932</v>
          </cell>
          <cell r="O3970" t="str">
            <v>REG</v>
          </cell>
          <cell r="P3970" t="str">
            <v>REG8932</v>
          </cell>
          <cell r="Q3970" t="str">
            <v/>
          </cell>
        </row>
        <row r="3971">
          <cell r="N3971" t="str">
            <v>8932</v>
          </cell>
          <cell r="O3971" t="str">
            <v>TIT</v>
          </cell>
          <cell r="P3971" t="str">
            <v>TIT8932</v>
          </cell>
          <cell r="Q3971" t="str">
            <v/>
          </cell>
        </row>
        <row r="3972">
          <cell r="N3972" t="str">
            <v>8932</v>
          </cell>
          <cell r="O3972" t="str">
            <v>00T</v>
          </cell>
          <cell r="P3972" t="str">
            <v>00T8932</v>
          </cell>
          <cell r="Q3972" t="str">
            <v/>
          </cell>
        </row>
        <row r="3973">
          <cell r="N3973" t="str">
            <v>8999</v>
          </cell>
          <cell r="O3973" t="str">
            <v/>
          </cell>
          <cell r="P3973" t="str">
            <v/>
          </cell>
          <cell r="Q3973" t="str">
            <v/>
          </cell>
        </row>
        <row r="3974">
          <cell r="N3974" t="str">
            <v>8999</v>
          </cell>
          <cell r="O3974" t="str">
            <v>GVC</v>
          </cell>
          <cell r="P3974" t="str">
            <v>GVC8999</v>
          </cell>
          <cell r="Q3974" t="str">
            <v/>
          </cell>
        </row>
        <row r="3975">
          <cell r="N3975" t="str">
            <v/>
          </cell>
          <cell r="O3975" t="str">
            <v/>
          </cell>
          <cell r="P3975" t="str">
            <v/>
          </cell>
          <cell r="Q3975" t="str">
            <v/>
          </cell>
        </row>
        <row r="3976">
          <cell r="N3976" t="str">
            <v>7799</v>
          </cell>
          <cell r="O3976" t="str">
            <v/>
          </cell>
          <cell r="P3976" t="str">
            <v/>
          </cell>
          <cell r="Q3976" t="str">
            <v/>
          </cell>
        </row>
        <row r="3977">
          <cell r="N3977" t="str">
            <v>7799</v>
          </cell>
          <cell r="O3977" t="str">
            <v>RBZ</v>
          </cell>
          <cell r="P3977" t="str">
            <v>RBZ7799</v>
          </cell>
          <cell r="Q3977" t="str">
            <v/>
          </cell>
        </row>
        <row r="3978">
          <cell r="N3978" t="str">
            <v>82500</v>
          </cell>
          <cell r="O3978" t="str">
            <v/>
          </cell>
          <cell r="P3978" t="str">
            <v/>
          </cell>
          <cell r="Q3978" t="str">
            <v/>
          </cell>
        </row>
        <row r="3979">
          <cell r="N3979" t="str">
            <v>82500</v>
          </cell>
          <cell r="O3979" t="str">
            <v>RBZ</v>
          </cell>
          <cell r="P3979" t="str">
            <v>RBZ82500</v>
          </cell>
          <cell r="Q3979" t="str">
            <v/>
          </cell>
        </row>
        <row r="3980">
          <cell r="N3980" t="str">
            <v>825000</v>
          </cell>
          <cell r="O3980" t="str">
            <v/>
          </cell>
          <cell r="P3980" t="str">
            <v/>
          </cell>
          <cell r="Q3980" t="str">
            <v>51509</v>
          </cell>
        </row>
        <row r="3981">
          <cell r="N3981" t="str">
            <v>825000</v>
          </cell>
          <cell r="O3981" t="str">
            <v>AWF</v>
          </cell>
          <cell r="P3981" t="str">
            <v>AWF825000</v>
          </cell>
          <cell r="Q3981" t="str">
            <v>51509</v>
          </cell>
        </row>
        <row r="3982">
          <cell r="N3982" t="str">
            <v>825000</v>
          </cell>
          <cell r="O3982" t="str">
            <v>AWG</v>
          </cell>
          <cell r="P3982" t="str">
            <v>AWG825000</v>
          </cell>
          <cell r="Q3982" t="str">
            <v>51509</v>
          </cell>
        </row>
        <row r="3983">
          <cell r="N3983" t="str">
            <v>825000</v>
          </cell>
          <cell r="O3983" t="str">
            <v>AWH</v>
          </cell>
          <cell r="P3983" t="str">
            <v>AWH825000</v>
          </cell>
          <cell r="Q3983" t="str">
            <v>51509</v>
          </cell>
        </row>
        <row r="3984">
          <cell r="N3984" t="str">
            <v>825000</v>
          </cell>
          <cell r="O3984" t="str">
            <v>ZCB</v>
          </cell>
          <cell r="P3984" t="str">
            <v>ZCB825000</v>
          </cell>
          <cell r="Q3984" t="str">
            <v>51509</v>
          </cell>
        </row>
        <row r="3985">
          <cell r="N3985" t="str">
            <v>82502</v>
          </cell>
          <cell r="O3985" t="str">
            <v/>
          </cell>
          <cell r="P3985" t="str">
            <v/>
          </cell>
          <cell r="Q3985" t="str">
            <v>51509</v>
          </cell>
        </row>
        <row r="3986">
          <cell r="N3986" t="str">
            <v>82502</v>
          </cell>
          <cell r="O3986" t="str">
            <v>CDC</v>
          </cell>
          <cell r="P3986" t="str">
            <v>CDC82502</v>
          </cell>
          <cell r="Q3986" t="str">
            <v>51509</v>
          </cell>
        </row>
        <row r="3987">
          <cell r="N3987" t="str">
            <v>82502</v>
          </cell>
          <cell r="O3987" t="str">
            <v>TIT</v>
          </cell>
          <cell r="P3987" t="str">
            <v>TIT82502</v>
          </cell>
          <cell r="Q3987" t="str">
            <v>51509</v>
          </cell>
        </row>
        <row r="3988">
          <cell r="N3988" t="str">
            <v/>
          </cell>
          <cell r="O3988" t="str">
            <v/>
          </cell>
          <cell r="P3988" t="str">
            <v/>
          </cell>
          <cell r="Q3988" t="str">
            <v/>
          </cell>
        </row>
        <row r="3989">
          <cell r="N3989" t="str">
            <v>779900</v>
          </cell>
          <cell r="O3989" t="str">
            <v/>
          </cell>
          <cell r="P3989" t="str">
            <v/>
          </cell>
          <cell r="Q3989" t="str">
            <v>450880910</v>
          </cell>
        </row>
        <row r="3990">
          <cell r="N3990" t="str">
            <v>779900</v>
          </cell>
          <cell r="O3990" t="str">
            <v>ECU</v>
          </cell>
          <cell r="P3990" t="str">
            <v>ECU779900</v>
          </cell>
          <cell r="Q3990" t="str">
            <v>450880910</v>
          </cell>
        </row>
        <row r="3991">
          <cell r="N3991" t="str">
            <v>82800</v>
          </cell>
          <cell r="O3991" t="str">
            <v/>
          </cell>
          <cell r="P3991" t="str">
            <v/>
          </cell>
          <cell r="Q3991" t="str">
            <v/>
          </cell>
        </row>
        <row r="3992">
          <cell r="N3992" t="str">
            <v>82800</v>
          </cell>
          <cell r="O3992" t="str">
            <v>ACC</v>
          </cell>
          <cell r="P3992" t="str">
            <v>ACC82800</v>
          </cell>
          <cell r="Q3992" t="str">
            <v/>
          </cell>
        </row>
        <row r="3993">
          <cell r="N3993" t="str">
            <v>82800</v>
          </cell>
          <cell r="O3993" t="str">
            <v>CPD</v>
          </cell>
          <cell r="P3993" t="str">
            <v>CPD82800</v>
          </cell>
          <cell r="Q3993" t="str">
            <v/>
          </cell>
        </row>
        <row r="3994">
          <cell r="N3994" t="str">
            <v>82800</v>
          </cell>
          <cell r="O3994" t="str">
            <v>CPJ</v>
          </cell>
          <cell r="P3994" t="str">
            <v>CPJ82800</v>
          </cell>
          <cell r="Q3994" t="str">
            <v/>
          </cell>
        </row>
        <row r="3995">
          <cell r="N3995" t="str">
            <v>82800</v>
          </cell>
          <cell r="O3995" t="str">
            <v>E3T</v>
          </cell>
          <cell r="P3995" t="str">
            <v>E3T82800</v>
          </cell>
          <cell r="Q3995" t="str">
            <v/>
          </cell>
        </row>
        <row r="3996">
          <cell r="N3996" t="str">
            <v>82800</v>
          </cell>
          <cell r="O3996" t="str">
            <v>E6T</v>
          </cell>
          <cell r="P3996" t="str">
            <v>E6T82800</v>
          </cell>
          <cell r="Q3996" t="str">
            <v/>
          </cell>
        </row>
        <row r="3997">
          <cell r="N3997" t="str">
            <v>82800</v>
          </cell>
          <cell r="O3997" t="str">
            <v>ROC</v>
          </cell>
          <cell r="P3997" t="str">
            <v>ROC82800</v>
          </cell>
          <cell r="Q3997" t="str">
            <v/>
          </cell>
        </row>
        <row r="3998">
          <cell r="N3998" t="str">
            <v>82800</v>
          </cell>
          <cell r="O3998" t="str">
            <v>RPC</v>
          </cell>
          <cell r="P3998" t="str">
            <v>RPC82800</v>
          </cell>
          <cell r="Q3998" t="str">
            <v/>
          </cell>
        </row>
        <row r="3999">
          <cell r="N3999" t="str">
            <v>82800</v>
          </cell>
          <cell r="O3999" t="str">
            <v>SP2</v>
          </cell>
          <cell r="P3999" t="str">
            <v>SP282800</v>
          </cell>
          <cell r="Q3999" t="str">
            <v/>
          </cell>
        </row>
        <row r="4000">
          <cell r="N4000" t="str">
            <v>82800</v>
          </cell>
          <cell r="O4000" t="str">
            <v>W45</v>
          </cell>
          <cell r="P4000" t="str">
            <v>W4582800</v>
          </cell>
          <cell r="Q4000" t="str">
            <v/>
          </cell>
        </row>
        <row r="4001">
          <cell r="N4001" t="str">
            <v>82800</v>
          </cell>
          <cell r="O4001" t="str">
            <v>06T</v>
          </cell>
          <cell r="P4001" t="str">
            <v>06T82800</v>
          </cell>
          <cell r="Q4001" t="str">
            <v/>
          </cell>
        </row>
        <row r="4002">
          <cell r="N4002" t="str">
            <v>82800</v>
          </cell>
          <cell r="O4002" t="str">
            <v>47T</v>
          </cell>
          <cell r="P4002" t="str">
            <v>47T82800</v>
          </cell>
          <cell r="Q4002" t="str">
            <v/>
          </cell>
        </row>
        <row r="4003">
          <cell r="N4003" t="str">
            <v>828001</v>
          </cell>
          <cell r="O4003" t="str">
            <v/>
          </cell>
          <cell r="P4003" t="str">
            <v/>
          </cell>
          <cell r="Q4003" t="str">
            <v>51401</v>
          </cell>
        </row>
        <row r="4004">
          <cell r="N4004" t="str">
            <v>828001</v>
          </cell>
          <cell r="O4004" t="str">
            <v>ECU</v>
          </cell>
          <cell r="P4004" t="str">
            <v>ECU828001</v>
          </cell>
          <cell r="Q4004" t="str">
            <v>51401</v>
          </cell>
        </row>
        <row r="4005">
          <cell r="N4005" t="str">
            <v>828001</v>
          </cell>
          <cell r="O4005" t="str">
            <v>W45</v>
          </cell>
          <cell r="P4005" t="str">
            <v>W45828001</v>
          </cell>
          <cell r="Q4005" t="str">
            <v>51401</v>
          </cell>
        </row>
        <row r="4006">
          <cell r="N4006" t="str">
            <v>828001</v>
          </cell>
          <cell r="O4006" t="str">
            <v>06T</v>
          </cell>
          <cell r="P4006" t="str">
            <v>06T828001</v>
          </cell>
          <cell r="Q4006" t="str">
            <v>51401</v>
          </cell>
        </row>
        <row r="4007">
          <cell r="N4007" t="str">
            <v>828001</v>
          </cell>
          <cell r="O4007" t="str">
            <v>47T</v>
          </cell>
          <cell r="P4007" t="str">
            <v>47T828001</v>
          </cell>
          <cell r="Q4007" t="str">
            <v>51401</v>
          </cell>
        </row>
        <row r="4008">
          <cell r="N4008" t="str">
            <v>8999</v>
          </cell>
          <cell r="O4008" t="str">
            <v/>
          </cell>
          <cell r="P4008" t="str">
            <v/>
          </cell>
          <cell r="Q4008" t="str">
            <v/>
          </cell>
        </row>
        <row r="4009">
          <cell r="N4009" t="str">
            <v>8999</v>
          </cell>
          <cell r="O4009" t="str">
            <v>ECU</v>
          </cell>
          <cell r="P4009" t="str">
            <v>ECU8999</v>
          </cell>
          <cell r="Q4009" t="str">
            <v/>
          </cell>
        </row>
        <row r="4010">
          <cell r="N4010" t="str">
            <v/>
          </cell>
          <cell r="O4010" t="str">
            <v/>
          </cell>
          <cell r="P4010" t="str">
            <v/>
          </cell>
          <cell r="Q4010" t="str">
            <v/>
          </cell>
        </row>
        <row r="4011">
          <cell r="N4011" t="str">
            <v>82800</v>
          </cell>
          <cell r="O4011" t="str">
            <v/>
          </cell>
          <cell r="P4011" t="str">
            <v/>
          </cell>
          <cell r="Q4011" t="str">
            <v/>
          </cell>
        </row>
        <row r="4012">
          <cell r="N4012" t="str">
            <v>82800</v>
          </cell>
          <cell r="O4012" t="str">
            <v>TT2</v>
          </cell>
          <cell r="P4012" t="str">
            <v>TT282800</v>
          </cell>
          <cell r="Q4012" t="str">
            <v/>
          </cell>
        </row>
        <row r="4013">
          <cell r="N4013" t="str">
            <v>82800</v>
          </cell>
          <cell r="O4013" t="str">
            <v>04T</v>
          </cell>
          <cell r="P4013" t="str">
            <v>04T82800</v>
          </cell>
          <cell r="Q4013" t="str">
            <v/>
          </cell>
        </row>
        <row r="4014">
          <cell r="N4014" t="str">
            <v>828001</v>
          </cell>
          <cell r="O4014" t="str">
            <v/>
          </cell>
          <cell r="P4014" t="str">
            <v/>
          </cell>
          <cell r="Q4014" t="str">
            <v>51401</v>
          </cell>
        </row>
        <row r="4015">
          <cell r="N4015" t="str">
            <v>828001</v>
          </cell>
          <cell r="O4015" t="str">
            <v>TT2</v>
          </cell>
          <cell r="P4015" t="str">
            <v>TT2828001</v>
          </cell>
          <cell r="Q4015" t="str">
            <v>51401</v>
          </cell>
        </row>
        <row r="4016">
          <cell r="N4016" t="str">
            <v>828001</v>
          </cell>
          <cell r="O4016" t="str">
            <v>04T</v>
          </cell>
          <cell r="P4016" t="str">
            <v>04T828001</v>
          </cell>
          <cell r="Q4016" t="str">
            <v>51401</v>
          </cell>
        </row>
        <row r="4017">
          <cell r="N4017" t="str">
            <v>82801</v>
          </cell>
          <cell r="O4017" t="str">
            <v/>
          </cell>
          <cell r="P4017" t="str">
            <v/>
          </cell>
          <cell r="Q4017" t="str">
            <v>51401</v>
          </cell>
        </row>
        <row r="4018">
          <cell r="N4018" t="str">
            <v>82801</v>
          </cell>
          <cell r="O4018" t="str">
            <v>BTB</v>
          </cell>
          <cell r="P4018" t="str">
            <v>BTB82801</v>
          </cell>
          <cell r="Q4018" t="str">
            <v>51401</v>
          </cell>
        </row>
        <row r="4019">
          <cell r="N4019" t="str">
            <v>82801</v>
          </cell>
          <cell r="O4019" t="str">
            <v>!MF</v>
          </cell>
          <cell r="P4019" t="str">
            <v>!MF82801</v>
          </cell>
          <cell r="Q4019" t="str">
            <v>51401</v>
          </cell>
        </row>
        <row r="4020">
          <cell r="N4020" t="str">
            <v>82801</v>
          </cell>
          <cell r="O4020" t="str">
            <v>TIT</v>
          </cell>
          <cell r="P4020" t="str">
            <v>TIT82801</v>
          </cell>
          <cell r="Q4020" t="str">
            <v>51401</v>
          </cell>
        </row>
        <row r="4021">
          <cell r="N4021" t="str">
            <v>82801</v>
          </cell>
          <cell r="O4021" t="str">
            <v>T6D</v>
          </cell>
          <cell r="P4021" t="str">
            <v>T6D82801</v>
          </cell>
          <cell r="Q4021" t="str">
            <v>51401</v>
          </cell>
        </row>
        <row r="4022">
          <cell r="N4022" t="str">
            <v>82801</v>
          </cell>
          <cell r="O4022" t="str">
            <v>111</v>
          </cell>
          <cell r="P4022" t="str">
            <v>11182801</v>
          </cell>
          <cell r="Q4022" t="str">
            <v>51401</v>
          </cell>
        </row>
        <row r="4023">
          <cell r="N4023" t="str">
            <v>82801</v>
          </cell>
          <cell r="O4023" t="str">
            <v>16K</v>
          </cell>
          <cell r="P4023" t="str">
            <v>16K82801</v>
          </cell>
          <cell r="Q4023" t="str">
            <v>51401</v>
          </cell>
        </row>
        <row r="4024">
          <cell r="N4024" t="str">
            <v>82801</v>
          </cell>
          <cell r="O4024" t="str">
            <v>82W</v>
          </cell>
          <cell r="P4024" t="str">
            <v>82W82801</v>
          </cell>
          <cell r="Q4024" t="str">
            <v>51401</v>
          </cell>
        </row>
        <row r="4025">
          <cell r="N4025" t="str">
            <v/>
          </cell>
          <cell r="O4025" t="str">
            <v/>
          </cell>
          <cell r="P4025" t="str">
            <v/>
          </cell>
          <cell r="Q4025" t="str">
            <v/>
          </cell>
        </row>
        <row r="4026">
          <cell r="N4026" t="str">
            <v/>
          </cell>
          <cell r="O4026" t="str">
            <v/>
          </cell>
          <cell r="P4026" t="str">
            <v/>
          </cell>
          <cell r="Q4026" t="str">
            <v/>
          </cell>
        </row>
        <row r="4027">
          <cell r="N4027" t="str">
            <v>71809</v>
          </cell>
          <cell r="O4027" t="str">
            <v/>
          </cell>
          <cell r="P4027" t="str">
            <v/>
          </cell>
          <cell r="Q4027" t="str">
            <v>41401</v>
          </cell>
        </row>
        <row r="4028">
          <cell r="N4028" t="str">
            <v>71809</v>
          </cell>
          <cell r="O4028" t="str">
            <v>BRE</v>
          </cell>
          <cell r="P4028" t="str">
            <v>BRE71809</v>
          </cell>
          <cell r="Q4028" t="str">
            <v>41401</v>
          </cell>
        </row>
        <row r="4029">
          <cell r="N4029" t="str">
            <v>71809</v>
          </cell>
          <cell r="O4029" t="str">
            <v>DDB</v>
          </cell>
          <cell r="P4029" t="str">
            <v>DDB71809</v>
          </cell>
          <cell r="Q4029" t="str">
            <v>41401</v>
          </cell>
        </row>
        <row r="4030">
          <cell r="N4030" t="str">
            <v>71809</v>
          </cell>
          <cell r="O4030" t="str">
            <v>30T</v>
          </cell>
          <cell r="P4030" t="str">
            <v>30T71809</v>
          </cell>
          <cell r="Q4030" t="str">
            <v>41401</v>
          </cell>
        </row>
        <row r="4031">
          <cell r="N4031" t="str">
            <v>71809</v>
          </cell>
          <cell r="O4031" t="str">
            <v>76N</v>
          </cell>
          <cell r="P4031" t="str">
            <v>76N71809</v>
          </cell>
          <cell r="Q4031" t="str">
            <v>41401</v>
          </cell>
        </row>
        <row r="4032">
          <cell r="N4032" t="str">
            <v>71809</v>
          </cell>
          <cell r="O4032" t="str">
            <v>86N</v>
          </cell>
          <cell r="P4032" t="str">
            <v>86N71809</v>
          </cell>
          <cell r="Q4032" t="str">
            <v>41401</v>
          </cell>
        </row>
        <row r="4033">
          <cell r="N4033" t="str">
            <v>71892</v>
          </cell>
          <cell r="O4033" t="str">
            <v/>
          </cell>
          <cell r="P4033" t="str">
            <v/>
          </cell>
          <cell r="Q4033" t="str">
            <v>41401</v>
          </cell>
        </row>
        <row r="4034">
          <cell r="N4034" t="str">
            <v>71892</v>
          </cell>
          <cell r="O4034" t="str">
            <v>ONL</v>
          </cell>
          <cell r="P4034" t="str">
            <v>ONL71892</v>
          </cell>
          <cell r="Q4034" t="str">
            <v>41401</v>
          </cell>
        </row>
        <row r="4035">
          <cell r="N4035" t="str">
            <v>71892</v>
          </cell>
          <cell r="O4035" t="str">
            <v>111</v>
          </cell>
          <cell r="P4035" t="str">
            <v>11171892</v>
          </cell>
          <cell r="Q4035" t="str">
            <v>41401</v>
          </cell>
        </row>
        <row r="4036">
          <cell r="N4036" t="str">
            <v>82800</v>
          </cell>
          <cell r="O4036" t="str">
            <v/>
          </cell>
          <cell r="P4036" t="str">
            <v/>
          </cell>
          <cell r="Q4036" t="str">
            <v/>
          </cell>
        </row>
        <row r="4037">
          <cell r="N4037" t="str">
            <v>82800</v>
          </cell>
          <cell r="O4037" t="str">
            <v>ONL</v>
          </cell>
          <cell r="P4037" t="str">
            <v>ONL82800</v>
          </cell>
          <cell r="Q4037" t="str">
            <v/>
          </cell>
        </row>
        <row r="4038">
          <cell r="N4038" t="str">
            <v>82800</v>
          </cell>
          <cell r="O4038" t="str">
            <v>TIT</v>
          </cell>
          <cell r="P4038" t="str">
            <v>TIT82800</v>
          </cell>
          <cell r="Q4038" t="str">
            <v/>
          </cell>
        </row>
        <row r="4039">
          <cell r="N4039" t="str">
            <v>82800</v>
          </cell>
          <cell r="O4039" t="str">
            <v>WWT</v>
          </cell>
          <cell r="P4039" t="str">
            <v>WWT82800</v>
          </cell>
          <cell r="Q4039" t="str">
            <v/>
          </cell>
        </row>
        <row r="4040">
          <cell r="N4040" t="str">
            <v>82800</v>
          </cell>
          <cell r="O4040" t="str">
            <v>0T9</v>
          </cell>
          <cell r="P4040" t="str">
            <v>0T982800</v>
          </cell>
          <cell r="Q4040" t="str">
            <v/>
          </cell>
        </row>
        <row r="4041">
          <cell r="N4041" t="str">
            <v>82800</v>
          </cell>
          <cell r="O4041" t="str">
            <v>111</v>
          </cell>
          <cell r="P4041" t="str">
            <v>11182800</v>
          </cell>
          <cell r="Q4041" t="str">
            <v/>
          </cell>
        </row>
        <row r="4042">
          <cell r="N4042" t="str">
            <v>82800</v>
          </cell>
          <cell r="O4042" t="str">
            <v>77T</v>
          </cell>
          <cell r="P4042" t="str">
            <v>77T82800</v>
          </cell>
          <cell r="Q4042" t="str">
            <v/>
          </cell>
        </row>
        <row r="4043">
          <cell r="N4043" t="str">
            <v>82800</v>
          </cell>
          <cell r="O4043" t="str">
            <v>86T</v>
          </cell>
          <cell r="P4043" t="str">
            <v>86T82800</v>
          </cell>
          <cell r="Q4043" t="str">
            <v/>
          </cell>
        </row>
        <row r="4044">
          <cell r="N4044" t="str">
            <v>828001</v>
          </cell>
          <cell r="O4044" t="str">
            <v/>
          </cell>
          <cell r="P4044" t="str">
            <v/>
          </cell>
          <cell r="Q4044" t="str">
            <v>51401</v>
          </cell>
        </row>
        <row r="4045">
          <cell r="N4045" t="str">
            <v>828001</v>
          </cell>
          <cell r="O4045" t="str">
            <v>WWT</v>
          </cell>
          <cell r="P4045" t="str">
            <v>WWT828001</v>
          </cell>
          <cell r="Q4045" t="str">
            <v>51401</v>
          </cell>
        </row>
        <row r="4046">
          <cell r="N4046" t="str">
            <v>828001</v>
          </cell>
          <cell r="O4046" t="str">
            <v>YYT</v>
          </cell>
          <cell r="P4046" t="str">
            <v>YYT828001</v>
          </cell>
          <cell r="Q4046" t="str">
            <v>51401</v>
          </cell>
        </row>
        <row r="4047">
          <cell r="N4047" t="str">
            <v>828001</v>
          </cell>
          <cell r="O4047" t="str">
            <v>77T</v>
          </cell>
          <cell r="P4047" t="str">
            <v>77T828001</v>
          </cell>
          <cell r="Q4047" t="str">
            <v>51401</v>
          </cell>
        </row>
        <row r="4048">
          <cell r="N4048" t="str">
            <v>828001</v>
          </cell>
          <cell r="O4048" t="str">
            <v>86T</v>
          </cell>
          <cell r="P4048" t="str">
            <v>86T828001</v>
          </cell>
          <cell r="Q4048" t="str">
            <v>51401</v>
          </cell>
        </row>
        <row r="4049">
          <cell r="N4049" t="str">
            <v/>
          </cell>
          <cell r="O4049" t="str">
            <v/>
          </cell>
          <cell r="P4049" t="str">
            <v/>
          </cell>
          <cell r="Q4049" t="str">
            <v/>
          </cell>
        </row>
        <row r="4050">
          <cell r="N4050" t="str">
            <v>82800</v>
          </cell>
          <cell r="O4050" t="str">
            <v/>
          </cell>
          <cell r="P4050" t="str">
            <v/>
          </cell>
          <cell r="Q4050" t="str">
            <v/>
          </cell>
        </row>
        <row r="4051">
          <cell r="N4051" t="str">
            <v>82800</v>
          </cell>
          <cell r="O4051" t="str">
            <v>TER</v>
          </cell>
          <cell r="P4051" t="str">
            <v>TER82800</v>
          </cell>
          <cell r="Q4051" t="str">
            <v/>
          </cell>
        </row>
        <row r="4052">
          <cell r="N4052" t="str">
            <v>82801</v>
          </cell>
          <cell r="O4052" t="str">
            <v/>
          </cell>
          <cell r="P4052" t="str">
            <v/>
          </cell>
          <cell r="Q4052" t="str">
            <v>51401</v>
          </cell>
        </row>
        <row r="4053">
          <cell r="N4053" t="str">
            <v>82801</v>
          </cell>
          <cell r="O4053" t="str">
            <v>BTA</v>
          </cell>
          <cell r="P4053" t="str">
            <v>BTA82801</v>
          </cell>
          <cell r="Q4053" t="str">
            <v>51401</v>
          </cell>
        </row>
        <row r="4054">
          <cell r="N4054" t="str">
            <v>82801</v>
          </cell>
          <cell r="O4054" t="str">
            <v>BTF</v>
          </cell>
          <cell r="P4054" t="str">
            <v>BTF82801</v>
          </cell>
          <cell r="Q4054" t="str">
            <v>51401</v>
          </cell>
        </row>
        <row r="4055">
          <cell r="N4055" t="str">
            <v>82801</v>
          </cell>
          <cell r="O4055" t="str">
            <v>BTG</v>
          </cell>
          <cell r="P4055" t="str">
            <v>BTG82801</v>
          </cell>
          <cell r="Q4055" t="str">
            <v>51401</v>
          </cell>
        </row>
        <row r="4056">
          <cell r="N4056" t="str">
            <v>82801</v>
          </cell>
          <cell r="O4056" t="str">
            <v>BUA</v>
          </cell>
          <cell r="P4056" t="str">
            <v>BUA82801</v>
          </cell>
          <cell r="Q4056" t="str">
            <v>51401</v>
          </cell>
        </row>
        <row r="4057">
          <cell r="N4057" t="str">
            <v>82801</v>
          </cell>
          <cell r="O4057" t="str">
            <v>BUF</v>
          </cell>
          <cell r="P4057" t="str">
            <v>BUF82801</v>
          </cell>
          <cell r="Q4057" t="str">
            <v>51401</v>
          </cell>
        </row>
        <row r="4058">
          <cell r="N4058" t="str">
            <v>82801</v>
          </cell>
          <cell r="O4058" t="str">
            <v>BUH</v>
          </cell>
          <cell r="P4058" t="str">
            <v>BUH82801</v>
          </cell>
          <cell r="Q4058" t="str">
            <v>51401</v>
          </cell>
        </row>
        <row r="4059">
          <cell r="N4059" t="str">
            <v>82801</v>
          </cell>
          <cell r="O4059" t="str">
            <v>BUW</v>
          </cell>
          <cell r="P4059" t="str">
            <v>BUW82801</v>
          </cell>
          <cell r="Q4059" t="str">
            <v>51401</v>
          </cell>
        </row>
        <row r="4060">
          <cell r="N4060" t="str">
            <v>82801</v>
          </cell>
          <cell r="O4060" t="str">
            <v>BUY</v>
          </cell>
          <cell r="P4060" t="str">
            <v>BUY82801</v>
          </cell>
          <cell r="Q4060" t="str">
            <v>51401</v>
          </cell>
        </row>
        <row r="4061">
          <cell r="N4061" t="str">
            <v>82801</v>
          </cell>
          <cell r="O4061" t="str">
            <v>ECU</v>
          </cell>
          <cell r="P4061" t="str">
            <v>ECU82801</v>
          </cell>
          <cell r="Q4061" t="str">
            <v>51401</v>
          </cell>
        </row>
        <row r="4062">
          <cell r="N4062" t="str">
            <v>82801</v>
          </cell>
          <cell r="O4062" t="str">
            <v>ONL</v>
          </cell>
          <cell r="P4062" t="str">
            <v>ONL82801</v>
          </cell>
          <cell r="Q4062" t="str">
            <v>51401</v>
          </cell>
        </row>
        <row r="4063">
          <cell r="N4063" t="str">
            <v>82801</v>
          </cell>
          <cell r="O4063" t="str">
            <v>T6K</v>
          </cell>
          <cell r="P4063" t="str">
            <v>T6K82801</v>
          </cell>
          <cell r="Q4063" t="str">
            <v>51401</v>
          </cell>
        </row>
        <row r="4064">
          <cell r="N4064" t="str">
            <v/>
          </cell>
          <cell r="O4064" t="str">
            <v/>
          </cell>
          <cell r="P4064" t="str">
            <v/>
          </cell>
          <cell r="Q4064" t="str">
            <v/>
          </cell>
        </row>
        <row r="4065">
          <cell r="N4065" t="str">
            <v>82803</v>
          </cell>
          <cell r="O4065" t="str">
            <v/>
          </cell>
          <cell r="P4065" t="str">
            <v/>
          </cell>
          <cell r="Q4065" t="str">
            <v>51400</v>
          </cell>
        </row>
        <row r="4066">
          <cell r="N4066" t="str">
            <v>82803</v>
          </cell>
          <cell r="O4066" t="str">
            <v>ZZB</v>
          </cell>
          <cell r="P4066" t="str">
            <v>ZZB82803</v>
          </cell>
          <cell r="Q4066" t="str">
            <v>51400</v>
          </cell>
        </row>
        <row r="4067">
          <cell r="N4067" t="str">
            <v>82803</v>
          </cell>
          <cell r="O4067" t="str">
            <v>ZZP</v>
          </cell>
          <cell r="P4067" t="str">
            <v>ZZP82803</v>
          </cell>
          <cell r="Q4067" t="str">
            <v>51400</v>
          </cell>
        </row>
        <row r="4068">
          <cell r="N4068" t="str">
            <v>82803</v>
          </cell>
          <cell r="O4068" t="str">
            <v>ZZT</v>
          </cell>
          <cell r="P4068" t="str">
            <v>ZZT82803</v>
          </cell>
          <cell r="Q4068" t="str">
            <v>51400</v>
          </cell>
        </row>
        <row r="4069">
          <cell r="N4069" t="str">
            <v/>
          </cell>
          <cell r="O4069" t="str">
            <v/>
          </cell>
          <cell r="P4069" t="str">
            <v/>
          </cell>
          <cell r="Q4069" t="str">
            <v/>
          </cell>
        </row>
        <row r="4070">
          <cell r="N4070" t="str">
            <v/>
          </cell>
          <cell r="O4070" t="str">
            <v/>
          </cell>
          <cell r="P4070" t="str">
            <v/>
          </cell>
          <cell r="Q4070" t="str">
            <v/>
          </cell>
        </row>
        <row r="4071">
          <cell r="N4071" t="str">
            <v/>
          </cell>
          <cell r="O4071" t="str">
            <v/>
          </cell>
          <cell r="P4071" t="str">
            <v/>
          </cell>
          <cell r="Q4071" t="str">
            <v/>
          </cell>
        </row>
        <row r="4072">
          <cell r="N4072" t="str">
            <v>5899706</v>
          </cell>
          <cell r="O4072" t="str">
            <v/>
          </cell>
          <cell r="P4072" t="str">
            <v/>
          </cell>
          <cell r="Q4072" t="str">
            <v/>
          </cell>
        </row>
        <row r="4073">
          <cell r="N4073" t="str">
            <v>5899706</v>
          </cell>
          <cell r="O4073" t="str">
            <v>K6C</v>
          </cell>
          <cell r="P4073" t="str">
            <v>K6C5899706</v>
          </cell>
          <cell r="Q4073" t="str">
            <v/>
          </cell>
        </row>
        <row r="4074">
          <cell r="N4074" t="str">
            <v>5899706</v>
          </cell>
          <cell r="O4074" t="str">
            <v>K7C</v>
          </cell>
          <cell r="P4074" t="str">
            <v>K7C5899706</v>
          </cell>
          <cell r="Q4074" t="str">
            <v/>
          </cell>
        </row>
        <row r="4075">
          <cell r="N4075" t="str">
            <v>58997060</v>
          </cell>
          <cell r="O4075" t="str">
            <v/>
          </cell>
          <cell r="P4075" t="str">
            <v/>
          </cell>
          <cell r="Q4075" t="str">
            <v>2999</v>
          </cell>
        </row>
        <row r="4076">
          <cell r="N4076" t="str">
            <v>58997060</v>
          </cell>
          <cell r="O4076" t="str">
            <v>K6C</v>
          </cell>
          <cell r="P4076" t="str">
            <v>K6C58997060</v>
          </cell>
          <cell r="Q4076" t="str">
            <v>2999</v>
          </cell>
        </row>
        <row r="4077">
          <cell r="N4077" t="str">
            <v>58997060</v>
          </cell>
          <cell r="O4077" t="str">
            <v>K7C</v>
          </cell>
          <cell r="P4077" t="str">
            <v>K7C58997060</v>
          </cell>
          <cell r="Q4077" t="str">
            <v>2999</v>
          </cell>
        </row>
        <row r="4078">
          <cell r="N4078" t="str">
            <v>8280000</v>
          </cell>
          <cell r="O4078" t="str">
            <v/>
          </cell>
          <cell r="P4078" t="str">
            <v/>
          </cell>
          <cell r="Q4078" t="str">
            <v>51400</v>
          </cell>
        </row>
        <row r="4079">
          <cell r="N4079" t="str">
            <v>8280000</v>
          </cell>
          <cell r="O4079" t="str">
            <v>ECU</v>
          </cell>
          <cell r="P4079" t="str">
            <v>ECU8280000</v>
          </cell>
          <cell r="Q4079" t="str">
            <v>51400</v>
          </cell>
        </row>
        <row r="4080">
          <cell r="N4080" t="str">
            <v>8280000</v>
          </cell>
          <cell r="O4080" t="str">
            <v>K1C</v>
          </cell>
          <cell r="P4080" t="str">
            <v>K1C8280000</v>
          </cell>
          <cell r="Q4080" t="str">
            <v>51400</v>
          </cell>
        </row>
        <row r="4081">
          <cell r="N4081" t="str">
            <v>8280000</v>
          </cell>
          <cell r="O4081" t="str">
            <v>L01</v>
          </cell>
          <cell r="P4081" t="str">
            <v>L018280000</v>
          </cell>
          <cell r="Q4081" t="str">
            <v>51400</v>
          </cell>
        </row>
        <row r="4082">
          <cell r="N4082" t="str">
            <v>8280000</v>
          </cell>
          <cell r="O4082" t="str">
            <v>ONL</v>
          </cell>
          <cell r="P4082" t="str">
            <v>ONL8280000</v>
          </cell>
          <cell r="Q4082" t="str">
            <v>51400</v>
          </cell>
        </row>
        <row r="4083">
          <cell r="N4083" t="str">
            <v>8280000</v>
          </cell>
          <cell r="O4083" t="str">
            <v>PPC</v>
          </cell>
          <cell r="P4083" t="str">
            <v>PPC8280000</v>
          </cell>
          <cell r="Q4083" t="str">
            <v>51400</v>
          </cell>
        </row>
        <row r="4084">
          <cell r="N4084" t="str">
            <v>8280000</v>
          </cell>
          <cell r="O4084" t="str">
            <v>TIL</v>
          </cell>
          <cell r="P4084" t="str">
            <v>TIL8280000</v>
          </cell>
          <cell r="Q4084" t="str">
            <v>51400</v>
          </cell>
        </row>
        <row r="4085">
          <cell r="N4085" t="str">
            <v>8280000</v>
          </cell>
          <cell r="O4085" t="str">
            <v>111</v>
          </cell>
          <cell r="P4085" t="str">
            <v>1118280000</v>
          </cell>
          <cell r="Q4085" t="str">
            <v>51400</v>
          </cell>
        </row>
        <row r="4086">
          <cell r="N4086" t="str">
            <v/>
          </cell>
          <cell r="O4086" t="str">
            <v/>
          </cell>
          <cell r="P4086" t="str">
            <v/>
          </cell>
          <cell r="Q4086" t="str">
            <v/>
          </cell>
        </row>
        <row r="4087">
          <cell r="N4087" t="str">
            <v>8280000</v>
          </cell>
          <cell r="O4087" t="str">
            <v/>
          </cell>
          <cell r="P4087" t="str">
            <v/>
          </cell>
          <cell r="Q4087" t="str">
            <v>51400</v>
          </cell>
        </row>
        <row r="4088">
          <cell r="N4088" t="str">
            <v>8280000</v>
          </cell>
          <cell r="O4088" t="str">
            <v>K6D</v>
          </cell>
          <cell r="P4088" t="str">
            <v>K6D8280000</v>
          </cell>
          <cell r="Q4088" t="str">
            <v>51400</v>
          </cell>
        </row>
        <row r="4089">
          <cell r="N4089" t="str">
            <v>8280000</v>
          </cell>
          <cell r="O4089" t="str">
            <v>K7D</v>
          </cell>
          <cell r="P4089" t="str">
            <v>K7D8280000</v>
          </cell>
          <cell r="Q4089" t="str">
            <v>51400</v>
          </cell>
        </row>
        <row r="4090">
          <cell r="N4090" t="str">
            <v/>
          </cell>
          <cell r="O4090" t="str">
            <v/>
          </cell>
          <cell r="P4090" t="str">
            <v/>
          </cell>
          <cell r="Q4090" t="str">
            <v/>
          </cell>
        </row>
        <row r="4091">
          <cell r="N4091" t="str">
            <v/>
          </cell>
          <cell r="O4091" t="str">
            <v/>
          </cell>
          <cell r="P4091" t="str">
            <v/>
          </cell>
          <cell r="Q4091" t="str">
            <v/>
          </cell>
        </row>
        <row r="4092">
          <cell r="N4092" t="str">
            <v>5899706</v>
          </cell>
          <cell r="O4092" t="str">
            <v/>
          </cell>
          <cell r="P4092" t="str">
            <v/>
          </cell>
          <cell r="Q4092" t="str">
            <v/>
          </cell>
        </row>
        <row r="4093">
          <cell r="N4093" t="str">
            <v>5899706</v>
          </cell>
          <cell r="O4093" t="str">
            <v>K4C</v>
          </cell>
          <cell r="P4093" t="str">
            <v>K4C5899706</v>
          </cell>
          <cell r="Q4093" t="str">
            <v/>
          </cell>
        </row>
        <row r="4094">
          <cell r="N4094" t="str">
            <v>5899706</v>
          </cell>
          <cell r="O4094" t="str">
            <v>K5C</v>
          </cell>
          <cell r="P4094" t="str">
            <v>K5C5899706</v>
          </cell>
          <cell r="Q4094" t="str">
            <v/>
          </cell>
        </row>
        <row r="4095">
          <cell r="N4095" t="str">
            <v>58997060</v>
          </cell>
          <cell r="O4095" t="str">
            <v/>
          </cell>
          <cell r="P4095" t="str">
            <v/>
          </cell>
          <cell r="Q4095" t="str">
            <v>2999</v>
          </cell>
        </row>
        <row r="4096">
          <cell r="N4096" t="str">
            <v>58997060</v>
          </cell>
          <cell r="O4096" t="str">
            <v>K4C</v>
          </cell>
          <cell r="P4096" t="str">
            <v>K4C58997060</v>
          </cell>
          <cell r="Q4096" t="str">
            <v>2999</v>
          </cell>
        </row>
        <row r="4097">
          <cell r="N4097" t="str">
            <v>58997060</v>
          </cell>
          <cell r="O4097" t="str">
            <v>K5C</v>
          </cell>
          <cell r="P4097" t="str">
            <v>K5C58997060</v>
          </cell>
          <cell r="Q4097" t="str">
            <v>2999</v>
          </cell>
        </row>
        <row r="4098">
          <cell r="N4098" t="str">
            <v>8280002</v>
          </cell>
          <cell r="O4098" t="str">
            <v/>
          </cell>
          <cell r="P4098" t="str">
            <v/>
          </cell>
          <cell r="Q4098" t="str">
            <v>51400</v>
          </cell>
        </row>
        <row r="4099">
          <cell r="N4099" t="str">
            <v>8280002</v>
          </cell>
          <cell r="O4099" t="str">
            <v>K3C</v>
          </cell>
          <cell r="P4099" t="str">
            <v>K3C8280002</v>
          </cell>
          <cell r="Q4099" t="str">
            <v>51400</v>
          </cell>
        </row>
        <row r="4100">
          <cell r="N4100" t="str">
            <v>8280002</v>
          </cell>
          <cell r="O4100" t="str">
            <v>ONL</v>
          </cell>
          <cell r="P4100" t="str">
            <v>ONL8280002</v>
          </cell>
          <cell r="Q4100" t="str">
            <v>51400</v>
          </cell>
        </row>
        <row r="4101">
          <cell r="N4101" t="str">
            <v/>
          </cell>
          <cell r="O4101" t="str">
            <v/>
          </cell>
          <cell r="P4101" t="str">
            <v/>
          </cell>
          <cell r="Q4101" t="str">
            <v/>
          </cell>
        </row>
        <row r="4102">
          <cell r="N4102" t="str">
            <v>8280002</v>
          </cell>
          <cell r="O4102" t="str">
            <v/>
          </cell>
          <cell r="P4102" t="str">
            <v/>
          </cell>
          <cell r="Q4102" t="str">
            <v>51400</v>
          </cell>
        </row>
        <row r="4103">
          <cell r="N4103" t="str">
            <v>8280002</v>
          </cell>
          <cell r="O4103" t="str">
            <v>K4D</v>
          </cell>
          <cell r="P4103" t="str">
            <v>K4D8280002</v>
          </cell>
          <cell r="Q4103" t="str">
            <v>51400</v>
          </cell>
        </row>
        <row r="4104">
          <cell r="N4104" t="str">
            <v>8280002</v>
          </cell>
          <cell r="O4104" t="str">
            <v>K5D</v>
          </cell>
          <cell r="P4104" t="str">
            <v>K5D8280002</v>
          </cell>
          <cell r="Q4104" t="str">
            <v>51400</v>
          </cell>
        </row>
        <row r="4105">
          <cell r="N4105" t="str">
            <v/>
          </cell>
          <cell r="O4105" t="str">
            <v/>
          </cell>
          <cell r="P4105" t="str">
            <v/>
          </cell>
          <cell r="Q4105" t="str">
            <v/>
          </cell>
        </row>
        <row r="4106">
          <cell r="N4106" t="str">
            <v/>
          </cell>
          <cell r="O4106" t="str">
            <v/>
          </cell>
          <cell r="P4106" t="str">
            <v/>
          </cell>
          <cell r="Q4106" t="str">
            <v/>
          </cell>
        </row>
        <row r="4107">
          <cell r="N4107" t="str">
            <v/>
          </cell>
          <cell r="O4107" t="str">
            <v/>
          </cell>
          <cell r="P4107" t="str">
            <v/>
          </cell>
          <cell r="Q4107" t="str">
            <v/>
          </cell>
        </row>
        <row r="4108">
          <cell r="N4108" t="str">
            <v>7160</v>
          </cell>
          <cell r="O4108" t="str">
            <v/>
          </cell>
          <cell r="P4108" t="str">
            <v/>
          </cell>
          <cell r="Q4108" t="str">
            <v>4160</v>
          </cell>
        </row>
        <row r="4109">
          <cell r="N4109" t="str">
            <v>7160</v>
          </cell>
          <cell r="O4109" t="str">
            <v>111</v>
          </cell>
          <cell r="P4109" t="str">
            <v>1117160</v>
          </cell>
          <cell r="Q4109" t="str">
            <v>4160</v>
          </cell>
        </row>
        <row r="4110">
          <cell r="N4110" t="str">
            <v>71800</v>
          </cell>
          <cell r="O4110" t="str">
            <v/>
          </cell>
          <cell r="P4110" t="str">
            <v/>
          </cell>
          <cell r="Q4110" t="str">
            <v/>
          </cell>
        </row>
        <row r="4111">
          <cell r="N4111" t="str">
            <v>71800</v>
          </cell>
          <cell r="O4111" t="str">
            <v>LO1</v>
          </cell>
          <cell r="P4111" t="str">
            <v>LO171800</v>
          </cell>
          <cell r="Q4111" t="str">
            <v/>
          </cell>
        </row>
        <row r="4112">
          <cell r="N4112" t="str">
            <v>71800</v>
          </cell>
          <cell r="O4112" t="str">
            <v>LRA</v>
          </cell>
          <cell r="P4112" t="str">
            <v>LRA71800</v>
          </cell>
          <cell r="Q4112" t="str">
            <v/>
          </cell>
        </row>
        <row r="4113">
          <cell r="N4113" t="str">
            <v>71800</v>
          </cell>
          <cell r="O4113" t="str">
            <v>ONL</v>
          </cell>
          <cell r="P4113" t="str">
            <v>ONL71800</v>
          </cell>
          <cell r="Q4113" t="str">
            <v/>
          </cell>
        </row>
        <row r="4114">
          <cell r="N4114" t="str">
            <v>71800</v>
          </cell>
          <cell r="O4114" t="str">
            <v>TIT</v>
          </cell>
          <cell r="P4114" t="str">
            <v>TIT71800</v>
          </cell>
          <cell r="Q4114" t="str">
            <v/>
          </cell>
        </row>
        <row r="4115">
          <cell r="N4115" t="str">
            <v>71800</v>
          </cell>
          <cell r="O4115" t="str">
            <v>TRP</v>
          </cell>
          <cell r="P4115" t="str">
            <v>TRP71800</v>
          </cell>
          <cell r="Q4115" t="str">
            <v/>
          </cell>
        </row>
        <row r="4116">
          <cell r="N4116" t="str">
            <v>718000</v>
          </cell>
          <cell r="O4116" t="str">
            <v/>
          </cell>
          <cell r="P4116" t="str">
            <v/>
          </cell>
          <cell r="Q4116" t="str">
            <v>41401</v>
          </cell>
        </row>
        <row r="4117">
          <cell r="N4117" t="str">
            <v>718000</v>
          </cell>
          <cell r="O4117" t="str">
            <v>KRB</v>
          </cell>
          <cell r="P4117" t="str">
            <v>KRB718000</v>
          </cell>
          <cell r="Q4117" t="str">
            <v>41401</v>
          </cell>
        </row>
        <row r="4118">
          <cell r="N4118" t="str">
            <v>718000</v>
          </cell>
          <cell r="O4118" t="str">
            <v>LO1</v>
          </cell>
          <cell r="P4118" t="str">
            <v>LO1718000</v>
          </cell>
          <cell r="Q4118" t="str">
            <v>41401</v>
          </cell>
        </row>
        <row r="4119">
          <cell r="N4119" t="str">
            <v>718000</v>
          </cell>
          <cell r="O4119" t="str">
            <v>LRA</v>
          </cell>
          <cell r="P4119" t="str">
            <v>LRA718000</v>
          </cell>
          <cell r="Q4119" t="str">
            <v>41401</v>
          </cell>
        </row>
        <row r="4120">
          <cell r="N4120" t="str">
            <v>718000</v>
          </cell>
          <cell r="O4120" t="str">
            <v>L01</v>
          </cell>
          <cell r="P4120" t="str">
            <v>L01718000</v>
          </cell>
          <cell r="Q4120" t="str">
            <v>41401</v>
          </cell>
        </row>
        <row r="4121">
          <cell r="N4121" t="str">
            <v>718000</v>
          </cell>
          <cell r="O4121" t="str">
            <v>ONL</v>
          </cell>
          <cell r="P4121" t="str">
            <v>ONL718000</v>
          </cell>
          <cell r="Q4121" t="str">
            <v>41401</v>
          </cell>
        </row>
        <row r="4122">
          <cell r="N4122" t="str">
            <v>718000</v>
          </cell>
          <cell r="O4122" t="str">
            <v>TIT</v>
          </cell>
          <cell r="P4122" t="str">
            <v>TIT718000</v>
          </cell>
          <cell r="Q4122" t="str">
            <v>41401</v>
          </cell>
        </row>
        <row r="4123">
          <cell r="N4123" t="str">
            <v>718000</v>
          </cell>
          <cell r="O4123" t="str">
            <v>TRP</v>
          </cell>
          <cell r="P4123" t="str">
            <v>TRP718000</v>
          </cell>
          <cell r="Q4123" t="str">
            <v>41401</v>
          </cell>
        </row>
        <row r="4124">
          <cell r="N4124" t="str">
            <v>718000</v>
          </cell>
          <cell r="O4124" t="str">
            <v>111</v>
          </cell>
          <cell r="P4124" t="str">
            <v>111718000</v>
          </cell>
          <cell r="Q4124" t="str">
            <v>41401</v>
          </cell>
        </row>
        <row r="4125">
          <cell r="N4125" t="str">
            <v>718001</v>
          </cell>
          <cell r="O4125" t="str">
            <v/>
          </cell>
          <cell r="P4125" t="str">
            <v/>
          </cell>
          <cell r="Q4125" t="str">
            <v>41401</v>
          </cell>
        </row>
        <row r="4126">
          <cell r="N4126" t="str">
            <v>718001</v>
          </cell>
          <cell r="O4126" t="str">
            <v>KRB</v>
          </cell>
          <cell r="P4126" t="str">
            <v>KRB718001</v>
          </cell>
          <cell r="Q4126" t="str">
            <v>41401</v>
          </cell>
        </row>
        <row r="4127">
          <cell r="N4127" t="str">
            <v>718001</v>
          </cell>
          <cell r="O4127" t="str">
            <v>LO1</v>
          </cell>
          <cell r="P4127" t="str">
            <v>LO1718001</v>
          </cell>
          <cell r="Q4127" t="str">
            <v>41401</v>
          </cell>
        </row>
        <row r="4128">
          <cell r="N4128" t="str">
            <v>718001</v>
          </cell>
          <cell r="O4128" t="str">
            <v>LRA</v>
          </cell>
          <cell r="P4128" t="str">
            <v>LRA718001</v>
          </cell>
          <cell r="Q4128" t="str">
            <v>41401</v>
          </cell>
        </row>
        <row r="4129">
          <cell r="N4129" t="str">
            <v>718001</v>
          </cell>
          <cell r="O4129" t="str">
            <v>L01</v>
          </cell>
          <cell r="P4129" t="str">
            <v>L01718001</v>
          </cell>
          <cell r="Q4129" t="str">
            <v>41401</v>
          </cell>
        </row>
        <row r="4130">
          <cell r="N4130" t="str">
            <v>718001</v>
          </cell>
          <cell r="O4130" t="str">
            <v>ONL</v>
          </cell>
          <cell r="P4130" t="str">
            <v>ONL718001</v>
          </cell>
          <cell r="Q4130" t="str">
            <v>41401</v>
          </cell>
        </row>
        <row r="4131">
          <cell r="N4131" t="str">
            <v>718002</v>
          </cell>
          <cell r="O4131" t="str">
            <v/>
          </cell>
          <cell r="P4131" t="str">
            <v/>
          </cell>
          <cell r="Q4131" t="str">
            <v>41401</v>
          </cell>
        </row>
        <row r="4132">
          <cell r="N4132" t="str">
            <v>718002</v>
          </cell>
          <cell r="O4132" t="str">
            <v>KRB</v>
          </cell>
          <cell r="P4132" t="str">
            <v>KRB718002</v>
          </cell>
          <cell r="Q4132" t="str">
            <v>41401</v>
          </cell>
        </row>
        <row r="4133">
          <cell r="N4133" t="str">
            <v>718002</v>
          </cell>
          <cell r="O4133" t="str">
            <v>ONL</v>
          </cell>
          <cell r="P4133" t="str">
            <v>ONL718002</v>
          </cell>
          <cell r="Q4133" t="str">
            <v>41401</v>
          </cell>
        </row>
        <row r="4134">
          <cell r="N4134" t="str">
            <v>71809</v>
          </cell>
          <cell r="O4134" t="str">
            <v/>
          </cell>
          <cell r="P4134" t="str">
            <v/>
          </cell>
          <cell r="Q4134" t="str">
            <v>41401</v>
          </cell>
        </row>
        <row r="4135">
          <cell r="N4135" t="str">
            <v>71809</v>
          </cell>
          <cell r="O4135" t="str">
            <v>LRA</v>
          </cell>
          <cell r="P4135" t="str">
            <v>LRA71809</v>
          </cell>
          <cell r="Q4135" t="str">
            <v>41401</v>
          </cell>
        </row>
        <row r="4136">
          <cell r="N4136" t="str">
            <v>71809</v>
          </cell>
          <cell r="O4136" t="str">
            <v>ONL</v>
          </cell>
          <cell r="P4136" t="str">
            <v>ONL71809</v>
          </cell>
          <cell r="Q4136" t="str">
            <v>41401</v>
          </cell>
        </row>
        <row r="4137">
          <cell r="N4137" t="str">
            <v>71809</v>
          </cell>
          <cell r="O4137" t="str">
            <v>TIT</v>
          </cell>
          <cell r="P4137" t="str">
            <v>TIT71809</v>
          </cell>
          <cell r="Q4137" t="str">
            <v>41401</v>
          </cell>
        </row>
        <row r="4138">
          <cell r="N4138" t="str">
            <v>71809</v>
          </cell>
          <cell r="O4138" t="str">
            <v>111</v>
          </cell>
          <cell r="P4138" t="str">
            <v>11171809</v>
          </cell>
          <cell r="Q4138" t="str">
            <v>41401</v>
          </cell>
        </row>
        <row r="4139">
          <cell r="N4139" t="str">
            <v>7799</v>
          </cell>
          <cell r="O4139" t="str">
            <v/>
          </cell>
          <cell r="P4139" t="str">
            <v/>
          </cell>
          <cell r="Q4139" t="str">
            <v/>
          </cell>
        </row>
        <row r="4140">
          <cell r="N4140" t="str">
            <v>7799</v>
          </cell>
          <cell r="O4140" t="str">
            <v>TIT</v>
          </cell>
          <cell r="P4140" t="str">
            <v>TIT7799</v>
          </cell>
          <cell r="Q4140" t="str">
            <v/>
          </cell>
        </row>
        <row r="4141">
          <cell r="N4141" t="str">
            <v>77990</v>
          </cell>
          <cell r="O4141" t="str">
            <v/>
          </cell>
          <cell r="P4141" t="str">
            <v/>
          </cell>
          <cell r="Q4141" t="str">
            <v/>
          </cell>
        </row>
        <row r="4142">
          <cell r="N4142" t="str">
            <v>77990</v>
          </cell>
          <cell r="O4142" t="str">
            <v>TIT</v>
          </cell>
          <cell r="P4142" t="str">
            <v>TIT77990</v>
          </cell>
          <cell r="Q4142" t="str">
            <v/>
          </cell>
        </row>
        <row r="4143">
          <cell r="N4143" t="str">
            <v>779900</v>
          </cell>
          <cell r="O4143" t="str">
            <v/>
          </cell>
          <cell r="P4143" t="str">
            <v/>
          </cell>
          <cell r="Q4143" t="str">
            <v>450880910</v>
          </cell>
        </row>
        <row r="4144">
          <cell r="N4144" t="str">
            <v>779900</v>
          </cell>
          <cell r="O4144" t="str">
            <v>TIT</v>
          </cell>
          <cell r="P4144" t="str">
            <v>TIT779900</v>
          </cell>
          <cell r="Q4144" t="str">
            <v>450880910</v>
          </cell>
        </row>
        <row r="4145">
          <cell r="N4145" t="str">
            <v/>
          </cell>
          <cell r="O4145" t="str">
            <v/>
          </cell>
          <cell r="P4145" t="str">
            <v/>
          </cell>
          <cell r="Q4145" t="str">
            <v/>
          </cell>
        </row>
        <row r="4146">
          <cell r="N4146" t="str">
            <v>71802</v>
          </cell>
          <cell r="O4146" t="str">
            <v/>
          </cell>
          <cell r="P4146" t="str">
            <v/>
          </cell>
          <cell r="Q4146" t="str">
            <v>41401</v>
          </cell>
        </row>
        <row r="4147">
          <cell r="N4147" t="str">
            <v>71802</v>
          </cell>
          <cell r="O4147" t="str">
            <v>AWI</v>
          </cell>
          <cell r="P4147" t="str">
            <v>AWI71802</v>
          </cell>
          <cell r="Q4147" t="str">
            <v>41401</v>
          </cell>
        </row>
        <row r="4148">
          <cell r="N4148" t="str">
            <v>71802</v>
          </cell>
          <cell r="O4148" t="str">
            <v>AWY</v>
          </cell>
          <cell r="P4148" t="str">
            <v>AWY71802</v>
          </cell>
          <cell r="Q4148" t="str">
            <v>41401</v>
          </cell>
        </row>
        <row r="4149">
          <cell r="N4149" t="str">
            <v>71802</v>
          </cell>
          <cell r="O4149" t="str">
            <v>AWZ</v>
          </cell>
          <cell r="P4149" t="str">
            <v>AWZ71802</v>
          </cell>
          <cell r="Q4149" t="str">
            <v>41401</v>
          </cell>
        </row>
        <row r="4150">
          <cell r="N4150" t="str">
            <v>71802</v>
          </cell>
          <cell r="O4150" t="str">
            <v>CID</v>
          </cell>
          <cell r="P4150" t="str">
            <v>CID71802</v>
          </cell>
          <cell r="Q4150" t="str">
            <v>41401</v>
          </cell>
        </row>
        <row r="4151">
          <cell r="N4151" t="str">
            <v>71802</v>
          </cell>
          <cell r="O4151" t="str">
            <v>CIJ</v>
          </cell>
          <cell r="P4151" t="str">
            <v>CIJ71802</v>
          </cell>
          <cell r="Q4151" t="str">
            <v>41401</v>
          </cell>
        </row>
        <row r="4152">
          <cell r="N4152" t="str">
            <v>71802</v>
          </cell>
          <cell r="O4152" t="str">
            <v>ECU</v>
          </cell>
          <cell r="P4152" t="str">
            <v>ECU71802</v>
          </cell>
          <cell r="Q4152" t="str">
            <v>41401</v>
          </cell>
        </row>
        <row r="4153">
          <cell r="N4153" t="str">
            <v>71802</v>
          </cell>
          <cell r="O4153" t="str">
            <v>EID</v>
          </cell>
          <cell r="P4153" t="str">
            <v>EID71802</v>
          </cell>
          <cell r="Q4153" t="str">
            <v>41401</v>
          </cell>
        </row>
        <row r="4154">
          <cell r="N4154" t="str">
            <v>71802</v>
          </cell>
          <cell r="O4154" t="str">
            <v>EIJ</v>
          </cell>
          <cell r="P4154" t="str">
            <v>EIJ71802</v>
          </cell>
          <cell r="Q4154" t="str">
            <v>41401</v>
          </cell>
        </row>
        <row r="4155">
          <cell r="N4155" t="str">
            <v>71802</v>
          </cell>
          <cell r="O4155" t="str">
            <v>IEJ</v>
          </cell>
          <cell r="P4155" t="str">
            <v>IEJ71802</v>
          </cell>
          <cell r="Q4155" t="str">
            <v>41401</v>
          </cell>
        </row>
        <row r="4156">
          <cell r="N4156" t="str">
            <v>71802</v>
          </cell>
          <cell r="O4156" t="str">
            <v>IJE</v>
          </cell>
          <cell r="P4156" t="str">
            <v>IJE71802</v>
          </cell>
          <cell r="Q4156" t="str">
            <v>41401</v>
          </cell>
        </row>
        <row r="4157">
          <cell r="N4157" t="str">
            <v>71802</v>
          </cell>
          <cell r="O4157" t="str">
            <v>IUC</v>
          </cell>
          <cell r="P4157" t="str">
            <v>IUC71802</v>
          </cell>
          <cell r="Q4157" t="str">
            <v>41401</v>
          </cell>
        </row>
        <row r="4158">
          <cell r="N4158" t="str">
            <v>71802</v>
          </cell>
          <cell r="O4158" t="str">
            <v>LO1</v>
          </cell>
          <cell r="P4158" t="str">
            <v>LO171802</v>
          </cell>
          <cell r="Q4158" t="str">
            <v>41401</v>
          </cell>
        </row>
        <row r="4159">
          <cell r="N4159" t="str">
            <v>71802</v>
          </cell>
          <cell r="O4159" t="str">
            <v>LRA</v>
          </cell>
          <cell r="P4159" t="str">
            <v>LRA71802</v>
          </cell>
          <cell r="Q4159" t="str">
            <v>41401</v>
          </cell>
        </row>
        <row r="4160">
          <cell r="N4160" t="str">
            <v>71802</v>
          </cell>
          <cell r="O4160" t="str">
            <v>L01</v>
          </cell>
          <cell r="P4160" t="str">
            <v>L0171802</v>
          </cell>
          <cell r="Q4160" t="str">
            <v>41401</v>
          </cell>
        </row>
        <row r="4161">
          <cell r="N4161" t="str">
            <v>71802</v>
          </cell>
          <cell r="O4161" t="str">
            <v>OGX</v>
          </cell>
          <cell r="P4161" t="str">
            <v>OGX71802</v>
          </cell>
          <cell r="Q4161" t="str">
            <v>41401</v>
          </cell>
        </row>
        <row r="4162">
          <cell r="N4162" t="str">
            <v>71802</v>
          </cell>
          <cell r="O4162" t="str">
            <v>ONL</v>
          </cell>
          <cell r="P4162" t="str">
            <v>ONL71802</v>
          </cell>
          <cell r="Q4162" t="str">
            <v>41401</v>
          </cell>
        </row>
        <row r="4163">
          <cell r="N4163" t="str">
            <v>71802</v>
          </cell>
          <cell r="O4163" t="str">
            <v>PPC</v>
          </cell>
          <cell r="P4163" t="str">
            <v>PPC71802</v>
          </cell>
          <cell r="Q4163" t="str">
            <v>41401</v>
          </cell>
        </row>
        <row r="4164">
          <cell r="N4164" t="str">
            <v>71802</v>
          </cell>
          <cell r="O4164" t="str">
            <v>TIT</v>
          </cell>
          <cell r="P4164" t="str">
            <v>TIT71802</v>
          </cell>
          <cell r="Q4164" t="str">
            <v>41401</v>
          </cell>
        </row>
        <row r="4165">
          <cell r="N4165" t="str">
            <v>71802</v>
          </cell>
          <cell r="O4165" t="str">
            <v>111</v>
          </cell>
          <cell r="P4165" t="str">
            <v>11171802</v>
          </cell>
          <cell r="Q4165" t="str">
            <v>41401</v>
          </cell>
        </row>
        <row r="4166">
          <cell r="N4166" t="str">
            <v/>
          </cell>
          <cell r="O4166" t="str">
            <v/>
          </cell>
          <cell r="P4166" t="str">
            <v/>
          </cell>
          <cell r="Q4166" t="str">
            <v/>
          </cell>
        </row>
        <row r="4167">
          <cell r="N4167" t="str">
            <v>71612</v>
          </cell>
          <cell r="O4167" t="str">
            <v/>
          </cell>
          <cell r="P4167" t="str">
            <v/>
          </cell>
          <cell r="Q4167" t="str">
            <v>416190</v>
          </cell>
        </row>
        <row r="4168">
          <cell r="N4168" t="str">
            <v>71612</v>
          </cell>
          <cell r="O4168" t="str">
            <v>AYN</v>
          </cell>
          <cell r="P4168" t="str">
            <v>AYN71612</v>
          </cell>
          <cell r="Q4168" t="str">
            <v>416190</v>
          </cell>
        </row>
        <row r="4169">
          <cell r="N4169" t="str">
            <v>71612</v>
          </cell>
          <cell r="O4169" t="str">
            <v>AZN</v>
          </cell>
          <cell r="P4169" t="str">
            <v>AZN71612</v>
          </cell>
          <cell r="Q4169" t="str">
            <v>416190</v>
          </cell>
        </row>
        <row r="4170">
          <cell r="N4170" t="str">
            <v>71612</v>
          </cell>
          <cell r="O4170" t="str">
            <v>LO1</v>
          </cell>
          <cell r="P4170" t="str">
            <v>LO171612</v>
          </cell>
          <cell r="Q4170" t="str">
            <v>416190</v>
          </cell>
        </row>
        <row r="4171">
          <cell r="N4171" t="str">
            <v>71612</v>
          </cell>
          <cell r="O4171" t="str">
            <v>L01</v>
          </cell>
          <cell r="P4171" t="str">
            <v>L0171612</v>
          </cell>
          <cell r="Q4171" t="str">
            <v>416190</v>
          </cell>
        </row>
        <row r="4172">
          <cell r="N4172" t="str">
            <v>71612</v>
          </cell>
          <cell r="O4172" t="str">
            <v>ONL</v>
          </cell>
          <cell r="P4172" t="str">
            <v>ONL71612</v>
          </cell>
          <cell r="Q4172" t="str">
            <v>416190</v>
          </cell>
        </row>
        <row r="4173">
          <cell r="N4173" t="str">
            <v>71612</v>
          </cell>
          <cell r="O4173" t="str">
            <v>TIT</v>
          </cell>
          <cell r="P4173" t="str">
            <v>TIT71612</v>
          </cell>
          <cell r="Q4173" t="str">
            <v>416190</v>
          </cell>
        </row>
        <row r="4174">
          <cell r="N4174" t="str">
            <v>71612</v>
          </cell>
          <cell r="O4174" t="str">
            <v>111</v>
          </cell>
          <cell r="P4174" t="str">
            <v>11171612</v>
          </cell>
          <cell r="Q4174" t="str">
            <v>416190</v>
          </cell>
        </row>
        <row r="4175">
          <cell r="N4175" t="str">
            <v/>
          </cell>
          <cell r="O4175" t="str">
            <v/>
          </cell>
          <cell r="P4175" t="str">
            <v/>
          </cell>
          <cell r="Q4175" t="str">
            <v/>
          </cell>
        </row>
        <row r="4176">
          <cell r="N4176" t="str">
            <v>71841</v>
          </cell>
          <cell r="O4176" t="str">
            <v/>
          </cell>
          <cell r="P4176" t="str">
            <v/>
          </cell>
          <cell r="Q4176" t="str">
            <v>416280</v>
          </cell>
        </row>
        <row r="4177">
          <cell r="N4177" t="str">
            <v>71841</v>
          </cell>
          <cell r="O4177" t="str">
            <v>ONL</v>
          </cell>
          <cell r="P4177" t="str">
            <v>ONL71841</v>
          </cell>
          <cell r="Q4177" t="str">
            <v>416280</v>
          </cell>
        </row>
        <row r="4178">
          <cell r="N4178" t="str">
            <v/>
          </cell>
          <cell r="O4178" t="str">
            <v/>
          </cell>
          <cell r="P4178" t="str">
            <v/>
          </cell>
          <cell r="Q4178" t="str">
            <v/>
          </cell>
        </row>
        <row r="4179">
          <cell r="N4179" t="str">
            <v>71692</v>
          </cell>
          <cell r="O4179" t="str">
            <v/>
          </cell>
          <cell r="P4179" t="str">
            <v/>
          </cell>
          <cell r="Q4179" t="str">
            <v>41401</v>
          </cell>
        </row>
        <row r="4180">
          <cell r="N4180" t="str">
            <v>71692</v>
          </cell>
          <cell r="O4180" t="str">
            <v>LO1</v>
          </cell>
          <cell r="P4180" t="str">
            <v>LO171692</v>
          </cell>
          <cell r="Q4180" t="str">
            <v>41401</v>
          </cell>
        </row>
        <row r="4181">
          <cell r="N4181" t="str">
            <v>71692</v>
          </cell>
          <cell r="O4181" t="str">
            <v>LRA</v>
          </cell>
          <cell r="P4181" t="str">
            <v>LRA71692</v>
          </cell>
          <cell r="Q4181" t="str">
            <v>41401</v>
          </cell>
        </row>
        <row r="4182">
          <cell r="N4182" t="str">
            <v>71692</v>
          </cell>
          <cell r="O4182" t="str">
            <v>L01</v>
          </cell>
          <cell r="P4182" t="str">
            <v>L0171692</v>
          </cell>
          <cell r="Q4182" t="str">
            <v>41401</v>
          </cell>
        </row>
        <row r="4183">
          <cell r="N4183" t="str">
            <v>71692</v>
          </cell>
          <cell r="O4183" t="str">
            <v>ONL</v>
          </cell>
          <cell r="P4183" t="str">
            <v>ONL71692</v>
          </cell>
          <cell r="Q4183" t="str">
            <v>41401</v>
          </cell>
        </row>
        <row r="4184">
          <cell r="N4184" t="str">
            <v>71692</v>
          </cell>
          <cell r="O4184" t="str">
            <v>TIT</v>
          </cell>
          <cell r="P4184" t="str">
            <v>TIT71692</v>
          </cell>
          <cell r="Q4184" t="str">
            <v>41401</v>
          </cell>
        </row>
        <row r="4185">
          <cell r="N4185" t="str">
            <v>71692</v>
          </cell>
          <cell r="O4185" t="str">
            <v>111</v>
          </cell>
          <cell r="P4185" t="str">
            <v>11171692</v>
          </cell>
          <cell r="Q4185" t="str">
            <v>41401</v>
          </cell>
        </row>
        <row r="4186">
          <cell r="N4186" t="str">
            <v/>
          </cell>
          <cell r="O4186" t="str">
            <v/>
          </cell>
          <cell r="P4186" t="str">
            <v/>
          </cell>
          <cell r="Q4186" t="str">
            <v/>
          </cell>
        </row>
        <row r="4187">
          <cell r="N4187" t="str">
            <v/>
          </cell>
          <cell r="O4187" t="str">
            <v/>
          </cell>
          <cell r="P4187" t="str">
            <v/>
          </cell>
          <cell r="Q4187" t="str">
            <v/>
          </cell>
        </row>
        <row r="4188">
          <cell r="N4188" t="str">
            <v>7100</v>
          </cell>
          <cell r="O4188" t="str">
            <v/>
          </cell>
          <cell r="P4188" t="str">
            <v/>
          </cell>
          <cell r="Q4188" t="str">
            <v>41100</v>
          </cell>
        </row>
        <row r="4189">
          <cell r="N4189" t="str">
            <v>7100</v>
          </cell>
          <cell r="O4189" t="str">
            <v>TIT</v>
          </cell>
          <cell r="P4189" t="str">
            <v>TIT7100</v>
          </cell>
          <cell r="Q4189" t="str">
            <v>41100</v>
          </cell>
        </row>
        <row r="4190">
          <cell r="N4190" t="str">
            <v>718010</v>
          </cell>
          <cell r="O4190" t="str">
            <v/>
          </cell>
          <cell r="P4190" t="str">
            <v/>
          </cell>
          <cell r="Q4190" t="str">
            <v>41401</v>
          </cell>
        </row>
        <row r="4191">
          <cell r="N4191" t="str">
            <v>718010</v>
          </cell>
          <cell r="O4191" t="str">
            <v>BOF</v>
          </cell>
          <cell r="P4191" t="str">
            <v>BOF718010</v>
          </cell>
          <cell r="Q4191" t="str">
            <v>41401</v>
          </cell>
        </row>
        <row r="4192">
          <cell r="N4192" t="str">
            <v>718010</v>
          </cell>
          <cell r="O4192" t="str">
            <v>ONL</v>
          </cell>
          <cell r="P4192" t="str">
            <v>ONL718010</v>
          </cell>
          <cell r="Q4192" t="str">
            <v>41401</v>
          </cell>
        </row>
        <row r="4193">
          <cell r="N4193" t="str">
            <v>71809</v>
          </cell>
          <cell r="O4193" t="str">
            <v/>
          </cell>
          <cell r="P4193" t="str">
            <v/>
          </cell>
          <cell r="Q4193" t="str">
            <v>41401</v>
          </cell>
        </row>
        <row r="4194">
          <cell r="N4194" t="str">
            <v>71809</v>
          </cell>
          <cell r="O4194" t="str">
            <v>!MF</v>
          </cell>
          <cell r="P4194" t="str">
            <v>!MF71809</v>
          </cell>
          <cell r="Q4194" t="str">
            <v>41401</v>
          </cell>
        </row>
        <row r="4195">
          <cell r="N4195" t="str">
            <v>71809</v>
          </cell>
          <cell r="O4195" t="str">
            <v>OGX</v>
          </cell>
          <cell r="P4195" t="str">
            <v>OGX71809</v>
          </cell>
          <cell r="Q4195" t="str">
            <v>41401</v>
          </cell>
        </row>
        <row r="4196">
          <cell r="N4196" t="str">
            <v>71841</v>
          </cell>
          <cell r="O4196" t="str">
            <v/>
          </cell>
          <cell r="P4196" t="str">
            <v/>
          </cell>
          <cell r="Q4196" t="str">
            <v>416280</v>
          </cell>
        </row>
        <row r="4197">
          <cell r="N4197" t="str">
            <v>71841</v>
          </cell>
          <cell r="O4197" t="str">
            <v>TIT</v>
          </cell>
          <cell r="P4197" t="str">
            <v>TIT71841</v>
          </cell>
          <cell r="Q4197" t="str">
            <v>416280</v>
          </cell>
        </row>
        <row r="4198">
          <cell r="N4198" t="str">
            <v>7799</v>
          </cell>
          <cell r="O4198" t="str">
            <v/>
          </cell>
          <cell r="P4198" t="str">
            <v/>
          </cell>
          <cell r="Q4198" t="str">
            <v/>
          </cell>
        </row>
        <row r="4199">
          <cell r="N4199" t="str">
            <v>7799</v>
          </cell>
          <cell r="O4199" t="str">
            <v>BOF</v>
          </cell>
          <cell r="P4199" t="str">
            <v>BOF7799</v>
          </cell>
          <cell r="Q4199" t="str">
            <v/>
          </cell>
        </row>
        <row r="4200">
          <cell r="N4200" t="str">
            <v>779900</v>
          </cell>
          <cell r="O4200" t="str">
            <v/>
          </cell>
          <cell r="P4200" t="str">
            <v/>
          </cell>
          <cell r="Q4200" t="str">
            <v>450880910</v>
          </cell>
        </row>
        <row r="4201">
          <cell r="N4201" t="str">
            <v>779900</v>
          </cell>
          <cell r="O4201" t="str">
            <v>BOF</v>
          </cell>
          <cell r="P4201" t="str">
            <v>BOF779900</v>
          </cell>
          <cell r="Q4201" t="str">
            <v>450880910</v>
          </cell>
        </row>
        <row r="4202">
          <cell r="N4202" t="str">
            <v>82001</v>
          </cell>
          <cell r="O4202" t="str">
            <v/>
          </cell>
          <cell r="P4202" t="str">
            <v/>
          </cell>
          <cell r="Q4202" t="str">
            <v>51090</v>
          </cell>
        </row>
        <row r="4203">
          <cell r="N4203" t="str">
            <v>82001</v>
          </cell>
          <cell r="O4203" t="str">
            <v>TIT</v>
          </cell>
          <cell r="P4203" t="str">
            <v>TIT82001</v>
          </cell>
          <cell r="Q4203" t="str">
            <v>51090</v>
          </cell>
        </row>
        <row r="4204">
          <cell r="N4204" t="str">
            <v>82002</v>
          </cell>
          <cell r="O4204" t="str">
            <v/>
          </cell>
          <cell r="P4204" t="str">
            <v/>
          </cell>
          <cell r="Q4204" t="str">
            <v>5100</v>
          </cell>
        </row>
        <row r="4205">
          <cell r="N4205" t="str">
            <v>82002</v>
          </cell>
          <cell r="O4205" t="str">
            <v>TIT</v>
          </cell>
          <cell r="P4205" t="str">
            <v>TIT82002</v>
          </cell>
          <cell r="Q4205" t="str">
            <v>5100</v>
          </cell>
        </row>
        <row r="4206">
          <cell r="N4206" t="str">
            <v>8280000</v>
          </cell>
          <cell r="O4206" t="str">
            <v/>
          </cell>
          <cell r="P4206" t="str">
            <v/>
          </cell>
          <cell r="Q4206" t="str">
            <v>51400</v>
          </cell>
        </row>
        <row r="4207">
          <cell r="N4207" t="str">
            <v>8280000</v>
          </cell>
          <cell r="O4207" t="str">
            <v>TIT</v>
          </cell>
          <cell r="P4207" t="str">
            <v>TIT8280000</v>
          </cell>
          <cell r="Q4207" t="str">
            <v>51400</v>
          </cell>
        </row>
        <row r="4208">
          <cell r="N4208" t="str">
            <v>8280001</v>
          </cell>
          <cell r="O4208" t="str">
            <v/>
          </cell>
          <cell r="P4208" t="str">
            <v/>
          </cell>
          <cell r="Q4208" t="str">
            <v>51400</v>
          </cell>
        </row>
        <row r="4209">
          <cell r="N4209" t="str">
            <v>8280001</v>
          </cell>
          <cell r="O4209" t="str">
            <v>TIT</v>
          </cell>
          <cell r="P4209" t="str">
            <v>TIT8280001</v>
          </cell>
          <cell r="Q4209" t="str">
            <v>51400</v>
          </cell>
        </row>
        <row r="4210">
          <cell r="N4210" t="str">
            <v>828001</v>
          </cell>
          <cell r="O4210" t="str">
            <v/>
          </cell>
          <cell r="P4210" t="str">
            <v/>
          </cell>
          <cell r="Q4210" t="str">
            <v>51401</v>
          </cell>
        </row>
        <row r="4211">
          <cell r="N4211" t="str">
            <v>828001</v>
          </cell>
          <cell r="O4211" t="str">
            <v>FQY</v>
          </cell>
          <cell r="P4211" t="str">
            <v>FQY828001</v>
          </cell>
          <cell r="Q4211" t="str">
            <v>51401</v>
          </cell>
        </row>
        <row r="4212">
          <cell r="N4212" t="str">
            <v>828001</v>
          </cell>
          <cell r="O4212" t="str">
            <v>OGX</v>
          </cell>
          <cell r="P4212" t="str">
            <v>OGX828001</v>
          </cell>
          <cell r="Q4212" t="str">
            <v>51401</v>
          </cell>
        </row>
        <row r="4213">
          <cell r="N4213" t="str">
            <v>828001</v>
          </cell>
          <cell r="O4213" t="str">
            <v>ONL</v>
          </cell>
          <cell r="P4213" t="str">
            <v>ONL828001</v>
          </cell>
          <cell r="Q4213" t="str">
            <v>51401</v>
          </cell>
        </row>
        <row r="4214">
          <cell r="N4214" t="str">
            <v>828001</v>
          </cell>
          <cell r="O4214" t="str">
            <v>PPC</v>
          </cell>
          <cell r="P4214" t="str">
            <v>PPC828001</v>
          </cell>
          <cell r="Q4214" t="str">
            <v>51401</v>
          </cell>
        </row>
        <row r="4215">
          <cell r="N4215" t="str">
            <v>828001</v>
          </cell>
          <cell r="O4215" t="str">
            <v>TIR</v>
          </cell>
          <cell r="P4215" t="str">
            <v>TIR828001</v>
          </cell>
          <cell r="Q4215" t="str">
            <v>51401</v>
          </cell>
        </row>
        <row r="4216">
          <cell r="N4216" t="str">
            <v>828001</v>
          </cell>
          <cell r="O4216" t="str">
            <v>TIT</v>
          </cell>
          <cell r="P4216" t="str">
            <v>TIT828001</v>
          </cell>
          <cell r="Q4216" t="str">
            <v>51401</v>
          </cell>
        </row>
        <row r="4217">
          <cell r="N4217" t="str">
            <v>828001</v>
          </cell>
          <cell r="O4217" t="str">
            <v>0T9</v>
          </cell>
          <cell r="P4217" t="str">
            <v>0T9828001</v>
          </cell>
          <cell r="Q4217" t="str">
            <v>51401</v>
          </cell>
        </row>
        <row r="4218">
          <cell r="N4218" t="str">
            <v>828001</v>
          </cell>
          <cell r="O4218" t="str">
            <v>111</v>
          </cell>
          <cell r="P4218" t="str">
            <v>111828001</v>
          </cell>
          <cell r="Q4218" t="str">
            <v>51401</v>
          </cell>
        </row>
        <row r="4219">
          <cell r="N4219" t="str">
            <v>8299</v>
          </cell>
          <cell r="O4219" t="str">
            <v/>
          </cell>
          <cell r="P4219" t="str">
            <v/>
          </cell>
          <cell r="Q4219" t="str">
            <v/>
          </cell>
        </row>
        <row r="4220">
          <cell r="N4220" t="str">
            <v>8299</v>
          </cell>
          <cell r="O4220" t="str">
            <v>BOF</v>
          </cell>
          <cell r="P4220" t="str">
            <v>BOF8299</v>
          </cell>
          <cell r="Q4220" t="str">
            <v/>
          </cell>
        </row>
        <row r="4221">
          <cell r="N4221" t="str">
            <v>89299</v>
          </cell>
          <cell r="O4221" t="str">
            <v/>
          </cell>
          <cell r="P4221" t="str">
            <v/>
          </cell>
          <cell r="Q4221" t="str">
            <v/>
          </cell>
        </row>
        <row r="4222">
          <cell r="N4222" t="str">
            <v>89299</v>
          </cell>
          <cell r="O4222" t="str">
            <v>TIT</v>
          </cell>
          <cell r="P4222" t="str">
            <v>TIT89299</v>
          </cell>
          <cell r="Q4222" t="str">
            <v/>
          </cell>
        </row>
        <row r="4223">
          <cell r="N4223" t="str">
            <v>89342</v>
          </cell>
          <cell r="O4223" t="str">
            <v/>
          </cell>
          <cell r="P4223" t="str">
            <v/>
          </cell>
          <cell r="Q4223" t="str">
            <v>431111</v>
          </cell>
        </row>
        <row r="4224">
          <cell r="N4224" t="str">
            <v>89342</v>
          </cell>
          <cell r="O4224" t="str">
            <v>FQZ</v>
          </cell>
          <cell r="P4224" t="str">
            <v>FQZ89342</v>
          </cell>
          <cell r="Q4224" t="str">
            <v>431111</v>
          </cell>
        </row>
        <row r="4225">
          <cell r="N4225" t="str">
            <v>8939</v>
          </cell>
          <cell r="O4225" t="str">
            <v/>
          </cell>
          <cell r="P4225" t="str">
            <v/>
          </cell>
          <cell r="Q4225" t="str">
            <v/>
          </cell>
        </row>
        <row r="4226">
          <cell r="N4226" t="str">
            <v>8939</v>
          </cell>
          <cell r="O4226" t="str">
            <v>TIT</v>
          </cell>
          <cell r="P4226" t="str">
            <v>TIT8939</v>
          </cell>
          <cell r="Q4226" t="str">
            <v/>
          </cell>
        </row>
        <row r="4227">
          <cell r="N4227" t="str">
            <v>89390</v>
          </cell>
          <cell r="O4227" t="str">
            <v/>
          </cell>
          <cell r="P4227" t="str">
            <v/>
          </cell>
          <cell r="Q4227" t="str">
            <v>431199</v>
          </cell>
        </row>
        <row r="4228">
          <cell r="N4228" t="str">
            <v>89390</v>
          </cell>
          <cell r="O4228" t="str">
            <v>TIT</v>
          </cell>
          <cell r="P4228" t="str">
            <v>TIT89390</v>
          </cell>
          <cell r="Q4228" t="str">
            <v>431199</v>
          </cell>
        </row>
        <row r="4229">
          <cell r="N4229" t="str">
            <v>8999</v>
          </cell>
          <cell r="O4229" t="str">
            <v/>
          </cell>
          <cell r="P4229" t="str">
            <v/>
          </cell>
          <cell r="Q4229" t="str">
            <v/>
          </cell>
        </row>
        <row r="4230">
          <cell r="N4230" t="str">
            <v>8999</v>
          </cell>
          <cell r="O4230" t="str">
            <v>TIT</v>
          </cell>
          <cell r="P4230" t="str">
            <v>TIT8999</v>
          </cell>
          <cell r="Q4230" t="str">
            <v/>
          </cell>
        </row>
        <row r="4231">
          <cell r="N4231" t="str">
            <v>89990</v>
          </cell>
          <cell r="O4231" t="str">
            <v/>
          </cell>
          <cell r="P4231" t="str">
            <v/>
          </cell>
          <cell r="Q4231" t="str">
            <v>55088091</v>
          </cell>
        </row>
        <row r="4232">
          <cell r="N4232" t="str">
            <v>89990</v>
          </cell>
          <cell r="O4232" t="str">
            <v>BUO</v>
          </cell>
          <cell r="P4232" t="str">
            <v>BUO89990</v>
          </cell>
          <cell r="Q4232" t="str">
            <v>55088091</v>
          </cell>
        </row>
        <row r="4233">
          <cell r="N4233" t="str">
            <v>89990</v>
          </cell>
          <cell r="O4233" t="str">
            <v>DDC</v>
          </cell>
          <cell r="P4233" t="str">
            <v>DDC89990</v>
          </cell>
          <cell r="Q4233" t="str">
            <v>55088091</v>
          </cell>
        </row>
        <row r="4234">
          <cell r="N4234" t="str">
            <v>89990</v>
          </cell>
          <cell r="O4234" t="str">
            <v>DFC</v>
          </cell>
          <cell r="P4234" t="str">
            <v>DFC89990</v>
          </cell>
          <cell r="Q4234" t="str">
            <v>55088091</v>
          </cell>
        </row>
        <row r="4235">
          <cell r="N4235" t="str">
            <v>89990</v>
          </cell>
          <cell r="O4235" t="str">
            <v>TIT</v>
          </cell>
          <cell r="P4235" t="str">
            <v>TIT89990</v>
          </cell>
          <cell r="Q4235" t="str">
            <v>55088091</v>
          </cell>
        </row>
        <row r="4236">
          <cell r="N4236" t="str">
            <v>89990</v>
          </cell>
          <cell r="O4236" t="str">
            <v>76P</v>
          </cell>
          <cell r="P4236" t="str">
            <v>76P89990</v>
          </cell>
          <cell r="Q4236" t="str">
            <v>55088091</v>
          </cell>
        </row>
        <row r="4237">
          <cell r="N4237" t="str">
            <v>89990</v>
          </cell>
          <cell r="O4237" t="str">
            <v>86P</v>
          </cell>
          <cell r="P4237" t="str">
            <v>86P89990</v>
          </cell>
          <cell r="Q4237" t="str">
            <v>55088091</v>
          </cell>
        </row>
        <row r="4238">
          <cell r="N4238" t="str">
            <v/>
          </cell>
          <cell r="O4238" t="str">
            <v/>
          </cell>
          <cell r="P4238" t="str">
            <v/>
          </cell>
          <cell r="Q4238" t="str">
            <v/>
          </cell>
        </row>
        <row r="4239">
          <cell r="N4239" t="str">
            <v>718009</v>
          </cell>
          <cell r="O4239" t="str">
            <v/>
          </cell>
          <cell r="P4239" t="str">
            <v/>
          </cell>
          <cell r="Q4239" t="str">
            <v>41401</v>
          </cell>
        </row>
        <row r="4240">
          <cell r="N4240" t="str">
            <v>718009</v>
          </cell>
          <cell r="O4240" t="str">
            <v>ONL</v>
          </cell>
          <cell r="P4240" t="str">
            <v>ONL718009</v>
          </cell>
          <cell r="Q4240" t="str">
            <v>41401</v>
          </cell>
        </row>
        <row r="4241">
          <cell r="N4241" t="str">
            <v>71801</v>
          </cell>
          <cell r="O4241" t="str">
            <v/>
          </cell>
          <cell r="P4241" t="str">
            <v/>
          </cell>
          <cell r="Q4241" t="str">
            <v/>
          </cell>
        </row>
        <row r="4242">
          <cell r="N4242" t="str">
            <v>71801</v>
          </cell>
          <cell r="O4242" t="str">
            <v>ONL</v>
          </cell>
          <cell r="P4242" t="str">
            <v>ONL71801</v>
          </cell>
          <cell r="Q4242" t="str">
            <v/>
          </cell>
        </row>
        <row r="4243">
          <cell r="N4243" t="str">
            <v>71801</v>
          </cell>
          <cell r="O4243" t="str">
            <v>TIT</v>
          </cell>
          <cell r="P4243" t="str">
            <v>TIT71801</v>
          </cell>
          <cell r="Q4243" t="str">
            <v/>
          </cell>
        </row>
        <row r="4244">
          <cell r="N4244" t="str">
            <v>71801</v>
          </cell>
          <cell r="O4244" t="str">
            <v>TRP</v>
          </cell>
          <cell r="P4244" t="str">
            <v>TRP71801</v>
          </cell>
          <cell r="Q4244" t="str">
            <v/>
          </cell>
        </row>
        <row r="4245">
          <cell r="N4245" t="str">
            <v>718010</v>
          </cell>
          <cell r="O4245" t="str">
            <v/>
          </cell>
          <cell r="P4245" t="str">
            <v/>
          </cell>
          <cell r="Q4245" t="str">
            <v>41401</v>
          </cell>
        </row>
        <row r="4246">
          <cell r="N4246" t="str">
            <v>718010</v>
          </cell>
          <cell r="O4246" t="str">
            <v>TRP</v>
          </cell>
          <cell r="P4246" t="str">
            <v>TRP718010</v>
          </cell>
          <cell r="Q4246" t="str">
            <v>41401</v>
          </cell>
        </row>
        <row r="4247">
          <cell r="N4247" t="str">
            <v>71892</v>
          </cell>
          <cell r="O4247" t="str">
            <v/>
          </cell>
          <cell r="P4247" t="str">
            <v/>
          </cell>
          <cell r="Q4247" t="str">
            <v>41401</v>
          </cell>
        </row>
        <row r="4248">
          <cell r="N4248" t="str">
            <v>71892</v>
          </cell>
          <cell r="O4248" t="str">
            <v>AZP</v>
          </cell>
          <cell r="P4248" t="str">
            <v>AZP71892</v>
          </cell>
          <cell r="Q4248" t="str">
            <v>41401</v>
          </cell>
        </row>
        <row r="4249">
          <cell r="N4249" t="str">
            <v>825000</v>
          </cell>
          <cell r="O4249" t="str">
            <v/>
          </cell>
          <cell r="P4249" t="str">
            <v/>
          </cell>
          <cell r="Q4249" t="str">
            <v>51509</v>
          </cell>
        </row>
        <row r="4250">
          <cell r="N4250" t="str">
            <v>825000</v>
          </cell>
          <cell r="O4250" t="str">
            <v>AY3</v>
          </cell>
          <cell r="P4250" t="str">
            <v>AY3825000</v>
          </cell>
          <cell r="Q4250" t="str">
            <v>51509</v>
          </cell>
        </row>
        <row r="4251">
          <cell r="N4251" t="str">
            <v>828001</v>
          </cell>
          <cell r="O4251" t="str">
            <v/>
          </cell>
          <cell r="P4251" t="str">
            <v/>
          </cell>
          <cell r="Q4251" t="str">
            <v>51401</v>
          </cell>
        </row>
        <row r="4252">
          <cell r="N4252" t="str">
            <v>828001</v>
          </cell>
          <cell r="O4252" t="str">
            <v>7TT</v>
          </cell>
          <cell r="P4252" t="str">
            <v>7TT828001</v>
          </cell>
          <cell r="Q4252" t="str">
            <v>51401</v>
          </cell>
        </row>
        <row r="4253">
          <cell r="N4253" t="str">
            <v/>
          </cell>
          <cell r="O4253" t="str">
            <v/>
          </cell>
          <cell r="P4253" t="str">
            <v/>
          </cell>
          <cell r="Q4253" t="str">
            <v/>
          </cell>
        </row>
        <row r="4254">
          <cell r="N4254" t="str">
            <v>71691</v>
          </cell>
          <cell r="O4254" t="str">
            <v/>
          </cell>
          <cell r="P4254" t="str">
            <v/>
          </cell>
          <cell r="Q4254" t="str">
            <v>416190</v>
          </cell>
        </row>
        <row r="4255">
          <cell r="N4255" t="str">
            <v>71691</v>
          </cell>
          <cell r="O4255" t="str">
            <v>TIT</v>
          </cell>
          <cell r="P4255" t="str">
            <v>TIT71691</v>
          </cell>
          <cell r="Q4255" t="str">
            <v>416190</v>
          </cell>
        </row>
        <row r="4256">
          <cell r="N4256" t="str">
            <v>718010</v>
          </cell>
          <cell r="O4256" t="str">
            <v/>
          </cell>
          <cell r="P4256" t="str">
            <v/>
          </cell>
          <cell r="Q4256" t="str">
            <v>41401</v>
          </cell>
        </row>
        <row r="4257">
          <cell r="N4257" t="str">
            <v>718010</v>
          </cell>
          <cell r="O4257" t="str">
            <v>KRC</v>
          </cell>
          <cell r="P4257" t="str">
            <v>KRC718010</v>
          </cell>
          <cell r="Q4257" t="str">
            <v>41401</v>
          </cell>
        </row>
        <row r="4258">
          <cell r="N4258" t="str">
            <v>718010</v>
          </cell>
          <cell r="O4258" t="str">
            <v>111</v>
          </cell>
          <cell r="P4258" t="str">
            <v>111718010</v>
          </cell>
          <cell r="Q4258" t="str">
            <v>41401</v>
          </cell>
        </row>
        <row r="4259">
          <cell r="N4259" t="str">
            <v>779900</v>
          </cell>
          <cell r="O4259" t="str">
            <v/>
          </cell>
          <cell r="P4259" t="str">
            <v/>
          </cell>
          <cell r="Q4259" t="str">
            <v>450880910</v>
          </cell>
        </row>
        <row r="4260">
          <cell r="N4260" t="str">
            <v>779900</v>
          </cell>
          <cell r="O4260" t="str">
            <v>AYR</v>
          </cell>
          <cell r="P4260" t="str">
            <v>AYR779900</v>
          </cell>
          <cell r="Q4260" t="str">
            <v>450880910</v>
          </cell>
        </row>
        <row r="4261">
          <cell r="N4261" t="str">
            <v>779900</v>
          </cell>
          <cell r="O4261" t="str">
            <v>AZR</v>
          </cell>
          <cell r="P4261" t="str">
            <v>AZR779900</v>
          </cell>
          <cell r="Q4261" t="str">
            <v>450880910</v>
          </cell>
        </row>
        <row r="4262">
          <cell r="N4262" t="str">
            <v>82500</v>
          </cell>
          <cell r="O4262" t="str">
            <v/>
          </cell>
          <cell r="P4262" t="str">
            <v/>
          </cell>
          <cell r="Q4262" t="str">
            <v/>
          </cell>
        </row>
        <row r="4263">
          <cell r="N4263" t="str">
            <v>82500</v>
          </cell>
          <cell r="O4263" t="str">
            <v>111</v>
          </cell>
          <cell r="P4263" t="str">
            <v>11182500</v>
          </cell>
          <cell r="Q4263" t="str">
            <v/>
          </cell>
        </row>
        <row r="4264">
          <cell r="N4264" t="str">
            <v>825000</v>
          </cell>
          <cell r="O4264" t="str">
            <v/>
          </cell>
          <cell r="P4264" t="str">
            <v/>
          </cell>
          <cell r="Q4264" t="str">
            <v>51509</v>
          </cell>
        </row>
        <row r="4265">
          <cell r="N4265" t="str">
            <v>825000</v>
          </cell>
          <cell r="O4265" t="str">
            <v>AYA</v>
          </cell>
          <cell r="P4265" t="str">
            <v>AYA825000</v>
          </cell>
          <cell r="Q4265" t="str">
            <v>51509</v>
          </cell>
        </row>
        <row r="4266">
          <cell r="N4266" t="str">
            <v>825000</v>
          </cell>
          <cell r="O4266" t="str">
            <v>AYB</v>
          </cell>
          <cell r="P4266" t="str">
            <v>AYB825000</v>
          </cell>
          <cell r="Q4266" t="str">
            <v>51509</v>
          </cell>
        </row>
        <row r="4267">
          <cell r="N4267" t="str">
            <v>825000</v>
          </cell>
          <cell r="O4267" t="str">
            <v>AYC</v>
          </cell>
          <cell r="P4267" t="str">
            <v>AYC825000</v>
          </cell>
          <cell r="Q4267" t="str">
            <v>51509</v>
          </cell>
        </row>
        <row r="4268">
          <cell r="N4268" t="str">
            <v>825000</v>
          </cell>
          <cell r="O4268" t="str">
            <v>AYF</v>
          </cell>
          <cell r="P4268" t="str">
            <v>AYF825000</v>
          </cell>
          <cell r="Q4268" t="str">
            <v>51509</v>
          </cell>
        </row>
        <row r="4269">
          <cell r="N4269" t="str">
            <v>825000</v>
          </cell>
          <cell r="O4269" t="str">
            <v>AYG</v>
          </cell>
          <cell r="P4269" t="str">
            <v>AYG825000</v>
          </cell>
          <cell r="Q4269" t="str">
            <v>51509</v>
          </cell>
        </row>
        <row r="4270">
          <cell r="N4270" t="str">
            <v>825000</v>
          </cell>
          <cell r="O4270" t="str">
            <v>AYH</v>
          </cell>
          <cell r="P4270" t="str">
            <v>AYH825000</v>
          </cell>
          <cell r="Q4270" t="str">
            <v>51509</v>
          </cell>
        </row>
        <row r="4271">
          <cell r="N4271" t="str">
            <v>825000</v>
          </cell>
          <cell r="O4271" t="str">
            <v>AYI</v>
          </cell>
          <cell r="P4271" t="str">
            <v>AYI825000</v>
          </cell>
          <cell r="Q4271" t="str">
            <v>51509</v>
          </cell>
        </row>
        <row r="4272">
          <cell r="N4272" t="str">
            <v>825000</v>
          </cell>
          <cell r="O4272" t="str">
            <v>AYK</v>
          </cell>
          <cell r="P4272" t="str">
            <v>AYK825000</v>
          </cell>
          <cell r="Q4272" t="str">
            <v>51509</v>
          </cell>
        </row>
        <row r="4273">
          <cell r="N4273" t="str">
            <v>825000</v>
          </cell>
          <cell r="O4273" t="str">
            <v>AYL</v>
          </cell>
          <cell r="P4273" t="str">
            <v>AYL825000</v>
          </cell>
          <cell r="Q4273" t="str">
            <v>51509</v>
          </cell>
        </row>
        <row r="4274">
          <cell r="N4274" t="str">
            <v>825000</v>
          </cell>
          <cell r="O4274" t="str">
            <v>AYM</v>
          </cell>
          <cell r="P4274" t="str">
            <v>AYM825000</v>
          </cell>
          <cell r="Q4274" t="str">
            <v>51509</v>
          </cell>
        </row>
        <row r="4275">
          <cell r="N4275" t="str">
            <v>825000</v>
          </cell>
          <cell r="O4275" t="str">
            <v>AY6</v>
          </cell>
          <cell r="P4275" t="str">
            <v>AY6825000</v>
          </cell>
          <cell r="Q4275" t="str">
            <v>51509</v>
          </cell>
        </row>
        <row r="4276">
          <cell r="N4276" t="str">
            <v>825000</v>
          </cell>
          <cell r="O4276" t="str">
            <v>AY7</v>
          </cell>
          <cell r="P4276" t="str">
            <v>AY7825000</v>
          </cell>
          <cell r="Q4276" t="str">
            <v>51509</v>
          </cell>
        </row>
        <row r="4277">
          <cell r="N4277" t="str">
            <v>825000</v>
          </cell>
          <cell r="O4277" t="str">
            <v>AY8</v>
          </cell>
          <cell r="P4277" t="str">
            <v>AY8825000</v>
          </cell>
          <cell r="Q4277" t="str">
            <v>51509</v>
          </cell>
        </row>
        <row r="4278">
          <cell r="N4278" t="str">
            <v>825000</v>
          </cell>
          <cell r="O4278" t="str">
            <v>AY9</v>
          </cell>
          <cell r="P4278" t="str">
            <v>AY9825000</v>
          </cell>
          <cell r="Q4278" t="str">
            <v>51509</v>
          </cell>
        </row>
        <row r="4279">
          <cell r="N4279" t="str">
            <v>825000</v>
          </cell>
          <cell r="O4279" t="str">
            <v>AZA</v>
          </cell>
          <cell r="P4279" t="str">
            <v>AZA825000</v>
          </cell>
          <cell r="Q4279" t="str">
            <v>51509</v>
          </cell>
        </row>
        <row r="4280">
          <cell r="N4280" t="str">
            <v>825000</v>
          </cell>
          <cell r="O4280" t="str">
            <v>AZB</v>
          </cell>
          <cell r="P4280" t="str">
            <v>AZB825000</v>
          </cell>
          <cell r="Q4280" t="str">
            <v>51509</v>
          </cell>
        </row>
        <row r="4281">
          <cell r="N4281" t="str">
            <v>825000</v>
          </cell>
          <cell r="O4281" t="str">
            <v>AZC</v>
          </cell>
          <cell r="P4281" t="str">
            <v>AZC825000</v>
          </cell>
          <cell r="Q4281" t="str">
            <v>51509</v>
          </cell>
        </row>
        <row r="4282">
          <cell r="N4282" t="str">
            <v>825000</v>
          </cell>
          <cell r="O4282" t="str">
            <v>AZF</v>
          </cell>
          <cell r="P4282" t="str">
            <v>AZF825000</v>
          </cell>
          <cell r="Q4282" t="str">
            <v>51509</v>
          </cell>
        </row>
        <row r="4283">
          <cell r="N4283" t="str">
            <v>825000</v>
          </cell>
          <cell r="O4283" t="str">
            <v>AZG</v>
          </cell>
          <cell r="P4283" t="str">
            <v>AZG825000</v>
          </cell>
          <cell r="Q4283" t="str">
            <v>51509</v>
          </cell>
        </row>
        <row r="4284">
          <cell r="N4284" t="str">
            <v>825000</v>
          </cell>
          <cell r="O4284" t="str">
            <v>AZI</v>
          </cell>
          <cell r="P4284" t="str">
            <v>AZI825000</v>
          </cell>
          <cell r="Q4284" t="str">
            <v>51509</v>
          </cell>
        </row>
        <row r="4285">
          <cell r="N4285" t="str">
            <v>825000</v>
          </cell>
          <cell r="O4285" t="str">
            <v>AZK</v>
          </cell>
          <cell r="P4285" t="str">
            <v>AZK825000</v>
          </cell>
          <cell r="Q4285" t="str">
            <v>51509</v>
          </cell>
        </row>
        <row r="4286">
          <cell r="N4286" t="str">
            <v>825000</v>
          </cell>
          <cell r="O4286" t="str">
            <v>AZM</v>
          </cell>
          <cell r="P4286" t="str">
            <v>AZM825000</v>
          </cell>
          <cell r="Q4286" t="str">
            <v>51509</v>
          </cell>
        </row>
        <row r="4287">
          <cell r="N4287" t="str">
            <v>825000</v>
          </cell>
          <cell r="O4287" t="str">
            <v>AZ7</v>
          </cell>
          <cell r="P4287" t="str">
            <v>AZ7825000</v>
          </cell>
          <cell r="Q4287" t="str">
            <v>51509</v>
          </cell>
        </row>
        <row r="4288">
          <cell r="N4288" t="str">
            <v>825000</v>
          </cell>
          <cell r="O4288" t="str">
            <v>ZC7</v>
          </cell>
          <cell r="P4288" t="str">
            <v>ZC7825000</v>
          </cell>
          <cell r="Q4288" t="str">
            <v>51509</v>
          </cell>
        </row>
        <row r="4289">
          <cell r="N4289" t="str">
            <v>825000</v>
          </cell>
          <cell r="O4289" t="str">
            <v>ZC9</v>
          </cell>
          <cell r="P4289" t="str">
            <v>ZC9825000</v>
          </cell>
          <cell r="Q4289" t="str">
            <v>51509</v>
          </cell>
        </row>
        <row r="4290">
          <cell r="N4290" t="str">
            <v>8251202</v>
          </cell>
          <cell r="O4290" t="str">
            <v/>
          </cell>
          <cell r="P4290" t="str">
            <v/>
          </cell>
          <cell r="Q4290" t="str">
            <v>5151202</v>
          </cell>
        </row>
        <row r="4291">
          <cell r="N4291" t="str">
            <v>8251202</v>
          </cell>
          <cell r="O4291" t="str">
            <v>TIT</v>
          </cell>
          <cell r="P4291" t="str">
            <v>TIT8251202</v>
          </cell>
          <cell r="Q4291" t="str">
            <v>5151202</v>
          </cell>
        </row>
        <row r="4292">
          <cell r="N4292" t="str">
            <v>82540</v>
          </cell>
          <cell r="O4292" t="str">
            <v/>
          </cell>
          <cell r="P4292" t="str">
            <v/>
          </cell>
          <cell r="Q4292" t="str">
            <v>51516</v>
          </cell>
        </row>
        <row r="4293">
          <cell r="N4293" t="str">
            <v>82540</v>
          </cell>
          <cell r="O4293" t="str">
            <v>TIT</v>
          </cell>
          <cell r="P4293" t="str">
            <v>TIT82540</v>
          </cell>
          <cell r="Q4293" t="str">
            <v>51516</v>
          </cell>
        </row>
        <row r="4294">
          <cell r="N4294" t="str">
            <v>828001</v>
          </cell>
          <cell r="O4294" t="str">
            <v/>
          </cell>
          <cell r="P4294" t="str">
            <v/>
          </cell>
          <cell r="Q4294" t="str">
            <v>51401</v>
          </cell>
        </row>
        <row r="4295">
          <cell r="N4295" t="str">
            <v>828001</v>
          </cell>
          <cell r="O4295" t="str">
            <v>02K</v>
          </cell>
          <cell r="P4295" t="str">
            <v>02K828001</v>
          </cell>
          <cell r="Q4295" t="str">
            <v>51401</v>
          </cell>
        </row>
        <row r="4296">
          <cell r="N4296" t="str">
            <v>8999</v>
          </cell>
          <cell r="O4296" t="str">
            <v/>
          </cell>
          <cell r="P4296" t="str">
            <v/>
          </cell>
          <cell r="Q4296" t="str">
            <v/>
          </cell>
        </row>
        <row r="4297">
          <cell r="N4297" t="str">
            <v>8999</v>
          </cell>
          <cell r="O4297" t="str">
            <v>AY5</v>
          </cell>
          <cell r="P4297" t="str">
            <v>AY58999</v>
          </cell>
          <cell r="Q4297" t="str">
            <v/>
          </cell>
        </row>
        <row r="4298">
          <cell r="N4298" t="str">
            <v>8999</v>
          </cell>
          <cell r="O4298" t="str">
            <v>AZ5</v>
          </cell>
          <cell r="P4298" t="str">
            <v>AZ58999</v>
          </cell>
          <cell r="Q4298" t="str">
            <v/>
          </cell>
        </row>
        <row r="4299">
          <cell r="N4299" t="str">
            <v>89990</v>
          </cell>
          <cell r="O4299" t="str">
            <v/>
          </cell>
          <cell r="P4299" t="str">
            <v/>
          </cell>
          <cell r="Q4299" t="str">
            <v>55088091</v>
          </cell>
        </row>
        <row r="4300">
          <cell r="N4300" t="str">
            <v>89990</v>
          </cell>
          <cell r="O4300" t="str">
            <v>AY5</v>
          </cell>
          <cell r="P4300" t="str">
            <v>AY589990</v>
          </cell>
          <cell r="Q4300" t="str">
            <v>55088091</v>
          </cell>
        </row>
        <row r="4301">
          <cell r="N4301" t="str">
            <v>89990</v>
          </cell>
          <cell r="O4301" t="str">
            <v>AZ5</v>
          </cell>
          <cell r="P4301" t="str">
            <v>AZ589990</v>
          </cell>
          <cell r="Q4301" t="str">
            <v>55088091</v>
          </cell>
        </row>
        <row r="4302">
          <cell r="N4302" t="str">
            <v/>
          </cell>
          <cell r="O4302" t="str">
            <v/>
          </cell>
          <cell r="P4302" t="str">
            <v/>
          </cell>
          <cell r="Q4302" t="str">
            <v/>
          </cell>
        </row>
        <row r="4303">
          <cell r="N4303" t="str">
            <v>82801</v>
          </cell>
          <cell r="O4303" t="str">
            <v/>
          </cell>
          <cell r="P4303" t="str">
            <v/>
          </cell>
          <cell r="Q4303" t="str">
            <v>51401</v>
          </cell>
        </row>
        <row r="4304">
          <cell r="N4304" t="str">
            <v>82801</v>
          </cell>
          <cell r="O4304" t="str">
            <v>CTW</v>
          </cell>
          <cell r="P4304" t="str">
            <v>CTW82801</v>
          </cell>
          <cell r="Q4304" t="str">
            <v>51401</v>
          </cell>
        </row>
        <row r="4305">
          <cell r="N4305" t="str">
            <v/>
          </cell>
          <cell r="O4305" t="str">
            <v/>
          </cell>
          <cell r="P4305" t="str">
            <v/>
          </cell>
          <cell r="Q4305" t="str">
            <v/>
          </cell>
        </row>
        <row r="4306">
          <cell r="N4306" t="str">
            <v>71999</v>
          </cell>
          <cell r="O4306" t="str">
            <v/>
          </cell>
          <cell r="P4306" t="str">
            <v/>
          </cell>
          <cell r="Q4306" t="str">
            <v>41999</v>
          </cell>
        </row>
        <row r="4307">
          <cell r="N4307" t="str">
            <v>71999</v>
          </cell>
          <cell r="O4307" t="str">
            <v>TIT</v>
          </cell>
          <cell r="P4307" t="str">
            <v>TIT71999</v>
          </cell>
          <cell r="Q4307" t="str">
            <v>41999</v>
          </cell>
        </row>
        <row r="4308">
          <cell r="N4308" t="str">
            <v>89224</v>
          </cell>
          <cell r="O4308" t="str">
            <v/>
          </cell>
          <cell r="P4308" t="str">
            <v/>
          </cell>
          <cell r="Q4308" t="str">
            <v>55083</v>
          </cell>
        </row>
        <row r="4309">
          <cell r="N4309" t="str">
            <v>89224</v>
          </cell>
          <cell r="O4309" t="str">
            <v>TEF</v>
          </cell>
          <cell r="P4309" t="str">
            <v>TEF89224</v>
          </cell>
          <cell r="Q4309" t="str">
            <v>55083</v>
          </cell>
        </row>
        <row r="4310">
          <cell r="N4310" t="str">
            <v>89224</v>
          </cell>
          <cell r="O4310" t="str">
            <v>TEG</v>
          </cell>
          <cell r="P4310" t="str">
            <v>TEG89224</v>
          </cell>
          <cell r="Q4310" t="str">
            <v>55083</v>
          </cell>
        </row>
        <row r="4311">
          <cell r="N4311" t="str">
            <v>89224</v>
          </cell>
          <cell r="O4311" t="str">
            <v>TEH</v>
          </cell>
          <cell r="P4311" t="str">
            <v>TEH89224</v>
          </cell>
          <cell r="Q4311" t="str">
            <v>55083</v>
          </cell>
        </row>
        <row r="4312">
          <cell r="N4312" t="str">
            <v>89224</v>
          </cell>
          <cell r="O4312" t="str">
            <v>TEJ</v>
          </cell>
          <cell r="P4312" t="str">
            <v>TEJ89224</v>
          </cell>
          <cell r="Q4312" t="str">
            <v>55083</v>
          </cell>
        </row>
        <row r="4313">
          <cell r="N4313" t="str">
            <v>89224</v>
          </cell>
          <cell r="O4313" t="str">
            <v>TEY</v>
          </cell>
          <cell r="P4313" t="str">
            <v>TEY89224</v>
          </cell>
          <cell r="Q4313" t="str">
            <v>55083</v>
          </cell>
        </row>
        <row r="4314">
          <cell r="N4314" t="str">
            <v>89224</v>
          </cell>
          <cell r="O4314" t="str">
            <v>TIT</v>
          </cell>
          <cell r="P4314" t="str">
            <v>TIT89224</v>
          </cell>
          <cell r="Q4314" t="str">
            <v>55083</v>
          </cell>
        </row>
        <row r="4315">
          <cell r="N4315" t="str">
            <v>89224</v>
          </cell>
          <cell r="O4315" t="str">
            <v>111</v>
          </cell>
          <cell r="P4315" t="str">
            <v>11189224</v>
          </cell>
          <cell r="Q4315" t="str">
            <v>55083</v>
          </cell>
        </row>
        <row r="4316">
          <cell r="N4316" t="str">
            <v>89303</v>
          </cell>
          <cell r="O4316" t="str">
            <v/>
          </cell>
          <cell r="P4316" t="str">
            <v/>
          </cell>
          <cell r="Q4316" t="str">
            <v>4311885</v>
          </cell>
        </row>
        <row r="4317">
          <cell r="N4317" t="str">
            <v>89303</v>
          </cell>
          <cell r="O4317" t="str">
            <v>TIT</v>
          </cell>
          <cell r="P4317" t="str">
            <v>TIT89303</v>
          </cell>
          <cell r="Q4317" t="str">
            <v>4311885</v>
          </cell>
        </row>
        <row r="4318">
          <cell r="N4318" t="str">
            <v>8932</v>
          </cell>
          <cell r="O4318" t="str">
            <v/>
          </cell>
          <cell r="P4318" t="str">
            <v/>
          </cell>
          <cell r="Q4318" t="str">
            <v/>
          </cell>
        </row>
        <row r="4319">
          <cell r="N4319" t="str">
            <v>8932</v>
          </cell>
          <cell r="O4319" t="str">
            <v>ONL</v>
          </cell>
          <cell r="P4319" t="str">
            <v>ONL8932</v>
          </cell>
          <cell r="Q4319" t="str">
            <v/>
          </cell>
        </row>
        <row r="4320">
          <cell r="N4320" t="str">
            <v>89341</v>
          </cell>
          <cell r="O4320" t="str">
            <v/>
          </cell>
          <cell r="P4320" t="str">
            <v/>
          </cell>
          <cell r="Q4320" t="str">
            <v>431110</v>
          </cell>
        </row>
        <row r="4321">
          <cell r="N4321" t="str">
            <v>89341</v>
          </cell>
          <cell r="O4321" t="str">
            <v>TIT</v>
          </cell>
          <cell r="P4321" t="str">
            <v>TIT89341</v>
          </cell>
          <cell r="Q4321" t="str">
            <v>431110</v>
          </cell>
        </row>
        <row r="4322">
          <cell r="N4322" t="str">
            <v>89342</v>
          </cell>
          <cell r="O4322" t="str">
            <v/>
          </cell>
          <cell r="P4322" t="str">
            <v/>
          </cell>
          <cell r="Q4322" t="str">
            <v>431111</v>
          </cell>
        </row>
        <row r="4323">
          <cell r="N4323" t="str">
            <v>89342</v>
          </cell>
          <cell r="O4323" t="str">
            <v>DEO</v>
          </cell>
          <cell r="P4323" t="str">
            <v>DEO89342</v>
          </cell>
          <cell r="Q4323" t="str">
            <v>431111</v>
          </cell>
        </row>
        <row r="4324">
          <cell r="N4324" t="str">
            <v>89342</v>
          </cell>
          <cell r="O4324" t="str">
            <v>E7T</v>
          </cell>
          <cell r="P4324" t="str">
            <v>E7T89342</v>
          </cell>
          <cell r="Q4324" t="str">
            <v>431111</v>
          </cell>
        </row>
        <row r="4325">
          <cell r="N4325" t="str">
            <v>89342</v>
          </cell>
          <cell r="O4325" t="str">
            <v>TIT</v>
          </cell>
          <cell r="P4325" t="str">
            <v>TIT89342</v>
          </cell>
          <cell r="Q4325" t="str">
            <v>431111</v>
          </cell>
        </row>
        <row r="4326">
          <cell r="N4326" t="str">
            <v>89342</v>
          </cell>
          <cell r="O4326" t="str">
            <v>08K</v>
          </cell>
          <cell r="P4326" t="str">
            <v>08K89342</v>
          </cell>
          <cell r="Q4326" t="str">
            <v>431111</v>
          </cell>
        </row>
        <row r="4327">
          <cell r="N4327" t="str">
            <v>89342</v>
          </cell>
          <cell r="O4327" t="str">
            <v>7TO</v>
          </cell>
          <cell r="P4327" t="str">
            <v>7TO89342</v>
          </cell>
          <cell r="Q4327" t="str">
            <v>431111</v>
          </cell>
        </row>
        <row r="4328">
          <cell r="N4328" t="str">
            <v/>
          </cell>
          <cell r="O4328" t="str">
            <v/>
          </cell>
          <cell r="P4328" t="str">
            <v/>
          </cell>
          <cell r="Q4328" t="str">
            <v/>
          </cell>
        </row>
        <row r="4329">
          <cell r="N4329" t="str">
            <v>828001</v>
          </cell>
          <cell r="O4329" t="str">
            <v/>
          </cell>
          <cell r="P4329" t="str">
            <v/>
          </cell>
          <cell r="Q4329" t="str">
            <v>51401</v>
          </cell>
        </row>
        <row r="4330">
          <cell r="N4330" t="str">
            <v>828001</v>
          </cell>
          <cell r="O4330" t="str">
            <v>07K</v>
          </cell>
          <cell r="P4330" t="str">
            <v>07K828001</v>
          </cell>
          <cell r="Q4330" t="str">
            <v>51401</v>
          </cell>
        </row>
        <row r="4331">
          <cell r="N4331" t="str">
            <v/>
          </cell>
          <cell r="O4331" t="str">
            <v/>
          </cell>
          <cell r="P4331" t="str">
            <v/>
          </cell>
          <cell r="Q4331" t="str">
            <v/>
          </cell>
        </row>
        <row r="4332">
          <cell r="N4332" t="str">
            <v>77983</v>
          </cell>
          <cell r="O4332" t="str">
            <v/>
          </cell>
          <cell r="P4332" t="str">
            <v/>
          </cell>
          <cell r="Q4332" t="str">
            <v>4508809113</v>
          </cell>
        </row>
        <row r="4333">
          <cell r="N4333" t="str">
            <v>77983</v>
          </cell>
          <cell r="O4333" t="str">
            <v>AYQ</v>
          </cell>
          <cell r="P4333" t="str">
            <v>AYQ77983</v>
          </cell>
          <cell r="Q4333" t="str">
            <v>4508809113</v>
          </cell>
        </row>
        <row r="4334">
          <cell r="N4334" t="str">
            <v>77983</v>
          </cell>
          <cell r="O4334" t="str">
            <v>AY4</v>
          </cell>
          <cell r="P4334" t="str">
            <v>AY477983</v>
          </cell>
          <cell r="Q4334" t="str">
            <v>4508809113</v>
          </cell>
        </row>
        <row r="4335">
          <cell r="N4335" t="str">
            <v>77983</v>
          </cell>
          <cell r="O4335" t="str">
            <v>AZQ</v>
          </cell>
          <cell r="P4335" t="str">
            <v>AZQ77983</v>
          </cell>
          <cell r="Q4335" t="str">
            <v>4508809113</v>
          </cell>
        </row>
        <row r="4336">
          <cell r="N4336" t="str">
            <v>77983</v>
          </cell>
          <cell r="O4336" t="str">
            <v>AZ4</v>
          </cell>
          <cell r="P4336" t="str">
            <v>AZ477983</v>
          </cell>
          <cell r="Q4336" t="str">
            <v>4508809113</v>
          </cell>
        </row>
        <row r="4337">
          <cell r="N4337" t="str">
            <v>77983</v>
          </cell>
          <cell r="O4337" t="str">
            <v>TIT</v>
          </cell>
          <cell r="P4337" t="str">
            <v>TIT77983</v>
          </cell>
          <cell r="Q4337" t="str">
            <v>4508809113</v>
          </cell>
        </row>
        <row r="4338">
          <cell r="N4338" t="str">
            <v>77986</v>
          </cell>
          <cell r="O4338" t="str">
            <v/>
          </cell>
          <cell r="P4338" t="str">
            <v/>
          </cell>
          <cell r="Q4338" t="str">
            <v>4508809116</v>
          </cell>
        </row>
        <row r="4339">
          <cell r="N4339" t="str">
            <v>77986</v>
          </cell>
          <cell r="O4339" t="str">
            <v>BOF</v>
          </cell>
          <cell r="P4339" t="str">
            <v>BOF77986</v>
          </cell>
          <cell r="Q4339" t="str">
            <v>4508809116</v>
          </cell>
        </row>
        <row r="4340">
          <cell r="N4340" t="str">
            <v>82500</v>
          </cell>
          <cell r="O4340" t="str">
            <v/>
          </cell>
          <cell r="P4340" t="str">
            <v/>
          </cell>
          <cell r="Q4340" t="str">
            <v/>
          </cell>
        </row>
        <row r="4341">
          <cell r="N4341" t="str">
            <v>82500</v>
          </cell>
          <cell r="O4341" t="str">
            <v>TNR</v>
          </cell>
          <cell r="P4341" t="str">
            <v>TNR82500</v>
          </cell>
          <cell r="Q4341" t="str">
            <v/>
          </cell>
        </row>
        <row r="4342">
          <cell r="N4342" t="str">
            <v>825000</v>
          </cell>
          <cell r="O4342" t="str">
            <v/>
          </cell>
          <cell r="P4342" t="str">
            <v/>
          </cell>
          <cell r="Q4342" t="str">
            <v>51509</v>
          </cell>
        </row>
        <row r="4343">
          <cell r="N4343" t="str">
            <v>825000</v>
          </cell>
          <cell r="O4343" t="str">
            <v>TNR</v>
          </cell>
          <cell r="P4343" t="str">
            <v>TNR825000</v>
          </cell>
          <cell r="Q4343" t="str">
            <v>51509</v>
          </cell>
        </row>
        <row r="4344">
          <cell r="N4344" t="str">
            <v>8985</v>
          </cell>
          <cell r="O4344" t="str">
            <v/>
          </cell>
          <cell r="P4344" t="str">
            <v/>
          </cell>
          <cell r="Q4344" t="str">
            <v>550880925</v>
          </cell>
        </row>
        <row r="4345">
          <cell r="N4345" t="str">
            <v>8985</v>
          </cell>
          <cell r="O4345" t="str">
            <v>TIT</v>
          </cell>
          <cell r="P4345" t="str">
            <v>TIT8985</v>
          </cell>
          <cell r="Q4345" t="str">
            <v>550880925</v>
          </cell>
        </row>
        <row r="4346">
          <cell r="N4346" t="str">
            <v/>
          </cell>
          <cell r="O4346" t="str">
            <v/>
          </cell>
          <cell r="P4346" t="str">
            <v/>
          </cell>
          <cell r="Q4346" t="str">
            <v/>
          </cell>
        </row>
        <row r="4347">
          <cell r="N4347" t="str">
            <v>71612</v>
          </cell>
          <cell r="O4347" t="str">
            <v/>
          </cell>
          <cell r="P4347" t="str">
            <v/>
          </cell>
          <cell r="Q4347" t="str">
            <v>416190</v>
          </cell>
        </row>
        <row r="4348">
          <cell r="N4348" t="str">
            <v>71612</v>
          </cell>
          <cell r="O4348" t="str">
            <v>AYO</v>
          </cell>
          <cell r="P4348" t="str">
            <v>AYO71612</v>
          </cell>
          <cell r="Q4348" t="str">
            <v>416190</v>
          </cell>
        </row>
        <row r="4349">
          <cell r="N4349" t="str">
            <v>71612</v>
          </cell>
          <cell r="O4349" t="str">
            <v>AZO</v>
          </cell>
          <cell r="P4349" t="str">
            <v>AZO71612</v>
          </cell>
          <cell r="Q4349" t="str">
            <v>416190</v>
          </cell>
        </row>
        <row r="4350">
          <cell r="N4350" t="str">
            <v>825000</v>
          </cell>
          <cell r="O4350" t="str">
            <v/>
          </cell>
          <cell r="P4350" t="str">
            <v/>
          </cell>
          <cell r="Q4350" t="str">
            <v>51509</v>
          </cell>
        </row>
        <row r="4351">
          <cell r="N4351" t="str">
            <v>825000</v>
          </cell>
          <cell r="O4351" t="str">
            <v>AY2</v>
          </cell>
          <cell r="P4351" t="str">
            <v>AY2825000</v>
          </cell>
          <cell r="Q4351" t="str">
            <v>51509</v>
          </cell>
        </row>
        <row r="4352">
          <cell r="N4352" t="str">
            <v>825000</v>
          </cell>
          <cell r="O4352" t="str">
            <v>AZ2</v>
          </cell>
          <cell r="P4352" t="str">
            <v>AZ2825000</v>
          </cell>
          <cell r="Q4352" t="str">
            <v>51509</v>
          </cell>
        </row>
        <row r="4353">
          <cell r="N4353" t="str">
            <v>825000</v>
          </cell>
          <cell r="O4353" t="str">
            <v>AZ6</v>
          </cell>
          <cell r="P4353" t="str">
            <v>AZ6825000</v>
          </cell>
          <cell r="Q4353" t="str">
            <v>51509</v>
          </cell>
        </row>
        <row r="4354">
          <cell r="N4354" t="str">
            <v>82800</v>
          </cell>
          <cell r="O4354" t="str">
            <v/>
          </cell>
          <cell r="P4354" t="str">
            <v/>
          </cell>
          <cell r="Q4354" t="str">
            <v/>
          </cell>
        </row>
        <row r="4355">
          <cell r="N4355" t="str">
            <v>82800</v>
          </cell>
          <cell r="O4355" t="str">
            <v>8RT</v>
          </cell>
          <cell r="P4355" t="str">
            <v>8RT82800</v>
          </cell>
          <cell r="Q4355" t="str">
            <v/>
          </cell>
        </row>
        <row r="4356">
          <cell r="N4356" t="str">
            <v>828001</v>
          </cell>
          <cell r="O4356" t="str">
            <v/>
          </cell>
          <cell r="P4356" t="str">
            <v/>
          </cell>
          <cell r="Q4356" t="str">
            <v>51401</v>
          </cell>
        </row>
        <row r="4357">
          <cell r="N4357" t="str">
            <v>828001</v>
          </cell>
          <cell r="O4357" t="str">
            <v>8RT</v>
          </cell>
          <cell r="P4357" t="str">
            <v>8RT828001</v>
          </cell>
          <cell r="Q4357" t="str">
            <v>51401</v>
          </cell>
        </row>
        <row r="4358">
          <cell r="N4358" t="str">
            <v/>
          </cell>
          <cell r="O4358" t="str">
            <v/>
          </cell>
          <cell r="P4358" t="str">
            <v/>
          </cell>
          <cell r="Q4358" t="str">
            <v/>
          </cell>
        </row>
        <row r="4359">
          <cell r="N4359" t="str">
            <v/>
          </cell>
          <cell r="O4359" t="str">
            <v/>
          </cell>
          <cell r="P4359" t="str">
            <v/>
          </cell>
          <cell r="Q4359" t="str">
            <v/>
          </cell>
        </row>
        <row r="4360">
          <cell r="N4360" t="str">
            <v>8251211</v>
          </cell>
          <cell r="O4360" t="str">
            <v/>
          </cell>
          <cell r="P4360" t="str">
            <v/>
          </cell>
          <cell r="Q4360" t="str">
            <v/>
          </cell>
        </row>
        <row r="4361">
          <cell r="N4361" t="str">
            <v>8251211</v>
          </cell>
          <cell r="O4361" t="str">
            <v>DLC</v>
          </cell>
          <cell r="P4361" t="str">
            <v>DLC8251211</v>
          </cell>
          <cell r="Q4361" t="str">
            <v/>
          </cell>
        </row>
        <row r="4362">
          <cell r="N4362" t="str">
            <v>8251211</v>
          </cell>
          <cell r="O4362" t="str">
            <v>DME</v>
          </cell>
          <cell r="P4362" t="str">
            <v>DME8251211</v>
          </cell>
          <cell r="Q4362" t="str">
            <v/>
          </cell>
        </row>
        <row r="4363">
          <cell r="N4363" t="str">
            <v>8251211</v>
          </cell>
          <cell r="O4363" t="str">
            <v>DML</v>
          </cell>
          <cell r="P4363" t="str">
            <v>DML8251211</v>
          </cell>
          <cell r="Q4363" t="str">
            <v/>
          </cell>
        </row>
        <row r="4364">
          <cell r="N4364" t="str">
            <v>8251211</v>
          </cell>
          <cell r="O4364" t="str">
            <v>DMM</v>
          </cell>
          <cell r="P4364" t="str">
            <v>DMM8251211</v>
          </cell>
          <cell r="Q4364" t="str">
            <v/>
          </cell>
        </row>
        <row r="4365">
          <cell r="N4365" t="str">
            <v>8251211</v>
          </cell>
          <cell r="O4365" t="str">
            <v>DMQ</v>
          </cell>
          <cell r="P4365" t="str">
            <v>DMQ8251211</v>
          </cell>
          <cell r="Q4365" t="str">
            <v/>
          </cell>
        </row>
        <row r="4366">
          <cell r="N4366" t="str">
            <v>8251211</v>
          </cell>
          <cell r="O4366" t="str">
            <v>DMS</v>
          </cell>
          <cell r="P4366" t="str">
            <v>DMS8251211</v>
          </cell>
          <cell r="Q4366" t="str">
            <v/>
          </cell>
        </row>
        <row r="4367">
          <cell r="N4367" t="str">
            <v>8251211</v>
          </cell>
          <cell r="O4367" t="str">
            <v>DMW</v>
          </cell>
          <cell r="P4367" t="str">
            <v>DMW8251211</v>
          </cell>
          <cell r="Q4367" t="str">
            <v/>
          </cell>
        </row>
        <row r="4368">
          <cell r="N4368" t="str">
            <v>8251211</v>
          </cell>
          <cell r="O4368" t="str">
            <v>DOM</v>
          </cell>
          <cell r="P4368" t="str">
            <v>DOM8251211</v>
          </cell>
          <cell r="Q4368" t="str">
            <v/>
          </cell>
        </row>
        <row r="4369">
          <cell r="N4369" t="str">
            <v>8251211</v>
          </cell>
          <cell r="O4369" t="str">
            <v>ECO</v>
          </cell>
          <cell r="P4369" t="str">
            <v>ECO8251211</v>
          </cell>
          <cell r="Q4369" t="str">
            <v/>
          </cell>
        </row>
        <row r="4370">
          <cell r="N4370" t="str">
            <v>8251211</v>
          </cell>
          <cell r="O4370" t="str">
            <v>ONL</v>
          </cell>
          <cell r="P4370" t="str">
            <v>ONL8251211</v>
          </cell>
          <cell r="Q4370" t="str">
            <v/>
          </cell>
        </row>
        <row r="4371">
          <cell r="N4371" t="str">
            <v>8251211</v>
          </cell>
          <cell r="O4371" t="str">
            <v>REG</v>
          </cell>
          <cell r="P4371" t="str">
            <v>REG8251211</v>
          </cell>
          <cell r="Q4371" t="str">
            <v/>
          </cell>
        </row>
        <row r="4372">
          <cell r="N4372" t="str">
            <v>8251211</v>
          </cell>
          <cell r="O4372" t="str">
            <v>111</v>
          </cell>
          <cell r="P4372" t="str">
            <v>1118251211</v>
          </cell>
          <cell r="Q4372" t="str">
            <v/>
          </cell>
        </row>
        <row r="4373">
          <cell r="N4373" t="str">
            <v>82513</v>
          </cell>
          <cell r="O4373" t="str">
            <v/>
          </cell>
          <cell r="P4373" t="str">
            <v/>
          </cell>
          <cell r="Q4373" t="str">
            <v>51513</v>
          </cell>
        </row>
        <row r="4374">
          <cell r="N4374" t="str">
            <v>82513</v>
          </cell>
          <cell r="O4374" t="str">
            <v>NID</v>
          </cell>
          <cell r="P4374" t="str">
            <v>NID82513</v>
          </cell>
          <cell r="Q4374" t="str">
            <v>51513</v>
          </cell>
        </row>
        <row r="4375">
          <cell r="N4375" t="str">
            <v>82993</v>
          </cell>
          <cell r="O4375" t="str">
            <v/>
          </cell>
          <cell r="P4375" t="str">
            <v/>
          </cell>
          <cell r="Q4375" t="str">
            <v>51999</v>
          </cell>
        </row>
        <row r="4376">
          <cell r="N4376" t="str">
            <v>82993</v>
          </cell>
          <cell r="O4376" t="str">
            <v>8DC</v>
          </cell>
          <cell r="P4376" t="str">
            <v>8DC82993</v>
          </cell>
          <cell r="Q4376" t="str">
            <v>51999</v>
          </cell>
        </row>
        <row r="4377">
          <cell r="N4377" t="str">
            <v>82993</v>
          </cell>
          <cell r="O4377" t="str">
            <v>9DC</v>
          </cell>
          <cell r="P4377" t="str">
            <v>9DC82993</v>
          </cell>
          <cell r="Q4377" t="str">
            <v>51999</v>
          </cell>
        </row>
        <row r="4378">
          <cell r="N4378" t="str">
            <v/>
          </cell>
          <cell r="O4378" t="str">
            <v/>
          </cell>
          <cell r="P4378" t="str">
            <v/>
          </cell>
          <cell r="Q4378" t="str">
            <v/>
          </cell>
        </row>
        <row r="4379">
          <cell r="N4379" t="str">
            <v/>
          </cell>
          <cell r="O4379" t="str">
            <v/>
          </cell>
          <cell r="P4379" t="str">
            <v/>
          </cell>
          <cell r="Q4379" t="str">
            <v/>
          </cell>
        </row>
        <row r="4380">
          <cell r="N4380" t="str">
            <v/>
          </cell>
          <cell r="O4380" t="str">
            <v/>
          </cell>
          <cell r="P4380" t="str">
            <v/>
          </cell>
          <cell r="Q4380" t="str">
            <v/>
          </cell>
        </row>
        <row r="4381">
          <cell r="N4381" t="str">
            <v>71610</v>
          </cell>
          <cell r="O4381" t="str">
            <v/>
          </cell>
          <cell r="P4381" t="str">
            <v/>
          </cell>
          <cell r="Q4381" t="str">
            <v>416190</v>
          </cell>
        </row>
        <row r="4382">
          <cell r="N4382" t="str">
            <v>71610</v>
          </cell>
          <cell r="O4382" t="str">
            <v>L01</v>
          </cell>
          <cell r="P4382" t="str">
            <v>L0171610</v>
          </cell>
          <cell r="Q4382" t="str">
            <v>416190</v>
          </cell>
        </row>
        <row r="4383">
          <cell r="N4383" t="str">
            <v>71610</v>
          </cell>
          <cell r="O4383" t="str">
            <v>ONL</v>
          </cell>
          <cell r="P4383" t="str">
            <v>ONL71610</v>
          </cell>
          <cell r="Q4383" t="str">
            <v>416190</v>
          </cell>
        </row>
        <row r="4384">
          <cell r="N4384" t="str">
            <v>71610</v>
          </cell>
          <cell r="O4384" t="str">
            <v>111</v>
          </cell>
          <cell r="P4384" t="str">
            <v>11171610</v>
          </cell>
          <cell r="Q4384" t="str">
            <v>416190</v>
          </cell>
        </row>
        <row r="4385">
          <cell r="N4385" t="str">
            <v>71610</v>
          </cell>
          <cell r="O4385" t="str">
            <v>956</v>
          </cell>
          <cell r="P4385" t="str">
            <v>95671610</v>
          </cell>
          <cell r="Q4385" t="str">
            <v>416190</v>
          </cell>
        </row>
        <row r="4386">
          <cell r="N4386" t="str">
            <v>71610</v>
          </cell>
          <cell r="O4386" t="str">
            <v>958</v>
          </cell>
          <cell r="P4386" t="str">
            <v>95871610</v>
          </cell>
          <cell r="Q4386" t="str">
            <v>416190</v>
          </cell>
        </row>
        <row r="4387">
          <cell r="N4387" t="str">
            <v/>
          </cell>
          <cell r="O4387" t="str">
            <v/>
          </cell>
          <cell r="P4387" t="str">
            <v/>
          </cell>
          <cell r="Q4387" t="str">
            <v/>
          </cell>
        </row>
        <row r="4388">
          <cell r="N4388" t="str">
            <v>82512100</v>
          </cell>
          <cell r="O4388" t="str">
            <v/>
          </cell>
          <cell r="P4388" t="str">
            <v/>
          </cell>
          <cell r="Q4388" t="str">
            <v>51512100</v>
          </cell>
        </row>
        <row r="4389">
          <cell r="N4389" t="str">
            <v>82512100</v>
          </cell>
          <cell r="O4389" t="str">
            <v>ONL</v>
          </cell>
          <cell r="P4389" t="str">
            <v>ONL82512100</v>
          </cell>
          <cell r="Q4389" t="str">
            <v>51512100</v>
          </cell>
        </row>
        <row r="4390">
          <cell r="N4390" t="str">
            <v>82512100</v>
          </cell>
          <cell r="O4390" t="str">
            <v>111</v>
          </cell>
          <cell r="P4390" t="str">
            <v>11182512100</v>
          </cell>
          <cell r="Q4390" t="str">
            <v>51512100</v>
          </cell>
        </row>
        <row r="4391">
          <cell r="N4391" t="str">
            <v>82512100</v>
          </cell>
          <cell r="O4391" t="str">
            <v>912</v>
          </cell>
          <cell r="P4391" t="str">
            <v>91282512100</v>
          </cell>
          <cell r="Q4391" t="str">
            <v>51512100</v>
          </cell>
        </row>
        <row r="4392">
          <cell r="N4392" t="str">
            <v>82512100</v>
          </cell>
          <cell r="O4392" t="str">
            <v>957</v>
          </cell>
          <cell r="P4392" t="str">
            <v>95782512100</v>
          </cell>
          <cell r="Q4392" t="str">
            <v>51512100</v>
          </cell>
        </row>
        <row r="4393">
          <cell r="N4393" t="str">
            <v>82512100</v>
          </cell>
          <cell r="O4393" t="str">
            <v>959</v>
          </cell>
          <cell r="P4393" t="str">
            <v>95982512100</v>
          </cell>
          <cell r="Q4393" t="str">
            <v>51512100</v>
          </cell>
        </row>
        <row r="4394">
          <cell r="N4394" t="str">
            <v/>
          </cell>
          <cell r="O4394" t="str">
            <v/>
          </cell>
          <cell r="P4394" t="str">
            <v/>
          </cell>
          <cell r="Q4394" t="str">
            <v/>
          </cell>
        </row>
        <row r="4395">
          <cell r="N4395" t="str">
            <v>82512101</v>
          </cell>
          <cell r="O4395" t="str">
            <v/>
          </cell>
          <cell r="P4395" t="str">
            <v/>
          </cell>
          <cell r="Q4395" t="str">
            <v>51512101</v>
          </cell>
        </row>
        <row r="4396">
          <cell r="N4396" t="str">
            <v>82512101</v>
          </cell>
          <cell r="O4396" t="str">
            <v>DME</v>
          </cell>
          <cell r="P4396" t="str">
            <v>DME82512101</v>
          </cell>
          <cell r="Q4396" t="str">
            <v>51512101</v>
          </cell>
        </row>
        <row r="4397">
          <cell r="N4397" t="str">
            <v>82512101</v>
          </cell>
          <cell r="O4397" t="str">
            <v>DML</v>
          </cell>
          <cell r="P4397" t="str">
            <v>DML82512101</v>
          </cell>
          <cell r="Q4397" t="str">
            <v>51512101</v>
          </cell>
        </row>
        <row r="4398">
          <cell r="N4398" t="str">
            <v>82512101</v>
          </cell>
          <cell r="O4398" t="str">
            <v>DMM</v>
          </cell>
          <cell r="P4398" t="str">
            <v>DMM82512101</v>
          </cell>
          <cell r="Q4398" t="str">
            <v>51512101</v>
          </cell>
        </row>
        <row r="4399">
          <cell r="N4399" t="str">
            <v>82512101</v>
          </cell>
          <cell r="O4399" t="str">
            <v>DMW</v>
          </cell>
          <cell r="P4399" t="str">
            <v>DMW82512101</v>
          </cell>
          <cell r="Q4399" t="str">
            <v>51512101</v>
          </cell>
        </row>
        <row r="4400">
          <cell r="N4400" t="str">
            <v>82512101</v>
          </cell>
          <cell r="O4400" t="str">
            <v>DOM</v>
          </cell>
          <cell r="P4400" t="str">
            <v>DOM82512101</v>
          </cell>
          <cell r="Q4400" t="str">
            <v>51512101</v>
          </cell>
        </row>
        <row r="4401">
          <cell r="N4401" t="str">
            <v>82512101</v>
          </cell>
          <cell r="O4401" t="str">
            <v>!OJ</v>
          </cell>
          <cell r="P4401" t="str">
            <v>!OJ82512101</v>
          </cell>
          <cell r="Q4401" t="str">
            <v>51512101</v>
          </cell>
        </row>
        <row r="4402">
          <cell r="N4402" t="str">
            <v>82512101</v>
          </cell>
          <cell r="O4402" t="str">
            <v>!OK</v>
          </cell>
          <cell r="P4402" t="str">
            <v>!OK82512101</v>
          </cell>
          <cell r="Q4402" t="str">
            <v>51512101</v>
          </cell>
        </row>
        <row r="4403">
          <cell r="N4403" t="str">
            <v>82512101</v>
          </cell>
          <cell r="O4403" t="str">
            <v>!OM</v>
          </cell>
          <cell r="P4403" t="str">
            <v>!OM82512101</v>
          </cell>
          <cell r="Q4403" t="str">
            <v>51512101</v>
          </cell>
        </row>
        <row r="4404">
          <cell r="N4404" t="str">
            <v>82512101</v>
          </cell>
          <cell r="O4404" t="str">
            <v>914</v>
          </cell>
          <cell r="P4404" t="str">
            <v>91482512101</v>
          </cell>
          <cell r="Q4404" t="str">
            <v>51512101</v>
          </cell>
        </row>
        <row r="4405">
          <cell r="N4405" t="str">
            <v>8251212</v>
          </cell>
          <cell r="O4405" t="str">
            <v/>
          </cell>
          <cell r="P4405" t="str">
            <v/>
          </cell>
          <cell r="Q4405" t="str">
            <v>5151212</v>
          </cell>
        </row>
        <row r="4406">
          <cell r="N4406" t="str">
            <v>8251212</v>
          </cell>
          <cell r="O4406" t="str">
            <v>DME</v>
          </cell>
          <cell r="P4406" t="str">
            <v>DME8251212</v>
          </cell>
          <cell r="Q4406" t="str">
            <v>5151212</v>
          </cell>
        </row>
        <row r="4407">
          <cell r="N4407" t="str">
            <v>8251212</v>
          </cell>
          <cell r="O4407" t="str">
            <v>DMM</v>
          </cell>
          <cell r="P4407" t="str">
            <v>DMM8251212</v>
          </cell>
          <cell r="Q4407" t="str">
            <v>5151212</v>
          </cell>
        </row>
        <row r="4408">
          <cell r="N4408" t="str">
            <v>8251212</v>
          </cell>
          <cell r="O4408" t="str">
            <v>LD3</v>
          </cell>
          <cell r="P4408" t="str">
            <v>LD38251212</v>
          </cell>
          <cell r="Q4408" t="str">
            <v>5151212</v>
          </cell>
        </row>
        <row r="4409">
          <cell r="N4409" t="str">
            <v>8251212</v>
          </cell>
          <cell r="O4409" t="str">
            <v>LD5</v>
          </cell>
          <cell r="P4409" t="str">
            <v>LD58251212</v>
          </cell>
          <cell r="Q4409" t="str">
            <v>5151212</v>
          </cell>
        </row>
        <row r="4410">
          <cell r="N4410" t="str">
            <v>8251212</v>
          </cell>
          <cell r="O4410" t="str">
            <v>LHE</v>
          </cell>
          <cell r="P4410" t="str">
            <v>LHE8251212</v>
          </cell>
          <cell r="Q4410" t="str">
            <v>5151212</v>
          </cell>
        </row>
        <row r="4411">
          <cell r="N4411" t="str">
            <v>8251212</v>
          </cell>
          <cell r="O4411" t="str">
            <v>LHH</v>
          </cell>
          <cell r="P4411" t="str">
            <v>LHH8251212</v>
          </cell>
          <cell r="Q4411" t="str">
            <v>5151212</v>
          </cell>
        </row>
        <row r="4412">
          <cell r="N4412" t="str">
            <v>8251212</v>
          </cell>
          <cell r="O4412" t="str">
            <v>LHO</v>
          </cell>
          <cell r="P4412" t="str">
            <v>LHO8251212</v>
          </cell>
          <cell r="Q4412" t="str">
            <v>5151212</v>
          </cell>
        </row>
        <row r="4413">
          <cell r="N4413" t="str">
            <v>8251212</v>
          </cell>
          <cell r="O4413" t="str">
            <v>LH9</v>
          </cell>
          <cell r="P4413" t="str">
            <v>LH98251212</v>
          </cell>
          <cell r="Q4413" t="str">
            <v>5151212</v>
          </cell>
        </row>
        <row r="4414">
          <cell r="N4414" t="str">
            <v/>
          </cell>
          <cell r="O4414" t="str">
            <v/>
          </cell>
          <cell r="P4414" t="str">
            <v/>
          </cell>
          <cell r="Q4414" t="str">
            <v/>
          </cell>
        </row>
        <row r="4415">
          <cell r="N4415" t="str">
            <v>82512101</v>
          </cell>
          <cell r="O4415" t="str">
            <v/>
          </cell>
          <cell r="P4415" t="str">
            <v/>
          </cell>
          <cell r="Q4415" t="str">
            <v>51512101</v>
          </cell>
        </row>
        <row r="4416">
          <cell r="N4416" t="str">
            <v>82512101</v>
          </cell>
          <cell r="O4416" t="str">
            <v>ONL</v>
          </cell>
          <cell r="P4416" t="str">
            <v>ONL82512101</v>
          </cell>
          <cell r="Q4416" t="str">
            <v>51512101</v>
          </cell>
        </row>
        <row r="4417">
          <cell r="N4417" t="str">
            <v>82512101</v>
          </cell>
          <cell r="O4417" t="str">
            <v>REG</v>
          </cell>
          <cell r="P4417" t="str">
            <v>REG82512101</v>
          </cell>
          <cell r="Q4417" t="str">
            <v>51512101</v>
          </cell>
        </row>
        <row r="4418">
          <cell r="N4418" t="str">
            <v>82512101</v>
          </cell>
          <cell r="O4418" t="str">
            <v>111</v>
          </cell>
          <cell r="P4418" t="str">
            <v>11182512101</v>
          </cell>
          <cell r="Q4418" t="str">
            <v>51512101</v>
          </cell>
        </row>
        <row r="4419">
          <cell r="N4419" t="str">
            <v/>
          </cell>
          <cell r="O4419" t="str">
            <v/>
          </cell>
          <cell r="P4419" t="str">
            <v/>
          </cell>
          <cell r="Q4419" t="str">
            <v/>
          </cell>
        </row>
        <row r="4420">
          <cell r="N4420" t="str">
            <v/>
          </cell>
          <cell r="O4420" t="str">
            <v/>
          </cell>
          <cell r="P4420" t="str">
            <v/>
          </cell>
          <cell r="Q4420" t="str">
            <v/>
          </cell>
        </row>
        <row r="4421">
          <cell r="N4421" t="str">
            <v/>
          </cell>
          <cell r="O4421" t="str">
            <v/>
          </cell>
          <cell r="P4421" t="str">
            <v/>
          </cell>
          <cell r="Q4421" t="str">
            <v/>
          </cell>
        </row>
        <row r="4422">
          <cell r="N4422" t="str">
            <v/>
          </cell>
          <cell r="O4422" t="str">
            <v/>
          </cell>
          <cell r="P4422" t="str">
            <v/>
          </cell>
          <cell r="Q4422" t="str">
            <v/>
          </cell>
        </row>
        <row r="4423">
          <cell r="N4423" t="str">
            <v>825900</v>
          </cell>
          <cell r="O4423" t="str">
            <v/>
          </cell>
          <cell r="P4423" t="str">
            <v/>
          </cell>
          <cell r="Q4423" t="str">
            <v/>
          </cell>
        </row>
        <row r="4424">
          <cell r="N4424" t="str">
            <v>825900</v>
          </cell>
          <cell r="O4424" t="str">
            <v>YMH</v>
          </cell>
          <cell r="P4424" t="str">
            <v>YMH825900</v>
          </cell>
          <cell r="Q4424" t="str">
            <v/>
          </cell>
        </row>
        <row r="4425">
          <cell r="N4425" t="str">
            <v>82590020</v>
          </cell>
          <cell r="O4425" t="str">
            <v/>
          </cell>
          <cell r="P4425" t="str">
            <v/>
          </cell>
          <cell r="Q4425" t="str">
            <v>5151512</v>
          </cell>
        </row>
        <row r="4426">
          <cell r="N4426" t="str">
            <v>82590020</v>
          </cell>
          <cell r="O4426" t="str">
            <v>YMH</v>
          </cell>
          <cell r="P4426" t="str">
            <v>YMH82590020</v>
          </cell>
          <cell r="Q4426" t="str">
            <v>5151512</v>
          </cell>
        </row>
        <row r="4427">
          <cell r="N4427" t="str">
            <v/>
          </cell>
          <cell r="O4427" t="str">
            <v/>
          </cell>
          <cell r="P4427" t="str">
            <v/>
          </cell>
          <cell r="Q4427" t="str">
            <v/>
          </cell>
        </row>
        <row r="4428">
          <cell r="N4428" t="str">
            <v>825900</v>
          </cell>
          <cell r="O4428" t="str">
            <v/>
          </cell>
          <cell r="P4428" t="str">
            <v/>
          </cell>
          <cell r="Q4428" t="str">
            <v/>
          </cell>
        </row>
        <row r="4429">
          <cell r="N4429" t="str">
            <v>825900</v>
          </cell>
          <cell r="O4429" t="str">
            <v>YG7</v>
          </cell>
          <cell r="P4429" t="str">
            <v>YG7825900</v>
          </cell>
          <cell r="Q4429" t="str">
            <v/>
          </cell>
        </row>
        <row r="4430">
          <cell r="N4430" t="str">
            <v>82590020</v>
          </cell>
          <cell r="O4430" t="str">
            <v/>
          </cell>
          <cell r="P4430" t="str">
            <v/>
          </cell>
          <cell r="Q4430" t="str">
            <v>5151512</v>
          </cell>
        </row>
        <row r="4431">
          <cell r="N4431" t="str">
            <v>82590020</v>
          </cell>
          <cell r="O4431" t="str">
            <v>YG7</v>
          </cell>
          <cell r="P4431" t="str">
            <v>YG782590020</v>
          </cell>
          <cell r="Q4431" t="str">
            <v>5151512</v>
          </cell>
        </row>
        <row r="4432">
          <cell r="N4432" t="str">
            <v/>
          </cell>
          <cell r="O4432" t="str">
            <v/>
          </cell>
          <cell r="P4432" t="str">
            <v/>
          </cell>
          <cell r="Q4432" t="str">
            <v/>
          </cell>
        </row>
        <row r="4433">
          <cell r="N4433" t="str">
            <v>8251212</v>
          </cell>
          <cell r="O4433" t="str">
            <v/>
          </cell>
          <cell r="P4433" t="str">
            <v/>
          </cell>
          <cell r="Q4433" t="str">
            <v>5151212</v>
          </cell>
        </row>
        <row r="4434">
          <cell r="N4434" t="str">
            <v>8251212</v>
          </cell>
          <cell r="O4434" t="str">
            <v>!AK</v>
          </cell>
          <cell r="P4434" t="str">
            <v>!AK8251212</v>
          </cell>
          <cell r="Q4434" t="str">
            <v>5151212</v>
          </cell>
        </row>
        <row r="4435">
          <cell r="N4435" t="str">
            <v>8251212</v>
          </cell>
          <cell r="O4435" t="str">
            <v>DML</v>
          </cell>
          <cell r="P4435" t="str">
            <v>DML8251212</v>
          </cell>
          <cell r="Q4435" t="str">
            <v>5151212</v>
          </cell>
        </row>
        <row r="4436">
          <cell r="N4436" t="str">
            <v>8251212</v>
          </cell>
          <cell r="O4436" t="str">
            <v>LHK</v>
          </cell>
          <cell r="P4436" t="str">
            <v>LHK8251212</v>
          </cell>
          <cell r="Q4436" t="str">
            <v>5151212</v>
          </cell>
        </row>
        <row r="4437">
          <cell r="N4437" t="str">
            <v>8251212</v>
          </cell>
          <cell r="O4437" t="str">
            <v>LRA</v>
          </cell>
          <cell r="P4437" t="str">
            <v>LRA8251212</v>
          </cell>
          <cell r="Q4437" t="str">
            <v>5151212</v>
          </cell>
        </row>
        <row r="4438">
          <cell r="N4438" t="str">
            <v>8251212</v>
          </cell>
          <cell r="O4438" t="str">
            <v>REG</v>
          </cell>
          <cell r="P4438" t="str">
            <v>REG8251212</v>
          </cell>
          <cell r="Q4438" t="str">
            <v>5151212</v>
          </cell>
        </row>
        <row r="4439">
          <cell r="N4439" t="str">
            <v>8251212</v>
          </cell>
          <cell r="O4439" t="str">
            <v>RRI</v>
          </cell>
          <cell r="P4439" t="str">
            <v>RRI8251212</v>
          </cell>
          <cell r="Q4439" t="str">
            <v>5151212</v>
          </cell>
        </row>
        <row r="4440">
          <cell r="N4440" t="str">
            <v>8251212</v>
          </cell>
          <cell r="O4440" t="str">
            <v>RRN</v>
          </cell>
          <cell r="P4440" t="str">
            <v>RRN8251212</v>
          </cell>
          <cell r="Q4440" t="str">
            <v>5151212</v>
          </cell>
        </row>
        <row r="4441">
          <cell r="N4441" t="str">
            <v>8251212</v>
          </cell>
          <cell r="O4441" t="str">
            <v>RRQ</v>
          </cell>
          <cell r="P4441" t="str">
            <v>RRQ8251212</v>
          </cell>
          <cell r="Q4441" t="str">
            <v>5151212</v>
          </cell>
        </row>
        <row r="4442">
          <cell r="N4442" t="str">
            <v>8251212</v>
          </cell>
          <cell r="O4442" t="str">
            <v>RRU</v>
          </cell>
          <cell r="P4442" t="str">
            <v>RRU8251212</v>
          </cell>
          <cell r="Q4442" t="str">
            <v>5151212</v>
          </cell>
        </row>
        <row r="4443">
          <cell r="N4443" t="str">
            <v>8251212</v>
          </cell>
          <cell r="O4443" t="str">
            <v>UXE</v>
          </cell>
          <cell r="P4443" t="str">
            <v>UXE8251212</v>
          </cell>
          <cell r="Q4443" t="str">
            <v>5151212</v>
          </cell>
        </row>
        <row r="4444">
          <cell r="N4444" t="str">
            <v>8251212</v>
          </cell>
          <cell r="O4444" t="str">
            <v>XEU</v>
          </cell>
          <cell r="P4444" t="str">
            <v>XEU8251212</v>
          </cell>
          <cell r="Q4444" t="str">
            <v>5151212</v>
          </cell>
        </row>
        <row r="4445">
          <cell r="N4445" t="str">
            <v>8251212</v>
          </cell>
          <cell r="O4445" t="str">
            <v>00M</v>
          </cell>
          <cell r="P4445" t="str">
            <v>00M8251212</v>
          </cell>
          <cell r="Q4445" t="str">
            <v>5151212</v>
          </cell>
        </row>
        <row r="4446">
          <cell r="N4446" t="str">
            <v>8251212</v>
          </cell>
          <cell r="O4446" t="str">
            <v>00Q</v>
          </cell>
          <cell r="P4446" t="str">
            <v>00Q8251212</v>
          </cell>
          <cell r="Q4446" t="str">
            <v>5151212</v>
          </cell>
        </row>
        <row r="4447">
          <cell r="N4447" t="str">
            <v/>
          </cell>
          <cell r="O4447" t="str">
            <v/>
          </cell>
          <cell r="P4447" t="str">
            <v/>
          </cell>
          <cell r="Q4447" t="str">
            <v/>
          </cell>
        </row>
        <row r="4448">
          <cell r="N4448" t="str">
            <v/>
          </cell>
          <cell r="O4448" t="str">
            <v/>
          </cell>
          <cell r="P4448" t="str">
            <v/>
          </cell>
          <cell r="Q4448" t="str">
            <v/>
          </cell>
        </row>
        <row r="4449">
          <cell r="N4449" t="str">
            <v>8251212</v>
          </cell>
          <cell r="O4449" t="str">
            <v/>
          </cell>
          <cell r="P4449" t="str">
            <v/>
          </cell>
          <cell r="Q4449" t="str">
            <v>5151212</v>
          </cell>
        </row>
        <row r="4450">
          <cell r="N4450" t="str">
            <v>8251212</v>
          </cell>
          <cell r="O4450" t="str">
            <v>UZD</v>
          </cell>
          <cell r="P4450" t="str">
            <v>UZD8251212</v>
          </cell>
          <cell r="Q4450" t="str">
            <v>5151212</v>
          </cell>
        </row>
        <row r="4451">
          <cell r="N4451" t="str">
            <v/>
          </cell>
          <cell r="O4451" t="str">
            <v/>
          </cell>
          <cell r="P4451" t="str">
            <v/>
          </cell>
          <cell r="Q4451" t="str">
            <v/>
          </cell>
        </row>
        <row r="4452">
          <cell r="N4452" t="str">
            <v>8251212</v>
          </cell>
          <cell r="O4452" t="str">
            <v/>
          </cell>
          <cell r="P4452" t="str">
            <v/>
          </cell>
          <cell r="Q4452" t="str">
            <v>5151212</v>
          </cell>
        </row>
        <row r="4453">
          <cell r="N4453" t="str">
            <v>8251212</v>
          </cell>
          <cell r="O4453" t="str">
            <v>UZF</v>
          </cell>
          <cell r="P4453" t="str">
            <v>UZF8251212</v>
          </cell>
          <cell r="Q4453" t="str">
            <v>5151212</v>
          </cell>
        </row>
        <row r="4454">
          <cell r="N4454" t="str">
            <v>8251212</v>
          </cell>
          <cell r="O4454" t="str">
            <v>UZU</v>
          </cell>
          <cell r="P4454" t="str">
            <v>UZU8251212</v>
          </cell>
          <cell r="Q4454" t="str">
            <v>5151212</v>
          </cell>
        </row>
        <row r="4455">
          <cell r="N4455" t="str">
            <v/>
          </cell>
          <cell r="O4455" t="str">
            <v/>
          </cell>
          <cell r="P4455" t="str">
            <v/>
          </cell>
          <cell r="Q4455" t="str">
            <v/>
          </cell>
        </row>
        <row r="4456">
          <cell r="N4456" t="str">
            <v>8251212</v>
          </cell>
          <cell r="O4456" t="str">
            <v/>
          </cell>
          <cell r="P4456" t="str">
            <v/>
          </cell>
          <cell r="Q4456" t="str">
            <v>5151212</v>
          </cell>
        </row>
        <row r="4457">
          <cell r="N4457" t="str">
            <v>8251212</v>
          </cell>
          <cell r="O4457" t="str">
            <v>UZN</v>
          </cell>
          <cell r="P4457" t="str">
            <v>UZN8251212</v>
          </cell>
          <cell r="Q4457" t="str">
            <v>5151212</v>
          </cell>
        </row>
        <row r="4458">
          <cell r="N4458" t="str">
            <v>8251212</v>
          </cell>
          <cell r="O4458" t="str">
            <v>4UC</v>
          </cell>
          <cell r="P4458" t="str">
            <v>4UC8251212</v>
          </cell>
          <cell r="Q4458" t="str">
            <v>5151212</v>
          </cell>
        </row>
        <row r="4459">
          <cell r="N4459" t="str">
            <v>8251212</v>
          </cell>
          <cell r="O4459" t="str">
            <v>4UG</v>
          </cell>
          <cell r="P4459" t="str">
            <v>4UG8251212</v>
          </cell>
          <cell r="Q4459" t="str">
            <v>5151212</v>
          </cell>
        </row>
        <row r="4460">
          <cell r="N4460" t="str">
            <v>8251212</v>
          </cell>
          <cell r="O4460" t="str">
            <v>4UH</v>
          </cell>
          <cell r="P4460" t="str">
            <v>4UH8251212</v>
          </cell>
          <cell r="Q4460" t="str">
            <v>5151212</v>
          </cell>
        </row>
        <row r="4461">
          <cell r="N4461" t="str">
            <v>8251212</v>
          </cell>
          <cell r="O4461" t="str">
            <v>4UI</v>
          </cell>
          <cell r="P4461" t="str">
            <v>4UI8251212</v>
          </cell>
          <cell r="Q4461" t="str">
            <v>5151212</v>
          </cell>
        </row>
        <row r="4462">
          <cell r="N4462" t="str">
            <v>8251212</v>
          </cell>
          <cell r="O4462" t="str">
            <v>4UK</v>
          </cell>
          <cell r="P4462" t="str">
            <v>4UK8251212</v>
          </cell>
          <cell r="Q4462" t="str">
            <v>5151212</v>
          </cell>
        </row>
        <row r="4463">
          <cell r="N4463" t="str">
            <v>8251212</v>
          </cell>
          <cell r="O4463" t="str">
            <v>4UL</v>
          </cell>
          <cell r="P4463" t="str">
            <v>4UL8251212</v>
          </cell>
          <cell r="Q4463" t="str">
            <v>5151212</v>
          </cell>
        </row>
        <row r="4464">
          <cell r="N4464" t="str">
            <v>8251212</v>
          </cell>
          <cell r="O4464" t="str">
            <v>4UM</v>
          </cell>
          <cell r="P4464" t="str">
            <v>4UM8251212</v>
          </cell>
          <cell r="Q4464" t="str">
            <v>5151212</v>
          </cell>
        </row>
        <row r="4465">
          <cell r="N4465" t="str">
            <v>8251212</v>
          </cell>
          <cell r="O4465" t="str">
            <v>4U1</v>
          </cell>
          <cell r="P4465" t="str">
            <v>4U18251212</v>
          </cell>
          <cell r="Q4465" t="str">
            <v>5151212</v>
          </cell>
        </row>
        <row r="4466">
          <cell r="N4466" t="str">
            <v/>
          </cell>
          <cell r="O4466" t="str">
            <v/>
          </cell>
          <cell r="P4466" t="str">
            <v/>
          </cell>
          <cell r="Q4466" t="str">
            <v/>
          </cell>
        </row>
        <row r="4467">
          <cell r="N4467" t="str">
            <v/>
          </cell>
          <cell r="O4467" t="str">
            <v/>
          </cell>
          <cell r="P4467" t="str">
            <v/>
          </cell>
          <cell r="Q4467" t="str">
            <v/>
          </cell>
        </row>
        <row r="4468">
          <cell r="N4468" t="str">
            <v/>
          </cell>
          <cell r="O4468" t="str">
            <v/>
          </cell>
          <cell r="P4468" t="str">
            <v/>
          </cell>
          <cell r="Q4468" t="str">
            <v/>
          </cell>
        </row>
        <row r="4469">
          <cell r="N4469" t="str">
            <v>8251212</v>
          </cell>
          <cell r="O4469" t="str">
            <v/>
          </cell>
          <cell r="P4469" t="str">
            <v/>
          </cell>
          <cell r="Q4469" t="str">
            <v>5151212</v>
          </cell>
        </row>
        <row r="4470">
          <cell r="N4470" t="str">
            <v>8251212</v>
          </cell>
          <cell r="O4470" t="str">
            <v>4T5</v>
          </cell>
          <cell r="P4470" t="str">
            <v>4T58251212</v>
          </cell>
          <cell r="Q4470" t="str">
            <v>5151212</v>
          </cell>
        </row>
        <row r="4471">
          <cell r="N4471" t="str">
            <v>8251212</v>
          </cell>
          <cell r="O4471" t="str">
            <v>4T6</v>
          </cell>
          <cell r="P4471" t="str">
            <v>4T68251212</v>
          </cell>
          <cell r="Q4471" t="str">
            <v>5151212</v>
          </cell>
        </row>
        <row r="4472">
          <cell r="N4472" t="str">
            <v>8251212</v>
          </cell>
          <cell r="O4472" t="str">
            <v>4UN</v>
          </cell>
          <cell r="P4472" t="str">
            <v>4UN8251212</v>
          </cell>
          <cell r="Q4472" t="str">
            <v>5151212</v>
          </cell>
        </row>
        <row r="4473">
          <cell r="N4473" t="str">
            <v>8251212</v>
          </cell>
          <cell r="O4473" t="str">
            <v>4UP</v>
          </cell>
          <cell r="P4473" t="str">
            <v>4UP8251212</v>
          </cell>
          <cell r="Q4473" t="str">
            <v>5151212</v>
          </cell>
        </row>
        <row r="4474">
          <cell r="N4474" t="str">
            <v>8251212</v>
          </cell>
          <cell r="O4474" t="str">
            <v>4US</v>
          </cell>
          <cell r="P4474" t="str">
            <v>4US8251212</v>
          </cell>
          <cell r="Q4474" t="str">
            <v>5151212</v>
          </cell>
        </row>
        <row r="4475">
          <cell r="N4475" t="str">
            <v>8251212</v>
          </cell>
          <cell r="O4475" t="str">
            <v>4UT</v>
          </cell>
          <cell r="P4475" t="str">
            <v>4UT8251212</v>
          </cell>
          <cell r="Q4475" t="str">
            <v>5151212</v>
          </cell>
        </row>
        <row r="4476">
          <cell r="N4476" t="str">
            <v>8251212</v>
          </cell>
          <cell r="O4476" t="str">
            <v>4UW</v>
          </cell>
          <cell r="P4476" t="str">
            <v>4UW8251212</v>
          </cell>
          <cell r="Q4476" t="str">
            <v>5151212</v>
          </cell>
        </row>
        <row r="4477">
          <cell r="N4477" t="str">
            <v>8251212</v>
          </cell>
          <cell r="O4477" t="str">
            <v>4UX</v>
          </cell>
          <cell r="P4477" t="str">
            <v>4UX8251212</v>
          </cell>
          <cell r="Q4477" t="str">
            <v>5151212</v>
          </cell>
        </row>
        <row r="4478">
          <cell r="N4478" t="str">
            <v>8251212</v>
          </cell>
          <cell r="O4478" t="str">
            <v>4V6</v>
          </cell>
          <cell r="P4478" t="str">
            <v>4V68251212</v>
          </cell>
          <cell r="Q4478" t="str">
            <v>5151212</v>
          </cell>
        </row>
        <row r="4479">
          <cell r="N4479" t="str">
            <v>8251212</v>
          </cell>
          <cell r="O4479" t="str">
            <v>4V7</v>
          </cell>
          <cell r="P4479" t="str">
            <v>4V78251212</v>
          </cell>
          <cell r="Q4479" t="str">
            <v>5151212</v>
          </cell>
        </row>
        <row r="4480">
          <cell r="N4480" t="str">
            <v/>
          </cell>
          <cell r="O4480" t="str">
            <v/>
          </cell>
          <cell r="P4480" t="str">
            <v/>
          </cell>
          <cell r="Q4480" t="str">
            <v/>
          </cell>
        </row>
        <row r="4481">
          <cell r="N4481" t="str">
            <v>8251212</v>
          </cell>
          <cell r="O4481" t="str">
            <v/>
          </cell>
          <cell r="P4481" t="str">
            <v/>
          </cell>
          <cell r="Q4481" t="str">
            <v>5151212</v>
          </cell>
        </row>
        <row r="4482">
          <cell r="N4482" t="str">
            <v>8251212</v>
          </cell>
          <cell r="O4482" t="str">
            <v>4TY</v>
          </cell>
          <cell r="P4482" t="str">
            <v>4TY8251212</v>
          </cell>
          <cell r="Q4482" t="str">
            <v>5151212</v>
          </cell>
        </row>
        <row r="4483">
          <cell r="N4483" t="str">
            <v>8251212</v>
          </cell>
          <cell r="O4483" t="str">
            <v>4UB</v>
          </cell>
          <cell r="P4483" t="str">
            <v>4UB8251212</v>
          </cell>
          <cell r="Q4483" t="str">
            <v>5151212</v>
          </cell>
        </row>
        <row r="4484">
          <cell r="N4484" t="str">
            <v>8251212</v>
          </cell>
          <cell r="O4484" t="str">
            <v>4U0</v>
          </cell>
          <cell r="P4484" t="str">
            <v>4U08251212</v>
          </cell>
          <cell r="Q4484" t="str">
            <v>5151212</v>
          </cell>
        </row>
        <row r="4485">
          <cell r="N4485" t="str">
            <v>8251212</v>
          </cell>
          <cell r="O4485" t="str">
            <v>4U9</v>
          </cell>
          <cell r="P4485" t="str">
            <v>4U98251212</v>
          </cell>
          <cell r="Q4485" t="str">
            <v>5151212</v>
          </cell>
        </row>
        <row r="4486">
          <cell r="N4486" t="str">
            <v/>
          </cell>
          <cell r="O4486" t="str">
            <v/>
          </cell>
          <cell r="P4486" t="str">
            <v/>
          </cell>
          <cell r="Q4486" t="str">
            <v/>
          </cell>
        </row>
        <row r="4487">
          <cell r="N4487" t="str">
            <v>8251212</v>
          </cell>
          <cell r="O4487" t="str">
            <v/>
          </cell>
          <cell r="P4487" t="str">
            <v/>
          </cell>
          <cell r="Q4487" t="str">
            <v>5151212</v>
          </cell>
        </row>
        <row r="4488">
          <cell r="N4488" t="str">
            <v>8251212</v>
          </cell>
          <cell r="O4488" t="str">
            <v>4VF</v>
          </cell>
          <cell r="P4488" t="str">
            <v>4VF8251212</v>
          </cell>
          <cell r="Q4488" t="str">
            <v>5151212</v>
          </cell>
        </row>
        <row r="4489">
          <cell r="N4489" t="str">
            <v>8251212</v>
          </cell>
          <cell r="O4489" t="str">
            <v>4VH</v>
          </cell>
          <cell r="P4489" t="str">
            <v>4VH8251212</v>
          </cell>
          <cell r="Q4489" t="str">
            <v>5151212</v>
          </cell>
        </row>
        <row r="4490">
          <cell r="N4490" t="str">
            <v/>
          </cell>
          <cell r="O4490" t="str">
            <v/>
          </cell>
          <cell r="P4490" t="str">
            <v/>
          </cell>
          <cell r="Q4490" t="str">
            <v/>
          </cell>
        </row>
        <row r="4491">
          <cell r="N4491" t="str">
            <v/>
          </cell>
          <cell r="O4491" t="str">
            <v/>
          </cell>
          <cell r="P4491" t="str">
            <v/>
          </cell>
          <cell r="Q4491" t="str">
            <v/>
          </cell>
        </row>
        <row r="4492">
          <cell r="N4492" t="str">
            <v>8251212</v>
          </cell>
          <cell r="O4492" t="str">
            <v/>
          </cell>
          <cell r="P4492" t="str">
            <v/>
          </cell>
          <cell r="Q4492" t="str">
            <v>5151212</v>
          </cell>
        </row>
        <row r="4493">
          <cell r="N4493" t="str">
            <v>8251212</v>
          </cell>
          <cell r="O4493" t="str">
            <v>RRC</v>
          </cell>
          <cell r="P4493" t="str">
            <v>RRC8251212</v>
          </cell>
          <cell r="Q4493" t="str">
            <v>5151212</v>
          </cell>
        </row>
        <row r="4494">
          <cell r="N4494" t="str">
            <v>8251212</v>
          </cell>
          <cell r="O4494" t="str">
            <v>4UQ</v>
          </cell>
          <cell r="P4494" t="str">
            <v>4UQ8251212</v>
          </cell>
          <cell r="Q4494" t="str">
            <v>5151212</v>
          </cell>
        </row>
        <row r="4495">
          <cell r="N4495" t="str">
            <v>8251212</v>
          </cell>
          <cell r="O4495" t="str">
            <v>4UR</v>
          </cell>
          <cell r="P4495" t="str">
            <v>4UR8251212</v>
          </cell>
          <cell r="Q4495" t="str">
            <v>5151212</v>
          </cell>
        </row>
        <row r="4496">
          <cell r="N4496" t="str">
            <v>8251212</v>
          </cell>
          <cell r="O4496" t="str">
            <v>4UU</v>
          </cell>
          <cell r="P4496" t="str">
            <v>4UU8251212</v>
          </cell>
          <cell r="Q4496" t="str">
            <v>5151212</v>
          </cell>
        </row>
        <row r="4497">
          <cell r="N4497" t="str">
            <v>8251212</v>
          </cell>
          <cell r="O4497" t="str">
            <v>4UV</v>
          </cell>
          <cell r="P4497" t="str">
            <v>4UV8251212</v>
          </cell>
          <cell r="Q4497" t="str">
            <v>5151212</v>
          </cell>
        </row>
        <row r="4498">
          <cell r="N4498" t="str">
            <v>8251212</v>
          </cell>
          <cell r="O4498" t="str">
            <v>4UY</v>
          </cell>
          <cell r="P4498" t="str">
            <v>4UY8251212</v>
          </cell>
          <cell r="Q4498" t="str">
            <v>5151212</v>
          </cell>
        </row>
        <row r="4499">
          <cell r="N4499" t="str">
            <v>8251212</v>
          </cell>
          <cell r="O4499" t="str">
            <v>4UZ</v>
          </cell>
          <cell r="P4499" t="str">
            <v>4UZ8251212</v>
          </cell>
          <cell r="Q4499" t="str">
            <v>5151212</v>
          </cell>
        </row>
        <row r="4500">
          <cell r="N4500" t="str">
            <v>8251212</v>
          </cell>
          <cell r="O4500" t="str">
            <v>4V8</v>
          </cell>
          <cell r="P4500" t="str">
            <v>4V88251212</v>
          </cell>
          <cell r="Q4500" t="str">
            <v>5151212</v>
          </cell>
        </row>
        <row r="4501">
          <cell r="N4501" t="str">
            <v>8251212</v>
          </cell>
          <cell r="O4501" t="str">
            <v>4V9</v>
          </cell>
          <cell r="P4501" t="str">
            <v>4V98251212</v>
          </cell>
          <cell r="Q4501" t="str">
            <v>5151212</v>
          </cell>
        </row>
        <row r="4502">
          <cell r="N4502" t="str">
            <v/>
          </cell>
          <cell r="O4502" t="str">
            <v/>
          </cell>
          <cell r="P4502" t="str">
            <v/>
          </cell>
          <cell r="Q4502" t="str">
            <v/>
          </cell>
        </row>
        <row r="4503">
          <cell r="N4503" t="str">
            <v>8251212</v>
          </cell>
          <cell r="O4503" t="str">
            <v/>
          </cell>
          <cell r="P4503" t="str">
            <v/>
          </cell>
          <cell r="Q4503" t="str">
            <v>5151212</v>
          </cell>
        </row>
        <row r="4504">
          <cell r="N4504" t="str">
            <v>8251212</v>
          </cell>
          <cell r="O4504" t="str">
            <v>4TZ</v>
          </cell>
          <cell r="P4504" t="str">
            <v>4TZ8251212</v>
          </cell>
          <cell r="Q4504" t="str">
            <v>5151212</v>
          </cell>
        </row>
        <row r="4505">
          <cell r="N4505" t="str">
            <v>8251212</v>
          </cell>
          <cell r="O4505" t="str">
            <v>4UA</v>
          </cell>
          <cell r="P4505" t="str">
            <v>4UA8251212</v>
          </cell>
          <cell r="Q4505" t="str">
            <v>5151212</v>
          </cell>
        </row>
        <row r="4506">
          <cell r="N4506" t="str">
            <v>8251212</v>
          </cell>
          <cell r="O4506" t="str">
            <v>4UF</v>
          </cell>
          <cell r="P4506" t="str">
            <v>4UF8251212</v>
          </cell>
          <cell r="Q4506" t="str">
            <v>5151212</v>
          </cell>
        </row>
        <row r="4507">
          <cell r="N4507" t="str">
            <v>8251212</v>
          </cell>
          <cell r="O4507" t="str">
            <v>4UJ</v>
          </cell>
          <cell r="P4507" t="str">
            <v>4UJ8251212</v>
          </cell>
          <cell r="Q4507" t="str">
            <v>5151212</v>
          </cell>
        </row>
        <row r="4508">
          <cell r="N4508" t="str">
            <v/>
          </cell>
          <cell r="O4508" t="str">
            <v/>
          </cell>
          <cell r="P4508" t="str">
            <v/>
          </cell>
          <cell r="Q4508" t="str">
            <v/>
          </cell>
        </row>
        <row r="4509">
          <cell r="N4509" t="str">
            <v>71690</v>
          </cell>
          <cell r="O4509" t="str">
            <v/>
          </cell>
          <cell r="P4509" t="str">
            <v/>
          </cell>
          <cell r="Q4509" t="str">
            <v/>
          </cell>
        </row>
        <row r="4510">
          <cell r="N4510" t="str">
            <v>71690</v>
          </cell>
          <cell r="O4510" t="str">
            <v>YDU</v>
          </cell>
          <cell r="P4510" t="str">
            <v>YDU71690</v>
          </cell>
          <cell r="Q4510" t="str">
            <v/>
          </cell>
        </row>
        <row r="4511">
          <cell r="N4511" t="str">
            <v>716900</v>
          </cell>
          <cell r="O4511" t="str">
            <v/>
          </cell>
          <cell r="P4511" t="str">
            <v/>
          </cell>
          <cell r="Q4511" t="str">
            <v/>
          </cell>
        </row>
        <row r="4512">
          <cell r="N4512" t="str">
            <v>716900</v>
          </cell>
          <cell r="O4512" t="str">
            <v>YDU</v>
          </cell>
          <cell r="P4512" t="str">
            <v>YDU716900</v>
          </cell>
          <cell r="Q4512" t="str">
            <v/>
          </cell>
        </row>
        <row r="4513">
          <cell r="N4513" t="str">
            <v>7169003</v>
          </cell>
          <cell r="O4513" t="str">
            <v/>
          </cell>
          <cell r="P4513" t="str">
            <v/>
          </cell>
          <cell r="Q4513" t="str">
            <v>5151511</v>
          </cell>
        </row>
        <row r="4514">
          <cell r="N4514" t="str">
            <v>7169003</v>
          </cell>
          <cell r="O4514" t="str">
            <v>YDU</v>
          </cell>
          <cell r="P4514" t="str">
            <v>YDU7169003</v>
          </cell>
          <cell r="Q4514" t="str">
            <v>5151511</v>
          </cell>
        </row>
        <row r="4515">
          <cell r="N4515" t="str">
            <v>7169009</v>
          </cell>
          <cell r="O4515" t="str">
            <v/>
          </cell>
          <cell r="P4515" t="str">
            <v/>
          </cell>
          <cell r="Q4515" t="str">
            <v>4161599</v>
          </cell>
        </row>
        <row r="4516">
          <cell r="N4516" t="str">
            <v>7169009</v>
          </cell>
          <cell r="O4516" t="str">
            <v>YDU</v>
          </cell>
          <cell r="P4516" t="str">
            <v>YDU7169009</v>
          </cell>
          <cell r="Q4516" t="str">
            <v>4161599</v>
          </cell>
        </row>
        <row r="4517">
          <cell r="N4517" t="str">
            <v>71691</v>
          </cell>
          <cell r="O4517" t="str">
            <v/>
          </cell>
          <cell r="P4517" t="str">
            <v/>
          </cell>
          <cell r="Q4517" t="str">
            <v>416190</v>
          </cell>
        </row>
        <row r="4518">
          <cell r="N4518" t="str">
            <v>71691</v>
          </cell>
          <cell r="O4518" t="str">
            <v>UYE</v>
          </cell>
          <cell r="P4518" t="str">
            <v>UYE71691</v>
          </cell>
          <cell r="Q4518" t="str">
            <v>416190</v>
          </cell>
        </row>
        <row r="4519">
          <cell r="N4519" t="str">
            <v>71906</v>
          </cell>
          <cell r="O4519" t="str">
            <v/>
          </cell>
          <cell r="P4519" t="str">
            <v/>
          </cell>
          <cell r="Q4519" t="str">
            <v/>
          </cell>
        </row>
        <row r="4520">
          <cell r="N4520" t="str">
            <v>71906</v>
          </cell>
          <cell r="O4520" t="str">
            <v>YDU</v>
          </cell>
          <cell r="P4520" t="str">
            <v>YDU71906</v>
          </cell>
          <cell r="Q4520" t="str">
            <v/>
          </cell>
        </row>
        <row r="4521">
          <cell r="N4521" t="str">
            <v>8251212</v>
          </cell>
          <cell r="O4521" t="str">
            <v/>
          </cell>
          <cell r="P4521" t="str">
            <v/>
          </cell>
          <cell r="Q4521" t="str">
            <v>5151212</v>
          </cell>
        </row>
        <row r="4522">
          <cell r="N4522" t="str">
            <v>8251212</v>
          </cell>
          <cell r="O4522" t="str">
            <v>CRR</v>
          </cell>
          <cell r="P4522" t="str">
            <v>CRR8251212</v>
          </cell>
          <cell r="Q4522" t="str">
            <v>5151212</v>
          </cell>
        </row>
        <row r="4523">
          <cell r="N4523" t="str">
            <v>8251212</v>
          </cell>
          <cell r="O4523" t="str">
            <v>DTM</v>
          </cell>
          <cell r="P4523" t="str">
            <v>DTM8251212</v>
          </cell>
          <cell r="Q4523" t="str">
            <v>5151212</v>
          </cell>
        </row>
        <row r="4524">
          <cell r="N4524" t="str">
            <v>8251212</v>
          </cell>
          <cell r="O4524" t="str">
            <v>E0E</v>
          </cell>
          <cell r="P4524" t="str">
            <v>E0E8251212</v>
          </cell>
          <cell r="Q4524" t="str">
            <v>5151212</v>
          </cell>
        </row>
        <row r="4525">
          <cell r="N4525" t="str">
            <v>8251212</v>
          </cell>
          <cell r="O4525" t="str">
            <v>OAU</v>
          </cell>
          <cell r="P4525" t="str">
            <v>OAU8251212</v>
          </cell>
          <cell r="Q4525" t="str">
            <v>5151212</v>
          </cell>
        </row>
        <row r="4526">
          <cell r="N4526" t="str">
            <v>8251212</v>
          </cell>
          <cell r="O4526" t="str">
            <v>ONL</v>
          </cell>
          <cell r="P4526" t="str">
            <v>ONL8251212</v>
          </cell>
          <cell r="Q4526" t="str">
            <v>5151212</v>
          </cell>
        </row>
        <row r="4527">
          <cell r="N4527" t="str">
            <v>8251212</v>
          </cell>
          <cell r="O4527" t="str">
            <v>TIT</v>
          </cell>
          <cell r="P4527" t="str">
            <v>TIT8251212</v>
          </cell>
          <cell r="Q4527" t="str">
            <v>5151212</v>
          </cell>
        </row>
        <row r="4528">
          <cell r="N4528" t="str">
            <v>8251212</v>
          </cell>
          <cell r="O4528" t="str">
            <v>UP3</v>
          </cell>
          <cell r="P4528" t="str">
            <v>UP38251212</v>
          </cell>
          <cell r="Q4528" t="str">
            <v>5151212</v>
          </cell>
        </row>
        <row r="4529">
          <cell r="N4529" t="str">
            <v>8251212</v>
          </cell>
          <cell r="O4529" t="str">
            <v>UYC</v>
          </cell>
          <cell r="P4529" t="str">
            <v>UYC8251212</v>
          </cell>
          <cell r="Q4529" t="str">
            <v>5151212</v>
          </cell>
        </row>
        <row r="4530">
          <cell r="N4530" t="str">
            <v>8251212</v>
          </cell>
          <cell r="O4530" t="str">
            <v>UYF</v>
          </cell>
          <cell r="P4530" t="str">
            <v>UYF8251212</v>
          </cell>
          <cell r="Q4530" t="str">
            <v>5151212</v>
          </cell>
        </row>
        <row r="4531">
          <cell r="N4531" t="str">
            <v>8251212</v>
          </cell>
          <cell r="O4531" t="str">
            <v>00L</v>
          </cell>
          <cell r="P4531" t="str">
            <v>00L8251212</v>
          </cell>
          <cell r="Q4531" t="str">
            <v>5151212</v>
          </cell>
        </row>
        <row r="4532">
          <cell r="N4532" t="str">
            <v>8251212</v>
          </cell>
          <cell r="O4532" t="str">
            <v>00P</v>
          </cell>
          <cell r="P4532" t="str">
            <v>00P8251212</v>
          </cell>
          <cell r="Q4532" t="str">
            <v>5151212</v>
          </cell>
        </row>
        <row r="4533">
          <cell r="N4533" t="str">
            <v>8251212</v>
          </cell>
          <cell r="O4533" t="str">
            <v>111</v>
          </cell>
          <cell r="P4533" t="str">
            <v>1118251212</v>
          </cell>
          <cell r="Q4533" t="str">
            <v>5151212</v>
          </cell>
        </row>
        <row r="4534">
          <cell r="N4534" t="str">
            <v>8251212</v>
          </cell>
          <cell r="O4534" t="str">
            <v>181</v>
          </cell>
          <cell r="P4534" t="str">
            <v>1818251212</v>
          </cell>
          <cell r="Q4534" t="str">
            <v>5151212</v>
          </cell>
        </row>
        <row r="4535">
          <cell r="N4535" t="str">
            <v>8251212</v>
          </cell>
          <cell r="O4535" t="str">
            <v>870</v>
          </cell>
          <cell r="P4535" t="str">
            <v>8708251212</v>
          </cell>
          <cell r="Q4535" t="str">
            <v>5151212</v>
          </cell>
        </row>
        <row r="4536">
          <cell r="N4536" t="str">
            <v>82513</v>
          </cell>
          <cell r="O4536" t="str">
            <v/>
          </cell>
          <cell r="P4536" t="str">
            <v/>
          </cell>
          <cell r="Q4536" t="str">
            <v>51513</v>
          </cell>
        </row>
        <row r="4537">
          <cell r="N4537" t="str">
            <v>82513</v>
          </cell>
          <cell r="O4537" t="str">
            <v>ENI</v>
          </cell>
          <cell r="P4537" t="str">
            <v>ENI82513</v>
          </cell>
          <cell r="Q4537" t="str">
            <v>51513</v>
          </cell>
        </row>
        <row r="4538">
          <cell r="N4538" t="str">
            <v>82513</v>
          </cell>
          <cell r="O4538" t="str">
            <v>NIT</v>
          </cell>
          <cell r="P4538" t="str">
            <v>NIT82513</v>
          </cell>
          <cell r="Q4538" t="str">
            <v>51513</v>
          </cell>
        </row>
        <row r="4539">
          <cell r="N4539" t="str">
            <v>82540</v>
          </cell>
          <cell r="O4539" t="str">
            <v/>
          </cell>
          <cell r="P4539" t="str">
            <v/>
          </cell>
          <cell r="Q4539" t="str">
            <v>51516</v>
          </cell>
        </row>
        <row r="4540">
          <cell r="N4540" t="str">
            <v>82540</v>
          </cell>
          <cell r="O4540" t="str">
            <v>OAU</v>
          </cell>
          <cell r="P4540" t="str">
            <v>OAU82540</v>
          </cell>
          <cell r="Q4540" t="str">
            <v>51516</v>
          </cell>
        </row>
        <row r="4541">
          <cell r="N4541" t="str">
            <v>8933</v>
          </cell>
          <cell r="O4541" t="str">
            <v/>
          </cell>
          <cell r="P4541" t="str">
            <v/>
          </cell>
          <cell r="Q4541" t="str">
            <v>431112</v>
          </cell>
        </row>
        <row r="4542">
          <cell r="N4542" t="str">
            <v>8933</v>
          </cell>
          <cell r="O4542" t="str">
            <v>OH5</v>
          </cell>
          <cell r="P4542" t="str">
            <v>OH58933</v>
          </cell>
          <cell r="Q4542" t="str">
            <v>431112</v>
          </cell>
        </row>
        <row r="4543">
          <cell r="N4543" t="str">
            <v>8933</v>
          </cell>
          <cell r="O4543" t="str">
            <v>ONL</v>
          </cell>
          <cell r="P4543" t="str">
            <v>ONL8933</v>
          </cell>
          <cell r="Q4543" t="str">
            <v>431112</v>
          </cell>
        </row>
        <row r="4544">
          <cell r="N4544" t="str">
            <v>8933</v>
          </cell>
          <cell r="O4544" t="str">
            <v>REG</v>
          </cell>
          <cell r="P4544" t="str">
            <v>REG8933</v>
          </cell>
          <cell r="Q4544" t="str">
            <v>431112</v>
          </cell>
        </row>
        <row r="4545">
          <cell r="N4545" t="str">
            <v>8933</v>
          </cell>
          <cell r="O4545" t="str">
            <v>111</v>
          </cell>
          <cell r="P4545" t="str">
            <v>1118933</v>
          </cell>
          <cell r="Q4545" t="str">
            <v>431112</v>
          </cell>
        </row>
        <row r="4546">
          <cell r="N4546" t="str">
            <v>8933</v>
          </cell>
          <cell r="O4546" t="str">
            <v>870</v>
          </cell>
          <cell r="P4546" t="str">
            <v>8708933</v>
          </cell>
          <cell r="Q4546" t="str">
            <v>431112</v>
          </cell>
        </row>
        <row r="4547">
          <cell r="N4547" t="str">
            <v>8999</v>
          </cell>
          <cell r="O4547" t="str">
            <v/>
          </cell>
          <cell r="P4547" t="str">
            <v/>
          </cell>
          <cell r="Q4547" t="str">
            <v/>
          </cell>
        </row>
        <row r="4548">
          <cell r="N4548" t="str">
            <v>8999</v>
          </cell>
          <cell r="O4548" t="str">
            <v>OAU</v>
          </cell>
          <cell r="P4548" t="str">
            <v>OAU8999</v>
          </cell>
          <cell r="Q4548" t="str">
            <v/>
          </cell>
        </row>
        <row r="4549">
          <cell r="N4549" t="str">
            <v/>
          </cell>
          <cell r="O4549" t="str">
            <v/>
          </cell>
          <cell r="P4549" t="str">
            <v/>
          </cell>
          <cell r="Q4549" t="str">
            <v/>
          </cell>
        </row>
        <row r="4550">
          <cell r="N4550" t="str">
            <v>SCH</v>
          </cell>
          <cell r="O4550" t="str">
            <v/>
          </cell>
          <cell r="P4550" t="str">
            <v/>
          </cell>
          <cell r="Q4550" t="str">
            <v/>
          </cell>
        </row>
        <row r="4551">
          <cell r="N4551" t="str">
            <v>SCH</v>
          </cell>
          <cell r="O4551" t="str">
            <v>CFA</v>
          </cell>
          <cell r="P4551" t="str">
            <v>CFASCH</v>
          </cell>
          <cell r="Q4551" t="str">
            <v/>
          </cell>
        </row>
        <row r="4552">
          <cell r="N4552" t="str">
            <v>SCH</v>
          </cell>
          <cell r="O4552" t="str">
            <v>CFD</v>
          </cell>
          <cell r="P4552" t="str">
            <v>CFDSCH</v>
          </cell>
          <cell r="Q4552" t="str">
            <v/>
          </cell>
        </row>
        <row r="4553">
          <cell r="N4553" t="str">
            <v>549961</v>
          </cell>
          <cell r="O4553" t="str">
            <v/>
          </cell>
          <cell r="P4553" t="str">
            <v/>
          </cell>
          <cell r="Q4553" t="str">
            <v>2999</v>
          </cell>
        </row>
        <row r="4554">
          <cell r="N4554" t="str">
            <v>549961</v>
          </cell>
          <cell r="O4554" t="str">
            <v>!JJ</v>
          </cell>
          <cell r="P4554" t="str">
            <v>!JJ549961</v>
          </cell>
          <cell r="Q4554" t="str">
            <v>2999</v>
          </cell>
        </row>
        <row r="4555">
          <cell r="N4555" t="str">
            <v>8920</v>
          </cell>
          <cell r="O4555" t="str">
            <v/>
          </cell>
          <cell r="P4555" t="str">
            <v/>
          </cell>
          <cell r="Q4555" t="str">
            <v>51999</v>
          </cell>
        </row>
        <row r="4556">
          <cell r="N4556" t="str">
            <v>8920</v>
          </cell>
          <cell r="O4556" t="str">
            <v>OAA</v>
          </cell>
          <cell r="P4556" t="str">
            <v>OAA8920</v>
          </cell>
          <cell r="Q4556" t="str">
            <v>51999</v>
          </cell>
        </row>
        <row r="4557">
          <cell r="N4557" t="str">
            <v>8920</v>
          </cell>
          <cell r="O4557" t="str">
            <v>OAG</v>
          </cell>
          <cell r="P4557" t="str">
            <v>OAG8920</v>
          </cell>
          <cell r="Q4557" t="str">
            <v>51999</v>
          </cell>
        </row>
        <row r="4558">
          <cell r="N4558" t="str">
            <v>8920</v>
          </cell>
          <cell r="O4558" t="str">
            <v>OAH</v>
          </cell>
          <cell r="P4558" t="str">
            <v>OAH8920</v>
          </cell>
          <cell r="Q4558" t="str">
            <v>51999</v>
          </cell>
        </row>
        <row r="4559">
          <cell r="N4559" t="str">
            <v>8920</v>
          </cell>
          <cell r="O4559" t="str">
            <v>OAI</v>
          </cell>
          <cell r="P4559" t="str">
            <v>OAI8920</v>
          </cell>
          <cell r="Q4559" t="str">
            <v>51999</v>
          </cell>
        </row>
        <row r="4560">
          <cell r="N4560" t="str">
            <v>8920</v>
          </cell>
          <cell r="O4560" t="str">
            <v>OAK</v>
          </cell>
          <cell r="P4560" t="str">
            <v>OAK8920</v>
          </cell>
          <cell r="Q4560" t="str">
            <v>51999</v>
          </cell>
        </row>
        <row r="4561">
          <cell r="N4561" t="str">
            <v>8920</v>
          </cell>
          <cell r="O4561" t="str">
            <v>OA8</v>
          </cell>
          <cell r="P4561" t="str">
            <v>OA88920</v>
          </cell>
          <cell r="Q4561" t="str">
            <v>51999</v>
          </cell>
        </row>
        <row r="4562">
          <cell r="N4562" t="str">
            <v>8920</v>
          </cell>
          <cell r="O4562" t="str">
            <v>OA9</v>
          </cell>
          <cell r="P4562" t="str">
            <v>OA98920</v>
          </cell>
          <cell r="Q4562" t="str">
            <v>51999</v>
          </cell>
        </row>
        <row r="4563">
          <cell r="N4563" t="str">
            <v>8920</v>
          </cell>
          <cell r="O4563" t="str">
            <v>ONL</v>
          </cell>
          <cell r="P4563" t="str">
            <v>ONL8920</v>
          </cell>
          <cell r="Q4563" t="str">
            <v>51999</v>
          </cell>
        </row>
        <row r="4564">
          <cell r="N4564" t="str">
            <v>8920</v>
          </cell>
          <cell r="O4564" t="str">
            <v>REG</v>
          </cell>
          <cell r="P4564" t="str">
            <v>REG8920</v>
          </cell>
          <cell r="Q4564" t="str">
            <v>51999</v>
          </cell>
        </row>
        <row r="4565">
          <cell r="N4565" t="str">
            <v>8920</v>
          </cell>
          <cell r="O4565" t="str">
            <v>00X</v>
          </cell>
          <cell r="P4565" t="str">
            <v>00X8920</v>
          </cell>
          <cell r="Q4565" t="str">
            <v>51999</v>
          </cell>
        </row>
        <row r="4566">
          <cell r="N4566" t="str">
            <v>8920</v>
          </cell>
          <cell r="O4566" t="str">
            <v>111</v>
          </cell>
          <cell r="P4566" t="str">
            <v>1118920</v>
          </cell>
          <cell r="Q4566" t="str">
            <v>51999</v>
          </cell>
        </row>
        <row r="4567">
          <cell r="N4567" t="str">
            <v>8920</v>
          </cell>
          <cell r="O4567" t="str">
            <v>857</v>
          </cell>
          <cell r="P4567" t="str">
            <v>8578920</v>
          </cell>
          <cell r="Q4567" t="str">
            <v>51999</v>
          </cell>
        </row>
        <row r="4568">
          <cell r="N4568" t="str">
            <v>8920</v>
          </cell>
          <cell r="O4568" t="str">
            <v>859</v>
          </cell>
          <cell r="P4568" t="str">
            <v>8598920</v>
          </cell>
          <cell r="Q4568" t="str">
            <v>51999</v>
          </cell>
        </row>
        <row r="4569">
          <cell r="N4569" t="str">
            <v/>
          </cell>
          <cell r="O4569" t="str">
            <v/>
          </cell>
          <cell r="P4569" t="str">
            <v/>
          </cell>
          <cell r="Q4569" t="str">
            <v/>
          </cell>
        </row>
        <row r="4570">
          <cell r="N4570" t="str">
            <v/>
          </cell>
          <cell r="O4570" t="str">
            <v/>
          </cell>
          <cell r="P4570" t="str">
            <v/>
          </cell>
          <cell r="Q4570" t="str">
            <v/>
          </cell>
        </row>
        <row r="4571">
          <cell r="N4571" t="str">
            <v>89220</v>
          </cell>
          <cell r="O4571" t="str">
            <v/>
          </cell>
          <cell r="P4571" t="str">
            <v/>
          </cell>
          <cell r="Q4571" t="str">
            <v>55083</v>
          </cell>
        </row>
        <row r="4572">
          <cell r="N4572" t="str">
            <v>89220</v>
          </cell>
          <cell r="O4572" t="str">
            <v>A38</v>
          </cell>
          <cell r="P4572" t="str">
            <v>A3889220</v>
          </cell>
          <cell r="Q4572" t="str">
            <v>55083</v>
          </cell>
        </row>
        <row r="4573">
          <cell r="N4573" t="str">
            <v>89220</v>
          </cell>
          <cell r="O4573" t="str">
            <v>CUA</v>
          </cell>
          <cell r="P4573" t="str">
            <v>CUA89220</v>
          </cell>
          <cell r="Q4573" t="str">
            <v>55083</v>
          </cell>
        </row>
        <row r="4574">
          <cell r="N4574" t="str">
            <v>89220</v>
          </cell>
          <cell r="O4574" t="str">
            <v>!NX</v>
          </cell>
          <cell r="P4574" t="str">
            <v>!NX89220</v>
          </cell>
          <cell r="Q4574" t="str">
            <v>55083</v>
          </cell>
        </row>
        <row r="4575">
          <cell r="N4575" t="str">
            <v>89220</v>
          </cell>
          <cell r="O4575" t="str">
            <v>ONL</v>
          </cell>
          <cell r="P4575" t="str">
            <v>ONL89220</v>
          </cell>
          <cell r="Q4575" t="str">
            <v>55083</v>
          </cell>
        </row>
        <row r="4576">
          <cell r="N4576" t="str">
            <v>89220</v>
          </cell>
          <cell r="O4576" t="str">
            <v>REG</v>
          </cell>
          <cell r="P4576" t="str">
            <v>REG89220</v>
          </cell>
          <cell r="Q4576" t="str">
            <v>55083</v>
          </cell>
        </row>
        <row r="4577">
          <cell r="N4577" t="str">
            <v>89220</v>
          </cell>
          <cell r="O4577" t="str">
            <v>111</v>
          </cell>
          <cell r="P4577" t="str">
            <v>11189220</v>
          </cell>
          <cell r="Q4577" t="str">
            <v>55083</v>
          </cell>
        </row>
        <row r="4578">
          <cell r="N4578" t="str">
            <v>89220</v>
          </cell>
          <cell r="O4578" t="str">
            <v>391</v>
          </cell>
          <cell r="P4578" t="str">
            <v>39189220</v>
          </cell>
          <cell r="Q4578" t="str">
            <v>55083</v>
          </cell>
        </row>
        <row r="4579">
          <cell r="N4579" t="str">
            <v>89223</v>
          </cell>
          <cell r="O4579" t="str">
            <v/>
          </cell>
          <cell r="P4579" t="str">
            <v/>
          </cell>
          <cell r="Q4579" t="str">
            <v>55083</v>
          </cell>
        </row>
        <row r="4580">
          <cell r="N4580" t="str">
            <v>89223</v>
          </cell>
          <cell r="O4580" t="str">
            <v>AVJ</v>
          </cell>
          <cell r="P4580" t="str">
            <v>AVJ89223</v>
          </cell>
          <cell r="Q4580" t="str">
            <v>55083</v>
          </cell>
        </row>
        <row r="4581">
          <cell r="N4581" t="str">
            <v>89223</v>
          </cell>
          <cell r="O4581" t="str">
            <v>CUI</v>
          </cell>
          <cell r="P4581" t="str">
            <v>CUI89223</v>
          </cell>
          <cell r="Q4581" t="str">
            <v>55083</v>
          </cell>
        </row>
        <row r="4582">
          <cell r="N4582" t="str">
            <v>89223</v>
          </cell>
          <cell r="O4582" t="str">
            <v>CUP</v>
          </cell>
          <cell r="P4582" t="str">
            <v>CUP89223</v>
          </cell>
          <cell r="Q4582" t="str">
            <v>55083</v>
          </cell>
        </row>
        <row r="4583">
          <cell r="N4583" t="str">
            <v>89223</v>
          </cell>
          <cell r="O4583" t="str">
            <v>ONL</v>
          </cell>
          <cell r="P4583" t="str">
            <v>ONL89223</v>
          </cell>
          <cell r="Q4583" t="str">
            <v>55083</v>
          </cell>
        </row>
        <row r="4584">
          <cell r="N4584" t="str">
            <v>89223</v>
          </cell>
          <cell r="O4584" t="str">
            <v>RCB</v>
          </cell>
          <cell r="P4584" t="str">
            <v>RCB89223</v>
          </cell>
          <cell r="Q4584" t="str">
            <v>55083</v>
          </cell>
        </row>
        <row r="4585">
          <cell r="N4585" t="str">
            <v>89223</v>
          </cell>
          <cell r="O4585" t="str">
            <v>REG</v>
          </cell>
          <cell r="P4585" t="str">
            <v>REG89223</v>
          </cell>
          <cell r="Q4585" t="str">
            <v>55083</v>
          </cell>
        </row>
        <row r="4586">
          <cell r="N4586" t="str">
            <v>89223</v>
          </cell>
          <cell r="O4586" t="str">
            <v>111</v>
          </cell>
          <cell r="P4586" t="str">
            <v>11189223</v>
          </cell>
          <cell r="Q4586" t="str">
            <v>55083</v>
          </cell>
        </row>
        <row r="4587">
          <cell r="N4587" t="str">
            <v>89223</v>
          </cell>
          <cell r="O4587" t="str">
            <v>367</v>
          </cell>
          <cell r="P4587" t="str">
            <v>36789223</v>
          </cell>
          <cell r="Q4587" t="str">
            <v>55083</v>
          </cell>
        </row>
        <row r="4588">
          <cell r="N4588" t="str">
            <v>89223</v>
          </cell>
          <cell r="O4588" t="str">
            <v>857</v>
          </cell>
          <cell r="P4588" t="str">
            <v>85789223</v>
          </cell>
          <cell r="Q4588" t="str">
            <v>55083</v>
          </cell>
        </row>
        <row r="4589">
          <cell r="N4589" t="str">
            <v>89342</v>
          </cell>
          <cell r="O4589" t="str">
            <v/>
          </cell>
          <cell r="P4589" t="str">
            <v/>
          </cell>
          <cell r="Q4589" t="str">
            <v>431111</v>
          </cell>
        </row>
        <row r="4590">
          <cell r="N4590" t="str">
            <v>89342</v>
          </cell>
          <cell r="O4590" t="str">
            <v>CTC</v>
          </cell>
          <cell r="P4590" t="str">
            <v>CTC89342</v>
          </cell>
          <cell r="Q4590" t="str">
            <v>431111</v>
          </cell>
        </row>
        <row r="4591">
          <cell r="N4591" t="str">
            <v/>
          </cell>
          <cell r="O4591" t="str">
            <v/>
          </cell>
          <cell r="P4591" t="str">
            <v/>
          </cell>
          <cell r="Q4591" t="str">
            <v/>
          </cell>
        </row>
        <row r="4592">
          <cell r="N4592" t="str">
            <v/>
          </cell>
          <cell r="O4592" t="str">
            <v/>
          </cell>
          <cell r="P4592" t="str">
            <v/>
          </cell>
          <cell r="Q4592" t="str">
            <v/>
          </cell>
        </row>
        <row r="4593">
          <cell r="N4593" t="str">
            <v>89222</v>
          </cell>
          <cell r="O4593" t="str">
            <v/>
          </cell>
          <cell r="P4593" t="str">
            <v/>
          </cell>
          <cell r="Q4593" t="str">
            <v>55083</v>
          </cell>
        </row>
        <row r="4594">
          <cell r="N4594" t="str">
            <v>89222</v>
          </cell>
          <cell r="O4594" t="str">
            <v>CFH</v>
          </cell>
          <cell r="P4594" t="str">
            <v>CFH89222</v>
          </cell>
          <cell r="Q4594" t="str">
            <v>55083</v>
          </cell>
        </row>
        <row r="4595">
          <cell r="N4595" t="str">
            <v>89222</v>
          </cell>
          <cell r="O4595" t="str">
            <v>DCF</v>
          </cell>
          <cell r="P4595" t="str">
            <v>DCF89222</v>
          </cell>
          <cell r="Q4595" t="str">
            <v>55083</v>
          </cell>
        </row>
        <row r="4596">
          <cell r="N4596" t="str">
            <v>89222</v>
          </cell>
          <cell r="O4596" t="str">
            <v>GAB</v>
          </cell>
          <cell r="P4596" t="str">
            <v>GAB89222</v>
          </cell>
          <cell r="Q4596" t="str">
            <v>55083</v>
          </cell>
        </row>
        <row r="4597">
          <cell r="N4597" t="str">
            <v>89222</v>
          </cell>
          <cell r="O4597" t="str">
            <v>GAE</v>
          </cell>
          <cell r="P4597" t="str">
            <v>GAE89222</v>
          </cell>
          <cell r="Q4597" t="str">
            <v>55083</v>
          </cell>
        </row>
        <row r="4598">
          <cell r="N4598" t="str">
            <v/>
          </cell>
          <cell r="O4598" t="str">
            <v/>
          </cell>
          <cell r="P4598" t="str">
            <v/>
          </cell>
          <cell r="Q4598" t="str">
            <v/>
          </cell>
        </row>
        <row r="4599">
          <cell r="N4599" t="str">
            <v>89220</v>
          </cell>
          <cell r="O4599" t="str">
            <v/>
          </cell>
          <cell r="P4599" t="str">
            <v/>
          </cell>
          <cell r="Q4599" t="str">
            <v>55083</v>
          </cell>
        </row>
        <row r="4600">
          <cell r="N4600" t="str">
            <v>89220</v>
          </cell>
          <cell r="O4600" t="str">
            <v>CHH</v>
          </cell>
          <cell r="P4600" t="str">
            <v>CHH89220</v>
          </cell>
          <cell r="Q4600" t="str">
            <v>55083</v>
          </cell>
        </row>
        <row r="4601">
          <cell r="N4601" t="str">
            <v/>
          </cell>
          <cell r="O4601" t="str">
            <v/>
          </cell>
          <cell r="P4601" t="str">
            <v/>
          </cell>
          <cell r="Q4601" t="str">
            <v/>
          </cell>
        </row>
        <row r="4602">
          <cell r="N4602" t="str">
            <v>89222</v>
          </cell>
          <cell r="O4602" t="str">
            <v/>
          </cell>
          <cell r="P4602" t="str">
            <v/>
          </cell>
          <cell r="Q4602" t="str">
            <v>55083</v>
          </cell>
        </row>
        <row r="4603">
          <cell r="N4603" t="str">
            <v>89222</v>
          </cell>
          <cell r="O4603" t="str">
            <v>LCB</v>
          </cell>
          <cell r="P4603" t="str">
            <v>LCB89222</v>
          </cell>
          <cell r="Q4603" t="str">
            <v>55083</v>
          </cell>
        </row>
        <row r="4604">
          <cell r="N4604" t="str">
            <v>89222</v>
          </cell>
          <cell r="O4604" t="str">
            <v>ONL</v>
          </cell>
          <cell r="P4604" t="str">
            <v>ONL89222</v>
          </cell>
          <cell r="Q4604" t="str">
            <v>55083</v>
          </cell>
        </row>
        <row r="4605">
          <cell r="N4605" t="str">
            <v/>
          </cell>
          <cell r="O4605" t="str">
            <v/>
          </cell>
          <cell r="P4605" t="str">
            <v/>
          </cell>
          <cell r="Q4605" t="str">
            <v/>
          </cell>
        </row>
        <row r="4606">
          <cell r="N4606" t="str">
            <v>82501</v>
          </cell>
          <cell r="O4606" t="str">
            <v/>
          </cell>
          <cell r="P4606" t="str">
            <v/>
          </cell>
          <cell r="Q4606" t="str">
            <v>51509</v>
          </cell>
        </row>
        <row r="4607">
          <cell r="N4607" t="str">
            <v>82501</v>
          </cell>
          <cell r="O4607" t="str">
            <v>GVC</v>
          </cell>
          <cell r="P4607" t="str">
            <v>GVC82501</v>
          </cell>
          <cell r="Q4607" t="str">
            <v>51509</v>
          </cell>
        </row>
        <row r="4608">
          <cell r="N4608" t="str">
            <v>82501</v>
          </cell>
          <cell r="O4608" t="str">
            <v>ONL</v>
          </cell>
          <cell r="P4608" t="str">
            <v>ONL82501</v>
          </cell>
          <cell r="Q4608" t="str">
            <v>51509</v>
          </cell>
        </row>
        <row r="4609">
          <cell r="N4609" t="str">
            <v>82501</v>
          </cell>
          <cell r="O4609" t="str">
            <v>1PD</v>
          </cell>
          <cell r="P4609" t="str">
            <v>1PD82501</v>
          </cell>
          <cell r="Q4609" t="str">
            <v>51509</v>
          </cell>
        </row>
        <row r="4610">
          <cell r="N4610" t="str">
            <v>82501</v>
          </cell>
          <cell r="O4610" t="str">
            <v>2PD</v>
          </cell>
          <cell r="P4610" t="str">
            <v>2PD82501</v>
          </cell>
          <cell r="Q4610" t="str">
            <v>51509</v>
          </cell>
        </row>
        <row r="4611">
          <cell r="N4611" t="str">
            <v>82501</v>
          </cell>
          <cell r="O4611" t="str">
            <v>3PD</v>
          </cell>
          <cell r="P4611" t="str">
            <v>3PD82501</v>
          </cell>
          <cell r="Q4611" t="str">
            <v>51509</v>
          </cell>
        </row>
        <row r="4612">
          <cell r="N4612" t="str">
            <v>82501</v>
          </cell>
          <cell r="O4612" t="str">
            <v>8PD</v>
          </cell>
          <cell r="P4612" t="str">
            <v>8PD82501</v>
          </cell>
          <cell r="Q4612" t="str">
            <v>51509</v>
          </cell>
        </row>
        <row r="4613">
          <cell r="N4613" t="str">
            <v>825102</v>
          </cell>
          <cell r="O4613" t="str">
            <v/>
          </cell>
          <cell r="P4613" t="str">
            <v/>
          </cell>
          <cell r="Q4613" t="str">
            <v>5194</v>
          </cell>
        </row>
        <row r="4614">
          <cell r="N4614" t="str">
            <v>825102</v>
          </cell>
          <cell r="O4614" t="str">
            <v>GVC</v>
          </cell>
          <cell r="P4614" t="str">
            <v>GVC825102</v>
          </cell>
          <cell r="Q4614" t="str">
            <v>5194</v>
          </cell>
        </row>
        <row r="4615">
          <cell r="N4615" t="str">
            <v>825102</v>
          </cell>
          <cell r="O4615" t="str">
            <v>ONL</v>
          </cell>
          <cell r="P4615" t="str">
            <v>ONL825102</v>
          </cell>
          <cell r="Q4615" t="str">
            <v>5194</v>
          </cell>
        </row>
        <row r="4616">
          <cell r="N4616" t="str">
            <v>825102</v>
          </cell>
          <cell r="O4616" t="str">
            <v>1PD</v>
          </cell>
          <cell r="P4616" t="str">
            <v>1PD825102</v>
          </cell>
          <cell r="Q4616" t="str">
            <v>5194</v>
          </cell>
        </row>
        <row r="4617">
          <cell r="N4617" t="str">
            <v>825102</v>
          </cell>
          <cell r="O4617" t="str">
            <v>2PD</v>
          </cell>
          <cell r="P4617" t="str">
            <v>2PD825102</v>
          </cell>
          <cell r="Q4617" t="str">
            <v>5194</v>
          </cell>
        </row>
        <row r="4618">
          <cell r="N4618" t="str">
            <v>825102</v>
          </cell>
          <cell r="O4618" t="str">
            <v>3PD</v>
          </cell>
          <cell r="P4618" t="str">
            <v>3PD825102</v>
          </cell>
          <cell r="Q4618" t="str">
            <v>5194</v>
          </cell>
        </row>
        <row r="4619">
          <cell r="N4619" t="str">
            <v>825102</v>
          </cell>
          <cell r="O4619" t="str">
            <v>8PD</v>
          </cell>
          <cell r="P4619" t="str">
            <v>8PD825102</v>
          </cell>
          <cell r="Q4619" t="str">
            <v>5194</v>
          </cell>
        </row>
        <row r="4620">
          <cell r="N4620" t="str">
            <v/>
          </cell>
          <cell r="O4620" t="str">
            <v/>
          </cell>
          <cell r="P4620" t="str">
            <v/>
          </cell>
          <cell r="Q4620" t="str">
            <v/>
          </cell>
        </row>
        <row r="4621">
          <cell r="N4621" t="str">
            <v/>
          </cell>
          <cell r="O4621" t="str">
            <v/>
          </cell>
          <cell r="P4621" t="str">
            <v/>
          </cell>
          <cell r="Q4621" t="str">
            <v/>
          </cell>
        </row>
        <row r="4622">
          <cell r="N4622" t="str">
            <v>825977</v>
          </cell>
          <cell r="O4622" t="str">
            <v/>
          </cell>
          <cell r="P4622" t="str">
            <v/>
          </cell>
          <cell r="Q4622" t="str">
            <v>5194</v>
          </cell>
        </row>
        <row r="4623">
          <cell r="N4623" t="str">
            <v>825977</v>
          </cell>
          <cell r="O4623" t="str">
            <v>CCF</v>
          </cell>
          <cell r="P4623" t="str">
            <v>CCF825977</v>
          </cell>
          <cell r="Q4623" t="str">
            <v>5194</v>
          </cell>
        </row>
        <row r="4624">
          <cell r="N4624" t="str">
            <v>825977</v>
          </cell>
          <cell r="O4624" t="str">
            <v>CF2</v>
          </cell>
          <cell r="P4624" t="str">
            <v>CF2825977</v>
          </cell>
          <cell r="Q4624" t="str">
            <v>5194</v>
          </cell>
        </row>
        <row r="4625">
          <cell r="N4625" t="str">
            <v>825977</v>
          </cell>
          <cell r="O4625" t="str">
            <v>ECF</v>
          </cell>
          <cell r="P4625" t="str">
            <v>ECF825977</v>
          </cell>
          <cell r="Q4625" t="str">
            <v>5194</v>
          </cell>
        </row>
        <row r="4626">
          <cell r="N4626" t="str">
            <v>825977</v>
          </cell>
          <cell r="O4626" t="str">
            <v>ONL</v>
          </cell>
          <cell r="P4626" t="str">
            <v>ONL825977</v>
          </cell>
          <cell r="Q4626" t="str">
            <v>5194</v>
          </cell>
        </row>
        <row r="4627">
          <cell r="N4627" t="str">
            <v>82990</v>
          </cell>
          <cell r="O4627" t="str">
            <v/>
          </cell>
          <cell r="P4627" t="str">
            <v/>
          </cell>
          <cell r="Q4627" t="str">
            <v>51999</v>
          </cell>
        </row>
        <row r="4628">
          <cell r="N4628" t="str">
            <v>82990</v>
          </cell>
          <cell r="O4628" t="str">
            <v>ONL</v>
          </cell>
          <cell r="P4628" t="str">
            <v>ONL82990</v>
          </cell>
          <cell r="Q4628" t="str">
            <v>51999</v>
          </cell>
        </row>
        <row r="4629">
          <cell r="N4629" t="str">
            <v>82990</v>
          </cell>
          <cell r="O4629" t="str">
            <v>291</v>
          </cell>
          <cell r="P4629" t="str">
            <v>29182990</v>
          </cell>
          <cell r="Q4629" t="str">
            <v>51999</v>
          </cell>
        </row>
        <row r="4630">
          <cell r="N4630" t="str">
            <v>82990</v>
          </cell>
          <cell r="O4630" t="str">
            <v>292</v>
          </cell>
          <cell r="P4630" t="str">
            <v>29282990</v>
          </cell>
          <cell r="Q4630" t="str">
            <v>51999</v>
          </cell>
        </row>
        <row r="4631">
          <cell r="N4631" t="str">
            <v>89342</v>
          </cell>
          <cell r="O4631" t="str">
            <v/>
          </cell>
          <cell r="P4631" t="str">
            <v/>
          </cell>
          <cell r="Q4631" t="str">
            <v>431111</v>
          </cell>
        </row>
        <row r="4632">
          <cell r="N4632" t="str">
            <v>89342</v>
          </cell>
          <cell r="O4632" t="str">
            <v>MAN</v>
          </cell>
          <cell r="P4632" t="str">
            <v>MAN89342</v>
          </cell>
          <cell r="Q4632" t="str">
            <v>431111</v>
          </cell>
        </row>
        <row r="4633">
          <cell r="N4633" t="str">
            <v/>
          </cell>
          <cell r="O4633" t="str">
            <v/>
          </cell>
          <cell r="P4633" t="str">
            <v/>
          </cell>
          <cell r="Q4633" t="str">
            <v/>
          </cell>
        </row>
        <row r="4634">
          <cell r="N4634" t="str">
            <v/>
          </cell>
          <cell r="O4634" t="str">
            <v/>
          </cell>
          <cell r="P4634" t="str">
            <v/>
          </cell>
          <cell r="Q4634" t="str">
            <v/>
          </cell>
        </row>
        <row r="4635">
          <cell r="N4635" t="str">
            <v>8251219</v>
          </cell>
          <cell r="O4635" t="str">
            <v/>
          </cell>
          <cell r="P4635" t="str">
            <v/>
          </cell>
          <cell r="Q4635" t="str">
            <v>5151219</v>
          </cell>
        </row>
        <row r="4636">
          <cell r="N4636" t="str">
            <v>8251219</v>
          </cell>
          <cell r="O4636" t="str">
            <v>ONL</v>
          </cell>
          <cell r="P4636" t="str">
            <v>ONL8251219</v>
          </cell>
          <cell r="Q4636" t="str">
            <v>5151219</v>
          </cell>
        </row>
        <row r="4637">
          <cell r="N4637" t="str">
            <v>8251219</v>
          </cell>
          <cell r="O4637" t="str">
            <v>PPP</v>
          </cell>
          <cell r="P4637" t="str">
            <v>PPP8251219</v>
          </cell>
          <cell r="Q4637" t="str">
            <v>5151219</v>
          </cell>
        </row>
        <row r="4638">
          <cell r="N4638" t="str">
            <v>8251219</v>
          </cell>
          <cell r="O4638" t="str">
            <v>REG</v>
          </cell>
          <cell r="P4638" t="str">
            <v>REG8251219</v>
          </cell>
          <cell r="Q4638" t="str">
            <v>5151219</v>
          </cell>
        </row>
        <row r="4639">
          <cell r="N4639" t="str">
            <v>8251219</v>
          </cell>
          <cell r="O4639" t="str">
            <v>YLT</v>
          </cell>
          <cell r="P4639" t="str">
            <v>YLT8251219</v>
          </cell>
          <cell r="Q4639" t="str">
            <v>5151219</v>
          </cell>
        </row>
        <row r="4640">
          <cell r="N4640" t="str">
            <v/>
          </cell>
          <cell r="O4640" t="str">
            <v/>
          </cell>
          <cell r="P4640" t="str">
            <v/>
          </cell>
          <cell r="Q4640" t="str">
            <v/>
          </cell>
        </row>
        <row r="4641">
          <cell r="N4641" t="str">
            <v>71690</v>
          </cell>
          <cell r="O4641" t="str">
            <v/>
          </cell>
          <cell r="P4641" t="str">
            <v/>
          </cell>
          <cell r="Q4641" t="str">
            <v/>
          </cell>
        </row>
        <row r="4642">
          <cell r="N4642" t="str">
            <v>71690</v>
          </cell>
          <cell r="O4642" t="str">
            <v>MPD</v>
          </cell>
          <cell r="P4642" t="str">
            <v>MPD71690</v>
          </cell>
          <cell r="Q4642" t="str">
            <v/>
          </cell>
        </row>
        <row r="4643">
          <cell r="N4643" t="str">
            <v>716900</v>
          </cell>
          <cell r="O4643" t="str">
            <v/>
          </cell>
          <cell r="P4643" t="str">
            <v/>
          </cell>
          <cell r="Q4643" t="str">
            <v/>
          </cell>
        </row>
        <row r="4644">
          <cell r="N4644" t="str">
            <v>716900</v>
          </cell>
          <cell r="O4644" t="str">
            <v>MPD</v>
          </cell>
          <cell r="P4644" t="str">
            <v>MPD716900</v>
          </cell>
          <cell r="Q4644" t="str">
            <v/>
          </cell>
        </row>
        <row r="4645">
          <cell r="N4645" t="str">
            <v>7169004</v>
          </cell>
          <cell r="O4645" t="str">
            <v/>
          </cell>
          <cell r="P4645" t="str">
            <v/>
          </cell>
          <cell r="Q4645" t="str">
            <v>5151511</v>
          </cell>
        </row>
        <row r="4646">
          <cell r="N4646" t="str">
            <v>7169004</v>
          </cell>
          <cell r="O4646" t="str">
            <v>MPD</v>
          </cell>
          <cell r="P4646" t="str">
            <v>MPD7169004</v>
          </cell>
          <cell r="Q4646" t="str">
            <v>5151511</v>
          </cell>
        </row>
        <row r="4647">
          <cell r="N4647" t="str">
            <v>7169009</v>
          </cell>
          <cell r="O4647" t="str">
            <v/>
          </cell>
          <cell r="P4647" t="str">
            <v/>
          </cell>
          <cell r="Q4647" t="str">
            <v>4161599</v>
          </cell>
        </row>
        <row r="4648">
          <cell r="N4648" t="str">
            <v>7169009</v>
          </cell>
          <cell r="O4648" t="str">
            <v>MPD</v>
          </cell>
          <cell r="P4648" t="str">
            <v>MPD7169009</v>
          </cell>
          <cell r="Q4648" t="str">
            <v>4161599</v>
          </cell>
        </row>
        <row r="4649">
          <cell r="N4649" t="str">
            <v>716903</v>
          </cell>
          <cell r="O4649" t="str">
            <v/>
          </cell>
          <cell r="P4649" t="str">
            <v/>
          </cell>
          <cell r="Q4649" t="str">
            <v>4161599</v>
          </cell>
        </row>
        <row r="4650">
          <cell r="N4650" t="str">
            <v>716903</v>
          </cell>
          <cell r="O4650" t="str">
            <v>L01</v>
          </cell>
          <cell r="P4650" t="str">
            <v>L01716903</v>
          </cell>
          <cell r="Q4650" t="str">
            <v>4161599</v>
          </cell>
        </row>
        <row r="4651">
          <cell r="N4651" t="str">
            <v>82590</v>
          </cell>
          <cell r="O4651" t="str">
            <v/>
          </cell>
          <cell r="P4651" t="str">
            <v/>
          </cell>
          <cell r="Q4651" t="str">
            <v/>
          </cell>
        </row>
        <row r="4652">
          <cell r="N4652" t="str">
            <v>82590</v>
          </cell>
          <cell r="O4652" t="str">
            <v>MRD</v>
          </cell>
          <cell r="P4652" t="str">
            <v>MRD82590</v>
          </cell>
          <cell r="Q4652" t="str">
            <v/>
          </cell>
        </row>
        <row r="4653">
          <cell r="N4653" t="str">
            <v>82590</v>
          </cell>
          <cell r="O4653" t="str">
            <v>YEF</v>
          </cell>
          <cell r="P4653" t="str">
            <v>YEF82590</v>
          </cell>
          <cell r="Q4653" t="str">
            <v/>
          </cell>
        </row>
        <row r="4654">
          <cell r="N4654" t="str">
            <v>825900</v>
          </cell>
          <cell r="O4654" t="str">
            <v/>
          </cell>
          <cell r="P4654" t="str">
            <v/>
          </cell>
          <cell r="Q4654" t="str">
            <v/>
          </cell>
        </row>
        <row r="4655">
          <cell r="N4655" t="str">
            <v>825900</v>
          </cell>
          <cell r="O4655" t="str">
            <v>LNO</v>
          </cell>
          <cell r="P4655" t="str">
            <v>LNO825900</v>
          </cell>
          <cell r="Q4655" t="str">
            <v/>
          </cell>
        </row>
        <row r="4656">
          <cell r="N4656" t="str">
            <v>825900</v>
          </cell>
          <cell r="O4656" t="str">
            <v>MRD</v>
          </cell>
          <cell r="P4656" t="str">
            <v>MRD825900</v>
          </cell>
          <cell r="Q4656" t="str">
            <v/>
          </cell>
        </row>
        <row r="4657">
          <cell r="N4657" t="str">
            <v>825900</v>
          </cell>
          <cell r="O4657" t="str">
            <v>MYB</v>
          </cell>
          <cell r="P4657" t="str">
            <v>MYB825900</v>
          </cell>
          <cell r="Q4657" t="str">
            <v/>
          </cell>
        </row>
        <row r="4658">
          <cell r="N4658" t="str">
            <v>825900</v>
          </cell>
          <cell r="O4658" t="str">
            <v>MYD</v>
          </cell>
          <cell r="P4658" t="str">
            <v>MYD825900</v>
          </cell>
          <cell r="Q4658" t="str">
            <v/>
          </cell>
        </row>
        <row r="4659">
          <cell r="N4659" t="str">
            <v>825900</v>
          </cell>
          <cell r="O4659" t="str">
            <v>MYY</v>
          </cell>
          <cell r="P4659" t="str">
            <v>MYY825900</v>
          </cell>
          <cell r="Q4659" t="str">
            <v/>
          </cell>
        </row>
        <row r="4660">
          <cell r="N4660" t="str">
            <v>8259004</v>
          </cell>
          <cell r="O4660" t="str">
            <v/>
          </cell>
          <cell r="P4660" t="str">
            <v/>
          </cell>
          <cell r="Q4660" t="str">
            <v>5151512</v>
          </cell>
        </row>
        <row r="4661">
          <cell r="N4661" t="str">
            <v>8259004</v>
          </cell>
          <cell r="O4661" t="str">
            <v>MRD</v>
          </cell>
          <cell r="P4661" t="str">
            <v>MRD8259004</v>
          </cell>
          <cell r="Q4661" t="str">
            <v>5151512</v>
          </cell>
        </row>
        <row r="4662">
          <cell r="N4662" t="str">
            <v>8259004</v>
          </cell>
          <cell r="O4662" t="str">
            <v>MYB</v>
          </cell>
          <cell r="P4662" t="str">
            <v>MYB8259004</v>
          </cell>
          <cell r="Q4662" t="str">
            <v>5151512</v>
          </cell>
        </row>
        <row r="4663">
          <cell r="N4663" t="str">
            <v>8259004</v>
          </cell>
          <cell r="O4663" t="str">
            <v>MYY</v>
          </cell>
          <cell r="P4663" t="str">
            <v>MYY8259004</v>
          </cell>
          <cell r="Q4663" t="str">
            <v>5151512</v>
          </cell>
        </row>
        <row r="4664">
          <cell r="N4664" t="str">
            <v>8259009</v>
          </cell>
          <cell r="O4664" t="str">
            <v/>
          </cell>
          <cell r="P4664" t="str">
            <v/>
          </cell>
          <cell r="Q4664" t="str">
            <v>5151512</v>
          </cell>
        </row>
        <row r="4665">
          <cell r="N4665" t="str">
            <v>8259009</v>
          </cell>
          <cell r="O4665" t="str">
            <v>LNO</v>
          </cell>
          <cell r="P4665" t="str">
            <v>LNO8259009</v>
          </cell>
          <cell r="Q4665" t="str">
            <v>5151512</v>
          </cell>
        </row>
        <row r="4666">
          <cell r="N4666" t="str">
            <v>8259009</v>
          </cell>
          <cell r="O4666" t="str">
            <v>MYB</v>
          </cell>
          <cell r="P4666" t="str">
            <v>MYB8259009</v>
          </cell>
          <cell r="Q4666" t="str">
            <v>5151512</v>
          </cell>
        </row>
        <row r="4667">
          <cell r="N4667" t="str">
            <v>82980</v>
          </cell>
          <cell r="O4667" t="str">
            <v/>
          </cell>
          <cell r="P4667" t="str">
            <v/>
          </cell>
          <cell r="Q4667" t="str">
            <v/>
          </cell>
        </row>
        <row r="4668">
          <cell r="N4668" t="str">
            <v>82980</v>
          </cell>
          <cell r="O4668" t="str">
            <v>YEF</v>
          </cell>
          <cell r="P4668" t="str">
            <v>YEF82980</v>
          </cell>
          <cell r="Q4668" t="str">
            <v/>
          </cell>
        </row>
        <row r="4669">
          <cell r="N4669" t="str">
            <v>829809</v>
          </cell>
          <cell r="O4669" t="str">
            <v/>
          </cell>
          <cell r="P4669" t="str">
            <v/>
          </cell>
          <cell r="Q4669" t="str">
            <v/>
          </cell>
        </row>
        <row r="4670">
          <cell r="N4670" t="str">
            <v>829809</v>
          </cell>
          <cell r="O4670" t="str">
            <v>YEF</v>
          </cell>
          <cell r="P4670" t="str">
            <v>YEF829809</v>
          </cell>
          <cell r="Q4670" t="str">
            <v/>
          </cell>
        </row>
        <row r="4671">
          <cell r="N4671" t="str">
            <v/>
          </cell>
          <cell r="O4671" t="str">
            <v/>
          </cell>
          <cell r="P4671" t="str">
            <v/>
          </cell>
          <cell r="Q4671" t="str">
            <v/>
          </cell>
        </row>
        <row r="4672">
          <cell r="N4672" t="str">
            <v/>
          </cell>
          <cell r="O4672" t="str">
            <v/>
          </cell>
          <cell r="P4672" t="str">
            <v/>
          </cell>
          <cell r="Q4672" t="str">
            <v/>
          </cell>
        </row>
        <row r="4673">
          <cell r="N4673" t="str">
            <v>825900</v>
          </cell>
          <cell r="O4673" t="str">
            <v/>
          </cell>
          <cell r="P4673" t="str">
            <v/>
          </cell>
          <cell r="Q4673" t="str">
            <v/>
          </cell>
        </row>
        <row r="4674">
          <cell r="N4674" t="str">
            <v>825900</v>
          </cell>
          <cell r="O4674" t="str">
            <v>YKH</v>
          </cell>
          <cell r="P4674" t="str">
            <v>YKH825900</v>
          </cell>
          <cell r="Q4674" t="str">
            <v/>
          </cell>
        </row>
        <row r="4675">
          <cell r="N4675" t="str">
            <v>8259004</v>
          </cell>
          <cell r="O4675" t="str">
            <v/>
          </cell>
          <cell r="P4675" t="str">
            <v/>
          </cell>
          <cell r="Q4675" t="str">
            <v>5151512</v>
          </cell>
        </row>
        <row r="4676">
          <cell r="N4676" t="str">
            <v>8259004</v>
          </cell>
          <cell r="O4676" t="str">
            <v>YKH</v>
          </cell>
          <cell r="P4676" t="str">
            <v>YKH8259004</v>
          </cell>
          <cell r="Q4676" t="str">
            <v>5151512</v>
          </cell>
        </row>
        <row r="4677">
          <cell r="N4677" t="str">
            <v>8259009</v>
          </cell>
          <cell r="O4677" t="str">
            <v/>
          </cell>
          <cell r="P4677" t="str">
            <v/>
          </cell>
          <cell r="Q4677" t="str">
            <v>5151512</v>
          </cell>
        </row>
        <row r="4678">
          <cell r="N4678" t="str">
            <v>8259009</v>
          </cell>
          <cell r="O4678" t="str">
            <v>YKH</v>
          </cell>
          <cell r="P4678" t="str">
            <v>YKH8259009</v>
          </cell>
          <cell r="Q4678" t="str">
            <v>5151512</v>
          </cell>
        </row>
        <row r="4679">
          <cell r="N4679" t="str">
            <v/>
          </cell>
          <cell r="O4679" t="str">
            <v/>
          </cell>
          <cell r="P4679" t="str">
            <v/>
          </cell>
          <cell r="Q4679" t="str">
            <v/>
          </cell>
        </row>
        <row r="4680">
          <cell r="N4680" t="str">
            <v>825900</v>
          </cell>
          <cell r="O4680" t="str">
            <v/>
          </cell>
          <cell r="P4680" t="str">
            <v/>
          </cell>
          <cell r="Q4680" t="str">
            <v/>
          </cell>
        </row>
        <row r="4681">
          <cell r="N4681" t="str">
            <v>825900</v>
          </cell>
          <cell r="O4681" t="str">
            <v>YKJ</v>
          </cell>
          <cell r="P4681" t="str">
            <v>YKJ825900</v>
          </cell>
          <cell r="Q4681" t="str">
            <v/>
          </cell>
        </row>
        <row r="4682">
          <cell r="N4682" t="str">
            <v>8259004</v>
          </cell>
          <cell r="O4682" t="str">
            <v/>
          </cell>
          <cell r="P4682" t="str">
            <v/>
          </cell>
          <cell r="Q4682" t="str">
            <v>5151512</v>
          </cell>
        </row>
        <row r="4683">
          <cell r="N4683" t="str">
            <v>8259004</v>
          </cell>
          <cell r="O4683" t="str">
            <v>YKJ</v>
          </cell>
          <cell r="P4683" t="str">
            <v>YKJ8259004</v>
          </cell>
          <cell r="Q4683" t="str">
            <v>5151512</v>
          </cell>
        </row>
        <row r="4684">
          <cell r="N4684" t="str">
            <v>8259009</v>
          </cell>
          <cell r="O4684" t="str">
            <v/>
          </cell>
          <cell r="P4684" t="str">
            <v/>
          </cell>
          <cell r="Q4684" t="str">
            <v>5151512</v>
          </cell>
        </row>
        <row r="4685">
          <cell r="N4685" t="str">
            <v>8259009</v>
          </cell>
          <cell r="O4685" t="str">
            <v>YKJ</v>
          </cell>
          <cell r="P4685" t="str">
            <v>YKJ8259009</v>
          </cell>
          <cell r="Q4685" t="str">
            <v>5151512</v>
          </cell>
        </row>
        <row r="4686">
          <cell r="N4686" t="str">
            <v/>
          </cell>
          <cell r="O4686" t="str">
            <v/>
          </cell>
          <cell r="P4686" t="str">
            <v/>
          </cell>
          <cell r="Q4686" t="str">
            <v/>
          </cell>
        </row>
        <row r="4687">
          <cell r="N4687" t="str">
            <v/>
          </cell>
          <cell r="O4687" t="str">
            <v/>
          </cell>
          <cell r="P4687" t="str">
            <v/>
          </cell>
          <cell r="Q4687" t="str">
            <v/>
          </cell>
        </row>
        <row r="4688">
          <cell r="N4688" t="str">
            <v>825900</v>
          </cell>
          <cell r="O4688" t="str">
            <v/>
          </cell>
          <cell r="P4688" t="str">
            <v/>
          </cell>
          <cell r="Q4688" t="str">
            <v/>
          </cell>
        </row>
        <row r="4689">
          <cell r="N4689" t="str">
            <v>825900</v>
          </cell>
          <cell r="O4689" t="str">
            <v>SV1</v>
          </cell>
          <cell r="P4689" t="str">
            <v>SV1825900</v>
          </cell>
          <cell r="Q4689" t="str">
            <v/>
          </cell>
        </row>
        <row r="4690">
          <cell r="N4690" t="str">
            <v>825900</v>
          </cell>
          <cell r="O4690" t="str">
            <v>SV3</v>
          </cell>
          <cell r="P4690" t="str">
            <v>SV3825900</v>
          </cell>
          <cell r="Q4690" t="str">
            <v/>
          </cell>
        </row>
        <row r="4691">
          <cell r="N4691" t="str">
            <v>8259009</v>
          </cell>
          <cell r="O4691" t="str">
            <v/>
          </cell>
          <cell r="P4691" t="str">
            <v/>
          </cell>
          <cell r="Q4691" t="str">
            <v>5151512</v>
          </cell>
        </row>
        <row r="4692">
          <cell r="N4692" t="str">
            <v>8259009</v>
          </cell>
          <cell r="O4692" t="str">
            <v>SV1</v>
          </cell>
          <cell r="P4692" t="str">
            <v>SV18259009</v>
          </cell>
          <cell r="Q4692" t="str">
            <v>5151512</v>
          </cell>
        </row>
        <row r="4693">
          <cell r="N4693" t="str">
            <v>8259009</v>
          </cell>
          <cell r="O4693" t="str">
            <v>SV3</v>
          </cell>
          <cell r="P4693" t="str">
            <v>SV38259009</v>
          </cell>
          <cell r="Q4693" t="str">
            <v>5151512</v>
          </cell>
        </row>
        <row r="4694">
          <cell r="N4694" t="str">
            <v/>
          </cell>
          <cell r="O4694" t="str">
            <v/>
          </cell>
          <cell r="P4694" t="str">
            <v/>
          </cell>
          <cell r="Q4694" t="str">
            <v/>
          </cell>
        </row>
        <row r="4695">
          <cell r="N4695" t="str">
            <v>825900</v>
          </cell>
          <cell r="O4695" t="str">
            <v/>
          </cell>
          <cell r="P4695" t="str">
            <v/>
          </cell>
          <cell r="Q4695" t="str">
            <v/>
          </cell>
        </row>
        <row r="4696">
          <cell r="N4696" t="str">
            <v>825900</v>
          </cell>
          <cell r="O4696" t="str">
            <v>SV4</v>
          </cell>
          <cell r="P4696" t="str">
            <v>SV4825900</v>
          </cell>
          <cell r="Q4696" t="str">
            <v/>
          </cell>
        </row>
        <row r="4697">
          <cell r="N4697" t="str">
            <v>8259009</v>
          </cell>
          <cell r="O4697" t="str">
            <v/>
          </cell>
          <cell r="P4697" t="str">
            <v/>
          </cell>
          <cell r="Q4697" t="str">
            <v>5151512</v>
          </cell>
        </row>
        <row r="4698">
          <cell r="N4698" t="str">
            <v>8259009</v>
          </cell>
          <cell r="O4698" t="str">
            <v>SV4</v>
          </cell>
          <cell r="P4698" t="str">
            <v>SV48259009</v>
          </cell>
          <cell r="Q4698" t="str">
            <v>5151512</v>
          </cell>
        </row>
        <row r="4699">
          <cell r="N4699" t="str">
            <v/>
          </cell>
          <cell r="O4699" t="str">
            <v/>
          </cell>
          <cell r="P4699" t="str">
            <v/>
          </cell>
          <cell r="Q4699" t="str">
            <v/>
          </cell>
        </row>
        <row r="4700">
          <cell r="N4700" t="str">
            <v>82590</v>
          </cell>
          <cell r="O4700" t="str">
            <v/>
          </cell>
          <cell r="P4700" t="str">
            <v/>
          </cell>
          <cell r="Q4700" t="str">
            <v/>
          </cell>
        </row>
        <row r="4701">
          <cell r="N4701" t="str">
            <v>82590</v>
          </cell>
          <cell r="O4701" t="str">
            <v>YG5</v>
          </cell>
          <cell r="P4701" t="str">
            <v>YG582590</v>
          </cell>
          <cell r="Q4701" t="str">
            <v/>
          </cell>
        </row>
        <row r="4702">
          <cell r="N4702" t="str">
            <v>825900</v>
          </cell>
          <cell r="O4702" t="str">
            <v/>
          </cell>
          <cell r="P4702" t="str">
            <v/>
          </cell>
          <cell r="Q4702" t="str">
            <v/>
          </cell>
        </row>
        <row r="4703">
          <cell r="N4703" t="str">
            <v>825900</v>
          </cell>
          <cell r="O4703" t="str">
            <v>YG5</v>
          </cell>
          <cell r="P4703" t="str">
            <v>YG5825900</v>
          </cell>
          <cell r="Q4703" t="str">
            <v/>
          </cell>
        </row>
        <row r="4704">
          <cell r="N4704" t="str">
            <v>82590021</v>
          </cell>
          <cell r="O4704" t="str">
            <v/>
          </cell>
          <cell r="P4704" t="str">
            <v/>
          </cell>
          <cell r="Q4704" t="str">
            <v>5151511</v>
          </cell>
        </row>
        <row r="4705">
          <cell r="N4705" t="str">
            <v>82590021</v>
          </cell>
          <cell r="O4705" t="str">
            <v>YG5</v>
          </cell>
          <cell r="P4705" t="str">
            <v>YG582590021</v>
          </cell>
          <cell r="Q4705" t="str">
            <v>5151511</v>
          </cell>
        </row>
        <row r="4706">
          <cell r="N4706" t="str">
            <v>8259004</v>
          </cell>
          <cell r="O4706" t="str">
            <v/>
          </cell>
          <cell r="P4706" t="str">
            <v/>
          </cell>
          <cell r="Q4706" t="str">
            <v>5151512</v>
          </cell>
        </row>
        <row r="4707">
          <cell r="N4707" t="str">
            <v>8259004</v>
          </cell>
          <cell r="O4707" t="str">
            <v>YG5</v>
          </cell>
          <cell r="P4707" t="str">
            <v>YG58259004</v>
          </cell>
          <cell r="Q4707" t="str">
            <v>5151512</v>
          </cell>
        </row>
        <row r="4708">
          <cell r="N4708" t="str">
            <v>8259009</v>
          </cell>
          <cell r="O4708" t="str">
            <v/>
          </cell>
          <cell r="P4708" t="str">
            <v/>
          </cell>
          <cell r="Q4708" t="str">
            <v>5151512</v>
          </cell>
        </row>
        <row r="4709">
          <cell r="N4709" t="str">
            <v>8259009</v>
          </cell>
          <cell r="O4709" t="str">
            <v>YG5</v>
          </cell>
          <cell r="P4709" t="str">
            <v>YG58259009</v>
          </cell>
          <cell r="Q4709" t="str">
            <v>5151512</v>
          </cell>
        </row>
        <row r="4710">
          <cell r="N4710" t="str">
            <v/>
          </cell>
          <cell r="O4710" t="str">
            <v/>
          </cell>
          <cell r="P4710" t="str">
            <v/>
          </cell>
          <cell r="Q4710" t="str">
            <v/>
          </cell>
        </row>
        <row r="4711">
          <cell r="N4711" t="str">
            <v>77972</v>
          </cell>
          <cell r="O4711" t="str">
            <v/>
          </cell>
          <cell r="P4711" t="str">
            <v/>
          </cell>
          <cell r="Q4711" t="str">
            <v>41499</v>
          </cell>
        </row>
        <row r="4712">
          <cell r="N4712" t="str">
            <v>77972</v>
          </cell>
          <cell r="O4712" t="str">
            <v>L01</v>
          </cell>
          <cell r="P4712" t="str">
            <v>L0177972</v>
          </cell>
          <cell r="Q4712" t="str">
            <v>41499</v>
          </cell>
        </row>
        <row r="4713">
          <cell r="N4713" t="str">
            <v>77972</v>
          </cell>
          <cell r="O4713" t="str">
            <v>ONL</v>
          </cell>
          <cell r="P4713" t="str">
            <v>ONL77972</v>
          </cell>
          <cell r="Q4713" t="str">
            <v>41499</v>
          </cell>
        </row>
        <row r="4714">
          <cell r="N4714" t="str">
            <v>825947</v>
          </cell>
          <cell r="O4714" t="str">
            <v/>
          </cell>
          <cell r="P4714" t="str">
            <v/>
          </cell>
          <cell r="Q4714" t="str">
            <v>51959</v>
          </cell>
        </row>
        <row r="4715">
          <cell r="N4715" t="str">
            <v>825947</v>
          </cell>
          <cell r="O4715" t="str">
            <v>HDP</v>
          </cell>
          <cell r="P4715" t="str">
            <v>HDP825947</v>
          </cell>
          <cell r="Q4715" t="str">
            <v>51959</v>
          </cell>
        </row>
        <row r="4716">
          <cell r="N4716" t="str">
            <v>8996</v>
          </cell>
          <cell r="O4716" t="str">
            <v/>
          </cell>
          <cell r="P4716" t="str">
            <v/>
          </cell>
          <cell r="Q4716" t="str">
            <v>55088091</v>
          </cell>
        </row>
        <row r="4717">
          <cell r="N4717" t="str">
            <v>8996</v>
          </cell>
          <cell r="O4717" t="str">
            <v>HDA</v>
          </cell>
          <cell r="P4717" t="str">
            <v>HDA8996</v>
          </cell>
          <cell r="Q4717" t="str">
            <v>55088091</v>
          </cell>
        </row>
        <row r="4718">
          <cell r="N4718" t="str">
            <v>8996</v>
          </cell>
          <cell r="O4718" t="str">
            <v>ONL</v>
          </cell>
          <cell r="P4718" t="str">
            <v>ONL8996</v>
          </cell>
          <cell r="Q4718" t="str">
            <v>55088091</v>
          </cell>
        </row>
        <row r="4719">
          <cell r="N4719" t="str">
            <v>8996</v>
          </cell>
          <cell r="O4719" t="str">
            <v>REG</v>
          </cell>
          <cell r="P4719" t="str">
            <v>REG8996</v>
          </cell>
          <cell r="Q4719" t="str">
            <v>55088091</v>
          </cell>
        </row>
        <row r="4720">
          <cell r="N4720" t="str">
            <v>8996</v>
          </cell>
          <cell r="O4720" t="str">
            <v>111</v>
          </cell>
          <cell r="P4720" t="str">
            <v>1118996</v>
          </cell>
          <cell r="Q4720" t="str">
            <v>55088091</v>
          </cell>
        </row>
        <row r="4721">
          <cell r="N4721" t="str">
            <v/>
          </cell>
          <cell r="O4721" t="str">
            <v/>
          </cell>
          <cell r="P4721" t="str">
            <v/>
          </cell>
          <cell r="Q4721" t="str">
            <v/>
          </cell>
        </row>
        <row r="4722">
          <cell r="N4722" t="str">
            <v>82992</v>
          </cell>
          <cell r="O4722" t="str">
            <v/>
          </cell>
          <cell r="P4722" t="str">
            <v/>
          </cell>
          <cell r="Q4722" t="str">
            <v>51999</v>
          </cell>
        </row>
        <row r="4723">
          <cell r="N4723" t="str">
            <v>82992</v>
          </cell>
          <cell r="O4723" t="str">
            <v>JIC</v>
          </cell>
          <cell r="P4723" t="str">
            <v>JIC82992</v>
          </cell>
          <cell r="Q4723" t="str">
            <v>51999</v>
          </cell>
        </row>
        <row r="4724">
          <cell r="N4724" t="str">
            <v>82992</v>
          </cell>
          <cell r="O4724" t="str">
            <v>ONL</v>
          </cell>
          <cell r="P4724" t="str">
            <v>ONL82992</v>
          </cell>
          <cell r="Q4724" t="str">
            <v>51999</v>
          </cell>
        </row>
        <row r="4725">
          <cell r="N4725" t="str">
            <v/>
          </cell>
          <cell r="O4725" t="str">
            <v/>
          </cell>
          <cell r="P4725" t="str">
            <v/>
          </cell>
          <cell r="Q4725" t="str">
            <v/>
          </cell>
        </row>
        <row r="4726">
          <cell r="N4726" t="str">
            <v>89223</v>
          </cell>
          <cell r="O4726" t="str">
            <v/>
          </cell>
          <cell r="P4726" t="str">
            <v/>
          </cell>
          <cell r="Q4726" t="str">
            <v>55083</v>
          </cell>
        </row>
        <row r="4727">
          <cell r="N4727" t="str">
            <v>89223</v>
          </cell>
          <cell r="O4727" t="str">
            <v>8P1</v>
          </cell>
          <cell r="P4727" t="str">
            <v>8P189223</v>
          </cell>
          <cell r="Q4727" t="str">
            <v>55083</v>
          </cell>
        </row>
        <row r="4728">
          <cell r="N4728" t="str">
            <v/>
          </cell>
          <cell r="O4728" t="str">
            <v/>
          </cell>
          <cell r="P4728" t="str">
            <v/>
          </cell>
          <cell r="Q4728" t="str">
            <v/>
          </cell>
        </row>
        <row r="4729">
          <cell r="N4729" t="str">
            <v>825903</v>
          </cell>
          <cell r="O4729" t="str">
            <v/>
          </cell>
          <cell r="P4729" t="str">
            <v/>
          </cell>
          <cell r="Q4729" t="str">
            <v>5151512</v>
          </cell>
        </row>
        <row r="4730">
          <cell r="N4730" t="str">
            <v>825903</v>
          </cell>
          <cell r="O4730" t="str">
            <v>ONL</v>
          </cell>
          <cell r="P4730" t="str">
            <v>ONL825903</v>
          </cell>
          <cell r="Q4730" t="str">
            <v>5151512</v>
          </cell>
        </row>
        <row r="4731">
          <cell r="N4731" t="str">
            <v>825903</v>
          </cell>
          <cell r="O4731" t="str">
            <v>SV7</v>
          </cell>
          <cell r="P4731" t="str">
            <v>SV7825903</v>
          </cell>
          <cell r="Q4731" t="str">
            <v>5151512</v>
          </cell>
        </row>
        <row r="4732">
          <cell r="N4732" t="str">
            <v/>
          </cell>
          <cell r="O4732" t="str">
            <v/>
          </cell>
          <cell r="P4732" t="str">
            <v/>
          </cell>
          <cell r="Q4732" t="str">
            <v/>
          </cell>
        </row>
        <row r="4733">
          <cell r="N4733" t="str">
            <v>7169503</v>
          </cell>
          <cell r="O4733" t="str">
            <v/>
          </cell>
          <cell r="P4733" t="str">
            <v/>
          </cell>
          <cell r="Q4733" t="str">
            <v>416179</v>
          </cell>
        </row>
        <row r="4734">
          <cell r="N4734" t="str">
            <v>7169503</v>
          </cell>
          <cell r="O4734" t="str">
            <v>L01</v>
          </cell>
          <cell r="P4734" t="str">
            <v>L017169503</v>
          </cell>
          <cell r="Q4734" t="str">
            <v>416179</v>
          </cell>
        </row>
        <row r="4735">
          <cell r="N4735" t="str">
            <v>7169503</v>
          </cell>
          <cell r="O4735" t="str">
            <v>ONL</v>
          </cell>
          <cell r="P4735" t="str">
            <v>ONL7169503</v>
          </cell>
          <cell r="Q4735" t="str">
            <v>416179</v>
          </cell>
        </row>
        <row r="4736">
          <cell r="N4736" t="str">
            <v/>
          </cell>
          <cell r="O4736" t="str">
            <v/>
          </cell>
          <cell r="P4736" t="str">
            <v/>
          </cell>
          <cell r="Q4736" t="str">
            <v/>
          </cell>
        </row>
        <row r="4737">
          <cell r="N4737" t="str">
            <v>89990</v>
          </cell>
          <cell r="O4737" t="str">
            <v/>
          </cell>
          <cell r="P4737" t="str">
            <v/>
          </cell>
          <cell r="Q4737" t="str">
            <v>55088091</v>
          </cell>
        </row>
        <row r="4738">
          <cell r="N4738" t="str">
            <v>89990</v>
          </cell>
          <cell r="O4738" t="str">
            <v>00O</v>
          </cell>
          <cell r="P4738" t="str">
            <v>00O89990</v>
          </cell>
          <cell r="Q4738" t="str">
            <v>55088091</v>
          </cell>
        </row>
        <row r="4739">
          <cell r="N4739" t="str">
            <v/>
          </cell>
          <cell r="O4739" t="str">
            <v/>
          </cell>
          <cell r="P4739" t="str">
            <v/>
          </cell>
          <cell r="Q4739" t="str">
            <v/>
          </cell>
        </row>
        <row r="4740">
          <cell r="N4740" t="str">
            <v/>
          </cell>
          <cell r="O4740" t="str">
            <v/>
          </cell>
          <cell r="P4740" t="str">
            <v/>
          </cell>
          <cell r="Q4740" t="str">
            <v/>
          </cell>
        </row>
        <row r="4741">
          <cell r="N4741" t="str">
            <v/>
          </cell>
          <cell r="O4741" t="str">
            <v/>
          </cell>
          <cell r="P4741" t="str">
            <v/>
          </cell>
          <cell r="Q4741" t="str">
            <v/>
          </cell>
        </row>
        <row r="4742">
          <cell r="N4742" t="str">
            <v>825955995</v>
          </cell>
          <cell r="O4742" t="str">
            <v/>
          </cell>
          <cell r="P4742" t="str">
            <v/>
          </cell>
          <cell r="Q4742" t="str">
            <v>51989</v>
          </cell>
        </row>
        <row r="4743">
          <cell r="N4743" t="str">
            <v>825955995</v>
          </cell>
          <cell r="O4743" t="str">
            <v>ONL</v>
          </cell>
          <cell r="P4743" t="str">
            <v>ONL825955995</v>
          </cell>
          <cell r="Q4743" t="str">
            <v>51989</v>
          </cell>
        </row>
        <row r="4744">
          <cell r="N4744" t="str">
            <v>825955995</v>
          </cell>
          <cell r="O4744" t="str">
            <v>RP0</v>
          </cell>
          <cell r="P4744" t="str">
            <v>RP0825955995</v>
          </cell>
          <cell r="Q4744" t="str">
            <v>51989</v>
          </cell>
        </row>
        <row r="4745">
          <cell r="N4745" t="str">
            <v>825955995</v>
          </cell>
          <cell r="O4745" t="str">
            <v>SV0</v>
          </cell>
          <cell r="P4745" t="str">
            <v>SV0825955995</v>
          </cell>
          <cell r="Q4745" t="str">
            <v>51989</v>
          </cell>
        </row>
        <row r="4746">
          <cell r="N4746" t="str">
            <v>825955995</v>
          </cell>
          <cell r="O4746" t="str">
            <v>TM0</v>
          </cell>
          <cell r="P4746" t="str">
            <v>TM0825955995</v>
          </cell>
          <cell r="Q4746" t="str">
            <v>51989</v>
          </cell>
        </row>
        <row r="4747">
          <cell r="N4747" t="str">
            <v/>
          </cell>
          <cell r="O4747" t="str">
            <v/>
          </cell>
          <cell r="P4747" t="str">
            <v/>
          </cell>
          <cell r="Q4747" t="str">
            <v/>
          </cell>
        </row>
        <row r="4748">
          <cell r="N4748" t="str">
            <v>SCF</v>
          </cell>
          <cell r="O4748" t="str">
            <v/>
          </cell>
          <cell r="P4748" t="str">
            <v/>
          </cell>
          <cell r="Q4748" t="str">
            <v/>
          </cell>
        </row>
        <row r="4749">
          <cell r="N4749" t="str">
            <v>SCF</v>
          </cell>
          <cell r="O4749" t="str">
            <v>TM0</v>
          </cell>
          <cell r="P4749" t="str">
            <v>TM0SCF</v>
          </cell>
          <cell r="Q4749" t="str">
            <v/>
          </cell>
        </row>
        <row r="4750">
          <cell r="N4750" t="str">
            <v/>
          </cell>
          <cell r="O4750" t="str">
            <v/>
          </cell>
          <cell r="P4750" t="str">
            <v/>
          </cell>
          <cell r="Q4750" t="str">
            <v/>
          </cell>
        </row>
        <row r="4751">
          <cell r="N4751" t="str">
            <v>SCF</v>
          </cell>
          <cell r="O4751" t="str">
            <v/>
          </cell>
          <cell r="P4751" t="str">
            <v/>
          </cell>
          <cell r="Q4751" t="str">
            <v/>
          </cell>
        </row>
        <row r="4752">
          <cell r="N4752" t="str">
            <v>SCF</v>
          </cell>
          <cell r="O4752" t="str">
            <v>RP0</v>
          </cell>
          <cell r="P4752" t="str">
            <v>RP0SCF</v>
          </cell>
          <cell r="Q4752" t="str">
            <v/>
          </cell>
        </row>
        <row r="4753">
          <cell r="N4753" t="str">
            <v/>
          </cell>
          <cell r="O4753" t="str">
            <v/>
          </cell>
          <cell r="P4753" t="str">
            <v/>
          </cell>
          <cell r="Q4753" t="str">
            <v/>
          </cell>
        </row>
        <row r="4754">
          <cell r="N4754" t="str">
            <v>SCF</v>
          </cell>
          <cell r="O4754" t="str">
            <v/>
          </cell>
          <cell r="P4754" t="str">
            <v/>
          </cell>
          <cell r="Q4754" t="str">
            <v/>
          </cell>
        </row>
        <row r="4755">
          <cell r="N4755" t="str">
            <v>SCF</v>
          </cell>
          <cell r="O4755" t="str">
            <v>SV0</v>
          </cell>
          <cell r="P4755" t="str">
            <v>SV0SCF</v>
          </cell>
          <cell r="Q4755" t="str">
            <v/>
          </cell>
        </row>
        <row r="4756">
          <cell r="N4756" t="str">
            <v/>
          </cell>
          <cell r="O4756" t="str">
            <v/>
          </cell>
          <cell r="P4756" t="str">
            <v/>
          </cell>
          <cell r="Q4756" t="str">
            <v/>
          </cell>
        </row>
        <row r="4757">
          <cell r="N4757" t="str">
            <v>716981</v>
          </cell>
          <cell r="O4757" t="str">
            <v/>
          </cell>
          <cell r="P4757" t="str">
            <v/>
          </cell>
          <cell r="Q4757" t="str">
            <v>416190</v>
          </cell>
        </row>
        <row r="4758">
          <cell r="N4758" t="str">
            <v>716981</v>
          </cell>
          <cell r="O4758" t="str">
            <v>L01</v>
          </cell>
          <cell r="P4758" t="str">
            <v>L01716981</v>
          </cell>
          <cell r="Q4758" t="str">
            <v>416190</v>
          </cell>
        </row>
        <row r="4759">
          <cell r="N4759" t="str">
            <v>716981</v>
          </cell>
          <cell r="O4759" t="str">
            <v>ONL</v>
          </cell>
          <cell r="P4759" t="str">
            <v>ONL716981</v>
          </cell>
          <cell r="Q4759" t="str">
            <v>416190</v>
          </cell>
        </row>
        <row r="4760">
          <cell r="N4760" t="str">
            <v>716982</v>
          </cell>
          <cell r="O4760" t="str">
            <v/>
          </cell>
          <cell r="P4760" t="str">
            <v/>
          </cell>
          <cell r="Q4760" t="str">
            <v>416190</v>
          </cell>
        </row>
        <row r="4761">
          <cell r="N4761" t="str">
            <v>716982</v>
          </cell>
          <cell r="O4761" t="str">
            <v>L01</v>
          </cell>
          <cell r="P4761" t="str">
            <v>L01716982</v>
          </cell>
          <cell r="Q4761" t="str">
            <v>416190</v>
          </cell>
        </row>
        <row r="4762">
          <cell r="N4762" t="str">
            <v>716982</v>
          </cell>
          <cell r="O4762" t="str">
            <v>ONL</v>
          </cell>
          <cell r="P4762" t="str">
            <v>ONL716982</v>
          </cell>
          <cell r="Q4762" t="str">
            <v>416190</v>
          </cell>
        </row>
        <row r="4763">
          <cell r="N4763" t="str">
            <v/>
          </cell>
          <cell r="O4763" t="str">
            <v/>
          </cell>
          <cell r="P4763" t="str">
            <v/>
          </cell>
          <cell r="Q4763" t="str">
            <v/>
          </cell>
        </row>
        <row r="4764">
          <cell r="N4764" t="str">
            <v/>
          </cell>
          <cell r="O4764" t="str">
            <v/>
          </cell>
          <cell r="P4764" t="str">
            <v/>
          </cell>
          <cell r="Q4764" t="str">
            <v/>
          </cell>
        </row>
        <row r="4765">
          <cell r="N4765" t="str">
            <v>82589</v>
          </cell>
          <cell r="O4765" t="str">
            <v/>
          </cell>
          <cell r="P4765" t="str">
            <v/>
          </cell>
          <cell r="Q4765" t="str">
            <v>5192</v>
          </cell>
        </row>
        <row r="4766">
          <cell r="N4766" t="str">
            <v>82589</v>
          </cell>
          <cell r="O4766" t="str">
            <v>CRR</v>
          </cell>
          <cell r="P4766" t="str">
            <v>CRR82589</v>
          </cell>
          <cell r="Q4766" t="str">
            <v>5192</v>
          </cell>
        </row>
        <row r="4767">
          <cell r="N4767" t="str">
            <v>82589</v>
          </cell>
          <cell r="O4767" t="str">
            <v>ONL</v>
          </cell>
          <cell r="P4767" t="str">
            <v>ONL82589</v>
          </cell>
          <cell r="Q4767" t="str">
            <v>5192</v>
          </cell>
        </row>
        <row r="4768">
          <cell r="N4768" t="str">
            <v>8294</v>
          </cell>
          <cell r="O4768" t="str">
            <v/>
          </cell>
          <cell r="P4768" t="str">
            <v/>
          </cell>
          <cell r="Q4768" t="str">
            <v/>
          </cell>
        </row>
        <row r="4769">
          <cell r="N4769" t="str">
            <v>8294</v>
          </cell>
          <cell r="O4769" t="str">
            <v>APG</v>
          </cell>
          <cell r="P4769" t="str">
            <v>APG8294</v>
          </cell>
          <cell r="Q4769" t="str">
            <v/>
          </cell>
        </row>
        <row r="4770">
          <cell r="N4770" t="str">
            <v>8294</v>
          </cell>
          <cell r="O4770" t="str">
            <v>CAG</v>
          </cell>
          <cell r="P4770" t="str">
            <v>CAG8294</v>
          </cell>
          <cell r="Q4770" t="str">
            <v/>
          </cell>
        </row>
        <row r="4771">
          <cell r="N4771" t="str">
            <v>8294</v>
          </cell>
          <cell r="O4771" t="str">
            <v>CRR</v>
          </cell>
          <cell r="P4771" t="str">
            <v>CRR8294</v>
          </cell>
          <cell r="Q4771" t="str">
            <v/>
          </cell>
        </row>
        <row r="4772">
          <cell r="N4772" t="str">
            <v>8294</v>
          </cell>
          <cell r="O4772" t="str">
            <v>LRA</v>
          </cell>
          <cell r="P4772" t="str">
            <v>LRA8294</v>
          </cell>
          <cell r="Q4772" t="str">
            <v/>
          </cell>
        </row>
        <row r="4773">
          <cell r="N4773" t="str">
            <v>8294</v>
          </cell>
          <cell r="O4773" t="str">
            <v>L01</v>
          </cell>
          <cell r="P4773" t="str">
            <v>L018294</v>
          </cell>
          <cell r="Q4773" t="str">
            <v/>
          </cell>
        </row>
        <row r="4774">
          <cell r="N4774" t="str">
            <v>8294</v>
          </cell>
          <cell r="O4774" t="str">
            <v>!MF</v>
          </cell>
          <cell r="P4774" t="str">
            <v>!MF8294</v>
          </cell>
          <cell r="Q4774" t="str">
            <v/>
          </cell>
        </row>
        <row r="4775">
          <cell r="N4775" t="str">
            <v>8294</v>
          </cell>
          <cell r="O4775" t="str">
            <v>ODX</v>
          </cell>
          <cell r="P4775" t="str">
            <v>ODX8294</v>
          </cell>
          <cell r="Q4775" t="str">
            <v/>
          </cell>
        </row>
        <row r="4776">
          <cell r="N4776" t="str">
            <v>8294</v>
          </cell>
          <cell r="O4776" t="str">
            <v>OGX</v>
          </cell>
          <cell r="P4776" t="str">
            <v>OGX8294</v>
          </cell>
          <cell r="Q4776" t="str">
            <v/>
          </cell>
        </row>
        <row r="4777">
          <cell r="N4777" t="str">
            <v>8294</v>
          </cell>
          <cell r="O4777" t="str">
            <v>ONL</v>
          </cell>
          <cell r="P4777" t="str">
            <v>ONL8294</v>
          </cell>
          <cell r="Q4777" t="str">
            <v/>
          </cell>
        </row>
        <row r="4778">
          <cell r="N4778" t="str">
            <v>8294</v>
          </cell>
          <cell r="O4778" t="str">
            <v>REG</v>
          </cell>
          <cell r="P4778" t="str">
            <v>REG8294</v>
          </cell>
          <cell r="Q4778" t="str">
            <v/>
          </cell>
        </row>
        <row r="4779">
          <cell r="N4779" t="str">
            <v>8294</v>
          </cell>
          <cell r="O4779" t="str">
            <v>TIT</v>
          </cell>
          <cell r="P4779" t="str">
            <v>TIT8294</v>
          </cell>
          <cell r="Q4779" t="str">
            <v/>
          </cell>
        </row>
        <row r="4780">
          <cell r="N4780" t="str">
            <v>8294</v>
          </cell>
          <cell r="O4780" t="str">
            <v>TRP</v>
          </cell>
          <cell r="P4780" t="str">
            <v>TRP8294</v>
          </cell>
          <cell r="Q4780" t="str">
            <v/>
          </cell>
        </row>
        <row r="4781">
          <cell r="N4781" t="str">
            <v>8294</v>
          </cell>
          <cell r="O4781" t="str">
            <v>111</v>
          </cell>
          <cell r="P4781" t="str">
            <v>1118294</v>
          </cell>
          <cell r="Q4781" t="str">
            <v/>
          </cell>
        </row>
        <row r="4782">
          <cell r="N4782" t="str">
            <v>8294</v>
          </cell>
          <cell r="O4782" t="str">
            <v>504</v>
          </cell>
          <cell r="P4782" t="str">
            <v>5048294</v>
          </cell>
          <cell r="Q4782" t="str">
            <v/>
          </cell>
        </row>
        <row r="4783">
          <cell r="N4783" t="str">
            <v>829400</v>
          </cell>
          <cell r="O4783" t="str">
            <v/>
          </cell>
          <cell r="P4783" t="str">
            <v/>
          </cell>
          <cell r="Q4783" t="str">
            <v>51900</v>
          </cell>
        </row>
        <row r="4784">
          <cell r="N4784" t="str">
            <v>829400</v>
          </cell>
          <cell r="O4784" t="str">
            <v>CRR</v>
          </cell>
          <cell r="P4784" t="str">
            <v>CRR829400</v>
          </cell>
          <cell r="Q4784" t="str">
            <v>51900</v>
          </cell>
        </row>
        <row r="4785">
          <cell r="N4785" t="str">
            <v>829400</v>
          </cell>
          <cell r="O4785" t="str">
            <v>L01</v>
          </cell>
          <cell r="P4785" t="str">
            <v>L01829400</v>
          </cell>
          <cell r="Q4785" t="str">
            <v>51900</v>
          </cell>
        </row>
        <row r="4786">
          <cell r="N4786" t="str">
            <v>829400</v>
          </cell>
          <cell r="O4786" t="str">
            <v>ONL</v>
          </cell>
          <cell r="P4786" t="str">
            <v>ONL829400</v>
          </cell>
          <cell r="Q4786" t="str">
            <v>51900</v>
          </cell>
        </row>
        <row r="4787">
          <cell r="N4787" t="str">
            <v>829400</v>
          </cell>
          <cell r="O4787" t="str">
            <v>111</v>
          </cell>
          <cell r="P4787" t="str">
            <v>111829400</v>
          </cell>
          <cell r="Q4787" t="str">
            <v>51900</v>
          </cell>
        </row>
        <row r="4788">
          <cell r="N4788" t="str">
            <v>829400</v>
          </cell>
          <cell r="O4788" t="str">
            <v>6EW</v>
          </cell>
          <cell r="P4788" t="str">
            <v>6EW829400</v>
          </cell>
          <cell r="Q4788" t="str">
            <v>51900</v>
          </cell>
        </row>
        <row r="4789">
          <cell r="N4789" t="str">
            <v>829401</v>
          </cell>
          <cell r="O4789" t="str">
            <v/>
          </cell>
          <cell r="P4789" t="str">
            <v/>
          </cell>
          <cell r="Q4789" t="str">
            <v>51901</v>
          </cell>
        </row>
        <row r="4790">
          <cell r="N4790" t="str">
            <v>829401</v>
          </cell>
          <cell r="O4790" t="str">
            <v>CRR</v>
          </cell>
          <cell r="P4790" t="str">
            <v>CRR829401</v>
          </cell>
          <cell r="Q4790" t="str">
            <v>51901</v>
          </cell>
        </row>
        <row r="4791">
          <cell r="N4791" t="str">
            <v>829401</v>
          </cell>
          <cell r="O4791" t="str">
            <v>ONL</v>
          </cell>
          <cell r="P4791" t="str">
            <v>ONL829401</v>
          </cell>
          <cell r="Q4791" t="str">
            <v>51901</v>
          </cell>
        </row>
        <row r="4792">
          <cell r="N4792" t="str">
            <v>829409</v>
          </cell>
          <cell r="O4792" t="str">
            <v/>
          </cell>
          <cell r="P4792" t="str">
            <v/>
          </cell>
          <cell r="Q4792" t="str">
            <v>51909</v>
          </cell>
        </row>
        <row r="4793">
          <cell r="N4793" t="str">
            <v>829409</v>
          </cell>
          <cell r="O4793" t="str">
            <v>ONL</v>
          </cell>
          <cell r="P4793" t="str">
            <v>ONL829409</v>
          </cell>
          <cell r="Q4793" t="str">
            <v>51909</v>
          </cell>
        </row>
        <row r="4794">
          <cell r="N4794" t="str">
            <v>82947</v>
          </cell>
          <cell r="O4794" t="str">
            <v/>
          </cell>
          <cell r="P4794" t="str">
            <v/>
          </cell>
          <cell r="Q4794" t="str">
            <v>5192</v>
          </cell>
        </row>
        <row r="4795">
          <cell r="N4795" t="str">
            <v>82947</v>
          </cell>
          <cell r="O4795" t="str">
            <v>CAG</v>
          </cell>
          <cell r="P4795" t="str">
            <v>CAG82947</v>
          </cell>
          <cell r="Q4795" t="str">
            <v>5192</v>
          </cell>
        </row>
        <row r="4796">
          <cell r="N4796" t="str">
            <v>82947</v>
          </cell>
          <cell r="O4796" t="str">
            <v>CRR</v>
          </cell>
          <cell r="P4796" t="str">
            <v>CRR82947</v>
          </cell>
          <cell r="Q4796" t="str">
            <v>5192</v>
          </cell>
        </row>
        <row r="4797">
          <cell r="N4797" t="str">
            <v>82947</v>
          </cell>
          <cell r="O4797" t="str">
            <v>L01</v>
          </cell>
          <cell r="P4797" t="str">
            <v>L0182947</v>
          </cell>
          <cell r="Q4797" t="str">
            <v>5192</v>
          </cell>
        </row>
        <row r="4798">
          <cell r="N4798" t="str">
            <v>82947</v>
          </cell>
          <cell r="O4798" t="str">
            <v>ONL</v>
          </cell>
          <cell r="P4798" t="str">
            <v>ONL82947</v>
          </cell>
          <cell r="Q4798" t="str">
            <v>5192</v>
          </cell>
        </row>
        <row r="4799">
          <cell r="N4799" t="str">
            <v>82947</v>
          </cell>
          <cell r="O4799" t="str">
            <v>TRP</v>
          </cell>
          <cell r="P4799" t="str">
            <v>TRP82947</v>
          </cell>
          <cell r="Q4799" t="str">
            <v>5192</v>
          </cell>
        </row>
        <row r="4800">
          <cell r="N4800" t="str">
            <v>82947</v>
          </cell>
          <cell r="O4800" t="str">
            <v>111</v>
          </cell>
          <cell r="P4800" t="str">
            <v>11182947</v>
          </cell>
          <cell r="Q4800" t="str">
            <v>5192</v>
          </cell>
        </row>
        <row r="4801">
          <cell r="N4801" t="str">
            <v/>
          </cell>
          <cell r="O4801" t="str">
            <v/>
          </cell>
          <cell r="P4801" t="str">
            <v/>
          </cell>
          <cell r="Q4801" t="str">
            <v/>
          </cell>
        </row>
        <row r="4802">
          <cell r="N4802" t="str">
            <v>829402</v>
          </cell>
          <cell r="O4802" t="str">
            <v/>
          </cell>
          <cell r="P4802" t="str">
            <v/>
          </cell>
          <cell r="Q4802" t="str">
            <v>51900</v>
          </cell>
        </row>
        <row r="4803">
          <cell r="N4803" t="str">
            <v>829402</v>
          </cell>
          <cell r="O4803" t="str">
            <v>CRR</v>
          </cell>
          <cell r="P4803" t="str">
            <v>CRR829402</v>
          </cell>
          <cell r="Q4803" t="str">
            <v>51900</v>
          </cell>
        </row>
        <row r="4804">
          <cell r="N4804" t="str">
            <v>829402</v>
          </cell>
          <cell r="O4804" t="str">
            <v>ONL</v>
          </cell>
          <cell r="P4804" t="str">
            <v>ONL829402</v>
          </cell>
          <cell r="Q4804" t="str">
            <v>51900</v>
          </cell>
        </row>
        <row r="4805">
          <cell r="N4805" t="str">
            <v>829402</v>
          </cell>
          <cell r="O4805" t="str">
            <v>TIT</v>
          </cell>
          <cell r="P4805" t="str">
            <v>TIT829402</v>
          </cell>
          <cell r="Q4805" t="str">
            <v>51900</v>
          </cell>
        </row>
        <row r="4806">
          <cell r="N4806" t="str">
            <v>829402</v>
          </cell>
          <cell r="O4806" t="str">
            <v>111</v>
          </cell>
          <cell r="P4806" t="str">
            <v>111829402</v>
          </cell>
          <cell r="Q4806" t="str">
            <v>51900</v>
          </cell>
        </row>
        <row r="4807">
          <cell r="N4807" t="str">
            <v>829402</v>
          </cell>
          <cell r="O4807" t="str">
            <v>6EK</v>
          </cell>
          <cell r="P4807" t="str">
            <v>6EK829402</v>
          </cell>
          <cell r="Q4807" t="str">
            <v>51900</v>
          </cell>
        </row>
        <row r="4808">
          <cell r="N4808" t="str">
            <v/>
          </cell>
          <cell r="O4808" t="str">
            <v/>
          </cell>
          <cell r="P4808" t="str">
            <v/>
          </cell>
          <cell r="Q4808" t="str">
            <v/>
          </cell>
        </row>
        <row r="4809">
          <cell r="N4809" t="str">
            <v/>
          </cell>
          <cell r="O4809" t="str">
            <v/>
          </cell>
          <cell r="P4809" t="str">
            <v/>
          </cell>
          <cell r="Q4809" t="str">
            <v/>
          </cell>
        </row>
        <row r="4810">
          <cell r="N4810" t="str">
            <v>825300</v>
          </cell>
          <cell r="O4810" t="str">
            <v/>
          </cell>
          <cell r="P4810" t="str">
            <v/>
          </cell>
          <cell r="Q4810" t="str">
            <v>51580</v>
          </cell>
        </row>
        <row r="4811">
          <cell r="N4811" t="str">
            <v>825300</v>
          </cell>
          <cell r="O4811" t="str">
            <v>L01</v>
          </cell>
          <cell r="P4811" t="str">
            <v>L01825300</v>
          </cell>
          <cell r="Q4811" t="str">
            <v>51580</v>
          </cell>
        </row>
        <row r="4812">
          <cell r="N4812" t="str">
            <v>825300</v>
          </cell>
          <cell r="O4812" t="str">
            <v>OMN</v>
          </cell>
          <cell r="P4812" t="str">
            <v>OMN825300</v>
          </cell>
          <cell r="Q4812" t="str">
            <v>51580</v>
          </cell>
        </row>
        <row r="4813">
          <cell r="N4813" t="str">
            <v>825300</v>
          </cell>
          <cell r="O4813" t="str">
            <v>ONL</v>
          </cell>
          <cell r="P4813" t="str">
            <v>ONL825300</v>
          </cell>
          <cell r="Q4813" t="str">
            <v>51580</v>
          </cell>
        </row>
        <row r="4814">
          <cell r="N4814" t="str">
            <v>825300</v>
          </cell>
          <cell r="O4814" t="str">
            <v>REG</v>
          </cell>
          <cell r="P4814" t="str">
            <v>REG825300</v>
          </cell>
          <cell r="Q4814" t="str">
            <v>51580</v>
          </cell>
        </row>
        <row r="4815">
          <cell r="N4815" t="str">
            <v>825300</v>
          </cell>
          <cell r="O4815" t="str">
            <v>TIT</v>
          </cell>
          <cell r="P4815" t="str">
            <v>TIT825300</v>
          </cell>
          <cell r="Q4815" t="str">
            <v>51580</v>
          </cell>
        </row>
        <row r="4816">
          <cell r="N4816" t="str">
            <v>825300</v>
          </cell>
          <cell r="O4816" t="str">
            <v>111</v>
          </cell>
          <cell r="P4816" t="str">
            <v>111825300</v>
          </cell>
          <cell r="Q4816" t="str">
            <v>51580</v>
          </cell>
        </row>
        <row r="4817">
          <cell r="N4817" t="str">
            <v>825300</v>
          </cell>
          <cell r="O4817" t="str">
            <v>5FB</v>
          </cell>
          <cell r="P4817" t="str">
            <v>5FB825300</v>
          </cell>
          <cell r="Q4817" t="str">
            <v>51580</v>
          </cell>
        </row>
        <row r="4818">
          <cell r="N4818" t="str">
            <v/>
          </cell>
          <cell r="O4818" t="str">
            <v/>
          </cell>
          <cell r="P4818" t="str">
            <v/>
          </cell>
          <cell r="Q4818" t="str">
            <v/>
          </cell>
        </row>
        <row r="4819">
          <cell r="N4819" t="str">
            <v>71204</v>
          </cell>
          <cell r="O4819" t="str">
            <v/>
          </cell>
          <cell r="P4819" t="str">
            <v/>
          </cell>
          <cell r="Q4819" t="str">
            <v>41303</v>
          </cell>
        </row>
        <row r="4820">
          <cell r="N4820" t="str">
            <v>71204</v>
          </cell>
          <cell r="O4820" t="str">
            <v>F5C</v>
          </cell>
          <cell r="P4820" t="str">
            <v>F5C71204</v>
          </cell>
          <cell r="Q4820" t="str">
            <v>41303</v>
          </cell>
        </row>
        <row r="4821">
          <cell r="N4821" t="str">
            <v>82532</v>
          </cell>
          <cell r="O4821" t="str">
            <v/>
          </cell>
          <cell r="P4821" t="str">
            <v/>
          </cell>
          <cell r="Q4821" t="str">
            <v>51400</v>
          </cell>
        </row>
        <row r="4822">
          <cell r="N4822" t="str">
            <v>82532</v>
          </cell>
          <cell r="O4822" t="str">
            <v>FEY</v>
          </cell>
          <cell r="P4822" t="str">
            <v>FEY82532</v>
          </cell>
          <cell r="Q4822" t="str">
            <v>51400</v>
          </cell>
        </row>
        <row r="4823">
          <cell r="N4823" t="str">
            <v>82532</v>
          </cell>
          <cell r="O4823" t="str">
            <v>F5E</v>
          </cell>
          <cell r="P4823" t="str">
            <v>F5E82532</v>
          </cell>
          <cell r="Q4823" t="str">
            <v>51400</v>
          </cell>
        </row>
        <row r="4824">
          <cell r="N4824" t="str">
            <v>82532</v>
          </cell>
          <cell r="O4824" t="str">
            <v>F5Y</v>
          </cell>
          <cell r="P4824" t="str">
            <v>F5Y82532</v>
          </cell>
          <cell r="Q4824" t="str">
            <v>51400</v>
          </cell>
        </row>
        <row r="4825">
          <cell r="N4825" t="str">
            <v>82532</v>
          </cell>
          <cell r="O4825" t="str">
            <v>ONL</v>
          </cell>
          <cell r="P4825" t="str">
            <v>ONL82532</v>
          </cell>
          <cell r="Q4825" t="str">
            <v>51400</v>
          </cell>
        </row>
        <row r="4826">
          <cell r="N4826" t="str">
            <v>82532</v>
          </cell>
          <cell r="O4826" t="str">
            <v>TIT</v>
          </cell>
          <cell r="P4826" t="str">
            <v>TIT82532</v>
          </cell>
          <cell r="Q4826" t="str">
            <v>51400</v>
          </cell>
        </row>
        <row r="4827">
          <cell r="N4827" t="str">
            <v>82532</v>
          </cell>
          <cell r="O4827" t="str">
            <v>TRI</v>
          </cell>
          <cell r="P4827" t="str">
            <v>TRI82532</v>
          </cell>
          <cell r="Q4827" t="str">
            <v>51400</v>
          </cell>
        </row>
        <row r="4828">
          <cell r="N4828" t="str">
            <v>82532</v>
          </cell>
          <cell r="O4828" t="str">
            <v>5FT</v>
          </cell>
          <cell r="P4828" t="str">
            <v>5FT82532</v>
          </cell>
          <cell r="Q4828" t="str">
            <v>51400</v>
          </cell>
        </row>
        <row r="4829">
          <cell r="N4829" t="str">
            <v>825320</v>
          </cell>
          <cell r="O4829" t="str">
            <v/>
          </cell>
          <cell r="P4829" t="str">
            <v/>
          </cell>
          <cell r="Q4829" t="str">
            <v/>
          </cell>
        </row>
        <row r="4830">
          <cell r="N4830" t="str">
            <v>825320</v>
          </cell>
          <cell r="O4830" t="str">
            <v>F5E</v>
          </cell>
          <cell r="P4830" t="str">
            <v>F5E825320</v>
          </cell>
          <cell r="Q4830" t="str">
            <v/>
          </cell>
        </row>
        <row r="4831">
          <cell r="N4831" t="str">
            <v>825320</v>
          </cell>
          <cell r="O4831" t="str">
            <v>F5Y</v>
          </cell>
          <cell r="P4831" t="str">
            <v>F5Y825320</v>
          </cell>
          <cell r="Q4831" t="str">
            <v/>
          </cell>
        </row>
        <row r="4832">
          <cell r="N4832" t="str">
            <v>825320</v>
          </cell>
          <cell r="O4832" t="str">
            <v>TRI</v>
          </cell>
          <cell r="P4832" t="str">
            <v>TRI825320</v>
          </cell>
          <cell r="Q4832" t="str">
            <v/>
          </cell>
        </row>
        <row r="4833">
          <cell r="N4833" t="str">
            <v>825320</v>
          </cell>
          <cell r="O4833" t="str">
            <v>5FT</v>
          </cell>
          <cell r="P4833" t="str">
            <v>5FT825320</v>
          </cell>
          <cell r="Q4833" t="str">
            <v/>
          </cell>
        </row>
        <row r="4834">
          <cell r="N4834" t="str">
            <v>8253200</v>
          </cell>
          <cell r="O4834" t="str">
            <v/>
          </cell>
          <cell r="P4834" t="str">
            <v/>
          </cell>
          <cell r="Q4834" t="str">
            <v/>
          </cell>
        </row>
        <row r="4835">
          <cell r="N4835" t="str">
            <v>8253200</v>
          </cell>
          <cell r="O4835" t="str">
            <v>F5E</v>
          </cell>
          <cell r="P4835" t="str">
            <v>F5E8253200</v>
          </cell>
          <cell r="Q4835" t="str">
            <v/>
          </cell>
        </row>
        <row r="4836">
          <cell r="N4836" t="str">
            <v>8253200</v>
          </cell>
          <cell r="O4836" t="str">
            <v>F5W</v>
          </cell>
          <cell r="P4836" t="str">
            <v>F5W8253200</v>
          </cell>
          <cell r="Q4836" t="str">
            <v/>
          </cell>
        </row>
        <row r="4837">
          <cell r="N4837" t="str">
            <v>8253200</v>
          </cell>
          <cell r="O4837" t="str">
            <v>F5Y</v>
          </cell>
          <cell r="P4837" t="str">
            <v>F5Y8253200</v>
          </cell>
          <cell r="Q4837" t="str">
            <v/>
          </cell>
        </row>
        <row r="4838">
          <cell r="N4838" t="str">
            <v>8253200</v>
          </cell>
          <cell r="O4838" t="str">
            <v>ONL</v>
          </cell>
          <cell r="P4838" t="str">
            <v>ONL8253200</v>
          </cell>
          <cell r="Q4838" t="str">
            <v/>
          </cell>
        </row>
        <row r="4839">
          <cell r="N4839" t="str">
            <v>8253200</v>
          </cell>
          <cell r="O4839" t="str">
            <v>TIT</v>
          </cell>
          <cell r="P4839" t="str">
            <v>TIT8253200</v>
          </cell>
          <cell r="Q4839" t="str">
            <v/>
          </cell>
        </row>
        <row r="4840">
          <cell r="N4840" t="str">
            <v>8253200</v>
          </cell>
          <cell r="O4840" t="str">
            <v>TRI</v>
          </cell>
          <cell r="P4840" t="str">
            <v>TRI8253200</v>
          </cell>
          <cell r="Q4840" t="str">
            <v/>
          </cell>
        </row>
        <row r="4841">
          <cell r="N4841" t="str">
            <v>8253200</v>
          </cell>
          <cell r="O4841" t="str">
            <v>5FT</v>
          </cell>
          <cell r="P4841" t="str">
            <v>5FT8253200</v>
          </cell>
          <cell r="Q4841" t="str">
            <v/>
          </cell>
        </row>
        <row r="4842">
          <cell r="N4842" t="str">
            <v>8253201</v>
          </cell>
          <cell r="O4842" t="str">
            <v/>
          </cell>
          <cell r="P4842" t="str">
            <v/>
          </cell>
          <cell r="Q4842" t="str">
            <v/>
          </cell>
        </row>
        <row r="4843">
          <cell r="N4843" t="str">
            <v>8253201</v>
          </cell>
          <cell r="O4843" t="str">
            <v>F5E</v>
          </cell>
          <cell r="P4843" t="str">
            <v>F5E8253201</v>
          </cell>
          <cell r="Q4843" t="str">
            <v/>
          </cell>
        </row>
        <row r="4844">
          <cell r="N4844" t="str">
            <v>8253201</v>
          </cell>
          <cell r="O4844" t="str">
            <v>F5Y</v>
          </cell>
          <cell r="P4844" t="str">
            <v>F5Y8253201</v>
          </cell>
          <cell r="Q4844" t="str">
            <v/>
          </cell>
        </row>
        <row r="4845">
          <cell r="N4845" t="str">
            <v>8253201</v>
          </cell>
          <cell r="O4845" t="str">
            <v>TIT</v>
          </cell>
          <cell r="P4845" t="str">
            <v>TIT8253201</v>
          </cell>
          <cell r="Q4845" t="str">
            <v/>
          </cell>
        </row>
        <row r="4846">
          <cell r="N4846" t="str">
            <v>8253201</v>
          </cell>
          <cell r="O4846" t="str">
            <v>TRI</v>
          </cell>
          <cell r="P4846" t="str">
            <v>TRI8253201</v>
          </cell>
          <cell r="Q4846" t="str">
            <v/>
          </cell>
        </row>
        <row r="4847">
          <cell r="N4847" t="str">
            <v>8253206</v>
          </cell>
          <cell r="O4847" t="str">
            <v/>
          </cell>
          <cell r="P4847" t="str">
            <v/>
          </cell>
          <cell r="Q4847" t="str">
            <v/>
          </cell>
        </row>
        <row r="4848">
          <cell r="N4848" t="str">
            <v>8253206</v>
          </cell>
          <cell r="O4848" t="str">
            <v>F5E</v>
          </cell>
          <cell r="P4848" t="str">
            <v>F5E8253206</v>
          </cell>
          <cell r="Q4848" t="str">
            <v/>
          </cell>
        </row>
        <row r="4849">
          <cell r="N4849" t="str">
            <v>8253206</v>
          </cell>
          <cell r="O4849" t="str">
            <v>TIT</v>
          </cell>
          <cell r="P4849" t="str">
            <v>TIT8253206</v>
          </cell>
          <cell r="Q4849" t="str">
            <v/>
          </cell>
        </row>
        <row r="4850">
          <cell r="N4850" t="str">
            <v>8253206</v>
          </cell>
          <cell r="O4850" t="str">
            <v>TRI</v>
          </cell>
          <cell r="P4850" t="str">
            <v>TRI8253206</v>
          </cell>
          <cell r="Q4850" t="str">
            <v/>
          </cell>
        </row>
        <row r="4851">
          <cell r="N4851" t="str">
            <v>8253207</v>
          </cell>
          <cell r="O4851" t="str">
            <v/>
          </cell>
          <cell r="P4851" t="str">
            <v/>
          </cell>
          <cell r="Q4851" t="str">
            <v/>
          </cell>
        </row>
        <row r="4852">
          <cell r="N4852" t="str">
            <v>8253207</v>
          </cell>
          <cell r="O4852" t="str">
            <v>F5E</v>
          </cell>
          <cell r="P4852" t="str">
            <v>F5E8253207</v>
          </cell>
          <cell r="Q4852" t="str">
            <v/>
          </cell>
        </row>
        <row r="4853">
          <cell r="N4853" t="str">
            <v>8253207</v>
          </cell>
          <cell r="O4853" t="str">
            <v>F5Y</v>
          </cell>
          <cell r="P4853" t="str">
            <v>F5Y8253207</v>
          </cell>
          <cell r="Q4853" t="str">
            <v/>
          </cell>
        </row>
        <row r="4854">
          <cell r="N4854" t="str">
            <v>8253207</v>
          </cell>
          <cell r="O4854" t="str">
            <v>TRI</v>
          </cell>
          <cell r="P4854" t="str">
            <v>TRI8253207</v>
          </cell>
          <cell r="Q4854" t="str">
            <v/>
          </cell>
        </row>
        <row r="4855">
          <cell r="N4855" t="str">
            <v>82534</v>
          </cell>
          <cell r="O4855" t="str">
            <v/>
          </cell>
          <cell r="P4855" t="str">
            <v/>
          </cell>
          <cell r="Q4855" t="str">
            <v>51400</v>
          </cell>
        </row>
        <row r="4856">
          <cell r="N4856" t="str">
            <v>82534</v>
          </cell>
          <cell r="O4856" t="str">
            <v>F5E</v>
          </cell>
          <cell r="P4856" t="str">
            <v>F5E82534</v>
          </cell>
          <cell r="Q4856" t="str">
            <v>51400</v>
          </cell>
        </row>
        <row r="4857">
          <cell r="N4857" t="str">
            <v>82534</v>
          </cell>
          <cell r="O4857" t="str">
            <v>F5Y</v>
          </cell>
          <cell r="P4857" t="str">
            <v>F5Y82534</v>
          </cell>
          <cell r="Q4857" t="str">
            <v>51400</v>
          </cell>
        </row>
        <row r="4858">
          <cell r="N4858" t="str">
            <v>82534</v>
          </cell>
          <cell r="O4858" t="str">
            <v>ONL</v>
          </cell>
          <cell r="P4858" t="str">
            <v>ONL82534</v>
          </cell>
          <cell r="Q4858" t="str">
            <v>51400</v>
          </cell>
        </row>
        <row r="4859">
          <cell r="N4859" t="str">
            <v/>
          </cell>
          <cell r="O4859" t="str">
            <v/>
          </cell>
          <cell r="P4859" t="str">
            <v/>
          </cell>
          <cell r="Q4859" t="str">
            <v/>
          </cell>
        </row>
        <row r="4860">
          <cell r="N4860" t="str">
            <v>71843</v>
          </cell>
          <cell r="O4860" t="str">
            <v/>
          </cell>
          <cell r="P4860" t="str">
            <v/>
          </cell>
          <cell r="Q4860" t="str">
            <v>41401</v>
          </cell>
        </row>
        <row r="4861">
          <cell r="N4861" t="str">
            <v>71843</v>
          </cell>
          <cell r="O4861" t="str">
            <v>F5H</v>
          </cell>
          <cell r="P4861" t="str">
            <v>F5H71843</v>
          </cell>
          <cell r="Q4861" t="str">
            <v>41401</v>
          </cell>
        </row>
        <row r="4862">
          <cell r="N4862" t="str">
            <v>71843</v>
          </cell>
          <cell r="O4862" t="str">
            <v>ONL</v>
          </cell>
          <cell r="P4862" t="str">
            <v>ONL71843</v>
          </cell>
          <cell r="Q4862" t="str">
            <v>41401</v>
          </cell>
        </row>
        <row r="4863">
          <cell r="N4863" t="str">
            <v>71999</v>
          </cell>
          <cell r="O4863" t="str">
            <v/>
          </cell>
          <cell r="P4863" t="str">
            <v/>
          </cell>
          <cell r="Q4863" t="str">
            <v>41999</v>
          </cell>
        </row>
        <row r="4864">
          <cell r="N4864" t="str">
            <v>71999</v>
          </cell>
          <cell r="O4864" t="str">
            <v>FEQ</v>
          </cell>
          <cell r="P4864" t="str">
            <v>FEQ71999</v>
          </cell>
          <cell r="Q4864" t="str">
            <v>41999</v>
          </cell>
        </row>
        <row r="4865">
          <cell r="N4865" t="str">
            <v>71999</v>
          </cell>
          <cell r="O4865" t="str">
            <v>FEZ</v>
          </cell>
          <cell r="P4865" t="str">
            <v>FEZ71999</v>
          </cell>
          <cell r="Q4865" t="str">
            <v>41999</v>
          </cell>
        </row>
        <row r="4866">
          <cell r="N4866" t="str">
            <v>71999</v>
          </cell>
          <cell r="O4866" t="str">
            <v>FKX</v>
          </cell>
          <cell r="P4866" t="str">
            <v>FKX71999</v>
          </cell>
          <cell r="Q4866" t="str">
            <v>41999</v>
          </cell>
        </row>
        <row r="4867">
          <cell r="N4867" t="str">
            <v>77964</v>
          </cell>
          <cell r="O4867" t="str">
            <v/>
          </cell>
          <cell r="P4867" t="str">
            <v/>
          </cell>
          <cell r="Q4867" t="str">
            <v>41499</v>
          </cell>
        </row>
        <row r="4868">
          <cell r="N4868" t="str">
            <v>77964</v>
          </cell>
          <cell r="O4868" t="str">
            <v>ONL</v>
          </cell>
          <cell r="P4868" t="str">
            <v>ONL77964</v>
          </cell>
          <cell r="Q4868" t="str">
            <v>41499</v>
          </cell>
        </row>
        <row r="4869">
          <cell r="N4869" t="str">
            <v>77964</v>
          </cell>
          <cell r="O4869" t="str">
            <v>TIT</v>
          </cell>
          <cell r="P4869" t="str">
            <v>TIT77964</v>
          </cell>
          <cell r="Q4869" t="str">
            <v>41499</v>
          </cell>
        </row>
        <row r="4870">
          <cell r="N4870" t="str">
            <v>82533</v>
          </cell>
          <cell r="O4870" t="str">
            <v/>
          </cell>
          <cell r="P4870" t="str">
            <v/>
          </cell>
          <cell r="Q4870" t="str">
            <v>51401</v>
          </cell>
        </row>
        <row r="4871">
          <cell r="N4871" t="str">
            <v>82533</v>
          </cell>
          <cell r="O4871" t="str">
            <v>FKK</v>
          </cell>
          <cell r="P4871" t="str">
            <v>FKK82533</v>
          </cell>
          <cell r="Q4871" t="str">
            <v>51401</v>
          </cell>
        </row>
        <row r="4872">
          <cell r="N4872" t="str">
            <v>82533</v>
          </cell>
          <cell r="O4872" t="str">
            <v>F5J</v>
          </cell>
          <cell r="P4872" t="str">
            <v>F5J82533</v>
          </cell>
          <cell r="Q4872" t="str">
            <v>51401</v>
          </cell>
        </row>
        <row r="4873">
          <cell r="N4873" t="str">
            <v>82533</v>
          </cell>
          <cell r="O4873" t="str">
            <v>F5K</v>
          </cell>
          <cell r="P4873" t="str">
            <v>F5K82533</v>
          </cell>
          <cell r="Q4873" t="str">
            <v>51401</v>
          </cell>
        </row>
        <row r="4874">
          <cell r="N4874" t="str">
            <v>82533</v>
          </cell>
          <cell r="O4874" t="str">
            <v>ONL</v>
          </cell>
          <cell r="P4874" t="str">
            <v>ONL82533</v>
          </cell>
          <cell r="Q4874" t="str">
            <v>51401</v>
          </cell>
        </row>
        <row r="4875">
          <cell r="N4875" t="str">
            <v>82533</v>
          </cell>
          <cell r="O4875" t="str">
            <v>REG</v>
          </cell>
          <cell r="P4875" t="str">
            <v>REG82533</v>
          </cell>
          <cell r="Q4875" t="str">
            <v>51401</v>
          </cell>
        </row>
        <row r="4876">
          <cell r="N4876" t="str">
            <v>82533</v>
          </cell>
          <cell r="O4876" t="str">
            <v>TIT</v>
          </cell>
          <cell r="P4876" t="str">
            <v>TIT82533</v>
          </cell>
          <cell r="Q4876" t="str">
            <v>51401</v>
          </cell>
        </row>
        <row r="4877">
          <cell r="N4877" t="str">
            <v>825330</v>
          </cell>
          <cell r="O4877" t="str">
            <v/>
          </cell>
          <cell r="P4877" t="str">
            <v/>
          </cell>
          <cell r="Q4877" t="str">
            <v/>
          </cell>
        </row>
        <row r="4878">
          <cell r="N4878" t="str">
            <v>825330</v>
          </cell>
          <cell r="O4878" t="str">
            <v>F5J</v>
          </cell>
          <cell r="P4878" t="str">
            <v>F5J825330</v>
          </cell>
          <cell r="Q4878" t="str">
            <v/>
          </cell>
        </row>
        <row r="4879">
          <cell r="N4879" t="str">
            <v>825330</v>
          </cell>
          <cell r="O4879" t="str">
            <v>F5K</v>
          </cell>
          <cell r="P4879" t="str">
            <v>F5K825330</v>
          </cell>
          <cell r="Q4879" t="str">
            <v/>
          </cell>
        </row>
        <row r="4880">
          <cell r="N4880" t="str">
            <v>825330</v>
          </cell>
          <cell r="O4880" t="str">
            <v>TIT</v>
          </cell>
          <cell r="P4880" t="str">
            <v>TIT825330</v>
          </cell>
          <cell r="Q4880" t="str">
            <v/>
          </cell>
        </row>
        <row r="4881">
          <cell r="N4881" t="str">
            <v>825330</v>
          </cell>
          <cell r="O4881" t="str">
            <v>TRI</v>
          </cell>
          <cell r="P4881" t="str">
            <v>TRI825330</v>
          </cell>
          <cell r="Q4881" t="str">
            <v/>
          </cell>
        </row>
        <row r="4882">
          <cell r="N4882" t="str">
            <v>825331</v>
          </cell>
          <cell r="O4882" t="str">
            <v/>
          </cell>
          <cell r="P4882" t="str">
            <v/>
          </cell>
          <cell r="Q4882" t="str">
            <v/>
          </cell>
        </row>
        <row r="4883">
          <cell r="N4883" t="str">
            <v>825331</v>
          </cell>
          <cell r="O4883" t="str">
            <v>F5J</v>
          </cell>
          <cell r="P4883" t="str">
            <v>F5J825331</v>
          </cell>
          <cell r="Q4883" t="str">
            <v/>
          </cell>
        </row>
        <row r="4884">
          <cell r="N4884" t="str">
            <v>825331</v>
          </cell>
          <cell r="O4884" t="str">
            <v>TRI</v>
          </cell>
          <cell r="P4884" t="str">
            <v>TRI825331</v>
          </cell>
          <cell r="Q4884" t="str">
            <v/>
          </cell>
        </row>
        <row r="4885">
          <cell r="N4885" t="str">
            <v>825332</v>
          </cell>
          <cell r="O4885" t="str">
            <v/>
          </cell>
          <cell r="P4885" t="str">
            <v/>
          </cell>
          <cell r="Q4885" t="str">
            <v/>
          </cell>
        </row>
        <row r="4886">
          <cell r="N4886" t="str">
            <v>825332</v>
          </cell>
          <cell r="O4886" t="str">
            <v>F5J</v>
          </cell>
          <cell r="P4886" t="str">
            <v>F5J825332</v>
          </cell>
          <cell r="Q4886" t="str">
            <v/>
          </cell>
        </row>
        <row r="4887">
          <cell r="N4887" t="str">
            <v>825332</v>
          </cell>
          <cell r="O4887" t="str">
            <v>TRI</v>
          </cell>
          <cell r="P4887" t="str">
            <v>TRI825332</v>
          </cell>
          <cell r="Q4887" t="str">
            <v/>
          </cell>
        </row>
        <row r="4888">
          <cell r="N4888" t="str">
            <v>825334</v>
          </cell>
          <cell r="O4888" t="str">
            <v/>
          </cell>
          <cell r="P4888" t="str">
            <v/>
          </cell>
          <cell r="Q4888" t="str">
            <v/>
          </cell>
        </row>
        <row r="4889">
          <cell r="N4889" t="str">
            <v>825334</v>
          </cell>
          <cell r="O4889" t="str">
            <v>F5J</v>
          </cell>
          <cell r="P4889" t="str">
            <v>F5J825334</v>
          </cell>
          <cell r="Q4889" t="str">
            <v/>
          </cell>
        </row>
        <row r="4890">
          <cell r="N4890" t="str">
            <v>825334</v>
          </cell>
          <cell r="O4890" t="str">
            <v>F5K</v>
          </cell>
          <cell r="P4890" t="str">
            <v>F5K825334</v>
          </cell>
          <cell r="Q4890" t="str">
            <v/>
          </cell>
        </row>
        <row r="4891">
          <cell r="N4891" t="str">
            <v>825334</v>
          </cell>
          <cell r="O4891" t="str">
            <v>TIT</v>
          </cell>
          <cell r="P4891" t="str">
            <v>TIT825334</v>
          </cell>
          <cell r="Q4891" t="str">
            <v/>
          </cell>
        </row>
        <row r="4892">
          <cell r="N4892" t="str">
            <v>825334</v>
          </cell>
          <cell r="O4892" t="str">
            <v>TRI</v>
          </cell>
          <cell r="P4892" t="str">
            <v>TRI825334</v>
          </cell>
          <cell r="Q4892" t="str">
            <v/>
          </cell>
        </row>
        <row r="4893">
          <cell r="N4893" t="str">
            <v>825335</v>
          </cell>
          <cell r="O4893" t="str">
            <v/>
          </cell>
          <cell r="P4893" t="str">
            <v/>
          </cell>
          <cell r="Q4893" t="str">
            <v/>
          </cell>
        </row>
        <row r="4894">
          <cell r="N4894" t="str">
            <v>825335</v>
          </cell>
          <cell r="O4894" t="str">
            <v>F5J</v>
          </cell>
          <cell r="P4894" t="str">
            <v>F5J825335</v>
          </cell>
          <cell r="Q4894" t="str">
            <v/>
          </cell>
        </row>
        <row r="4895">
          <cell r="N4895" t="str">
            <v>825335</v>
          </cell>
          <cell r="O4895" t="str">
            <v>TRI</v>
          </cell>
          <cell r="P4895" t="str">
            <v>TRI825335</v>
          </cell>
          <cell r="Q4895" t="str">
            <v/>
          </cell>
        </row>
        <row r="4896">
          <cell r="N4896" t="str">
            <v>825336</v>
          </cell>
          <cell r="O4896" t="str">
            <v/>
          </cell>
          <cell r="P4896" t="str">
            <v/>
          </cell>
          <cell r="Q4896" t="str">
            <v/>
          </cell>
        </row>
        <row r="4897">
          <cell r="N4897" t="str">
            <v>825336</v>
          </cell>
          <cell r="O4897" t="str">
            <v>F5J</v>
          </cell>
          <cell r="P4897" t="str">
            <v>F5J825336</v>
          </cell>
          <cell r="Q4897" t="str">
            <v/>
          </cell>
        </row>
        <row r="4898">
          <cell r="N4898" t="str">
            <v>825336</v>
          </cell>
          <cell r="O4898" t="str">
            <v>TIT</v>
          </cell>
          <cell r="P4898" t="str">
            <v>TIT825336</v>
          </cell>
          <cell r="Q4898" t="str">
            <v/>
          </cell>
        </row>
        <row r="4899">
          <cell r="N4899" t="str">
            <v>825336</v>
          </cell>
          <cell r="O4899" t="str">
            <v>TRI</v>
          </cell>
          <cell r="P4899" t="str">
            <v>TRI825336</v>
          </cell>
          <cell r="Q4899" t="str">
            <v/>
          </cell>
        </row>
        <row r="4900">
          <cell r="N4900" t="str">
            <v>825337</v>
          </cell>
          <cell r="O4900" t="str">
            <v/>
          </cell>
          <cell r="P4900" t="str">
            <v/>
          </cell>
          <cell r="Q4900" t="str">
            <v/>
          </cell>
        </row>
        <row r="4901">
          <cell r="N4901" t="str">
            <v>825337</v>
          </cell>
          <cell r="O4901" t="str">
            <v>F5J</v>
          </cell>
          <cell r="P4901" t="str">
            <v>F5J825337</v>
          </cell>
          <cell r="Q4901" t="str">
            <v/>
          </cell>
        </row>
        <row r="4902">
          <cell r="N4902" t="str">
            <v>825337</v>
          </cell>
          <cell r="O4902" t="str">
            <v>F5K</v>
          </cell>
          <cell r="P4902" t="str">
            <v>F5K825337</v>
          </cell>
          <cell r="Q4902" t="str">
            <v/>
          </cell>
        </row>
        <row r="4903">
          <cell r="N4903" t="str">
            <v>825337</v>
          </cell>
          <cell r="O4903" t="str">
            <v>TRI</v>
          </cell>
          <cell r="P4903" t="str">
            <v>TRI825337</v>
          </cell>
          <cell r="Q4903" t="str">
            <v/>
          </cell>
        </row>
        <row r="4904">
          <cell r="N4904" t="str">
            <v>82533903</v>
          </cell>
          <cell r="O4904" t="str">
            <v/>
          </cell>
          <cell r="P4904" t="str">
            <v/>
          </cell>
          <cell r="Q4904" t="str">
            <v/>
          </cell>
        </row>
        <row r="4905">
          <cell r="N4905" t="str">
            <v>82533903</v>
          </cell>
          <cell r="O4905" t="str">
            <v>F5J</v>
          </cell>
          <cell r="P4905" t="str">
            <v>F5J82533903</v>
          </cell>
          <cell r="Q4905" t="str">
            <v/>
          </cell>
        </row>
        <row r="4906">
          <cell r="N4906" t="str">
            <v>82533903</v>
          </cell>
          <cell r="O4906" t="str">
            <v>F5K</v>
          </cell>
          <cell r="P4906" t="str">
            <v>F5K82533903</v>
          </cell>
          <cell r="Q4906" t="str">
            <v/>
          </cell>
        </row>
        <row r="4907">
          <cell r="N4907" t="str">
            <v>82533903</v>
          </cell>
          <cell r="O4907" t="str">
            <v>TIT</v>
          </cell>
          <cell r="P4907" t="str">
            <v>TIT82533903</v>
          </cell>
          <cell r="Q4907" t="str">
            <v/>
          </cell>
        </row>
        <row r="4908">
          <cell r="N4908" t="str">
            <v>82533904</v>
          </cell>
          <cell r="O4908" t="str">
            <v/>
          </cell>
          <cell r="P4908" t="str">
            <v/>
          </cell>
          <cell r="Q4908" t="str">
            <v/>
          </cell>
        </row>
        <row r="4909">
          <cell r="N4909" t="str">
            <v>82533904</v>
          </cell>
          <cell r="O4909" t="str">
            <v>F5J</v>
          </cell>
          <cell r="P4909" t="str">
            <v>F5J82533904</v>
          </cell>
          <cell r="Q4909" t="str">
            <v/>
          </cell>
        </row>
        <row r="4910">
          <cell r="N4910" t="str">
            <v>82533905</v>
          </cell>
          <cell r="O4910" t="str">
            <v/>
          </cell>
          <cell r="P4910" t="str">
            <v/>
          </cell>
          <cell r="Q4910" t="str">
            <v/>
          </cell>
        </row>
        <row r="4911">
          <cell r="N4911" t="str">
            <v>82533905</v>
          </cell>
          <cell r="O4911" t="str">
            <v>F5J</v>
          </cell>
          <cell r="P4911" t="str">
            <v>F5J82533905</v>
          </cell>
          <cell r="Q4911" t="str">
            <v/>
          </cell>
        </row>
        <row r="4912">
          <cell r="N4912" t="str">
            <v>82533905</v>
          </cell>
          <cell r="O4912" t="str">
            <v>F5K</v>
          </cell>
          <cell r="P4912" t="str">
            <v>F5K82533905</v>
          </cell>
          <cell r="Q4912" t="str">
            <v/>
          </cell>
        </row>
        <row r="4913">
          <cell r="N4913" t="str">
            <v>82533906</v>
          </cell>
          <cell r="O4913" t="str">
            <v/>
          </cell>
          <cell r="P4913" t="str">
            <v/>
          </cell>
          <cell r="Q4913" t="str">
            <v/>
          </cell>
        </row>
        <row r="4914">
          <cell r="N4914" t="str">
            <v>82533906</v>
          </cell>
          <cell r="O4914" t="str">
            <v>F5J</v>
          </cell>
          <cell r="P4914" t="str">
            <v>F5J82533906</v>
          </cell>
          <cell r="Q4914" t="str">
            <v/>
          </cell>
        </row>
        <row r="4915">
          <cell r="N4915" t="str">
            <v>82535</v>
          </cell>
          <cell r="O4915" t="str">
            <v/>
          </cell>
          <cell r="P4915" t="str">
            <v/>
          </cell>
          <cell r="Q4915" t="str">
            <v>51409</v>
          </cell>
        </row>
        <row r="4916">
          <cell r="N4916" t="str">
            <v>82535</v>
          </cell>
          <cell r="O4916" t="str">
            <v>F5J</v>
          </cell>
          <cell r="P4916" t="str">
            <v>F5J82535</v>
          </cell>
          <cell r="Q4916" t="str">
            <v>51409</v>
          </cell>
        </row>
        <row r="4917">
          <cell r="N4917" t="str">
            <v>82535</v>
          </cell>
          <cell r="O4917" t="str">
            <v>F5K</v>
          </cell>
          <cell r="P4917" t="str">
            <v>F5K82535</v>
          </cell>
          <cell r="Q4917" t="str">
            <v>51409</v>
          </cell>
        </row>
        <row r="4918">
          <cell r="N4918" t="str">
            <v>82535</v>
          </cell>
          <cell r="O4918" t="str">
            <v>ONL</v>
          </cell>
          <cell r="P4918" t="str">
            <v>ONL82535</v>
          </cell>
          <cell r="Q4918" t="str">
            <v>51409</v>
          </cell>
        </row>
        <row r="4919">
          <cell r="N4919" t="str">
            <v/>
          </cell>
          <cell r="O4919" t="str">
            <v/>
          </cell>
          <cell r="P4919" t="str">
            <v/>
          </cell>
          <cell r="Q4919" t="str">
            <v/>
          </cell>
        </row>
        <row r="4920">
          <cell r="N4920" t="str">
            <v>825303</v>
          </cell>
          <cell r="O4920" t="str">
            <v/>
          </cell>
          <cell r="P4920" t="str">
            <v/>
          </cell>
          <cell r="Q4920" t="str">
            <v>51580</v>
          </cell>
        </row>
        <row r="4921">
          <cell r="N4921" t="str">
            <v>825303</v>
          </cell>
          <cell r="O4921" t="str">
            <v>ONL</v>
          </cell>
          <cell r="P4921" t="str">
            <v>ONL825303</v>
          </cell>
          <cell r="Q4921" t="str">
            <v>51580</v>
          </cell>
        </row>
        <row r="4922">
          <cell r="N4922" t="str">
            <v>82533</v>
          </cell>
          <cell r="O4922" t="str">
            <v/>
          </cell>
          <cell r="P4922" t="str">
            <v/>
          </cell>
          <cell r="Q4922" t="str">
            <v>51401</v>
          </cell>
        </row>
        <row r="4923">
          <cell r="N4923" t="str">
            <v>82533</v>
          </cell>
          <cell r="O4923" t="str">
            <v>5FT</v>
          </cell>
          <cell r="P4923" t="str">
            <v>5FT82533</v>
          </cell>
          <cell r="Q4923" t="str">
            <v>51401</v>
          </cell>
        </row>
        <row r="4924">
          <cell r="N4924" t="str">
            <v>825330</v>
          </cell>
          <cell r="O4924" t="str">
            <v/>
          </cell>
          <cell r="P4924" t="str">
            <v/>
          </cell>
          <cell r="Q4924" t="str">
            <v/>
          </cell>
        </row>
        <row r="4925">
          <cell r="N4925" t="str">
            <v>825330</v>
          </cell>
          <cell r="O4925" t="str">
            <v>5FT</v>
          </cell>
          <cell r="P4925" t="str">
            <v>5FT825330</v>
          </cell>
          <cell r="Q4925" t="str">
            <v/>
          </cell>
        </row>
        <row r="4926">
          <cell r="N4926" t="str">
            <v>82534</v>
          </cell>
          <cell r="O4926" t="str">
            <v/>
          </cell>
          <cell r="P4926" t="str">
            <v/>
          </cell>
          <cell r="Q4926" t="str">
            <v>51400</v>
          </cell>
        </row>
        <row r="4927">
          <cell r="N4927" t="str">
            <v>82534</v>
          </cell>
          <cell r="O4927" t="str">
            <v>5FT</v>
          </cell>
          <cell r="P4927" t="str">
            <v>5FT82534</v>
          </cell>
          <cell r="Q4927" t="str">
            <v>51400</v>
          </cell>
        </row>
        <row r="4928">
          <cell r="N4928" t="str">
            <v>89342</v>
          </cell>
          <cell r="O4928" t="str">
            <v/>
          </cell>
          <cell r="P4928" t="str">
            <v/>
          </cell>
          <cell r="Q4928" t="str">
            <v>431111</v>
          </cell>
        </row>
        <row r="4929">
          <cell r="N4929" t="str">
            <v>89342</v>
          </cell>
          <cell r="O4929" t="str">
            <v>FR4</v>
          </cell>
          <cell r="P4929" t="str">
            <v>FR489342</v>
          </cell>
          <cell r="Q4929" t="str">
            <v>431111</v>
          </cell>
        </row>
        <row r="4930">
          <cell r="N4930" t="str">
            <v/>
          </cell>
          <cell r="O4930" t="str">
            <v/>
          </cell>
          <cell r="P4930" t="str">
            <v/>
          </cell>
          <cell r="Q4930" t="str">
            <v/>
          </cell>
        </row>
        <row r="4931">
          <cell r="N4931" t="str">
            <v/>
          </cell>
          <cell r="O4931" t="str">
            <v/>
          </cell>
          <cell r="P4931" t="str">
            <v/>
          </cell>
          <cell r="Q4931" t="str">
            <v/>
          </cell>
        </row>
        <row r="4932">
          <cell r="N4932" t="str">
            <v/>
          </cell>
          <cell r="O4932" t="str">
            <v/>
          </cell>
          <cell r="P4932" t="str">
            <v/>
          </cell>
          <cell r="Q4932" t="str">
            <v/>
          </cell>
        </row>
        <row r="4933">
          <cell r="N4933" t="str">
            <v>7183</v>
          </cell>
          <cell r="O4933" t="str">
            <v/>
          </cell>
          <cell r="P4933" t="str">
            <v/>
          </cell>
          <cell r="Q4933" t="str">
            <v>41401</v>
          </cell>
        </row>
        <row r="4934">
          <cell r="N4934" t="str">
            <v>7183</v>
          </cell>
          <cell r="O4934" t="str">
            <v>GR7</v>
          </cell>
          <cell r="P4934" t="str">
            <v>GR77183</v>
          </cell>
          <cell r="Q4934" t="str">
            <v>41401</v>
          </cell>
        </row>
        <row r="4935">
          <cell r="N4935" t="str">
            <v>825304</v>
          </cell>
          <cell r="O4935" t="str">
            <v/>
          </cell>
          <cell r="P4935" t="str">
            <v/>
          </cell>
          <cell r="Q4935" t="str">
            <v>515283</v>
          </cell>
        </row>
        <row r="4936">
          <cell r="N4936" t="str">
            <v>825304</v>
          </cell>
          <cell r="O4936" t="str">
            <v>GR8</v>
          </cell>
          <cell r="P4936" t="str">
            <v>GR8825304</v>
          </cell>
          <cell r="Q4936" t="str">
            <v>515283</v>
          </cell>
        </row>
        <row r="4937">
          <cell r="N4937" t="str">
            <v/>
          </cell>
          <cell r="O4937" t="str">
            <v/>
          </cell>
          <cell r="P4937" t="str">
            <v/>
          </cell>
          <cell r="Q4937" t="str">
            <v/>
          </cell>
        </row>
        <row r="4938">
          <cell r="N4938" t="str">
            <v>7183</v>
          </cell>
          <cell r="O4938" t="str">
            <v/>
          </cell>
          <cell r="P4938" t="str">
            <v/>
          </cell>
          <cell r="Q4938" t="str">
            <v>41401</v>
          </cell>
        </row>
        <row r="4939">
          <cell r="N4939" t="str">
            <v>7183</v>
          </cell>
          <cell r="O4939" t="str">
            <v>GR6</v>
          </cell>
          <cell r="P4939" t="str">
            <v>GR67183</v>
          </cell>
          <cell r="Q4939" t="str">
            <v>41401</v>
          </cell>
        </row>
        <row r="4940">
          <cell r="N4940" t="str">
            <v>825304</v>
          </cell>
          <cell r="O4940" t="str">
            <v/>
          </cell>
          <cell r="P4940" t="str">
            <v/>
          </cell>
          <cell r="Q4940" t="str">
            <v>515283</v>
          </cell>
        </row>
        <row r="4941">
          <cell r="N4941" t="str">
            <v>825304</v>
          </cell>
          <cell r="O4941" t="str">
            <v>GR5</v>
          </cell>
          <cell r="P4941" t="str">
            <v>GR5825304</v>
          </cell>
          <cell r="Q4941" t="str">
            <v>515283</v>
          </cell>
        </row>
        <row r="4942">
          <cell r="N4942" t="str">
            <v/>
          </cell>
          <cell r="O4942" t="str">
            <v/>
          </cell>
          <cell r="P4942" t="str">
            <v/>
          </cell>
          <cell r="Q4942" t="str">
            <v/>
          </cell>
        </row>
        <row r="4943">
          <cell r="N4943" t="str">
            <v>71991</v>
          </cell>
          <cell r="O4943" t="str">
            <v/>
          </cell>
          <cell r="P4943" t="str">
            <v/>
          </cell>
          <cell r="Q4943" t="str">
            <v>41999</v>
          </cell>
        </row>
        <row r="4944">
          <cell r="N4944" t="str">
            <v>71991</v>
          </cell>
          <cell r="O4944" t="str">
            <v>ONL</v>
          </cell>
          <cell r="P4944" t="str">
            <v>ONL71991</v>
          </cell>
          <cell r="Q4944" t="str">
            <v>41999</v>
          </cell>
        </row>
        <row r="4945">
          <cell r="N4945" t="str">
            <v>825304</v>
          </cell>
          <cell r="O4945" t="str">
            <v/>
          </cell>
          <cell r="P4945" t="str">
            <v/>
          </cell>
          <cell r="Q4945" t="str">
            <v>515283</v>
          </cell>
        </row>
        <row r="4946">
          <cell r="N4946" t="str">
            <v>825304</v>
          </cell>
          <cell r="O4946" t="str">
            <v>TIT</v>
          </cell>
          <cell r="P4946" t="str">
            <v>TIT825304</v>
          </cell>
          <cell r="Q4946" t="str">
            <v>515283</v>
          </cell>
        </row>
        <row r="4947">
          <cell r="N4947" t="str">
            <v>825309</v>
          </cell>
          <cell r="O4947" t="str">
            <v/>
          </cell>
          <cell r="P4947" t="str">
            <v/>
          </cell>
          <cell r="Q4947" t="str">
            <v>51580</v>
          </cell>
        </row>
        <row r="4948">
          <cell r="N4948" t="str">
            <v>825309</v>
          </cell>
          <cell r="O4948" t="str">
            <v>ONL</v>
          </cell>
          <cell r="P4948" t="str">
            <v>ONL825309</v>
          </cell>
          <cell r="Q4948" t="str">
            <v>51580</v>
          </cell>
        </row>
        <row r="4949">
          <cell r="N4949" t="str">
            <v/>
          </cell>
          <cell r="O4949" t="str">
            <v/>
          </cell>
          <cell r="P4949" t="str">
            <v/>
          </cell>
          <cell r="Q4949" t="str">
            <v/>
          </cell>
        </row>
        <row r="4950">
          <cell r="N4950" t="str">
            <v/>
          </cell>
          <cell r="O4950" t="str">
            <v/>
          </cell>
          <cell r="P4950" t="str">
            <v/>
          </cell>
          <cell r="Q4950" t="str">
            <v/>
          </cell>
        </row>
        <row r="4951">
          <cell r="N4951" t="str">
            <v/>
          </cell>
          <cell r="O4951" t="str">
            <v/>
          </cell>
          <cell r="P4951" t="str">
            <v/>
          </cell>
          <cell r="Q4951" t="str">
            <v/>
          </cell>
        </row>
        <row r="4952">
          <cell r="N4952" t="str">
            <v>82901</v>
          </cell>
          <cell r="O4952" t="str">
            <v/>
          </cell>
          <cell r="P4952" t="str">
            <v/>
          </cell>
          <cell r="Q4952" t="str">
            <v>51582</v>
          </cell>
        </row>
        <row r="4953">
          <cell r="N4953" t="str">
            <v>82901</v>
          </cell>
          <cell r="O4953" t="str">
            <v>ONL</v>
          </cell>
          <cell r="P4953" t="str">
            <v>ONL82901</v>
          </cell>
          <cell r="Q4953" t="str">
            <v>51582</v>
          </cell>
        </row>
        <row r="4954">
          <cell r="N4954" t="str">
            <v>82901</v>
          </cell>
          <cell r="O4954" t="str">
            <v>REG</v>
          </cell>
          <cell r="P4954" t="str">
            <v>REG82901</v>
          </cell>
          <cell r="Q4954" t="str">
            <v>51582</v>
          </cell>
        </row>
        <row r="4955">
          <cell r="N4955" t="str">
            <v/>
          </cell>
          <cell r="O4955" t="str">
            <v/>
          </cell>
          <cell r="P4955" t="str">
            <v/>
          </cell>
          <cell r="Q4955" t="str">
            <v/>
          </cell>
        </row>
        <row r="4956">
          <cell r="N4956" t="str">
            <v/>
          </cell>
          <cell r="O4956" t="str">
            <v/>
          </cell>
          <cell r="P4956" t="str">
            <v/>
          </cell>
          <cell r="Q4956" t="str">
            <v/>
          </cell>
        </row>
        <row r="4957">
          <cell r="N4957" t="str">
            <v>82901</v>
          </cell>
          <cell r="O4957" t="str">
            <v/>
          </cell>
          <cell r="P4957" t="str">
            <v/>
          </cell>
          <cell r="Q4957" t="str">
            <v>51582</v>
          </cell>
        </row>
        <row r="4958">
          <cell r="N4958" t="str">
            <v>82901</v>
          </cell>
          <cell r="O4958" t="str">
            <v>ZZZ</v>
          </cell>
          <cell r="P4958" t="str">
            <v>ZZZ82901</v>
          </cell>
          <cell r="Q4958" t="str">
            <v>51582</v>
          </cell>
        </row>
        <row r="4959">
          <cell r="N4959" t="str">
            <v/>
          </cell>
          <cell r="O4959" t="str">
            <v/>
          </cell>
          <cell r="P4959" t="str">
            <v/>
          </cell>
          <cell r="Q4959" t="str">
            <v/>
          </cell>
        </row>
        <row r="4960">
          <cell r="N4960" t="str">
            <v>SEG</v>
          </cell>
          <cell r="O4960" t="str">
            <v/>
          </cell>
          <cell r="P4960" t="str">
            <v/>
          </cell>
          <cell r="Q4960" t="str">
            <v/>
          </cell>
        </row>
        <row r="4961">
          <cell r="N4961" t="str">
            <v>SEG</v>
          </cell>
          <cell r="O4961" t="str">
            <v>SF1</v>
          </cell>
          <cell r="P4961" t="str">
            <v>SF1SEG</v>
          </cell>
          <cell r="Q4961" t="str">
            <v/>
          </cell>
        </row>
        <row r="4962">
          <cell r="N4962" t="str">
            <v>82901</v>
          </cell>
          <cell r="O4962" t="str">
            <v/>
          </cell>
          <cell r="P4962" t="str">
            <v/>
          </cell>
          <cell r="Q4962" t="str">
            <v>51582</v>
          </cell>
        </row>
        <row r="4963">
          <cell r="N4963" t="str">
            <v>82901</v>
          </cell>
          <cell r="O4963" t="str">
            <v>ZZY</v>
          </cell>
          <cell r="P4963" t="str">
            <v>ZZY82901</v>
          </cell>
          <cell r="Q4963" t="str">
            <v>51582</v>
          </cell>
        </row>
        <row r="4964">
          <cell r="N4964" t="str">
            <v/>
          </cell>
          <cell r="O4964" t="str">
            <v/>
          </cell>
          <cell r="P4964" t="str">
            <v/>
          </cell>
          <cell r="Q4964" t="str">
            <v/>
          </cell>
        </row>
        <row r="4965">
          <cell r="N4965" t="str">
            <v/>
          </cell>
          <cell r="O4965" t="str">
            <v/>
          </cell>
          <cell r="P4965" t="str">
            <v/>
          </cell>
          <cell r="Q4965" t="str">
            <v/>
          </cell>
        </row>
        <row r="4966">
          <cell r="N4966" t="str">
            <v>82901</v>
          </cell>
          <cell r="O4966" t="str">
            <v/>
          </cell>
          <cell r="P4966" t="str">
            <v/>
          </cell>
          <cell r="Q4966" t="str">
            <v>51582</v>
          </cell>
        </row>
        <row r="4967">
          <cell r="N4967" t="str">
            <v>82901</v>
          </cell>
          <cell r="O4967" t="str">
            <v>ZZW</v>
          </cell>
          <cell r="P4967" t="str">
            <v>ZZW82901</v>
          </cell>
          <cell r="Q4967" t="str">
            <v>51582</v>
          </cell>
        </row>
        <row r="4968">
          <cell r="N4968" t="str">
            <v/>
          </cell>
          <cell r="O4968" t="str">
            <v/>
          </cell>
          <cell r="P4968" t="str">
            <v/>
          </cell>
          <cell r="Q4968" t="str">
            <v/>
          </cell>
        </row>
        <row r="4969">
          <cell r="N4969" t="str">
            <v>SEG</v>
          </cell>
          <cell r="O4969" t="str">
            <v/>
          </cell>
          <cell r="P4969" t="str">
            <v/>
          </cell>
          <cell r="Q4969" t="str">
            <v/>
          </cell>
        </row>
        <row r="4970">
          <cell r="N4970" t="str">
            <v>SEG</v>
          </cell>
          <cell r="O4970" t="str">
            <v>SF2</v>
          </cell>
          <cell r="P4970" t="str">
            <v>SF2SEG</v>
          </cell>
          <cell r="Q4970" t="str">
            <v/>
          </cell>
        </row>
        <row r="4971">
          <cell r="N4971" t="str">
            <v/>
          </cell>
          <cell r="O4971" t="str">
            <v/>
          </cell>
          <cell r="P4971" t="str">
            <v/>
          </cell>
          <cell r="Q4971" t="str">
            <v/>
          </cell>
        </row>
        <row r="4972">
          <cell r="N4972" t="str">
            <v>SEG</v>
          </cell>
          <cell r="O4972" t="str">
            <v/>
          </cell>
          <cell r="P4972" t="str">
            <v/>
          </cell>
          <cell r="Q4972" t="str">
            <v/>
          </cell>
        </row>
        <row r="4973">
          <cell r="N4973" t="str">
            <v>SEG</v>
          </cell>
          <cell r="O4973" t="str">
            <v>SU7</v>
          </cell>
          <cell r="P4973" t="str">
            <v>SU7SEG</v>
          </cell>
          <cell r="Q4973" t="str">
            <v/>
          </cell>
        </row>
        <row r="4974">
          <cell r="N4974" t="str">
            <v>SEG</v>
          </cell>
          <cell r="O4974" t="str">
            <v>S34</v>
          </cell>
          <cell r="P4974" t="str">
            <v>S34SEG</v>
          </cell>
          <cell r="Q4974" t="str">
            <v/>
          </cell>
        </row>
        <row r="4975">
          <cell r="N4975" t="str">
            <v>SEG</v>
          </cell>
          <cell r="O4975" t="str">
            <v>S35</v>
          </cell>
          <cell r="P4975" t="str">
            <v>S35SEG</v>
          </cell>
          <cell r="Q4975" t="str">
            <v/>
          </cell>
        </row>
        <row r="4976">
          <cell r="N4976" t="str">
            <v>SEG</v>
          </cell>
          <cell r="O4976" t="str">
            <v>S38</v>
          </cell>
          <cell r="P4976" t="str">
            <v>S38SEG</v>
          </cell>
          <cell r="Q4976" t="str">
            <v/>
          </cell>
        </row>
        <row r="4977">
          <cell r="N4977" t="str">
            <v>SEG</v>
          </cell>
          <cell r="O4977" t="str">
            <v>S39</v>
          </cell>
          <cell r="P4977" t="str">
            <v>S39SEG</v>
          </cell>
          <cell r="Q4977" t="str">
            <v/>
          </cell>
        </row>
        <row r="4978">
          <cell r="N4978" t="str">
            <v>SEG</v>
          </cell>
          <cell r="O4978" t="str">
            <v>S40</v>
          </cell>
          <cell r="P4978" t="str">
            <v>S40SEG</v>
          </cell>
          <cell r="Q4978" t="str">
            <v/>
          </cell>
        </row>
        <row r="4979">
          <cell r="N4979" t="str">
            <v>SEG</v>
          </cell>
          <cell r="O4979" t="str">
            <v>S41</v>
          </cell>
          <cell r="P4979" t="str">
            <v>S41SEG</v>
          </cell>
          <cell r="Q4979" t="str">
            <v/>
          </cell>
        </row>
        <row r="4980">
          <cell r="N4980" t="str">
            <v>SEG</v>
          </cell>
          <cell r="O4980" t="str">
            <v>S42</v>
          </cell>
          <cell r="P4980" t="str">
            <v>S42SEG</v>
          </cell>
          <cell r="Q4980" t="str">
            <v/>
          </cell>
        </row>
        <row r="4981">
          <cell r="N4981" t="str">
            <v>SEG</v>
          </cell>
          <cell r="O4981" t="str">
            <v>S43</v>
          </cell>
          <cell r="P4981" t="str">
            <v>S43SEG</v>
          </cell>
          <cell r="Q4981" t="str">
            <v/>
          </cell>
        </row>
        <row r="4982">
          <cell r="N4982" t="str">
            <v>SEG</v>
          </cell>
          <cell r="O4982" t="str">
            <v>S44</v>
          </cell>
          <cell r="P4982" t="str">
            <v>S44SEG</v>
          </cell>
          <cell r="Q4982" t="str">
            <v/>
          </cell>
        </row>
        <row r="4983">
          <cell r="N4983" t="str">
            <v>SEG</v>
          </cell>
          <cell r="O4983" t="str">
            <v>S45</v>
          </cell>
          <cell r="P4983" t="str">
            <v>S45SEG</v>
          </cell>
          <cell r="Q4983" t="str">
            <v/>
          </cell>
        </row>
        <row r="4984">
          <cell r="N4984" t="str">
            <v>SEG</v>
          </cell>
          <cell r="O4984" t="str">
            <v>S46</v>
          </cell>
          <cell r="P4984" t="str">
            <v>S46SEG</v>
          </cell>
          <cell r="Q4984" t="str">
            <v/>
          </cell>
        </row>
        <row r="4985">
          <cell r="N4985" t="str">
            <v>SEG</v>
          </cell>
          <cell r="O4985" t="str">
            <v>S47</v>
          </cell>
          <cell r="P4985" t="str">
            <v>S47SEG</v>
          </cell>
          <cell r="Q4985" t="str">
            <v/>
          </cell>
        </row>
        <row r="4986">
          <cell r="N4986" t="str">
            <v>SEG</v>
          </cell>
          <cell r="O4986" t="str">
            <v>S48</v>
          </cell>
          <cell r="P4986" t="str">
            <v>S48SEG</v>
          </cell>
          <cell r="Q4986" t="str">
            <v/>
          </cell>
        </row>
        <row r="4987">
          <cell r="N4987" t="str">
            <v>SEG</v>
          </cell>
          <cell r="O4987" t="str">
            <v>S49</v>
          </cell>
          <cell r="P4987" t="str">
            <v>S49SEG</v>
          </cell>
          <cell r="Q4987" t="str">
            <v/>
          </cell>
        </row>
        <row r="4988">
          <cell r="N4988" t="str">
            <v>SEG</v>
          </cell>
          <cell r="O4988" t="str">
            <v>S50</v>
          </cell>
          <cell r="P4988" t="str">
            <v>S50SEG</v>
          </cell>
          <cell r="Q4988" t="str">
            <v/>
          </cell>
        </row>
        <row r="4989">
          <cell r="N4989" t="str">
            <v>SEG</v>
          </cell>
          <cell r="O4989" t="str">
            <v>S51</v>
          </cell>
          <cell r="P4989" t="str">
            <v>S51SEG</v>
          </cell>
          <cell r="Q4989" t="str">
            <v/>
          </cell>
        </row>
        <row r="4990">
          <cell r="N4990" t="str">
            <v>SEG</v>
          </cell>
          <cell r="O4990" t="str">
            <v>S52</v>
          </cell>
          <cell r="P4990" t="str">
            <v>S52SEG</v>
          </cell>
          <cell r="Q4990" t="str">
            <v/>
          </cell>
        </row>
        <row r="4991">
          <cell r="N4991" t="str">
            <v>SEG</v>
          </cell>
          <cell r="O4991" t="str">
            <v>S53</v>
          </cell>
          <cell r="P4991" t="str">
            <v>S53SEG</v>
          </cell>
          <cell r="Q4991" t="str">
            <v/>
          </cell>
        </row>
        <row r="4992">
          <cell r="N4992" t="str">
            <v>SEG</v>
          </cell>
          <cell r="O4992" t="str">
            <v>S54</v>
          </cell>
          <cell r="P4992" t="str">
            <v>S54SEG</v>
          </cell>
          <cell r="Q4992" t="str">
            <v/>
          </cell>
        </row>
        <row r="4993">
          <cell r="N4993" t="str">
            <v>SEG</v>
          </cell>
          <cell r="O4993" t="str">
            <v>S55</v>
          </cell>
          <cell r="P4993" t="str">
            <v>S55SEG</v>
          </cell>
          <cell r="Q4993" t="str">
            <v/>
          </cell>
        </row>
        <row r="4994">
          <cell r="N4994" t="str">
            <v>SEG</v>
          </cell>
          <cell r="O4994" t="str">
            <v>S56</v>
          </cell>
          <cell r="P4994" t="str">
            <v>S56SEG</v>
          </cell>
          <cell r="Q4994" t="str">
            <v/>
          </cell>
        </row>
        <row r="4995">
          <cell r="N4995" t="str">
            <v>SEG</v>
          </cell>
          <cell r="O4995" t="str">
            <v>S57</v>
          </cell>
          <cell r="P4995" t="str">
            <v>S57SEG</v>
          </cell>
          <cell r="Q4995" t="str">
            <v/>
          </cell>
        </row>
        <row r="4996">
          <cell r="N4996" t="str">
            <v>SEG</v>
          </cell>
          <cell r="O4996" t="str">
            <v>S58</v>
          </cell>
          <cell r="P4996" t="str">
            <v>S58SEG</v>
          </cell>
          <cell r="Q4996" t="str">
            <v/>
          </cell>
        </row>
        <row r="4997">
          <cell r="N4997" t="str">
            <v>SEG</v>
          </cell>
          <cell r="O4997" t="str">
            <v>S59</v>
          </cell>
          <cell r="P4997" t="str">
            <v>S59SEG</v>
          </cell>
          <cell r="Q4997" t="str">
            <v/>
          </cell>
        </row>
        <row r="4998">
          <cell r="N4998" t="str">
            <v>SEG</v>
          </cell>
          <cell r="O4998" t="str">
            <v>S60</v>
          </cell>
          <cell r="P4998" t="str">
            <v>S60SEG</v>
          </cell>
          <cell r="Q4998" t="str">
            <v/>
          </cell>
        </row>
        <row r="4999">
          <cell r="N4999" t="str">
            <v>SEG</v>
          </cell>
          <cell r="O4999" t="str">
            <v>S61</v>
          </cell>
          <cell r="P4999" t="str">
            <v>S61SEG</v>
          </cell>
          <cell r="Q4999" t="str">
            <v/>
          </cell>
        </row>
        <row r="5000">
          <cell r="N5000" t="str">
            <v>SEG</v>
          </cell>
          <cell r="O5000" t="str">
            <v>S62</v>
          </cell>
          <cell r="P5000" t="str">
            <v>S62SEG</v>
          </cell>
          <cell r="Q5000" t="str">
            <v/>
          </cell>
        </row>
        <row r="5001">
          <cell r="N5001" t="str">
            <v>SEG</v>
          </cell>
          <cell r="O5001" t="str">
            <v>S63</v>
          </cell>
          <cell r="P5001" t="str">
            <v>S63SEG</v>
          </cell>
          <cell r="Q5001" t="str">
            <v/>
          </cell>
        </row>
        <row r="5002">
          <cell r="N5002" t="str">
            <v>SEG</v>
          </cell>
          <cell r="O5002" t="str">
            <v>S64</v>
          </cell>
          <cell r="P5002" t="str">
            <v>S64SEG</v>
          </cell>
          <cell r="Q5002" t="str">
            <v/>
          </cell>
        </row>
        <row r="5003">
          <cell r="N5003" t="str">
            <v>SEG</v>
          </cell>
          <cell r="O5003" t="str">
            <v>S65</v>
          </cell>
          <cell r="P5003" t="str">
            <v>S65SEG</v>
          </cell>
          <cell r="Q5003" t="str">
            <v/>
          </cell>
        </row>
        <row r="5004">
          <cell r="N5004" t="str">
            <v>SEG</v>
          </cell>
          <cell r="O5004" t="str">
            <v>S66</v>
          </cell>
          <cell r="P5004" t="str">
            <v>S66SEG</v>
          </cell>
          <cell r="Q5004" t="str">
            <v/>
          </cell>
        </row>
        <row r="5005">
          <cell r="N5005" t="str">
            <v>SEG</v>
          </cell>
          <cell r="O5005" t="str">
            <v>S67</v>
          </cell>
          <cell r="P5005" t="str">
            <v>S67SEG</v>
          </cell>
          <cell r="Q5005" t="str">
            <v/>
          </cell>
        </row>
        <row r="5006">
          <cell r="N5006" t="str">
            <v>SEG</v>
          </cell>
          <cell r="O5006" t="str">
            <v>S68</v>
          </cell>
          <cell r="P5006" t="str">
            <v>S68SEG</v>
          </cell>
          <cell r="Q5006" t="str">
            <v/>
          </cell>
        </row>
        <row r="5007">
          <cell r="N5007" t="str">
            <v>SEG</v>
          </cell>
          <cell r="O5007" t="str">
            <v>S69</v>
          </cell>
          <cell r="P5007" t="str">
            <v>S69SEG</v>
          </cell>
          <cell r="Q5007" t="str">
            <v/>
          </cell>
        </row>
        <row r="5008">
          <cell r="N5008" t="str">
            <v>SEG</v>
          </cell>
          <cell r="O5008" t="str">
            <v>S70</v>
          </cell>
          <cell r="P5008" t="str">
            <v>S70SEG</v>
          </cell>
          <cell r="Q5008" t="str">
            <v/>
          </cell>
        </row>
        <row r="5009">
          <cell r="N5009" t="str">
            <v/>
          </cell>
          <cell r="O5009" t="str">
            <v/>
          </cell>
          <cell r="P5009" t="str">
            <v/>
          </cell>
          <cell r="Q5009" t="str">
            <v/>
          </cell>
        </row>
        <row r="5010">
          <cell r="N5010" t="str">
            <v>82536</v>
          </cell>
          <cell r="O5010" t="str">
            <v/>
          </cell>
          <cell r="P5010" t="str">
            <v/>
          </cell>
          <cell r="Q5010" t="str">
            <v>51582</v>
          </cell>
        </row>
        <row r="5011">
          <cell r="N5011" t="str">
            <v>82536</v>
          </cell>
          <cell r="O5011" t="str">
            <v>FKK</v>
          </cell>
          <cell r="P5011" t="str">
            <v>FKK82536</v>
          </cell>
          <cell r="Q5011" t="str">
            <v>51582</v>
          </cell>
        </row>
        <row r="5012">
          <cell r="N5012" t="str">
            <v>82536</v>
          </cell>
          <cell r="O5012" t="str">
            <v>F5J</v>
          </cell>
          <cell r="P5012" t="str">
            <v>F5J82536</v>
          </cell>
          <cell r="Q5012" t="str">
            <v>51582</v>
          </cell>
        </row>
        <row r="5013">
          <cell r="N5013" t="str">
            <v>82536</v>
          </cell>
          <cell r="O5013" t="str">
            <v>F5K</v>
          </cell>
          <cell r="P5013" t="str">
            <v>F5K82536</v>
          </cell>
          <cell r="Q5013" t="str">
            <v>51582</v>
          </cell>
        </row>
        <row r="5014">
          <cell r="N5014" t="str">
            <v>82536</v>
          </cell>
          <cell r="O5014" t="str">
            <v>ONL</v>
          </cell>
          <cell r="P5014" t="str">
            <v>ONL82536</v>
          </cell>
          <cell r="Q5014" t="str">
            <v>51582</v>
          </cell>
        </row>
        <row r="5015">
          <cell r="N5015" t="str">
            <v>82536</v>
          </cell>
          <cell r="O5015" t="str">
            <v>TIT</v>
          </cell>
          <cell r="P5015" t="str">
            <v>TIT82536</v>
          </cell>
          <cell r="Q5015" t="str">
            <v>51582</v>
          </cell>
        </row>
        <row r="5016">
          <cell r="N5016" t="str">
            <v>82536</v>
          </cell>
          <cell r="O5016" t="str">
            <v>5FT</v>
          </cell>
          <cell r="P5016" t="str">
            <v>5FT82536</v>
          </cell>
          <cell r="Q5016" t="str">
            <v>51582</v>
          </cell>
        </row>
        <row r="5017">
          <cell r="N5017" t="str">
            <v/>
          </cell>
          <cell r="O5017" t="str">
            <v/>
          </cell>
          <cell r="P5017" t="str">
            <v/>
          </cell>
          <cell r="Q5017" t="str">
            <v/>
          </cell>
        </row>
        <row r="5018">
          <cell r="N5018" t="str">
            <v>SEG</v>
          </cell>
          <cell r="O5018" t="str">
            <v/>
          </cell>
          <cell r="P5018" t="str">
            <v/>
          </cell>
          <cell r="Q5018" t="str">
            <v/>
          </cell>
        </row>
        <row r="5019">
          <cell r="N5019" t="str">
            <v>SEG</v>
          </cell>
          <cell r="O5019" t="str">
            <v>S36</v>
          </cell>
          <cell r="P5019" t="str">
            <v>S36SEG</v>
          </cell>
          <cell r="Q5019" t="str">
            <v/>
          </cell>
        </row>
        <row r="5020">
          <cell r="N5020" t="str">
            <v>SEG</v>
          </cell>
          <cell r="O5020" t="str">
            <v>S37</v>
          </cell>
          <cell r="P5020" t="str">
            <v>S37SEG</v>
          </cell>
          <cell r="Q5020" t="str">
            <v/>
          </cell>
        </row>
        <row r="5021">
          <cell r="N5021" t="str">
            <v/>
          </cell>
          <cell r="O5021" t="str">
            <v/>
          </cell>
          <cell r="P5021" t="str">
            <v/>
          </cell>
          <cell r="Q5021" t="str">
            <v/>
          </cell>
        </row>
        <row r="5022">
          <cell r="N5022" t="str">
            <v/>
          </cell>
          <cell r="O5022" t="str">
            <v/>
          </cell>
          <cell r="P5022" t="str">
            <v/>
          </cell>
          <cell r="Q5022" t="str">
            <v/>
          </cell>
        </row>
        <row r="5023">
          <cell r="N5023" t="str">
            <v/>
          </cell>
          <cell r="O5023" t="str">
            <v/>
          </cell>
          <cell r="P5023" t="str">
            <v/>
          </cell>
          <cell r="Q5023" t="str">
            <v/>
          </cell>
        </row>
        <row r="5024">
          <cell r="N5024" t="str">
            <v>7190621</v>
          </cell>
          <cell r="O5024" t="str">
            <v/>
          </cell>
          <cell r="P5024" t="str">
            <v/>
          </cell>
          <cell r="Q5024" t="str">
            <v>4198</v>
          </cell>
        </row>
        <row r="5025">
          <cell r="N5025" t="str">
            <v>7190621</v>
          </cell>
          <cell r="O5025" t="str">
            <v>Y8L</v>
          </cell>
          <cell r="P5025" t="str">
            <v>Y8L7190621</v>
          </cell>
          <cell r="Q5025" t="str">
            <v>4198</v>
          </cell>
        </row>
        <row r="5026">
          <cell r="N5026" t="str">
            <v>7799</v>
          </cell>
          <cell r="O5026" t="str">
            <v/>
          </cell>
          <cell r="P5026" t="str">
            <v/>
          </cell>
          <cell r="Q5026" t="str">
            <v/>
          </cell>
        </row>
        <row r="5027">
          <cell r="N5027" t="str">
            <v>7799</v>
          </cell>
          <cell r="O5027" t="str">
            <v>HAC</v>
          </cell>
          <cell r="P5027" t="str">
            <v>HAC7799</v>
          </cell>
          <cell r="Q5027" t="str">
            <v/>
          </cell>
        </row>
        <row r="5028">
          <cell r="N5028" t="str">
            <v>779900</v>
          </cell>
          <cell r="O5028" t="str">
            <v/>
          </cell>
          <cell r="P5028" t="str">
            <v/>
          </cell>
          <cell r="Q5028" t="str">
            <v>450880910</v>
          </cell>
        </row>
        <row r="5029">
          <cell r="N5029" t="str">
            <v>779900</v>
          </cell>
          <cell r="O5029" t="str">
            <v>HAC</v>
          </cell>
          <cell r="P5029" t="str">
            <v>HAC779900</v>
          </cell>
          <cell r="Q5029" t="str">
            <v>450880910</v>
          </cell>
        </row>
        <row r="5030">
          <cell r="N5030" t="str">
            <v>8259180</v>
          </cell>
          <cell r="O5030" t="str">
            <v/>
          </cell>
          <cell r="P5030" t="str">
            <v/>
          </cell>
          <cell r="Q5030" t="str">
            <v>501530470</v>
          </cell>
        </row>
        <row r="5031">
          <cell r="N5031" t="str">
            <v>8259180</v>
          </cell>
          <cell r="O5031" t="str">
            <v>ONL</v>
          </cell>
          <cell r="P5031" t="str">
            <v>ONL8259180</v>
          </cell>
          <cell r="Q5031" t="str">
            <v>501530470</v>
          </cell>
        </row>
        <row r="5032">
          <cell r="N5032" t="str">
            <v>8290</v>
          </cell>
          <cell r="O5032" t="str">
            <v/>
          </cell>
          <cell r="P5032" t="str">
            <v/>
          </cell>
          <cell r="Q5032" t="str">
            <v/>
          </cell>
        </row>
        <row r="5033">
          <cell r="N5033" t="str">
            <v>8290</v>
          </cell>
          <cell r="O5033" t="str">
            <v>LRA</v>
          </cell>
          <cell r="P5033" t="str">
            <v>LRA8290</v>
          </cell>
          <cell r="Q5033" t="str">
            <v/>
          </cell>
        </row>
        <row r="5034">
          <cell r="N5034" t="str">
            <v>8290</v>
          </cell>
          <cell r="O5034" t="str">
            <v>ONL</v>
          </cell>
          <cell r="P5034" t="str">
            <v>ONL8290</v>
          </cell>
          <cell r="Q5034" t="str">
            <v/>
          </cell>
        </row>
        <row r="5035">
          <cell r="N5035" t="str">
            <v>8290</v>
          </cell>
          <cell r="O5035" t="str">
            <v>TRP</v>
          </cell>
          <cell r="P5035" t="str">
            <v>TRP8290</v>
          </cell>
          <cell r="Q5035" t="str">
            <v/>
          </cell>
        </row>
        <row r="5036">
          <cell r="N5036" t="str">
            <v>82900</v>
          </cell>
          <cell r="O5036" t="str">
            <v/>
          </cell>
          <cell r="P5036" t="str">
            <v/>
          </cell>
          <cell r="Q5036" t="str">
            <v/>
          </cell>
        </row>
        <row r="5037">
          <cell r="N5037" t="str">
            <v>82900</v>
          </cell>
          <cell r="O5037" t="str">
            <v>LRA</v>
          </cell>
          <cell r="P5037" t="str">
            <v>LRA82900</v>
          </cell>
          <cell r="Q5037" t="str">
            <v/>
          </cell>
        </row>
        <row r="5038">
          <cell r="N5038" t="str">
            <v>82900</v>
          </cell>
          <cell r="O5038" t="str">
            <v>ONL</v>
          </cell>
          <cell r="P5038" t="str">
            <v>ONL82900</v>
          </cell>
          <cell r="Q5038" t="str">
            <v/>
          </cell>
        </row>
        <row r="5039">
          <cell r="N5039" t="str">
            <v>82900</v>
          </cell>
          <cell r="O5039" t="str">
            <v>REG</v>
          </cell>
          <cell r="P5039" t="str">
            <v>REG82900</v>
          </cell>
          <cell r="Q5039" t="str">
            <v/>
          </cell>
        </row>
        <row r="5040">
          <cell r="N5040" t="str">
            <v>82900</v>
          </cell>
          <cell r="O5040" t="str">
            <v>TRP</v>
          </cell>
          <cell r="P5040" t="str">
            <v>TRP82900</v>
          </cell>
          <cell r="Q5040" t="str">
            <v/>
          </cell>
        </row>
        <row r="5041">
          <cell r="N5041" t="str">
            <v>829000</v>
          </cell>
          <cell r="O5041" t="str">
            <v/>
          </cell>
          <cell r="P5041" t="str">
            <v/>
          </cell>
          <cell r="Q5041" t="str">
            <v>51582</v>
          </cell>
        </row>
        <row r="5042">
          <cell r="N5042" t="str">
            <v>829000</v>
          </cell>
          <cell r="O5042" t="str">
            <v>ONL</v>
          </cell>
          <cell r="P5042" t="str">
            <v>ONL829000</v>
          </cell>
          <cell r="Q5042" t="str">
            <v>51582</v>
          </cell>
        </row>
        <row r="5043">
          <cell r="N5043" t="str">
            <v>829001</v>
          </cell>
          <cell r="O5043" t="str">
            <v/>
          </cell>
          <cell r="P5043" t="str">
            <v/>
          </cell>
          <cell r="Q5043" t="str">
            <v>51582</v>
          </cell>
        </row>
        <row r="5044">
          <cell r="N5044" t="str">
            <v>829001</v>
          </cell>
          <cell r="O5044" t="str">
            <v>ONL</v>
          </cell>
          <cell r="P5044" t="str">
            <v>ONL829001</v>
          </cell>
          <cell r="Q5044" t="str">
            <v>51582</v>
          </cell>
        </row>
        <row r="5045">
          <cell r="N5045" t="str">
            <v>829002</v>
          </cell>
          <cell r="O5045" t="str">
            <v/>
          </cell>
          <cell r="P5045" t="str">
            <v/>
          </cell>
          <cell r="Q5045" t="str">
            <v>51582</v>
          </cell>
        </row>
        <row r="5046">
          <cell r="N5046" t="str">
            <v>829002</v>
          </cell>
          <cell r="O5046" t="str">
            <v>ONL</v>
          </cell>
          <cell r="P5046" t="str">
            <v>ONL829002</v>
          </cell>
          <cell r="Q5046" t="str">
            <v>51582</v>
          </cell>
        </row>
        <row r="5047">
          <cell r="N5047" t="str">
            <v>829002</v>
          </cell>
          <cell r="O5047" t="str">
            <v>TRP</v>
          </cell>
          <cell r="P5047" t="str">
            <v>TRP829002</v>
          </cell>
          <cell r="Q5047" t="str">
            <v>51582</v>
          </cell>
        </row>
        <row r="5048">
          <cell r="N5048" t="str">
            <v>829003</v>
          </cell>
          <cell r="O5048" t="str">
            <v/>
          </cell>
          <cell r="P5048" t="str">
            <v/>
          </cell>
          <cell r="Q5048" t="str">
            <v>51582</v>
          </cell>
        </row>
        <row r="5049">
          <cell r="N5049" t="str">
            <v>829003</v>
          </cell>
          <cell r="O5049" t="str">
            <v>ONL</v>
          </cell>
          <cell r="P5049" t="str">
            <v>ONL829003</v>
          </cell>
          <cell r="Q5049" t="str">
            <v>51582</v>
          </cell>
        </row>
        <row r="5050">
          <cell r="N5050" t="str">
            <v>829004</v>
          </cell>
          <cell r="O5050" t="str">
            <v/>
          </cell>
          <cell r="P5050" t="str">
            <v/>
          </cell>
          <cell r="Q5050" t="str">
            <v>51582</v>
          </cell>
        </row>
        <row r="5051">
          <cell r="N5051" t="str">
            <v>829004</v>
          </cell>
          <cell r="O5051" t="str">
            <v>ONL</v>
          </cell>
          <cell r="P5051" t="str">
            <v>ONL829004</v>
          </cell>
          <cell r="Q5051" t="str">
            <v>51582</v>
          </cell>
        </row>
        <row r="5052">
          <cell r="N5052" t="str">
            <v>82902</v>
          </cell>
          <cell r="O5052" t="str">
            <v/>
          </cell>
          <cell r="P5052" t="str">
            <v/>
          </cell>
          <cell r="Q5052" t="str">
            <v>51582</v>
          </cell>
        </row>
        <row r="5053">
          <cell r="N5053" t="str">
            <v>82902</v>
          </cell>
          <cell r="O5053" t="str">
            <v>LRA</v>
          </cell>
          <cell r="P5053" t="str">
            <v>LRA82902</v>
          </cell>
          <cell r="Q5053" t="str">
            <v>51582</v>
          </cell>
        </row>
        <row r="5054">
          <cell r="N5054" t="str">
            <v>82902</v>
          </cell>
          <cell r="O5054" t="str">
            <v>L01</v>
          </cell>
          <cell r="P5054" t="str">
            <v>L0182902</v>
          </cell>
          <cell r="Q5054" t="str">
            <v>51582</v>
          </cell>
        </row>
        <row r="5055">
          <cell r="N5055" t="str">
            <v>82902</v>
          </cell>
          <cell r="O5055" t="str">
            <v>ONL</v>
          </cell>
          <cell r="P5055" t="str">
            <v>ONL82902</v>
          </cell>
          <cell r="Q5055" t="str">
            <v>51582</v>
          </cell>
        </row>
        <row r="5056">
          <cell r="N5056" t="str">
            <v/>
          </cell>
          <cell r="O5056" t="str">
            <v/>
          </cell>
          <cell r="P5056" t="str">
            <v/>
          </cell>
          <cell r="Q5056" t="str">
            <v/>
          </cell>
        </row>
        <row r="5057">
          <cell r="N5057" t="str">
            <v/>
          </cell>
          <cell r="O5057" t="str">
            <v/>
          </cell>
          <cell r="P5057" t="str">
            <v/>
          </cell>
          <cell r="Q5057" t="str">
            <v/>
          </cell>
        </row>
        <row r="5058">
          <cell r="N5058" t="str">
            <v>719401</v>
          </cell>
          <cell r="O5058" t="str">
            <v/>
          </cell>
          <cell r="P5058" t="str">
            <v/>
          </cell>
          <cell r="Q5058" t="str">
            <v>4198</v>
          </cell>
        </row>
        <row r="5059">
          <cell r="N5059" t="str">
            <v>719401</v>
          </cell>
          <cell r="O5059" t="str">
            <v>ONL</v>
          </cell>
          <cell r="P5059" t="str">
            <v>ONL719401</v>
          </cell>
          <cell r="Q5059" t="str">
            <v>4198</v>
          </cell>
        </row>
        <row r="5060">
          <cell r="N5060" t="str">
            <v/>
          </cell>
          <cell r="O5060" t="str">
            <v/>
          </cell>
          <cell r="P5060" t="str">
            <v/>
          </cell>
          <cell r="Q5060" t="str">
            <v/>
          </cell>
        </row>
        <row r="5061">
          <cell r="N5061" t="str">
            <v>719404</v>
          </cell>
          <cell r="O5061" t="str">
            <v/>
          </cell>
          <cell r="P5061" t="str">
            <v/>
          </cell>
          <cell r="Q5061" t="str">
            <v>4198</v>
          </cell>
        </row>
        <row r="5062">
          <cell r="N5062" t="str">
            <v>719404</v>
          </cell>
          <cell r="O5062" t="str">
            <v>ONL</v>
          </cell>
          <cell r="P5062" t="str">
            <v>ONL719404</v>
          </cell>
          <cell r="Q5062" t="str">
            <v>4198</v>
          </cell>
        </row>
        <row r="5063">
          <cell r="N5063" t="str">
            <v/>
          </cell>
          <cell r="O5063" t="str">
            <v/>
          </cell>
          <cell r="P5063" t="str">
            <v/>
          </cell>
          <cell r="Q5063" t="str">
            <v/>
          </cell>
        </row>
        <row r="5064">
          <cell r="N5064" t="str">
            <v>7190620</v>
          </cell>
          <cell r="O5064" t="str">
            <v/>
          </cell>
          <cell r="P5064" t="str">
            <v/>
          </cell>
          <cell r="Q5064" t="str">
            <v>4198</v>
          </cell>
        </row>
        <row r="5065">
          <cell r="N5065" t="str">
            <v>7190620</v>
          </cell>
          <cell r="O5065" t="str">
            <v>L01</v>
          </cell>
          <cell r="P5065" t="str">
            <v>L017190620</v>
          </cell>
          <cell r="Q5065" t="str">
            <v>4198</v>
          </cell>
        </row>
        <row r="5066">
          <cell r="N5066" t="str">
            <v>7190620</v>
          </cell>
          <cell r="O5066" t="str">
            <v>ONL</v>
          </cell>
          <cell r="P5066" t="str">
            <v>ONL7190620</v>
          </cell>
          <cell r="Q5066" t="str">
            <v>4198</v>
          </cell>
        </row>
        <row r="5067">
          <cell r="N5067" t="str">
            <v/>
          </cell>
          <cell r="O5067" t="str">
            <v/>
          </cell>
          <cell r="P5067" t="str">
            <v/>
          </cell>
          <cell r="Q5067" t="str">
            <v/>
          </cell>
        </row>
        <row r="5068">
          <cell r="N5068" t="str">
            <v/>
          </cell>
          <cell r="O5068" t="str">
            <v/>
          </cell>
          <cell r="P5068" t="str">
            <v/>
          </cell>
          <cell r="Q5068" t="str">
            <v/>
          </cell>
        </row>
        <row r="5069">
          <cell r="N5069" t="str">
            <v/>
          </cell>
          <cell r="O5069" t="str">
            <v/>
          </cell>
          <cell r="P5069" t="str">
            <v/>
          </cell>
          <cell r="Q5069" t="str">
            <v/>
          </cell>
        </row>
        <row r="5070">
          <cell r="N5070" t="str">
            <v>SEG</v>
          </cell>
          <cell r="O5070" t="str">
            <v/>
          </cell>
          <cell r="P5070" t="str">
            <v/>
          </cell>
          <cell r="Q5070" t="str">
            <v/>
          </cell>
        </row>
        <row r="5071">
          <cell r="N5071" t="str">
            <v>SEG</v>
          </cell>
          <cell r="O5071" t="str">
            <v>P67</v>
          </cell>
          <cell r="P5071" t="str">
            <v>P67SEG</v>
          </cell>
          <cell r="Q5071" t="str">
            <v/>
          </cell>
        </row>
        <row r="5072">
          <cell r="N5072" t="str">
            <v>SEG</v>
          </cell>
          <cell r="O5072" t="str">
            <v>P68</v>
          </cell>
          <cell r="P5072" t="str">
            <v>P68SEG</v>
          </cell>
          <cell r="Q5072" t="str">
            <v/>
          </cell>
        </row>
        <row r="5073">
          <cell r="N5073" t="str">
            <v>SEG</v>
          </cell>
          <cell r="O5073" t="str">
            <v>P69</v>
          </cell>
          <cell r="P5073" t="str">
            <v>P69SEG</v>
          </cell>
          <cell r="Q5073" t="str">
            <v/>
          </cell>
        </row>
        <row r="5074">
          <cell r="N5074" t="str">
            <v>SEG</v>
          </cell>
          <cell r="O5074" t="str">
            <v>P70</v>
          </cell>
          <cell r="P5074" t="str">
            <v>P70SEG</v>
          </cell>
          <cell r="Q5074" t="str">
            <v/>
          </cell>
        </row>
        <row r="5075">
          <cell r="N5075" t="str">
            <v>SEG</v>
          </cell>
          <cell r="O5075" t="str">
            <v>P71</v>
          </cell>
          <cell r="P5075" t="str">
            <v>P71SEG</v>
          </cell>
          <cell r="Q5075" t="str">
            <v/>
          </cell>
        </row>
        <row r="5076">
          <cell r="N5076" t="str">
            <v>SEG</v>
          </cell>
          <cell r="O5076" t="str">
            <v>P72</v>
          </cell>
          <cell r="P5076" t="str">
            <v>P72SEG</v>
          </cell>
          <cell r="Q5076" t="str">
            <v/>
          </cell>
        </row>
        <row r="5077">
          <cell r="N5077" t="str">
            <v>SEG</v>
          </cell>
          <cell r="O5077" t="str">
            <v>P73</v>
          </cell>
          <cell r="P5077" t="str">
            <v>P73SEG</v>
          </cell>
          <cell r="Q5077" t="str">
            <v/>
          </cell>
        </row>
        <row r="5078">
          <cell r="N5078" t="str">
            <v>SEG</v>
          </cell>
          <cell r="O5078" t="str">
            <v>P74</v>
          </cell>
          <cell r="P5078" t="str">
            <v>P74SEG</v>
          </cell>
          <cell r="Q5078" t="str">
            <v/>
          </cell>
        </row>
        <row r="5079">
          <cell r="N5079" t="str">
            <v>SEG</v>
          </cell>
          <cell r="O5079" t="str">
            <v>P75</v>
          </cell>
          <cell r="P5079" t="str">
            <v>P75SEG</v>
          </cell>
          <cell r="Q5079" t="str">
            <v/>
          </cell>
        </row>
        <row r="5080">
          <cell r="N5080" t="str">
            <v>SEG</v>
          </cell>
          <cell r="O5080" t="str">
            <v>P76</v>
          </cell>
          <cell r="P5080" t="str">
            <v>P76SEG</v>
          </cell>
          <cell r="Q5080" t="str">
            <v/>
          </cell>
        </row>
        <row r="5081">
          <cell r="N5081" t="str">
            <v>SEG</v>
          </cell>
          <cell r="O5081" t="str">
            <v>P77</v>
          </cell>
          <cell r="P5081" t="str">
            <v>P77SEG</v>
          </cell>
          <cell r="Q5081" t="str">
            <v/>
          </cell>
        </row>
        <row r="5082">
          <cell r="N5082" t="str">
            <v>SEG</v>
          </cell>
          <cell r="O5082" t="str">
            <v>P78</v>
          </cell>
          <cell r="P5082" t="str">
            <v>P78SEG</v>
          </cell>
          <cell r="Q5082" t="str">
            <v/>
          </cell>
        </row>
        <row r="5083">
          <cell r="N5083" t="str">
            <v>SEG</v>
          </cell>
          <cell r="O5083" t="str">
            <v>P79</v>
          </cell>
          <cell r="P5083" t="str">
            <v>P79SEG</v>
          </cell>
          <cell r="Q5083" t="str">
            <v/>
          </cell>
        </row>
        <row r="5084">
          <cell r="N5084" t="str">
            <v>SEG</v>
          </cell>
          <cell r="O5084" t="str">
            <v>P80</v>
          </cell>
          <cell r="P5084" t="str">
            <v>P80SEG</v>
          </cell>
          <cell r="Q5084" t="str">
            <v/>
          </cell>
        </row>
        <row r="5085">
          <cell r="N5085" t="str">
            <v>SEG</v>
          </cell>
          <cell r="O5085" t="str">
            <v>P81</v>
          </cell>
          <cell r="P5085" t="str">
            <v>P81SEG</v>
          </cell>
          <cell r="Q5085" t="str">
            <v/>
          </cell>
        </row>
        <row r="5086">
          <cell r="N5086" t="str">
            <v>SEG</v>
          </cell>
          <cell r="O5086" t="str">
            <v>ST1</v>
          </cell>
          <cell r="P5086" t="str">
            <v>ST1SEG</v>
          </cell>
          <cell r="Q5086" t="str">
            <v/>
          </cell>
        </row>
        <row r="5087">
          <cell r="N5087" t="str">
            <v>SEG</v>
          </cell>
          <cell r="O5087" t="str">
            <v>ST2</v>
          </cell>
          <cell r="P5087" t="str">
            <v>ST2SEG</v>
          </cell>
          <cell r="Q5087" t="str">
            <v/>
          </cell>
        </row>
        <row r="5088">
          <cell r="N5088" t="str">
            <v>SEG</v>
          </cell>
          <cell r="O5088" t="str">
            <v>ST3</v>
          </cell>
          <cell r="P5088" t="str">
            <v>ST3SEG</v>
          </cell>
          <cell r="Q5088" t="str">
            <v/>
          </cell>
        </row>
        <row r="5089">
          <cell r="N5089" t="str">
            <v>SEG</v>
          </cell>
          <cell r="O5089" t="str">
            <v>ST4</v>
          </cell>
          <cell r="P5089" t="str">
            <v>ST4SEG</v>
          </cell>
          <cell r="Q5089" t="str">
            <v/>
          </cell>
        </row>
        <row r="5090">
          <cell r="N5090" t="str">
            <v>SEG</v>
          </cell>
          <cell r="O5090" t="str">
            <v>ST5</v>
          </cell>
          <cell r="P5090" t="str">
            <v>ST5SEG</v>
          </cell>
          <cell r="Q5090" t="str">
            <v/>
          </cell>
        </row>
        <row r="5091">
          <cell r="N5091" t="str">
            <v>SEG</v>
          </cell>
          <cell r="O5091" t="str">
            <v>ST6</v>
          </cell>
          <cell r="P5091" t="str">
            <v>ST6SEG</v>
          </cell>
          <cell r="Q5091" t="str">
            <v/>
          </cell>
        </row>
        <row r="5092">
          <cell r="N5092" t="str">
            <v>SEG</v>
          </cell>
          <cell r="O5092" t="str">
            <v>ST7</v>
          </cell>
          <cell r="P5092" t="str">
            <v>ST7SEG</v>
          </cell>
          <cell r="Q5092" t="str">
            <v/>
          </cell>
        </row>
        <row r="5093">
          <cell r="N5093" t="str">
            <v>SEG</v>
          </cell>
          <cell r="O5093" t="str">
            <v>ST8</v>
          </cell>
          <cell r="P5093" t="str">
            <v>ST8SEG</v>
          </cell>
          <cell r="Q5093" t="str">
            <v/>
          </cell>
        </row>
        <row r="5094">
          <cell r="N5094" t="str">
            <v>SEG</v>
          </cell>
          <cell r="O5094" t="str">
            <v>ST9</v>
          </cell>
          <cell r="P5094" t="str">
            <v>ST9SEG</v>
          </cell>
          <cell r="Q5094" t="str">
            <v/>
          </cell>
        </row>
        <row r="5095">
          <cell r="N5095" t="str">
            <v>SEG</v>
          </cell>
          <cell r="O5095" t="str">
            <v>SU1</v>
          </cell>
          <cell r="P5095" t="str">
            <v>SU1SEG</v>
          </cell>
          <cell r="Q5095" t="str">
            <v/>
          </cell>
        </row>
        <row r="5096">
          <cell r="N5096" t="str">
            <v>SEG</v>
          </cell>
          <cell r="O5096" t="str">
            <v>SU3</v>
          </cell>
          <cell r="P5096" t="str">
            <v>SU3SEG</v>
          </cell>
          <cell r="Q5096" t="str">
            <v/>
          </cell>
        </row>
        <row r="5097">
          <cell r="N5097" t="str">
            <v>SEG</v>
          </cell>
          <cell r="O5097" t="str">
            <v>SU4</v>
          </cell>
          <cell r="P5097" t="str">
            <v>SU4SEG</v>
          </cell>
          <cell r="Q5097" t="str">
            <v/>
          </cell>
        </row>
        <row r="5098">
          <cell r="N5098" t="str">
            <v>SEG</v>
          </cell>
          <cell r="O5098" t="str">
            <v>SU5</v>
          </cell>
          <cell r="P5098" t="str">
            <v>SU5SEG</v>
          </cell>
          <cell r="Q5098" t="str">
            <v/>
          </cell>
        </row>
        <row r="5099">
          <cell r="N5099" t="str">
            <v>SEG</v>
          </cell>
          <cell r="O5099" t="str">
            <v>SU6</v>
          </cell>
          <cell r="P5099" t="str">
            <v>SU6SEG</v>
          </cell>
          <cell r="Q5099" t="str">
            <v/>
          </cell>
        </row>
        <row r="5100">
          <cell r="N5100" t="str">
            <v>SEG</v>
          </cell>
          <cell r="O5100" t="str">
            <v>S02</v>
          </cell>
          <cell r="P5100" t="str">
            <v>S02SEG</v>
          </cell>
          <cell r="Q5100" t="str">
            <v/>
          </cell>
        </row>
        <row r="5101">
          <cell r="N5101" t="str">
            <v>SEG</v>
          </cell>
          <cell r="O5101" t="str">
            <v>S03</v>
          </cell>
          <cell r="P5101" t="str">
            <v>S03SEG</v>
          </cell>
          <cell r="Q5101" t="str">
            <v/>
          </cell>
        </row>
        <row r="5102">
          <cell r="N5102" t="str">
            <v>SEG</v>
          </cell>
          <cell r="O5102" t="str">
            <v>S04</v>
          </cell>
          <cell r="P5102" t="str">
            <v>S04SEG</v>
          </cell>
          <cell r="Q5102" t="str">
            <v/>
          </cell>
        </row>
        <row r="5103">
          <cell r="N5103" t="str">
            <v>SEG</v>
          </cell>
          <cell r="O5103" t="str">
            <v>S05</v>
          </cell>
          <cell r="P5103" t="str">
            <v>S05SEG</v>
          </cell>
          <cell r="Q5103" t="str">
            <v/>
          </cell>
        </row>
        <row r="5104">
          <cell r="N5104" t="str">
            <v>SEG</v>
          </cell>
          <cell r="O5104" t="str">
            <v>S06</v>
          </cell>
          <cell r="P5104" t="str">
            <v>S06SEG</v>
          </cell>
          <cell r="Q5104" t="str">
            <v/>
          </cell>
        </row>
        <row r="5105">
          <cell r="N5105" t="str">
            <v>SEG</v>
          </cell>
          <cell r="O5105" t="str">
            <v>S07</v>
          </cell>
          <cell r="P5105" t="str">
            <v>S07SEG</v>
          </cell>
          <cell r="Q5105" t="str">
            <v/>
          </cell>
        </row>
        <row r="5106">
          <cell r="N5106" t="str">
            <v>SEG</v>
          </cell>
          <cell r="O5106" t="str">
            <v>S08</v>
          </cell>
          <cell r="P5106" t="str">
            <v>S08SEG</v>
          </cell>
          <cell r="Q5106" t="str">
            <v/>
          </cell>
        </row>
        <row r="5107">
          <cell r="N5107" t="str">
            <v>SEG</v>
          </cell>
          <cell r="O5107" t="str">
            <v>S09</v>
          </cell>
          <cell r="P5107" t="str">
            <v>S09SEG</v>
          </cell>
          <cell r="Q5107" t="str">
            <v/>
          </cell>
        </row>
        <row r="5108">
          <cell r="N5108" t="str">
            <v>SEG</v>
          </cell>
          <cell r="O5108" t="str">
            <v>S10</v>
          </cell>
          <cell r="P5108" t="str">
            <v>S10SEG</v>
          </cell>
          <cell r="Q5108" t="str">
            <v/>
          </cell>
        </row>
        <row r="5109">
          <cell r="N5109" t="str">
            <v>SEG</v>
          </cell>
          <cell r="O5109" t="str">
            <v>S11</v>
          </cell>
          <cell r="P5109" t="str">
            <v>S11SEG</v>
          </cell>
          <cell r="Q5109" t="str">
            <v/>
          </cell>
        </row>
        <row r="5110">
          <cell r="N5110" t="str">
            <v>SEG</v>
          </cell>
          <cell r="O5110" t="str">
            <v>S12</v>
          </cell>
          <cell r="P5110" t="str">
            <v>S12SEG</v>
          </cell>
          <cell r="Q5110" t="str">
            <v/>
          </cell>
        </row>
        <row r="5111">
          <cell r="N5111" t="str">
            <v>SEG</v>
          </cell>
          <cell r="O5111" t="str">
            <v>S13</v>
          </cell>
          <cell r="P5111" t="str">
            <v>S13SEG</v>
          </cell>
          <cell r="Q5111" t="str">
            <v/>
          </cell>
        </row>
        <row r="5112">
          <cell r="N5112" t="str">
            <v>SEG</v>
          </cell>
          <cell r="O5112" t="str">
            <v>S14</v>
          </cell>
          <cell r="P5112" t="str">
            <v>S14SEG</v>
          </cell>
          <cell r="Q5112" t="str">
            <v/>
          </cell>
        </row>
        <row r="5113">
          <cell r="N5113" t="str">
            <v>SEG</v>
          </cell>
          <cell r="O5113" t="str">
            <v>S15</v>
          </cell>
          <cell r="P5113" t="str">
            <v>S15SEG</v>
          </cell>
          <cell r="Q5113" t="str">
            <v/>
          </cell>
        </row>
        <row r="5114">
          <cell r="N5114" t="str">
            <v>SEG</v>
          </cell>
          <cell r="O5114" t="str">
            <v>S16</v>
          </cell>
          <cell r="P5114" t="str">
            <v>S16SEG</v>
          </cell>
          <cell r="Q5114" t="str">
            <v/>
          </cell>
        </row>
        <row r="5115">
          <cell r="N5115" t="str">
            <v>SEG</v>
          </cell>
          <cell r="O5115" t="str">
            <v>S17</v>
          </cell>
          <cell r="P5115" t="str">
            <v>S17SEG</v>
          </cell>
          <cell r="Q5115" t="str">
            <v/>
          </cell>
        </row>
        <row r="5116">
          <cell r="N5116" t="str">
            <v>SEG</v>
          </cell>
          <cell r="O5116" t="str">
            <v>S18</v>
          </cell>
          <cell r="P5116" t="str">
            <v>S18SEG</v>
          </cell>
          <cell r="Q5116" t="str">
            <v/>
          </cell>
        </row>
        <row r="5117">
          <cell r="N5117" t="str">
            <v>SEG</v>
          </cell>
          <cell r="O5117" t="str">
            <v>S19</v>
          </cell>
          <cell r="P5117" t="str">
            <v>S19SEG</v>
          </cell>
          <cell r="Q5117" t="str">
            <v/>
          </cell>
        </row>
        <row r="5118">
          <cell r="N5118" t="str">
            <v>SEG</v>
          </cell>
          <cell r="O5118" t="str">
            <v>S20</v>
          </cell>
          <cell r="P5118" t="str">
            <v>S20SEG</v>
          </cell>
          <cell r="Q5118" t="str">
            <v/>
          </cell>
        </row>
        <row r="5119">
          <cell r="N5119" t="str">
            <v>SEG</v>
          </cell>
          <cell r="O5119" t="str">
            <v>S21</v>
          </cell>
          <cell r="P5119" t="str">
            <v>S21SEG</v>
          </cell>
          <cell r="Q5119" t="str">
            <v/>
          </cell>
        </row>
        <row r="5120">
          <cell r="N5120" t="str">
            <v>SEG</v>
          </cell>
          <cell r="O5120" t="str">
            <v>S22</v>
          </cell>
          <cell r="P5120" t="str">
            <v>S22SEG</v>
          </cell>
          <cell r="Q5120" t="str">
            <v/>
          </cell>
        </row>
        <row r="5121">
          <cell r="N5121" t="str">
            <v>SEG</v>
          </cell>
          <cell r="O5121" t="str">
            <v>S23</v>
          </cell>
          <cell r="P5121" t="str">
            <v>S23SEG</v>
          </cell>
          <cell r="Q5121" t="str">
            <v/>
          </cell>
        </row>
        <row r="5122">
          <cell r="N5122" t="str">
            <v>SEG</v>
          </cell>
          <cell r="O5122" t="str">
            <v>S24</v>
          </cell>
          <cell r="P5122" t="str">
            <v>S24SEG</v>
          </cell>
          <cell r="Q5122" t="str">
            <v/>
          </cell>
        </row>
        <row r="5123">
          <cell r="N5123" t="str">
            <v>SEG</v>
          </cell>
          <cell r="O5123" t="str">
            <v>S25</v>
          </cell>
          <cell r="P5123" t="str">
            <v>S25SEG</v>
          </cell>
          <cell r="Q5123" t="str">
            <v/>
          </cell>
        </row>
        <row r="5124">
          <cell r="N5124" t="str">
            <v>SEG</v>
          </cell>
          <cell r="O5124" t="str">
            <v>S26</v>
          </cell>
          <cell r="P5124" t="str">
            <v>S26SEG</v>
          </cell>
          <cell r="Q5124" t="str">
            <v/>
          </cell>
        </row>
        <row r="5125">
          <cell r="N5125" t="str">
            <v>SEG</v>
          </cell>
          <cell r="O5125" t="str">
            <v>S27</v>
          </cell>
          <cell r="P5125" t="str">
            <v>S27SEG</v>
          </cell>
          <cell r="Q5125" t="str">
            <v/>
          </cell>
        </row>
        <row r="5126">
          <cell r="N5126" t="str">
            <v>SEG</v>
          </cell>
          <cell r="O5126" t="str">
            <v>S28</v>
          </cell>
          <cell r="P5126" t="str">
            <v>S28SEG</v>
          </cell>
          <cell r="Q5126" t="str">
            <v/>
          </cell>
        </row>
        <row r="5127">
          <cell r="N5127" t="str">
            <v>SEG</v>
          </cell>
          <cell r="O5127" t="str">
            <v>S29</v>
          </cell>
          <cell r="P5127" t="str">
            <v>S29SEG</v>
          </cell>
          <cell r="Q5127" t="str">
            <v/>
          </cell>
        </row>
        <row r="5128">
          <cell r="N5128" t="str">
            <v>SEG</v>
          </cell>
          <cell r="O5128" t="str">
            <v>S30</v>
          </cell>
          <cell r="P5128" t="str">
            <v>S30SEG</v>
          </cell>
          <cell r="Q5128" t="str">
            <v/>
          </cell>
        </row>
        <row r="5129">
          <cell r="N5129" t="str">
            <v>SEG</v>
          </cell>
          <cell r="O5129" t="str">
            <v>S75</v>
          </cell>
          <cell r="P5129" t="str">
            <v>S75SEG</v>
          </cell>
          <cell r="Q5129" t="str">
            <v/>
          </cell>
        </row>
        <row r="5130">
          <cell r="N5130" t="str">
            <v>SEG</v>
          </cell>
          <cell r="O5130" t="str">
            <v>S76</v>
          </cell>
          <cell r="P5130" t="str">
            <v>S76SEG</v>
          </cell>
          <cell r="Q5130" t="str">
            <v/>
          </cell>
        </row>
        <row r="5131">
          <cell r="N5131" t="str">
            <v>SEG</v>
          </cell>
          <cell r="O5131" t="str">
            <v>S77</v>
          </cell>
          <cell r="P5131" t="str">
            <v>S77SEG</v>
          </cell>
          <cell r="Q5131" t="str">
            <v/>
          </cell>
        </row>
        <row r="5132">
          <cell r="N5132" t="str">
            <v>SEG</v>
          </cell>
          <cell r="O5132" t="str">
            <v>S78</v>
          </cell>
          <cell r="P5132" t="str">
            <v>S78SEG</v>
          </cell>
          <cell r="Q5132" t="str">
            <v/>
          </cell>
        </row>
        <row r="5133">
          <cell r="N5133" t="str">
            <v>SEG</v>
          </cell>
          <cell r="O5133" t="str">
            <v>S79</v>
          </cell>
          <cell r="P5133" t="str">
            <v>S79SEG</v>
          </cell>
          <cell r="Q5133" t="str">
            <v/>
          </cell>
        </row>
        <row r="5134">
          <cell r="N5134" t="str">
            <v>SEG</v>
          </cell>
          <cell r="O5134" t="str">
            <v>S80</v>
          </cell>
          <cell r="P5134" t="str">
            <v>S80SEG</v>
          </cell>
          <cell r="Q5134" t="str">
            <v/>
          </cell>
        </row>
        <row r="5135">
          <cell r="N5135" t="str">
            <v>SEG</v>
          </cell>
          <cell r="O5135" t="str">
            <v>S81</v>
          </cell>
          <cell r="P5135" t="str">
            <v>S81SEG</v>
          </cell>
          <cell r="Q5135" t="str">
            <v/>
          </cell>
        </row>
        <row r="5136">
          <cell r="N5136" t="str">
            <v>SEG</v>
          </cell>
          <cell r="O5136" t="str">
            <v>S82</v>
          </cell>
          <cell r="P5136" t="str">
            <v>S82SEG</v>
          </cell>
          <cell r="Q5136" t="str">
            <v/>
          </cell>
        </row>
        <row r="5137">
          <cell r="N5137" t="str">
            <v>SEG</v>
          </cell>
          <cell r="O5137" t="str">
            <v>S83</v>
          </cell>
          <cell r="P5137" t="str">
            <v>S83SEG</v>
          </cell>
          <cell r="Q5137" t="str">
            <v/>
          </cell>
        </row>
        <row r="5138">
          <cell r="N5138" t="str">
            <v>SEG</v>
          </cell>
          <cell r="O5138" t="str">
            <v>S84</v>
          </cell>
          <cell r="P5138" t="str">
            <v>S84SEG</v>
          </cell>
          <cell r="Q5138" t="str">
            <v/>
          </cell>
        </row>
        <row r="5139">
          <cell r="N5139" t="str">
            <v>SEG</v>
          </cell>
          <cell r="O5139" t="str">
            <v>S85</v>
          </cell>
          <cell r="P5139" t="str">
            <v>S85SEG</v>
          </cell>
          <cell r="Q5139" t="str">
            <v/>
          </cell>
        </row>
        <row r="5140">
          <cell r="N5140" t="str">
            <v>SEG</v>
          </cell>
          <cell r="O5140" t="str">
            <v>S86</v>
          </cell>
          <cell r="P5140" t="str">
            <v>S86SEG</v>
          </cell>
          <cell r="Q5140" t="str">
            <v/>
          </cell>
        </row>
        <row r="5141">
          <cell r="N5141" t="str">
            <v>SEG</v>
          </cell>
          <cell r="O5141" t="str">
            <v>S87</v>
          </cell>
          <cell r="P5141" t="str">
            <v>S87SEG</v>
          </cell>
          <cell r="Q5141" t="str">
            <v/>
          </cell>
        </row>
        <row r="5142">
          <cell r="N5142" t="str">
            <v>SEG</v>
          </cell>
          <cell r="O5142" t="str">
            <v>S88</v>
          </cell>
          <cell r="P5142" t="str">
            <v>S88SEG</v>
          </cell>
          <cell r="Q5142" t="str">
            <v/>
          </cell>
        </row>
        <row r="5143">
          <cell r="N5143" t="str">
            <v>SEG</v>
          </cell>
          <cell r="O5143" t="str">
            <v>S89</v>
          </cell>
          <cell r="P5143" t="str">
            <v>S89SEG</v>
          </cell>
          <cell r="Q5143" t="str">
            <v/>
          </cell>
        </row>
        <row r="5144">
          <cell r="N5144" t="str">
            <v>SEG</v>
          </cell>
          <cell r="O5144" t="str">
            <v>S90</v>
          </cell>
          <cell r="P5144" t="str">
            <v>S90SEG</v>
          </cell>
          <cell r="Q5144" t="str">
            <v/>
          </cell>
        </row>
        <row r="5145">
          <cell r="N5145" t="str">
            <v>SEG</v>
          </cell>
          <cell r="O5145" t="str">
            <v>S94</v>
          </cell>
          <cell r="P5145" t="str">
            <v>S94SEG</v>
          </cell>
          <cell r="Q5145" t="str">
            <v/>
          </cell>
        </row>
        <row r="5146">
          <cell r="N5146" t="str">
            <v>SEG</v>
          </cell>
          <cell r="O5146" t="str">
            <v>TT0</v>
          </cell>
          <cell r="P5146" t="str">
            <v>TT0SEG</v>
          </cell>
          <cell r="Q5146" t="str">
            <v/>
          </cell>
        </row>
        <row r="5147">
          <cell r="N5147" t="str">
            <v>SEG</v>
          </cell>
          <cell r="O5147" t="str">
            <v>TT1</v>
          </cell>
          <cell r="P5147" t="str">
            <v>TT1SEG</v>
          </cell>
          <cell r="Q5147" t="str">
            <v/>
          </cell>
        </row>
        <row r="5148">
          <cell r="N5148" t="str">
            <v>SEG</v>
          </cell>
          <cell r="O5148" t="str">
            <v>T08</v>
          </cell>
          <cell r="P5148" t="str">
            <v>T08SEG</v>
          </cell>
          <cell r="Q5148" t="str">
            <v/>
          </cell>
        </row>
        <row r="5149">
          <cell r="N5149" t="str">
            <v>SEG</v>
          </cell>
          <cell r="O5149" t="str">
            <v>T22</v>
          </cell>
          <cell r="P5149" t="str">
            <v>T22SEG</v>
          </cell>
          <cell r="Q5149" t="str">
            <v/>
          </cell>
        </row>
        <row r="5150">
          <cell r="N5150" t="str">
            <v>SEG</v>
          </cell>
          <cell r="O5150" t="str">
            <v>T23</v>
          </cell>
          <cell r="P5150" t="str">
            <v>T23SEG</v>
          </cell>
          <cell r="Q5150" t="str">
            <v/>
          </cell>
        </row>
        <row r="5151">
          <cell r="N5151" t="str">
            <v>SEG</v>
          </cell>
          <cell r="O5151" t="str">
            <v>T24</v>
          </cell>
          <cell r="P5151" t="str">
            <v>T24SEG</v>
          </cell>
          <cell r="Q5151" t="str">
            <v/>
          </cell>
        </row>
        <row r="5152">
          <cell r="N5152" t="str">
            <v>SEG</v>
          </cell>
          <cell r="O5152" t="str">
            <v>T25</v>
          </cell>
          <cell r="P5152" t="str">
            <v>T25SEG</v>
          </cell>
          <cell r="Q5152" t="str">
            <v/>
          </cell>
        </row>
        <row r="5153">
          <cell r="N5153" t="str">
            <v>SEG</v>
          </cell>
          <cell r="O5153" t="str">
            <v>T26</v>
          </cell>
          <cell r="P5153" t="str">
            <v>T26SEG</v>
          </cell>
          <cell r="Q5153" t="str">
            <v/>
          </cell>
        </row>
        <row r="5154">
          <cell r="N5154" t="str">
            <v>SEG</v>
          </cell>
          <cell r="O5154" t="str">
            <v>T27</v>
          </cell>
          <cell r="P5154" t="str">
            <v>T27SEG</v>
          </cell>
          <cell r="Q5154" t="str">
            <v/>
          </cell>
        </row>
        <row r="5155">
          <cell r="N5155" t="str">
            <v>SEG</v>
          </cell>
          <cell r="O5155" t="str">
            <v>T28</v>
          </cell>
          <cell r="P5155" t="str">
            <v>T28SEG</v>
          </cell>
          <cell r="Q5155" t="str">
            <v/>
          </cell>
        </row>
        <row r="5156">
          <cell r="N5156" t="str">
            <v>SEG</v>
          </cell>
          <cell r="O5156" t="str">
            <v>T29</v>
          </cell>
          <cell r="P5156" t="str">
            <v>T29SEG</v>
          </cell>
          <cell r="Q5156" t="str">
            <v/>
          </cell>
        </row>
        <row r="5157">
          <cell r="N5157" t="str">
            <v>SEG</v>
          </cell>
          <cell r="O5157" t="str">
            <v>T55</v>
          </cell>
          <cell r="P5157" t="str">
            <v>T55SEG</v>
          </cell>
          <cell r="Q5157" t="str">
            <v/>
          </cell>
        </row>
        <row r="5158">
          <cell r="N5158" t="str">
            <v>SEG</v>
          </cell>
          <cell r="O5158" t="str">
            <v>T56</v>
          </cell>
          <cell r="P5158" t="str">
            <v>T56SEG</v>
          </cell>
          <cell r="Q5158" t="str">
            <v/>
          </cell>
        </row>
        <row r="5159">
          <cell r="N5159" t="str">
            <v>SEG</v>
          </cell>
          <cell r="O5159" t="str">
            <v>T77</v>
          </cell>
          <cell r="P5159" t="str">
            <v>T77SEG</v>
          </cell>
          <cell r="Q5159" t="str">
            <v/>
          </cell>
        </row>
        <row r="5160">
          <cell r="N5160" t="str">
            <v>SEG</v>
          </cell>
          <cell r="O5160" t="str">
            <v>T78</v>
          </cell>
          <cell r="P5160" t="str">
            <v>T78SEG</v>
          </cell>
          <cell r="Q5160" t="str">
            <v/>
          </cell>
        </row>
        <row r="5161">
          <cell r="N5161" t="str">
            <v/>
          </cell>
          <cell r="O5161" t="str">
            <v/>
          </cell>
          <cell r="P5161" t="str">
            <v/>
          </cell>
          <cell r="Q5161" t="str">
            <v/>
          </cell>
        </row>
        <row r="5162">
          <cell r="N5162" t="str">
            <v>SEG</v>
          </cell>
          <cell r="O5162" t="str">
            <v/>
          </cell>
          <cell r="P5162" t="str">
            <v/>
          </cell>
          <cell r="Q5162" t="str">
            <v/>
          </cell>
        </row>
        <row r="5163">
          <cell r="N5163" t="str">
            <v>SEG</v>
          </cell>
          <cell r="O5163" t="str">
            <v>SU8</v>
          </cell>
          <cell r="P5163" t="str">
            <v>SU8SEG</v>
          </cell>
          <cell r="Q5163" t="str">
            <v/>
          </cell>
        </row>
        <row r="5164">
          <cell r="N5164" t="str">
            <v>SEG</v>
          </cell>
          <cell r="O5164" t="str">
            <v>T46</v>
          </cell>
          <cell r="P5164" t="str">
            <v>T46SEG</v>
          </cell>
          <cell r="Q5164" t="str">
            <v/>
          </cell>
        </row>
        <row r="5165">
          <cell r="N5165" t="str">
            <v/>
          </cell>
          <cell r="O5165" t="str">
            <v/>
          </cell>
          <cell r="P5165" t="str">
            <v/>
          </cell>
          <cell r="Q5165" t="str">
            <v/>
          </cell>
        </row>
        <row r="5166">
          <cell r="N5166" t="str">
            <v>SEG</v>
          </cell>
          <cell r="O5166" t="str">
            <v/>
          </cell>
          <cell r="P5166" t="str">
            <v/>
          </cell>
          <cell r="Q5166" t="str">
            <v/>
          </cell>
        </row>
        <row r="5167">
          <cell r="N5167" t="str">
            <v>SEG</v>
          </cell>
          <cell r="O5167" t="str">
            <v>TT2</v>
          </cell>
          <cell r="P5167" t="str">
            <v>TT2SEG</v>
          </cell>
          <cell r="Q5167" t="str">
            <v/>
          </cell>
        </row>
        <row r="5168">
          <cell r="N5168" t="str">
            <v>SEG</v>
          </cell>
          <cell r="O5168" t="str">
            <v>TT3</v>
          </cell>
          <cell r="P5168" t="str">
            <v>TT3SEG</v>
          </cell>
          <cell r="Q5168" t="str">
            <v/>
          </cell>
        </row>
        <row r="5169">
          <cell r="N5169" t="str">
            <v>SEG</v>
          </cell>
          <cell r="O5169" t="str">
            <v>T20</v>
          </cell>
          <cell r="P5169" t="str">
            <v>T20SEG</v>
          </cell>
          <cell r="Q5169" t="str">
            <v/>
          </cell>
        </row>
        <row r="5170">
          <cell r="N5170" t="str">
            <v>SEG</v>
          </cell>
          <cell r="O5170" t="str">
            <v>T21</v>
          </cell>
          <cell r="P5170" t="str">
            <v>T21SEG</v>
          </cell>
          <cell r="Q5170" t="str">
            <v/>
          </cell>
        </row>
        <row r="5171">
          <cell r="N5171" t="str">
            <v>SEG</v>
          </cell>
          <cell r="O5171" t="str">
            <v>T39</v>
          </cell>
          <cell r="P5171" t="str">
            <v>T39SEG</v>
          </cell>
          <cell r="Q5171" t="str">
            <v/>
          </cell>
        </row>
        <row r="5172">
          <cell r="N5172" t="str">
            <v>SEG</v>
          </cell>
          <cell r="O5172" t="str">
            <v>T40</v>
          </cell>
          <cell r="P5172" t="str">
            <v>T40SEG</v>
          </cell>
          <cell r="Q5172" t="str">
            <v/>
          </cell>
        </row>
        <row r="5173">
          <cell r="N5173" t="str">
            <v>SEG</v>
          </cell>
          <cell r="O5173" t="str">
            <v>T53</v>
          </cell>
          <cell r="P5173" t="str">
            <v>T53SEG</v>
          </cell>
          <cell r="Q5173" t="str">
            <v/>
          </cell>
        </row>
        <row r="5174">
          <cell r="N5174" t="str">
            <v>SEG</v>
          </cell>
          <cell r="O5174" t="str">
            <v>T54</v>
          </cell>
          <cell r="P5174" t="str">
            <v>T54SEG</v>
          </cell>
          <cell r="Q5174" t="str">
            <v/>
          </cell>
        </row>
        <row r="5175">
          <cell r="N5175" t="str">
            <v>SEG</v>
          </cell>
          <cell r="O5175" t="str">
            <v>T93</v>
          </cell>
          <cell r="P5175" t="str">
            <v>T93SEG</v>
          </cell>
          <cell r="Q5175" t="str">
            <v/>
          </cell>
        </row>
        <row r="5176">
          <cell r="N5176" t="str">
            <v>SEG</v>
          </cell>
          <cell r="O5176" t="str">
            <v>T94</v>
          </cell>
          <cell r="P5176" t="str">
            <v>T94SEG</v>
          </cell>
          <cell r="Q5176" t="str">
            <v/>
          </cell>
        </row>
        <row r="5177">
          <cell r="N5177" t="str">
            <v>SEG</v>
          </cell>
          <cell r="O5177" t="str">
            <v>T95</v>
          </cell>
          <cell r="P5177" t="str">
            <v>T95SEG</v>
          </cell>
          <cell r="Q5177" t="str">
            <v/>
          </cell>
        </row>
        <row r="5178">
          <cell r="N5178" t="str">
            <v>SEG</v>
          </cell>
          <cell r="O5178" t="str">
            <v>T96</v>
          </cell>
          <cell r="P5178" t="str">
            <v>T96SEG</v>
          </cell>
          <cell r="Q5178" t="str">
            <v/>
          </cell>
        </row>
        <row r="5179">
          <cell r="N5179" t="str">
            <v>SEG</v>
          </cell>
          <cell r="O5179" t="str">
            <v>T97</v>
          </cell>
          <cell r="P5179" t="str">
            <v>T97SEG</v>
          </cell>
          <cell r="Q5179" t="str">
            <v/>
          </cell>
        </row>
        <row r="5180">
          <cell r="N5180" t="str">
            <v>SEG</v>
          </cell>
          <cell r="O5180" t="str">
            <v>T98</v>
          </cell>
          <cell r="P5180" t="str">
            <v>T98SEG</v>
          </cell>
          <cell r="Q5180" t="str">
            <v/>
          </cell>
        </row>
        <row r="5181">
          <cell r="N5181" t="str">
            <v/>
          </cell>
          <cell r="O5181" t="str">
            <v/>
          </cell>
          <cell r="P5181" t="str">
            <v/>
          </cell>
          <cell r="Q5181" t="str">
            <v/>
          </cell>
        </row>
        <row r="5182">
          <cell r="N5182" t="str">
            <v/>
          </cell>
          <cell r="O5182" t="str">
            <v/>
          </cell>
          <cell r="P5182" t="str">
            <v/>
          </cell>
          <cell r="Q5182" t="str">
            <v/>
          </cell>
        </row>
        <row r="5183">
          <cell r="N5183" t="str">
            <v>GES</v>
          </cell>
          <cell r="O5183" t="str">
            <v/>
          </cell>
          <cell r="P5183" t="str">
            <v/>
          </cell>
          <cell r="Q5183" t="str">
            <v/>
          </cell>
        </row>
        <row r="5184">
          <cell r="N5184" t="str">
            <v>GES</v>
          </cell>
          <cell r="O5184" t="str">
            <v>I01</v>
          </cell>
          <cell r="P5184" t="str">
            <v>I01GES</v>
          </cell>
          <cell r="Q5184" t="str">
            <v/>
          </cell>
        </row>
        <row r="5185">
          <cell r="N5185" t="str">
            <v>GES</v>
          </cell>
          <cell r="O5185" t="str">
            <v>I02</v>
          </cell>
          <cell r="P5185" t="str">
            <v>I02GES</v>
          </cell>
          <cell r="Q5185" t="str">
            <v/>
          </cell>
        </row>
        <row r="5186">
          <cell r="N5186" t="str">
            <v>GES</v>
          </cell>
          <cell r="O5186" t="str">
            <v>I03</v>
          </cell>
          <cell r="P5186" t="str">
            <v>I03GES</v>
          </cell>
          <cell r="Q5186" t="str">
            <v/>
          </cell>
        </row>
        <row r="5187">
          <cell r="N5187" t="str">
            <v>GES</v>
          </cell>
          <cell r="O5187" t="str">
            <v>I04</v>
          </cell>
          <cell r="P5187" t="str">
            <v>I04GES</v>
          </cell>
          <cell r="Q5187" t="str">
            <v/>
          </cell>
        </row>
        <row r="5188">
          <cell r="N5188" t="str">
            <v>GES</v>
          </cell>
          <cell r="O5188" t="str">
            <v>I05</v>
          </cell>
          <cell r="P5188" t="str">
            <v>I05GES</v>
          </cell>
          <cell r="Q5188" t="str">
            <v/>
          </cell>
        </row>
        <row r="5189">
          <cell r="N5189" t="str">
            <v>GES</v>
          </cell>
          <cell r="O5189" t="str">
            <v>I06</v>
          </cell>
          <cell r="P5189" t="str">
            <v>I06GES</v>
          </cell>
          <cell r="Q5189" t="str">
            <v/>
          </cell>
        </row>
        <row r="5190">
          <cell r="N5190" t="str">
            <v>SEG</v>
          </cell>
          <cell r="O5190" t="str">
            <v/>
          </cell>
          <cell r="P5190" t="str">
            <v/>
          </cell>
          <cell r="Q5190" t="str">
            <v/>
          </cell>
        </row>
        <row r="5191">
          <cell r="N5191" t="str">
            <v>SEG</v>
          </cell>
          <cell r="O5191" t="str">
            <v>LI2</v>
          </cell>
          <cell r="P5191" t="str">
            <v>LI2SEG</v>
          </cell>
          <cell r="Q5191" t="str">
            <v/>
          </cell>
        </row>
        <row r="5192">
          <cell r="N5192" t="str">
            <v>SEG</v>
          </cell>
          <cell r="O5192" t="str">
            <v>P93</v>
          </cell>
          <cell r="P5192" t="str">
            <v>P93SEG</v>
          </cell>
          <cell r="Q5192" t="str">
            <v/>
          </cell>
        </row>
        <row r="5193">
          <cell r="N5193" t="str">
            <v>SEG</v>
          </cell>
          <cell r="O5193" t="str">
            <v>P95</v>
          </cell>
          <cell r="P5193" t="str">
            <v>P95SEG</v>
          </cell>
          <cell r="Q5193" t="str">
            <v/>
          </cell>
        </row>
        <row r="5194">
          <cell r="N5194" t="str">
            <v>SEG</v>
          </cell>
          <cell r="O5194" t="str">
            <v>T82</v>
          </cell>
          <cell r="P5194" t="str">
            <v>T82SEG</v>
          </cell>
          <cell r="Q5194" t="str">
            <v/>
          </cell>
        </row>
        <row r="5195">
          <cell r="N5195" t="str">
            <v>SEG</v>
          </cell>
          <cell r="O5195" t="str">
            <v>T86</v>
          </cell>
          <cell r="P5195" t="str">
            <v>T86SEG</v>
          </cell>
          <cell r="Q5195" t="str">
            <v/>
          </cell>
        </row>
        <row r="5196">
          <cell r="N5196" t="str">
            <v/>
          </cell>
          <cell r="O5196" t="str">
            <v/>
          </cell>
          <cell r="P5196" t="str">
            <v/>
          </cell>
          <cell r="Q5196" t="str">
            <v/>
          </cell>
        </row>
        <row r="5197">
          <cell r="N5197" t="str">
            <v>SEG</v>
          </cell>
          <cell r="O5197" t="str">
            <v/>
          </cell>
          <cell r="P5197" t="str">
            <v/>
          </cell>
          <cell r="Q5197" t="str">
            <v/>
          </cell>
        </row>
        <row r="5198">
          <cell r="N5198" t="str">
            <v>SEG</v>
          </cell>
          <cell r="O5198" t="str">
            <v>LIB</v>
          </cell>
          <cell r="P5198" t="str">
            <v>LIBSEG</v>
          </cell>
          <cell r="Q5198" t="str">
            <v/>
          </cell>
        </row>
        <row r="5199">
          <cell r="N5199" t="str">
            <v/>
          </cell>
          <cell r="O5199" t="str">
            <v/>
          </cell>
          <cell r="P5199" t="str">
            <v/>
          </cell>
          <cell r="Q5199" t="str">
            <v/>
          </cell>
        </row>
        <row r="5200">
          <cell r="N5200" t="str">
            <v/>
          </cell>
          <cell r="O5200" t="str">
            <v/>
          </cell>
          <cell r="P5200" t="str">
            <v/>
          </cell>
          <cell r="Q5200" t="str">
            <v/>
          </cell>
        </row>
        <row r="5201">
          <cell r="N5201" t="str">
            <v>SEG</v>
          </cell>
          <cell r="O5201" t="str">
            <v/>
          </cell>
          <cell r="P5201" t="str">
            <v/>
          </cell>
          <cell r="Q5201" t="str">
            <v/>
          </cell>
        </row>
        <row r="5202">
          <cell r="N5202" t="str">
            <v>SEG</v>
          </cell>
          <cell r="O5202" t="str">
            <v>P82</v>
          </cell>
          <cell r="P5202" t="str">
            <v>P82SEG</v>
          </cell>
          <cell r="Q5202" t="str">
            <v/>
          </cell>
        </row>
        <row r="5203">
          <cell r="N5203" t="str">
            <v>SEG</v>
          </cell>
          <cell r="O5203" t="str">
            <v>P83</v>
          </cell>
          <cell r="P5203" t="str">
            <v>P83SEG</v>
          </cell>
          <cell r="Q5203" t="str">
            <v/>
          </cell>
        </row>
        <row r="5204">
          <cell r="N5204" t="str">
            <v>SEG</v>
          </cell>
          <cell r="O5204" t="str">
            <v>P84</v>
          </cell>
          <cell r="P5204" t="str">
            <v>P84SEG</v>
          </cell>
          <cell r="Q5204" t="str">
            <v/>
          </cell>
        </row>
        <row r="5205">
          <cell r="N5205" t="str">
            <v>SEG</v>
          </cell>
          <cell r="O5205" t="str">
            <v>S01</v>
          </cell>
          <cell r="P5205" t="str">
            <v>S01SEG</v>
          </cell>
          <cell r="Q5205" t="str">
            <v/>
          </cell>
        </row>
        <row r="5206">
          <cell r="N5206" t="str">
            <v>SEG</v>
          </cell>
          <cell r="O5206" t="str">
            <v>S31</v>
          </cell>
          <cell r="P5206" t="str">
            <v>S31SEG</v>
          </cell>
          <cell r="Q5206" t="str">
            <v/>
          </cell>
        </row>
        <row r="5207">
          <cell r="N5207" t="str">
            <v>SEG</v>
          </cell>
          <cell r="O5207" t="str">
            <v>S32</v>
          </cell>
          <cell r="P5207" t="str">
            <v>S32SEG</v>
          </cell>
          <cell r="Q5207" t="str">
            <v/>
          </cell>
        </row>
        <row r="5208">
          <cell r="N5208" t="str">
            <v>SEG</v>
          </cell>
          <cell r="O5208" t="str">
            <v>S33</v>
          </cell>
          <cell r="P5208" t="str">
            <v>S33SEG</v>
          </cell>
          <cell r="Q5208" t="str">
            <v/>
          </cell>
        </row>
        <row r="5209">
          <cell r="N5209" t="str">
            <v>SEG</v>
          </cell>
          <cell r="O5209" t="str">
            <v>S91</v>
          </cell>
          <cell r="P5209" t="str">
            <v>S91SEG</v>
          </cell>
          <cell r="Q5209" t="str">
            <v/>
          </cell>
        </row>
        <row r="5210">
          <cell r="N5210" t="str">
            <v>SEG</v>
          </cell>
          <cell r="O5210" t="str">
            <v>S92</v>
          </cell>
          <cell r="P5210" t="str">
            <v>S92SEG</v>
          </cell>
          <cell r="Q5210" t="str">
            <v/>
          </cell>
        </row>
        <row r="5211">
          <cell r="N5211" t="str">
            <v>SEG</v>
          </cell>
          <cell r="O5211" t="str">
            <v>S93</v>
          </cell>
          <cell r="P5211" t="str">
            <v>S93SEG</v>
          </cell>
          <cell r="Q5211" t="str">
            <v/>
          </cell>
        </row>
        <row r="5212">
          <cell r="N5212" t="str">
            <v>SEG</v>
          </cell>
          <cell r="O5212" t="str">
            <v>S95</v>
          </cell>
          <cell r="P5212" t="str">
            <v>S95SEG</v>
          </cell>
          <cell r="Q5212" t="str">
            <v/>
          </cell>
        </row>
        <row r="5213">
          <cell r="N5213" t="str">
            <v>SEG</v>
          </cell>
          <cell r="O5213" t="str">
            <v>S96</v>
          </cell>
          <cell r="P5213" t="str">
            <v>S96SEG</v>
          </cell>
          <cell r="Q5213" t="str">
            <v/>
          </cell>
        </row>
        <row r="5214">
          <cell r="N5214" t="str">
            <v>SEG</v>
          </cell>
          <cell r="O5214" t="str">
            <v>S97</v>
          </cell>
          <cell r="P5214" t="str">
            <v>S97SEG</v>
          </cell>
          <cell r="Q5214" t="str">
            <v/>
          </cell>
        </row>
        <row r="5215">
          <cell r="N5215" t="str">
            <v>SEG</v>
          </cell>
          <cell r="O5215" t="str">
            <v>S99</v>
          </cell>
          <cell r="P5215" t="str">
            <v>S99SEG</v>
          </cell>
          <cell r="Q5215" t="str">
            <v/>
          </cell>
        </row>
        <row r="5216">
          <cell r="N5216" t="str">
            <v>SEG</v>
          </cell>
          <cell r="O5216" t="str">
            <v>T38</v>
          </cell>
          <cell r="P5216" t="str">
            <v>T38SEG</v>
          </cell>
          <cell r="Q5216" t="str">
            <v/>
          </cell>
        </row>
        <row r="5217">
          <cell r="N5217" t="str">
            <v>SEG</v>
          </cell>
          <cell r="O5217" t="str">
            <v>T44</v>
          </cell>
          <cell r="P5217" t="str">
            <v>T44SEG</v>
          </cell>
          <cell r="Q5217" t="str">
            <v/>
          </cell>
        </row>
        <row r="5218">
          <cell r="N5218" t="str">
            <v>SEG</v>
          </cell>
          <cell r="O5218" t="str">
            <v>T45</v>
          </cell>
          <cell r="P5218" t="str">
            <v>T45SEG</v>
          </cell>
          <cell r="Q5218" t="str">
            <v/>
          </cell>
        </row>
        <row r="5219">
          <cell r="N5219" t="str">
            <v>SEG</v>
          </cell>
          <cell r="O5219" t="str">
            <v>T61</v>
          </cell>
          <cell r="P5219" t="str">
            <v>T61SEG</v>
          </cell>
          <cell r="Q5219" t="str">
            <v/>
          </cell>
        </row>
        <row r="5220">
          <cell r="N5220" t="str">
            <v>SEG</v>
          </cell>
          <cell r="O5220" t="str">
            <v>T62</v>
          </cell>
          <cell r="P5220" t="str">
            <v>T62SEG</v>
          </cell>
          <cell r="Q5220" t="str">
            <v/>
          </cell>
        </row>
        <row r="5221">
          <cell r="N5221" t="str">
            <v>SEG</v>
          </cell>
          <cell r="O5221" t="str">
            <v>T64</v>
          </cell>
          <cell r="P5221" t="str">
            <v>T64SEG</v>
          </cell>
          <cell r="Q5221" t="str">
            <v/>
          </cell>
        </row>
        <row r="5222">
          <cell r="N5222" t="str">
            <v>SEG</v>
          </cell>
          <cell r="O5222" t="str">
            <v>T65</v>
          </cell>
          <cell r="P5222" t="str">
            <v>T65SEG</v>
          </cell>
          <cell r="Q5222" t="str">
            <v/>
          </cell>
        </row>
        <row r="5223">
          <cell r="N5223" t="str">
            <v>SEG</v>
          </cell>
          <cell r="O5223" t="str">
            <v>T79</v>
          </cell>
          <cell r="P5223" t="str">
            <v>T79SEG</v>
          </cell>
          <cell r="Q5223" t="str">
            <v/>
          </cell>
        </row>
        <row r="5224">
          <cell r="N5224" t="str">
            <v>SEG</v>
          </cell>
          <cell r="O5224" t="str">
            <v>T80</v>
          </cell>
          <cell r="P5224" t="str">
            <v>T80SEG</v>
          </cell>
          <cell r="Q5224" t="str">
            <v/>
          </cell>
        </row>
        <row r="5225">
          <cell r="N5225" t="str">
            <v/>
          </cell>
          <cell r="O5225" t="str">
            <v/>
          </cell>
          <cell r="P5225" t="str">
            <v/>
          </cell>
          <cell r="Q5225" t="str">
            <v/>
          </cell>
        </row>
        <row r="5226">
          <cell r="N5226" t="str">
            <v>SEG</v>
          </cell>
          <cell r="O5226" t="str">
            <v/>
          </cell>
          <cell r="P5226" t="str">
            <v/>
          </cell>
          <cell r="Q5226" t="str">
            <v/>
          </cell>
        </row>
        <row r="5227">
          <cell r="N5227" t="str">
            <v>SEG</v>
          </cell>
          <cell r="O5227" t="str">
            <v>S98</v>
          </cell>
          <cell r="P5227" t="str">
            <v>S98SEG</v>
          </cell>
          <cell r="Q5227" t="str">
            <v/>
          </cell>
        </row>
        <row r="5228">
          <cell r="N5228" t="str">
            <v/>
          </cell>
          <cell r="O5228" t="str">
            <v/>
          </cell>
          <cell r="P5228" t="str">
            <v/>
          </cell>
          <cell r="Q5228" t="str">
            <v/>
          </cell>
        </row>
        <row r="5229">
          <cell r="N5229" t="str">
            <v/>
          </cell>
          <cell r="O5229" t="str">
            <v/>
          </cell>
          <cell r="P5229" t="str">
            <v/>
          </cell>
          <cell r="Q5229" t="str">
            <v/>
          </cell>
        </row>
        <row r="5230">
          <cell r="N5230" t="str">
            <v>SEG</v>
          </cell>
          <cell r="O5230" t="str">
            <v/>
          </cell>
          <cell r="P5230" t="str">
            <v/>
          </cell>
          <cell r="Q5230" t="str">
            <v/>
          </cell>
        </row>
        <row r="5231">
          <cell r="N5231" t="str">
            <v>SEG</v>
          </cell>
          <cell r="O5231" t="str">
            <v>T51</v>
          </cell>
          <cell r="P5231" t="str">
            <v>T51SEG</v>
          </cell>
          <cell r="Q5231" t="str">
            <v/>
          </cell>
        </row>
        <row r="5232">
          <cell r="N5232" t="str">
            <v/>
          </cell>
          <cell r="O5232" t="str">
            <v/>
          </cell>
          <cell r="P5232" t="str">
            <v/>
          </cell>
          <cell r="Q5232" t="str">
            <v/>
          </cell>
        </row>
        <row r="5233">
          <cell r="N5233" t="str">
            <v>SEG</v>
          </cell>
          <cell r="O5233" t="str">
            <v/>
          </cell>
          <cell r="P5233" t="str">
            <v/>
          </cell>
          <cell r="Q5233" t="str">
            <v/>
          </cell>
        </row>
        <row r="5234">
          <cell r="N5234" t="str">
            <v>SEG</v>
          </cell>
          <cell r="O5234" t="str">
            <v>T52</v>
          </cell>
          <cell r="P5234" t="str">
            <v>T52SEG</v>
          </cell>
          <cell r="Q5234" t="str">
            <v/>
          </cell>
        </row>
        <row r="5235">
          <cell r="N5235" t="str">
            <v/>
          </cell>
          <cell r="O5235" t="str">
            <v/>
          </cell>
          <cell r="P5235" t="str">
            <v/>
          </cell>
          <cell r="Q5235" t="str">
            <v/>
          </cell>
        </row>
        <row r="5236">
          <cell r="N5236" t="str">
            <v/>
          </cell>
          <cell r="O5236" t="str">
            <v/>
          </cell>
          <cell r="P5236" t="str">
            <v/>
          </cell>
          <cell r="Q5236" t="str">
            <v/>
          </cell>
        </row>
        <row r="5237">
          <cell r="N5237" t="str">
            <v>SEG</v>
          </cell>
          <cell r="O5237" t="str">
            <v/>
          </cell>
          <cell r="P5237" t="str">
            <v/>
          </cell>
          <cell r="Q5237" t="str">
            <v/>
          </cell>
        </row>
        <row r="5238">
          <cell r="N5238" t="str">
            <v>SEG</v>
          </cell>
          <cell r="O5238" t="str">
            <v>T72</v>
          </cell>
          <cell r="P5238" t="str">
            <v>T72SEG</v>
          </cell>
          <cell r="Q5238" t="str">
            <v/>
          </cell>
        </row>
        <row r="5239">
          <cell r="N5239" t="str">
            <v/>
          </cell>
          <cell r="O5239" t="str">
            <v/>
          </cell>
          <cell r="P5239" t="str">
            <v/>
          </cell>
          <cell r="Q5239" t="str">
            <v/>
          </cell>
        </row>
        <row r="5240">
          <cell r="N5240" t="str">
            <v>SEG</v>
          </cell>
          <cell r="O5240" t="str">
            <v/>
          </cell>
          <cell r="P5240" t="str">
            <v/>
          </cell>
          <cell r="Q5240" t="str">
            <v/>
          </cell>
        </row>
        <row r="5241">
          <cell r="N5241" t="str">
            <v>SEG</v>
          </cell>
          <cell r="O5241" t="str">
            <v>T73</v>
          </cell>
          <cell r="P5241" t="str">
            <v>T73SEG</v>
          </cell>
          <cell r="Q5241" t="str">
            <v/>
          </cell>
        </row>
        <row r="5242">
          <cell r="N5242" t="str">
            <v/>
          </cell>
          <cell r="O5242" t="str">
            <v/>
          </cell>
          <cell r="P5242" t="str">
            <v/>
          </cell>
          <cell r="Q5242" t="str">
            <v/>
          </cell>
        </row>
        <row r="5243">
          <cell r="N5243" t="str">
            <v/>
          </cell>
          <cell r="O5243" t="str">
            <v/>
          </cell>
          <cell r="P5243" t="str">
            <v/>
          </cell>
          <cell r="Q5243" t="str">
            <v/>
          </cell>
        </row>
        <row r="5244">
          <cell r="N5244" t="str">
            <v>SEG</v>
          </cell>
          <cell r="O5244" t="str">
            <v/>
          </cell>
          <cell r="P5244" t="str">
            <v/>
          </cell>
          <cell r="Q5244" t="str">
            <v/>
          </cell>
        </row>
        <row r="5245">
          <cell r="N5245" t="str">
            <v>SEG</v>
          </cell>
          <cell r="O5245" t="str">
            <v>M07</v>
          </cell>
          <cell r="P5245" t="str">
            <v>M07SEG</v>
          </cell>
          <cell r="Q5245" t="str">
            <v/>
          </cell>
        </row>
        <row r="5246">
          <cell r="N5246" t="str">
            <v/>
          </cell>
          <cell r="O5246" t="str">
            <v/>
          </cell>
          <cell r="P5246" t="str">
            <v/>
          </cell>
          <cell r="Q5246" t="str">
            <v/>
          </cell>
        </row>
        <row r="5247">
          <cell r="N5247" t="str">
            <v>SEG</v>
          </cell>
          <cell r="O5247" t="str">
            <v/>
          </cell>
          <cell r="P5247" t="str">
            <v/>
          </cell>
          <cell r="Q5247" t="str">
            <v/>
          </cell>
        </row>
        <row r="5248">
          <cell r="N5248" t="str">
            <v>SEG</v>
          </cell>
          <cell r="O5248" t="str">
            <v>M10</v>
          </cell>
          <cell r="P5248" t="str">
            <v>M10SEG</v>
          </cell>
          <cell r="Q5248" t="str">
            <v/>
          </cell>
        </row>
        <row r="5249">
          <cell r="N5249" t="str">
            <v/>
          </cell>
          <cell r="O5249" t="str">
            <v/>
          </cell>
          <cell r="P5249" t="str">
            <v/>
          </cell>
          <cell r="Q5249" t="str">
            <v/>
          </cell>
        </row>
        <row r="5250">
          <cell r="N5250" t="str">
            <v>SEG</v>
          </cell>
          <cell r="O5250" t="str">
            <v/>
          </cell>
          <cell r="P5250" t="str">
            <v/>
          </cell>
          <cell r="Q5250" t="str">
            <v/>
          </cell>
        </row>
        <row r="5251">
          <cell r="N5251" t="str">
            <v>SEG</v>
          </cell>
          <cell r="O5251" t="str">
            <v>M09</v>
          </cell>
          <cell r="P5251" t="str">
            <v>M09SEG</v>
          </cell>
          <cell r="Q5251" t="str">
            <v/>
          </cell>
        </row>
        <row r="5252">
          <cell r="N5252" t="str">
            <v/>
          </cell>
          <cell r="O5252" t="str">
            <v/>
          </cell>
          <cell r="P5252" t="str">
            <v/>
          </cell>
          <cell r="Q5252" t="str">
            <v/>
          </cell>
        </row>
        <row r="5253">
          <cell r="N5253" t="str">
            <v/>
          </cell>
          <cell r="O5253" t="str">
            <v/>
          </cell>
          <cell r="P5253" t="str">
            <v/>
          </cell>
          <cell r="Q5253" t="str">
            <v/>
          </cell>
        </row>
        <row r="5254">
          <cell r="N5254" t="str">
            <v>SEG</v>
          </cell>
          <cell r="O5254" t="str">
            <v/>
          </cell>
          <cell r="P5254" t="str">
            <v/>
          </cell>
          <cell r="Q5254" t="str">
            <v/>
          </cell>
        </row>
        <row r="5255">
          <cell r="N5255" t="str">
            <v>SEG</v>
          </cell>
          <cell r="O5255" t="str">
            <v>P87</v>
          </cell>
          <cell r="P5255" t="str">
            <v>P87SEG</v>
          </cell>
          <cell r="Q5255" t="str">
            <v/>
          </cell>
        </row>
        <row r="5256">
          <cell r="N5256" t="str">
            <v>SEG</v>
          </cell>
          <cell r="O5256" t="str">
            <v>P88</v>
          </cell>
          <cell r="P5256" t="str">
            <v>P88SEG</v>
          </cell>
          <cell r="Q5256" t="str">
            <v/>
          </cell>
        </row>
        <row r="5257">
          <cell r="N5257" t="str">
            <v>SEG</v>
          </cell>
          <cell r="O5257" t="str">
            <v>P90</v>
          </cell>
          <cell r="P5257" t="str">
            <v>P90SEG</v>
          </cell>
          <cell r="Q5257" t="str">
            <v/>
          </cell>
        </row>
        <row r="5258">
          <cell r="N5258" t="str">
            <v>SEG</v>
          </cell>
          <cell r="O5258" t="str">
            <v>P91</v>
          </cell>
          <cell r="P5258" t="str">
            <v>P91SEG</v>
          </cell>
          <cell r="Q5258" t="str">
            <v/>
          </cell>
        </row>
        <row r="5259">
          <cell r="N5259" t="str">
            <v/>
          </cell>
          <cell r="O5259" t="str">
            <v/>
          </cell>
          <cell r="P5259" t="str">
            <v/>
          </cell>
          <cell r="Q5259" t="str">
            <v/>
          </cell>
        </row>
        <row r="5260">
          <cell r="N5260" t="str">
            <v>GEN</v>
          </cell>
          <cell r="O5260" t="str">
            <v/>
          </cell>
          <cell r="P5260" t="str">
            <v/>
          </cell>
          <cell r="Q5260" t="str">
            <v/>
          </cell>
        </row>
        <row r="5261">
          <cell r="N5261" t="str">
            <v>GEN</v>
          </cell>
          <cell r="O5261" t="str">
            <v>G01</v>
          </cell>
          <cell r="P5261" t="str">
            <v>G01GEN</v>
          </cell>
          <cell r="Q5261" t="str">
            <v/>
          </cell>
        </row>
        <row r="5262">
          <cell r="N5262" t="str">
            <v>GEN</v>
          </cell>
          <cell r="O5262" t="str">
            <v>G02</v>
          </cell>
          <cell r="P5262" t="str">
            <v>G02GEN</v>
          </cell>
          <cell r="Q5262" t="str">
            <v/>
          </cell>
        </row>
        <row r="5263">
          <cell r="N5263" t="str">
            <v>GEN</v>
          </cell>
          <cell r="O5263" t="str">
            <v>G03</v>
          </cell>
          <cell r="P5263" t="str">
            <v>G03GEN</v>
          </cell>
          <cell r="Q5263" t="str">
            <v/>
          </cell>
        </row>
        <row r="5264">
          <cell r="N5264" t="str">
            <v>GEN</v>
          </cell>
          <cell r="O5264" t="str">
            <v>G04</v>
          </cell>
          <cell r="P5264" t="str">
            <v>G04GEN</v>
          </cell>
          <cell r="Q5264" t="str">
            <v/>
          </cell>
        </row>
        <row r="5265">
          <cell r="N5265" t="str">
            <v/>
          </cell>
          <cell r="O5265" t="str">
            <v/>
          </cell>
          <cell r="P5265" t="str">
            <v/>
          </cell>
          <cell r="Q5265" t="str">
            <v/>
          </cell>
        </row>
        <row r="5266">
          <cell r="N5266" t="str">
            <v/>
          </cell>
          <cell r="O5266" t="str">
            <v/>
          </cell>
          <cell r="P5266" t="str">
            <v/>
          </cell>
          <cell r="Q5266" t="str">
            <v/>
          </cell>
        </row>
        <row r="5267">
          <cell r="N5267" t="str">
            <v/>
          </cell>
          <cell r="O5267" t="str">
            <v/>
          </cell>
          <cell r="P5267" t="str">
            <v/>
          </cell>
          <cell r="Q5267" t="str">
            <v/>
          </cell>
        </row>
        <row r="5268">
          <cell r="N5268" t="str">
            <v>SEG</v>
          </cell>
          <cell r="O5268" t="str">
            <v/>
          </cell>
          <cell r="P5268" t="str">
            <v/>
          </cell>
          <cell r="Q5268" t="str">
            <v/>
          </cell>
        </row>
        <row r="5269">
          <cell r="N5269" t="str">
            <v>SEG</v>
          </cell>
          <cell r="O5269" t="str">
            <v>P43</v>
          </cell>
          <cell r="P5269" t="str">
            <v>P43SEG</v>
          </cell>
          <cell r="Q5269" t="str">
            <v/>
          </cell>
        </row>
        <row r="5270">
          <cell r="N5270" t="str">
            <v>SEG</v>
          </cell>
          <cell r="O5270" t="str">
            <v>P44</v>
          </cell>
          <cell r="P5270" t="str">
            <v>P44SEG</v>
          </cell>
          <cell r="Q5270" t="str">
            <v/>
          </cell>
        </row>
        <row r="5271">
          <cell r="N5271" t="str">
            <v>SEG</v>
          </cell>
          <cell r="O5271" t="str">
            <v>P45</v>
          </cell>
          <cell r="P5271" t="str">
            <v>P45SEG</v>
          </cell>
          <cell r="Q5271" t="str">
            <v/>
          </cell>
        </row>
        <row r="5272">
          <cell r="N5272" t="str">
            <v>SEG</v>
          </cell>
          <cell r="O5272" t="str">
            <v>P46</v>
          </cell>
          <cell r="P5272" t="str">
            <v>P46SEG</v>
          </cell>
          <cell r="Q5272" t="str">
            <v/>
          </cell>
        </row>
        <row r="5273">
          <cell r="N5273" t="str">
            <v>SEG</v>
          </cell>
          <cell r="O5273" t="str">
            <v>P47</v>
          </cell>
          <cell r="P5273" t="str">
            <v>P47SEG</v>
          </cell>
          <cell r="Q5273" t="str">
            <v/>
          </cell>
        </row>
        <row r="5274">
          <cell r="N5274" t="str">
            <v>SEG</v>
          </cell>
          <cell r="O5274" t="str">
            <v>P48</v>
          </cell>
          <cell r="P5274" t="str">
            <v>P48SEG</v>
          </cell>
          <cell r="Q5274" t="str">
            <v/>
          </cell>
        </row>
        <row r="5275">
          <cell r="N5275" t="str">
            <v>SEG</v>
          </cell>
          <cell r="O5275" t="str">
            <v>P49</v>
          </cell>
          <cell r="P5275" t="str">
            <v>P49SEG</v>
          </cell>
          <cell r="Q5275" t="str">
            <v/>
          </cell>
        </row>
        <row r="5276">
          <cell r="N5276" t="str">
            <v>SEG</v>
          </cell>
          <cell r="O5276" t="str">
            <v>P50</v>
          </cell>
          <cell r="P5276" t="str">
            <v>P50SEG</v>
          </cell>
          <cell r="Q5276" t="str">
            <v/>
          </cell>
        </row>
        <row r="5277">
          <cell r="N5277" t="str">
            <v>SEG</v>
          </cell>
          <cell r="O5277" t="str">
            <v>P57</v>
          </cell>
          <cell r="P5277" t="str">
            <v>P57SEG</v>
          </cell>
          <cell r="Q5277" t="str">
            <v/>
          </cell>
        </row>
        <row r="5278">
          <cell r="N5278" t="str">
            <v>SEG</v>
          </cell>
          <cell r="O5278" t="str">
            <v>P58</v>
          </cell>
          <cell r="P5278" t="str">
            <v>P58SEG</v>
          </cell>
          <cell r="Q5278" t="str">
            <v/>
          </cell>
        </row>
        <row r="5279">
          <cell r="N5279" t="str">
            <v>SEG</v>
          </cell>
          <cell r="O5279" t="str">
            <v>P59</v>
          </cell>
          <cell r="P5279" t="str">
            <v>P59SEG</v>
          </cell>
          <cell r="Q5279" t="str">
            <v/>
          </cell>
        </row>
        <row r="5280">
          <cell r="N5280" t="str">
            <v>SEG</v>
          </cell>
          <cell r="O5280" t="str">
            <v>P60</v>
          </cell>
          <cell r="P5280" t="str">
            <v>P60SEG</v>
          </cell>
          <cell r="Q5280" t="str">
            <v/>
          </cell>
        </row>
        <row r="5281">
          <cell r="N5281" t="str">
            <v>SEG</v>
          </cell>
          <cell r="O5281" t="str">
            <v>P61</v>
          </cell>
          <cell r="P5281" t="str">
            <v>P61SEG</v>
          </cell>
          <cell r="Q5281" t="str">
            <v/>
          </cell>
        </row>
        <row r="5282">
          <cell r="N5282" t="str">
            <v>SEG</v>
          </cell>
          <cell r="O5282" t="str">
            <v>P62</v>
          </cell>
          <cell r="P5282" t="str">
            <v>P62SEG</v>
          </cell>
          <cell r="Q5282" t="str">
            <v/>
          </cell>
        </row>
        <row r="5283">
          <cell r="N5283" t="str">
            <v>SEG</v>
          </cell>
          <cell r="O5283" t="str">
            <v>P63</v>
          </cell>
          <cell r="P5283" t="str">
            <v>P63SEG</v>
          </cell>
          <cell r="Q5283" t="str">
            <v/>
          </cell>
        </row>
        <row r="5284">
          <cell r="N5284" t="str">
            <v>SEG</v>
          </cell>
          <cell r="O5284" t="str">
            <v>P64</v>
          </cell>
          <cell r="P5284" t="str">
            <v>P64SEG</v>
          </cell>
          <cell r="Q5284" t="str">
            <v/>
          </cell>
        </row>
        <row r="5285">
          <cell r="N5285" t="str">
            <v>SEG</v>
          </cell>
          <cell r="O5285" t="str">
            <v>P65</v>
          </cell>
          <cell r="P5285" t="str">
            <v>P65SEG</v>
          </cell>
          <cell r="Q5285" t="str">
            <v/>
          </cell>
        </row>
        <row r="5286">
          <cell r="N5286" t="str">
            <v>SEG</v>
          </cell>
          <cell r="O5286" t="str">
            <v>P66</v>
          </cell>
          <cell r="P5286" t="str">
            <v>P66SEG</v>
          </cell>
          <cell r="Q5286" t="str">
            <v/>
          </cell>
        </row>
        <row r="5287">
          <cell r="N5287" t="str">
            <v>SEG</v>
          </cell>
          <cell r="O5287" t="str">
            <v>S71</v>
          </cell>
          <cell r="P5287" t="str">
            <v>S71SEG</v>
          </cell>
          <cell r="Q5287" t="str">
            <v/>
          </cell>
        </row>
        <row r="5288">
          <cell r="N5288" t="str">
            <v>SEG</v>
          </cell>
          <cell r="O5288" t="str">
            <v>S72</v>
          </cell>
          <cell r="P5288" t="str">
            <v>S72SEG</v>
          </cell>
          <cell r="Q5288" t="str">
            <v/>
          </cell>
        </row>
        <row r="5289">
          <cell r="N5289" t="str">
            <v>SEG</v>
          </cell>
          <cell r="O5289" t="str">
            <v>S73</v>
          </cell>
          <cell r="P5289" t="str">
            <v>S73SEG</v>
          </cell>
          <cell r="Q5289" t="str">
            <v/>
          </cell>
        </row>
        <row r="5290">
          <cell r="N5290" t="str">
            <v>SEG</v>
          </cell>
          <cell r="O5290" t="str">
            <v>S74</v>
          </cell>
          <cell r="P5290" t="str">
            <v>S74SEG</v>
          </cell>
          <cell r="Q5290" t="str">
            <v/>
          </cell>
        </row>
        <row r="5291">
          <cell r="N5291" t="str">
            <v>SEG</v>
          </cell>
          <cell r="O5291" t="str">
            <v>T10</v>
          </cell>
          <cell r="P5291" t="str">
            <v>T10SEG</v>
          </cell>
          <cell r="Q5291" t="str">
            <v/>
          </cell>
        </row>
        <row r="5292">
          <cell r="N5292" t="str">
            <v>SEG</v>
          </cell>
          <cell r="O5292" t="str">
            <v>T11</v>
          </cell>
          <cell r="P5292" t="str">
            <v>T11SEG</v>
          </cell>
          <cell r="Q5292" t="str">
            <v/>
          </cell>
        </row>
        <row r="5293">
          <cell r="N5293" t="str">
            <v>SEG</v>
          </cell>
          <cell r="O5293" t="str">
            <v>T12</v>
          </cell>
          <cell r="P5293" t="str">
            <v>T12SEG</v>
          </cell>
          <cell r="Q5293" t="str">
            <v/>
          </cell>
        </row>
        <row r="5294">
          <cell r="N5294" t="str">
            <v>SEG</v>
          </cell>
          <cell r="O5294" t="str">
            <v>T13</v>
          </cell>
          <cell r="P5294" t="str">
            <v>T13SEG</v>
          </cell>
          <cell r="Q5294" t="str">
            <v/>
          </cell>
        </row>
        <row r="5295">
          <cell r="N5295" t="str">
            <v>SEG</v>
          </cell>
          <cell r="O5295" t="str">
            <v>T14</v>
          </cell>
          <cell r="P5295" t="str">
            <v>T14SEG</v>
          </cell>
          <cell r="Q5295" t="str">
            <v/>
          </cell>
        </row>
        <row r="5296">
          <cell r="N5296" t="str">
            <v>SEG</v>
          </cell>
          <cell r="O5296" t="str">
            <v>T15</v>
          </cell>
          <cell r="P5296" t="str">
            <v>T15SEG</v>
          </cell>
          <cell r="Q5296" t="str">
            <v/>
          </cell>
        </row>
        <row r="5297">
          <cell r="N5297" t="str">
            <v>SEG</v>
          </cell>
          <cell r="O5297" t="str">
            <v>T16</v>
          </cell>
          <cell r="P5297" t="str">
            <v>T16SEG</v>
          </cell>
          <cell r="Q5297" t="str">
            <v/>
          </cell>
        </row>
        <row r="5298">
          <cell r="N5298" t="str">
            <v>SEG</v>
          </cell>
          <cell r="O5298" t="str">
            <v>T17</v>
          </cell>
          <cell r="P5298" t="str">
            <v>T17SEG</v>
          </cell>
          <cell r="Q5298" t="str">
            <v/>
          </cell>
        </row>
        <row r="5299">
          <cell r="N5299" t="str">
            <v>SEG</v>
          </cell>
          <cell r="O5299" t="str">
            <v>T35</v>
          </cell>
          <cell r="P5299" t="str">
            <v>T35SEG</v>
          </cell>
          <cell r="Q5299" t="str">
            <v/>
          </cell>
        </row>
        <row r="5300">
          <cell r="N5300" t="str">
            <v>SEG</v>
          </cell>
          <cell r="O5300" t="str">
            <v>T36</v>
          </cell>
          <cell r="P5300" t="str">
            <v>T36SEG</v>
          </cell>
          <cell r="Q5300" t="str">
            <v/>
          </cell>
        </row>
        <row r="5301">
          <cell r="N5301" t="str">
            <v>SEG</v>
          </cell>
          <cell r="O5301" t="str">
            <v>T47</v>
          </cell>
          <cell r="P5301" t="str">
            <v>T47SEG</v>
          </cell>
          <cell r="Q5301" t="str">
            <v/>
          </cell>
        </row>
        <row r="5302">
          <cell r="N5302" t="str">
            <v>SEG</v>
          </cell>
          <cell r="O5302" t="str">
            <v>T48</v>
          </cell>
          <cell r="P5302" t="str">
            <v>T48SEG</v>
          </cell>
          <cell r="Q5302" t="str">
            <v/>
          </cell>
        </row>
        <row r="5303">
          <cell r="N5303" t="str">
            <v>SEG</v>
          </cell>
          <cell r="O5303" t="str">
            <v>T59</v>
          </cell>
          <cell r="P5303" t="str">
            <v>T59SEG</v>
          </cell>
          <cell r="Q5303" t="str">
            <v/>
          </cell>
        </row>
        <row r="5304">
          <cell r="N5304" t="str">
            <v>SEG</v>
          </cell>
          <cell r="O5304" t="str">
            <v>T60</v>
          </cell>
          <cell r="P5304" t="str">
            <v>T60SEG</v>
          </cell>
          <cell r="Q5304" t="str">
            <v/>
          </cell>
        </row>
        <row r="5305">
          <cell r="N5305" t="str">
            <v>SEG</v>
          </cell>
          <cell r="O5305" t="str">
            <v>T68</v>
          </cell>
          <cell r="P5305" t="str">
            <v>T68SEG</v>
          </cell>
          <cell r="Q5305" t="str">
            <v/>
          </cell>
        </row>
        <row r="5306">
          <cell r="N5306" t="str">
            <v>SEG</v>
          </cell>
          <cell r="O5306" t="str">
            <v>T70</v>
          </cell>
          <cell r="P5306" t="str">
            <v>T70SEG</v>
          </cell>
          <cell r="Q5306" t="str">
            <v/>
          </cell>
        </row>
        <row r="5307">
          <cell r="N5307" t="str">
            <v>SEG</v>
          </cell>
          <cell r="O5307" t="str">
            <v>T71</v>
          </cell>
          <cell r="P5307" t="str">
            <v>T71SEG</v>
          </cell>
          <cell r="Q5307" t="str">
            <v/>
          </cell>
        </row>
        <row r="5308">
          <cell r="N5308" t="str">
            <v>SEG</v>
          </cell>
          <cell r="O5308" t="str">
            <v>T81</v>
          </cell>
          <cell r="P5308" t="str">
            <v>T81SEG</v>
          </cell>
          <cell r="Q5308" t="str">
            <v/>
          </cell>
        </row>
        <row r="5309">
          <cell r="N5309" t="str">
            <v>SEG</v>
          </cell>
          <cell r="O5309" t="str">
            <v>T84</v>
          </cell>
          <cell r="P5309" t="str">
            <v>T84SEG</v>
          </cell>
          <cell r="Q5309" t="str">
            <v/>
          </cell>
        </row>
        <row r="5310">
          <cell r="N5310" t="str">
            <v/>
          </cell>
          <cell r="O5310" t="str">
            <v/>
          </cell>
          <cell r="P5310" t="str">
            <v/>
          </cell>
          <cell r="Q5310" t="str">
            <v/>
          </cell>
        </row>
        <row r="5311">
          <cell r="N5311" t="str">
            <v>SEG</v>
          </cell>
          <cell r="O5311" t="str">
            <v/>
          </cell>
          <cell r="P5311" t="str">
            <v/>
          </cell>
          <cell r="Q5311" t="str">
            <v/>
          </cell>
        </row>
        <row r="5312">
          <cell r="N5312" t="str">
            <v>SEG</v>
          </cell>
          <cell r="O5312" t="str">
            <v>P00</v>
          </cell>
          <cell r="P5312" t="str">
            <v>P00SEG</v>
          </cell>
          <cell r="Q5312" t="str">
            <v/>
          </cell>
        </row>
        <row r="5313">
          <cell r="N5313" t="str">
            <v>SEG</v>
          </cell>
          <cell r="O5313" t="str">
            <v>P01</v>
          </cell>
          <cell r="P5313" t="str">
            <v>P01SEG</v>
          </cell>
          <cell r="Q5313" t="str">
            <v/>
          </cell>
        </row>
        <row r="5314">
          <cell r="N5314" t="str">
            <v>SEG</v>
          </cell>
          <cell r="O5314" t="str">
            <v>T58</v>
          </cell>
          <cell r="P5314" t="str">
            <v>T58SEG</v>
          </cell>
          <cell r="Q5314" t="str">
            <v/>
          </cell>
        </row>
        <row r="5315">
          <cell r="N5315" t="str">
            <v/>
          </cell>
          <cell r="O5315" t="str">
            <v/>
          </cell>
          <cell r="P5315" t="str">
            <v/>
          </cell>
          <cell r="Q5315" t="str">
            <v/>
          </cell>
        </row>
        <row r="5316">
          <cell r="N5316" t="str">
            <v/>
          </cell>
          <cell r="O5316" t="str">
            <v/>
          </cell>
          <cell r="P5316" t="str">
            <v/>
          </cell>
          <cell r="Q5316" t="str">
            <v/>
          </cell>
        </row>
        <row r="5317">
          <cell r="N5317" t="str">
            <v>SEG</v>
          </cell>
          <cell r="O5317" t="str">
            <v/>
          </cell>
          <cell r="P5317" t="str">
            <v/>
          </cell>
          <cell r="Q5317" t="str">
            <v/>
          </cell>
        </row>
        <row r="5318">
          <cell r="N5318" t="str">
            <v>SEG</v>
          </cell>
          <cell r="O5318" t="str">
            <v>P41</v>
          </cell>
          <cell r="P5318" t="str">
            <v>P41SEG</v>
          </cell>
          <cell r="Q5318" t="str">
            <v/>
          </cell>
        </row>
        <row r="5319">
          <cell r="N5319" t="str">
            <v>SEG</v>
          </cell>
          <cell r="O5319" t="str">
            <v>P42</v>
          </cell>
          <cell r="P5319" t="str">
            <v>P42SEG</v>
          </cell>
          <cell r="Q5319" t="str">
            <v/>
          </cell>
        </row>
        <row r="5320">
          <cell r="N5320" t="str">
            <v>SEG</v>
          </cell>
          <cell r="O5320" t="str">
            <v>T00</v>
          </cell>
          <cell r="P5320" t="str">
            <v>T00SEG</v>
          </cell>
          <cell r="Q5320" t="str">
            <v/>
          </cell>
        </row>
        <row r="5321">
          <cell r="N5321" t="str">
            <v>SEG</v>
          </cell>
          <cell r="O5321" t="str">
            <v>T37</v>
          </cell>
          <cell r="P5321" t="str">
            <v>T37SEG</v>
          </cell>
          <cell r="Q5321" t="str">
            <v/>
          </cell>
        </row>
        <row r="5322">
          <cell r="N5322" t="str">
            <v>SEG</v>
          </cell>
          <cell r="O5322" t="str">
            <v>T50</v>
          </cell>
          <cell r="P5322" t="str">
            <v>T50SEG</v>
          </cell>
          <cell r="Q5322" t="str">
            <v/>
          </cell>
        </row>
        <row r="5323">
          <cell r="N5323" t="str">
            <v>SEG</v>
          </cell>
          <cell r="O5323" t="str">
            <v>T57</v>
          </cell>
          <cell r="P5323" t="str">
            <v>T57SEG</v>
          </cell>
          <cell r="Q5323" t="str">
            <v/>
          </cell>
        </row>
        <row r="5324">
          <cell r="N5324" t="str">
            <v>SEG</v>
          </cell>
          <cell r="O5324" t="str">
            <v>T66</v>
          </cell>
          <cell r="P5324" t="str">
            <v>T66SEG</v>
          </cell>
          <cell r="Q5324" t="str">
            <v/>
          </cell>
        </row>
        <row r="5325">
          <cell r="N5325" t="str">
            <v>SEG</v>
          </cell>
          <cell r="O5325" t="str">
            <v>T90</v>
          </cell>
          <cell r="P5325" t="str">
            <v>T90SEG</v>
          </cell>
          <cell r="Q5325" t="str">
            <v/>
          </cell>
        </row>
        <row r="5326">
          <cell r="N5326" t="str">
            <v/>
          </cell>
          <cell r="O5326" t="str">
            <v/>
          </cell>
          <cell r="P5326" t="str">
            <v/>
          </cell>
          <cell r="Q5326" t="str">
            <v/>
          </cell>
        </row>
        <row r="5327">
          <cell r="N5327" t="str">
            <v>SEG</v>
          </cell>
          <cell r="O5327" t="str">
            <v/>
          </cell>
          <cell r="P5327" t="str">
            <v/>
          </cell>
          <cell r="Q5327" t="str">
            <v/>
          </cell>
        </row>
        <row r="5328">
          <cell r="N5328" t="str">
            <v>SEG</v>
          </cell>
          <cell r="O5328" t="str">
            <v>P02</v>
          </cell>
          <cell r="P5328" t="str">
            <v>P02SEG</v>
          </cell>
          <cell r="Q5328" t="str">
            <v/>
          </cell>
        </row>
        <row r="5329">
          <cell r="N5329" t="str">
            <v>SEG</v>
          </cell>
          <cell r="O5329" t="str">
            <v>P03</v>
          </cell>
          <cell r="P5329" t="str">
            <v>P03SEG</v>
          </cell>
          <cell r="Q5329" t="str">
            <v/>
          </cell>
        </row>
        <row r="5330">
          <cell r="N5330" t="str">
            <v>SEG</v>
          </cell>
          <cell r="O5330" t="str">
            <v>P04</v>
          </cell>
          <cell r="P5330" t="str">
            <v>P04SEG</v>
          </cell>
          <cell r="Q5330" t="str">
            <v/>
          </cell>
        </row>
        <row r="5331">
          <cell r="N5331" t="str">
            <v>SEG</v>
          </cell>
          <cell r="O5331" t="str">
            <v>P05</v>
          </cell>
          <cell r="P5331" t="str">
            <v>P05SEG</v>
          </cell>
          <cell r="Q5331" t="str">
            <v/>
          </cell>
        </row>
        <row r="5332">
          <cell r="N5332" t="str">
            <v>SEG</v>
          </cell>
          <cell r="O5332" t="str">
            <v>P06</v>
          </cell>
          <cell r="P5332" t="str">
            <v>P06SEG</v>
          </cell>
          <cell r="Q5332" t="str">
            <v/>
          </cell>
        </row>
        <row r="5333">
          <cell r="N5333" t="str">
            <v>SEG</v>
          </cell>
          <cell r="O5333" t="str">
            <v>P07</v>
          </cell>
          <cell r="P5333" t="str">
            <v>P07SEG</v>
          </cell>
          <cell r="Q5333" t="str">
            <v/>
          </cell>
        </row>
        <row r="5334">
          <cell r="N5334" t="str">
            <v>SEG</v>
          </cell>
          <cell r="O5334" t="str">
            <v>P08</v>
          </cell>
          <cell r="P5334" t="str">
            <v>P08SEG</v>
          </cell>
          <cell r="Q5334" t="str">
            <v/>
          </cell>
        </row>
        <row r="5335">
          <cell r="N5335" t="str">
            <v>SEG</v>
          </cell>
          <cell r="O5335" t="str">
            <v>P09</v>
          </cell>
          <cell r="P5335" t="str">
            <v>P09SEG</v>
          </cell>
          <cell r="Q5335" t="str">
            <v/>
          </cell>
        </row>
        <row r="5336">
          <cell r="N5336" t="str">
            <v>SEG</v>
          </cell>
          <cell r="O5336" t="str">
            <v>P10</v>
          </cell>
          <cell r="P5336" t="str">
            <v>P10SEG</v>
          </cell>
          <cell r="Q5336" t="str">
            <v/>
          </cell>
        </row>
        <row r="5337">
          <cell r="N5337" t="str">
            <v>SEG</v>
          </cell>
          <cell r="O5337" t="str">
            <v>P11</v>
          </cell>
          <cell r="P5337" t="str">
            <v>P11SEG</v>
          </cell>
          <cell r="Q5337" t="str">
            <v/>
          </cell>
        </row>
        <row r="5338">
          <cell r="N5338" t="str">
            <v>SEG</v>
          </cell>
          <cell r="O5338" t="str">
            <v>P12</v>
          </cell>
          <cell r="P5338" t="str">
            <v>P12SEG</v>
          </cell>
          <cell r="Q5338" t="str">
            <v/>
          </cell>
        </row>
        <row r="5339">
          <cell r="N5339" t="str">
            <v>SEG</v>
          </cell>
          <cell r="O5339" t="str">
            <v>P13</v>
          </cell>
          <cell r="P5339" t="str">
            <v>P13SEG</v>
          </cell>
          <cell r="Q5339" t="str">
            <v/>
          </cell>
        </row>
        <row r="5340">
          <cell r="N5340" t="str">
            <v>SEG</v>
          </cell>
          <cell r="O5340" t="str">
            <v>P14</v>
          </cell>
          <cell r="P5340" t="str">
            <v>P14SEG</v>
          </cell>
          <cell r="Q5340" t="str">
            <v/>
          </cell>
        </row>
        <row r="5341">
          <cell r="N5341" t="str">
            <v>SEG</v>
          </cell>
          <cell r="O5341" t="str">
            <v>P15</v>
          </cell>
          <cell r="P5341" t="str">
            <v>P15SEG</v>
          </cell>
          <cell r="Q5341" t="str">
            <v/>
          </cell>
        </row>
        <row r="5342">
          <cell r="N5342" t="str">
            <v>SEG</v>
          </cell>
          <cell r="O5342" t="str">
            <v>P96</v>
          </cell>
          <cell r="P5342" t="str">
            <v>P96SEG</v>
          </cell>
          <cell r="Q5342" t="str">
            <v/>
          </cell>
        </row>
        <row r="5343">
          <cell r="N5343" t="str">
            <v>SEG</v>
          </cell>
          <cell r="O5343" t="str">
            <v>T01</v>
          </cell>
          <cell r="P5343" t="str">
            <v>T01SEG</v>
          </cell>
          <cell r="Q5343" t="str">
            <v/>
          </cell>
        </row>
        <row r="5344">
          <cell r="N5344" t="str">
            <v>SEG</v>
          </cell>
          <cell r="O5344" t="str">
            <v>T41</v>
          </cell>
          <cell r="P5344" t="str">
            <v>T41SEG</v>
          </cell>
          <cell r="Q5344" t="str">
            <v/>
          </cell>
        </row>
        <row r="5345">
          <cell r="N5345" t="str">
            <v>SEG</v>
          </cell>
          <cell r="O5345" t="str">
            <v>T42</v>
          </cell>
          <cell r="P5345" t="str">
            <v>T42SEG</v>
          </cell>
          <cell r="Q5345" t="str">
            <v/>
          </cell>
        </row>
        <row r="5346">
          <cell r="N5346" t="str">
            <v>SEG</v>
          </cell>
          <cell r="O5346" t="str">
            <v>T49</v>
          </cell>
          <cell r="P5346" t="str">
            <v>T49SEG</v>
          </cell>
          <cell r="Q5346" t="str">
            <v/>
          </cell>
        </row>
        <row r="5347">
          <cell r="N5347" t="str">
            <v>SEG</v>
          </cell>
          <cell r="O5347" t="str">
            <v>T89</v>
          </cell>
          <cell r="P5347" t="str">
            <v>T89SEG</v>
          </cell>
          <cell r="Q5347" t="str">
            <v/>
          </cell>
        </row>
        <row r="5348">
          <cell r="N5348" t="str">
            <v>SEG</v>
          </cell>
          <cell r="O5348" t="str">
            <v>T99</v>
          </cell>
          <cell r="P5348" t="str">
            <v>T99SEG</v>
          </cell>
          <cell r="Q5348" t="str">
            <v/>
          </cell>
        </row>
        <row r="5349">
          <cell r="N5349" t="str">
            <v/>
          </cell>
          <cell r="O5349" t="str">
            <v/>
          </cell>
          <cell r="P5349" t="str">
            <v/>
          </cell>
          <cell r="Q5349" t="str">
            <v/>
          </cell>
        </row>
        <row r="5350">
          <cell r="N5350" t="str">
            <v/>
          </cell>
          <cell r="O5350" t="str">
            <v/>
          </cell>
          <cell r="P5350" t="str">
            <v/>
          </cell>
          <cell r="Q5350" t="str">
            <v/>
          </cell>
        </row>
        <row r="5351">
          <cell r="N5351" t="str">
            <v>AXA</v>
          </cell>
          <cell r="O5351" t="str">
            <v/>
          </cell>
          <cell r="P5351" t="str">
            <v/>
          </cell>
          <cell r="Q5351" t="str">
            <v/>
          </cell>
        </row>
        <row r="5352">
          <cell r="N5352" t="str">
            <v>AXA</v>
          </cell>
          <cell r="O5352" t="str">
            <v>A03</v>
          </cell>
          <cell r="P5352" t="str">
            <v>A03AXA</v>
          </cell>
          <cell r="Q5352" t="str">
            <v/>
          </cell>
        </row>
        <row r="5353">
          <cell r="N5353" t="str">
            <v>AXA</v>
          </cell>
          <cell r="O5353" t="str">
            <v>A04</v>
          </cell>
          <cell r="P5353" t="str">
            <v>A04AXA</v>
          </cell>
          <cell r="Q5353" t="str">
            <v/>
          </cell>
        </row>
        <row r="5354">
          <cell r="N5354" t="str">
            <v/>
          </cell>
          <cell r="O5354" t="str">
            <v/>
          </cell>
          <cell r="P5354" t="str">
            <v/>
          </cell>
          <cell r="Q5354" t="str">
            <v/>
          </cell>
        </row>
        <row r="5355">
          <cell r="N5355" t="str">
            <v>SEG</v>
          </cell>
          <cell r="O5355" t="str">
            <v/>
          </cell>
          <cell r="P5355" t="str">
            <v/>
          </cell>
          <cell r="Q5355" t="str">
            <v/>
          </cell>
        </row>
        <row r="5356">
          <cell r="N5356" t="str">
            <v>SEG</v>
          </cell>
          <cell r="O5356" t="str">
            <v>T06</v>
          </cell>
          <cell r="P5356" t="str">
            <v>T06SEG</v>
          </cell>
          <cell r="Q5356" t="str">
            <v/>
          </cell>
        </row>
        <row r="5357">
          <cell r="N5357" t="str">
            <v/>
          </cell>
          <cell r="O5357" t="str">
            <v/>
          </cell>
          <cell r="P5357" t="str">
            <v/>
          </cell>
          <cell r="Q5357" t="str">
            <v/>
          </cell>
        </row>
        <row r="5358">
          <cell r="N5358" t="str">
            <v>SEG</v>
          </cell>
          <cell r="O5358" t="str">
            <v/>
          </cell>
          <cell r="P5358" t="str">
            <v/>
          </cell>
          <cell r="Q5358" t="str">
            <v/>
          </cell>
        </row>
        <row r="5359">
          <cell r="N5359" t="str">
            <v>SEG</v>
          </cell>
          <cell r="O5359" t="str">
            <v>T07</v>
          </cell>
          <cell r="P5359" t="str">
            <v>T07SEG</v>
          </cell>
          <cell r="Q5359" t="str">
            <v/>
          </cell>
        </row>
        <row r="5360">
          <cell r="N5360" t="str">
            <v/>
          </cell>
          <cell r="O5360" t="str">
            <v/>
          </cell>
          <cell r="P5360" t="str">
            <v/>
          </cell>
          <cell r="Q5360" t="str">
            <v/>
          </cell>
        </row>
        <row r="5361">
          <cell r="N5361" t="str">
            <v>SEG</v>
          </cell>
          <cell r="O5361" t="str">
            <v/>
          </cell>
          <cell r="P5361" t="str">
            <v/>
          </cell>
          <cell r="Q5361" t="str">
            <v/>
          </cell>
        </row>
        <row r="5362">
          <cell r="N5362" t="str">
            <v>SEG</v>
          </cell>
          <cell r="O5362" t="str">
            <v>SU2</v>
          </cell>
          <cell r="P5362" t="str">
            <v>SU2SEG</v>
          </cell>
          <cell r="Q5362" t="str">
            <v/>
          </cell>
        </row>
        <row r="5363">
          <cell r="N5363" t="str">
            <v>SEG</v>
          </cell>
          <cell r="O5363" t="str">
            <v>T30</v>
          </cell>
          <cell r="P5363" t="str">
            <v>T30SEG</v>
          </cell>
          <cell r="Q5363" t="str">
            <v/>
          </cell>
        </row>
        <row r="5364">
          <cell r="N5364" t="str">
            <v>SEG</v>
          </cell>
          <cell r="O5364" t="str">
            <v>T31</v>
          </cell>
          <cell r="P5364" t="str">
            <v>T31SEG</v>
          </cell>
          <cell r="Q5364" t="str">
            <v/>
          </cell>
        </row>
        <row r="5365">
          <cell r="N5365" t="str">
            <v>SEG</v>
          </cell>
          <cell r="O5365" t="str">
            <v>T32</v>
          </cell>
          <cell r="P5365" t="str">
            <v>T32SEG</v>
          </cell>
          <cell r="Q5365" t="str">
            <v/>
          </cell>
        </row>
        <row r="5366">
          <cell r="N5366" t="str">
            <v>SEG</v>
          </cell>
          <cell r="O5366" t="str">
            <v>T33</v>
          </cell>
          <cell r="P5366" t="str">
            <v>T33SEG</v>
          </cell>
          <cell r="Q5366" t="str">
            <v/>
          </cell>
        </row>
        <row r="5367">
          <cell r="N5367" t="str">
            <v>SEG</v>
          </cell>
          <cell r="O5367" t="str">
            <v>T34</v>
          </cell>
          <cell r="P5367" t="str">
            <v>T34SEG</v>
          </cell>
          <cell r="Q5367" t="str">
            <v/>
          </cell>
        </row>
        <row r="5368">
          <cell r="N5368" t="str">
            <v>SEG</v>
          </cell>
          <cell r="O5368" t="str">
            <v>T43</v>
          </cell>
          <cell r="P5368" t="str">
            <v>T43SEG</v>
          </cell>
          <cell r="Q5368" t="str">
            <v/>
          </cell>
        </row>
        <row r="5369">
          <cell r="N5369" t="str">
            <v/>
          </cell>
          <cell r="O5369" t="str">
            <v/>
          </cell>
          <cell r="P5369" t="str">
            <v/>
          </cell>
          <cell r="Q5369" t="str">
            <v/>
          </cell>
        </row>
        <row r="5370">
          <cell r="N5370" t="str">
            <v/>
          </cell>
          <cell r="O5370" t="str">
            <v/>
          </cell>
          <cell r="P5370" t="str">
            <v/>
          </cell>
          <cell r="Q5370" t="str">
            <v/>
          </cell>
        </row>
        <row r="5371">
          <cell r="N5371" t="str">
            <v>SEG</v>
          </cell>
          <cell r="O5371" t="str">
            <v/>
          </cell>
          <cell r="P5371" t="str">
            <v/>
          </cell>
          <cell r="Q5371" t="str">
            <v/>
          </cell>
        </row>
        <row r="5372">
          <cell r="N5372" t="str">
            <v>SEG</v>
          </cell>
          <cell r="O5372" t="str">
            <v>P86</v>
          </cell>
          <cell r="P5372" t="str">
            <v>P86SEG</v>
          </cell>
          <cell r="Q5372" t="str">
            <v/>
          </cell>
        </row>
        <row r="5373">
          <cell r="N5373" t="str">
            <v>SEG</v>
          </cell>
          <cell r="O5373" t="str">
            <v>P89</v>
          </cell>
          <cell r="P5373" t="str">
            <v>P89SEG</v>
          </cell>
          <cell r="Q5373" t="str">
            <v/>
          </cell>
        </row>
        <row r="5374">
          <cell r="N5374" t="str">
            <v>SEG</v>
          </cell>
          <cell r="O5374" t="str">
            <v>T63</v>
          </cell>
          <cell r="P5374" t="str">
            <v>T63SEG</v>
          </cell>
          <cell r="Q5374" t="str">
            <v/>
          </cell>
        </row>
        <row r="5375">
          <cell r="N5375" t="str">
            <v>SEG</v>
          </cell>
          <cell r="O5375" t="str">
            <v>T76</v>
          </cell>
          <cell r="P5375" t="str">
            <v>T76SEG</v>
          </cell>
          <cell r="Q5375" t="str">
            <v/>
          </cell>
        </row>
        <row r="5376">
          <cell r="N5376" t="str">
            <v/>
          </cell>
          <cell r="O5376" t="str">
            <v/>
          </cell>
          <cell r="P5376" t="str">
            <v/>
          </cell>
          <cell r="Q5376" t="str">
            <v/>
          </cell>
        </row>
        <row r="5377">
          <cell r="N5377" t="str">
            <v>SEG</v>
          </cell>
          <cell r="O5377" t="str">
            <v/>
          </cell>
          <cell r="P5377" t="str">
            <v/>
          </cell>
          <cell r="Q5377" t="str">
            <v/>
          </cell>
        </row>
        <row r="5378">
          <cell r="N5378" t="str">
            <v>SEG</v>
          </cell>
          <cell r="O5378" t="str">
            <v>P85</v>
          </cell>
          <cell r="P5378" t="str">
            <v>P85SEG</v>
          </cell>
          <cell r="Q5378" t="str">
            <v/>
          </cell>
        </row>
        <row r="5379">
          <cell r="N5379" t="str">
            <v>SEG</v>
          </cell>
          <cell r="O5379" t="str">
            <v>T83</v>
          </cell>
          <cell r="P5379" t="str">
            <v>T83SEG</v>
          </cell>
          <cell r="Q5379" t="str">
            <v/>
          </cell>
        </row>
        <row r="5380">
          <cell r="N5380" t="str">
            <v>SEG</v>
          </cell>
          <cell r="O5380" t="str">
            <v>T85</v>
          </cell>
          <cell r="P5380" t="str">
            <v>T85SEG</v>
          </cell>
          <cell r="Q5380" t="str">
            <v/>
          </cell>
        </row>
        <row r="5381">
          <cell r="N5381" t="str">
            <v/>
          </cell>
          <cell r="O5381" t="str">
            <v/>
          </cell>
          <cell r="P5381" t="str">
            <v/>
          </cell>
          <cell r="Q5381" t="str">
            <v/>
          </cell>
        </row>
        <row r="5382">
          <cell r="N5382" t="str">
            <v>SEG</v>
          </cell>
          <cell r="O5382" t="str">
            <v/>
          </cell>
          <cell r="P5382" t="str">
            <v/>
          </cell>
          <cell r="Q5382" t="str">
            <v/>
          </cell>
        </row>
        <row r="5383">
          <cell r="N5383" t="str">
            <v>SEG</v>
          </cell>
          <cell r="O5383" t="str">
            <v>M05</v>
          </cell>
          <cell r="P5383" t="str">
            <v>M05SEG</v>
          </cell>
          <cell r="Q5383" t="str">
            <v/>
          </cell>
        </row>
        <row r="5384">
          <cell r="N5384" t="str">
            <v/>
          </cell>
          <cell r="O5384" t="str">
            <v/>
          </cell>
          <cell r="P5384" t="str">
            <v/>
          </cell>
          <cell r="Q5384" t="str">
            <v/>
          </cell>
        </row>
        <row r="5385">
          <cell r="N5385" t="str">
            <v>SEG</v>
          </cell>
          <cell r="O5385" t="str">
            <v/>
          </cell>
          <cell r="P5385" t="str">
            <v/>
          </cell>
          <cell r="Q5385" t="str">
            <v/>
          </cell>
        </row>
        <row r="5386">
          <cell r="N5386" t="str">
            <v>SEG</v>
          </cell>
          <cell r="O5386" t="str">
            <v>T67</v>
          </cell>
          <cell r="P5386" t="str">
            <v>T67SEG</v>
          </cell>
          <cell r="Q5386" t="str">
            <v/>
          </cell>
        </row>
        <row r="5387">
          <cell r="N5387" t="str">
            <v>SEG</v>
          </cell>
          <cell r="O5387" t="str">
            <v>T69</v>
          </cell>
          <cell r="P5387" t="str">
            <v>T69SEG</v>
          </cell>
          <cell r="Q5387" t="str">
            <v/>
          </cell>
        </row>
        <row r="5388">
          <cell r="N5388" t="str">
            <v/>
          </cell>
          <cell r="O5388" t="str">
            <v/>
          </cell>
          <cell r="P5388" t="str">
            <v/>
          </cell>
          <cell r="Q5388" t="str">
            <v/>
          </cell>
        </row>
        <row r="5389">
          <cell r="N5389" t="str">
            <v>GEN</v>
          </cell>
          <cell r="O5389" t="str">
            <v/>
          </cell>
          <cell r="P5389" t="str">
            <v/>
          </cell>
          <cell r="Q5389" t="str">
            <v/>
          </cell>
        </row>
        <row r="5390">
          <cell r="N5390" t="str">
            <v>GEN</v>
          </cell>
          <cell r="O5390" t="str">
            <v>G05</v>
          </cell>
          <cell r="P5390" t="str">
            <v>G05GEN</v>
          </cell>
          <cell r="Q5390" t="str">
            <v/>
          </cell>
        </row>
        <row r="5391">
          <cell r="N5391" t="str">
            <v>SEG</v>
          </cell>
          <cell r="O5391" t="str">
            <v/>
          </cell>
          <cell r="P5391" t="str">
            <v/>
          </cell>
          <cell r="Q5391" t="str">
            <v/>
          </cell>
        </row>
        <row r="5392">
          <cell r="N5392" t="str">
            <v>SEG</v>
          </cell>
          <cell r="O5392" t="str">
            <v>M01</v>
          </cell>
          <cell r="P5392" t="str">
            <v>M01SEG</v>
          </cell>
          <cell r="Q5392" t="str">
            <v/>
          </cell>
        </row>
        <row r="5393">
          <cell r="N5393" t="str">
            <v>SEG</v>
          </cell>
          <cell r="O5393" t="str">
            <v>M06</v>
          </cell>
          <cell r="P5393" t="str">
            <v>M06SEG</v>
          </cell>
          <cell r="Q5393" t="str">
            <v/>
          </cell>
        </row>
        <row r="5394">
          <cell r="N5394" t="str">
            <v/>
          </cell>
          <cell r="O5394" t="str">
            <v/>
          </cell>
          <cell r="P5394" t="str">
            <v/>
          </cell>
          <cell r="Q5394" t="str">
            <v/>
          </cell>
        </row>
        <row r="5395">
          <cell r="N5395" t="str">
            <v/>
          </cell>
          <cell r="O5395" t="str">
            <v/>
          </cell>
          <cell r="P5395" t="str">
            <v/>
          </cell>
          <cell r="Q5395" t="str">
            <v/>
          </cell>
        </row>
        <row r="5396">
          <cell r="N5396" t="str">
            <v/>
          </cell>
          <cell r="O5396" t="str">
            <v/>
          </cell>
          <cell r="P5396" t="str">
            <v/>
          </cell>
          <cell r="Q5396" t="str">
            <v/>
          </cell>
        </row>
        <row r="5397">
          <cell r="N5397" t="str">
            <v>SEG</v>
          </cell>
          <cell r="O5397" t="str">
            <v/>
          </cell>
          <cell r="P5397" t="str">
            <v/>
          </cell>
          <cell r="Q5397" t="str">
            <v/>
          </cell>
        </row>
        <row r="5398">
          <cell r="N5398" t="str">
            <v>SEG</v>
          </cell>
          <cell r="O5398" t="str">
            <v>LI1</v>
          </cell>
          <cell r="P5398" t="str">
            <v>LI1SEG</v>
          </cell>
          <cell r="Q5398" t="str">
            <v/>
          </cell>
        </row>
        <row r="5399">
          <cell r="N5399" t="str">
            <v>SEG</v>
          </cell>
          <cell r="O5399" t="str">
            <v>P92</v>
          </cell>
          <cell r="P5399" t="str">
            <v>P92SEG</v>
          </cell>
          <cell r="Q5399" t="str">
            <v/>
          </cell>
        </row>
        <row r="5400">
          <cell r="N5400" t="str">
            <v>SEG</v>
          </cell>
          <cell r="O5400" t="str">
            <v>P94</v>
          </cell>
          <cell r="P5400" t="str">
            <v>P94SEG</v>
          </cell>
          <cell r="Q5400" t="str">
            <v/>
          </cell>
        </row>
        <row r="5401">
          <cell r="N5401" t="str">
            <v>SEG</v>
          </cell>
          <cell r="O5401" t="str">
            <v>T74</v>
          </cell>
          <cell r="P5401" t="str">
            <v>T74SEG</v>
          </cell>
          <cell r="Q5401" t="str">
            <v/>
          </cell>
        </row>
        <row r="5402">
          <cell r="N5402" t="str">
            <v>SEG</v>
          </cell>
          <cell r="O5402" t="str">
            <v>T75</v>
          </cell>
          <cell r="P5402" t="str">
            <v>T75SEG</v>
          </cell>
          <cell r="Q5402" t="str">
            <v/>
          </cell>
        </row>
        <row r="5403">
          <cell r="N5403" t="str">
            <v>SEG</v>
          </cell>
          <cell r="O5403" t="str">
            <v>T87</v>
          </cell>
          <cell r="P5403" t="str">
            <v>T87SEG</v>
          </cell>
          <cell r="Q5403" t="str">
            <v/>
          </cell>
        </row>
        <row r="5404">
          <cell r="N5404" t="str">
            <v>SEG</v>
          </cell>
          <cell r="O5404" t="str">
            <v>T88</v>
          </cell>
          <cell r="P5404" t="str">
            <v>T88SEG</v>
          </cell>
          <cell r="Q5404" t="str">
            <v/>
          </cell>
        </row>
        <row r="5405">
          <cell r="N5405" t="str">
            <v/>
          </cell>
          <cell r="O5405" t="str">
            <v/>
          </cell>
          <cell r="P5405" t="str">
            <v/>
          </cell>
          <cell r="Q5405" t="str">
            <v/>
          </cell>
        </row>
        <row r="5406">
          <cell r="N5406" t="str">
            <v>SEG</v>
          </cell>
          <cell r="O5406" t="str">
            <v/>
          </cell>
          <cell r="P5406" t="str">
            <v/>
          </cell>
          <cell r="Q5406" t="str">
            <v/>
          </cell>
        </row>
        <row r="5407">
          <cell r="N5407" t="str">
            <v>SEG</v>
          </cell>
          <cell r="O5407" t="str">
            <v>LIA</v>
          </cell>
          <cell r="P5407" t="str">
            <v>LIASEG</v>
          </cell>
          <cell r="Q5407" t="str">
            <v/>
          </cell>
        </row>
        <row r="5408">
          <cell r="N5408" t="str">
            <v/>
          </cell>
          <cell r="O5408" t="str">
            <v/>
          </cell>
          <cell r="P5408" t="str">
            <v/>
          </cell>
          <cell r="Q5408" t="str">
            <v/>
          </cell>
        </row>
        <row r="5409">
          <cell r="N5409" t="str">
            <v>SEG</v>
          </cell>
          <cell r="O5409" t="str">
            <v/>
          </cell>
          <cell r="P5409" t="str">
            <v/>
          </cell>
          <cell r="Q5409" t="str">
            <v/>
          </cell>
        </row>
        <row r="5410">
          <cell r="N5410" t="str">
            <v>SEG</v>
          </cell>
          <cell r="O5410" t="str">
            <v>M00</v>
          </cell>
          <cell r="P5410" t="str">
            <v>M00SEG</v>
          </cell>
          <cell r="Q5410" t="str">
            <v/>
          </cell>
        </row>
        <row r="5411">
          <cell r="N5411" t="str">
            <v>SEG</v>
          </cell>
          <cell r="O5411" t="str">
            <v>M02</v>
          </cell>
          <cell r="P5411" t="str">
            <v>M02SEG</v>
          </cell>
          <cell r="Q5411" t="str">
            <v/>
          </cell>
        </row>
        <row r="5412">
          <cell r="N5412" t="str">
            <v/>
          </cell>
          <cell r="O5412" t="str">
            <v/>
          </cell>
          <cell r="P5412" t="str">
            <v/>
          </cell>
          <cell r="Q5412" t="str">
            <v/>
          </cell>
        </row>
        <row r="5413">
          <cell r="N5413" t="str">
            <v/>
          </cell>
          <cell r="O5413" t="str">
            <v/>
          </cell>
          <cell r="P5413" t="str">
            <v/>
          </cell>
          <cell r="Q5413" t="str">
            <v/>
          </cell>
        </row>
        <row r="5414">
          <cell r="N5414" t="str">
            <v>SEG</v>
          </cell>
          <cell r="O5414" t="str">
            <v/>
          </cell>
          <cell r="P5414" t="str">
            <v/>
          </cell>
          <cell r="Q5414" t="str">
            <v/>
          </cell>
        </row>
        <row r="5415">
          <cell r="N5415" t="str">
            <v>SEG</v>
          </cell>
          <cell r="O5415" t="str">
            <v>M03</v>
          </cell>
          <cell r="P5415" t="str">
            <v>M03SEG</v>
          </cell>
          <cell r="Q5415" t="str">
            <v/>
          </cell>
        </row>
        <row r="5416">
          <cell r="N5416" t="str">
            <v>SEG</v>
          </cell>
          <cell r="O5416" t="str">
            <v>P97</v>
          </cell>
          <cell r="P5416" t="str">
            <v>P97SEG</v>
          </cell>
          <cell r="Q5416" t="str">
            <v/>
          </cell>
        </row>
        <row r="5417">
          <cell r="N5417" t="str">
            <v>SEG</v>
          </cell>
          <cell r="O5417" t="str">
            <v>T02</v>
          </cell>
          <cell r="P5417" t="str">
            <v>T02SEG</v>
          </cell>
          <cell r="Q5417" t="str">
            <v/>
          </cell>
        </row>
        <row r="5418">
          <cell r="N5418" t="str">
            <v/>
          </cell>
          <cell r="O5418" t="str">
            <v/>
          </cell>
          <cell r="P5418" t="str">
            <v/>
          </cell>
          <cell r="Q5418" t="str">
            <v/>
          </cell>
        </row>
        <row r="5419">
          <cell r="N5419" t="str">
            <v>SEG</v>
          </cell>
          <cell r="O5419" t="str">
            <v/>
          </cell>
          <cell r="P5419" t="str">
            <v/>
          </cell>
          <cell r="Q5419" t="str">
            <v/>
          </cell>
        </row>
        <row r="5420">
          <cell r="N5420" t="str">
            <v>SEG</v>
          </cell>
          <cell r="O5420" t="str">
            <v>M08</v>
          </cell>
          <cell r="P5420" t="str">
            <v>M08SEG</v>
          </cell>
          <cell r="Q5420" t="str">
            <v/>
          </cell>
        </row>
        <row r="5421">
          <cell r="N5421" t="str">
            <v/>
          </cell>
          <cell r="O5421" t="str">
            <v/>
          </cell>
          <cell r="P5421" t="str">
            <v/>
          </cell>
          <cell r="Q5421" t="str">
            <v/>
          </cell>
        </row>
        <row r="5422">
          <cell r="N5422" t="str">
            <v>SEG</v>
          </cell>
          <cell r="O5422" t="str">
            <v/>
          </cell>
          <cell r="P5422" t="str">
            <v/>
          </cell>
          <cell r="Q5422" t="str">
            <v/>
          </cell>
        </row>
        <row r="5423">
          <cell r="N5423" t="str">
            <v>SEG</v>
          </cell>
          <cell r="O5423" t="str">
            <v>M04</v>
          </cell>
          <cell r="P5423" t="str">
            <v>M04SEG</v>
          </cell>
          <cell r="Q5423" t="str">
            <v/>
          </cell>
        </row>
        <row r="5424">
          <cell r="N5424" t="str">
            <v>SEG</v>
          </cell>
          <cell r="O5424" t="str">
            <v>M11</v>
          </cell>
          <cell r="P5424" t="str">
            <v>M11SEG</v>
          </cell>
          <cell r="Q5424" t="str">
            <v/>
          </cell>
        </row>
        <row r="5425">
          <cell r="N5425" t="str">
            <v/>
          </cell>
          <cell r="O5425" t="str">
            <v/>
          </cell>
          <cell r="P5425" t="str">
            <v/>
          </cell>
          <cell r="Q5425" t="str">
            <v/>
          </cell>
        </row>
        <row r="5426">
          <cell r="N5426" t="str">
            <v/>
          </cell>
          <cell r="O5426" t="str">
            <v/>
          </cell>
          <cell r="P5426" t="str">
            <v/>
          </cell>
          <cell r="Q5426" t="str">
            <v/>
          </cell>
        </row>
        <row r="5427">
          <cell r="N5427" t="str">
            <v>SEG</v>
          </cell>
          <cell r="O5427" t="str">
            <v/>
          </cell>
          <cell r="P5427" t="str">
            <v/>
          </cell>
          <cell r="Q5427" t="str">
            <v/>
          </cell>
        </row>
        <row r="5428">
          <cell r="N5428" t="str">
            <v>SEG</v>
          </cell>
          <cell r="O5428" t="str">
            <v>P98</v>
          </cell>
          <cell r="P5428" t="str">
            <v>P98SEG</v>
          </cell>
          <cell r="Q5428" t="str">
            <v/>
          </cell>
        </row>
        <row r="5429">
          <cell r="N5429" t="str">
            <v>SEG</v>
          </cell>
          <cell r="O5429" t="str">
            <v>T03</v>
          </cell>
          <cell r="P5429" t="str">
            <v>T03SEG</v>
          </cell>
          <cell r="Q5429" t="str">
            <v/>
          </cell>
        </row>
        <row r="5430">
          <cell r="N5430" t="str">
            <v>SEG</v>
          </cell>
          <cell r="O5430" t="str">
            <v>T04</v>
          </cell>
          <cell r="P5430" t="str">
            <v>T04SEG</v>
          </cell>
          <cell r="Q5430" t="str">
            <v/>
          </cell>
        </row>
        <row r="5431">
          <cell r="N5431" t="str">
            <v/>
          </cell>
          <cell r="O5431" t="str">
            <v/>
          </cell>
          <cell r="P5431" t="str">
            <v/>
          </cell>
          <cell r="Q5431" t="str">
            <v/>
          </cell>
        </row>
        <row r="5432">
          <cell r="N5432" t="str">
            <v>SEG</v>
          </cell>
          <cell r="O5432" t="str">
            <v/>
          </cell>
          <cell r="P5432" t="str">
            <v/>
          </cell>
          <cell r="Q5432" t="str">
            <v/>
          </cell>
        </row>
        <row r="5433">
          <cell r="N5433" t="str">
            <v>SEG</v>
          </cell>
          <cell r="O5433" t="str">
            <v>P99</v>
          </cell>
          <cell r="P5433" t="str">
            <v>P99SEG</v>
          </cell>
          <cell r="Q5433" t="str">
            <v/>
          </cell>
        </row>
        <row r="5434">
          <cell r="N5434" t="str">
            <v/>
          </cell>
          <cell r="O5434" t="str">
            <v/>
          </cell>
          <cell r="P5434" t="str">
            <v/>
          </cell>
          <cell r="Q5434" t="str">
            <v/>
          </cell>
        </row>
        <row r="5435">
          <cell r="N5435" t="str">
            <v>SEG</v>
          </cell>
          <cell r="O5435" t="str">
            <v/>
          </cell>
          <cell r="P5435" t="str">
            <v/>
          </cell>
          <cell r="Q5435" t="str">
            <v/>
          </cell>
        </row>
        <row r="5436">
          <cell r="N5436" t="str">
            <v>SEG</v>
          </cell>
          <cell r="O5436" t="str">
            <v>T05</v>
          </cell>
          <cell r="P5436" t="str">
            <v>T05SEG</v>
          </cell>
          <cell r="Q5436" t="str">
            <v/>
          </cell>
        </row>
        <row r="5437">
          <cell r="N5437" t="str">
            <v/>
          </cell>
          <cell r="O5437" t="str">
            <v/>
          </cell>
          <cell r="P5437" t="str">
            <v/>
          </cell>
          <cell r="Q5437" t="str">
            <v/>
          </cell>
        </row>
        <row r="5438">
          <cell r="N5438" t="str">
            <v>SEG</v>
          </cell>
          <cell r="O5438" t="str">
            <v/>
          </cell>
          <cell r="P5438" t="str">
            <v/>
          </cell>
          <cell r="Q5438" t="str">
            <v/>
          </cell>
        </row>
        <row r="5439">
          <cell r="N5439" t="str">
            <v>SEG</v>
          </cell>
          <cell r="O5439" t="str">
            <v>P16</v>
          </cell>
          <cell r="P5439" t="str">
            <v>P16SEG</v>
          </cell>
          <cell r="Q5439" t="str">
            <v/>
          </cell>
        </row>
        <row r="5440">
          <cell r="N5440" t="str">
            <v>SEG</v>
          </cell>
          <cell r="O5440" t="str">
            <v>P17</v>
          </cell>
          <cell r="P5440" t="str">
            <v>P17SEG</v>
          </cell>
          <cell r="Q5440" t="str">
            <v/>
          </cell>
        </row>
        <row r="5441">
          <cell r="N5441" t="str">
            <v>SEG</v>
          </cell>
          <cell r="O5441" t="str">
            <v>P18</v>
          </cell>
          <cell r="P5441" t="str">
            <v>P18SEG</v>
          </cell>
          <cell r="Q5441" t="str">
            <v/>
          </cell>
        </row>
        <row r="5442">
          <cell r="N5442" t="str">
            <v>SEG</v>
          </cell>
          <cell r="O5442" t="str">
            <v>P19</v>
          </cell>
          <cell r="P5442" t="str">
            <v>P19SEG</v>
          </cell>
          <cell r="Q5442" t="str">
            <v/>
          </cell>
        </row>
        <row r="5443">
          <cell r="N5443" t="str">
            <v>SEG</v>
          </cell>
          <cell r="O5443" t="str">
            <v>P20</v>
          </cell>
          <cell r="P5443" t="str">
            <v>P20SEG</v>
          </cell>
          <cell r="Q5443" t="str">
            <v/>
          </cell>
        </row>
        <row r="5444">
          <cell r="N5444" t="str">
            <v>SEG</v>
          </cell>
          <cell r="O5444" t="str">
            <v>P21</v>
          </cell>
          <cell r="P5444" t="str">
            <v>P21SEG</v>
          </cell>
          <cell r="Q5444" t="str">
            <v/>
          </cell>
        </row>
        <row r="5445">
          <cell r="N5445" t="str">
            <v>SEG</v>
          </cell>
          <cell r="O5445" t="str">
            <v>P22</v>
          </cell>
          <cell r="P5445" t="str">
            <v>P22SEG</v>
          </cell>
          <cell r="Q5445" t="str">
            <v/>
          </cell>
        </row>
        <row r="5446">
          <cell r="N5446" t="str">
            <v>SEG</v>
          </cell>
          <cell r="O5446" t="str">
            <v>P23</v>
          </cell>
          <cell r="P5446" t="str">
            <v>P23SEG</v>
          </cell>
          <cell r="Q5446" t="str">
            <v/>
          </cell>
        </row>
        <row r="5447">
          <cell r="N5447" t="str">
            <v>SEG</v>
          </cell>
          <cell r="O5447" t="str">
            <v>P24</v>
          </cell>
          <cell r="P5447" t="str">
            <v>P24SEG</v>
          </cell>
          <cell r="Q5447" t="str">
            <v/>
          </cell>
        </row>
        <row r="5448">
          <cell r="N5448" t="str">
            <v>SEG</v>
          </cell>
          <cell r="O5448" t="str">
            <v>P25</v>
          </cell>
          <cell r="P5448" t="str">
            <v>P25SEG</v>
          </cell>
          <cell r="Q5448" t="str">
            <v/>
          </cell>
        </row>
        <row r="5449">
          <cell r="N5449" t="str">
            <v>SEG</v>
          </cell>
          <cell r="O5449" t="str">
            <v>P26</v>
          </cell>
          <cell r="P5449" t="str">
            <v>P26SEG</v>
          </cell>
          <cell r="Q5449" t="str">
            <v/>
          </cell>
        </row>
        <row r="5450">
          <cell r="N5450" t="str">
            <v>SEG</v>
          </cell>
          <cell r="O5450" t="str">
            <v>P27</v>
          </cell>
          <cell r="P5450" t="str">
            <v>P27SEG</v>
          </cell>
          <cell r="Q5450" t="str">
            <v/>
          </cell>
        </row>
        <row r="5451">
          <cell r="N5451" t="str">
            <v>SEG</v>
          </cell>
          <cell r="O5451" t="str">
            <v>P28</v>
          </cell>
          <cell r="P5451" t="str">
            <v>P28SEG</v>
          </cell>
          <cell r="Q5451" t="str">
            <v/>
          </cell>
        </row>
        <row r="5452">
          <cell r="N5452" t="str">
            <v>SEG</v>
          </cell>
          <cell r="O5452" t="str">
            <v>P29</v>
          </cell>
          <cell r="P5452" t="str">
            <v>P29SEG</v>
          </cell>
          <cell r="Q5452" t="str">
            <v/>
          </cell>
        </row>
        <row r="5453">
          <cell r="N5453" t="str">
            <v>SEG</v>
          </cell>
          <cell r="O5453" t="str">
            <v>P30</v>
          </cell>
          <cell r="P5453" t="str">
            <v>P30SEG</v>
          </cell>
          <cell r="Q5453" t="str">
            <v/>
          </cell>
        </row>
        <row r="5454">
          <cell r="N5454" t="str">
            <v>SEG</v>
          </cell>
          <cell r="O5454" t="str">
            <v>P31</v>
          </cell>
          <cell r="P5454" t="str">
            <v>P31SEG</v>
          </cell>
          <cell r="Q5454" t="str">
            <v/>
          </cell>
        </row>
        <row r="5455">
          <cell r="N5455" t="str">
            <v>SEG</v>
          </cell>
          <cell r="O5455" t="str">
            <v>P32</v>
          </cell>
          <cell r="P5455" t="str">
            <v>P32SEG</v>
          </cell>
          <cell r="Q5455" t="str">
            <v/>
          </cell>
        </row>
        <row r="5456">
          <cell r="N5456" t="str">
            <v>SEG</v>
          </cell>
          <cell r="O5456" t="str">
            <v>P33</v>
          </cell>
          <cell r="P5456" t="str">
            <v>P33SEG</v>
          </cell>
          <cell r="Q5456" t="str">
            <v/>
          </cell>
        </row>
        <row r="5457">
          <cell r="N5457" t="str">
            <v>SEG</v>
          </cell>
          <cell r="O5457" t="str">
            <v>P34</v>
          </cell>
          <cell r="P5457" t="str">
            <v>P34SEG</v>
          </cell>
          <cell r="Q5457" t="str">
            <v/>
          </cell>
        </row>
        <row r="5458">
          <cell r="N5458" t="str">
            <v>SEG</v>
          </cell>
          <cell r="O5458" t="str">
            <v>P35</v>
          </cell>
          <cell r="P5458" t="str">
            <v>P35SEG</v>
          </cell>
          <cell r="Q5458" t="str">
            <v/>
          </cell>
        </row>
        <row r="5459">
          <cell r="N5459" t="str">
            <v>SEG</v>
          </cell>
          <cell r="O5459" t="str">
            <v>P36</v>
          </cell>
          <cell r="P5459" t="str">
            <v>P36SEG</v>
          </cell>
          <cell r="Q5459" t="str">
            <v/>
          </cell>
        </row>
        <row r="5460">
          <cell r="N5460" t="str">
            <v>SEG</v>
          </cell>
          <cell r="O5460" t="str">
            <v>P37</v>
          </cell>
          <cell r="P5460" t="str">
            <v>P37SEG</v>
          </cell>
          <cell r="Q5460" t="str">
            <v/>
          </cell>
        </row>
        <row r="5461">
          <cell r="N5461" t="str">
            <v>SEG</v>
          </cell>
          <cell r="O5461" t="str">
            <v>P38</v>
          </cell>
          <cell r="P5461" t="str">
            <v>P38SEG</v>
          </cell>
          <cell r="Q5461" t="str">
            <v/>
          </cell>
        </row>
        <row r="5462">
          <cell r="N5462" t="str">
            <v>SEG</v>
          </cell>
          <cell r="O5462" t="str">
            <v>P39</v>
          </cell>
          <cell r="P5462" t="str">
            <v>P39SEG</v>
          </cell>
          <cell r="Q5462" t="str">
            <v/>
          </cell>
        </row>
        <row r="5463">
          <cell r="N5463" t="str">
            <v>SEG</v>
          </cell>
          <cell r="O5463" t="str">
            <v>P40</v>
          </cell>
          <cell r="P5463" t="str">
            <v>P40SEG</v>
          </cell>
          <cell r="Q5463" t="str">
            <v/>
          </cell>
        </row>
        <row r="5464">
          <cell r="N5464" t="str">
            <v>SEG</v>
          </cell>
          <cell r="O5464" t="str">
            <v>P51</v>
          </cell>
          <cell r="P5464" t="str">
            <v>P51SEG</v>
          </cell>
          <cell r="Q5464" t="str">
            <v/>
          </cell>
        </row>
        <row r="5465">
          <cell r="N5465" t="str">
            <v>SEG</v>
          </cell>
          <cell r="O5465" t="str">
            <v>P52</v>
          </cell>
          <cell r="P5465" t="str">
            <v>P52SEG</v>
          </cell>
          <cell r="Q5465" t="str">
            <v/>
          </cell>
        </row>
        <row r="5466">
          <cell r="N5466" t="str">
            <v>SEG</v>
          </cell>
          <cell r="O5466" t="str">
            <v>P53</v>
          </cell>
          <cell r="P5466" t="str">
            <v>P53SEG</v>
          </cell>
          <cell r="Q5466" t="str">
            <v/>
          </cell>
        </row>
        <row r="5467">
          <cell r="N5467" t="str">
            <v>SEG</v>
          </cell>
          <cell r="O5467" t="str">
            <v>P54</v>
          </cell>
          <cell r="P5467" t="str">
            <v>P54SEG</v>
          </cell>
          <cell r="Q5467" t="str">
            <v/>
          </cell>
        </row>
        <row r="5468">
          <cell r="N5468" t="str">
            <v>SEG</v>
          </cell>
          <cell r="O5468" t="str">
            <v>P55</v>
          </cell>
          <cell r="P5468" t="str">
            <v>P55SEG</v>
          </cell>
          <cell r="Q5468" t="str">
            <v/>
          </cell>
        </row>
        <row r="5469">
          <cell r="N5469" t="str">
            <v>SEG</v>
          </cell>
          <cell r="O5469" t="str">
            <v>P56</v>
          </cell>
          <cell r="P5469" t="str">
            <v>P56SEG</v>
          </cell>
          <cell r="Q5469" t="str">
            <v/>
          </cell>
        </row>
        <row r="5470">
          <cell r="N5470" t="str">
            <v/>
          </cell>
          <cell r="O5470" t="str">
            <v/>
          </cell>
          <cell r="P5470" t="str">
            <v/>
          </cell>
          <cell r="Q5470" t="str">
            <v/>
          </cell>
        </row>
        <row r="5471">
          <cell r="N5471" t="str">
            <v/>
          </cell>
          <cell r="O5471" t="str">
            <v/>
          </cell>
          <cell r="P5471" t="str">
            <v/>
          </cell>
          <cell r="Q5471" t="str">
            <v/>
          </cell>
        </row>
        <row r="5472">
          <cell r="N5472" t="str">
            <v>82903</v>
          </cell>
          <cell r="O5472" t="str">
            <v/>
          </cell>
          <cell r="P5472" t="str">
            <v/>
          </cell>
          <cell r="Q5472" t="str">
            <v>51581</v>
          </cell>
        </row>
        <row r="5473">
          <cell r="N5473" t="str">
            <v>82903</v>
          </cell>
          <cell r="O5473" t="str">
            <v>ONL</v>
          </cell>
          <cell r="P5473" t="str">
            <v>ONL82903</v>
          </cell>
          <cell r="Q5473" t="str">
            <v>51581</v>
          </cell>
        </row>
        <row r="5474">
          <cell r="N5474" t="str">
            <v/>
          </cell>
          <cell r="O5474" t="str">
            <v/>
          </cell>
          <cell r="P5474" t="str">
            <v/>
          </cell>
          <cell r="Q5474" t="str">
            <v/>
          </cell>
        </row>
        <row r="5475">
          <cell r="N5475" t="str">
            <v>SEG</v>
          </cell>
          <cell r="O5475" t="str">
            <v/>
          </cell>
          <cell r="P5475" t="str">
            <v/>
          </cell>
          <cell r="Q5475" t="str">
            <v/>
          </cell>
        </row>
        <row r="5476">
          <cell r="N5476" t="str">
            <v>SEG</v>
          </cell>
          <cell r="O5476" t="str">
            <v>FP0</v>
          </cell>
          <cell r="P5476" t="str">
            <v>FP0SEG</v>
          </cell>
          <cell r="Q5476" t="str">
            <v/>
          </cell>
        </row>
        <row r="5477">
          <cell r="N5477" t="str">
            <v>82903</v>
          </cell>
          <cell r="O5477" t="str">
            <v/>
          </cell>
          <cell r="P5477" t="str">
            <v/>
          </cell>
          <cell r="Q5477" t="str">
            <v>51581</v>
          </cell>
        </row>
        <row r="5478">
          <cell r="N5478" t="str">
            <v>82903</v>
          </cell>
          <cell r="O5478" t="str">
            <v>FP0</v>
          </cell>
          <cell r="P5478" t="str">
            <v>FP082903</v>
          </cell>
          <cell r="Q5478" t="str">
            <v>51581</v>
          </cell>
        </row>
        <row r="5479">
          <cell r="N5479" t="str">
            <v>82903</v>
          </cell>
          <cell r="O5479" t="str">
            <v>PF0</v>
          </cell>
          <cell r="P5479" t="str">
            <v>PF082903</v>
          </cell>
          <cell r="Q5479" t="str">
            <v>51581</v>
          </cell>
        </row>
        <row r="5480">
          <cell r="N5480" t="str">
            <v/>
          </cell>
          <cell r="O5480" t="str">
            <v/>
          </cell>
          <cell r="P5480" t="str">
            <v/>
          </cell>
          <cell r="Q5480" t="str">
            <v/>
          </cell>
        </row>
        <row r="5481">
          <cell r="N5481" t="str">
            <v/>
          </cell>
          <cell r="O5481" t="str">
            <v/>
          </cell>
          <cell r="P5481" t="str">
            <v/>
          </cell>
          <cell r="Q5481" t="str">
            <v/>
          </cell>
        </row>
        <row r="5482">
          <cell r="N5482" t="str">
            <v/>
          </cell>
          <cell r="O5482" t="str">
            <v/>
          </cell>
          <cell r="P5482" t="str">
            <v/>
          </cell>
          <cell r="Q5482" t="str">
            <v/>
          </cell>
        </row>
        <row r="5483">
          <cell r="N5483" t="str">
            <v>825919</v>
          </cell>
          <cell r="O5483" t="str">
            <v/>
          </cell>
          <cell r="P5483" t="str">
            <v/>
          </cell>
          <cell r="Q5483" t="str">
            <v>519399</v>
          </cell>
        </row>
        <row r="5484">
          <cell r="N5484" t="str">
            <v>825919</v>
          </cell>
          <cell r="O5484" t="str">
            <v>251</v>
          </cell>
          <cell r="P5484" t="str">
            <v>251825919</v>
          </cell>
          <cell r="Q5484" t="str">
            <v>519399</v>
          </cell>
        </row>
        <row r="5485">
          <cell r="N5485" t="str">
            <v>89341</v>
          </cell>
          <cell r="O5485" t="str">
            <v/>
          </cell>
          <cell r="P5485" t="str">
            <v/>
          </cell>
          <cell r="Q5485" t="str">
            <v>431110</v>
          </cell>
        </row>
        <row r="5486">
          <cell r="N5486" t="str">
            <v>89341</v>
          </cell>
          <cell r="O5486" t="str">
            <v>!GH</v>
          </cell>
          <cell r="P5486" t="str">
            <v>!GH89341</v>
          </cell>
          <cell r="Q5486" t="str">
            <v>431110</v>
          </cell>
        </row>
        <row r="5487">
          <cell r="N5487" t="str">
            <v>89341</v>
          </cell>
          <cell r="O5487" t="str">
            <v>LRA</v>
          </cell>
          <cell r="P5487" t="str">
            <v>LRA89341</v>
          </cell>
          <cell r="Q5487" t="str">
            <v>431110</v>
          </cell>
        </row>
        <row r="5488">
          <cell r="N5488" t="str">
            <v>89341</v>
          </cell>
          <cell r="O5488" t="str">
            <v>ONL</v>
          </cell>
          <cell r="P5488" t="str">
            <v>ONL89341</v>
          </cell>
          <cell r="Q5488" t="str">
            <v>431110</v>
          </cell>
        </row>
        <row r="5489">
          <cell r="N5489" t="str">
            <v>89341</v>
          </cell>
          <cell r="O5489" t="str">
            <v>POE</v>
          </cell>
          <cell r="P5489" t="str">
            <v>POE89341</v>
          </cell>
          <cell r="Q5489" t="str">
            <v>431110</v>
          </cell>
        </row>
        <row r="5490">
          <cell r="N5490" t="str">
            <v>89341</v>
          </cell>
          <cell r="O5490" t="str">
            <v>POR</v>
          </cell>
          <cell r="P5490" t="str">
            <v>POR89341</v>
          </cell>
          <cell r="Q5490" t="str">
            <v>431110</v>
          </cell>
        </row>
        <row r="5491">
          <cell r="N5491" t="str">
            <v>89341</v>
          </cell>
          <cell r="O5491" t="str">
            <v>REG</v>
          </cell>
          <cell r="P5491" t="str">
            <v>REG89341</v>
          </cell>
          <cell r="Q5491" t="str">
            <v>431110</v>
          </cell>
        </row>
        <row r="5492">
          <cell r="N5492" t="str">
            <v>89341</v>
          </cell>
          <cell r="O5492" t="str">
            <v>086</v>
          </cell>
          <cell r="P5492" t="str">
            <v>08689341</v>
          </cell>
          <cell r="Q5492" t="str">
            <v>431110</v>
          </cell>
        </row>
        <row r="5493">
          <cell r="N5493" t="str">
            <v>89341</v>
          </cell>
          <cell r="O5493" t="str">
            <v>111</v>
          </cell>
          <cell r="P5493" t="str">
            <v>11189341</v>
          </cell>
          <cell r="Q5493" t="str">
            <v>431110</v>
          </cell>
        </row>
        <row r="5494">
          <cell r="N5494" t="str">
            <v>89344</v>
          </cell>
          <cell r="O5494" t="str">
            <v/>
          </cell>
          <cell r="P5494" t="str">
            <v/>
          </cell>
          <cell r="Q5494" t="str">
            <v>431110</v>
          </cell>
        </row>
        <row r="5495">
          <cell r="N5495" t="str">
            <v>89344</v>
          </cell>
          <cell r="O5495" t="str">
            <v>ONL</v>
          </cell>
          <cell r="P5495" t="str">
            <v>ONL89344</v>
          </cell>
          <cell r="Q5495" t="str">
            <v>431110</v>
          </cell>
        </row>
        <row r="5496">
          <cell r="N5496" t="str">
            <v>89344</v>
          </cell>
          <cell r="O5496" t="str">
            <v>REG</v>
          </cell>
          <cell r="P5496" t="str">
            <v>REG89344</v>
          </cell>
          <cell r="Q5496" t="str">
            <v>431110</v>
          </cell>
        </row>
        <row r="5497">
          <cell r="N5497" t="str">
            <v>89344</v>
          </cell>
          <cell r="O5497" t="str">
            <v>TBK</v>
          </cell>
          <cell r="P5497" t="str">
            <v>TBK89344</v>
          </cell>
          <cell r="Q5497" t="str">
            <v>431110</v>
          </cell>
        </row>
        <row r="5498">
          <cell r="N5498" t="str">
            <v>89344</v>
          </cell>
          <cell r="O5498" t="str">
            <v>111</v>
          </cell>
          <cell r="P5498" t="str">
            <v>11189344</v>
          </cell>
          <cell r="Q5498" t="str">
            <v>431110</v>
          </cell>
        </row>
        <row r="5499">
          <cell r="N5499" t="str">
            <v/>
          </cell>
          <cell r="O5499" t="str">
            <v/>
          </cell>
          <cell r="P5499" t="str">
            <v/>
          </cell>
          <cell r="Q5499" t="str">
            <v/>
          </cell>
        </row>
        <row r="5500">
          <cell r="N5500" t="str">
            <v>89342</v>
          </cell>
          <cell r="O5500" t="str">
            <v/>
          </cell>
          <cell r="P5500" t="str">
            <v/>
          </cell>
          <cell r="Q5500" t="str">
            <v>431111</v>
          </cell>
        </row>
        <row r="5501">
          <cell r="N5501" t="str">
            <v>89342</v>
          </cell>
          <cell r="O5501" t="str">
            <v>BTD</v>
          </cell>
          <cell r="P5501" t="str">
            <v>BTD89342</v>
          </cell>
          <cell r="Q5501" t="str">
            <v>431111</v>
          </cell>
        </row>
        <row r="5502">
          <cell r="N5502" t="str">
            <v>89342</v>
          </cell>
          <cell r="O5502" t="str">
            <v>BTI</v>
          </cell>
          <cell r="P5502" t="str">
            <v>BTI89342</v>
          </cell>
          <cell r="Q5502" t="str">
            <v>431111</v>
          </cell>
        </row>
        <row r="5503">
          <cell r="N5503" t="str">
            <v>89342</v>
          </cell>
          <cell r="O5503" t="str">
            <v>BUD</v>
          </cell>
          <cell r="P5503" t="str">
            <v>BUD89342</v>
          </cell>
          <cell r="Q5503" t="str">
            <v>431111</v>
          </cell>
        </row>
        <row r="5504">
          <cell r="N5504" t="str">
            <v>89342</v>
          </cell>
          <cell r="O5504" t="str">
            <v>BUJ</v>
          </cell>
          <cell r="P5504" t="str">
            <v>BUJ89342</v>
          </cell>
          <cell r="Q5504" t="str">
            <v>431111</v>
          </cell>
        </row>
        <row r="5505">
          <cell r="N5505" t="str">
            <v>89342</v>
          </cell>
          <cell r="O5505" t="str">
            <v>ECU</v>
          </cell>
          <cell r="P5505" t="str">
            <v>ECU89342</v>
          </cell>
          <cell r="Q5505" t="str">
            <v>431111</v>
          </cell>
        </row>
        <row r="5506">
          <cell r="N5506" t="str">
            <v>89342</v>
          </cell>
          <cell r="O5506" t="str">
            <v>EF4</v>
          </cell>
          <cell r="P5506" t="str">
            <v>EF489342</v>
          </cell>
          <cell r="Q5506" t="str">
            <v>431111</v>
          </cell>
        </row>
        <row r="5507">
          <cell r="N5507" t="str">
            <v>89342</v>
          </cell>
          <cell r="O5507" t="str">
            <v>LRA</v>
          </cell>
          <cell r="P5507" t="str">
            <v>LRA89342</v>
          </cell>
          <cell r="Q5507" t="str">
            <v>431111</v>
          </cell>
        </row>
        <row r="5508">
          <cell r="N5508" t="str">
            <v>89342</v>
          </cell>
          <cell r="O5508" t="str">
            <v>LTA</v>
          </cell>
          <cell r="P5508" t="str">
            <v>LTA89342</v>
          </cell>
          <cell r="Q5508" t="str">
            <v>431111</v>
          </cell>
        </row>
        <row r="5509">
          <cell r="N5509" t="str">
            <v>89342</v>
          </cell>
          <cell r="O5509" t="str">
            <v>OAS</v>
          </cell>
          <cell r="P5509" t="str">
            <v>OAS89342</v>
          </cell>
          <cell r="Q5509" t="str">
            <v>431111</v>
          </cell>
        </row>
        <row r="5510">
          <cell r="N5510" t="str">
            <v>89342</v>
          </cell>
          <cell r="O5510" t="str">
            <v>ODQ</v>
          </cell>
          <cell r="P5510" t="str">
            <v>ODQ89342</v>
          </cell>
          <cell r="Q5510" t="str">
            <v>431111</v>
          </cell>
        </row>
        <row r="5511">
          <cell r="N5511" t="str">
            <v>89342</v>
          </cell>
          <cell r="O5511" t="str">
            <v>ONL</v>
          </cell>
          <cell r="P5511" t="str">
            <v>ONL89342</v>
          </cell>
          <cell r="Q5511" t="str">
            <v>431111</v>
          </cell>
        </row>
        <row r="5512">
          <cell r="N5512" t="str">
            <v>89342</v>
          </cell>
          <cell r="O5512" t="str">
            <v>PPC</v>
          </cell>
          <cell r="P5512" t="str">
            <v>PPC89342</v>
          </cell>
          <cell r="Q5512" t="str">
            <v>431111</v>
          </cell>
        </row>
        <row r="5513">
          <cell r="N5513" t="str">
            <v>89342</v>
          </cell>
          <cell r="O5513" t="str">
            <v>REG</v>
          </cell>
          <cell r="P5513" t="str">
            <v>REG89342</v>
          </cell>
          <cell r="Q5513" t="str">
            <v>431111</v>
          </cell>
        </row>
        <row r="5514">
          <cell r="N5514" t="str">
            <v>89342</v>
          </cell>
          <cell r="O5514" t="str">
            <v>TAU</v>
          </cell>
          <cell r="P5514" t="str">
            <v>TAU89342</v>
          </cell>
          <cell r="Q5514" t="str">
            <v>431111</v>
          </cell>
        </row>
        <row r="5515">
          <cell r="N5515" t="str">
            <v>89342</v>
          </cell>
          <cell r="O5515" t="str">
            <v>TBJ</v>
          </cell>
          <cell r="P5515" t="str">
            <v>TBJ89342</v>
          </cell>
          <cell r="Q5515" t="str">
            <v>431111</v>
          </cell>
        </row>
        <row r="5516">
          <cell r="N5516" t="str">
            <v>89342</v>
          </cell>
          <cell r="O5516" t="str">
            <v>TES</v>
          </cell>
          <cell r="P5516" t="str">
            <v>TES89342</v>
          </cell>
          <cell r="Q5516" t="str">
            <v>431111</v>
          </cell>
        </row>
        <row r="5517">
          <cell r="N5517" t="str">
            <v>89342</v>
          </cell>
          <cell r="O5517" t="str">
            <v>TEZ</v>
          </cell>
          <cell r="P5517" t="str">
            <v>TEZ89342</v>
          </cell>
          <cell r="Q5517" t="str">
            <v>431111</v>
          </cell>
        </row>
        <row r="5518">
          <cell r="N5518" t="str">
            <v>89342</v>
          </cell>
          <cell r="O5518" t="str">
            <v>TTI</v>
          </cell>
          <cell r="P5518" t="str">
            <v>TTI89342</v>
          </cell>
          <cell r="Q5518" t="str">
            <v>431111</v>
          </cell>
        </row>
        <row r="5519">
          <cell r="N5519" t="str">
            <v>89342</v>
          </cell>
          <cell r="O5519" t="str">
            <v>TTV</v>
          </cell>
          <cell r="P5519" t="str">
            <v>TTV89342</v>
          </cell>
          <cell r="Q5519" t="str">
            <v>431111</v>
          </cell>
        </row>
        <row r="5520">
          <cell r="N5520" t="str">
            <v>89342</v>
          </cell>
          <cell r="O5520" t="str">
            <v>T6C</v>
          </cell>
          <cell r="P5520" t="str">
            <v>T6C89342</v>
          </cell>
          <cell r="Q5520" t="str">
            <v>431111</v>
          </cell>
        </row>
        <row r="5521">
          <cell r="N5521" t="str">
            <v>89342</v>
          </cell>
          <cell r="O5521" t="str">
            <v>UF7</v>
          </cell>
          <cell r="P5521" t="str">
            <v>UF789342</v>
          </cell>
          <cell r="Q5521" t="str">
            <v>431111</v>
          </cell>
        </row>
        <row r="5522">
          <cell r="N5522" t="str">
            <v>89342</v>
          </cell>
          <cell r="O5522" t="str">
            <v>07T</v>
          </cell>
          <cell r="P5522" t="str">
            <v>07T89342</v>
          </cell>
          <cell r="Q5522" t="str">
            <v>431111</v>
          </cell>
        </row>
        <row r="5523">
          <cell r="N5523" t="str">
            <v>89342</v>
          </cell>
          <cell r="O5523" t="str">
            <v>111</v>
          </cell>
          <cell r="P5523" t="str">
            <v>11189342</v>
          </cell>
          <cell r="Q5523" t="str">
            <v>431111</v>
          </cell>
        </row>
        <row r="5524">
          <cell r="N5524" t="str">
            <v>89342</v>
          </cell>
          <cell r="O5524" t="str">
            <v>304</v>
          </cell>
          <cell r="P5524" t="str">
            <v>30489342</v>
          </cell>
          <cell r="Q5524" t="str">
            <v>431111</v>
          </cell>
        </row>
        <row r="5525">
          <cell r="N5525" t="str">
            <v>89342</v>
          </cell>
          <cell r="O5525" t="str">
            <v>368</v>
          </cell>
          <cell r="P5525" t="str">
            <v>36889342</v>
          </cell>
          <cell r="Q5525" t="str">
            <v>431111</v>
          </cell>
        </row>
        <row r="5526">
          <cell r="N5526" t="str">
            <v>89342</v>
          </cell>
          <cell r="O5526" t="str">
            <v>539</v>
          </cell>
          <cell r="P5526" t="str">
            <v>53989342</v>
          </cell>
          <cell r="Q5526" t="str">
            <v>431111</v>
          </cell>
        </row>
        <row r="5527">
          <cell r="N5527" t="str">
            <v>89342</v>
          </cell>
          <cell r="O5527" t="str">
            <v>6E7</v>
          </cell>
          <cell r="P5527" t="str">
            <v>6E789342</v>
          </cell>
          <cell r="Q5527" t="str">
            <v>431111</v>
          </cell>
        </row>
        <row r="5528">
          <cell r="N5528" t="str">
            <v>89342</v>
          </cell>
          <cell r="O5528" t="str">
            <v>658</v>
          </cell>
          <cell r="P5528" t="str">
            <v>65889342</v>
          </cell>
          <cell r="Q5528" t="str">
            <v>431111</v>
          </cell>
        </row>
        <row r="5529">
          <cell r="N5529" t="str">
            <v>89343</v>
          </cell>
          <cell r="O5529" t="str">
            <v/>
          </cell>
          <cell r="P5529" t="str">
            <v/>
          </cell>
          <cell r="Q5529" t="str">
            <v>431110</v>
          </cell>
        </row>
        <row r="5530">
          <cell r="N5530" t="str">
            <v>89343</v>
          </cell>
          <cell r="O5530" t="str">
            <v>C1K</v>
          </cell>
          <cell r="P5530" t="str">
            <v>C1K89343</v>
          </cell>
          <cell r="Q5530" t="str">
            <v>431110</v>
          </cell>
        </row>
        <row r="5531">
          <cell r="N5531" t="str">
            <v>89343</v>
          </cell>
          <cell r="O5531" t="str">
            <v>ONL</v>
          </cell>
          <cell r="P5531" t="str">
            <v>ONL89343</v>
          </cell>
          <cell r="Q5531" t="str">
            <v>431110</v>
          </cell>
        </row>
        <row r="5532">
          <cell r="N5532" t="str">
            <v>89343</v>
          </cell>
          <cell r="O5532" t="str">
            <v>REG</v>
          </cell>
          <cell r="P5532" t="str">
            <v>REG89343</v>
          </cell>
          <cell r="Q5532" t="str">
            <v>431110</v>
          </cell>
        </row>
        <row r="5533">
          <cell r="N5533" t="str">
            <v>89343</v>
          </cell>
          <cell r="O5533" t="str">
            <v>ULI</v>
          </cell>
          <cell r="P5533" t="str">
            <v>ULI89343</v>
          </cell>
          <cell r="Q5533" t="str">
            <v>431110</v>
          </cell>
        </row>
        <row r="5534">
          <cell r="N5534" t="str">
            <v>89343</v>
          </cell>
          <cell r="O5534" t="str">
            <v>111</v>
          </cell>
          <cell r="P5534" t="str">
            <v>11189343</v>
          </cell>
          <cell r="Q5534" t="str">
            <v>431110</v>
          </cell>
        </row>
        <row r="5535">
          <cell r="N5535" t="str">
            <v>89343</v>
          </cell>
          <cell r="O5535" t="str">
            <v>893</v>
          </cell>
          <cell r="P5535" t="str">
            <v>89389343</v>
          </cell>
          <cell r="Q5535" t="str">
            <v>431110</v>
          </cell>
        </row>
        <row r="5536">
          <cell r="N5536" t="str">
            <v/>
          </cell>
          <cell r="O5536" t="str">
            <v/>
          </cell>
          <cell r="P5536" t="str">
            <v/>
          </cell>
          <cell r="Q5536" t="str">
            <v/>
          </cell>
        </row>
        <row r="5537">
          <cell r="N5537" t="str">
            <v>77971</v>
          </cell>
          <cell r="O5537" t="str">
            <v/>
          </cell>
          <cell r="P5537" t="str">
            <v/>
          </cell>
          <cell r="Q5537" t="str">
            <v>41499</v>
          </cell>
        </row>
        <row r="5538">
          <cell r="N5538" t="str">
            <v>77971</v>
          </cell>
          <cell r="O5538" t="str">
            <v>LO1</v>
          </cell>
          <cell r="P5538" t="str">
            <v>LO177971</v>
          </cell>
          <cell r="Q5538" t="str">
            <v>41499</v>
          </cell>
        </row>
        <row r="5539">
          <cell r="N5539" t="str">
            <v>77971</v>
          </cell>
          <cell r="O5539" t="str">
            <v>LRA</v>
          </cell>
          <cell r="P5539" t="str">
            <v>LRA77971</v>
          </cell>
          <cell r="Q5539" t="str">
            <v>41499</v>
          </cell>
        </row>
        <row r="5540">
          <cell r="N5540" t="str">
            <v>77971</v>
          </cell>
          <cell r="O5540" t="str">
            <v>L01</v>
          </cell>
          <cell r="P5540" t="str">
            <v>L0177971</v>
          </cell>
          <cell r="Q5540" t="str">
            <v>41499</v>
          </cell>
        </row>
        <row r="5541">
          <cell r="N5541" t="str">
            <v>77971</v>
          </cell>
          <cell r="O5541" t="str">
            <v>ONL</v>
          </cell>
          <cell r="P5541" t="str">
            <v>ONL77971</v>
          </cell>
          <cell r="Q5541" t="str">
            <v>41499</v>
          </cell>
        </row>
        <row r="5542">
          <cell r="N5542" t="str">
            <v>8259144</v>
          </cell>
          <cell r="O5542" t="str">
            <v/>
          </cell>
          <cell r="P5542" t="str">
            <v/>
          </cell>
          <cell r="Q5542" t="str">
            <v>502031047</v>
          </cell>
        </row>
        <row r="5543">
          <cell r="N5543" t="str">
            <v>8259144</v>
          </cell>
          <cell r="O5543" t="str">
            <v>CRR</v>
          </cell>
          <cell r="P5543" t="str">
            <v>CRR8259144</v>
          </cell>
          <cell r="Q5543" t="str">
            <v>502031047</v>
          </cell>
        </row>
        <row r="5544">
          <cell r="N5544" t="str">
            <v>8259144</v>
          </cell>
          <cell r="O5544" t="str">
            <v>ONL</v>
          </cell>
          <cell r="P5544" t="str">
            <v>ONL8259144</v>
          </cell>
          <cell r="Q5544" t="str">
            <v>502031047</v>
          </cell>
        </row>
        <row r="5545">
          <cell r="N5545" t="str">
            <v>8259144</v>
          </cell>
          <cell r="O5545" t="str">
            <v>6PP</v>
          </cell>
          <cell r="P5545" t="str">
            <v>6PP8259144</v>
          </cell>
          <cell r="Q5545" t="str">
            <v>502031047</v>
          </cell>
        </row>
        <row r="5546">
          <cell r="N5546" t="str">
            <v>8259144</v>
          </cell>
          <cell r="O5546" t="str">
            <v>692</v>
          </cell>
          <cell r="P5546" t="str">
            <v>6928259144</v>
          </cell>
          <cell r="Q5546" t="str">
            <v>502031047</v>
          </cell>
        </row>
        <row r="5547">
          <cell r="N5547" t="str">
            <v>89271</v>
          </cell>
          <cell r="O5547" t="str">
            <v/>
          </cell>
          <cell r="P5547" t="str">
            <v/>
          </cell>
          <cell r="Q5547" t="str">
            <v>55088091</v>
          </cell>
        </row>
        <row r="5548">
          <cell r="N5548" t="str">
            <v>89271</v>
          </cell>
          <cell r="O5548" t="str">
            <v>LRA</v>
          </cell>
          <cell r="P5548" t="str">
            <v>LRA89271</v>
          </cell>
          <cell r="Q5548" t="str">
            <v>55088091</v>
          </cell>
        </row>
        <row r="5549">
          <cell r="N5549" t="str">
            <v>89271</v>
          </cell>
          <cell r="O5549" t="str">
            <v>L01</v>
          </cell>
          <cell r="P5549" t="str">
            <v>L0189271</v>
          </cell>
          <cell r="Q5549" t="str">
            <v>55088091</v>
          </cell>
        </row>
        <row r="5550">
          <cell r="N5550" t="str">
            <v>89271</v>
          </cell>
          <cell r="O5550" t="str">
            <v>MAS</v>
          </cell>
          <cell r="P5550" t="str">
            <v>MAS89271</v>
          </cell>
          <cell r="Q5550" t="str">
            <v>55088091</v>
          </cell>
        </row>
        <row r="5551">
          <cell r="N5551" t="str">
            <v>89271</v>
          </cell>
          <cell r="O5551" t="str">
            <v>ONL</v>
          </cell>
          <cell r="P5551" t="str">
            <v>ONL89271</v>
          </cell>
          <cell r="Q5551" t="str">
            <v>55088091</v>
          </cell>
        </row>
        <row r="5552">
          <cell r="N5552" t="str">
            <v>89271</v>
          </cell>
          <cell r="O5552" t="str">
            <v>REG</v>
          </cell>
          <cell r="P5552" t="str">
            <v>REG89271</v>
          </cell>
          <cell r="Q5552" t="str">
            <v>55088091</v>
          </cell>
        </row>
        <row r="5553">
          <cell r="N5553" t="str">
            <v>89271</v>
          </cell>
          <cell r="O5553" t="str">
            <v>111</v>
          </cell>
          <cell r="P5553" t="str">
            <v>11189271</v>
          </cell>
          <cell r="Q5553" t="str">
            <v>55088091</v>
          </cell>
        </row>
        <row r="5554">
          <cell r="N5554" t="str">
            <v/>
          </cell>
          <cell r="O5554" t="str">
            <v/>
          </cell>
          <cell r="P5554" t="str">
            <v/>
          </cell>
          <cell r="Q5554" t="str">
            <v/>
          </cell>
        </row>
        <row r="5555">
          <cell r="N5555" t="str">
            <v>77980</v>
          </cell>
          <cell r="O5555" t="str">
            <v/>
          </cell>
          <cell r="P5555" t="str">
            <v/>
          </cell>
          <cell r="Q5555" t="str">
            <v>4508809110</v>
          </cell>
        </row>
        <row r="5556">
          <cell r="N5556" t="str">
            <v>77980</v>
          </cell>
          <cell r="O5556" t="str">
            <v>AP9</v>
          </cell>
          <cell r="P5556" t="str">
            <v>AP977980</v>
          </cell>
          <cell r="Q5556" t="str">
            <v>4508809110</v>
          </cell>
        </row>
        <row r="5557">
          <cell r="N5557" t="str">
            <v>77980</v>
          </cell>
          <cell r="O5557" t="str">
            <v>D5C</v>
          </cell>
          <cell r="P5557" t="str">
            <v>D5C77980</v>
          </cell>
          <cell r="Q5557" t="str">
            <v>4508809110</v>
          </cell>
        </row>
        <row r="5558">
          <cell r="N5558" t="str">
            <v>77980</v>
          </cell>
          <cell r="O5558" t="str">
            <v>LRA</v>
          </cell>
          <cell r="P5558" t="str">
            <v>LRA77980</v>
          </cell>
          <cell r="Q5558" t="str">
            <v>4508809110</v>
          </cell>
        </row>
        <row r="5559">
          <cell r="N5559" t="str">
            <v>77980</v>
          </cell>
          <cell r="O5559" t="str">
            <v>!N4</v>
          </cell>
          <cell r="P5559" t="str">
            <v>!N477980</v>
          </cell>
          <cell r="Q5559" t="str">
            <v>4508809110</v>
          </cell>
        </row>
        <row r="5560">
          <cell r="N5560" t="str">
            <v>77980</v>
          </cell>
          <cell r="O5560" t="str">
            <v>OGX</v>
          </cell>
          <cell r="P5560" t="str">
            <v>OGX77980</v>
          </cell>
          <cell r="Q5560" t="str">
            <v>4508809110</v>
          </cell>
        </row>
        <row r="5561">
          <cell r="N5561" t="str">
            <v>77980</v>
          </cell>
          <cell r="O5561" t="str">
            <v>ONL</v>
          </cell>
          <cell r="P5561" t="str">
            <v>ONL77980</v>
          </cell>
          <cell r="Q5561" t="str">
            <v>4508809110</v>
          </cell>
        </row>
        <row r="5562">
          <cell r="N5562" t="str">
            <v>77980</v>
          </cell>
          <cell r="O5562" t="str">
            <v>REG</v>
          </cell>
          <cell r="P5562" t="str">
            <v>REG77980</v>
          </cell>
          <cell r="Q5562" t="str">
            <v>4508809110</v>
          </cell>
        </row>
        <row r="5563">
          <cell r="N5563" t="str">
            <v>77980</v>
          </cell>
          <cell r="O5563" t="str">
            <v>TIT</v>
          </cell>
          <cell r="P5563" t="str">
            <v>TIT77980</v>
          </cell>
          <cell r="Q5563" t="str">
            <v>4508809110</v>
          </cell>
        </row>
        <row r="5564">
          <cell r="N5564" t="str">
            <v>77980</v>
          </cell>
          <cell r="O5564" t="str">
            <v>111</v>
          </cell>
          <cell r="P5564" t="str">
            <v>11177980</v>
          </cell>
          <cell r="Q5564" t="str">
            <v>4508809110</v>
          </cell>
        </row>
        <row r="5565">
          <cell r="N5565" t="str">
            <v>77980</v>
          </cell>
          <cell r="O5565" t="str">
            <v>70R</v>
          </cell>
          <cell r="P5565" t="str">
            <v>70R77980</v>
          </cell>
          <cell r="Q5565" t="str">
            <v>4508809110</v>
          </cell>
        </row>
        <row r="5566">
          <cell r="N5566" t="str">
            <v>779810</v>
          </cell>
          <cell r="O5566" t="str">
            <v/>
          </cell>
          <cell r="P5566" t="str">
            <v/>
          </cell>
          <cell r="Q5566" t="str">
            <v>4508809111</v>
          </cell>
        </row>
        <row r="5567">
          <cell r="N5567" t="str">
            <v>779810</v>
          </cell>
          <cell r="O5567" t="str">
            <v>!KP</v>
          </cell>
          <cell r="P5567" t="str">
            <v>!KP779810</v>
          </cell>
          <cell r="Q5567" t="str">
            <v>4508809111</v>
          </cell>
        </row>
        <row r="5568">
          <cell r="N5568" t="str">
            <v>779810</v>
          </cell>
          <cell r="O5568" t="str">
            <v>!KR</v>
          </cell>
          <cell r="P5568" t="str">
            <v>!KR779810</v>
          </cell>
          <cell r="Q5568" t="str">
            <v>4508809111</v>
          </cell>
        </row>
        <row r="5569">
          <cell r="N5569" t="str">
            <v>779810</v>
          </cell>
          <cell r="O5569" t="str">
            <v>LRA</v>
          </cell>
          <cell r="P5569" t="str">
            <v>LRA779810</v>
          </cell>
          <cell r="Q5569" t="str">
            <v>4508809111</v>
          </cell>
        </row>
        <row r="5570">
          <cell r="N5570" t="str">
            <v>779810</v>
          </cell>
          <cell r="O5570" t="str">
            <v>!L1</v>
          </cell>
          <cell r="P5570" t="str">
            <v>!L1779810</v>
          </cell>
          <cell r="Q5570" t="str">
            <v>4508809111</v>
          </cell>
        </row>
        <row r="5571">
          <cell r="N5571" t="str">
            <v>779810</v>
          </cell>
          <cell r="O5571" t="str">
            <v>!N5</v>
          </cell>
          <cell r="P5571" t="str">
            <v>!N5779810</v>
          </cell>
          <cell r="Q5571" t="str">
            <v>4508809111</v>
          </cell>
        </row>
        <row r="5572">
          <cell r="N5572" t="str">
            <v>779810</v>
          </cell>
          <cell r="O5572" t="str">
            <v>OGX</v>
          </cell>
          <cell r="P5572" t="str">
            <v>OGX779810</v>
          </cell>
          <cell r="Q5572" t="str">
            <v>4508809111</v>
          </cell>
        </row>
        <row r="5573">
          <cell r="N5573" t="str">
            <v>779810</v>
          </cell>
          <cell r="O5573" t="str">
            <v>ONL</v>
          </cell>
          <cell r="P5573" t="str">
            <v>ONL779810</v>
          </cell>
          <cell r="Q5573" t="str">
            <v>4508809111</v>
          </cell>
        </row>
        <row r="5574">
          <cell r="N5574" t="str">
            <v>779810</v>
          </cell>
          <cell r="O5574" t="str">
            <v>REG</v>
          </cell>
          <cell r="P5574" t="str">
            <v>REG779810</v>
          </cell>
          <cell r="Q5574" t="str">
            <v>4508809111</v>
          </cell>
        </row>
        <row r="5575">
          <cell r="N5575" t="str">
            <v>779810</v>
          </cell>
          <cell r="O5575" t="str">
            <v>TIT</v>
          </cell>
          <cell r="P5575" t="str">
            <v>TIT779810</v>
          </cell>
          <cell r="Q5575" t="str">
            <v>4508809111</v>
          </cell>
        </row>
        <row r="5576">
          <cell r="N5576" t="str">
            <v>779810</v>
          </cell>
          <cell r="O5576" t="str">
            <v>111</v>
          </cell>
          <cell r="P5576" t="str">
            <v>111779810</v>
          </cell>
          <cell r="Q5576" t="str">
            <v>4508809111</v>
          </cell>
        </row>
        <row r="5577">
          <cell r="N5577" t="str">
            <v>779810</v>
          </cell>
          <cell r="O5577" t="str">
            <v>71R</v>
          </cell>
          <cell r="P5577" t="str">
            <v>71R779810</v>
          </cell>
          <cell r="Q5577" t="str">
            <v>4508809111</v>
          </cell>
        </row>
        <row r="5578">
          <cell r="N5578" t="str">
            <v>779810</v>
          </cell>
          <cell r="O5578" t="str">
            <v>71S</v>
          </cell>
          <cell r="P5578" t="str">
            <v>71S779810</v>
          </cell>
          <cell r="Q5578" t="str">
            <v>4508809111</v>
          </cell>
        </row>
        <row r="5579">
          <cell r="N5579" t="str">
            <v>779810</v>
          </cell>
          <cell r="O5579" t="str">
            <v>71U</v>
          </cell>
          <cell r="P5579" t="str">
            <v>71U779810</v>
          </cell>
          <cell r="Q5579" t="str">
            <v>4508809111</v>
          </cell>
        </row>
        <row r="5580">
          <cell r="N5580" t="str">
            <v>77985</v>
          </cell>
          <cell r="O5580" t="str">
            <v/>
          </cell>
          <cell r="P5580" t="str">
            <v/>
          </cell>
          <cell r="Q5580" t="str">
            <v>4508809115</v>
          </cell>
        </row>
        <row r="5581">
          <cell r="N5581" t="str">
            <v>77985</v>
          </cell>
          <cell r="O5581" t="str">
            <v>!KQ</v>
          </cell>
          <cell r="P5581" t="str">
            <v>!KQ77985</v>
          </cell>
          <cell r="Q5581" t="str">
            <v>4508809115</v>
          </cell>
        </row>
        <row r="5582">
          <cell r="N5582" t="str">
            <v>77985</v>
          </cell>
          <cell r="O5582" t="str">
            <v>ONL</v>
          </cell>
          <cell r="P5582" t="str">
            <v>ONL77985</v>
          </cell>
          <cell r="Q5582" t="str">
            <v>4508809115</v>
          </cell>
        </row>
        <row r="5583">
          <cell r="N5583" t="str">
            <v>77985</v>
          </cell>
          <cell r="O5583" t="str">
            <v>REG</v>
          </cell>
          <cell r="P5583" t="str">
            <v>REG77985</v>
          </cell>
          <cell r="Q5583" t="str">
            <v>4508809115</v>
          </cell>
        </row>
        <row r="5584">
          <cell r="N5584" t="str">
            <v>77985</v>
          </cell>
          <cell r="O5584" t="str">
            <v>TIT</v>
          </cell>
          <cell r="P5584" t="str">
            <v>TIT77985</v>
          </cell>
          <cell r="Q5584" t="str">
            <v>4508809115</v>
          </cell>
        </row>
        <row r="5585">
          <cell r="N5585" t="str">
            <v>77985</v>
          </cell>
          <cell r="O5585" t="str">
            <v>111</v>
          </cell>
          <cell r="P5585" t="str">
            <v>11177985</v>
          </cell>
          <cell r="Q5585" t="str">
            <v>4508809115</v>
          </cell>
        </row>
        <row r="5586">
          <cell r="N5586" t="str">
            <v>77985</v>
          </cell>
          <cell r="O5586" t="str">
            <v>75R</v>
          </cell>
          <cell r="P5586" t="str">
            <v>75R77985</v>
          </cell>
          <cell r="Q5586" t="str">
            <v>4508809115</v>
          </cell>
        </row>
        <row r="5587">
          <cell r="N5587" t="str">
            <v>77985</v>
          </cell>
          <cell r="O5587" t="str">
            <v>75S</v>
          </cell>
          <cell r="P5587" t="str">
            <v>75S77985</v>
          </cell>
          <cell r="Q5587" t="str">
            <v>4508809115</v>
          </cell>
        </row>
        <row r="5588">
          <cell r="N5588" t="str">
            <v>77986</v>
          </cell>
          <cell r="O5588" t="str">
            <v/>
          </cell>
          <cell r="P5588" t="str">
            <v/>
          </cell>
          <cell r="Q5588" t="str">
            <v>4508809116</v>
          </cell>
        </row>
        <row r="5589">
          <cell r="N5589" t="str">
            <v>77986</v>
          </cell>
          <cell r="O5589" t="str">
            <v>FPX</v>
          </cell>
          <cell r="P5589" t="str">
            <v>FPX77986</v>
          </cell>
          <cell r="Q5589" t="str">
            <v>4508809116</v>
          </cell>
        </row>
        <row r="5590">
          <cell r="N5590" t="str">
            <v>77986</v>
          </cell>
          <cell r="O5590" t="str">
            <v>FPZ</v>
          </cell>
          <cell r="P5590" t="str">
            <v>FPZ77986</v>
          </cell>
          <cell r="Q5590" t="str">
            <v>4508809116</v>
          </cell>
        </row>
        <row r="5591">
          <cell r="N5591" t="str">
            <v>77986</v>
          </cell>
          <cell r="O5591" t="str">
            <v>!KY</v>
          </cell>
          <cell r="P5591" t="str">
            <v>!KY77986</v>
          </cell>
          <cell r="Q5591" t="str">
            <v>4508809116</v>
          </cell>
        </row>
        <row r="5592">
          <cell r="N5592" t="str">
            <v>77986</v>
          </cell>
          <cell r="O5592" t="str">
            <v>!L5</v>
          </cell>
          <cell r="P5592" t="str">
            <v>!L577986</v>
          </cell>
          <cell r="Q5592" t="str">
            <v>4508809116</v>
          </cell>
        </row>
        <row r="5593">
          <cell r="N5593" t="str">
            <v>77986</v>
          </cell>
          <cell r="O5593" t="str">
            <v>TUB</v>
          </cell>
          <cell r="P5593" t="str">
            <v>TUB77986</v>
          </cell>
          <cell r="Q5593" t="str">
            <v>4508809116</v>
          </cell>
        </row>
        <row r="5594">
          <cell r="N5594" t="str">
            <v>77986</v>
          </cell>
          <cell r="O5594" t="str">
            <v>01K</v>
          </cell>
          <cell r="P5594" t="str">
            <v>01K77986</v>
          </cell>
          <cell r="Q5594" t="str">
            <v>4508809116</v>
          </cell>
        </row>
        <row r="5595">
          <cell r="N5595" t="str">
            <v>7799</v>
          </cell>
          <cell r="O5595" t="str">
            <v/>
          </cell>
          <cell r="P5595" t="str">
            <v/>
          </cell>
          <cell r="Q5595" t="str">
            <v/>
          </cell>
        </row>
        <row r="5596">
          <cell r="N5596" t="str">
            <v>7799</v>
          </cell>
          <cell r="O5596" t="str">
            <v>ONL</v>
          </cell>
          <cell r="P5596" t="str">
            <v>ONL7799</v>
          </cell>
          <cell r="Q5596" t="str">
            <v/>
          </cell>
        </row>
        <row r="5597">
          <cell r="N5597" t="str">
            <v>7799</v>
          </cell>
          <cell r="O5597" t="str">
            <v>RBB</v>
          </cell>
          <cell r="P5597" t="str">
            <v>RBB7799</v>
          </cell>
          <cell r="Q5597" t="str">
            <v/>
          </cell>
        </row>
        <row r="5598">
          <cell r="N5598" t="str">
            <v>7799</v>
          </cell>
          <cell r="O5598" t="str">
            <v>01K</v>
          </cell>
          <cell r="P5598" t="str">
            <v>01K7799</v>
          </cell>
          <cell r="Q5598" t="str">
            <v/>
          </cell>
        </row>
        <row r="5599">
          <cell r="N5599" t="str">
            <v>77990</v>
          </cell>
          <cell r="O5599" t="str">
            <v/>
          </cell>
          <cell r="P5599" t="str">
            <v/>
          </cell>
          <cell r="Q5599" t="str">
            <v/>
          </cell>
        </row>
        <row r="5600">
          <cell r="N5600" t="str">
            <v>77990</v>
          </cell>
          <cell r="O5600" t="str">
            <v>FPX</v>
          </cell>
          <cell r="P5600" t="str">
            <v>FPX77990</v>
          </cell>
          <cell r="Q5600" t="str">
            <v/>
          </cell>
        </row>
        <row r="5601">
          <cell r="N5601" t="str">
            <v>77990</v>
          </cell>
          <cell r="O5601" t="str">
            <v>RBB</v>
          </cell>
          <cell r="P5601" t="str">
            <v>RBB77990</v>
          </cell>
          <cell r="Q5601" t="str">
            <v/>
          </cell>
        </row>
        <row r="5602">
          <cell r="N5602" t="str">
            <v>77990</v>
          </cell>
          <cell r="O5602" t="str">
            <v>01K</v>
          </cell>
          <cell r="P5602" t="str">
            <v>01K77990</v>
          </cell>
          <cell r="Q5602" t="str">
            <v/>
          </cell>
        </row>
        <row r="5603">
          <cell r="N5603" t="str">
            <v>779900</v>
          </cell>
          <cell r="O5603" t="str">
            <v/>
          </cell>
          <cell r="P5603" t="str">
            <v/>
          </cell>
          <cell r="Q5603" t="str">
            <v>450880910</v>
          </cell>
        </row>
        <row r="5604">
          <cell r="N5604" t="str">
            <v>779900</v>
          </cell>
          <cell r="O5604" t="str">
            <v>CV1</v>
          </cell>
          <cell r="P5604" t="str">
            <v>CV1779900</v>
          </cell>
          <cell r="Q5604" t="str">
            <v>450880910</v>
          </cell>
        </row>
        <row r="5605">
          <cell r="N5605" t="str">
            <v>779900</v>
          </cell>
          <cell r="O5605" t="str">
            <v>FPX</v>
          </cell>
          <cell r="P5605" t="str">
            <v>FPX779900</v>
          </cell>
          <cell r="Q5605" t="str">
            <v>450880910</v>
          </cell>
        </row>
        <row r="5606">
          <cell r="N5606" t="str">
            <v>779900</v>
          </cell>
          <cell r="O5606" t="str">
            <v>FPZ</v>
          </cell>
          <cell r="P5606" t="str">
            <v>FPZ779900</v>
          </cell>
          <cell r="Q5606" t="str">
            <v>450880910</v>
          </cell>
        </row>
        <row r="5607">
          <cell r="N5607" t="str">
            <v>779900</v>
          </cell>
          <cell r="O5607" t="str">
            <v>RBA</v>
          </cell>
          <cell r="P5607" t="str">
            <v>RBA779900</v>
          </cell>
          <cell r="Q5607" t="str">
            <v>450880910</v>
          </cell>
        </row>
        <row r="5608">
          <cell r="N5608" t="str">
            <v>779900</v>
          </cell>
          <cell r="O5608" t="str">
            <v>RBB</v>
          </cell>
          <cell r="P5608" t="str">
            <v>RBB779900</v>
          </cell>
          <cell r="Q5608" t="str">
            <v>450880910</v>
          </cell>
        </row>
        <row r="5609">
          <cell r="N5609" t="str">
            <v>779900</v>
          </cell>
          <cell r="O5609" t="str">
            <v>01K</v>
          </cell>
          <cell r="P5609" t="str">
            <v>01K779900</v>
          </cell>
          <cell r="Q5609" t="str">
            <v>450880910</v>
          </cell>
        </row>
        <row r="5610">
          <cell r="N5610" t="str">
            <v>779900</v>
          </cell>
          <cell r="O5610" t="str">
            <v>77R</v>
          </cell>
          <cell r="P5610" t="str">
            <v>77R779900</v>
          </cell>
          <cell r="Q5610" t="str">
            <v>450880910</v>
          </cell>
        </row>
        <row r="5611">
          <cell r="N5611" t="str">
            <v>77991</v>
          </cell>
          <cell r="O5611" t="str">
            <v/>
          </cell>
          <cell r="P5611" t="str">
            <v/>
          </cell>
          <cell r="Q5611" t="str">
            <v>450880910</v>
          </cell>
        </row>
        <row r="5612">
          <cell r="N5612" t="str">
            <v>77991</v>
          </cell>
          <cell r="O5612" t="str">
            <v>FRA</v>
          </cell>
          <cell r="P5612" t="str">
            <v>FRA77991</v>
          </cell>
          <cell r="Q5612" t="str">
            <v>450880910</v>
          </cell>
        </row>
        <row r="5613">
          <cell r="N5613" t="str">
            <v>77991</v>
          </cell>
          <cell r="O5613" t="str">
            <v>FRB</v>
          </cell>
          <cell r="P5613" t="str">
            <v>FRB77991</v>
          </cell>
          <cell r="Q5613" t="str">
            <v>450880910</v>
          </cell>
        </row>
        <row r="5614">
          <cell r="N5614" t="str">
            <v>77991</v>
          </cell>
          <cell r="O5614" t="str">
            <v>ONL</v>
          </cell>
          <cell r="P5614" t="str">
            <v>ONL77991</v>
          </cell>
          <cell r="Q5614" t="str">
            <v>450880910</v>
          </cell>
        </row>
        <row r="5615">
          <cell r="N5615" t="str">
            <v>8980</v>
          </cell>
          <cell r="O5615" t="str">
            <v/>
          </cell>
          <cell r="P5615" t="str">
            <v/>
          </cell>
          <cell r="Q5615" t="str">
            <v>550880920</v>
          </cell>
        </row>
        <row r="5616">
          <cell r="N5616" t="str">
            <v>8980</v>
          </cell>
          <cell r="O5616" t="str">
            <v>AP9</v>
          </cell>
          <cell r="P5616" t="str">
            <v>AP98980</v>
          </cell>
          <cell r="Q5616" t="str">
            <v>550880920</v>
          </cell>
        </row>
        <row r="5617">
          <cell r="N5617" t="str">
            <v>8980</v>
          </cell>
          <cell r="O5617" t="str">
            <v>ONL</v>
          </cell>
          <cell r="P5617" t="str">
            <v>ONL8980</v>
          </cell>
          <cell r="Q5617" t="str">
            <v>550880920</v>
          </cell>
        </row>
        <row r="5618">
          <cell r="N5618" t="str">
            <v>8980</v>
          </cell>
          <cell r="O5618" t="str">
            <v>REG</v>
          </cell>
          <cell r="P5618" t="str">
            <v>REG8980</v>
          </cell>
          <cell r="Q5618" t="str">
            <v>550880920</v>
          </cell>
        </row>
        <row r="5619">
          <cell r="N5619" t="str">
            <v>8980</v>
          </cell>
          <cell r="O5619" t="str">
            <v>111</v>
          </cell>
          <cell r="P5619" t="str">
            <v>1118980</v>
          </cell>
          <cell r="Q5619" t="str">
            <v>550880920</v>
          </cell>
        </row>
        <row r="5620">
          <cell r="N5620" t="str">
            <v>8980</v>
          </cell>
          <cell r="O5620" t="str">
            <v>80R</v>
          </cell>
          <cell r="P5620" t="str">
            <v>80R8980</v>
          </cell>
          <cell r="Q5620" t="str">
            <v>550880920</v>
          </cell>
        </row>
        <row r="5621">
          <cell r="N5621" t="str">
            <v>89925</v>
          </cell>
          <cell r="O5621" t="str">
            <v/>
          </cell>
          <cell r="P5621" t="str">
            <v/>
          </cell>
          <cell r="Q5621" t="str">
            <v>51959</v>
          </cell>
        </row>
        <row r="5622">
          <cell r="N5622" t="str">
            <v>89925</v>
          </cell>
          <cell r="O5622" t="str">
            <v>!MF</v>
          </cell>
          <cell r="P5622" t="str">
            <v>!MF89925</v>
          </cell>
          <cell r="Q5622" t="str">
            <v>51959</v>
          </cell>
        </row>
        <row r="5623">
          <cell r="N5623" t="str">
            <v>89925</v>
          </cell>
          <cell r="O5623" t="str">
            <v>ONL</v>
          </cell>
          <cell r="P5623" t="str">
            <v>ONL89925</v>
          </cell>
          <cell r="Q5623" t="str">
            <v>51959</v>
          </cell>
        </row>
        <row r="5624">
          <cell r="N5624" t="str">
            <v>8999</v>
          </cell>
          <cell r="O5624" t="str">
            <v/>
          </cell>
          <cell r="P5624" t="str">
            <v/>
          </cell>
          <cell r="Q5624" t="str">
            <v/>
          </cell>
        </row>
        <row r="5625">
          <cell r="N5625" t="str">
            <v>8999</v>
          </cell>
          <cell r="O5625" t="str">
            <v>01L</v>
          </cell>
          <cell r="P5625" t="str">
            <v>01L8999</v>
          </cell>
          <cell r="Q5625" t="str">
            <v/>
          </cell>
        </row>
        <row r="5626">
          <cell r="N5626" t="str">
            <v>8999</v>
          </cell>
          <cell r="O5626" t="str">
            <v>!31</v>
          </cell>
          <cell r="P5626" t="str">
            <v>!318999</v>
          </cell>
          <cell r="Q5626" t="str">
            <v/>
          </cell>
        </row>
        <row r="5627">
          <cell r="N5627" t="str">
            <v>89990</v>
          </cell>
          <cell r="O5627" t="str">
            <v/>
          </cell>
          <cell r="P5627" t="str">
            <v/>
          </cell>
          <cell r="Q5627" t="str">
            <v>55088091</v>
          </cell>
        </row>
        <row r="5628">
          <cell r="N5628" t="str">
            <v>89990</v>
          </cell>
          <cell r="O5628" t="str">
            <v>!MF</v>
          </cell>
          <cell r="P5628" t="str">
            <v>!MF89990</v>
          </cell>
          <cell r="Q5628" t="str">
            <v>55088091</v>
          </cell>
        </row>
        <row r="5629">
          <cell r="N5629" t="str">
            <v>89990</v>
          </cell>
          <cell r="O5629" t="str">
            <v>01L</v>
          </cell>
          <cell r="P5629" t="str">
            <v>01L89990</v>
          </cell>
          <cell r="Q5629" t="str">
            <v>55088091</v>
          </cell>
        </row>
        <row r="5630">
          <cell r="N5630" t="str">
            <v>89990</v>
          </cell>
          <cell r="O5630" t="str">
            <v>89R</v>
          </cell>
          <cell r="P5630" t="str">
            <v>89R89990</v>
          </cell>
          <cell r="Q5630" t="str">
            <v>55088091</v>
          </cell>
        </row>
        <row r="5631">
          <cell r="N5631" t="str">
            <v/>
          </cell>
          <cell r="O5631" t="str">
            <v/>
          </cell>
          <cell r="P5631" t="str">
            <v/>
          </cell>
          <cell r="Q5631" t="str">
            <v/>
          </cell>
        </row>
        <row r="5632">
          <cell r="N5632" t="str">
            <v>71905</v>
          </cell>
          <cell r="O5632" t="str">
            <v/>
          </cell>
          <cell r="P5632" t="str">
            <v/>
          </cell>
          <cell r="Q5632" t="str">
            <v>4198</v>
          </cell>
        </row>
        <row r="5633">
          <cell r="N5633" t="str">
            <v>71905</v>
          </cell>
          <cell r="O5633" t="str">
            <v>AI2</v>
          </cell>
          <cell r="P5633" t="str">
            <v>AI271905</v>
          </cell>
          <cell r="Q5633" t="str">
            <v>4198</v>
          </cell>
        </row>
        <row r="5634">
          <cell r="N5634" t="str">
            <v>71905</v>
          </cell>
          <cell r="O5634" t="str">
            <v>AI6</v>
          </cell>
          <cell r="P5634" t="str">
            <v>AI671905</v>
          </cell>
          <cell r="Q5634" t="str">
            <v>4198</v>
          </cell>
        </row>
        <row r="5635">
          <cell r="N5635" t="str">
            <v>71905</v>
          </cell>
          <cell r="O5635" t="str">
            <v>AM8</v>
          </cell>
          <cell r="P5635" t="str">
            <v>AM871905</v>
          </cell>
          <cell r="Q5635" t="str">
            <v>4198</v>
          </cell>
        </row>
        <row r="5636">
          <cell r="N5636" t="str">
            <v>71905</v>
          </cell>
          <cell r="O5636" t="str">
            <v>AN2</v>
          </cell>
          <cell r="P5636" t="str">
            <v>AN271905</v>
          </cell>
          <cell r="Q5636" t="str">
            <v>4198</v>
          </cell>
        </row>
        <row r="5637">
          <cell r="N5637" t="str">
            <v>71905</v>
          </cell>
          <cell r="O5637" t="str">
            <v>AN6</v>
          </cell>
          <cell r="P5637" t="str">
            <v>AN671905</v>
          </cell>
          <cell r="Q5637" t="str">
            <v>4198</v>
          </cell>
        </row>
        <row r="5638">
          <cell r="N5638" t="str">
            <v>71905</v>
          </cell>
          <cell r="O5638" t="str">
            <v>LRA</v>
          </cell>
          <cell r="P5638" t="str">
            <v>LRA71905</v>
          </cell>
          <cell r="Q5638" t="str">
            <v>4198</v>
          </cell>
        </row>
        <row r="5639">
          <cell r="N5639" t="str">
            <v>71905</v>
          </cell>
          <cell r="O5639" t="str">
            <v>L01</v>
          </cell>
          <cell r="P5639" t="str">
            <v>L0171905</v>
          </cell>
          <cell r="Q5639" t="str">
            <v>4198</v>
          </cell>
        </row>
        <row r="5640">
          <cell r="N5640" t="str">
            <v>71905</v>
          </cell>
          <cell r="O5640" t="str">
            <v>ONL</v>
          </cell>
          <cell r="P5640" t="str">
            <v>ONL71905</v>
          </cell>
          <cell r="Q5640" t="str">
            <v>4198</v>
          </cell>
        </row>
        <row r="5641">
          <cell r="N5641" t="str">
            <v/>
          </cell>
          <cell r="O5641" t="str">
            <v/>
          </cell>
          <cell r="P5641" t="str">
            <v/>
          </cell>
          <cell r="Q5641" t="str">
            <v/>
          </cell>
        </row>
        <row r="5642">
          <cell r="N5642" t="str">
            <v>719000</v>
          </cell>
          <cell r="O5642" t="str">
            <v/>
          </cell>
          <cell r="P5642" t="str">
            <v/>
          </cell>
          <cell r="Q5642" t="str">
            <v>4198</v>
          </cell>
        </row>
        <row r="5643">
          <cell r="N5643" t="str">
            <v>719000</v>
          </cell>
          <cell r="O5643" t="str">
            <v>LRA</v>
          </cell>
          <cell r="P5643" t="str">
            <v>LRA719000</v>
          </cell>
          <cell r="Q5643" t="str">
            <v>4198</v>
          </cell>
        </row>
        <row r="5644">
          <cell r="N5644" t="str">
            <v>719020</v>
          </cell>
          <cell r="O5644" t="str">
            <v/>
          </cell>
          <cell r="P5644" t="str">
            <v/>
          </cell>
          <cell r="Q5644" t="str">
            <v>4198</v>
          </cell>
        </row>
        <row r="5645">
          <cell r="N5645" t="str">
            <v>719020</v>
          </cell>
          <cell r="O5645" t="str">
            <v>AP9</v>
          </cell>
          <cell r="P5645" t="str">
            <v>AP9719020</v>
          </cell>
          <cell r="Q5645" t="str">
            <v>4198</v>
          </cell>
        </row>
        <row r="5646">
          <cell r="N5646" t="str">
            <v>719020</v>
          </cell>
          <cell r="O5646" t="str">
            <v>LO1</v>
          </cell>
          <cell r="P5646" t="str">
            <v>LO1719020</v>
          </cell>
          <cell r="Q5646" t="str">
            <v>4198</v>
          </cell>
        </row>
        <row r="5647">
          <cell r="N5647" t="str">
            <v>719020</v>
          </cell>
          <cell r="O5647" t="str">
            <v>LRA</v>
          </cell>
          <cell r="P5647" t="str">
            <v>LRA719020</v>
          </cell>
          <cell r="Q5647" t="str">
            <v>4198</v>
          </cell>
        </row>
        <row r="5648">
          <cell r="N5648" t="str">
            <v>719020</v>
          </cell>
          <cell r="O5648" t="str">
            <v>L01</v>
          </cell>
          <cell r="P5648" t="str">
            <v>L01719020</v>
          </cell>
          <cell r="Q5648" t="str">
            <v>4198</v>
          </cell>
        </row>
        <row r="5649">
          <cell r="N5649" t="str">
            <v>719020</v>
          </cell>
          <cell r="O5649" t="str">
            <v>ONL</v>
          </cell>
          <cell r="P5649" t="str">
            <v>ONL719020</v>
          </cell>
          <cell r="Q5649" t="str">
            <v>4198</v>
          </cell>
        </row>
        <row r="5650">
          <cell r="N5650" t="str">
            <v>719020</v>
          </cell>
          <cell r="O5650" t="str">
            <v>U34</v>
          </cell>
          <cell r="P5650" t="str">
            <v>U34719020</v>
          </cell>
          <cell r="Q5650" t="str">
            <v>4198</v>
          </cell>
        </row>
        <row r="5651">
          <cell r="N5651" t="str">
            <v>719020</v>
          </cell>
          <cell r="O5651" t="str">
            <v>111</v>
          </cell>
          <cell r="P5651" t="str">
            <v>111719020</v>
          </cell>
          <cell r="Q5651" t="str">
            <v>4198</v>
          </cell>
        </row>
        <row r="5652">
          <cell r="N5652" t="str">
            <v>719021</v>
          </cell>
          <cell r="O5652" t="str">
            <v/>
          </cell>
          <cell r="P5652" t="str">
            <v/>
          </cell>
          <cell r="Q5652" t="str">
            <v>4198</v>
          </cell>
        </row>
        <row r="5653">
          <cell r="N5653" t="str">
            <v>719021</v>
          </cell>
          <cell r="O5653" t="str">
            <v>LO1</v>
          </cell>
          <cell r="P5653" t="str">
            <v>LO1719021</v>
          </cell>
          <cell r="Q5653" t="str">
            <v>4198</v>
          </cell>
        </row>
        <row r="5654">
          <cell r="N5654" t="str">
            <v>719021</v>
          </cell>
          <cell r="O5654" t="str">
            <v>LRA</v>
          </cell>
          <cell r="P5654" t="str">
            <v>LRA719021</v>
          </cell>
          <cell r="Q5654" t="str">
            <v>4198</v>
          </cell>
        </row>
        <row r="5655">
          <cell r="N5655" t="str">
            <v>719021</v>
          </cell>
          <cell r="O5655" t="str">
            <v>L01</v>
          </cell>
          <cell r="P5655" t="str">
            <v>L01719021</v>
          </cell>
          <cell r="Q5655" t="str">
            <v>4198</v>
          </cell>
        </row>
        <row r="5656">
          <cell r="N5656" t="str">
            <v>719021</v>
          </cell>
          <cell r="O5656" t="str">
            <v>ONL</v>
          </cell>
          <cell r="P5656" t="str">
            <v>ONL719021</v>
          </cell>
          <cell r="Q5656" t="str">
            <v>4198</v>
          </cell>
        </row>
        <row r="5657">
          <cell r="N5657" t="str">
            <v>719022</v>
          </cell>
          <cell r="O5657" t="str">
            <v/>
          </cell>
          <cell r="P5657" t="str">
            <v/>
          </cell>
          <cell r="Q5657" t="str">
            <v>4030310570</v>
          </cell>
        </row>
        <row r="5658">
          <cell r="N5658" t="str">
            <v>719022</v>
          </cell>
          <cell r="O5658" t="str">
            <v>ONL</v>
          </cell>
          <cell r="P5658" t="str">
            <v>ONL719022</v>
          </cell>
          <cell r="Q5658" t="str">
            <v>4030310570</v>
          </cell>
        </row>
        <row r="5659">
          <cell r="N5659" t="str">
            <v/>
          </cell>
          <cell r="O5659" t="str">
            <v/>
          </cell>
          <cell r="P5659" t="str">
            <v/>
          </cell>
          <cell r="Q5659" t="str">
            <v/>
          </cell>
        </row>
        <row r="5660">
          <cell r="N5660" t="str">
            <v>71614</v>
          </cell>
          <cell r="O5660" t="str">
            <v/>
          </cell>
          <cell r="P5660" t="str">
            <v/>
          </cell>
          <cell r="Q5660" t="str">
            <v>416190</v>
          </cell>
        </row>
        <row r="5661">
          <cell r="N5661" t="str">
            <v>71614</v>
          </cell>
          <cell r="O5661" t="str">
            <v>LRA</v>
          </cell>
          <cell r="P5661" t="str">
            <v>LRA71614</v>
          </cell>
          <cell r="Q5661" t="str">
            <v>416190</v>
          </cell>
        </row>
        <row r="5662">
          <cell r="N5662" t="str">
            <v>71614</v>
          </cell>
          <cell r="O5662" t="str">
            <v>ONL</v>
          </cell>
          <cell r="P5662" t="str">
            <v>ONL71614</v>
          </cell>
          <cell r="Q5662" t="str">
            <v>416190</v>
          </cell>
        </row>
        <row r="5663">
          <cell r="N5663" t="str">
            <v>719021</v>
          </cell>
          <cell r="O5663" t="str">
            <v/>
          </cell>
          <cell r="P5663" t="str">
            <v/>
          </cell>
          <cell r="Q5663" t="str">
            <v>4198</v>
          </cell>
        </row>
        <row r="5664">
          <cell r="N5664" t="str">
            <v>719021</v>
          </cell>
          <cell r="O5664" t="str">
            <v>111</v>
          </cell>
          <cell r="P5664" t="str">
            <v>111719021</v>
          </cell>
          <cell r="Q5664" t="str">
            <v>4198</v>
          </cell>
        </row>
        <row r="5665">
          <cell r="N5665" t="str">
            <v/>
          </cell>
          <cell r="O5665" t="str">
            <v/>
          </cell>
          <cell r="P5665" t="str">
            <v/>
          </cell>
          <cell r="Q5665" t="str">
            <v/>
          </cell>
        </row>
        <row r="5666">
          <cell r="N5666" t="str">
            <v>7169450</v>
          </cell>
          <cell r="O5666" t="str">
            <v/>
          </cell>
          <cell r="P5666" t="str">
            <v/>
          </cell>
          <cell r="Q5666" t="str">
            <v>41999</v>
          </cell>
        </row>
        <row r="5667">
          <cell r="N5667" t="str">
            <v>7169450</v>
          </cell>
          <cell r="O5667" t="str">
            <v>OGX</v>
          </cell>
          <cell r="P5667" t="str">
            <v>OGX7169450</v>
          </cell>
          <cell r="Q5667" t="str">
            <v>41999</v>
          </cell>
        </row>
        <row r="5668">
          <cell r="N5668" t="str">
            <v>7169450</v>
          </cell>
          <cell r="O5668" t="str">
            <v>ONL</v>
          </cell>
          <cell r="P5668" t="str">
            <v>ONL7169450</v>
          </cell>
          <cell r="Q5668" t="str">
            <v>41999</v>
          </cell>
        </row>
        <row r="5669">
          <cell r="N5669" t="str">
            <v>7169451</v>
          </cell>
          <cell r="O5669" t="str">
            <v/>
          </cell>
          <cell r="P5669" t="str">
            <v/>
          </cell>
          <cell r="Q5669" t="str">
            <v>41999</v>
          </cell>
        </row>
        <row r="5670">
          <cell r="N5670" t="str">
            <v>7169451</v>
          </cell>
          <cell r="O5670" t="str">
            <v>OGX</v>
          </cell>
          <cell r="P5670" t="str">
            <v>OGX7169451</v>
          </cell>
          <cell r="Q5670" t="str">
            <v>41999</v>
          </cell>
        </row>
        <row r="5671">
          <cell r="N5671" t="str">
            <v/>
          </cell>
          <cell r="O5671" t="str">
            <v/>
          </cell>
          <cell r="P5671" t="str">
            <v/>
          </cell>
          <cell r="Q5671" t="str">
            <v/>
          </cell>
        </row>
        <row r="5672">
          <cell r="N5672" t="str">
            <v/>
          </cell>
          <cell r="O5672" t="str">
            <v/>
          </cell>
          <cell r="P5672" t="str">
            <v/>
          </cell>
          <cell r="Q5672" t="str">
            <v/>
          </cell>
        </row>
        <row r="5673">
          <cell r="N5673" t="str">
            <v>71209</v>
          </cell>
          <cell r="O5673" t="str">
            <v/>
          </cell>
          <cell r="P5673" t="str">
            <v/>
          </cell>
          <cell r="Q5673" t="str">
            <v>41309</v>
          </cell>
        </row>
        <row r="5674">
          <cell r="N5674" t="str">
            <v>71209</v>
          </cell>
          <cell r="O5674" t="str">
            <v>LRA</v>
          </cell>
          <cell r="P5674" t="str">
            <v>LRA71209</v>
          </cell>
          <cell r="Q5674" t="str">
            <v>41309</v>
          </cell>
        </row>
        <row r="5675">
          <cell r="N5675" t="str">
            <v>71209</v>
          </cell>
          <cell r="O5675" t="str">
            <v>ONL</v>
          </cell>
          <cell r="P5675" t="str">
            <v>ONL71209</v>
          </cell>
          <cell r="Q5675" t="str">
            <v>41309</v>
          </cell>
        </row>
        <row r="5676">
          <cell r="N5676" t="str">
            <v>7151</v>
          </cell>
          <cell r="O5676" t="str">
            <v/>
          </cell>
          <cell r="P5676" t="str">
            <v/>
          </cell>
          <cell r="Q5676" t="str">
            <v>41999</v>
          </cell>
        </row>
        <row r="5677">
          <cell r="N5677" t="str">
            <v>7151</v>
          </cell>
          <cell r="O5677" t="str">
            <v>LRA</v>
          </cell>
          <cell r="P5677" t="str">
            <v>LRA7151</v>
          </cell>
          <cell r="Q5677" t="str">
            <v>41999</v>
          </cell>
        </row>
        <row r="5678">
          <cell r="N5678" t="str">
            <v>7151</v>
          </cell>
          <cell r="O5678" t="str">
            <v>L01</v>
          </cell>
          <cell r="P5678" t="str">
            <v>L017151</v>
          </cell>
          <cell r="Q5678" t="str">
            <v>41999</v>
          </cell>
        </row>
        <row r="5679">
          <cell r="N5679" t="str">
            <v>7151</v>
          </cell>
          <cell r="O5679" t="str">
            <v>ONL</v>
          </cell>
          <cell r="P5679" t="str">
            <v>ONL7151</v>
          </cell>
          <cell r="Q5679" t="str">
            <v>41999</v>
          </cell>
        </row>
        <row r="5680">
          <cell r="N5680" t="str">
            <v>71521</v>
          </cell>
          <cell r="O5680" t="str">
            <v/>
          </cell>
          <cell r="P5680" t="str">
            <v/>
          </cell>
          <cell r="Q5680" t="str">
            <v>41999</v>
          </cell>
        </row>
        <row r="5681">
          <cell r="N5681" t="str">
            <v>71521</v>
          </cell>
          <cell r="O5681" t="str">
            <v>L01</v>
          </cell>
          <cell r="P5681" t="str">
            <v>L0171521</v>
          </cell>
          <cell r="Q5681" t="str">
            <v>41999</v>
          </cell>
        </row>
        <row r="5682">
          <cell r="N5682" t="str">
            <v>71521</v>
          </cell>
          <cell r="O5682" t="str">
            <v>ONL</v>
          </cell>
          <cell r="P5682" t="str">
            <v>ONL71521</v>
          </cell>
          <cell r="Q5682" t="str">
            <v>41999</v>
          </cell>
        </row>
        <row r="5683">
          <cell r="N5683" t="str">
            <v>7168</v>
          </cell>
          <cell r="O5683" t="str">
            <v/>
          </cell>
          <cell r="P5683" t="str">
            <v/>
          </cell>
          <cell r="Q5683" t="str">
            <v>4196</v>
          </cell>
        </row>
        <row r="5684">
          <cell r="N5684" t="str">
            <v>7168</v>
          </cell>
          <cell r="O5684" t="str">
            <v>LO1</v>
          </cell>
          <cell r="P5684" t="str">
            <v>LO17168</v>
          </cell>
          <cell r="Q5684" t="str">
            <v>4196</v>
          </cell>
        </row>
        <row r="5685">
          <cell r="N5685" t="str">
            <v>71693</v>
          </cell>
          <cell r="O5685" t="str">
            <v/>
          </cell>
          <cell r="P5685" t="str">
            <v/>
          </cell>
          <cell r="Q5685" t="str">
            <v>41999</v>
          </cell>
        </row>
        <row r="5686">
          <cell r="N5686" t="str">
            <v>71693</v>
          </cell>
          <cell r="O5686" t="str">
            <v>ONL</v>
          </cell>
          <cell r="P5686" t="str">
            <v>ONL71693</v>
          </cell>
          <cell r="Q5686" t="str">
            <v>41999</v>
          </cell>
        </row>
        <row r="5687">
          <cell r="N5687" t="str">
            <v>71699</v>
          </cell>
          <cell r="O5687" t="str">
            <v/>
          </cell>
          <cell r="P5687" t="str">
            <v/>
          </cell>
          <cell r="Q5687" t="str">
            <v>41999</v>
          </cell>
        </row>
        <row r="5688">
          <cell r="N5688" t="str">
            <v>71699</v>
          </cell>
          <cell r="O5688" t="str">
            <v>BOF</v>
          </cell>
          <cell r="P5688" t="str">
            <v>BOF71699</v>
          </cell>
          <cell r="Q5688" t="str">
            <v>41999</v>
          </cell>
        </row>
        <row r="5689">
          <cell r="N5689" t="str">
            <v>71699</v>
          </cell>
          <cell r="O5689" t="str">
            <v>L01</v>
          </cell>
          <cell r="P5689" t="str">
            <v>L0171699</v>
          </cell>
          <cell r="Q5689" t="str">
            <v>41999</v>
          </cell>
        </row>
        <row r="5690">
          <cell r="N5690" t="str">
            <v>71699</v>
          </cell>
          <cell r="O5690" t="str">
            <v>ONL</v>
          </cell>
          <cell r="P5690" t="str">
            <v>ONL71699</v>
          </cell>
          <cell r="Q5690" t="str">
            <v>41999</v>
          </cell>
        </row>
        <row r="5691">
          <cell r="N5691" t="str">
            <v>71699</v>
          </cell>
          <cell r="O5691" t="str">
            <v>RGC</v>
          </cell>
          <cell r="P5691" t="str">
            <v>RGC71699</v>
          </cell>
          <cell r="Q5691" t="str">
            <v>41999</v>
          </cell>
        </row>
        <row r="5692">
          <cell r="N5692" t="str">
            <v>71699</v>
          </cell>
          <cell r="O5692" t="str">
            <v>TIT</v>
          </cell>
          <cell r="P5692" t="str">
            <v>TIT71699</v>
          </cell>
          <cell r="Q5692" t="str">
            <v>41999</v>
          </cell>
        </row>
        <row r="5693">
          <cell r="N5693" t="str">
            <v>71699</v>
          </cell>
          <cell r="O5693" t="str">
            <v>111</v>
          </cell>
          <cell r="P5693" t="str">
            <v>11171699</v>
          </cell>
          <cell r="Q5693" t="str">
            <v>41999</v>
          </cell>
        </row>
        <row r="5694">
          <cell r="N5694" t="str">
            <v>71852</v>
          </cell>
          <cell r="O5694" t="str">
            <v/>
          </cell>
          <cell r="P5694" t="str">
            <v/>
          </cell>
          <cell r="Q5694" t="str">
            <v>41400</v>
          </cell>
        </row>
        <row r="5695">
          <cell r="N5695" t="str">
            <v>71852</v>
          </cell>
          <cell r="O5695" t="str">
            <v>ONL</v>
          </cell>
          <cell r="P5695" t="str">
            <v>ONL71852</v>
          </cell>
          <cell r="Q5695" t="str">
            <v>41400</v>
          </cell>
        </row>
        <row r="5696">
          <cell r="N5696" t="str">
            <v>71852</v>
          </cell>
          <cell r="O5696" t="str">
            <v>TIT</v>
          </cell>
          <cell r="P5696" t="str">
            <v>TIT71852</v>
          </cell>
          <cell r="Q5696" t="str">
            <v>41400</v>
          </cell>
        </row>
        <row r="5697">
          <cell r="N5697" t="str">
            <v>718910</v>
          </cell>
          <cell r="O5697" t="str">
            <v/>
          </cell>
          <cell r="P5697" t="str">
            <v/>
          </cell>
          <cell r="Q5697" t="str">
            <v>41499</v>
          </cell>
        </row>
        <row r="5698">
          <cell r="N5698" t="str">
            <v>718910</v>
          </cell>
          <cell r="O5698" t="str">
            <v>RIR</v>
          </cell>
          <cell r="P5698" t="str">
            <v>RIR718910</v>
          </cell>
          <cell r="Q5698" t="str">
            <v>41499</v>
          </cell>
        </row>
        <row r="5699">
          <cell r="N5699" t="str">
            <v>718911</v>
          </cell>
          <cell r="O5699" t="str">
            <v/>
          </cell>
          <cell r="P5699" t="str">
            <v/>
          </cell>
          <cell r="Q5699" t="str">
            <v>41499</v>
          </cell>
        </row>
        <row r="5700">
          <cell r="N5700" t="str">
            <v>718911</v>
          </cell>
          <cell r="O5700" t="str">
            <v>LO1</v>
          </cell>
          <cell r="P5700" t="str">
            <v>LO1718911</v>
          </cell>
          <cell r="Q5700" t="str">
            <v>41499</v>
          </cell>
        </row>
        <row r="5701">
          <cell r="N5701" t="str">
            <v>719020</v>
          </cell>
          <cell r="O5701" t="str">
            <v/>
          </cell>
          <cell r="P5701" t="str">
            <v/>
          </cell>
          <cell r="Q5701" t="str">
            <v>4198</v>
          </cell>
        </row>
        <row r="5702">
          <cell r="N5702" t="str">
            <v>719020</v>
          </cell>
          <cell r="O5702" t="str">
            <v>184</v>
          </cell>
          <cell r="P5702" t="str">
            <v>184719020</v>
          </cell>
          <cell r="Q5702" t="str">
            <v>4198</v>
          </cell>
        </row>
        <row r="5703">
          <cell r="N5703" t="str">
            <v>71904</v>
          </cell>
          <cell r="O5703" t="str">
            <v/>
          </cell>
          <cell r="P5703" t="str">
            <v/>
          </cell>
          <cell r="Q5703" t="str">
            <v/>
          </cell>
        </row>
        <row r="5704">
          <cell r="N5704" t="str">
            <v>71904</v>
          </cell>
          <cell r="O5704" t="str">
            <v>LO1</v>
          </cell>
          <cell r="P5704" t="str">
            <v>LO171904</v>
          </cell>
          <cell r="Q5704" t="str">
            <v/>
          </cell>
        </row>
        <row r="5705">
          <cell r="N5705" t="str">
            <v>71904</v>
          </cell>
          <cell r="O5705" t="str">
            <v>ONL</v>
          </cell>
          <cell r="P5705" t="str">
            <v>ONL71904</v>
          </cell>
          <cell r="Q5705" t="str">
            <v/>
          </cell>
        </row>
        <row r="5706">
          <cell r="N5706" t="str">
            <v>71904</v>
          </cell>
          <cell r="O5706" t="str">
            <v>TRP</v>
          </cell>
          <cell r="P5706" t="str">
            <v>TRP71904</v>
          </cell>
          <cell r="Q5706" t="str">
            <v/>
          </cell>
        </row>
        <row r="5707">
          <cell r="N5707" t="str">
            <v>719040</v>
          </cell>
          <cell r="O5707" t="str">
            <v/>
          </cell>
          <cell r="P5707" t="str">
            <v/>
          </cell>
          <cell r="Q5707" t="str">
            <v/>
          </cell>
        </row>
        <row r="5708">
          <cell r="N5708" t="str">
            <v>719040</v>
          </cell>
          <cell r="O5708" t="str">
            <v>ONL</v>
          </cell>
          <cell r="P5708" t="str">
            <v>ONL719040</v>
          </cell>
          <cell r="Q5708" t="str">
            <v/>
          </cell>
        </row>
        <row r="5709">
          <cell r="N5709" t="str">
            <v>719040</v>
          </cell>
          <cell r="O5709" t="str">
            <v>TRP</v>
          </cell>
          <cell r="P5709" t="str">
            <v>TRP719040</v>
          </cell>
          <cell r="Q5709" t="str">
            <v/>
          </cell>
        </row>
        <row r="5710">
          <cell r="N5710" t="str">
            <v>7190400</v>
          </cell>
          <cell r="O5710" t="str">
            <v/>
          </cell>
          <cell r="P5710" t="str">
            <v/>
          </cell>
          <cell r="Q5710" t="str">
            <v>4198</v>
          </cell>
        </row>
        <row r="5711">
          <cell r="N5711" t="str">
            <v>7190400</v>
          </cell>
          <cell r="O5711" t="str">
            <v>DDB</v>
          </cell>
          <cell r="P5711" t="str">
            <v>DDB7190400</v>
          </cell>
          <cell r="Q5711" t="str">
            <v>4198</v>
          </cell>
        </row>
        <row r="5712">
          <cell r="N5712" t="str">
            <v>7190400</v>
          </cell>
          <cell r="O5712" t="str">
            <v>LO1</v>
          </cell>
          <cell r="P5712" t="str">
            <v>LO17190400</v>
          </cell>
          <cell r="Q5712" t="str">
            <v>4198</v>
          </cell>
        </row>
        <row r="5713">
          <cell r="N5713" t="str">
            <v>7190400</v>
          </cell>
          <cell r="O5713" t="str">
            <v>ONL</v>
          </cell>
          <cell r="P5713" t="str">
            <v>ONL7190400</v>
          </cell>
          <cell r="Q5713" t="str">
            <v>4198</v>
          </cell>
        </row>
        <row r="5714">
          <cell r="N5714" t="str">
            <v>7190400</v>
          </cell>
          <cell r="O5714" t="str">
            <v>TIT</v>
          </cell>
          <cell r="P5714" t="str">
            <v>TIT7190400</v>
          </cell>
          <cell r="Q5714" t="str">
            <v>4198</v>
          </cell>
        </row>
        <row r="5715">
          <cell r="N5715" t="str">
            <v>7190400</v>
          </cell>
          <cell r="O5715" t="str">
            <v>TRP</v>
          </cell>
          <cell r="P5715" t="str">
            <v>TRP7190400</v>
          </cell>
          <cell r="Q5715" t="str">
            <v>4198</v>
          </cell>
        </row>
        <row r="5716">
          <cell r="N5716" t="str">
            <v>7190400</v>
          </cell>
          <cell r="O5716" t="str">
            <v>111</v>
          </cell>
          <cell r="P5716" t="str">
            <v>1117190400</v>
          </cell>
          <cell r="Q5716" t="str">
            <v>4198</v>
          </cell>
        </row>
        <row r="5717">
          <cell r="N5717" t="str">
            <v>71904030</v>
          </cell>
          <cell r="O5717" t="str">
            <v/>
          </cell>
          <cell r="P5717" t="str">
            <v/>
          </cell>
          <cell r="Q5717" t="str">
            <v>51959</v>
          </cell>
        </row>
        <row r="5718">
          <cell r="N5718" t="str">
            <v>71904030</v>
          </cell>
          <cell r="O5718" t="str">
            <v>L01</v>
          </cell>
          <cell r="P5718" t="str">
            <v>L0171904030</v>
          </cell>
          <cell r="Q5718" t="str">
            <v>51959</v>
          </cell>
        </row>
        <row r="5719">
          <cell r="N5719" t="str">
            <v>71904030</v>
          </cell>
          <cell r="O5719" t="str">
            <v>ONL</v>
          </cell>
          <cell r="P5719" t="str">
            <v>ONL71904030</v>
          </cell>
          <cell r="Q5719" t="str">
            <v>51959</v>
          </cell>
        </row>
        <row r="5720">
          <cell r="N5720" t="str">
            <v>71904031</v>
          </cell>
          <cell r="O5720" t="str">
            <v/>
          </cell>
          <cell r="P5720" t="str">
            <v/>
          </cell>
          <cell r="Q5720" t="str">
            <v>51959</v>
          </cell>
        </row>
        <row r="5721">
          <cell r="N5721" t="str">
            <v>71904031</v>
          </cell>
          <cell r="O5721" t="str">
            <v>L01</v>
          </cell>
          <cell r="P5721" t="str">
            <v>L0171904031</v>
          </cell>
          <cell r="Q5721" t="str">
            <v>51959</v>
          </cell>
        </row>
        <row r="5722">
          <cell r="N5722" t="str">
            <v>71904031</v>
          </cell>
          <cell r="O5722" t="str">
            <v>ONL</v>
          </cell>
          <cell r="P5722" t="str">
            <v>ONL71904031</v>
          </cell>
          <cell r="Q5722" t="str">
            <v>51959</v>
          </cell>
        </row>
        <row r="5723">
          <cell r="N5723" t="str">
            <v>7190409</v>
          </cell>
          <cell r="O5723" t="str">
            <v/>
          </cell>
          <cell r="P5723" t="str">
            <v/>
          </cell>
          <cell r="Q5723" t="str">
            <v>4198</v>
          </cell>
        </row>
        <row r="5724">
          <cell r="N5724" t="str">
            <v>7190409</v>
          </cell>
          <cell r="O5724" t="str">
            <v>LO1</v>
          </cell>
          <cell r="P5724" t="str">
            <v>LO17190409</v>
          </cell>
          <cell r="Q5724" t="str">
            <v>4198</v>
          </cell>
        </row>
        <row r="5725">
          <cell r="N5725" t="str">
            <v>7190409</v>
          </cell>
          <cell r="O5725" t="str">
            <v>LRA</v>
          </cell>
          <cell r="P5725" t="str">
            <v>LRA7190409</v>
          </cell>
          <cell r="Q5725" t="str">
            <v>4198</v>
          </cell>
        </row>
        <row r="5726">
          <cell r="N5726" t="str">
            <v>7190409</v>
          </cell>
          <cell r="O5726" t="str">
            <v>L01</v>
          </cell>
          <cell r="P5726" t="str">
            <v>L017190409</v>
          </cell>
          <cell r="Q5726" t="str">
            <v>4198</v>
          </cell>
        </row>
        <row r="5727">
          <cell r="N5727" t="str">
            <v>7190409</v>
          </cell>
          <cell r="O5727" t="str">
            <v>ONL</v>
          </cell>
          <cell r="P5727" t="str">
            <v>ONL7190409</v>
          </cell>
          <cell r="Q5727" t="str">
            <v>4198</v>
          </cell>
        </row>
        <row r="5728">
          <cell r="N5728" t="str">
            <v>7190409</v>
          </cell>
          <cell r="O5728" t="str">
            <v>REG</v>
          </cell>
          <cell r="P5728" t="str">
            <v>REG7190409</v>
          </cell>
          <cell r="Q5728" t="str">
            <v>4198</v>
          </cell>
        </row>
        <row r="5729">
          <cell r="N5729" t="str">
            <v>7190409</v>
          </cell>
          <cell r="O5729" t="str">
            <v>2JC</v>
          </cell>
          <cell r="P5729" t="str">
            <v>2JC7190409</v>
          </cell>
          <cell r="Q5729" t="str">
            <v>4198</v>
          </cell>
        </row>
        <row r="5730">
          <cell r="N5730" t="str">
            <v>7190409</v>
          </cell>
          <cell r="O5730" t="str">
            <v>38A</v>
          </cell>
          <cell r="P5730" t="str">
            <v>38A7190409</v>
          </cell>
          <cell r="Q5730" t="str">
            <v>4198</v>
          </cell>
        </row>
        <row r="5731">
          <cell r="N5731" t="str">
            <v>7190409</v>
          </cell>
          <cell r="O5731" t="str">
            <v>38Z</v>
          </cell>
          <cell r="P5731" t="str">
            <v>38Z7190409</v>
          </cell>
          <cell r="Q5731" t="str">
            <v>4198</v>
          </cell>
        </row>
        <row r="5732">
          <cell r="N5732" t="str">
            <v>7190409</v>
          </cell>
          <cell r="O5732" t="str">
            <v>407</v>
          </cell>
          <cell r="P5732" t="str">
            <v>4077190409</v>
          </cell>
          <cell r="Q5732" t="str">
            <v>4198</v>
          </cell>
        </row>
        <row r="5733">
          <cell r="N5733" t="str">
            <v>719041</v>
          </cell>
          <cell r="O5733" t="str">
            <v/>
          </cell>
          <cell r="P5733" t="str">
            <v/>
          </cell>
          <cell r="Q5733" t="str">
            <v/>
          </cell>
        </row>
        <row r="5734">
          <cell r="N5734" t="str">
            <v>719041</v>
          </cell>
          <cell r="O5734" t="str">
            <v>CPE</v>
          </cell>
          <cell r="P5734" t="str">
            <v>CPE719041</v>
          </cell>
          <cell r="Q5734" t="str">
            <v/>
          </cell>
        </row>
        <row r="5735">
          <cell r="N5735" t="str">
            <v>719041</v>
          </cell>
          <cell r="O5735" t="str">
            <v>LO1</v>
          </cell>
          <cell r="P5735" t="str">
            <v>LO1719041</v>
          </cell>
          <cell r="Q5735" t="str">
            <v/>
          </cell>
        </row>
        <row r="5736">
          <cell r="N5736" t="str">
            <v>719041</v>
          </cell>
          <cell r="O5736" t="str">
            <v>TRP</v>
          </cell>
          <cell r="P5736" t="str">
            <v>TRP719041</v>
          </cell>
          <cell r="Q5736" t="str">
            <v/>
          </cell>
        </row>
        <row r="5737">
          <cell r="N5737" t="str">
            <v>7190419</v>
          </cell>
          <cell r="O5737" t="str">
            <v/>
          </cell>
          <cell r="P5737" t="str">
            <v/>
          </cell>
          <cell r="Q5737" t="str">
            <v>4198</v>
          </cell>
        </row>
        <row r="5738">
          <cell r="N5738" t="str">
            <v>7190419</v>
          </cell>
          <cell r="O5738" t="str">
            <v>CPE</v>
          </cell>
          <cell r="P5738" t="str">
            <v>CPE7190419</v>
          </cell>
          <cell r="Q5738" t="str">
            <v>4198</v>
          </cell>
        </row>
        <row r="5739">
          <cell r="N5739" t="str">
            <v>7190419</v>
          </cell>
          <cell r="O5739" t="str">
            <v>LO1</v>
          </cell>
          <cell r="P5739" t="str">
            <v>LO17190419</v>
          </cell>
          <cell r="Q5739" t="str">
            <v>4198</v>
          </cell>
        </row>
        <row r="5740">
          <cell r="N5740" t="str">
            <v>7190419</v>
          </cell>
          <cell r="O5740" t="str">
            <v>TRP</v>
          </cell>
          <cell r="P5740" t="str">
            <v>TRP7190419</v>
          </cell>
          <cell r="Q5740" t="str">
            <v>4198</v>
          </cell>
        </row>
        <row r="5741">
          <cell r="N5741" t="str">
            <v>719043</v>
          </cell>
          <cell r="O5741" t="str">
            <v/>
          </cell>
          <cell r="P5741" t="str">
            <v/>
          </cell>
          <cell r="Q5741" t="str">
            <v>4198</v>
          </cell>
        </row>
        <row r="5742">
          <cell r="N5742" t="str">
            <v>719043</v>
          </cell>
          <cell r="O5742" t="str">
            <v>LO1</v>
          </cell>
          <cell r="P5742" t="str">
            <v>LO1719043</v>
          </cell>
          <cell r="Q5742" t="str">
            <v>4198</v>
          </cell>
        </row>
        <row r="5743">
          <cell r="N5743" t="str">
            <v>719043</v>
          </cell>
          <cell r="O5743" t="str">
            <v>ONL</v>
          </cell>
          <cell r="P5743" t="str">
            <v>ONL719043</v>
          </cell>
          <cell r="Q5743" t="str">
            <v>4198</v>
          </cell>
        </row>
        <row r="5744">
          <cell r="N5744" t="str">
            <v>719049</v>
          </cell>
          <cell r="O5744" t="str">
            <v/>
          </cell>
          <cell r="P5744" t="str">
            <v/>
          </cell>
          <cell r="Q5744" t="str">
            <v>4198</v>
          </cell>
        </row>
        <row r="5745">
          <cell r="N5745" t="str">
            <v>719049</v>
          </cell>
          <cell r="O5745" t="str">
            <v>111</v>
          </cell>
          <cell r="P5745" t="str">
            <v>111719049</v>
          </cell>
          <cell r="Q5745" t="str">
            <v>4198</v>
          </cell>
        </row>
        <row r="5746">
          <cell r="N5746" t="str">
            <v>719049</v>
          </cell>
          <cell r="O5746" t="str">
            <v>409</v>
          </cell>
          <cell r="P5746" t="str">
            <v>409719049</v>
          </cell>
          <cell r="Q5746" t="str">
            <v>4198</v>
          </cell>
        </row>
        <row r="5747">
          <cell r="N5747" t="str">
            <v>71909</v>
          </cell>
          <cell r="O5747" t="str">
            <v/>
          </cell>
          <cell r="P5747" t="str">
            <v/>
          </cell>
          <cell r="Q5747" t="str">
            <v>4912000</v>
          </cell>
        </row>
        <row r="5748">
          <cell r="N5748" t="str">
            <v>71909</v>
          </cell>
          <cell r="O5748" t="str">
            <v>LRA</v>
          </cell>
          <cell r="P5748" t="str">
            <v>LRA71909</v>
          </cell>
          <cell r="Q5748" t="str">
            <v>4912000</v>
          </cell>
        </row>
        <row r="5749">
          <cell r="N5749" t="str">
            <v>71909</v>
          </cell>
          <cell r="O5749" t="str">
            <v>XXC</v>
          </cell>
          <cell r="P5749" t="str">
            <v>XXC71909</v>
          </cell>
          <cell r="Q5749" t="str">
            <v>4912000</v>
          </cell>
        </row>
        <row r="5750">
          <cell r="N5750" t="str">
            <v>7193</v>
          </cell>
          <cell r="O5750" t="str">
            <v/>
          </cell>
          <cell r="P5750" t="str">
            <v/>
          </cell>
          <cell r="Q5750" t="str">
            <v>41999</v>
          </cell>
        </row>
        <row r="5751">
          <cell r="N5751" t="str">
            <v>7193</v>
          </cell>
          <cell r="O5751" t="str">
            <v>AI2</v>
          </cell>
          <cell r="P5751" t="str">
            <v>AI27193</v>
          </cell>
          <cell r="Q5751" t="str">
            <v>41999</v>
          </cell>
        </row>
        <row r="5752">
          <cell r="N5752" t="str">
            <v>7193</v>
          </cell>
          <cell r="O5752" t="str">
            <v>AM8</v>
          </cell>
          <cell r="P5752" t="str">
            <v>AM87193</v>
          </cell>
          <cell r="Q5752" t="str">
            <v>41999</v>
          </cell>
        </row>
        <row r="5753">
          <cell r="N5753" t="str">
            <v>7193</v>
          </cell>
          <cell r="O5753" t="str">
            <v>AN2</v>
          </cell>
          <cell r="P5753" t="str">
            <v>AN27193</v>
          </cell>
          <cell r="Q5753" t="str">
            <v>41999</v>
          </cell>
        </row>
        <row r="5754">
          <cell r="N5754" t="str">
            <v>71944</v>
          </cell>
          <cell r="O5754" t="str">
            <v/>
          </cell>
          <cell r="P5754" t="str">
            <v/>
          </cell>
          <cell r="Q5754" t="str">
            <v>41999</v>
          </cell>
        </row>
        <row r="5755">
          <cell r="N5755" t="str">
            <v>71944</v>
          </cell>
          <cell r="O5755" t="str">
            <v>ONL</v>
          </cell>
          <cell r="P5755" t="str">
            <v>ONL71944</v>
          </cell>
          <cell r="Q5755" t="str">
            <v>41999</v>
          </cell>
        </row>
        <row r="5756">
          <cell r="N5756" t="str">
            <v>7199</v>
          </cell>
          <cell r="O5756" t="str">
            <v/>
          </cell>
          <cell r="P5756" t="str">
            <v/>
          </cell>
          <cell r="Q5756" t="str">
            <v/>
          </cell>
        </row>
        <row r="5757">
          <cell r="N5757" t="str">
            <v>7199</v>
          </cell>
          <cell r="O5757" t="str">
            <v>LO1</v>
          </cell>
          <cell r="P5757" t="str">
            <v>LO17199</v>
          </cell>
          <cell r="Q5757" t="str">
            <v/>
          </cell>
        </row>
        <row r="5758">
          <cell r="N5758" t="str">
            <v>7199</v>
          </cell>
          <cell r="O5758" t="str">
            <v>ONL</v>
          </cell>
          <cell r="P5758" t="str">
            <v>ONL7199</v>
          </cell>
          <cell r="Q5758" t="str">
            <v/>
          </cell>
        </row>
        <row r="5759">
          <cell r="N5759" t="str">
            <v>71999</v>
          </cell>
          <cell r="O5759" t="str">
            <v/>
          </cell>
          <cell r="P5759" t="str">
            <v/>
          </cell>
          <cell r="Q5759" t="str">
            <v>41999</v>
          </cell>
        </row>
        <row r="5760">
          <cell r="N5760" t="str">
            <v>71999</v>
          </cell>
          <cell r="O5760" t="str">
            <v>BOF</v>
          </cell>
          <cell r="P5760" t="str">
            <v>BOF71999</v>
          </cell>
          <cell r="Q5760" t="str">
            <v>41999</v>
          </cell>
        </row>
        <row r="5761">
          <cell r="N5761" t="str">
            <v>71999</v>
          </cell>
          <cell r="O5761" t="str">
            <v>ECU</v>
          </cell>
          <cell r="P5761" t="str">
            <v>ECU71999</v>
          </cell>
          <cell r="Q5761" t="str">
            <v>41999</v>
          </cell>
        </row>
        <row r="5762">
          <cell r="N5762" t="str">
            <v>71999</v>
          </cell>
          <cell r="O5762" t="str">
            <v>LRA</v>
          </cell>
          <cell r="P5762" t="str">
            <v>LRA71999</v>
          </cell>
          <cell r="Q5762" t="str">
            <v>41999</v>
          </cell>
        </row>
        <row r="5763">
          <cell r="N5763" t="str">
            <v>71999</v>
          </cell>
          <cell r="O5763" t="str">
            <v>!MF</v>
          </cell>
          <cell r="P5763" t="str">
            <v>!MF71999</v>
          </cell>
          <cell r="Q5763" t="str">
            <v>41999</v>
          </cell>
        </row>
        <row r="5764">
          <cell r="N5764" t="str">
            <v>71999</v>
          </cell>
          <cell r="O5764" t="str">
            <v>ONL</v>
          </cell>
          <cell r="P5764" t="str">
            <v>ONL71999</v>
          </cell>
          <cell r="Q5764" t="str">
            <v>41999</v>
          </cell>
        </row>
        <row r="5765">
          <cell r="N5765" t="str">
            <v>71999</v>
          </cell>
          <cell r="O5765" t="str">
            <v>111</v>
          </cell>
          <cell r="P5765" t="str">
            <v>11171999</v>
          </cell>
          <cell r="Q5765" t="str">
            <v>41999</v>
          </cell>
        </row>
        <row r="5766">
          <cell r="N5766" t="str">
            <v>7790</v>
          </cell>
          <cell r="O5766" t="str">
            <v/>
          </cell>
          <cell r="P5766" t="str">
            <v/>
          </cell>
          <cell r="Q5766" t="str">
            <v/>
          </cell>
        </row>
        <row r="5767">
          <cell r="N5767" t="str">
            <v>7790</v>
          </cell>
          <cell r="O5767" t="str">
            <v>ONL</v>
          </cell>
          <cell r="P5767" t="str">
            <v>ONL7790</v>
          </cell>
          <cell r="Q5767" t="str">
            <v/>
          </cell>
        </row>
        <row r="5768">
          <cell r="N5768" t="str">
            <v>77910</v>
          </cell>
          <cell r="O5768" t="str">
            <v/>
          </cell>
          <cell r="P5768" t="str">
            <v/>
          </cell>
          <cell r="Q5768" t="str">
            <v/>
          </cell>
        </row>
        <row r="5769">
          <cell r="N5769" t="str">
            <v>77910</v>
          </cell>
          <cell r="O5769" t="str">
            <v>ONL</v>
          </cell>
          <cell r="P5769" t="str">
            <v>ONL77910</v>
          </cell>
          <cell r="Q5769" t="str">
            <v/>
          </cell>
        </row>
        <row r="5770">
          <cell r="N5770" t="str">
            <v>77960</v>
          </cell>
          <cell r="O5770" t="str">
            <v/>
          </cell>
          <cell r="P5770" t="str">
            <v/>
          </cell>
          <cell r="Q5770" t="str">
            <v>41499</v>
          </cell>
        </row>
        <row r="5771">
          <cell r="N5771" t="str">
            <v>77960</v>
          </cell>
          <cell r="O5771" t="str">
            <v>CCE</v>
          </cell>
          <cell r="P5771" t="str">
            <v>CCE77960</v>
          </cell>
          <cell r="Q5771" t="str">
            <v>41499</v>
          </cell>
        </row>
        <row r="5772">
          <cell r="N5772" t="str">
            <v>77960</v>
          </cell>
          <cell r="O5772" t="str">
            <v>DEC</v>
          </cell>
          <cell r="P5772" t="str">
            <v>DEC77960</v>
          </cell>
          <cell r="Q5772" t="str">
            <v>41499</v>
          </cell>
        </row>
        <row r="5773">
          <cell r="N5773" t="str">
            <v>77960</v>
          </cell>
          <cell r="O5773" t="str">
            <v>LPZ</v>
          </cell>
          <cell r="P5773" t="str">
            <v>LPZ77960</v>
          </cell>
          <cell r="Q5773" t="str">
            <v>41499</v>
          </cell>
        </row>
        <row r="5774">
          <cell r="N5774" t="str">
            <v>77960</v>
          </cell>
          <cell r="O5774" t="str">
            <v>LRA</v>
          </cell>
          <cell r="P5774" t="str">
            <v>LRA77960</v>
          </cell>
          <cell r="Q5774" t="str">
            <v>41499</v>
          </cell>
        </row>
        <row r="5775">
          <cell r="N5775" t="str">
            <v>77960</v>
          </cell>
          <cell r="O5775" t="str">
            <v>!MF</v>
          </cell>
          <cell r="P5775" t="str">
            <v>!MF77960</v>
          </cell>
          <cell r="Q5775" t="str">
            <v>41499</v>
          </cell>
        </row>
        <row r="5776">
          <cell r="N5776" t="str">
            <v>77960</v>
          </cell>
          <cell r="O5776" t="str">
            <v>OGX</v>
          </cell>
          <cell r="P5776" t="str">
            <v>OGX77960</v>
          </cell>
          <cell r="Q5776" t="str">
            <v>41499</v>
          </cell>
        </row>
        <row r="5777">
          <cell r="N5777" t="str">
            <v>77960</v>
          </cell>
          <cell r="O5777" t="str">
            <v>ONL</v>
          </cell>
          <cell r="P5777" t="str">
            <v>ONL77960</v>
          </cell>
          <cell r="Q5777" t="str">
            <v>41499</v>
          </cell>
        </row>
        <row r="5778">
          <cell r="N5778" t="str">
            <v>77960</v>
          </cell>
          <cell r="O5778" t="str">
            <v>REG</v>
          </cell>
          <cell r="P5778" t="str">
            <v>REG77960</v>
          </cell>
          <cell r="Q5778" t="str">
            <v>41499</v>
          </cell>
        </row>
        <row r="5779">
          <cell r="N5779" t="str">
            <v>77960</v>
          </cell>
          <cell r="O5779" t="str">
            <v>RFU</v>
          </cell>
          <cell r="P5779" t="str">
            <v>RFU77960</v>
          </cell>
          <cell r="Q5779" t="str">
            <v>41499</v>
          </cell>
        </row>
        <row r="5780">
          <cell r="N5780" t="str">
            <v>77960</v>
          </cell>
          <cell r="O5780" t="str">
            <v>111</v>
          </cell>
          <cell r="P5780" t="str">
            <v>11177960</v>
          </cell>
          <cell r="Q5780" t="str">
            <v>41499</v>
          </cell>
        </row>
        <row r="5781">
          <cell r="N5781" t="str">
            <v>77960</v>
          </cell>
          <cell r="O5781" t="str">
            <v>60A</v>
          </cell>
          <cell r="P5781" t="str">
            <v>60A77960</v>
          </cell>
          <cell r="Q5781" t="str">
            <v>41499</v>
          </cell>
        </row>
        <row r="5782">
          <cell r="N5782" t="str">
            <v>77960</v>
          </cell>
          <cell r="O5782" t="str">
            <v>60B</v>
          </cell>
          <cell r="P5782" t="str">
            <v>60B77960</v>
          </cell>
          <cell r="Q5782" t="str">
            <v>41499</v>
          </cell>
        </row>
        <row r="5783">
          <cell r="N5783" t="str">
            <v>77962</v>
          </cell>
          <cell r="O5783" t="str">
            <v/>
          </cell>
          <cell r="P5783" t="str">
            <v/>
          </cell>
          <cell r="Q5783" t="str">
            <v>41499</v>
          </cell>
        </row>
        <row r="5784">
          <cell r="N5784" t="str">
            <v>77962</v>
          </cell>
          <cell r="O5784" t="str">
            <v>779</v>
          </cell>
          <cell r="P5784" t="str">
            <v>77977962</v>
          </cell>
          <cell r="Q5784" t="str">
            <v>41499</v>
          </cell>
        </row>
        <row r="5785">
          <cell r="N5785" t="str">
            <v>779630</v>
          </cell>
          <cell r="O5785" t="str">
            <v/>
          </cell>
          <cell r="P5785" t="str">
            <v/>
          </cell>
          <cell r="Q5785" t="str">
            <v>41499</v>
          </cell>
        </row>
        <row r="5786">
          <cell r="N5786" t="str">
            <v>779630</v>
          </cell>
          <cell r="O5786" t="str">
            <v>OCT</v>
          </cell>
          <cell r="P5786" t="str">
            <v>OCT779630</v>
          </cell>
          <cell r="Q5786" t="str">
            <v>41499</v>
          </cell>
        </row>
        <row r="5787">
          <cell r="N5787" t="str">
            <v>779630</v>
          </cell>
          <cell r="O5787" t="str">
            <v>OCX</v>
          </cell>
          <cell r="P5787" t="str">
            <v>OCX779630</v>
          </cell>
          <cell r="Q5787" t="str">
            <v>41499</v>
          </cell>
        </row>
        <row r="5788">
          <cell r="N5788" t="str">
            <v>779630</v>
          </cell>
          <cell r="O5788" t="str">
            <v>ONL</v>
          </cell>
          <cell r="P5788" t="str">
            <v>ONL779630</v>
          </cell>
          <cell r="Q5788" t="str">
            <v>41499</v>
          </cell>
        </row>
        <row r="5789">
          <cell r="N5789" t="str">
            <v>77966</v>
          </cell>
          <cell r="O5789" t="str">
            <v/>
          </cell>
          <cell r="P5789" t="str">
            <v/>
          </cell>
          <cell r="Q5789" t="str">
            <v>41499</v>
          </cell>
        </row>
        <row r="5790">
          <cell r="N5790" t="str">
            <v>77966</v>
          </cell>
          <cell r="O5790" t="str">
            <v>LO1</v>
          </cell>
          <cell r="P5790" t="str">
            <v>LO177966</v>
          </cell>
          <cell r="Q5790" t="str">
            <v>41499</v>
          </cell>
        </row>
        <row r="5791">
          <cell r="N5791" t="str">
            <v>77966</v>
          </cell>
          <cell r="O5791" t="str">
            <v>LRA</v>
          </cell>
          <cell r="P5791" t="str">
            <v>LRA77966</v>
          </cell>
          <cell r="Q5791" t="str">
            <v>41499</v>
          </cell>
        </row>
        <row r="5792">
          <cell r="N5792" t="str">
            <v>77966</v>
          </cell>
          <cell r="O5792" t="str">
            <v>L01</v>
          </cell>
          <cell r="P5792" t="str">
            <v>L0177966</v>
          </cell>
          <cell r="Q5792" t="str">
            <v>41499</v>
          </cell>
        </row>
        <row r="5793">
          <cell r="N5793" t="str">
            <v>77966</v>
          </cell>
          <cell r="O5793" t="str">
            <v>ONL</v>
          </cell>
          <cell r="P5793" t="str">
            <v>ONL77966</v>
          </cell>
          <cell r="Q5793" t="str">
            <v>41499</v>
          </cell>
        </row>
        <row r="5794">
          <cell r="N5794" t="str">
            <v>77966</v>
          </cell>
          <cell r="O5794" t="str">
            <v>111</v>
          </cell>
          <cell r="P5794" t="str">
            <v>11177966</v>
          </cell>
          <cell r="Q5794" t="str">
            <v>41499</v>
          </cell>
        </row>
        <row r="5795">
          <cell r="N5795" t="str">
            <v>77982</v>
          </cell>
          <cell r="O5795" t="str">
            <v/>
          </cell>
          <cell r="P5795" t="str">
            <v/>
          </cell>
          <cell r="Q5795" t="str">
            <v>4508809112</v>
          </cell>
        </row>
        <row r="5796">
          <cell r="N5796" t="str">
            <v>77982</v>
          </cell>
          <cell r="O5796" t="str">
            <v>AP9</v>
          </cell>
          <cell r="P5796" t="str">
            <v>AP977982</v>
          </cell>
          <cell r="Q5796" t="str">
            <v>4508809112</v>
          </cell>
        </row>
        <row r="5797">
          <cell r="N5797" t="str">
            <v>77982</v>
          </cell>
          <cell r="O5797" t="str">
            <v>LRA</v>
          </cell>
          <cell r="P5797" t="str">
            <v>LRA77982</v>
          </cell>
          <cell r="Q5797" t="str">
            <v>4508809112</v>
          </cell>
        </row>
        <row r="5798">
          <cell r="N5798" t="str">
            <v>77982</v>
          </cell>
          <cell r="O5798" t="str">
            <v>ONL</v>
          </cell>
          <cell r="P5798" t="str">
            <v>ONL77982</v>
          </cell>
          <cell r="Q5798" t="str">
            <v>4508809112</v>
          </cell>
        </row>
        <row r="5799">
          <cell r="N5799" t="str">
            <v>77982</v>
          </cell>
          <cell r="O5799" t="str">
            <v>REG</v>
          </cell>
          <cell r="P5799" t="str">
            <v>REG77982</v>
          </cell>
          <cell r="Q5799" t="str">
            <v>4508809112</v>
          </cell>
        </row>
        <row r="5800">
          <cell r="N5800" t="str">
            <v>77982</v>
          </cell>
          <cell r="O5800" t="str">
            <v>111</v>
          </cell>
          <cell r="P5800" t="str">
            <v>11177982</v>
          </cell>
          <cell r="Q5800" t="str">
            <v>4508809112</v>
          </cell>
        </row>
        <row r="5801">
          <cell r="N5801" t="str">
            <v>77982</v>
          </cell>
          <cell r="O5801" t="str">
            <v>72R</v>
          </cell>
          <cell r="P5801" t="str">
            <v>72R77982</v>
          </cell>
          <cell r="Q5801" t="str">
            <v>4508809112</v>
          </cell>
        </row>
        <row r="5802">
          <cell r="N5802" t="str">
            <v>77983</v>
          </cell>
          <cell r="O5802" t="str">
            <v/>
          </cell>
          <cell r="P5802" t="str">
            <v/>
          </cell>
          <cell r="Q5802" t="str">
            <v>4508809113</v>
          </cell>
        </row>
        <row r="5803">
          <cell r="N5803" t="str">
            <v>77983</v>
          </cell>
          <cell r="O5803" t="str">
            <v>CRR</v>
          </cell>
          <cell r="P5803" t="str">
            <v>CRR77983</v>
          </cell>
          <cell r="Q5803" t="str">
            <v>4508809113</v>
          </cell>
        </row>
        <row r="5804">
          <cell r="N5804" t="str">
            <v>77983</v>
          </cell>
          <cell r="O5804" t="str">
            <v>LRA</v>
          </cell>
          <cell r="P5804" t="str">
            <v>LRA77983</v>
          </cell>
          <cell r="Q5804" t="str">
            <v>4508809113</v>
          </cell>
        </row>
        <row r="5805">
          <cell r="N5805" t="str">
            <v>77983</v>
          </cell>
          <cell r="O5805" t="str">
            <v>!L6</v>
          </cell>
          <cell r="P5805" t="str">
            <v>!L677983</v>
          </cell>
          <cell r="Q5805" t="str">
            <v>4508809113</v>
          </cell>
        </row>
        <row r="5806">
          <cell r="N5806" t="str">
            <v>77983</v>
          </cell>
          <cell r="O5806" t="str">
            <v>!N6</v>
          </cell>
          <cell r="P5806" t="str">
            <v>!N677983</v>
          </cell>
          <cell r="Q5806" t="str">
            <v>4508809113</v>
          </cell>
        </row>
        <row r="5807">
          <cell r="N5807" t="str">
            <v>77983</v>
          </cell>
          <cell r="O5807" t="str">
            <v>ODX</v>
          </cell>
          <cell r="P5807" t="str">
            <v>ODX77983</v>
          </cell>
          <cell r="Q5807" t="str">
            <v>4508809113</v>
          </cell>
        </row>
        <row r="5808">
          <cell r="N5808" t="str">
            <v>77983</v>
          </cell>
          <cell r="O5808" t="str">
            <v>OGX</v>
          </cell>
          <cell r="P5808" t="str">
            <v>OGX77983</v>
          </cell>
          <cell r="Q5808" t="str">
            <v>4508809113</v>
          </cell>
        </row>
        <row r="5809">
          <cell r="N5809" t="str">
            <v>77983</v>
          </cell>
          <cell r="O5809" t="str">
            <v>ONL</v>
          </cell>
          <cell r="P5809" t="str">
            <v>ONL77983</v>
          </cell>
          <cell r="Q5809" t="str">
            <v>4508809113</v>
          </cell>
        </row>
        <row r="5810">
          <cell r="N5810" t="str">
            <v>77983</v>
          </cell>
          <cell r="O5810" t="str">
            <v>REG</v>
          </cell>
          <cell r="P5810" t="str">
            <v>REG77983</v>
          </cell>
          <cell r="Q5810" t="str">
            <v>4508809113</v>
          </cell>
        </row>
        <row r="5811">
          <cell r="N5811" t="str">
            <v>77983</v>
          </cell>
          <cell r="O5811" t="str">
            <v>111</v>
          </cell>
          <cell r="P5811" t="str">
            <v>11177983</v>
          </cell>
          <cell r="Q5811" t="str">
            <v>4508809113</v>
          </cell>
        </row>
        <row r="5812">
          <cell r="N5812" t="str">
            <v>77983</v>
          </cell>
          <cell r="O5812" t="str">
            <v>73R</v>
          </cell>
          <cell r="P5812" t="str">
            <v>73R77983</v>
          </cell>
          <cell r="Q5812" t="str">
            <v>4508809113</v>
          </cell>
        </row>
        <row r="5813">
          <cell r="N5813" t="str">
            <v>77984</v>
          </cell>
          <cell r="O5813" t="str">
            <v/>
          </cell>
          <cell r="P5813" t="str">
            <v/>
          </cell>
          <cell r="Q5813" t="str">
            <v>4508809114</v>
          </cell>
        </row>
        <row r="5814">
          <cell r="N5814" t="str">
            <v>77984</v>
          </cell>
          <cell r="O5814" t="str">
            <v>LRA</v>
          </cell>
          <cell r="P5814" t="str">
            <v>LRA77984</v>
          </cell>
          <cell r="Q5814" t="str">
            <v>4508809114</v>
          </cell>
        </row>
        <row r="5815">
          <cell r="N5815" t="str">
            <v>77984</v>
          </cell>
          <cell r="O5815" t="str">
            <v>ONL</v>
          </cell>
          <cell r="P5815" t="str">
            <v>ONL77984</v>
          </cell>
          <cell r="Q5815" t="str">
            <v>4508809114</v>
          </cell>
        </row>
        <row r="5816">
          <cell r="N5816" t="str">
            <v>77984</v>
          </cell>
          <cell r="O5816" t="str">
            <v>74R</v>
          </cell>
          <cell r="P5816" t="str">
            <v>74R77984</v>
          </cell>
          <cell r="Q5816" t="str">
            <v>4508809114</v>
          </cell>
        </row>
        <row r="5817">
          <cell r="N5817" t="str">
            <v>77986</v>
          </cell>
          <cell r="O5817" t="str">
            <v/>
          </cell>
          <cell r="P5817" t="str">
            <v/>
          </cell>
          <cell r="Q5817" t="str">
            <v>4508809116</v>
          </cell>
        </row>
        <row r="5818">
          <cell r="N5818" t="str">
            <v>77986</v>
          </cell>
          <cell r="O5818" t="str">
            <v>AP9</v>
          </cell>
          <cell r="P5818" t="str">
            <v>AP977986</v>
          </cell>
          <cell r="Q5818" t="str">
            <v>4508809116</v>
          </cell>
        </row>
        <row r="5819">
          <cell r="N5819" t="str">
            <v>77986</v>
          </cell>
          <cell r="O5819" t="str">
            <v>ECU</v>
          </cell>
          <cell r="P5819" t="str">
            <v>ECU77986</v>
          </cell>
          <cell r="Q5819" t="str">
            <v>4508809116</v>
          </cell>
        </row>
        <row r="5820">
          <cell r="N5820" t="str">
            <v>77986</v>
          </cell>
          <cell r="O5820" t="str">
            <v>LRA</v>
          </cell>
          <cell r="P5820" t="str">
            <v>LRA77986</v>
          </cell>
          <cell r="Q5820" t="str">
            <v>4508809116</v>
          </cell>
        </row>
        <row r="5821">
          <cell r="N5821" t="str">
            <v>77986</v>
          </cell>
          <cell r="O5821" t="str">
            <v>LTA</v>
          </cell>
          <cell r="P5821" t="str">
            <v>LTA77986</v>
          </cell>
          <cell r="Q5821" t="str">
            <v>4508809116</v>
          </cell>
        </row>
        <row r="5822">
          <cell r="N5822" t="str">
            <v>77986</v>
          </cell>
          <cell r="O5822" t="str">
            <v>!L0</v>
          </cell>
          <cell r="P5822" t="str">
            <v>!L077986</v>
          </cell>
          <cell r="Q5822" t="str">
            <v>4508809116</v>
          </cell>
        </row>
        <row r="5823">
          <cell r="N5823" t="str">
            <v>77986</v>
          </cell>
          <cell r="O5823" t="str">
            <v>!MF</v>
          </cell>
          <cell r="P5823" t="str">
            <v>!MF77986</v>
          </cell>
          <cell r="Q5823" t="str">
            <v>4508809116</v>
          </cell>
        </row>
        <row r="5824">
          <cell r="N5824" t="str">
            <v>77986</v>
          </cell>
          <cell r="O5824" t="str">
            <v>ONL</v>
          </cell>
          <cell r="P5824" t="str">
            <v>ONL77986</v>
          </cell>
          <cell r="Q5824" t="str">
            <v>4508809116</v>
          </cell>
        </row>
        <row r="5825">
          <cell r="N5825" t="str">
            <v>77986</v>
          </cell>
          <cell r="O5825" t="str">
            <v>REG</v>
          </cell>
          <cell r="P5825" t="str">
            <v>REG77986</v>
          </cell>
          <cell r="Q5825" t="str">
            <v>4508809116</v>
          </cell>
        </row>
        <row r="5826">
          <cell r="N5826" t="str">
            <v>77986</v>
          </cell>
          <cell r="O5826" t="str">
            <v>TIT</v>
          </cell>
          <cell r="P5826" t="str">
            <v>TIT77986</v>
          </cell>
          <cell r="Q5826" t="str">
            <v>4508809116</v>
          </cell>
        </row>
        <row r="5827">
          <cell r="N5827" t="str">
            <v>77986</v>
          </cell>
          <cell r="O5827" t="str">
            <v>111</v>
          </cell>
          <cell r="P5827" t="str">
            <v>11177986</v>
          </cell>
          <cell r="Q5827" t="str">
            <v>4508809116</v>
          </cell>
        </row>
        <row r="5828">
          <cell r="N5828" t="str">
            <v>77986</v>
          </cell>
          <cell r="O5828" t="str">
            <v>!30</v>
          </cell>
          <cell r="P5828" t="str">
            <v>!3077986</v>
          </cell>
          <cell r="Q5828" t="str">
            <v>4508809116</v>
          </cell>
        </row>
        <row r="5829">
          <cell r="N5829" t="str">
            <v>77986</v>
          </cell>
          <cell r="O5829" t="str">
            <v>76Q</v>
          </cell>
          <cell r="P5829" t="str">
            <v>76Q77986</v>
          </cell>
          <cell r="Q5829" t="str">
            <v>4508809116</v>
          </cell>
        </row>
        <row r="5830">
          <cell r="N5830" t="str">
            <v>77986</v>
          </cell>
          <cell r="O5830" t="str">
            <v>76R</v>
          </cell>
          <cell r="P5830" t="str">
            <v>76R77986</v>
          </cell>
          <cell r="Q5830" t="str">
            <v>4508809116</v>
          </cell>
        </row>
        <row r="5831">
          <cell r="N5831" t="str">
            <v>77986</v>
          </cell>
          <cell r="O5831" t="str">
            <v>76S</v>
          </cell>
          <cell r="P5831" t="str">
            <v>76S77986</v>
          </cell>
          <cell r="Q5831" t="str">
            <v>4508809116</v>
          </cell>
        </row>
        <row r="5832">
          <cell r="N5832" t="str">
            <v>7799</v>
          </cell>
          <cell r="O5832" t="str">
            <v/>
          </cell>
          <cell r="P5832" t="str">
            <v/>
          </cell>
          <cell r="Q5832" t="str">
            <v/>
          </cell>
        </row>
        <row r="5833">
          <cell r="N5833" t="str">
            <v>7799</v>
          </cell>
          <cell r="O5833" t="str">
            <v>CRR</v>
          </cell>
          <cell r="P5833" t="str">
            <v>CRR7799</v>
          </cell>
          <cell r="Q5833" t="str">
            <v/>
          </cell>
        </row>
        <row r="5834">
          <cell r="N5834" t="str">
            <v>7799</v>
          </cell>
          <cell r="O5834" t="str">
            <v>CUS</v>
          </cell>
          <cell r="P5834" t="str">
            <v>CUS7799</v>
          </cell>
          <cell r="Q5834" t="str">
            <v/>
          </cell>
        </row>
        <row r="5835">
          <cell r="N5835" t="str">
            <v>7799</v>
          </cell>
          <cell r="O5835" t="str">
            <v>DCC</v>
          </cell>
          <cell r="P5835" t="str">
            <v>DCC7799</v>
          </cell>
          <cell r="Q5835" t="str">
            <v/>
          </cell>
        </row>
        <row r="5836">
          <cell r="N5836" t="str">
            <v>7799</v>
          </cell>
          <cell r="O5836" t="str">
            <v>E5M</v>
          </cell>
          <cell r="P5836" t="str">
            <v>E5M7799</v>
          </cell>
          <cell r="Q5836" t="str">
            <v/>
          </cell>
        </row>
        <row r="5837">
          <cell r="N5837" t="str">
            <v>7799</v>
          </cell>
          <cell r="O5837" t="str">
            <v>FPX</v>
          </cell>
          <cell r="P5837" t="str">
            <v>FPX7799</v>
          </cell>
          <cell r="Q5837" t="str">
            <v/>
          </cell>
        </row>
        <row r="5838">
          <cell r="N5838" t="str">
            <v>7799</v>
          </cell>
          <cell r="O5838" t="str">
            <v>LO1</v>
          </cell>
          <cell r="P5838" t="str">
            <v>LO17799</v>
          </cell>
          <cell r="Q5838" t="str">
            <v/>
          </cell>
        </row>
        <row r="5839">
          <cell r="N5839" t="str">
            <v>7799</v>
          </cell>
          <cell r="O5839" t="str">
            <v>LRA</v>
          </cell>
          <cell r="P5839" t="str">
            <v>LRA7799</v>
          </cell>
          <cell r="Q5839" t="str">
            <v/>
          </cell>
        </row>
        <row r="5840">
          <cell r="N5840" t="str">
            <v>7799</v>
          </cell>
          <cell r="O5840" t="str">
            <v>LTA</v>
          </cell>
          <cell r="P5840" t="str">
            <v>LTA7799</v>
          </cell>
          <cell r="Q5840" t="str">
            <v/>
          </cell>
        </row>
        <row r="5841">
          <cell r="N5841" t="str">
            <v>7799</v>
          </cell>
          <cell r="O5841" t="str">
            <v>MER</v>
          </cell>
          <cell r="P5841" t="str">
            <v>MER7799</v>
          </cell>
          <cell r="Q5841" t="str">
            <v/>
          </cell>
        </row>
        <row r="5842">
          <cell r="N5842" t="str">
            <v>7799</v>
          </cell>
          <cell r="O5842" t="str">
            <v>RBG</v>
          </cell>
          <cell r="P5842" t="str">
            <v>RBG7799</v>
          </cell>
          <cell r="Q5842" t="str">
            <v/>
          </cell>
        </row>
        <row r="5843">
          <cell r="N5843" t="str">
            <v>7799</v>
          </cell>
          <cell r="O5843" t="str">
            <v>REG</v>
          </cell>
          <cell r="P5843" t="str">
            <v>REG7799</v>
          </cell>
          <cell r="Q5843" t="str">
            <v/>
          </cell>
        </row>
        <row r="5844">
          <cell r="N5844" t="str">
            <v>7799</v>
          </cell>
          <cell r="O5844" t="str">
            <v>UN3</v>
          </cell>
          <cell r="P5844" t="str">
            <v>UN37799</v>
          </cell>
          <cell r="Q5844" t="str">
            <v/>
          </cell>
        </row>
        <row r="5845">
          <cell r="N5845" t="str">
            <v>7799</v>
          </cell>
          <cell r="O5845" t="str">
            <v>110</v>
          </cell>
          <cell r="P5845" t="str">
            <v>1107799</v>
          </cell>
          <cell r="Q5845" t="str">
            <v/>
          </cell>
        </row>
        <row r="5846">
          <cell r="N5846" t="str">
            <v>7799</v>
          </cell>
          <cell r="O5846" t="str">
            <v>111</v>
          </cell>
          <cell r="P5846" t="str">
            <v>1117799</v>
          </cell>
          <cell r="Q5846" t="str">
            <v/>
          </cell>
        </row>
        <row r="5847">
          <cell r="N5847" t="str">
            <v>7799</v>
          </cell>
          <cell r="O5847" t="str">
            <v>318</v>
          </cell>
          <cell r="P5847" t="str">
            <v>3187799</v>
          </cell>
          <cell r="Q5847" t="str">
            <v/>
          </cell>
        </row>
        <row r="5848">
          <cell r="N5848" t="str">
            <v>77990</v>
          </cell>
          <cell r="O5848" t="str">
            <v/>
          </cell>
          <cell r="P5848" t="str">
            <v/>
          </cell>
          <cell r="Q5848" t="str">
            <v/>
          </cell>
        </row>
        <row r="5849">
          <cell r="N5849" t="str">
            <v>77990</v>
          </cell>
          <cell r="O5849" t="str">
            <v>LRA</v>
          </cell>
          <cell r="P5849" t="str">
            <v>LRA77990</v>
          </cell>
          <cell r="Q5849" t="str">
            <v/>
          </cell>
        </row>
        <row r="5850">
          <cell r="N5850" t="str">
            <v>77990</v>
          </cell>
          <cell r="O5850" t="str">
            <v>ONL</v>
          </cell>
          <cell r="P5850" t="str">
            <v>ONL77990</v>
          </cell>
          <cell r="Q5850" t="str">
            <v/>
          </cell>
        </row>
        <row r="5851">
          <cell r="N5851" t="str">
            <v>77990</v>
          </cell>
          <cell r="O5851" t="str">
            <v>REG</v>
          </cell>
          <cell r="P5851" t="str">
            <v>REG77990</v>
          </cell>
          <cell r="Q5851" t="str">
            <v/>
          </cell>
        </row>
        <row r="5852">
          <cell r="N5852" t="str">
            <v>77990</v>
          </cell>
          <cell r="O5852" t="str">
            <v>UN3</v>
          </cell>
          <cell r="P5852" t="str">
            <v>UN377990</v>
          </cell>
          <cell r="Q5852" t="str">
            <v/>
          </cell>
        </row>
        <row r="5853">
          <cell r="N5853" t="str">
            <v>77990</v>
          </cell>
          <cell r="O5853" t="str">
            <v>111</v>
          </cell>
          <cell r="P5853" t="str">
            <v>11177990</v>
          </cell>
          <cell r="Q5853" t="str">
            <v/>
          </cell>
        </row>
        <row r="5854">
          <cell r="N5854" t="str">
            <v>77990</v>
          </cell>
          <cell r="O5854" t="str">
            <v>318</v>
          </cell>
          <cell r="P5854" t="str">
            <v>31877990</v>
          </cell>
          <cell r="Q5854" t="str">
            <v/>
          </cell>
        </row>
        <row r="5855">
          <cell r="N5855" t="str">
            <v>779900</v>
          </cell>
          <cell r="O5855" t="str">
            <v/>
          </cell>
          <cell r="P5855" t="str">
            <v/>
          </cell>
          <cell r="Q5855" t="str">
            <v>450880910</v>
          </cell>
        </row>
        <row r="5856">
          <cell r="N5856" t="str">
            <v>779900</v>
          </cell>
          <cell r="O5856" t="str">
            <v>AP9</v>
          </cell>
          <cell r="P5856" t="str">
            <v>AP9779900</v>
          </cell>
          <cell r="Q5856" t="str">
            <v>450880910</v>
          </cell>
        </row>
        <row r="5857">
          <cell r="N5857" t="str">
            <v>779900</v>
          </cell>
          <cell r="O5857" t="str">
            <v>CUS</v>
          </cell>
          <cell r="P5857" t="str">
            <v>CUS779900</v>
          </cell>
          <cell r="Q5857" t="str">
            <v>450880910</v>
          </cell>
        </row>
        <row r="5858">
          <cell r="N5858" t="str">
            <v>779900</v>
          </cell>
          <cell r="O5858" t="str">
            <v>E5M</v>
          </cell>
          <cell r="P5858" t="str">
            <v>E5M779900</v>
          </cell>
          <cell r="Q5858" t="str">
            <v>450880910</v>
          </cell>
        </row>
        <row r="5859">
          <cell r="N5859" t="str">
            <v>779900</v>
          </cell>
          <cell r="O5859" t="str">
            <v>LRA</v>
          </cell>
          <cell r="P5859" t="str">
            <v>LRA779900</v>
          </cell>
          <cell r="Q5859" t="str">
            <v>450880910</v>
          </cell>
        </row>
        <row r="5860">
          <cell r="N5860" t="str">
            <v>779900</v>
          </cell>
          <cell r="O5860" t="str">
            <v>!MF</v>
          </cell>
          <cell r="P5860" t="str">
            <v>!MF779900</v>
          </cell>
          <cell r="Q5860" t="str">
            <v>450880910</v>
          </cell>
        </row>
        <row r="5861">
          <cell r="N5861" t="str">
            <v>779900</v>
          </cell>
          <cell r="O5861" t="str">
            <v>ONL</v>
          </cell>
          <cell r="P5861" t="str">
            <v>ONL779900</v>
          </cell>
          <cell r="Q5861" t="str">
            <v>450880910</v>
          </cell>
        </row>
        <row r="5862">
          <cell r="N5862" t="str">
            <v>779900</v>
          </cell>
          <cell r="O5862" t="str">
            <v>RBG</v>
          </cell>
          <cell r="P5862" t="str">
            <v>RBG779900</v>
          </cell>
          <cell r="Q5862" t="str">
            <v>450880910</v>
          </cell>
        </row>
        <row r="5863">
          <cell r="N5863" t="str">
            <v>779900</v>
          </cell>
          <cell r="O5863" t="str">
            <v>REG</v>
          </cell>
          <cell r="P5863" t="str">
            <v>REG779900</v>
          </cell>
          <cell r="Q5863" t="str">
            <v>450880910</v>
          </cell>
        </row>
        <row r="5864">
          <cell r="N5864" t="str">
            <v>779900</v>
          </cell>
          <cell r="O5864" t="str">
            <v>UN3</v>
          </cell>
          <cell r="P5864" t="str">
            <v>UN3779900</v>
          </cell>
          <cell r="Q5864" t="str">
            <v>450880910</v>
          </cell>
        </row>
        <row r="5865">
          <cell r="N5865" t="str">
            <v>779900</v>
          </cell>
          <cell r="O5865" t="str">
            <v>111</v>
          </cell>
          <cell r="P5865" t="str">
            <v>111779900</v>
          </cell>
          <cell r="Q5865" t="str">
            <v>450880910</v>
          </cell>
        </row>
        <row r="5866">
          <cell r="N5866" t="str">
            <v>779900</v>
          </cell>
          <cell r="O5866" t="str">
            <v>318</v>
          </cell>
          <cell r="P5866" t="str">
            <v>318779900</v>
          </cell>
          <cell r="Q5866" t="str">
            <v>450880910</v>
          </cell>
        </row>
        <row r="5867">
          <cell r="N5867" t="str">
            <v>779900</v>
          </cell>
          <cell r="O5867" t="str">
            <v>878</v>
          </cell>
          <cell r="P5867" t="str">
            <v>878779900</v>
          </cell>
          <cell r="Q5867" t="str">
            <v>450880910</v>
          </cell>
        </row>
        <row r="5868">
          <cell r="N5868" t="str">
            <v>779902</v>
          </cell>
          <cell r="O5868" t="str">
            <v/>
          </cell>
          <cell r="P5868" t="str">
            <v/>
          </cell>
          <cell r="Q5868" t="str">
            <v>450880910</v>
          </cell>
        </row>
        <row r="5869">
          <cell r="N5869" t="str">
            <v>779902</v>
          </cell>
          <cell r="O5869" t="str">
            <v>L01</v>
          </cell>
          <cell r="P5869" t="str">
            <v>L01779902</v>
          </cell>
          <cell r="Q5869" t="str">
            <v>450880910</v>
          </cell>
        </row>
        <row r="5870">
          <cell r="N5870" t="str">
            <v>779903</v>
          </cell>
          <cell r="O5870" t="str">
            <v/>
          </cell>
          <cell r="P5870" t="str">
            <v/>
          </cell>
          <cell r="Q5870" t="str">
            <v>450880910</v>
          </cell>
        </row>
        <row r="5871">
          <cell r="N5871" t="str">
            <v>779903</v>
          </cell>
          <cell r="O5871" t="str">
            <v>L01</v>
          </cell>
          <cell r="P5871" t="str">
            <v>L01779903</v>
          </cell>
          <cell r="Q5871" t="str">
            <v>450880910</v>
          </cell>
        </row>
        <row r="5872">
          <cell r="N5872" t="str">
            <v>779903</v>
          </cell>
          <cell r="O5872" t="str">
            <v>ONL</v>
          </cell>
          <cell r="P5872" t="str">
            <v>ONL779903</v>
          </cell>
          <cell r="Q5872" t="str">
            <v>450880910</v>
          </cell>
        </row>
        <row r="5873">
          <cell r="N5873" t="str">
            <v>779905</v>
          </cell>
          <cell r="O5873" t="str">
            <v/>
          </cell>
          <cell r="P5873" t="str">
            <v/>
          </cell>
          <cell r="Q5873" t="str">
            <v>450880910</v>
          </cell>
        </row>
        <row r="5874">
          <cell r="N5874" t="str">
            <v>779905</v>
          </cell>
          <cell r="O5874" t="str">
            <v>L01</v>
          </cell>
          <cell r="P5874" t="str">
            <v>L01779905</v>
          </cell>
          <cell r="Q5874" t="str">
            <v>450880910</v>
          </cell>
        </row>
        <row r="5875">
          <cell r="N5875" t="str">
            <v>779905</v>
          </cell>
          <cell r="O5875" t="str">
            <v>ONL</v>
          </cell>
          <cell r="P5875" t="str">
            <v>ONL779905</v>
          </cell>
          <cell r="Q5875" t="str">
            <v>450880910</v>
          </cell>
        </row>
        <row r="5876">
          <cell r="N5876" t="str">
            <v>779908</v>
          </cell>
          <cell r="O5876" t="str">
            <v/>
          </cell>
          <cell r="P5876" t="str">
            <v/>
          </cell>
          <cell r="Q5876" t="str">
            <v>5015305702</v>
          </cell>
        </row>
        <row r="5877">
          <cell r="N5877" t="str">
            <v>779908</v>
          </cell>
          <cell r="O5877" t="str">
            <v>IRI</v>
          </cell>
          <cell r="P5877" t="str">
            <v>IRI779908</v>
          </cell>
          <cell r="Q5877" t="str">
            <v>5015305702</v>
          </cell>
        </row>
        <row r="5878">
          <cell r="N5878" t="str">
            <v>82040</v>
          </cell>
          <cell r="O5878" t="str">
            <v/>
          </cell>
          <cell r="P5878" t="str">
            <v/>
          </cell>
          <cell r="Q5878" t="str">
            <v>51091</v>
          </cell>
        </row>
        <row r="5879">
          <cell r="N5879" t="str">
            <v>82040</v>
          </cell>
          <cell r="O5879" t="str">
            <v>111</v>
          </cell>
          <cell r="P5879" t="str">
            <v>11182040</v>
          </cell>
          <cell r="Q5879" t="str">
            <v>51091</v>
          </cell>
        </row>
        <row r="5880">
          <cell r="N5880" t="str">
            <v>8209</v>
          </cell>
          <cell r="O5880" t="str">
            <v/>
          </cell>
          <cell r="P5880" t="str">
            <v/>
          </cell>
          <cell r="Q5880" t="str">
            <v>510991</v>
          </cell>
        </row>
        <row r="5881">
          <cell r="N5881" t="str">
            <v>8209</v>
          </cell>
          <cell r="O5881" t="str">
            <v>ONL</v>
          </cell>
          <cell r="P5881" t="str">
            <v>ONL8209</v>
          </cell>
          <cell r="Q5881" t="str">
            <v>510991</v>
          </cell>
        </row>
        <row r="5882">
          <cell r="N5882" t="str">
            <v>82209</v>
          </cell>
          <cell r="O5882" t="str">
            <v/>
          </cell>
          <cell r="P5882" t="str">
            <v/>
          </cell>
          <cell r="Q5882" t="str">
            <v>512009</v>
          </cell>
        </row>
        <row r="5883">
          <cell r="N5883" t="str">
            <v>82209</v>
          </cell>
          <cell r="O5883" t="str">
            <v>CRR</v>
          </cell>
          <cell r="P5883" t="str">
            <v>CRR82209</v>
          </cell>
          <cell r="Q5883" t="str">
            <v>512009</v>
          </cell>
        </row>
        <row r="5884">
          <cell r="N5884" t="str">
            <v>82209</v>
          </cell>
          <cell r="O5884" t="str">
            <v>ONL</v>
          </cell>
          <cell r="P5884" t="str">
            <v>ONL82209</v>
          </cell>
          <cell r="Q5884" t="str">
            <v>512009</v>
          </cell>
        </row>
        <row r="5885">
          <cell r="N5885" t="str">
            <v>82209</v>
          </cell>
          <cell r="O5885" t="str">
            <v>111</v>
          </cell>
          <cell r="P5885" t="str">
            <v>11182209</v>
          </cell>
          <cell r="Q5885" t="str">
            <v>512009</v>
          </cell>
        </row>
        <row r="5886">
          <cell r="N5886" t="str">
            <v>82509</v>
          </cell>
          <cell r="O5886" t="str">
            <v/>
          </cell>
          <cell r="P5886" t="str">
            <v/>
          </cell>
          <cell r="Q5886" t="str">
            <v>51509</v>
          </cell>
        </row>
        <row r="5887">
          <cell r="N5887" t="str">
            <v>82509</v>
          </cell>
          <cell r="O5887" t="str">
            <v>LRA</v>
          </cell>
          <cell r="P5887" t="str">
            <v>LRA82509</v>
          </cell>
          <cell r="Q5887" t="str">
            <v>51509</v>
          </cell>
        </row>
        <row r="5888">
          <cell r="N5888" t="str">
            <v>8251213</v>
          </cell>
          <cell r="O5888" t="str">
            <v/>
          </cell>
          <cell r="P5888" t="str">
            <v/>
          </cell>
          <cell r="Q5888" t="str">
            <v>5151213</v>
          </cell>
        </row>
        <row r="5889">
          <cell r="N5889" t="str">
            <v>8251213</v>
          </cell>
          <cell r="O5889" t="str">
            <v>CBO</v>
          </cell>
          <cell r="P5889" t="str">
            <v>CBO8251213</v>
          </cell>
          <cell r="Q5889" t="str">
            <v>5151213</v>
          </cell>
        </row>
        <row r="5890">
          <cell r="N5890" t="str">
            <v>82523</v>
          </cell>
          <cell r="O5890" t="str">
            <v/>
          </cell>
          <cell r="P5890" t="str">
            <v/>
          </cell>
          <cell r="Q5890" t="str">
            <v>515289</v>
          </cell>
        </row>
        <row r="5891">
          <cell r="N5891" t="str">
            <v>82523</v>
          </cell>
          <cell r="O5891" t="str">
            <v>MER</v>
          </cell>
          <cell r="P5891" t="str">
            <v>MER82523</v>
          </cell>
          <cell r="Q5891" t="str">
            <v>515289</v>
          </cell>
        </row>
        <row r="5892">
          <cell r="N5892" t="str">
            <v>82523</v>
          </cell>
          <cell r="O5892" t="str">
            <v>ONL</v>
          </cell>
          <cell r="P5892" t="str">
            <v>ONL82523</v>
          </cell>
          <cell r="Q5892" t="str">
            <v>515289</v>
          </cell>
        </row>
        <row r="5893">
          <cell r="N5893" t="str">
            <v>8255</v>
          </cell>
          <cell r="O5893" t="str">
            <v/>
          </cell>
          <cell r="P5893" t="str">
            <v/>
          </cell>
          <cell r="Q5893" t="str">
            <v>5151511</v>
          </cell>
        </row>
        <row r="5894">
          <cell r="N5894" t="str">
            <v>8255</v>
          </cell>
          <cell r="O5894" t="str">
            <v>YIV</v>
          </cell>
          <cell r="P5894" t="str">
            <v>YIV8255</v>
          </cell>
          <cell r="Q5894" t="str">
            <v>5151511</v>
          </cell>
        </row>
        <row r="5895">
          <cell r="N5895" t="str">
            <v>825900</v>
          </cell>
          <cell r="O5895" t="str">
            <v/>
          </cell>
          <cell r="P5895" t="str">
            <v/>
          </cell>
          <cell r="Q5895" t="str">
            <v/>
          </cell>
        </row>
        <row r="5896">
          <cell r="N5896" t="str">
            <v>825900</v>
          </cell>
          <cell r="O5896" t="str">
            <v>OGX</v>
          </cell>
          <cell r="P5896" t="str">
            <v>OGX825900</v>
          </cell>
          <cell r="Q5896" t="str">
            <v/>
          </cell>
        </row>
        <row r="5897">
          <cell r="N5897" t="str">
            <v>8259009</v>
          </cell>
          <cell r="O5897" t="str">
            <v/>
          </cell>
          <cell r="P5897" t="str">
            <v/>
          </cell>
          <cell r="Q5897" t="str">
            <v>5151512</v>
          </cell>
        </row>
        <row r="5898">
          <cell r="N5898" t="str">
            <v>8259009</v>
          </cell>
          <cell r="O5898" t="str">
            <v>OGX</v>
          </cell>
          <cell r="P5898" t="str">
            <v>OGX8259009</v>
          </cell>
          <cell r="Q5898" t="str">
            <v>5151512</v>
          </cell>
        </row>
        <row r="5899">
          <cell r="N5899" t="str">
            <v>8259141</v>
          </cell>
          <cell r="O5899" t="str">
            <v/>
          </cell>
          <cell r="P5899" t="str">
            <v/>
          </cell>
          <cell r="Q5899" t="str">
            <v/>
          </cell>
        </row>
        <row r="5900">
          <cell r="N5900" t="str">
            <v>8259141</v>
          </cell>
          <cell r="O5900" t="str">
            <v>253</v>
          </cell>
          <cell r="P5900" t="str">
            <v>2538259141</v>
          </cell>
          <cell r="Q5900" t="str">
            <v/>
          </cell>
        </row>
        <row r="5901">
          <cell r="N5901" t="str">
            <v>825919</v>
          </cell>
          <cell r="O5901" t="str">
            <v/>
          </cell>
          <cell r="P5901" t="str">
            <v/>
          </cell>
          <cell r="Q5901" t="str">
            <v>519399</v>
          </cell>
        </row>
        <row r="5902">
          <cell r="N5902" t="str">
            <v>825919</v>
          </cell>
          <cell r="O5902" t="str">
            <v>OGX</v>
          </cell>
          <cell r="P5902" t="str">
            <v>OGX825919</v>
          </cell>
          <cell r="Q5902" t="str">
            <v>519399</v>
          </cell>
        </row>
        <row r="5903">
          <cell r="N5903" t="str">
            <v>825919</v>
          </cell>
          <cell r="O5903" t="str">
            <v>368</v>
          </cell>
          <cell r="P5903" t="str">
            <v>368825919</v>
          </cell>
          <cell r="Q5903" t="str">
            <v>519399</v>
          </cell>
        </row>
        <row r="5904">
          <cell r="N5904" t="str">
            <v>825944</v>
          </cell>
          <cell r="O5904" t="str">
            <v/>
          </cell>
          <cell r="P5904" t="str">
            <v/>
          </cell>
          <cell r="Q5904" t="str">
            <v>512018</v>
          </cell>
        </row>
        <row r="5905">
          <cell r="N5905" t="str">
            <v>825944</v>
          </cell>
          <cell r="O5905" t="str">
            <v>HOT</v>
          </cell>
          <cell r="P5905" t="str">
            <v>HOT825944</v>
          </cell>
          <cell r="Q5905" t="str">
            <v>512018</v>
          </cell>
        </row>
        <row r="5906">
          <cell r="N5906" t="str">
            <v>825944</v>
          </cell>
          <cell r="O5906" t="str">
            <v>111</v>
          </cell>
          <cell r="P5906" t="str">
            <v>111825944</v>
          </cell>
          <cell r="Q5906" t="str">
            <v>512018</v>
          </cell>
        </row>
        <row r="5907">
          <cell r="N5907" t="str">
            <v>82598</v>
          </cell>
          <cell r="O5907" t="str">
            <v/>
          </cell>
          <cell r="P5907" t="str">
            <v/>
          </cell>
          <cell r="Q5907" t="str">
            <v>502031047</v>
          </cell>
        </row>
        <row r="5908">
          <cell r="N5908" t="str">
            <v>82598</v>
          </cell>
          <cell r="O5908" t="str">
            <v>28P</v>
          </cell>
          <cell r="P5908" t="str">
            <v>28P82598</v>
          </cell>
          <cell r="Q5908" t="str">
            <v>502031047</v>
          </cell>
        </row>
        <row r="5909">
          <cell r="N5909" t="str">
            <v>82599</v>
          </cell>
          <cell r="O5909" t="str">
            <v/>
          </cell>
          <cell r="P5909" t="str">
            <v/>
          </cell>
          <cell r="Q5909" t="str">
            <v>519399</v>
          </cell>
        </row>
        <row r="5910">
          <cell r="N5910" t="str">
            <v>82599</v>
          </cell>
          <cell r="O5910" t="str">
            <v>REG</v>
          </cell>
          <cell r="P5910" t="str">
            <v>REG82599</v>
          </cell>
          <cell r="Q5910" t="str">
            <v>519399</v>
          </cell>
        </row>
        <row r="5911">
          <cell r="N5911" t="str">
            <v>82599</v>
          </cell>
          <cell r="O5911" t="str">
            <v>RM7</v>
          </cell>
          <cell r="P5911" t="str">
            <v>RM782599</v>
          </cell>
          <cell r="Q5911" t="str">
            <v>519399</v>
          </cell>
        </row>
        <row r="5912">
          <cell r="N5912" t="str">
            <v>8289</v>
          </cell>
          <cell r="O5912" t="str">
            <v/>
          </cell>
          <cell r="P5912" t="str">
            <v/>
          </cell>
          <cell r="Q5912" t="str">
            <v>51499</v>
          </cell>
        </row>
        <row r="5913">
          <cell r="N5913" t="str">
            <v>8289</v>
          </cell>
          <cell r="O5913" t="str">
            <v>REG</v>
          </cell>
          <cell r="P5913" t="str">
            <v>REG8289</v>
          </cell>
          <cell r="Q5913" t="str">
            <v>51499</v>
          </cell>
        </row>
        <row r="5914">
          <cell r="N5914" t="str">
            <v>8292</v>
          </cell>
          <cell r="O5914" t="str">
            <v/>
          </cell>
          <cell r="P5914" t="str">
            <v/>
          </cell>
          <cell r="Q5914" t="str">
            <v>51999</v>
          </cell>
        </row>
        <row r="5915">
          <cell r="N5915" t="str">
            <v>8292</v>
          </cell>
          <cell r="O5915" t="str">
            <v>ALC</v>
          </cell>
          <cell r="P5915" t="str">
            <v>ALC8292</v>
          </cell>
          <cell r="Q5915" t="str">
            <v>51999</v>
          </cell>
        </row>
        <row r="5916">
          <cell r="N5916" t="str">
            <v>8292</v>
          </cell>
          <cell r="O5916" t="str">
            <v>ESL</v>
          </cell>
          <cell r="P5916" t="str">
            <v>ESL8292</v>
          </cell>
          <cell r="Q5916" t="str">
            <v>51999</v>
          </cell>
        </row>
        <row r="5917">
          <cell r="N5917" t="str">
            <v>8293</v>
          </cell>
          <cell r="O5917" t="str">
            <v/>
          </cell>
          <cell r="P5917" t="str">
            <v/>
          </cell>
          <cell r="Q5917" t="str">
            <v>51999</v>
          </cell>
        </row>
        <row r="5918">
          <cell r="N5918" t="str">
            <v>8293</v>
          </cell>
          <cell r="O5918" t="str">
            <v>DPH</v>
          </cell>
          <cell r="P5918" t="str">
            <v>DPH8293</v>
          </cell>
          <cell r="Q5918" t="str">
            <v>51999</v>
          </cell>
        </row>
        <row r="5919">
          <cell r="N5919" t="str">
            <v>8293</v>
          </cell>
          <cell r="O5919" t="str">
            <v>EPH</v>
          </cell>
          <cell r="P5919" t="str">
            <v>EPH8293</v>
          </cell>
          <cell r="Q5919" t="str">
            <v>51999</v>
          </cell>
        </row>
        <row r="5920">
          <cell r="N5920" t="str">
            <v>8293</v>
          </cell>
          <cell r="O5920" t="str">
            <v>ONL</v>
          </cell>
          <cell r="P5920" t="str">
            <v>ONL8293</v>
          </cell>
          <cell r="Q5920" t="str">
            <v>51999</v>
          </cell>
        </row>
        <row r="5921">
          <cell r="N5921" t="str">
            <v>8293</v>
          </cell>
          <cell r="O5921" t="str">
            <v>REG</v>
          </cell>
          <cell r="P5921" t="str">
            <v>REG8293</v>
          </cell>
          <cell r="Q5921" t="str">
            <v>51999</v>
          </cell>
        </row>
        <row r="5922">
          <cell r="N5922" t="str">
            <v>8298</v>
          </cell>
          <cell r="O5922" t="str">
            <v/>
          </cell>
          <cell r="P5922" t="str">
            <v/>
          </cell>
          <cell r="Q5922" t="str">
            <v>5151594</v>
          </cell>
        </row>
        <row r="5923">
          <cell r="N5923" t="str">
            <v>8298</v>
          </cell>
          <cell r="O5923" t="str">
            <v>LRA</v>
          </cell>
          <cell r="P5923" t="str">
            <v>LRA8298</v>
          </cell>
          <cell r="Q5923" t="str">
            <v>5151594</v>
          </cell>
        </row>
        <row r="5924">
          <cell r="N5924" t="str">
            <v>82981</v>
          </cell>
          <cell r="O5924" t="str">
            <v/>
          </cell>
          <cell r="P5924" t="str">
            <v/>
          </cell>
          <cell r="Q5924" t="str">
            <v/>
          </cell>
        </row>
        <row r="5925">
          <cell r="N5925" t="str">
            <v>82981</v>
          </cell>
          <cell r="O5925" t="str">
            <v>YIV</v>
          </cell>
          <cell r="P5925" t="str">
            <v>YIV82981</v>
          </cell>
          <cell r="Q5925" t="str">
            <v/>
          </cell>
        </row>
        <row r="5926">
          <cell r="N5926" t="str">
            <v>8299</v>
          </cell>
          <cell r="O5926" t="str">
            <v/>
          </cell>
          <cell r="P5926" t="str">
            <v/>
          </cell>
          <cell r="Q5926" t="str">
            <v/>
          </cell>
        </row>
        <row r="5927">
          <cell r="N5927" t="str">
            <v>8299</v>
          </cell>
          <cell r="O5927" t="str">
            <v>ONL</v>
          </cell>
          <cell r="P5927" t="str">
            <v>ONL8299</v>
          </cell>
          <cell r="Q5927" t="str">
            <v/>
          </cell>
        </row>
        <row r="5928">
          <cell r="N5928" t="str">
            <v>8299</v>
          </cell>
          <cell r="O5928" t="str">
            <v>REG</v>
          </cell>
          <cell r="P5928" t="str">
            <v>REG8299</v>
          </cell>
          <cell r="Q5928" t="str">
            <v/>
          </cell>
        </row>
        <row r="5929">
          <cell r="N5929" t="str">
            <v>8299</v>
          </cell>
          <cell r="O5929" t="str">
            <v>111</v>
          </cell>
          <cell r="P5929" t="str">
            <v>1118299</v>
          </cell>
          <cell r="Q5929" t="str">
            <v/>
          </cell>
        </row>
        <row r="5930">
          <cell r="N5930" t="str">
            <v>82991</v>
          </cell>
          <cell r="O5930" t="str">
            <v/>
          </cell>
          <cell r="P5930" t="str">
            <v/>
          </cell>
          <cell r="Q5930" t="str">
            <v>51999</v>
          </cell>
        </row>
        <row r="5931">
          <cell r="N5931" t="str">
            <v>82991</v>
          </cell>
          <cell r="O5931" t="str">
            <v>ONL</v>
          </cell>
          <cell r="P5931" t="str">
            <v>ONL82991</v>
          </cell>
          <cell r="Q5931" t="str">
            <v>51999</v>
          </cell>
        </row>
        <row r="5932">
          <cell r="N5932" t="str">
            <v>82994</v>
          </cell>
          <cell r="O5932" t="str">
            <v/>
          </cell>
          <cell r="P5932" t="str">
            <v/>
          </cell>
          <cell r="Q5932" t="str">
            <v>51999</v>
          </cell>
        </row>
        <row r="5933">
          <cell r="N5933" t="str">
            <v>82994</v>
          </cell>
          <cell r="O5933" t="str">
            <v>OGX</v>
          </cell>
          <cell r="P5933" t="str">
            <v>OGX82994</v>
          </cell>
          <cell r="Q5933" t="str">
            <v>51999</v>
          </cell>
        </row>
        <row r="5934">
          <cell r="N5934" t="str">
            <v>82994</v>
          </cell>
          <cell r="O5934" t="str">
            <v>ONL</v>
          </cell>
          <cell r="P5934" t="str">
            <v>ONL82994</v>
          </cell>
          <cell r="Q5934" t="str">
            <v>51999</v>
          </cell>
        </row>
        <row r="5935">
          <cell r="N5935" t="str">
            <v>82999</v>
          </cell>
          <cell r="O5935" t="str">
            <v/>
          </cell>
          <cell r="P5935" t="str">
            <v/>
          </cell>
          <cell r="Q5935" t="str">
            <v>51999</v>
          </cell>
        </row>
        <row r="5936">
          <cell r="N5936" t="str">
            <v>82999</v>
          </cell>
          <cell r="O5936" t="str">
            <v>ONL</v>
          </cell>
          <cell r="P5936" t="str">
            <v>ONL82999</v>
          </cell>
          <cell r="Q5936" t="str">
            <v>51999</v>
          </cell>
        </row>
        <row r="5937">
          <cell r="N5937" t="str">
            <v>8921</v>
          </cell>
          <cell r="O5937" t="str">
            <v/>
          </cell>
          <cell r="P5937" t="str">
            <v/>
          </cell>
          <cell r="Q5937" t="str">
            <v>5151509</v>
          </cell>
        </row>
        <row r="5938">
          <cell r="N5938" t="str">
            <v>8921</v>
          </cell>
          <cell r="O5938" t="str">
            <v>SRW</v>
          </cell>
          <cell r="P5938" t="str">
            <v>SRW8921</v>
          </cell>
          <cell r="Q5938" t="str">
            <v>5151509</v>
          </cell>
        </row>
        <row r="5939">
          <cell r="N5939" t="str">
            <v>89225</v>
          </cell>
          <cell r="O5939" t="str">
            <v/>
          </cell>
          <cell r="P5939" t="str">
            <v/>
          </cell>
          <cell r="Q5939" t="str">
            <v>55083</v>
          </cell>
        </row>
        <row r="5940">
          <cell r="N5940" t="str">
            <v>89225</v>
          </cell>
          <cell r="O5940" t="str">
            <v>ONL</v>
          </cell>
          <cell r="P5940" t="str">
            <v>ONL89225</v>
          </cell>
          <cell r="Q5940" t="str">
            <v>55083</v>
          </cell>
        </row>
        <row r="5941">
          <cell r="N5941" t="str">
            <v>89225</v>
          </cell>
          <cell r="O5941" t="str">
            <v>REG</v>
          </cell>
          <cell r="P5941" t="str">
            <v>REG89225</v>
          </cell>
          <cell r="Q5941" t="str">
            <v>55083</v>
          </cell>
        </row>
        <row r="5942">
          <cell r="N5942" t="str">
            <v>89225</v>
          </cell>
          <cell r="O5942" t="str">
            <v>VCP</v>
          </cell>
          <cell r="P5942" t="str">
            <v>VCP89225</v>
          </cell>
          <cell r="Q5942" t="str">
            <v>55083</v>
          </cell>
        </row>
        <row r="5943">
          <cell r="N5943" t="str">
            <v>89225</v>
          </cell>
          <cell r="O5943" t="str">
            <v>111</v>
          </cell>
          <cell r="P5943" t="str">
            <v>11189225</v>
          </cell>
          <cell r="Q5943" t="str">
            <v>55083</v>
          </cell>
        </row>
        <row r="5944">
          <cell r="N5944" t="str">
            <v>8923</v>
          </cell>
          <cell r="O5944" t="str">
            <v/>
          </cell>
          <cell r="P5944" t="str">
            <v/>
          </cell>
          <cell r="Q5944" t="str">
            <v>55088091</v>
          </cell>
        </row>
        <row r="5945">
          <cell r="N5945" t="str">
            <v>8923</v>
          </cell>
          <cell r="O5945" t="str">
            <v>E3I</v>
          </cell>
          <cell r="P5945" t="str">
            <v>E3I8923</v>
          </cell>
          <cell r="Q5945" t="str">
            <v>55088091</v>
          </cell>
        </row>
        <row r="5946">
          <cell r="N5946" t="str">
            <v>8923</v>
          </cell>
          <cell r="O5946" t="str">
            <v>E35</v>
          </cell>
          <cell r="P5946" t="str">
            <v>E358923</v>
          </cell>
          <cell r="Q5946" t="str">
            <v>55088091</v>
          </cell>
        </row>
        <row r="5947">
          <cell r="N5947" t="str">
            <v>8923</v>
          </cell>
          <cell r="O5947" t="str">
            <v>GEC</v>
          </cell>
          <cell r="P5947" t="str">
            <v>GEC8923</v>
          </cell>
          <cell r="Q5947" t="str">
            <v>55088091</v>
          </cell>
        </row>
        <row r="5948">
          <cell r="N5948" t="str">
            <v>8923</v>
          </cell>
          <cell r="O5948" t="str">
            <v>IF0</v>
          </cell>
          <cell r="P5948" t="str">
            <v>IF08923</v>
          </cell>
          <cell r="Q5948" t="str">
            <v>55088091</v>
          </cell>
        </row>
        <row r="5949">
          <cell r="N5949" t="str">
            <v>8923</v>
          </cell>
          <cell r="O5949" t="str">
            <v>IF1</v>
          </cell>
          <cell r="P5949" t="str">
            <v>IF18923</v>
          </cell>
          <cell r="Q5949" t="str">
            <v>55088091</v>
          </cell>
        </row>
        <row r="5950">
          <cell r="N5950" t="str">
            <v>8923</v>
          </cell>
          <cell r="O5950" t="str">
            <v>ONL</v>
          </cell>
          <cell r="P5950" t="str">
            <v>ONL8923</v>
          </cell>
          <cell r="Q5950" t="str">
            <v>55088091</v>
          </cell>
        </row>
        <row r="5951">
          <cell r="N5951" t="str">
            <v>8924</v>
          </cell>
          <cell r="O5951" t="str">
            <v/>
          </cell>
          <cell r="P5951" t="str">
            <v/>
          </cell>
          <cell r="Q5951" t="str">
            <v>55088091</v>
          </cell>
        </row>
        <row r="5952">
          <cell r="N5952" t="str">
            <v>8924</v>
          </cell>
          <cell r="O5952" t="str">
            <v>LRA</v>
          </cell>
          <cell r="P5952" t="str">
            <v>LRA8924</v>
          </cell>
          <cell r="Q5952" t="str">
            <v>55088091</v>
          </cell>
        </row>
        <row r="5953">
          <cell r="N5953" t="str">
            <v>8924</v>
          </cell>
          <cell r="O5953" t="str">
            <v>OGX</v>
          </cell>
          <cell r="P5953" t="str">
            <v>OGX8924</v>
          </cell>
          <cell r="Q5953" t="str">
            <v>55088091</v>
          </cell>
        </row>
        <row r="5954">
          <cell r="N5954" t="str">
            <v>8924</v>
          </cell>
          <cell r="O5954" t="str">
            <v>TIT</v>
          </cell>
          <cell r="P5954" t="str">
            <v>TIT8924</v>
          </cell>
          <cell r="Q5954" t="str">
            <v>55088091</v>
          </cell>
        </row>
        <row r="5955">
          <cell r="N5955" t="str">
            <v>8926</v>
          </cell>
          <cell r="O5955" t="str">
            <v/>
          </cell>
          <cell r="P5955" t="str">
            <v/>
          </cell>
          <cell r="Q5955" t="str">
            <v/>
          </cell>
        </row>
        <row r="5956">
          <cell r="N5956" t="str">
            <v>8926</v>
          </cell>
          <cell r="O5956" t="str">
            <v>ONL</v>
          </cell>
          <cell r="P5956" t="str">
            <v>ONL8926</v>
          </cell>
          <cell r="Q5956" t="str">
            <v/>
          </cell>
        </row>
        <row r="5957">
          <cell r="N5957" t="str">
            <v>8926</v>
          </cell>
          <cell r="O5957" t="str">
            <v>00W</v>
          </cell>
          <cell r="P5957" t="str">
            <v>00W8926</v>
          </cell>
          <cell r="Q5957" t="str">
            <v/>
          </cell>
        </row>
        <row r="5958">
          <cell r="N5958" t="str">
            <v>89260</v>
          </cell>
          <cell r="O5958" t="str">
            <v/>
          </cell>
          <cell r="P5958" t="str">
            <v/>
          </cell>
          <cell r="Q5958" t="str">
            <v>55088091</v>
          </cell>
        </row>
        <row r="5959">
          <cell r="N5959" t="str">
            <v>89260</v>
          </cell>
          <cell r="O5959" t="str">
            <v>00W</v>
          </cell>
          <cell r="P5959" t="str">
            <v>00W89260</v>
          </cell>
          <cell r="Q5959" t="str">
            <v>55088091</v>
          </cell>
        </row>
        <row r="5960">
          <cell r="N5960" t="str">
            <v>8928</v>
          </cell>
          <cell r="O5960" t="str">
            <v/>
          </cell>
          <cell r="P5960" t="str">
            <v/>
          </cell>
          <cell r="Q5960" t="str">
            <v/>
          </cell>
        </row>
        <row r="5961">
          <cell r="N5961" t="str">
            <v>8928</v>
          </cell>
          <cell r="O5961" t="str">
            <v>111</v>
          </cell>
          <cell r="P5961" t="str">
            <v>1118928</v>
          </cell>
          <cell r="Q5961" t="str">
            <v/>
          </cell>
        </row>
        <row r="5962">
          <cell r="N5962" t="str">
            <v>89293</v>
          </cell>
          <cell r="O5962" t="str">
            <v/>
          </cell>
          <cell r="P5962" t="str">
            <v/>
          </cell>
          <cell r="Q5962" t="str">
            <v>55088091</v>
          </cell>
        </row>
        <row r="5963">
          <cell r="N5963" t="str">
            <v>89293</v>
          </cell>
          <cell r="O5963" t="str">
            <v>BOF</v>
          </cell>
          <cell r="P5963" t="str">
            <v>BOF89293</v>
          </cell>
          <cell r="Q5963" t="str">
            <v>55088091</v>
          </cell>
        </row>
        <row r="5964">
          <cell r="N5964" t="str">
            <v>89293</v>
          </cell>
          <cell r="O5964" t="str">
            <v>GEC</v>
          </cell>
          <cell r="P5964" t="str">
            <v>GEC89293</v>
          </cell>
          <cell r="Q5964" t="str">
            <v>55088091</v>
          </cell>
        </row>
        <row r="5965">
          <cell r="N5965" t="str">
            <v>89293</v>
          </cell>
          <cell r="O5965" t="str">
            <v>LRA</v>
          </cell>
          <cell r="P5965" t="str">
            <v>LRA89293</v>
          </cell>
          <cell r="Q5965" t="str">
            <v>55088091</v>
          </cell>
        </row>
        <row r="5966">
          <cell r="N5966" t="str">
            <v>89293</v>
          </cell>
          <cell r="O5966" t="str">
            <v>!MF</v>
          </cell>
          <cell r="P5966" t="str">
            <v>!MF89293</v>
          </cell>
          <cell r="Q5966" t="str">
            <v>55088091</v>
          </cell>
        </row>
        <row r="5967">
          <cell r="N5967" t="str">
            <v>89293</v>
          </cell>
          <cell r="O5967" t="str">
            <v>OGX</v>
          </cell>
          <cell r="P5967" t="str">
            <v>OGX89293</v>
          </cell>
          <cell r="Q5967" t="str">
            <v>55088091</v>
          </cell>
        </row>
        <row r="5968">
          <cell r="N5968" t="str">
            <v>89293</v>
          </cell>
          <cell r="O5968" t="str">
            <v>ONL</v>
          </cell>
          <cell r="P5968" t="str">
            <v>ONL89293</v>
          </cell>
          <cell r="Q5968" t="str">
            <v>55088091</v>
          </cell>
        </row>
        <row r="5969">
          <cell r="N5969" t="str">
            <v>89293</v>
          </cell>
          <cell r="O5969" t="str">
            <v>REG</v>
          </cell>
          <cell r="P5969" t="str">
            <v>REG89293</v>
          </cell>
          <cell r="Q5969" t="str">
            <v>55088091</v>
          </cell>
        </row>
        <row r="5970">
          <cell r="N5970" t="str">
            <v>89293</v>
          </cell>
          <cell r="O5970" t="str">
            <v>111</v>
          </cell>
          <cell r="P5970" t="str">
            <v>11189293</v>
          </cell>
          <cell r="Q5970" t="str">
            <v>55088091</v>
          </cell>
        </row>
        <row r="5971">
          <cell r="N5971" t="str">
            <v>89293</v>
          </cell>
          <cell r="O5971" t="str">
            <v>29E</v>
          </cell>
          <cell r="P5971" t="str">
            <v>29E89293</v>
          </cell>
          <cell r="Q5971" t="str">
            <v>55088091</v>
          </cell>
        </row>
        <row r="5972">
          <cell r="N5972" t="str">
            <v>89293</v>
          </cell>
          <cell r="O5972" t="str">
            <v>60A</v>
          </cell>
          <cell r="P5972" t="str">
            <v>60A89293</v>
          </cell>
          <cell r="Q5972" t="str">
            <v>55088091</v>
          </cell>
        </row>
        <row r="5973">
          <cell r="N5973" t="str">
            <v>89293</v>
          </cell>
          <cell r="O5973" t="str">
            <v>60B</v>
          </cell>
          <cell r="P5973" t="str">
            <v>60B89293</v>
          </cell>
          <cell r="Q5973" t="str">
            <v>55088091</v>
          </cell>
        </row>
        <row r="5974">
          <cell r="N5974" t="str">
            <v>89299</v>
          </cell>
          <cell r="O5974" t="str">
            <v/>
          </cell>
          <cell r="P5974" t="str">
            <v/>
          </cell>
          <cell r="Q5974" t="str">
            <v/>
          </cell>
        </row>
        <row r="5975">
          <cell r="N5975" t="str">
            <v>89299</v>
          </cell>
          <cell r="O5975" t="str">
            <v>C7B</v>
          </cell>
          <cell r="P5975" t="str">
            <v>C7B89299</v>
          </cell>
          <cell r="Q5975" t="str">
            <v/>
          </cell>
        </row>
        <row r="5976">
          <cell r="N5976" t="str">
            <v>89299</v>
          </cell>
          <cell r="O5976" t="str">
            <v>ONL</v>
          </cell>
          <cell r="P5976" t="str">
            <v>ONL89299</v>
          </cell>
          <cell r="Q5976" t="str">
            <v/>
          </cell>
        </row>
        <row r="5977">
          <cell r="N5977" t="str">
            <v>89299</v>
          </cell>
          <cell r="O5977" t="str">
            <v>REG</v>
          </cell>
          <cell r="P5977" t="str">
            <v>REG89299</v>
          </cell>
          <cell r="Q5977" t="str">
            <v/>
          </cell>
        </row>
        <row r="5978">
          <cell r="N5978" t="str">
            <v>89299</v>
          </cell>
          <cell r="O5978" t="str">
            <v>S9T</v>
          </cell>
          <cell r="P5978" t="str">
            <v>S9T89299</v>
          </cell>
          <cell r="Q5978" t="str">
            <v/>
          </cell>
        </row>
        <row r="5979">
          <cell r="N5979" t="str">
            <v>89299</v>
          </cell>
          <cell r="O5979" t="str">
            <v>111</v>
          </cell>
          <cell r="P5979" t="str">
            <v>11189299</v>
          </cell>
          <cell r="Q5979" t="str">
            <v/>
          </cell>
        </row>
        <row r="5980">
          <cell r="N5980" t="str">
            <v>892990</v>
          </cell>
          <cell r="O5980" t="str">
            <v/>
          </cell>
          <cell r="P5980" t="str">
            <v/>
          </cell>
          <cell r="Q5980" t="str">
            <v>55088091</v>
          </cell>
        </row>
        <row r="5981">
          <cell r="N5981" t="str">
            <v>892990</v>
          </cell>
          <cell r="O5981" t="str">
            <v>C7B</v>
          </cell>
          <cell r="P5981" t="str">
            <v>C7B892990</v>
          </cell>
          <cell r="Q5981" t="str">
            <v>55088091</v>
          </cell>
        </row>
        <row r="5982">
          <cell r="N5982" t="str">
            <v>892990</v>
          </cell>
          <cell r="O5982" t="str">
            <v>ONL</v>
          </cell>
          <cell r="P5982" t="str">
            <v>ONL892990</v>
          </cell>
          <cell r="Q5982" t="str">
            <v>55088091</v>
          </cell>
        </row>
        <row r="5983">
          <cell r="N5983" t="str">
            <v>892990</v>
          </cell>
          <cell r="O5983" t="str">
            <v>111</v>
          </cell>
          <cell r="P5983" t="str">
            <v>111892990</v>
          </cell>
          <cell r="Q5983" t="str">
            <v>55088091</v>
          </cell>
        </row>
        <row r="5984">
          <cell r="N5984" t="str">
            <v>89300</v>
          </cell>
          <cell r="O5984" t="str">
            <v/>
          </cell>
          <cell r="P5984" t="str">
            <v/>
          </cell>
          <cell r="Q5984" t="str">
            <v>4311884</v>
          </cell>
        </row>
        <row r="5985">
          <cell r="N5985" t="str">
            <v>89300</v>
          </cell>
          <cell r="O5985" t="str">
            <v>ONL</v>
          </cell>
          <cell r="P5985" t="str">
            <v>ONL89300</v>
          </cell>
          <cell r="Q5985" t="str">
            <v>4311884</v>
          </cell>
        </row>
        <row r="5986">
          <cell r="N5986" t="str">
            <v>89309</v>
          </cell>
          <cell r="O5986" t="str">
            <v/>
          </cell>
          <cell r="P5986" t="str">
            <v/>
          </cell>
          <cell r="Q5986" t="str">
            <v>43118822</v>
          </cell>
        </row>
        <row r="5987">
          <cell r="N5987" t="str">
            <v>89309</v>
          </cell>
          <cell r="O5987" t="str">
            <v>CMH</v>
          </cell>
          <cell r="P5987" t="str">
            <v>CMH89309</v>
          </cell>
          <cell r="Q5987" t="str">
            <v>43118822</v>
          </cell>
        </row>
        <row r="5988">
          <cell r="N5988" t="str">
            <v>89341</v>
          </cell>
          <cell r="O5988" t="str">
            <v/>
          </cell>
          <cell r="P5988" t="str">
            <v/>
          </cell>
          <cell r="Q5988" t="str">
            <v>431110</v>
          </cell>
        </row>
        <row r="5989">
          <cell r="N5989" t="str">
            <v>89341</v>
          </cell>
          <cell r="O5989" t="str">
            <v>LBO</v>
          </cell>
          <cell r="P5989" t="str">
            <v>LBO89341</v>
          </cell>
          <cell r="Q5989" t="str">
            <v>431110</v>
          </cell>
        </row>
        <row r="5990">
          <cell r="N5990" t="str">
            <v>89341</v>
          </cell>
          <cell r="O5990" t="str">
            <v>MER</v>
          </cell>
          <cell r="P5990" t="str">
            <v>MER89341</v>
          </cell>
          <cell r="Q5990" t="str">
            <v>431110</v>
          </cell>
        </row>
        <row r="5991">
          <cell r="N5991" t="str">
            <v>89350</v>
          </cell>
          <cell r="O5991" t="str">
            <v/>
          </cell>
          <cell r="P5991" t="str">
            <v/>
          </cell>
          <cell r="Q5991" t="str">
            <v>4311811</v>
          </cell>
        </row>
        <row r="5992">
          <cell r="N5992" t="str">
            <v>89350</v>
          </cell>
          <cell r="O5992" t="str">
            <v>DES</v>
          </cell>
          <cell r="P5992" t="str">
            <v>DES89350</v>
          </cell>
          <cell r="Q5992" t="str">
            <v>4311811</v>
          </cell>
        </row>
        <row r="5993">
          <cell r="N5993" t="str">
            <v>8938</v>
          </cell>
          <cell r="O5993" t="str">
            <v/>
          </cell>
          <cell r="P5993" t="str">
            <v/>
          </cell>
          <cell r="Q5993" t="str">
            <v/>
          </cell>
        </row>
        <row r="5994">
          <cell r="N5994" t="str">
            <v>8938</v>
          </cell>
          <cell r="O5994" t="str">
            <v>TRE</v>
          </cell>
          <cell r="P5994" t="str">
            <v>TRE8938</v>
          </cell>
          <cell r="Q5994" t="str">
            <v/>
          </cell>
        </row>
        <row r="5995">
          <cell r="N5995" t="str">
            <v>8939</v>
          </cell>
          <cell r="O5995" t="str">
            <v/>
          </cell>
          <cell r="P5995" t="str">
            <v/>
          </cell>
          <cell r="Q5995" t="str">
            <v/>
          </cell>
        </row>
        <row r="5996">
          <cell r="N5996" t="str">
            <v>8939</v>
          </cell>
          <cell r="O5996" t="str">
            <v>CRR</v>
          </cell>
          <cell r="P5996" t="str">
            <v>CRR8939</v>
          </cell>
          <cell r="Q5996" t="str">
            <v/>
          </cell>
        </row>
        <row r="5997">
          <cell r="N5997" t="str">
            <v>8939</v>
          </cell>
          <cell r="O5997" t="str">
            <v>DC5</v>
          </cell>
          <cell r="P5997" t="str">
            <v>DC58939</v>
          </cell>
          <cell r="Q5997" t="str">
            <v/>
          </cell>
        </row>
        <row r="5998">
          <cell r="N5998" t="str">
            <v>8939</v>
          </cell>
          <cell r="O5998" t="str">
            <v>DC8</v>
          </cell>
          <cell r="P5998" t="str">
            <v>DC88939</v>
          </cell>
          <cell r="Q5998" t="str">
            <v/>
          </cell>
        </row>
        <row r="5999">
          <cell r="N5999" t="str">
            <v>8939</v>
          </cell>
          <cell r="O5999" t="str">
            <v>DC9</v>
          </cell>
          <cell r="P5999" t="str">
            <v>DC98939</v>
          </cell>
          <cell r="Q5999" t="str">
            <v/>
          </cell>
        </row>
        <row r="6000">
          <cell r="N6000" t="str">
            <v>8939</v>
          </cell>
          <cell r="O6000" t="str">
            <v>ONL</v>
          </cell>
          <cell r="P6000" t="str">
            <v>ONL8939</v>
          </cell>
          <cell r="Q6000" t="str">
            <v/>
          </cell>
        </row>
        <row r="6001">
          <cell r="N6001" t="str">
            <v>8939</v>
          </cell>
          <cell r="O6001" t="str">
            <v>REG</v>
          </cell>
          <cell r="P6001" t="str">
            <v>REG8939</v>
          </cell>
          <cell r="Q6001" t="str">
            <v/>
          </cell>
        </row>
        <row r="6002">
          <cell r="N6002" t="str">
            <v>8939</v>
          </cell>
          <cell r="O6002" t="str">
            <v>TRE</v>
          </cell>
          <cell r="P6002" t="str">
            <v>TRE8939</v>
          </cell>
          <cell r="Q6002" t="str">
            <v/>
          </cell>
        </row>
        <row r="6003">
          <cell r="N6003" t="str">
            <v>8939</v>
          </cell>
          <cell r="O6003" t="str">
            <v>058</v>
          </cell>
          <cell r="P6003" t="str">
            <v>0588939</v>
          </cell>
          <cell r="Q6003" t="str">
            <v/>
          </cell>
        </row>
        <row r="6004">
          <cell r="N6004" t="str">
            <v>8939</v>
          </cell>
          <cell r="O6004" t="str">
            <v>1P0</v>
          </cell>
          <cell r="P6004" t="str">
            <v>1P08939</v>
          </cell>
          <cell r="Q6004" t="str">
            <v/>
          </cell>
        </row>
        <row r="6005">
          <cell r="N6005" t="str">
            <v>8939</v>
          </cell>
          <cell r="O6005" t="str">
            <v>1P1</v>
          </cell>
          <cell r="P6005" t="str">
            <v>1P18939</v>
          </cell>
          <cell r="Q6005" t="str">
            <v/>
          </cell>
        </row>
        <row r="6006">
          <cell r="N6006" t="str">
            <v>8939</v>
          </cell>
          <cell r="O6006" t="str">
            <v>1P2</v>
          </cell>
          <cell r="P6006" t="str">
            <v>1P28939</v>
          </cell>
          <cell r="Q6006" t="str">
            <v/>
          </cell>
        </row>
        <row r="6007">
          <cell r="N6007" t="str">
            <v>8939</v>
          </cell>
          <cell r="O6007" t="str">
            <v>1P3</v>
          </cell>
          <cell r="P6007" t="str">
            <v>1P38939</v>
          </cell>
          <cell r="Q6007" t="str">
            <v/>
          </cell>
        </row>
        <row r="6008">
          <cell r="N6008" t="str">
            <v>8939</v>
          </cell>
          <cell r="O6008" t="str">
            <v>1P4</v>
          </cell>
          <cell r="P6008" t="str">
            <v>1P48939</v>
          </cell>
          <cell r="Q6008" t="str">
            <v/>
          </cell>
        </row>
        <row r="6009">
          <cell r="N6009" t="str">
            <v>8939</v>
          </cell>
          <cell r="O6009" t="str">
            <v>1P5</v>
          </cell>
          <cell r="P6009" t="str">
            <v>1P58939</v>
          </cell>
          <cell r="Q6009" t="str">
            <v/>
          </cell>
        </row>
        <row r="6010">
          <cell r="N6010" t="str">
            <v>8939</v>
          </cell>
          <cell r="O6010" t="str">
            <v>111</v>
          </cell>
          <cell r="P6010" t="str">
            <v>1118939</v>
          </cell>
          <cell r="Q6010" t="str">
            <v/>
          </cell>
        </row>
        <row r="6011">
          <cell r="N6011" t="str">
            <v>8939</v>
          </cell>
          <cell r="O6011" t="str">
            <v>435</v>
          </cell>
          <cell r="P6011" t="str">
            <v>4358939</v>
          </cell>
          <cell r="Q6011" t="str">
            <v/>
          </cell>
        </row>
        <row r="6012">
          <cell r="N6012" t="str">
            <v>8939</v>
          </cell>
          <cell r="O6012" t="str">
            <v>6P0</v>
          </cell>
          <cell r="P6012" t="str">
            <v>6P08939</v>
          </cell>
          <cell r="Q6012" t="str">
            <v/>
          </cell>
        </row>
        <row r="6013">
          <cell r="N6013" t="str">
            <v>89390</v>
          </cell>
          <cell r="O6013" t="str">
            <v/>
          </cell>
          <cell r="P6013" t="str">
            <v/>
          </cell>
          <cell r="Q6013" t="str">
            <v>431199</v>
          </cell>
        </row>
        <row r="6014">
          <cell r="N6014" t="str">
            <v>89390</v>
          </cell>
          <cell r="O6014" t="str">
            <v>CRR</v>
          </cell>
          <cell r="P6014" t="str">
            <v>CRR89390</v>
          </cell>
          <cell r="Q6014" t="str">
            <v>431199</v>
          </cell>
        </row>
        <row r="6015">
          <cell r="N6015" t="str">
            <v>89390</v>
          </cell>
          <cell r="O6015" t="str">
            <v>DC5</v>
          </cell>
          <cell r="P6015" t="str">
            <v>DC589390</v>
          </cell>
          <cell r="Q6015" t="str">
            <v>431199</v>
          </cell>
        </row>
        <row r="6016">
          <cell r="N6016" t="str">
            <v>89390</v>
          </cell>
          <cell r="O6016" t="str">
            <v>DC8</v>
          </cell>
          <cell r="P6016" t="str">
            <v>DC889390</v>
          </cell>
          <cell r="Q6016" t="str">
            <v>431199</v>
          </cell>
        </row>
        <row r="6017">
          <cell r="N6017" t="str">
            <v>89390</v>
          </cell>
          <cell r="O6017" t="str">
            <v>DC9</v>
          </cell>
          <cell r="P6017" t="str">
            <v>DC989390</v>
          </cell>
          <cell r="Q6017" t="str">
            <v>431199</v>
          </cell>
        </row>
        <row r="6018">
          <cell r="N6018" t="str">
            <v>89390</v>
          </cell>
          <cell r="O6018" t="str">
            <v>ONL</v>
          </cell>
          <cell r="P6018" t="str">
            <v>ONL89390</v>
          </cell>
          <cell r="Q6018" t="str">
            <v>431199</v>
          </cell>
        </row>
        <row r="6019">
          <cell r="N6019" t="str">
            <v>89390</v>
          </cell>
          <cell r="O6019" t="str">
            <v>REG</v>
          </cell>
          <cell r="P6019" t="str">
            <v>REG89390</v>
          </cell>
          <cell r="Q6019" t="str">
            <v>431199</v>
          </cell>
        </row>
        <row r="6020">
          <cell r="N6020" t="str">
            <v>89390</v>
          </cell>
          <cell r="O6020" t="str">
            <v>1P1</v>
          </cell>
          <cell r="P6020" t="str">
            <v>1P189390</v>
          </cell>
          <cell r="Q6020" t="str">
            <v>431199</v>
          </cell>
        </row>
        <row r="6021">
          <cell r="N6021" t="str">
            <v>89390</v>
          </cell>
          <cell r="O6021" t="str">
            <v>1P2</v>
          </cell>
          <cell r="P6021" t="str">
            <v>1P289390</v>
          </cell>
          <cell r="Q6021" t="str">
            <v>431199</v>
          </cell>
        </row>
        <row r="6022">
          <cell r="N6022" t="str">
            <v>89390</v>
          </cell>
          <cell r="O6022" t="str">
            <v>1P3</v>
          </cell>
          <cell r="P6022" t="str">
            <v>1P389390</v>
          </cell>
          <cell r="Q6022" t="str">
            <v>431199</v>
          </cell>
        </row>
        <row r="6023">
          <cell r="N6023" t="str">
            <v>89390</v>
          </cell>
          <cell r="O6023" t="str">
            <v>1P4</v>
          </cell>
          <cell r="P6023" t="str">
            <v>1P489390</v>
          </cell>
          <cell r="Q6023" t="str">
            <v>431199</v>
          </cell>
        </row>
        <row r="6024">
          <cell r="N6024" t="str">
            <v>89390</v>
          </cell>
          <cell r="O6024" t="str">
            <v>1P5</v>
          </cell>
          <cell r="P6024" t="str">
            <v>1P589390</v>
          </cell>
          <cell r="Q6024" t="str">
            <v>431199</v>
          </cell>
        </row>
        <row r="6025">
          <cell r="N6025" t="str">
            <v>89390</v>
          </cell>
          <cell r="O6025" t="str">
            <v>1P8</v>
          </cell>
          <cell r="P6025" t="str">
            <v>1P889390</v>
          </cell>
          <cell r="Q6025" t="str">
            <v>431199</v>
          </cell>
        </row>
        <row r="6026">
          <cell r="N6026" t="str">
            <v>89390</v>
          </cell>
          <cell r="O6026" t="str">
            <v>111</v>
          </cell>
          <cell r="P6026" t="str">
            <v>11189390</v>
          </cell>
          <cell r="Q6026" t="str">
            <v>431199</v>
          </cell>
        </row>
        <row r="6027">
          <cell r="N6027" t="str">
            <v>89390</v>
          </cell>
          <cell r="O6027" t="str">
            <v>6P0</v>
          </cell>
          <cell r="P6027" t="str">
            <v>6P089390</v>
          </cell>
          <cell r="Q6027" t="str">
            <v>431199</v>
          </cell>
        </row>
        <row r="6028">
          <cell r="N6028" t="str">
            <v>89810</v>
          </cell>
          <cell r="O6028" t="str">
            <v/>
          </cell>
          <cell r="P6028" t="str">
            <v/>
          </cell>
          <cell r="Q6028" t="str">
            <v>550880921</v>
          </cell>
        </row>
        <row r="6029">
          <cell r="N6029" t="str">
            <v>89810</v>
          </cell>
          <cell r="O6029" t="str">
            <v>LRA</v>
          </cell>
          <cell r="P6029" t="str">
            <v>LRA89810</v>
          </cell>
          <cell r="Q6029" t="str">
            <v>550880921</v>
          </cell>
        </row>
        <row r="6030">
          <cell r="N6030" t="str">
            <v>89810</v>
          </cell>
          <cell r="O6030" t="str">
            <v>MER</v>
          </cell>
          <cell r="P6030" t="str">
            <v>MER89810</v>
          </cell>
          <cell r="Q6030" t="str">
            <v>550880921</v>
          </cell>
        </row>
        <row r="6031">
          <cell r="N6031" t="str">
            <v>89810</v>
          </cell>
          <cell r="O6031" t="str">
            <v>ONL</v>
          </cell>
          <cell r="P6031" t="str">
            <v>ONL89810</v>
          </cell>
          <cell r="Q6031" t="str">
            <v>550880921</v>
          </cell>
        </row>
        <row r="6032">
          <cell r="N6032" t="str">
            <v>89810</v>
          </cell>
          <cell r="O6032" t="str">
            <v>REG</v>
          </cell>
          <cell r="P6032" t="str">
            <v>REG89810</v>
          </cell>
          <cell r="Q6032" t="str">
            <v>550880921</v>
          </cell>
        </row>
        <row r="6033">
          <cell r="N6033" t="str">
            <v>89810</v>
          </cell>
          <cell r="O6033" t="str">
            <v>111</v>
          </cell>
          <cell r="P6033" t="str">
            <v>11189810</v>
          </cell>
          <cell r="Q6033" t="str">
            <v>550880921</v>
          </cell>
        </row>
        <row r="6034">
          <cell r="N6034" t="str">
            <v>89810</v>
          </cell>
          <cell r="O6034" t="str">
            <v>81R</v>
          </cell>
          <cell r="P6034" t="str">
            <v>81R89810</v>
          </cell>
          <cell r="Q6034" t="str">
            <v>550880921</v>
          </cell>
        </row>
        <row r="6035">
          <cell r="N6035" t="str">
            <v>89810</v>
          </cell>
          <cell r="O6035" t="str">
            <v>81U</v>
          </cell>
          <cell r="P6035" t="str">
            <v>81U89810</v>
          </cell>
          <cell r="Q6035" t="str">
            <v>550880921</v>
          </cell>
        </row>
        <row r="6036">
          <cell r="N6036" t="str">
            <v>8982</v>
          </cell>
          <cell r="O6036" t="str">
            <v/>
          </cell>
          <cell r="P6036" t="str">
            <v/>
          </cell>
          <cell r="Q6036" t="str">
            <v>550880922</v>
          </cell>
        </row>
        <row r="6037">
          <cell r="N6037" t="str">
            <v>8982</v>
          </cell>
          <cell r="O6037" t="str">
            <v>AP9</v>
          </cell>
          <cell r="P6037" t="str">
            <v>AP98982</v>
          </cell>
          <cell r="Q6037" t="str">
            <v>550880922</v>
          </cell>
        </row>
        <row r="6038">
          <cell r="N6038" t="str">
            <v>8982</v>
          </cell>
          <cell r="O6038" t="str">
            <v>ONL</v>
          </cell>
          <cell r="P6038" t="str">
            <v>ONL8982</v>
          </cell>
          <cell r="Q6038" t="str">
            <v>550880922</v>
          </cell>
        </row>
        <row r="6039">
          <cell r="N6039" t="str">
            <v>8982</v>
          </cell>
          <cell r="O6039" t="str">
            <v>82R</v>
          </cell>
          <cell r="P6039" t="str">
            <v>82R8982</v>
          </cell>
          <cell r="Q6039" t="str">
            <v>550880922</v>
          </cell>
        </row>
        <row r="6040">
          <cell r="N6040" t="str">
            <v>8983</v>
          </cell>
          <cell r="O6040" t="str">
            <v/>
          </cell>
          <cell r="P6040" t="str">
            <v/>
          </cell>
          <cell r="Q6040" t="str">
            <v>550880923</v>
          </cell>
        </row>
        <row r="6041">
          <cell r="N6041" t="str">
            <v>8983</v>
          </cell>
          <cell r="O6041" t="str">
            <v>ONL</v>
          </cell>
          <cell r="P6041" t="str">
            <v>ONL8983</v>
          </cell>
          <cell r="Q6041" t="str">
            <v>550880923</v>
          </cell>
        </row>
        <row r="6042">
          <cell r="N6042" t="str">
            <v>8983</v>
          </cell>
          <cell r="O6042" t="str">
            <v>111</v>
          </cell>
          <cell r="P6042" t="str">
            <v>1118983</v>
          </cell>
          <cell r="Q6042" t="str">
            <v>550880923</v>
          </cell>
        </row>
        <row r="6043">
          <cell r="N6043" t="str">
            <v>8983</v>
          </cell>
          <cell r="O6043" t="str">
            <v>83R</v>
          </cell>
          <cell r="P6043" t="str">
            <v>83R8983</v>
          </cell>
          <cell r="Q6043" t="str">
            <v>550880923</v>
          </cell>
        </row>
        <row r="6044">
          <cell r="N6044" t="str">
            <v>8984</v>
          </cell>
          <cell r="O6044" t="str">
            <v/>
          </cell>
          <cell r="P6044" t="str">
            <v/>
          </cell>
          <cell r="Q6044" t="str">
            <v>550880924</v>
          </cell>
        </row>
        <row r="6045">
          <cell r="N6045" t="str">
            <v>8984</v>
          </cell>
          <cell r="O6045" t="str">
            <v>ONL</v>
          </cell>
          <cell r="P6045" t="str">
            <v>ONL8984</v>
          </cell>
          <cell r="Q6045" t="str">
            <v>550880924</v>
          </cell>
        </row>
        <row r="6046">
          <cell r="N6046" t="str">
            <v>8984</v>
          </cell>
          <cell r="O6046" t="str">
            <v>84R</v>
          </cell>
          <cell r="P6046" t="str">
            <v>84R8984</v>
          </cell>
          <cell r="Q6046" t="str">
            <v>550880924</v>
          </cell>
        </row>
        <row r="6047">
          <cell r="N6047" t="str">
            <v>8986</v>
          </cell>
          <cell r="O6047" t="str">
            <v/>
          </cell>
          <cell r="P6047" t="str">
            <v/>
          </cell>
          <cell r="Q6047" t="str">
            <v>550880926</v>
          </cell>
        </row>
        <row r="6048">
          <cell r="N6048" t="str">
            <v>8986</v>
          </cell>
          <cell r="O6048" t="str">
            <v>!MF</v>
          </cell>
          <cell r="P6048" t="str">
            <v>!MF8986</v>
          </cell>
          <cell r="Q6048" t="str">
            <v>550880926</v>
          </cell>
        </row>
        <row r="6049">
          <cell r="N6049" t="str">
            <v>8986</v>
          </cell>
          <cell r="O6049" t="str">
            <v>ONL</v>
          </cell>
          <cell r="P6049" t="str">
            <v>ONL8986</v>
          </cell>
          <cell r="Q6049" t="str">
            <v>550880926</v>
          </cell>
        </row>
        <row r="6050">
          <cell r="N6050" t="str">
            <v>8986</v>
          </cell>
          <cell r="O6050" t="str">
            <v>REG</v>
          </cell>
          <cell r="P6050" t="str">
            <v>REG8986</v>
          </cell>
          <cell r="Q6050" t="str">
            <v>550880926</v>
          </cell>
        </row>
        <row r="6051">
          <cell r="N6051" t="str">
            <v>8986</v>
          </cell>
          <cell r="O6051" t="str">
            <v>TIT</v>
          </cell>
          <cell r="P6051" t="str">
            <v>TIT8986</v>
          </cell>
          <cell r="Q6051" t="str">
            <v>550880926</v>
          </cell>
        </row>
        <row r="6052">
          <cell r="N6052" t="str">
            <v>8986</v>
          </cell>
          <cell r="O6052" t="str">
            <v>111</v>
          </cell>
          <cell r="P6052" t="str">
            <v>1118986</v>
          </cell>
          <cell r="Q6052" t="str">
            <v>550880926</v>
          </cell>
        </row>
        <row r="6053">
          <cell r="N6053" t="str">
            <v>8986</v>
          </cell>
          <cell r="O6053" t="str">
            <v>86Q</v>
          </cell>
          <cell r="P6053" t="str">
            <v>86Q8986</v>
          </cell>
          <cell r="Q6053" t="str">
            <v>550880926</v>
          </cell>
        </row>
        <row r="6054">
          <cell r="N6054" t="str">
            <v>8986</v>
          </cell>
          <cell r="O6054" t="str">
            <v>86R</v>
          </cell>
          <cell r="P6054" t="str">
            <v>86R8986</v>
          </cell>
          <cell r="Q6054" t="str">
            <v>550880926</v>
          </cell>
        </row>
        <row r="6055">
          <cell r="N6055" t="str">
            <v>8990</v>
          </cell>
          <cell r="O6055" t="str">
            <v/>
          </cell>
          <cell r="P6055" t="str">
            <v/>
          </cell>
          <cell r="Q6055" t="str">
            <v>55088091</v>
          </cell>
        </row>
        <row r="6056">
          <cell r="N6056" t="str">
            <v>8990</v>
          </cell>
          <cell r="O6056" t="str">
            <v>ONL</v>
          </cell>
          <cell r="P6056" t="str">
            <v>ONL8990</v>
          </cell>
          <cell r="Q6056" t="str">
            <v>55088091</v>
          </cell>
        </row>
        <row r="6057">
          <cell r="N6057" t="str">
            <v>8990</v>
          </cell>
          <cell r="O6057" t="str">
            <v>REG</v>
          </cell>
          <cell r="P6057" t="str">
            <v>REG8990</v>
          </cell>
          <cell r="Q6057" t="str">
            <v>55088091</v>
          </cell>
        </row>
        <row r="6058">
          <cell r="N6058" t="str">
            <v>8990</v>
          </cell>
          <cell r="O6058" t="str">
            <v>TIT</v>
          </cell>
          <cell r="P6058" t="str">
            <v>TIT8990</v>
          </cell>
          <cell r="Q6058" t="str">
            <v>55088091</v>
          </cell>
        </row>
        <row r="6059">
          <cell r="N6059" t="str">
            <v>8990</v>
          </cell>
          <cell r="O6059" t="str">
            <v>111</v>
          </cell>
          <cell r="P6059" t="str">
            <v>1118990</v>
          </cell>
          <cell r="Q6059" t="str">
            <v>55088091</v>
          </cell>
        </row>
        <row r="6060">
          <cell r="N6060" t="str">
            <v>899182</v>
          </cell>
          <cell r="O6060" t="str">
            <v/>
          </cell>
          <cell r="P6060" t="str">
            <v/>
          </cell>
          <cell r="Q6060" t="str">
            <v>55088091</v>
          </cell>
        </row>
        <row r="6061">
          <cell r="N6061" t="str">
            <v>899182</v>
          </cell>
          <cell r="O6061" t="str">
            <v>ONL</v>
          </cell>
          <cell r="P6061" t="str">
            <v>ONL899182</v>
          </cell>
          <cell r="Q6061" t="str">
            <v>55088091</v>
          </cell>
        </row>
        <row r="6062">
          <cell r="N6062" t="str">
            <v>8993</v>
          </cell>
          <cell r="O6062" t="str">
            <v/>
          </cell>
          <cell r="P6062" t="str">
            <v/>
          </cell>
          <cell r="Q6062" t="str">
            <v>55088091</v>
          </cell>
        </row>
        <row r="6063">
          <cell r="N6063" t="str">
            <v>8993</v>
          </cell>
          <cell r="O6063" t="str">
            <v>AP9</v>
          </cell>
          <cell r="P6063" t="str">
            <v>AP98993</v>
          </cell>
          <cell r="Q6063" t="str">
            <v>55088091</v>
          </cell>
        </row>
        <row r="6064">
          <cell r="N6064" t="str">
            <v>8993</v>
          </cell>
          <cell r="O6064" t="str">
            <v>IDV</v>
          </cell>
          <cell r="P6064" t="str">
            <v>IDV8993</v>
          </cell>
          <cell r="Q6064" t="str">
            <v>55088091</v>
          </cell>
        </row>
        <row r="6065">
          <cell r="N6065" t="str">
            <v>8993</v>
          </cell>
          <cell r="O6065" t="str">
            <v>ONL</v>
          </cell>
          <cell r="P6065" t="str">
            <v>ONL8993</v>
          </cell>
          <cell r="Q6065" t="str">
            <v>55088091</v>
          </cell>
        </row>
        <row r="6066">
          <cell r="N6066" t="str">
            <v>8993</v>
          </cell>
          <cell r="O6066" t="str">
            <v>TRE</v>
          </cell>
          <cell r="P6066" t="str">
            <v>TRE8993</v>
          </cell>
          <cell r="Q6066" t="str">
            <v>55088091</v>
          </cell>
        </row>
        <row r="6067">
          <cell r="N6067" t="str">
            <v>8997</v>
          </cell>
          <cell r="O6067" t="str">
            <v/>
          </cell>
          <cell r="P6067" t="str">
            <v/>
          </cell>
          <cell r="Q6067" t="str">
            <v>55088091</v>
          </cell>
        </row>
        <row r="6068">
          <cell r="N6068" t="str">
            <v>8997</v>
          </cell>
          <cell r="O6068" t="str">
            <v>L01</v>
          </cell>
          <cell r="P6068" t="str">
            <v>L018997</v>
          </cell>
          <cell r="Q6068" t="str">
            <v>55088091</v>
          </cell>
        </row>
        <row r="6069">
          <cell r="N6069" t="str">
            <v>8997</v>
          </cell>
          <cell r="O6069" t="str">
            <v>!MF</v>
          </cell>
          <cell r="P6069" t="str">
            <v>!MF8997</v>
          </cell>
          <cell r="Q6069" t="str">
            <v>55088091</v>
          </cell>
        </row>
        <row r="6070">
          <cell r="N6070" t="str">
            <v>8997</v>
          </cell>
          <cell r="O6070" t="str">
            <v>ONL</v>
          </cell>
          <cell r="P6070" t="str">
            <v>ONL8997</v>
          </cell>
          <cell r="Q6070" t="str">
            <v>55088091</v>
          </cell>
        </row>
        <row r="6071">
          <cell r="N6071" t="str">
            <v>8999</v>
          </cell>
          <cell r="O6071" t="str">
            <v/>
          </cell>
          <cell r="P6071" t="str">
            <v/>
          </cell>
          <cell r="Q6071" t="str">
            <v/>
          </cell>
        </row>
        <row r="6072">
          <cell r="N6072" t="str">
            <v>8999</v>
          </cell>
          <cell r="O6072" t="str">
            <v>AP9</v>
          </cell>
          <cell r="P6072" t="str">
            <v>AP98999</v>
          </cell>
          <cell r="Q6072" t="str">
            <v/>
          </cell>
        </row>
        <row r="6073">
          <cell r="N6073" t="str">
            <v>8999</v>
          </cell>
          <cell r="O6073" t="str">
            <v>BOF</v>
          </cell>
          <cell r="P6073" t="str">
            <v>BOF8999</v>
          </cell>
          <cell r="Q6073" t="str">
            <v/>
          </cell>
        </row>
        <row r="6074">
          <cell r="N6074" t="str">
            <v>8999</v>
          </cell>
          <cell r="O6074" t="str">
            <v>CFA</v>
          </cell>
          <cell r="P6074" t="str">
            <v>CFA8999</v>
          </cell>
          <cell r="Q6074" t="str">
            <v/>
          </cell>
        </row>
        <row r="6075">
          <cell r="N6075" t="str">
            <v>8999</v>
          </cell>
          <cell r="O6075" t="str">
            <v>CRR</v>
          </cell>
          <cell r="P6075" t="str">
            <v>CRR8999</v>
          </cell>
          <cell r="Q6075" t="str">
            <v/>
          </cell>
        </row>
        <row r="6076">
          <cell r="N6076" t="str">
            <v>8999</v>
          </cell>
          <cell r="O6076" t="str">
            <v>HAI</v>
          </cell>
          <cell r="P6076" t="str">
            <v>HAI8999</v>
          </cell>
          <cell r="Q6076" t="str">
            <v/>
          </cell>
        </row>
        <row r="6077">
          <cell r="N6077" t="str">
            <v>8999</v>
          </cell>
          <cell r="O6077" t="str">
            <v>LO1</v>
          </cell>
          <cell r="P6077" t="str">
            <v>LO18999</v>
          </cell>
          <cell r="Q6077" t="str">
            <v/>
          </cell>
        </row>
        <row r="6078">
          <cell r="N6078" t="str">
            <v>8999</v>
          </cell>
          <cell r="O6078" t="str">
            <v>LRA</v>
          </cell>
          <cell r="P6078" t="str">
            <v>LRA8999</v>
          </cell>
          <cell r="Q6078" t="str">
            <v/>
          </cell>
        </row>
        <row r="6079">
          <cell r="N6079" t="str">
            <v>8999</v>
          </cell>
          <cell r="O6079" t="str">
            <v>LTA</v>
          </cell>
          <cell r="P6079" t="str">
            <v>LTA8999</v>
          </cell>
          <cell r="Q6079" t="str">
            <v/>
          </cell>
        </row>
        <row r="6080">
          <cell r="N6080" t="str">
            <v>8999</v>
          </cell>
          <cell r="O6080" t="str">
            <v>L01</v>
          </cell>
          <cell r="P6080" t="str">
            <v>L018999</v>
          </cell>
          <cell r="Q6080" t="str">
            <v/>
          </cell>
        </row>
        <row r="6081">
          <cell r="N6081" t="str">
            <v>8999</v>
          </cell>
          <cell r="O6081" t="str">
            <v>MER</v>
          </cell>
          <cell r="P6081" t="str">
            <v>MER8999</v>
          </cell>
          <cell r="Q6081" t="str">
            <v/>
          </cell>
        </row>
        <row r="6082">
          <cell r="N6082" t="str">
            <v>8999</v>
          </cell>
          <cell r="O6082" t="str">
            <v>OAZ</v>
          </cell>
          <cell r="P6082" t="str">
            <v>OAZ8999</v>
          </cell>
          <cell r="Q6082" t="str">
            <v/>
          </cell>
        </row>
        <row r="6083">
          <cell r="N6083" t="str">
            <v>8999</v>
          </cell>
          <cell r="O6083" t="str">
            <v>ONL</v>
          </cell>
          <cell r="P6083" t="str">
            <v>ONL8999</v>
          </cell>
          <cell r="Q6083" t="str">
            <v/>
          </cell>
        </row>
        <row r="6084">
          <cell r="N6084" t="str">
            <v>8999</v>
          </cell>
          <cell r="O6084" t="str">
            <v>RBD</v>
          </cell>
          <cell r="P6084" t="str">
            <v>RBD8999</v>
          </cell>
          <cell r="Q6084" t="str">
            <v/>
          </cell>
        </row>
        <row r="6085">
          <cell r="N6085" t="str">
            <v>8999</v>
          </cell>
          <cell r="O6085" t="str">
            <v>REG</v>
          </cell>
          <cell r="P6085" t="str">
            <v>REG8999</v>
          </cell>
          <cell r="Q6085" t="str">
            <v/>
          </cell>
        </row>
        <row r="6086">
          <cell r="N6086" t="str">
            <v>8999</v>
          </cell>
          <cell r="O6086" t="str">
            <v>TOB</v>
          </cell>
          <cell r="P6086" t="str">
            <v>TOB8999</v>
          </cell>
          <cell r="Q6086" t="str">
            <v/>
          </cell>
        </row>
        <row r="6087">
          <cell r="N6087" t="str">
            <v>8999</v>
          </cell>
          <cell r="O6087" t="str">
            <v>VCP</v>
          </cell>
          <cell r="P6087" t="str">
            <v>VCP8999</v>
          </cell>
          <cell r="Q6087" t="str">
            <v/>
          </cell>
        </row>
        <row r="6088">
          <cell r="N6088" t="str">
            <v>8999</v>
          </cell>
          <cell r="O6088" t="str">
            <v>VCX</v>
          </cell>
          <cell r="P6088" t="str">
            <v>VCX8999</v>
          </cell>
          <cell r="Q6088" t="str">
            <v/>
          </cell>
        </row>
        <row r="6089">
          <cell r="N6089" t="str">
            <v>8999</v>
          </cell>
          <cell r="O6089" t="str">
            <v>00A</v>
          </cell>
          <cell r="P6089" t="str">
            <v>00A8999</v>
          </cell>
          <cell r="Q6089" t="str">
            <v/>
          </cell>
        </row>
        <row r="6090">
          <cell r="N6090" t="str">
            <v>8999</v>
          </cell>
          <cell r="O6090" t="str">
            <v>110</v>
          </cell>
          <cell r="P6090" t="str">
            <v>1108999</v>
          </cell>
          <cell r="Q6090" t="str">
            <v/>
          </cell>
        </row>
        <row r="6091">
          <cell r="N6091" t="str">
            <v>8999</v>
          </cell>
          <cell r="O6091" t="str">
            <v>111</v>
          </cell>
          <cell r="P6091" t="str">
            <v>1118999</v>
          </cell>
          <cell r="Q6091" t="str">
            <v/>
          </cell>
        </row>
        <row r="6092">
          <cell r="N6092" t="str">
            <v>8999</v>
          </cell>
          <cell r="O6092" t="str">
            <v>116</v>
          </cell>
          <cell r="P6092" t="str">
            <v>1168999</v>
          </cell>
          <cell r="Q6092" t="str">
            <v/>
          </cell>
        </row>
        <row r="6093">
          <cell r="N6093" t="str">
            <v>89990</v>
          </cell>
          <cell r="O6093" t="str">
            <v/>
          </cell>
          <cell r="P6093" t="str">
            <v/>
          </cell>
          <cell r="Q6093" t="str">
            <v>55088091</v>
          </cell>
        </row>
        <row r="6094">
          <cell r="N6094" t="str">
            <v>89990</v>
          </cell>
          <cell r="O6094" t="str">
            <v>AP9</v>
          </cell>
          <cell r="P6094" t="str">
            <v>AP989990</v>
          </cell>
          <cell r="Q6094" t="str">
            <v>55088091</v>
          </cell>
        </row>
        <row r="6095">
          <cell r="N6095" t="str">
            <v>89990</v>
          </cell>
          <cell r="O6095" t="str">
            <v>BOF</v>
          </cell>
          <cell r="P6095" t="str">
            <v>BOF89990</v>
          </cell>
          <cell r="Q6095" t="str">
            <v>55088091</v>
          </cell>
        </row>
        <row r="6096">
          <cell r="N6096" t="str">
            <v>89990</v>
          </cell>
          <cell r="O6096" t="str">
            <v>LRA</v>
          </cell>
          <cell r="P6096" t="str">
            <v>LRA89990</v>
          </cell>
          <cell r="Q6096" t="str">
            <v>55088091</v>
          </cell>
        </row>
        <row r="6097">
          <cell r="N6097" t="str">
            <v>89990</v>
          </cell>
          <cell r="O6097" t="str">
            <v>L01</v>
          </cell>
          <cell r="P6097" t="str">
            <v>L0189990</v>
          </cell>
          <cell r="Q6097" t="str">
            <v>55088091</v>
          </cell>
        </row>
        <row r="6098">
          <cell r="N6098" t="str">
            <v>89990</v>
          </cell>
          <cell r="O6098" t="str">
            <v>MER</v>
          </cell>
          <cell r="P6098" t="str">
            <v>MER89990</v>
          </cell>
          <cell r="Q6098" t="str">
            <v>55088091</v>
          </cell>
        </row>
        <row r="6099">
          <cell r="N6099" t="str">
            <v>89990</v>
          </cell>
          <cell r="O6099" t="str">
            <v>ONL</v>
          </cell>
          <cell r="P6099" t="str">
            <v>ONL89990</v>
          </cell>
          <cell r="Q6099" t="str">
            <v>55088091</v>
          </cell>
        </row>
        <row r="6100">
          <cell r="N6100" t="str">
            <v>89990</v>
          </cell>
          <cell r="O6100" t="str">
            <v>RBD</v>
          </cell>
          <cell r="P6100" t="str">
            <v>RBD89990</v>
          </cell>
          <cell r="Q6100" t="str">
            <v>55088091</v>
          </cell>
        </row>
        <row r="6101">
          <cell r="N6101" t="str">
            <v>89990</v>
          </cell>
          <cell r="O6101" t="str">
            <v>REG</v>
          </cell>
          <cell r="P6101" t="str">
            <v>REG89990</v>
          </cell>
          <cell r="Q6101" t="str">
            <v>55088091</v>
          </cell>
        </row>
        <row r="6102">
          <cell r="N6102" t="str">
            <v>89990</v>
          </cell>
          <cell r="O6102" t="str">
            <v>TOB</v>
          </cell>
          <cell r="P6102" t="str">
            <v>TOB89990</v>
          </cell>
          <cell r="Q6102" t="str">
            <v>55088091</v>
          </cell>
        </row>
        <row r="6103">
          <cell r="N6103" t="str">
            <v>89990</v>
          </cell>
          <cell r="O6103" t="str">
            <v>111</v>
          </cell>
          <cell r="P6103" t="str">
            <v>11189990</v>
          </cell>
          <cell r="Q6103" t="str">
            <v>55088091</v>
          </cell>
        </row>
        <row r="6104">
          <cell r="N6104" t="str">
            <v/>
          </cell>
          <cell r="O6104" t="str">
            <v/>
          </cell>
          <cell r="P6104" t="str">
            <v/>
          </cell>
          <cell r="Q6104" t="str">
            <v/>
          </cell>
        </row>
        <row r="6105">
          <cell r="N6105" t="str">
            <v>779904</v>
          </cell>
          <cell r="O6105" t="str">
            <v/>
          </cell>
          <cell r="P6105" t="str">
            <v/>
          </cell>
          <cell r="Q6105" t="str">
            <v>450880910</v>
          </cell>
        </row>
        <row r="6106">
          <cell r="N6106" t="str">
            <v>779904</v>
          </cell>
          <cell r="O6106" t="str">
            <v>JET</v>
          </cell>
          <cell r="P6106" t="str">
            <v>JET779904</v>
          </cell>
          <cell r="Q6106" t="str">
            <v>450880910</v>
          </cell>
        </row>
        <row r="6107">
          <cell r="N6107" t="str">
            <v>779904</v>
          </cell>
          <cell r="O6107" t="str">
            <v>ONL</v>
          </cell>
          <cell r="P6107" t="str">
            <v>ONL779904</v>
          </cell>
          <cell r="Q6107" t="str">
            <v>450880910</v>
          </cell>
        </row>
        <row r="6108">
          <cell r="N6108" t="str">
            <v>779904</v>
          </cell>
          <cell r="O6108" t="str">
            <v>REG</v>
          </cell>
          <cell r="P6108" t="str">
            <v>REG779904</v>
          </cell>
          <cell r="Q6108" t="str">
            <v>450880910</v>
          </cell>
        </row>
        <row r="6109">
          <cell r="N6109" t="str">
            <v>779904</v>
          </cell>
          <cell r="O6109" t="str">
            <v>111</v>
          </cell>
          <cell r="P6109" t="str">
            <v>111779904</v>
          </cell>
          <cell r="Q6109" t="str">
            <v>450880910</v>
          </cell>
        </row>
        <row r="6110">
          <cell r="N6110" t="str">
            <v/>
          </cell>
          <cell r="O6110" t="str">
            <v/>
          </cell>
          <cell r="P6110" t="str">
            <v/>
          </cell>
          <cell r="Q6110" t="str">
            <v/>
          </cell>
        </row>
        <row r="6111">
          <cell r="N6111" t="str">
            <v>71612</v>
          </cell>
          <cell r="O6111" t="str">
            <v/>
          </cell>
          <cell r="P6111" t="str">
            <v/>
          </cell>
          <cell r="Q6111" t="str">
            <v>416190</v>
          </cell>
        </row>
        <row r="6112">
          <cell r="N6112" t="str">
            <v>71612</v>
          </cell>
          <cell r="O6112" t="str">
            <v>1ME</v>
          </cell>
          <cell r="P6112" t="str">
            <v>1ME71612</v>
          </cell>
          <cell r="Q6112" t="str">
            <v>416190</v>
          </cell>
        </row>
        <row r="6113">
          <cell r="N6113" t="str">
            <v>71619</v>
          </cell>
          <cell r="O6113" t="str">
            <v/>
          </cell>
          <cell r="P6113" t="str">
            <v/>
          </cell>
          <cell r="Q6113" t="str">
            <v/>
          </cell>
        </row>
        <row r="6114">
          <cell r="N6114" t="str">
            <v>71619</v>
          </cell>
          <cell r="O6114" t="str">
            <v>ONL</v>
          </cell>
          <cell r="P6114" t="str">
            <v>ONL71619</v>
          </cell>
          <cell r="Q6114" t="str">
            <v/>
          </cell>
        </row>
        <row r="6115">
          <cell r="N6115" t="str">
            <v>71619</v>
          </cell>
          <cell r="O6115" t="str">
            <v>1ME</v>
          </cell>
          <cell r="P6115" t="str">
            <v>1ME71619</v>
          </cell>
          <cell r="Q6115" t="str">
            <v/>
          </cell>
        </row>
        <row r="6116">
          <cell r="N6116" t="str">
            <v>716900</v>
          </cell>
          <cell r="O6116" t="str">
            <v/>
          </cell>
          <cell r="P6116" t="str">
            <v/>
          </cell>
          <cell r="Q6116" t="str">
            <v/>
          </cell>
        </row>
        <row r="6117">
          <cell r="N6117" t="str">
            <v>716900</v>
          </cell>
          <cell r="O6117" t="str">
            <v>UPF</v>
          </cell>
          <cell r="P6117" t="str">
            <v>UPF716900</v>
          </cell>
          <cell r="Q6117" t="str">
            <v/>
          </cell>
        </row>
        <row r="6118">
          <cell r="N6118" t="str">
            <v>716900</v>
          </cell>
          <cell r="O6118" t="str">
            <v>1ME</v>
          </cell>
          <cell r="P6118" t="str">
            <v>1ME716900</v>
          </cell>
          <cell r="Q6118" t="str">
            <v/>
          </cell>
        </row>
        <row r="6119">
          <cell r="N6119" t="str">
            <v>716902</v>
          </cell>
          <cell r="O6119" t="str">
            <v/>
          </cell>
          <cell r="P6119" t="str">
            <v/>
          </cell>
          <cell r="Q6119" t="str">
            <v>4161599</v>
          </cell>
        </row>
        <row r="6120">
          <cell r="N6120" t="str">
            <v>716902</v>
          </cell>
          <cell r="O6120" t="str">
            <v>S4C</v>
          </cell>
          <cell r="P6120" t="str">
            <v>S4C716902</v>
          </cell>
          <cell r="Q6120" t="str">
            <v>4161599</v>
          </cell>
        </row>
        <row r="6121">
          <cell r="N6121" t="str">
            <v>716902</v>
          </cell>
          <cell r="O6121" t="str">
            <v>1ME</v>
          </cell>
          <cell r="P6121" t="str">
            <v>1ME716902</v>
          </cell>
          <cell r="Q6121" t="str">
            <v>4161599</v>
          </cell>
        </row>
        <row r="6122">
          <cell r="N6122" t="str">
            <v>71691</v>
          </cell>
          <cell r="O6122" t="str">
            <v/>
          </cell>
          <cell r="P6122" t="str">
            <v/>
          </cell>
          <cell r="Q6122" t="str">
            <v>416190</v>
          </cell>
        </row>
        <row r="6123">
          <cell r="N6123" t="str">
            <v>71691</v>
          </cell>
          <cell r="O6123" t="str">
            <v>UNG</v>
          </cell>
          <cell r="P6123" t="str">
            <v>UNG71691</v>
          </cell>
          <cell r="Q6123" t="str">
            <v>416190</v>
          </cell>
        </row>
        <row r="6124">
          <cell r="N6124" t="str">
            <v>71691</v>
          </cell>
          <cell r="O6124" t="str">
            <v>UNJ</v>
          </cell>
          <cell r="P6124" t="str">
            <v>UNJ71691</v>
          </cell>
          <cell r="Q6124" t="str">
            <v>416190</v>
          </cell>
        </row>
        <row r="6125">
          <cell r="N6125" t="str">
            <v>71691</v>
          </cell>
          <cell r="O6125" t="str">
            <v>UNK</v>
          </cell>
          <cell r="P6125" t="str">
            <v>UNK71691</v>
          </cell>
          <cell r="Q6125" t="str">
            <v>416190</v>
          </cell>
        </row>
        <row r="6126">
          <cell r="N6126" t="str">
            <v>71691</v>
          </cell>
          <cell r="O6126" t="str">
            <v>UNO</v>
          </cell>
          <cell r="P6126" t="str">
            <v>UNO71691</v>
          </cell>
          <cell r="Q6126" t="str">
            <v>416190</v>
          </cell>
        </row>
        <row r="6127">
          <cell r="N6127" t="str">
            <v>71691</v>
          </cell>
          <cell r="O6127" t="str">
            <v>1ME</v>
          </cell>
          <cell r="P6127" t="str">
            <v>1ME71691</v>
          </cell>
          <cell r="Q6127" t="str">
            <v>416190</v>
          </cell>
        </row>
        <row r="6128">
          <cell r="N6128" t="str">
            <v>71691</v>
          </cell>
          <cell r="O6128" t="str">
            <v>4ND</v>
          </cell>
          <cell r="P6128" t="str">
            <v>4ND71691</v>
          </cell>
          <cell r="Q6128" t="str">
            <v>416190</v>
          </cell>
        </row>
        <row r="6129">
          <cell r="N6129" t="str">
            <v>7169450</v>
          </cell>
          <cell r="O6129" t="str">
            <v/>
          </cell>
          <cell r="P6129" t="str">
            <v/>
          </cell>
          <cell r="Q6129" t="str">
            <v>41999</v>
          </cell>
        </row>
        <row r="6130">
          <cell r="N6130" t="str">
            <v>7169450</v>
          </cell>
          <cell r="O6130" t="str">
            <v>1ME</v>
          </cell>
          <cell r="P6130" t="str">
            <v>1ME7169450</v>
          </cell>
          <cell r="Q6130" t="str">
            <v>41999</v>
          </cell>
        </row>
        <row r="6131">
          <cell r="N6131" t="str">
            <v>716946</v>
          </cell>
          <cell r="O6131" t="str">
            <v/>
          </cell>
          <cell r="P6131" t="str">
            <v/>
          </cell>
          <cell r="Q6131" t="str">
            <v>41999</v>
          </cell>
        </row>
        <row r="6132">
          <cell r="N6132" t="str">
            <v>716946</v>
          </cell>
          <cell r="O6132" t="str">
            <v>T30</v>
          </cell>
          <cell r="P6132" t="str">
            <v>T30716946</v>
          </cell>
          <cell r="Q6132" t="str">
            <v>41999</v>
          </cell>
        </row>
        <row r="6133">
          <cell r="N6133" t="str">
            <v>716946</v>
          </cell>
          <cell r="O6133" t="str">
            <v>1ME</v>
          </cell>
          <cell r="P6133" t="str">
            <v>1ME716946</v>
          </cell>
          <cell r="Q6133" t="str">
            <v>41999</v>
          </cell>
        </row>
        <row r="6134">
          <cell r="N6134" t="str">
            <v>71695</v>
          </cell>
          <cell r="O6134" t="str">
            <v/>
          </cell>
          <cell r="P6134" t="str">
            <v/>
          </cell>
          <cell r="Q6134" t="str">
            <v/>
          </cell>
        </row>
        <row r="6135">
          <cell r="N6135" t="str">
            <v>71695</v>
          </cell>
          <cell r="O6135" t="str">
            <v>LRA</v>
          </cell>
          <cell r="P6135" t="str">
            <v>LRA71695</v>
          </cell>
          <cell r="Q6135" t="str">
            <v/>
          </cell>
        </row>
        <row r="6136">
          <cell r="N6136" t="str">
            <v>71800</v>
          </cell>
          <cell r="O6136" t="str">
            <v/>
          </cell>
          <cell r="P6136" t="str">
            <v/>
          </cell>
          <cell r="Q6136" t="str">
            <v/>
          </cell>
        </row>
        <row r="6137">
          <cell r="N6137" t="str">
            <v>71800</v>
          </cell>
          <cell r="O6137" t="str">
            <v>EIJ</v>
          </cell>
          <cell r="P6137" t="str">
            <v>EIJ71800</v>
          </cell>
          <cell r="Q6137" t="str">
            <v/>
          </cell>
        </row>
        <row r="6138">
          <cell r="N6138" t="str">
            <v>71800</v>
          </cell>
          <cell r="O6138" t="str">
            <v>1ME</v>
          </cell>
          <cell r="P6138" t="str">
            <v>1ME71800</v>
          </cell>
          <cell r="Q6138" t="str">
            <v/>
          </cell>
        </row>
        <row r="6139">
          <cell r="N6139" t="str">
            <v>71802</v>
          </cell>
          <cell r="O6139" t="str">
            <v/>
          </cell>
          <cell r="P6139" t="str">
            <v/>
          </cell>
          <cell r="Q6139" t="str">
            <v>41401</v>
          </cell>
        </row>
        <row r="6140">
          <cell r="N6140" t="str">
            <v>71802</v>
          </cell>
          <cell r="O6140" t="str">
            <v>REG</v>
          </cell>
          <cell r="P6140" t="str">
            <v>REG71802</v>
          </cell>
          <cell r="Q6140" t="str">
            <v>41401</v>
          </cell>
        </row>
        <row r="6141">
          <cell r="N6141" t="str">
            <v>71809</v>
          </cell>
          <cell r="O6141" t="str">
            <v/>
          </cell>
          <cell r="P6141" t="str">
            <v/>
          </cell>
          <cell r="Q6141" t="str">
            <v>41401</v>
          </cell>
        </row>
        <row r="6142">
          <cell r="N6142" t="str">
            <v>71809</v>
          </cell>
          <cell r="O6142" t="str">
            <v>CID</v>
          </cell>
          <cell r="P6142" t="str">
            <v>CID71809</v>
          </cell>
          <cell r="Q6142" t="str">
            <v>41401</v>
          </cell>
        </row>
        <row r="6143">
          <cell r="N6143" t="str">
            <v>71809</v>
          </cell>
          <cell r="O6143" t="str">
            <v>CIJ</v>
          </cell>
          <cell r="P6143" t="str">
            <v>CIJ71809</v>
          </cell>
          <cell r="Q6143" t="str">
            <v>41401</v>
          </cell>
        </row>
        <row r="6144">
          <cell r="N6144" t="str">
            <v>71809</v>
          </cell>
          <cell r="O6144" t="str">
            <v>IJE</v>
          </cell>
          <cell r="P6144" t="str">
            <v>IJE71809</v>
          </cell>
          <cell r="Q6144" t="str">
            <v>41401</v>
          </cell>
        </row>
        <row r="6145">
          <cell r="N6145" t="str">
            <v>71809</v>
          </cell>
          <cell r="O6145" t="str">
            <v>IUC</v>
          </cell>
          <cell r="P6145" t="str">
            <v>IUC71809</v>
          </cell>
          <cell r="Q6145" t="str">
            <v>41401</v>
          </cell>
        </row>
        <row r="6146">
          <cell r="N6146" t="str">
            <v>71841</v>
          </cell>
          <cell r="O6146" t="str">
            <v/>
          </cell>
          <cell r="P6146" t="str">
            <v/>
          </cell>
          <cell r="Q6146" t="str">
            <v>416280</v>
          </cell>
        </row>
        <row r="6147">
          <cell r="N6147" t="str">
            <v>71841</v>
          </cell>
          <cell r="O6147" t="str">
            <v>1ME</v>
          </cell>
          <cell r="P6147" t="str">
            <v>1ME71841</v>
          </cell>
          <cell r="Q6147" t="str">
            <v>416280</v>
          </cell>
        </row>
        <row r="6148">
          <cell r="N6148" t="str">
            <v>718910</v>
          </cell>
          <cell r="O6148" t="str">
            <v/>
          </cell>
          <cell r="P6148" t="str">
            <v/>
          </cell>
          <cell r="Q6148" t="str">
            <v>41499</v>
          </cell>
        </row>
        <row r="6149">
          <cell r="N6149" t="str">
            <v>718910</v>
          </cell>
          <cell r="O6149" t="str">
            <v>1ME</v>
          </cell>
          <cell r="P6149" t="str">
            <v>1ME718910</v>
          </cell>
          <cell r="Q6149" t="str">
            <v>41499</v>
          </cell>
        </row>
        <row r="6150">
          <cell r="N6150" t="str">
            <v>718912</v>
          </cell>
          <cell r="O6150" t="str">
            <v/>
          </cell>
          <cell r="P6150" t="str">
            <v/>
          </cell>
          <cell r="Q6150" t="str">
            <v>41499</v>
          </cell>
        </row>
        <row r="6151">
          <cell r="N6151" t="str">
            <v>718912</v>
          </cell>
          <cell r="O6151" t="str">
            <v>1ME</v>
          </cell>
          <cell r="P6151" t="str">
            <v>1ME718912</v>
          </cell>
          <cell r="Q6151" t="str">
            <v>41499</v>
          </cell>
        </row>
        <row r="6152">
          <cell r="N6152" t="str">
            <v>71899</v>
          </cell>
          <cell r="O6152" t="str">
            <v/>
          </cell>
          <cell r="P6152" t="str">
            <v/>
          </cell>
          <cell r="Q6152" t="str">
            <v>41499</v>
          </cell>
        </row>
        <row r="6153">
          <cell r="N6153" t="str">
            <v>71899</v>
          </cell>
          <cell r="O6153" t="str">
            <v>LO1</v>
          </cell>
          <cell r="P6153" t="str">
            <v>LO171899</v>
          </cell>
          <cell r="Q6153" t="str">
            <v>41499</v>
          </cell>
        </row>
        <row r="6154">
          <cell r="N6154" t="str">
            <v>719020</v>
          </cell>
          <cell r="O6154" t="str">
            <v/>
          </cell>
          <cell r="P6154" t="str">
            <v/>
          </cell>
          <cell r="Q6154" t="str">
            <v>4198</v>
          </cell>
        </row>
        <row r="6155">
          <cell r="N6155" t="str">
            <v>719020</v>
          </cell>
          <cell r="O6155" t="str">
            <v>C00</v>
          </cell>
          <cell r="P6155" t="str">
            <v>C00719020</v>
          </cell>
          <cell r="Q6155" t="str">
            <v>4198</v>
          </cell>
        </row>
        <row r="6156">
          <cell r="N6156" t="str">
            <v>719021</v>
          </cell>
          <cell r="O6156" t="str">
            <v/>
          </cell>
          <cell r="P6156" t="str">
            <v/>
          </cell>
          <cell r="Q6156" t="str">
            <v>4198</v>
          </cell>
        </row>
        <row r="6157">
          <cell r="N6157" t="str">
            <v>719021</v>
          </cell>
          <cell r="O6157" t="str">
            <v>1ME</v>
          </cell>
          <cell r="P6157" t="str">
            <v>1ME719021</v>
          </cell>
          <cell r="Q6157" t="str">
            <v>4198</v>
          </cell>
        </row>
        <row r="6158">
          <cell r="N6158" t="str">
            <v>719021</v>
          </cell>
          <cell r="O6158" t="str">
            <v>978</v>
          </cell>
          <cell r="P6158" t="str">
            <v>978719021</v>
          </cell>
          <cell r="Q6158" t="str">
            <v>4198</v>
          </cell>
        </row>
        <row r="6159">
          <cell r="N6159" t="str">
            <v>7190421</v>
          </cell>
          <cell r="O6159" t="str">
            <v/>
          </cell>
          <cell r="P6159" t="str">
            <v/>
          </cell>
          <cell r="Q6159" t="str">
            <v/>
          </cell>
        </row>
        <row r="6160">
          <cell r="N6160" t="str">
            <v>7190421</v>
          </cell>
          <cell r="O6160" t="str">
            <v>ONL</v>
          </cell>
          <cell r="P6160" t="str">
            <v>ONL7190421</v>
          </cell>
          <cell r="Q6160" t="str">
            <v/>
          </cell>
        </row>
        <row r="6161">
          <cell r="N6161" t="str">
            <v>7190421</v>
          </cell>
          <cell r="O6161" t="str">
            <v>TRE</v>
          </cell>
          <cell r="P6161" t="str">
            <v>TRE7190421</v>
          </cell>
          <cell r="Q6161" t="str">
            <v/>
          </cell>
        </row>
        <row r="6162">
          <cell r="N6162" t="str">
            <v>7190421</v>
          </cell>
          <cell r="O6162" t="str">
            <v>111</v>
          </cell>
          <cell r="P6162" t="str">
            <v>1117190421</v>
          </cell>
          <cell r="Q6162" t="str">
            <v/>
          </cell>
        </row>
        <row r="6163">
          <cell r="N6163" t="str">
            <v>7190421</v>
          </cell>
          <cell r="O6163" t="str">
            <v>6C7</v>
          </cell>
          <cell r="P6163" t="str">
            <v>6C77190421</v>
          </cell>
          <cell r="Q6163" t="str">
            <v/>
          </cell>
        </row>
        <row r="6164">
          <cell r="N6164" t="str">
            <v>71906</v>
          </cell>
          <cell r="O6164" t="str">
            <v/>
          </cell>
          <cell r="P6164" t="str">
            <v/>
          </cell>
          <cell r="Q6164" t="str">
            <v/>
          </cell>
        </row>
        <row r="6165">
          <cell r="N6165" t="str">
            <v>71906</v>
          </cell>
          <cell r="O6165" t="str">
            <v>T30</v>
          </cell>
          <cell r="P6165" t="str">
            <v>T3071906</v>
          </cell>
          <cell r="Q6165" t="str">
            <v/>
          </cell>
        </row>
        <row r="6166">
          <cell r="N6166" t="str">
            <v>71906</v>
          </cell>
          <cell r="O6166" t="str">
            <v>1ME</v>
          </cell>
          <cell r="P6166" t="str">
            <v>1ME71906</v>
          </cell>
          <cell r="Q6166" t="str">
            <v/>
          </cell>
        </row>
        <row r="6167">
          <cell r="N6167" t="str">
            <v>719080</v>
          </cell>
          <cell r="O6167" t="str">
            <v/>
          </cell>
          <cell r="P6167" t="str">
            <v/>
          </cell>
          <cell r="Q6167" t="str">
            <v/>
          </cell>
        </row>
        <row r="6168">
          <cell r="N6168" t="str">
            <v>719080</v>
          </cell>
          <cell r="O6168" t="str">
            <v>T30</v>
          </cell>
          <cell r="P6168" t="str">
            <v>T30719080</v>
          </cell>
          <cell r="Q6168" t="str">
            <v/>
          </cell>
        </row>
        <row r="6169">
          <cell r="N6169" t="str">
            <v>719081</v>
          </cell>
          <cell r="O6169" t="str">
            <v/>
          </cell>
          <cell r="P6169" t="str">
            <v/>
          </cell>
          <cell r="Q6169" t="str">
            <v/>
          </cell>
        </row>
        <row r="6170">
          <cell r="N6170" t="str">
            <v>719081</v>
          </cell>
          <cell r="O6170" t="str">
            <v>ONL</v>
          </cell>
          <cell r="P6170" t="str">
            <v>ONL719081</v>
          </cell>
          <cell r="Q6170" t="str">
            <v/>
          </cell>
        </row>
        <row r="6171">
          <cell r="N6171" t="str">
            <v>719081</v>
          </cell>
          <cell r="O6171" t="str">
            <v>TRE</v>
          </cell>
          <cell r="P6171" t="str">
            <v>TRE719081</v>
          </cell>
          <cell r="Q6171" t="str">
            <v/>
          </cell>
        </row>
        <row r="6172">
          <cell r="N6172" t="str">
            <v>719081</v>
          </cell>
          <cell r="O6172" t="str">
            <v>6C7</v>
          </cell>
          <cell r="P6172" t="str">
            <v>6C7719081</v>
          </cell>
          <cell r="Q6172" t="str">
            <v/>
          </cell>
        </row>
        <row r="6173">
          <cell r="N6173" t="str">
            <v>71909</v>
          </cell>
          <cell r="O6173" t="str">
            <v/>
          </cell>
          <cell r="P6173" t="str">
            <v/>
          </cell>
          <cell r="Q6173" t="str">
            <v>4912000</v>
          </cell>
        </row>
        <row r="6174">
          <cell r="N6174" t="str">
            <v>71909</v>
          </cell>
          <cell r="O6174" t="str">
            <v>OGX</v>
          </cell>
          <cell r="P6174" t="str">
            <v>OGX71909</v>
          </cell>
          <cell r="Q6174" t="str">
            <v>4912000</v>
          </cell>
        </row>
        <row r="6175">
          <cell r="N6175" t="str">
            <v>71909</v>
          </cell>
          <cell r="O6175" t="str">
            <v>T30</v>
          </cell>
          <cell r="P6175" t="str">
            <v>T3071909</v>
          </cell>
          <cell r="Q6175" t="str">
            <v>4912000</v>
          </cell>
        </row>
        <row r="6176">
          <cell r="N6176" t="str">
            <v>71909</v>
          </cell>
          <cell r="O6176" t="str">
            <v>1ME</v>
          </cell>
          <cell r="P6176" t="str">
            <v>1ME71909</v>
          </cell>
          <cell r="Q6176" t="str">
            <v>4912000</v>
          </cell>
        </row>
        <row r="6177">
          <cell r="N6177" t="str">
            <v>71909</v>
          </cell>
          <cell r="O6177" t="str">
            <v>111</v>
          </cell>
          <cell r="P6177" t="str">
            <v>11171909</v>
          </cell>
          <cell r="Q6177" t="str">
            <v>4912000</v>
          </cell>
        </row>
        <row r="6178">
          <cell r="N6178" t="str">
            <v>7192</v>
          </cell>
          <cell r="O6178" t="str">
            <v/>
          </cell>
          <cell r="P6178" t="str">
            <v/>
          </cell>
          <cell r="Q6178" t="str">
            <v>4198</v>
          </cell>
        </row>
        <row r="6179">
          <cell r="N6179" t="str">
            <v>7192</v>
          </cell>
          <cell r="O6179" t="str">
            <v>1ME</v>
          </cell>
          <cell r="P6179" t="str">
            <v>1ME7192</v>
          </cell>
          <cell r="Q6179" t="str">
            <v>4198</v>
          </cell>
        </row>
        <row r="6180">
          <cell r="N6180" t="str">
            <v>7701</v>
          </cell>
          <cell r="O6180" t="str">
            <v/>
          </cell>
          <cell r="P6180" t="str">
            <v/>
          </cell>
          <cell r="Q6180" t="str">
            <v>43131</v>
          </cell>
        </row>
        <row r="6181">
          <cell r="N6181" t="str">
            <v>7701</v>
          </cell>
          <cell r="O6181" t="str">
            <v>1ME</v>
          </cell>
          <cell r="P6181" t="str">
            <v>1ME7701</v>
          </cell>
          <cell r="Q6181" t="str">
            <v>43131</v>
          </cell>
        </row>
        <row r="6182">
          <cell r="N6182" t="str">
            <v>7790</v>
          </cell>
          <cell r="O6182" t="str">
            <v/>
          </cell>
          <cell r="P6182" t="str">
            <v/>
          </cell>
          <cell r="Q6182" t="str">
            <v/>
          </cell>
        </row>
        <row r="6183">
          <cell r="N6183" t="str">
            <v>7790</v>
          </cell>
          <cell r="O6183" t="str">
            <v>AP9</v>
          </cell>
          <cell r="P6183" t="str">
            <v>AP97790</v>
          </cell>
          <cell r="Q6183" t="str">
            <v/>
          </cell>
        </row>
        <row r="6184">
          <cell r="N6184" t="str">
            <v>7790</v>
          </cell>
          <cell r="O6184" t="str">
            <v>1ME</v>
          </cell>
          <cell r="P6184" t="str">
            <v>1ME7790</v>
          </cell>
          <cell r="Q6184" t="str">
            <v/>
          </cell>
        </row>
        <row r="6185">
          <cell r="N6185" t="str">
            <v>77909</v>
          </cell>
          <cell r="O6185" t="str">
            <v/>
          </cell>
          <cell r="P6185" t="str">
            <v/>
          </cell>
          <cell r="Q6185" t="str">
            <v/>
          </cell>
        </row>
        <row r="6186">
          <cell r="N6186" t="str">
            <v>77909</v>
          </cell>
          <cell r="O6186" t="str">
            <v>ONL</v>
          </cell>
          <cell r="P6186" t="str">
            <v>ONL77909</v>
          </cell>
          <cell r="Q6186" t="str">
            <v/>
          </cell>
        </row>
        <row r="6187">
          <cell r="N6187" t="str">
            <v>77909</v>
          </cell>
          <cell r="O6187" t="str">
            <v>393</v>
          </cell>
          <cell r="P6187" t="str">
            <v>39377909</v>
          </cell>
          <cell r="Q6187" t="str">
            <v/>
          </cell>
        </row>
        <row r="6188">
          <cell r="N6188" t="str">
            <v>7791</v>
          </cell>
          <cell r="O6188" t="str">
            <v/>
          </cell>
          <cell r="P6188" t="str">
            <v/>
          </cell>
          <cell r="Q6188" t="str">
            <v>41499</v>
          </cell>
        </row>
        <row r="6189">
          <cell r="N6189" t="str">
            <v>7791</v>
          </cell>
          <cell r="O6189" t="str">
            <v>ONL</v>
          </cell>
          <cell r="P6189" t="str">
            <v>ONL7791</v>
          </cell>
          <cell r="Q6189" t="str">
            <v>41499</v>
          </cell>
        </row>
        <row r="6190">
          <cell r="N6190" t="str">
            <v>77910</v>
          </cell>
          <cell r="O6190" t="str">
            <v/>
          </cell>
          <cell r="P6190" t="str">
            <v/>
          </cell>
          <cell r="Q6190" t="str">
            <v/>
          </cell>
        </row>
        <row r="6191">
          <cell r="N6191" t="str">
            <v>77910</v>
          </cell>
          <cell r="O6191" t="str">
            <v>C00</v>
          </cell>
          <cell r="P6191" t="str">
            <v>C0077910</v>
          </cell>
          <cell r="Q6191" t="str">
            <v/>
          </cell>
        </row>
        <row r="6192">
          <cell r="N6192" t="str">
            <v>77911</v>
          </cell>
          <cell r="O6192" t="str">
            <v/>
          </cell>
          <cell r="P6192" t="str">
            <v/>
          </cell>
          <cell r="Q6192" t="str">
            <v/>
          </cell>
        </row>
        <row r="6193">
          <cell r="N6193" t="str">
            <v>77911</v>
          </cell>
          <cell r="O6193" t="str">
            <v>C00</v>
          </cell>
          <cell r="P6193" t="str">
            <v>C0077911</v>
          </cell>
          <cell r="Q6193" t="str">
            <v/>
          </cell>
        </row>
        <row r="6194">
          <cell r="N6194" t="str">
            <v>77911</v>
          </cell>
          <cell r="O6194" t="str">
            <v>C13</v>
          </cell>
          <cell r="P6194" t="str">
            <v>C1377911</v>
          </cell>
          <cell r="Q6194" t="str">
            <v/>
          </cell>
        </row>
        <row r="6195">
          <cell r="N6195" t="str">
            <v>77911</v>
          </cell>
          <cell r="O6195" t="str">
            <v>701</v>
          </cell>
          <cell r="P6195" t="str">
            <v>70177911</v>
          </cell>
          <cell r="Q6195" t="str">
            <v/>
          </cell>
        </row>
        <row r="6196">
          <cell r="N6196" t="str">
            <v>77927</v>
          </cell>
          <cell r="O6196" t="str">
            <v/>
          </cell>
          <cell r="P6196" t="str">
            <v/>
          </cell>
          <cell r="Q6196" t="str">
            <v/>
          </cell>
        </row>
        <row r="6197">
          <cell r="N6197" t="str">
            <v>77927</v>
          </cell>
          <cell r="O6197" t="str">
            <v>ONL</v>
          </cell>
          <cell r="P6197" t="str">
            <v>ONL77927</v>
          </cell>
          <cell r="Q6197" t="str">
            <v/>
          </cell>
        </row>
        <row r="6198">
          <cell r="N6198" t="str">
            <v>77927</v>
          </cell>
          <cell r="O6198" t="str">
            <v>TIT</v>
          </cell>
          <cell r="P6198" t="str">
            <v>TIT77927</v>
          </cell>
          <cell r="Q6198" t="str">
            <v/>
          </cell>
        </row>
        <row r="6199">
          <cell r="N6199" t="str">
            <v>77929</v>
          </cell>
          <cell r="O6199" t="str">
            <v/>
          </cell>
          <cell r="P6199" t="str">
            <v/>
          </cell>
          <cell r="Q6199" t="str">
            <v/>
          </cell>
        </row>
        <row r="6200">
          <cell r="N6200" t="str">
            <v>77929</v>
          </cell>
          <cell r="O6200" t="str">
            <v>ONL</v>
          </cell>
          <cell r="P6200" t="str">
            <v>ONL77929</v>
          </cell>
          <cell r="Q6200" t="str">
            <v/>
          </cell>
        </row>
        <row r="6201">
          <cell r="N6201" t="str">
            <v>77929</v>
          </cell>
          <cell r="O6201" t="str">
            <v>708</v>
          </cell>
          <cell r="P6201" t="str">
            <v>70877929</v>
          </cell>
          <cell r="Q6201" t="str">
            <v/>
          </cell>
        </row>
        <row r="6202">
          <cell r="N6202" t="str">
            <v>779400</v>
          </cell>
          <cell r="O6202" t="str">
            <v/>
          </cell>
          <cell r="P6202" t="str">
            <v/>
          </cell>
          <cell r="Q6202" t="str">
            <v/>
          </cell>
        </row>
        <row r="6203">
          <cell r="N6203" t="str">
            <v>779400</v>
          </cell>
          <cell r="O6203" t="str">
            <v>ONL</v>
          </cell>
          <cell r="P6203" t="str">
            <v>ONL779400</v>
          </cell>
          <cell r="Q6203" t="str">
            <v/>
          </cell>
        </row>
        <row r="6204">
          <cell r="N6204" t="str">
            <v>779400</v>
          </cell>
          <cell r="O6204" t="str">
            <v>T30</v>
          </cell>
          <cell r="P6204" t="str">
            <v>T30779400</v>
          </cell>
          <cell r="Q6204" t="str">
            <v/>
          </cell>
        </row>
        <row r="6205">
          <cell r="N6205" t="str">
            <v>779400</v>
          </cell>
          <cell r="O6205" t="str">
            <v>1ME</v>
          </cell>
          <cell r="P6205" t="str">
            <v>1ME779400</v>
          </cell>
          <cell r="Q6205" t="str">
            <v/>
          </cell>
        </row>
        <row r="6206">
          <cell r="N6206" t="str">
            <v>779400</v>
          </cell>
          <cell r="O6206" t="str">
            <v>111</v>
          </cell>
          <cell r="P6206" t="str">
            <v>111779400</v>
          </cell>
          <cell r="Q6206" t="str">
            <v/>
          </cell>
        </row>
        <row r="6207">
          <cell r="N6207" t="str">
            <v>779401</v>
          </cell>
          <cell r="O6207" t="str">
            <v/>
          </cell>
          <cell r="P6207" t="str">
            <v/>
          </cell>
          <cell r="Q6207" t="str">
            <v/>
          </cell>
        </row>
        <row r="6208">
          <cell r="N6208" t="str">
            <v>779401</v>
          </cell>
          <cell r="O6208" t="str">
            <v>1ME</v>
          </cell>
          <cell r="P6208" t="str">
            <v>1ME779401</v>
          </cell>
          <cell r="Q6208" t="str">
            <v/>
          </cell>
        </row>
        <row r="6209">
          <cell r="N6209" t="str">
            <v>779402</v>
          </cell>
          <cell r="O6209" t="str">
            <v/>
          </cell>
          <cell r="P6209" t="str">
            <v/>
          </cell>
          <cell r="Q6209" t="str">
            <v/>
          </cell>
        </row>
        <row r="6210">
          <cell r="N6210" t="str">
            <v>779402</v>
          </cell>
          <cell r="O6210" t="str">
            <v>LRA</v>
          </cell>
          <cell r="P6210" t="str">
            <v>LRA779402</v>
          </cell>
          <cell r="Q6210" t="str">
            <v/>
          </cell>
        </row>
        <row r="6211">
          <cell r="N6211" t="str">
            <v>779409</v>
          </cell>
          <cell r="O6211" t="str">
            <v/>
          </cell>
          <cell r="P6211" t="str">
            <v/>
          </cell>
          <cell r="Q6211" t="str">
            <v/>
          </cell>
        </row>
        <row r="6212">
          <cell r="N6212" t="str">
            <v>779409</v>
          </cell>
          <cell r="O6212" t="str">
            <v>CHB</v>
          </cell>
          <cell r="P6212" t="str">
            <v>CHB779409</v>
          </cell>
          <cell r="Q6212" t="str">
            <v/>
          </cell>
        </row>
        <row r="6213">
          <cell r="N6213" t="str">
            <v>779409</v>
          </cell>
          <cell r="O6213" t="str">
            <v>ONL</v>
          </cell>
          <cell r="P6213" t="str">
            <v>ONL779409</v>
          </cell>
          <cell r="Q6213" t="str">
            <v/>
          </cell>
        </row>
        <row r="6214">
          <cell r="N6214" t="str">
            <v>779409</v>
          </cell>
          <cell r="O6214" t="str">
            <v>REG</v>
          </cell>
          <cell r="P6214" t="str">
            <v>REG779409</v>
          </cell>
          <cell r="Q6214" t="str">
            <v/>
          </cell>
        </row>
        <row r="6215">
          <cell r="N6215" t="str">
            <v>779409</v>
          </cell>
          <cell r="O6215" t="str">
            <v>SQE</v>
          </cell>
          <cell r="P6215" t="str">
            <v>SQE779409</v>
          </cell>
          <cell r="Q6215" t="str">
            <v/>
          </cell>
        </row>
        <row r="6216">
          <cell r="N6216" t="str">
            <v>779409</v>
          </cell>
          <cell r="O6216" t="str">
            <v>T30</v>
          </cell>
          <cell r="P6216" t="str">
            <v>T30779409</v>
          </cell>
          <cell r="Q6216" t="str">
            <v/>
          </cell>
        </row>
        <row r="6217">
          <cell r="N6217" t="str">
            <v>779409</v>
          </cell>
          <cell r="O6217" t="str">
            <v>YHJ</v>
          </cell>
          <cell r="P6217" t="str">
            <v>YHJ779409</v>
          </cell>
          <cell r="Q6217" t="str">
            <v/>
          </cell>
        </row>
        <row r="6218">
          <cell r="N6218" t="str">
            <v>779409</v>
          </cell>
          <cell r="O6218" t="str">
            <v>YHN</v>
          </cell>
          <cell r="P6218" t="str">
            <v>YHN779409</v>
          </cell>
          <cell r="Q6218" t="str">
            <v/>
          </cell>
        </row>
        <row r="6219">
          <cell r="N6219" t="str">
            <v>779409</v>
          </cell>
          <cell r="O6219" t="str">
            <v>1ME</v>
          </cell>
          <cell r="P6219" t="str">
            <v>1ME779409</v>
          </cell>
          <cell r="Q6219" t="str">
            <v/>
          </cell>
        </row>
        <row r="6220">
          <cell r="N6220" t="str">
            <v>779409</v>
          </cell>
          <cell r="O6220" t="str">
            <v>111</v>
          </cell>
          <cell r="P6220" t="str">
            <v>111779409</v>
          </cell>
          <cell r="Q6220" t="str">
            <v/>
          </cell>
        </row>
        <row r="6221">
          <cell r="N6221" t="str">
            <v>77941</v>
          </cell>
          <cell r="O6221" t="str">
            <v/>
          </cell>
          <cell r="P6221" t="str">
            <v/>
          </cell>
          <cell r="Q6221" t="str">
            <v/>
          </cell>
        </row>
        <row r="6222">
          <cell r="N6222" t="str">
            <v>77941</v>
          </cell>
          <cell r="O6222" t="str">
            <v>1ME</v>
          </cell>
          <cell r="P6222" t="str">
            <v>1ME77941</v>
          </cell>
          <cell r="Q6222" t="str">
            <v/>
          </cell>
        </row>
        <row r="6223">
          <cell r="N6223" t="str">
            <v>77941</v>
          </cell>
          <cell r="O6223" t="str">
            <v>111</v>
          </cell>
          <cell r="P6223" t="str">
            <v>11177941</v>
          </cell>
          <cell r="Q6223" t="str">
            <v/>
          </cell>
        </row>
        <row r="6224">
          <cell r="N6224" t="str">
            <v>77942</v>
          </cell>
          <cell r="O6224" t="str">
            <v/>
          </cell>
          <cell r="P6224" t="str">
            <v/>
          </cell>
          <cell r="Q6224" t="str">
            <v/>
          </cell>
        </row>
        <row r="6225">
          <cell r="N6225" t="str">
            <v>77942</v>
          </cell>
          <cell r="O6225" t="str">
            <v>1ME</v>
          </cell>
          <cell r="P6225" t="str">
            <v>1ME77942</v>
          </cell>
          <cell r="Q6225" t="str">
            <v/>
          </cell>
        </row>
        <row r="6226">
          <cell r="N6226" t="str">
            <v>77944</v>
          </cell>
          <cell r="O6226" t="str">
            <v/>
          </cell>
          <cell r="P6226" t="str">
            <v/>
          </cell>
          <cell r="Q6226" t="str">
            <v/>
          </cell>
        </row>
        <row r="6227">
          <cell r="N6227" t="str">
            <v>77944</v>
          </cell>
          <cell r="O6227" t="str">
            <v>T30</v>
          </cell>
          <cell r="P6227" t="str">
            <v>T3077944</v>
          </cell>
          <cell r="Q6227" t="str">
            <v/>
          </cell>
        </row>
        <row r="6228">
          <cell r="N6228" t="str">
            <v>77944</v>
          </cell>
          <cell r="O6228" t="str">
            <v>1ME</v>
          </cell>
          <cell r="P6228" t="str">
            <v>1ME77944</v>
          </cell>
          <cell r="Q6228" t="str">
            <v/>
          </cell>
        </row>
        <row r="6229">
          <cell r="N6229" t="str">
            <v>77944</v>
          </cell>
          <cell r="O6229" t="str">
            <v>111</v>
          </cell>
          <cell r="P6229" t="str">
            <v>11177944</v>
          </cell>
          <cell r="Q6229" t="str">
            <v/>
          </cell>
        </row>
        <row r="6230">
          <cell r="N6230" t="str">
            <v>7795</v>
          </cell>
          <cell r="O6230" t="str">
            <v/>
          </cell>
          <cell r="P6230" t="str">
            <v/>
          </cell>
          <cell r="Q6230" t="str">
            <v/>
          </cell>
        </row>
        <row r="6231">
          <cell r="N6231" t="str">
            <v>7795</v>
          </cell>
          <cell r="O6231" t="str">
            <v>ONL</v>
          </cell>
          <cell r="P6231" t="str">
            <v>ONL7795</v>
          </cell>
          <cell r="Q6231" t="str">
            <v/>
          </cell>
        </row>
        <row r="6232">
          <cell r="N6232" t="str">
            <v>779501</v>
          </cell>
          <cell r="O6232" t="str">
            <v/>
          </cell>
          <cell r="P6232" t="str">
            <v/>
          </cell>
          <cell r="Q6232" t="str">
            <v>4161599</v>
          </cell>
        </row>
        <row r="6233">
          <cell r="N6233" t="str">
            <v>779501</v>
          </cell>
          <cell r="O6233" t="str">
            <v>1ME</v>
          </cell>
          <cell r="P6233" t="str">
            <v>1ME779501</v>
          </cell>
          <cell r="Q6233" t="str">
            <v>4161599</v>
          </cell>
        </row>
        <row r="6234">
          <cell r="N6234" t="str">
            <v>77953</v>
          </cell>
          <cell r="O6234" t="str">
            <v/>
          </cell>
          <cell r="P6234" t="str">
            <v/>
          </cell>
          <cell r="Q6234" t="str">
            <v>4161599</v>
          </cell>
        </row>
        <row r="6235">
          <cell r="N6235" t="str">
            <v>77953</v>
          </cell>
          <cell r="O6235" t="str">
            <v>CMK</v>
          </cell>
          <cell r="P6235" t="str">
            <v>CMK77953</v>
          </cell>
          <cell r="Q6235" t="str">
            <v>4161599</v>
          </cell>
        </row>
        <row r="6236">
          <cell r="N6236" t="str">
            <v>77960</v>
          </cell>
          <cell r="O6236" t="str">
            <v/>
          </cell>
          <cell r="P6236" t="str">
            <v/>
          </cell>
          <cell r="Q6236" t="str">
            <v>41499</v>
          </cell>
        </row>
        <row r="6237">
          <cell r="N6237" t="str">
            <v>77960</v>
          </cell>
          <cell r="O6237" t="str">
            <v>DCQ</v>
          </cell>
          <cell r="P6237" t="str">
            <v>DCQ77960</v>
          </cell>
          <cell r="Q6237" t="str">
            <v>41499</v>
          </cell>
        </row>
        <row r="6238">
          <cell r="N6238" t="str">
            <v>77960</v>
          </cell>
          <cell r="O6238" t="str">
            <v>LCH</v>
          </cell>
          <cell r="P6238" t="str">
            <v>LCH77960</v>
          </cell>
          <cell r="Q6238" t="str">
            <v>41499</v>
          </cell>
        </row>
        <row r="6239">
          <cell r="N6239" t="str">
            <v>77960</v>
          </cell>
          <cell r="O6239" t="str">
            <v>T30</v>
          </cell>
          <cell r="P6239" t="str">
            <v>T3077960</v>
          </cell>
          <cell r="Q6239" t="str">
            <v>41499</v>
          </cell>
        </row>
        <row r="6240">
          <cell r="N6240" t="str">
            <v>77960</v>
          </cell>
          <cell r="O6240" t="str">
            <v>1ME</v>
          </cell>
          <cell r="P6240" t="str">
            <v>1ME77960</v>
          </cell>
          <cell r="Q6240" t="str">
            <v>41499</v>
          </cell>
        </row>
        <row r="6241">
          <cell r="N6241" t="str">
            <v>77960</v>
          </cell>
          <cell r="O6241" t="str">
            <v>312</v>
          </cell>
          <cell r="P6241" t="str">
            <v>31277960</v>
          </cell>
          <cell r="Q6241" t="str">
            <v>41499</v>
          </cell>
        </row>
        <row r="6242">
          <cell r="N6242" t="str">
            <v>77961</v>
          </cell>
          <cell r="O6242" t="str">
            <v/>
          </cell>
          <cell r="P6242" t="str">
            <v/>
          </cell>
          <cell r="Q6242" t="str">
            <v>41499</v>
          </cell>
        </row>
        <row r="6243">
          <cell r="N6243" t="str">
            <v>77961</v>
          </cell>
          <cell r="O6243" t="str">
            <v>HCH</v>
          </cell>
          <cell r="P6243" t="str">
            <v>HCH77961</v>
          </cell>
          <cell r="Q6243" t="str">
            <v>41499</v>
          </cell>
        </row>
        <row r="6244">
          <cell r="N6244" t="str">
            <v>77961</v>
          </cell>
          <cell r="O6244" t="str">
            <v>1ME</v>
          </cell>
          <cell r="P6244" t="str">
            <v>1ME77961</v>
          </cell>
          <cell r="Q6244" t="str">
            <v>41499</v>
          </cell>
        </row>
        <row r="6245">
          <cell r="N6245" t="str">
            <v>77962</v>
          </cell>
          <cell r="O6245" t="str">
            <v/>
          </cell>
          <cell r="P6245" t="str">
            <v/>
          </cell>
          <cell r="Q6245" t="str">
            <v>41499</v>
          </cell>
        </row>
        <row r="6246">
          <cell r="N6246" t="str">
            <v>77962</v>
          </cell>
          <cell r="O6246" t="str">
            <v>ONL</v>
          </cell>
          <cell r="P6246" t="str">
            <v>ONL77962</v>
          </cell>
          <cell r="Q6246" t="str">
            <v>41499</v>
          </cell>
        </row>
        <row r="6247">
          <cell r="N6247" t="str">
            <v>77962</v>
          </cell>
          <cell r="O6247" t="str">
            <v>1ME</v>
          </cell>
          <cell r="P6247" t="str">
            <v>1ME77962</v>
          </cell>
          <cell r="Q6247" t="str">
            <v>41499</v>
          </cell>
        </row>
        <row r="6248">
          <cell r="N6248" t="str">
            <v>779631</v>
          </cell>
          <cell r="O6248" t="str">
            <v/>
          </cell>
          <cell r="P6248" t="str">
            <v/>
          </cell>
          <cell r="Q6248" t="str">
            <v>41499</v>
          </cell>
        </row>
        <row r="6249">
          <cell r="N6249" t="str">
            <v>779631</v>
          </cell>
          <cell r="O6249" t="str">
            <v>ONL</v>
          </cell>
          <cell r="P6249" t="str">
            <v>ONL779631</v>
          </cell>
          <cell r="Q6249" t="str">
            <v>41499</v>
          </cell>
        </row>
        <row r="6250">
          <cell r="N6250" t="str">
            <v>779631</v>
          </cell>
          <cell r="O6250" t="str">
            <v>1ME</v>
          </cell>
          <cell r="P6250" t="str">
            <v>1ME779631</v>
          </cell>
          <cell r="Q6250" t="str">
            <v>41499</v>
          </cell>
        </row>
        <row r="6251">
          <cell r="N6251" t="str">
            <v>779631</v>
          </cell>
          <cell r="O6251" t="str">
            <v>374</v>
          </cell>
          <cell r="P6251" t="str">
            <v>374779631</v>
          </cell>
          <cell r="Q6251" t="str">
            <v>41499</v>
          </cell>
        </row>
        <row r="6252">
          <cell r="N6252" t="str">
            <v>779631</v>
          </cell>
          <cell r="O6252" t="str">
            <v>376</v>
          </cell>
          <cell r="P6252" t="str">
            <v>376779631</v>
          </cell>
          <cell r="Q6252" t="str">
            <v>41499</v>
          </cell>
        </row>
        <row r="6253">
          <cell r="N6253" t="str">
            <v>779631</v>
          </cell>
          <cell r="O6253" t="str">
            <v>379</v>
          </cell>
          <cell r="P6253" t="str">
            <v>379779631</v>
          </cell>
          <cell r="Q6253" t="str">
            <v>41499</v>
          </cell>
        </row>
        <row r="6254">
          <cell r="N6254" t="str">
            <v>779631</v>
          </cell>
          <cell r="O6254" t="str">
            <v>390</v>
          </cell>
          <cell r="P6254" t="str">
            <v>390779631</v>
          </cell>
          <cell r="Q6254" t="str">
            <v>41499</v>
          </cell>
        </row>
        <row r="6255">
          <cell r="N6255" t="str">
            <v>77965</v>
          </cell>
          <cell r="O6255" t="str">
            <v/>
          </cell>
          <cell r="P6255" t="str">
            <v/>
          </cell>
          <cell r="Q6255" t="str">
            <v>41499</v>
          </cell>
        </row>
        <row r="6256">
          <cell r="N6256" t="str">
            <v>77965</v>
          </cell>
          <cell r="O6256" t="str">
            <v>GDS</v>
          </cell>
          <cell r="P6256" t="str">
            <v>GDS77965</v>
          </cell>
          <cell r="Q6256" t="str">
            <v>41499</v>
          </cell>
        </row>
        <row r="6257">
          <cell r="N6257" t="str">
            <v>7799</v>
          </cell>
          <cell r="O6257" t="str">
            <v/>
          </cell>
          <cell r="P6257" t="str">
            <v/>
          </cell>
          <cell r="Q6257" t="str">
            <v/>
          </cell>
        </row>
        <row r="6258">
          <cell r="N6258" t="str">
            <v>7799</v>
          </cell>
          <cell r="O6258" t="str">
            <v>CLA</v>
          </cell>
          <cell r="P6258" t="str">
            <v>CLA7799</v>
          </cell>
          <cell r="Q6258" t="str">
            <v/>
          </cell>
        </row>
        <row r="6259">
          <cell r="N6259" t="str">
            <v>7799</v>
          </cell>
          <cell r="O6259" t="str">
            <v>RCU</v>
          </cell>
          <cell r="P6259" t="str">
            <v>RCU7799</v>
          </cell>
          <cell r="Q6259" t="str">
            <v/>
          </cell>
        </row>
        <row r="6260">
          <cell r="N6260" t="str">
            <v>7799</v>
          </cell>
          <cell r="O6260" t="str">
            <v>T30</v>
          </cell>
          <cell r="P6260" t="str">
            <v>T307799</v>
          </cell>
          <cell r="Q6260" t="str">
            <v/>
          </cell>
        </row>
        <row r="6261">
          <cell r="N6261" t="str">
            <v>7799</v>
          </cell>
          <cell r="O6261" t="str">
            <v>UNP</v>
          </cell>
          <cell r="P6261" t="str">
            <v>UNP7799</v>
          </cell>
          <cell r="Q6261" t="str">
            <v/>
          </cell>
        </row>
        <row r="6262">
          <cell r="N6262" t="str">
            <v>7799</v>
          </cell>
          <cell r="O6262" t="str">
            <v>VCW</v>
          </cell>
          <cell r="P6262" t="str">
            <v>VCW7799</v>
          </cell>
          <cell r="Q6262" t="str">
            <v/>
          </cell>
        </row>
        <row r="6263">
          <cell r="N6263" t="str">
            <v>7799</v>
          </cell>
          <cell r="O6263" t="str">
            <v>1ME</v>
          </cell>
          <cell r="P6263" t="str">
            <v>1ME7799</v>
          </cell>
          <cell r="Q6263" t="str">
            <v/>
          </cell>
        </row>
        <row r="6264">
          <cell r="N6264" t="str">
            <v>7799</v>
          </cell>
          <cell r="O6264" t="str">
            <v>233</v>
          </cell>
          <cell r="P6264" t="str">
            <v>2337799</v>
          </cell>
          <cell r="Q6264" t="str">
            <v/>
          </cell>
        </row>
        <row r="6265">
          <cell r="N6265" t="str">
            <v>7799</v>
          </cell>
          <cell r="O6265" t="str">
            <v>265</v>
          </cell>
          <cell r="P6265" t="str">
            <v>2657799</v>
          </cell>
          <cell r="Q6265" t="str">
            <v/>
          </cell>
        </row>
        <row r="6266">
          <cell r="N6266" t="str">
            <v>7799</v>
          </cell>
          <cell r="O6266" t="str">
            <v>393</v>
          </cell>
          <cell r="P6266" t="str">
            <v>3937799</v>
          </cell>
          <cell r="Q6266" t="str">
            <v/>
          </cell>
        </row>
        <row r="6267">
          <cell r="N6267" t="str">
            <v>7799</v>
          </cell>
          <cell r="O6267" t="str">
            <v>878</v>
          </cell>
          <cell r="P6267" t="str">
            <v>8787799</v>
          </cell>
          <cell r="Q6267" t="str">
            <v/>
          </cell>
        </row>
        <row r="6268">
          <cell r="N6268" t="str">
            <v>799</v>
          </cell>
          <cell r="O6268" t="str">
            <v/>
          </cell>
          <cell r="P6268" t="str">
            <v/>
          </cell>
          <cell r="Q6268" t="str">
            <v/>
          </cell>
        </row>
        <row r="6269">
          <cell r="N6269" t="str">
            <v>799</v>
          </cell>
          <cell r="O6269" t="str">
            <v>OE7</v>
          </cell>
          <cell r="P6269" t="str">
            <v>OE7799</v>
          </cell>
          <cell r="Q6269" t="str">
            <v/>
          </cell>
        </row>
        <row r="6270">
          <cell r="N6270" t="str">
            <v>82000</v>
          </cell>
          <cell r="O6270" t="str">
            <v/>
          </cell>
          <cell r="P6270" t="str">
            <v/>
          </cell>
          <cell r="Q6270" t="str">
            <v>5100</v>
          </cell>
        </row>
        <row r="6271">
          <cell r="N6271" t="str">
            <v>82000</v>
          </cell>
          <cell r="O6271" t="str">
            <v>C00</v>
          </cell>
          <cell r="P6271" t="str">
            <v>C0082000</v>
          </cell>
          <cell r="Q6271" t="str">
            <v>5100</v>
          </cell>
        </row>
        <row r="6272">
          <cell r="N6272" t="str">
            <v>82000</v>
          </cell>
          <cell r="O6272" t="str">
            <v>TIT</v>
          </cell>
          <cell r="P6272" t="str">
            <v>TIT82000</v>
          </cell>
          <cell r="Q6272" t="str">
            <v>5100</v>
          </cell>
        </row>
        <row r="6273">
          <cell r="N6273" t="str">
            <v>82000</v>
          </cell>
          <cell r="O6273" t="str">
            <v>T30</v>
          </cell>
          <cell r="P6273" t="str">
            <v>T3082000</v>
          </cell>
          <cell r="Q6273" t="str">
            <v>5100</v>
          </cell>
        </row>
        <row r="6274">
          <cell r="N6274" t="str">
            <v>82000</v>
          </cell>
          <cell r="O6274" t="str">
            <v>1ME</v>
          </cell>
          <cell r="P6274" t="str">
            <v>1ME82000</v>
          </cell>
          <cell r="Q6274" t="str">
            <v>5100</v>
          </cell>
        </row>
        <row r="6275">
          <cell r="N6275" t="str">
            <v>82000</v>
          </cell>
          <cell r="O6275" t="str">
            <v>996</v>
          </cell>
          <cell r="P6275" t="str">
            <v>99682000</v>
          </cell>
          <cell r="Q6275" t="str">
            <v>5100</v>
          </cell>
        </row>
        <row r="6276">
          <cell r="N6276" t="str">
            <v>82001</v>
          </cell>
          <cell r="O6276" t="str">
            <v/>
          </cell>
          <cell r="P6276" t="str">
            <v/>
          </cell>
          <cell r="Q6276" t="str">
            <v>51090</v>
          </cell>
        </row>
        <row r="6277">
          <cell r="N6277" t="str">
            <v>82001</v>
          </cell>
          <cell r="O6277" t="str">
            <v>T30</v>
          </cell>
          <cell r="P6277" t="str">
            <v>T3082001</v>
          </cell>
          <cell r="Q6277" t="str">
            <v>51090</v>
          </cell>
        </row>
        <row r="6278">
          <cell r="N6278" t="str">
            <v>82001</v>
          </cell>
          <cell r="O6278" t="str">
            <v>1ME</v>
          </cell>
          <cell r="P6278" t="str">
            <v>1ME82001</v>
          </cell>
          <cell r="Q6278" t="str">
            <v>51090</v>
          </cell>
        </row>
        <row r="6279">
          <cell r="N6279" t="str">
            <v>82040</v>
          </cell>
          <cell r="O6279" t="str">
            <v/>
          </cell>
          <cell r="P6279" t="str">
            <v/>
          </cell>
          <cell r="Q6279" t="str">
            <v>51091</v>
          </cell>
        </row>
        <row r="6280">
          <cell r="N6280" t="str">
            <v>82040</v>
          </cell>
          <cell r="O6280" t="str">
            <v>CDE</v>
          </cell>
          <cell r="P6280" t="str">
            <v>CDE82040</v>
          </cell>
          <cell r="Q6280" t="str">
            <v>51091</v>
          </cell>
        </row>
        <row r="6281">
          <cell r="N6281" t="str">
            <v>82040</v>
          </cell>
          <cell r="O6281" t="str">
            <v>MTP</v>
          </cell>
          <cell r="P6281" t="str">
            <v>MTP82040</v>
          </cell>
          <cell r="Q6281" t="str">
            <v>51091</v>
          </cell>
        </row>
        <row r="6282">
          <cell r="N6282" t="str">
            <v>82040</v>
          </cell>
          <cell r="O6282" t="str">
            <v>T30</v>
          </cell>
          <cell r="P6282" t="str">
            <v>T3082040</v>
          </cell>
          <cell r="Q6282" t="str">
            <v>51091</v>
          </cell>
        </row>
        <row r="6283">
          <cell r="N6283" t="str">
            <v>82040</v>
          </cell>
          <cell r="O6283" t="str">
            <v>1ME</v>
          </cell>
          <cell r="P6283" t="str">
            <v>1ME82040</v>
          </cell>
          <cell r="Q6283" t="str">
            <v>51091</v>
          </cell>
        </row>
        <row r="6284">
          <cell r="N6284" t="str">
            <v>82041</v>
          </cell>
          <cell r="O6284" t="str">
            <v/>
          </cell>
          <cell r="P6284" t="str">
            <v/>
          </cell>
          <cell r="Q6284" t="str">
            <v>51091</v>
          </cell>
        </row>
        <row r="6285">
          <cell r="N6285" t="str">
            <v>82041</v>
          </cell>
          <cell r="O6285" t="str">
            <v>CDE</v>
          </cell>
          <cell r="P6285" t="str">
            <v>CDE82041</v>
          </cell>
          <cell r="Q6285" t="str">
            <v>51091</v>
          </cell>
        </row>
        <row r="6286">
          <cell r="N6286" t="str">
            <v>82041</v>
          </cell>
          <cell r="O6286" t="str">
            <v>T30</v>
          </cell>
          <cell r="P6286" t="str">
            <v>T3082041</v>
          </cell>
          <cell r="Q6286" t="str">
            <v>51091</v>
          </cell>
        </row>
        <row r="6287">
          <cell r="N6287" t="str">
            <v>82041</v>
          </cell>
          <cell r="O6287" t="str">
            <v>1ME</v>
          </cell>
          <cell r="P6287" t="str">
            <v>1ME82041</v>
          </cell>
          <cell r="Q6287" t="str">
            <v>51091</v>
          </cell>
        </row>
        <row r="6288">
          <cell r="N6288" t="str">
            <v>82041</v>
          </cell>
          <cell r="O6288" t="str">
            <v>111</v>
          </cell>
          <cell r="P6288" t="str">
            <v>11182041</v>
          </cell>
          <cell r="Q6288" t="str">
            <v>51091</v>
          </cell>
        </row>
        <row r="6289">
          <cell r="N6289" t="str">
            <v>8205</v>
          </cell>
          <cell r="O6289" t="str">
            <v/>
          </cell>
          <cell r="P6289" t="str">
            <v/>
          </cell>
          <cell r="Q6289" t="str">
            <v>510990</v>
          </cell>
        </row>
        <row r="6290">
          <cell r="N6290" t="str">
            <v>8205</v>
          </cell>
          <cell r="O6290" t="str">
            <v>1ME</v>
          </cell>
          <cell r="P6290" t="str">
            <v>1ME8205</v>
          </cell>
          <cell r="Q6290" t="str">
            <v>510990</v>
          </cell>
        </row>
        <row r="6291">
          <cell r="N6291" t="str">
            <v>8205</v>
          </cell>
          <cell r="O6291" t="str">
            <v>280</v>
          </cell>
          <cell r="P6291" t="str">
            <v>2808205</v>
          </cell>
          <cell r="Q6291" t="str">
            <v>510990</v>
          </cell>
        </row>
        <row r="6292">
          <cell r="N6292" t="str">
            <v>8205</v>
          </cell>
          <cell r="O6292" t="str">
            <v>996</v>
          </cell>
          <cell r="P6292" t="str">
            <v>9968205</v>
          </cell>
          <cell r="Q6292" t="str">
            <v>510990</v>
          </cell>
        </row>
        <row r="6293">
          <cell r="N6293" t="str">
            <v>82203</v>
          </cell>
          <cell r="O6293" t="str">
            <v/>
          </cell>
          <cell r="P6293" t="str">
            <v/>
          </cell>
          <cell r="Q6293" t="str">
            <v>512000</v>
          </cell>
        </row>
        <row r="6294">
          <cell r="N6294" t="str">
            <v>82203</v>
          </cell>
          <cell r="O6294" t="str">
            <v>TRP</v>
          </cell>
          <cell r="P6294" t="str">
            <v>TRP82203</v>
          </cell>
          <cell r="Q6294" t="str">
            <v>512000</v>
          </cell>
        </row>
        <row r="6295">
          <cell r="N6295" t="str">
            <v>822030</v>
          </cell>
          <cell r="O6295" t="str">
            <v/>
          </cell>
          <cell r="P6295" t="str">
            <v/>
          </cell>
          <cell r="Q6295" t="str">
            <v/>
          </cell>
        </row>
        <row r="6296">
          <cell r="N6296" t="str">
            <v>822030</v>
          </cell>
          <cell r="O6296" t="str">
            <v>TRP</v>
          </cell>
          <cell r="P6296" t="str">
            <v>TRP822030</v>
          </cell>
          <cell r="Q6296" t="str">
            <v/>
          </cell>
        </row>
        <row r="6297">
          <cell r="N6297" t="str">
            <v>8220300</v>
          </cell>
          <cell r="O6297" t="str">
            <v/>
          </cell>
          <cell r="P6297" t="str">
            <v/>
          </cell>
          <cell r="Q6297" t="str">
            <v/>
          </cell>
        </row>
        <row r="6298">
          <cell r="N6298" t="str">
            <v>8220300</v>
          </cell>
          <cell r="O6298" t="str">
            <v>ONL</v>
          </cell>
          <cell r="P6298" t="str">
            <v>ONL8220300</v>
          </cell>
          <cell r="Q6298" t="str">
            <v/>
          </cell>
        </row>
        <row r="6299">
          <cell r="N6299" t="str">
            <v>8220300</v>
          </cell>
          <cell r="O6299" t="str">
            <v>TRP</v>
          </cell>
          <cell r="P6299" t="str">
            <v>TRP8220300</v>
          </cell>
          <cell r="Q6299" t="str">
            <v/>
          </cell>
        </row>
        <row r="6300">
          <cell r="N6300" t="str">
            <v>8220300</v>
          </cell>
          <cell r="O6300" t="str">
            <v>1ME</v>
          </cell>
          <cell r="P6300" t="str">
            <v>1ME8220300</v>
          </cell>
          <cell r="Q6300" t="str">
            <v/>
          </cell>
        </row>
        <row r="6301">
          <cell r="N6301" t="str">
            <v>8220300</v>
          </cell>
          <cell r="O6301" t="str">
            <v>996</v>
          </cell>
          <cell r="P6301" t="str">
            <v>9968220300</v>
          </cell>
          <cell r="Q6301" t="str">
            <v/>
          </cell>
        </row>
        <row r="6302">
          <cell r="N6302" t="str">
            <v>8220301</v>
          </cell>
          <cell r="O6302" t="str">
            <v/>
          </cell>
          <cell r="P6302" t="str">
            <v/>
          </cell>
          <cell r="Q6302" t="str">
            <v/>
          </cell>
        </row>
        <row r="6303">
          <cell r="N6303" t="str">
            <v>8220301</v>
          </cell>
          <cell r="O6303" t="str">
            <v>704</v>
          </cell>
          <cell r="P6303" t="str">
            <v>7048220301</v>
          </cell>
          <cell r="Q6303" t="str">
            <v/>
          </cell>
        </row>
        <row r="6304">
          <cell r="N6304" t="str">
            <v>8220311</v>
          </cell>
          <cell r="O6304" t="str">
            <v/>
          </cell>
          <cell r="P6304" t="str">
            <v/>
          </cell>
          <cell r="Q6304" t="str">
            <v/>
          </cell>
        </row>
        <row r="6305">
          <cell r="N6305" t="str">
            <v>8220311</v>
          </cell>
          <cell r="O6305" t="str">
            <v>ONL</v>
          </cell>
          <cell r="P6305" t="str">
            <v>ONL8220311</v>
          </cell>
          <cell r="Q6305" t="str">
            <v/>
          </cell>
        </row>
        <row r="6306">
          <cell r="N6306" t="str">
            <v>8220311</v>
          </cell>
          <cell r="O6306" t="str">
            <v>1ME</v>
          </cell>
          <cell r="P6306" t="str">
            <v>1ME8220311</v>
          </cell>
          <cell r="Q6306" t="str">
            <v/>
          </cell>
        </row>
        <row r="6307">
          <cell r="N6307" t="str">
            <v>8220311</v>
          </cell>
          <cell r="O6307" t="str">
            <v>996</v>
          </cell>
          <cell r="P6307" t="str">
            <v>9968220311</v>
          </cell>
          <cell r="Q6307" t="str">
            <v/>
          </cell>
        </row>
        <row r="6308">
          <cell r="N6308" t="str">
            <v>82209</v>
          </cell>
          <cell r="O6308" t="str">
            <v/>
          </cell>
          <cell r="P6308" t="str">
            <v/>
          </cell>
          <cell r="Q6308" t="str">
            <v>512009</v>
          </cell>
        </row>
        <row r="6309">
          <cell r="N6309" t="str">
            <v>82209</v>
          </cell>
          <cell r="O6309" t="str">
            <v>T30</v>
          </cell>
          <cell r="P6309" t="str">
            <v>T3082209</v>
          </cell>
          <cell r="Q6309" t="str">
            <v>512009</v>
          </cell>
        </row>
        <row r="6310">
          <cell r="N6310" t="str">
            <v>82500</v>
          </cell>
          <cell r="O6310" t="str">
            <v/>
          </cell>
          <cell r="P6310" t="str">
            <v/>
          </cell>
          <cell r="Q6310" t="str">
            <v/>
          </cell>
        </row>
        <row r="6311">
          <cell r="N6311" t="str">
            <v>82500</v>
          </cell>
          <cell r="O6311" t="str">
            <v>T30</v>
          </cell>
          <cell r="P6311" t="str">
            <v>T3082500</v>
          </cell>
          <cell r="Q6311" t="str">
            <v/>
          </cell>
        </row>
        <row r="6312">
          <cell r="N6312" t="str">
            <v>82500</v>
          </cell>
          <cell r="O6312" t="str">
            <v>1ME</v>
          </cell>
          <cell r="P6312" t="str">
            <v>1ME82500</v>
          </cell>
          <cell r="Q6312" t="str">
            <v/>
          </cell>
        </row>
        <row r="6313">
          <cell r="N6313" t="str">
            <v>82501</v>
          </cell>
          <cell r="O6313" t="str">
            <v/>
          </cell>
          <cell r="P6313" t="str">
            <v/>
          </cell>
          <cell r="Q6313" t="str">
            <v>51509</v>
          </cell>
        </row>
        <row r="6314">
          <cell r="N6314" t="str">
            <v>82501</v>
          </cell>
          <cell r="O6314" t="str">
            <v>T30</v>
          </cell>
          <cell r="P6314" t="str">
            <v>T3082501</v>
          </cell>
          <cell r="Q6314" t="str">
            <v>51509</v>
          </cell>
        </row>
        <row r="6315">
          <cell r="N6315" t="str">
            <v>82501</v>
          </cell>
          <cell r="O6315" t="str">
            <v>1ME</v>
          </cell>
          <cell r="P6315" t="str">
            <v>1ME82501</v>
          </cell>
          <cell r="Q6315" t="str">
            <v>51509</v>
          </cell>
        </row>
        <row r="6316">
          <cell r="N6316" t="str">
            <v>82501</v>
          </cell>
          <cell r="O6316" t="str">
            <v>111</v>
          </cell>
          <cell r="P6316" t="str">
            <v>11182501</v>
          </cell>
          <cell r="Q6316" t="str">
            <v>51509</v>
          </cell>
        </row>
        <row r="6317">
          <cell r="N6317" t="str">
            <v>82509</v>
          </cell>
          <cell r="O6317" t="str">
            <v/>
          </cell>
          <cell r="P6317" t="str">
            <v/>
          </cell>
          <cell r="Q6317" t="str">
            <v>51509</v>
          </cell>
        </row>
        <row r="6318">
          <cell r="N6318" t="str">
            <v>82509</v>
          </cell>
          <cell r="O6318" t="str">
            <v>ONL</v>
          </cell>
          <cell r="P6318" t="str">
            <v>ONL82509</v>
          </cell>
          <cell r="Q6318" t="str">
            <v>51509</v>
          </cell>
        </row>
        <row r="6319">
          <cell r="N6319" t="str">
            <v>82509</v>
          </cell>
          <cell r="O6319" t="str">
            <v>1ME</v>
          </cell>
          <cell r="P6319" t="str">
            <v>1ME82509</v>
          </cell>
          <cell r="Q6319" t="str">
            <v>51509</v>
          </cell>
        </row>
        <row r="6320">
          <cell r="N6320" t="str">
            <v>825100</v>
          </cell>
          <cell r="O6320" t="str">
            <v/>
          </cell>
          <cell r="P6320" t="str">
            <v/>
          </cell>
          <cell r="Q6320" t="str">
            <v/>
          </cell>
        </row>
        <row r="6321">
          <cell r="N6321" t="str">
            <v>825100</v>
          </cell>
          <cell r="O6321" t="str">
            <v>T30</v>
          </cell>
          <cell r="P6321" t="str">
            <v>T30825100</v>
          </cell>
          <cell r="Q6321" t="str">
            <v/>
          </cell>
        </row>
        <row r="6322">
          <cell r="N6322" t="str">
            <v>825100</v>
          </cell>
          <cell r="O6322" t="str">
            <v>1ME</v>
          </cell>
          <cell r="P6322" t="str">
            <v>1ME825100</v>
          </cell>
          <cell r="Q6322" t="str">
            <v/>
          </cell>
        </row>
        <row r="6323">
          <cell r="N6323" t="str">
            <v>825101</v>
          </cell>
          <cell r="O6323" t="str">
            <v/>
          </cell>
          <cell r="P6323" t="str">
            <v/>
          </cell>
          <cell r="Q6323" t="str">
            <v>51510</v>
          </cell>
        </row>
        <row r="6324">
          <cell r="N6324" t="str">
            <v>825101</v>
          </cell>
          <cell r="O6324" t="str">
            <v>EF4</v>
          </cell>
          <cell r="P6324" t="str">
            <v>EF4825101</v>
          </cell>
          <cell r="Q6324" t="str">
            <v>51510</v>
          </cell>
        </row>
        <row r="6325">
          <cell r="N6325" t="str">
            <v>825109</v>
          </cell>
          <cell r="O6325" t="str">
            <v/>
          </cell>
          <cell r="P6325" t="str">
            <v/>
          </cell>
          <cell r="Q6325" t="str">
            <v/>
          </cell>
        </row>
        <row r="6326">
          <cell r="N6326" t="str">
            <v>825109</v>
          </cell>
          <cell r="O6326" t="str">
            <v>ONL</v>
          </cell>
          <cell r="P6326" t="str">
            <v>ONL825109</v>
          </cell>
          <cell r="Q6326" t="str">
            <v/>
          </cell>
        </row>
        <row r="6327">
          <cell r="N6327" t="str">
            <v>825109</v>
          </cell>
          <cell r="O6327" t="str">
            <v>T30</v>
          </cell>
          <cell r="P6327" t="str">
            <v>T30825109</v>
          </cell>
          <cell r="Q6327" t="str">
            <v/>
          </cell>
        </row>
        <row r="6328">
          <cell r="N6328" t="str">
            <v>825110</v>
          </cell>
          <cell r="O6328" t="str">
            <v/>
          </cell>
          <cell r="P6328" t="str">
            <v/>
          </cell>
          <cell r="Q6328" t="str">
            <v>51511</v>
          </cell>
        </row>
        <row r="6329">
          <cell r="N6329" t="str">
            <v>825110</v>
          </cell>
          <cell r="O6329" t="str">
            <v>T30</v>
          </cell>
          <cell r="P6329" t="str">
            <v>T30825110</v>
          </cell>
          <cell r="Q6329" t="str">
            <v>51511</v>
          </cell>
        </row>
        <row r="6330">
          <cell r="N6330" t="str">
            <v>825110</v>
          </cell>
          <cell r="O6330" t="str">
            <v>076</v>
          </cell>
          <cell r="P6330" t="str">
            <v>076825110</v>
          </cell>
          <cell r="Q6330" t="str">
            <v>51511</v>
          </cell>
        </row>
        <row r="6331">
          <cell r="N6331" t="str">
            <v>825110</v>
          </cell>
          <cell r="O6331" t="str">
            <v>1ME</v>
          </cell>
          <cell r="P6331" t="str">
            <v>1ME825110</v>
          </cell>
          <cell r="Q6331" t="str">
            <v>51511</v>
          </cell>
        </row>
        <row r="6332">
          <cell r="N6332" t="str">
            <v>825112</v>
          </cell>
          <cell r="O6332" t="str">
            <v/>
          </cell>
          <cell r="P6332" t="str">
            <v/>
          </cell>
          <cell r="Q6332" t="str">
            <v>51511</v>
          </cell>
        </row>
        <row r="6333">
          <cell r="N6333" t="str">
            <v>825112</v>
          </cell>
          <cell r="O6333" t="str">
            <v>1ME</v>
          </cell>
          <cell r="P6333" t="str">
            <v>1ME825112</v>
          </cell>
          <cell r="Q6333" t="str">
            <v>51511</v>
          </cell>
        </row>
        <row r="6334">
          <cell r="N6334" t="str">
            <v>825113</v>
          </cell>
          <cell r="O6334" t="str">
            <v/>
          </cell>
          <cell r="P6334" t="str">
            <v/>
          </cell>
          <cell r="Q6334" t="str">
            <v>51511</v>
          </cell>
        </row>
        <row r="6335">
          <cell r="N6335" t="str">
            <v>825113</v>
          </cell>
          <cell r="O6335" t="str">
            <v>076</v>
          </cell>
          <cell r="P6335" t="str">
            <v>076825113</v>
          </cell>
          <cell r="Q6335" t="str">
            <v>51511</v>
          </cell>
        </row>
        <row r="6336">
          <cell r="N6336" t="str">
            <v>825113</v>
          </cell>
          <cell r="O6336" t="str">
            <v>1ME</v>
          </cell>
          <cell r="P6336" t="str">
            <v>1ME825113</v>
          </cell>
          <cell r="Q6336" t="str">
            <v>51511</v>
          </cell>
        </row>
        <row r="6337">
          <cell r="N6337" t="str">
            <v>825113</v>
          </cell>
          <cell r="O6337" t="str">
            <v>301</v>
          </cell>
          <cell r="P6337" t="str">
            <v>301825113</v>
          </cell>
          <cell r="Q6337" t="str">
            <v>51511</v>
          </cell>
        </row>
        <row r="6338">
          <cell r="N6338" t="str">
            <v>825113</v>
          </cell>
          <cell r="O6338" t="str">
            <v>303</v>
          </cell>
          <cell r="P6338" t="str">
            <v>303825113</v>
          </cell>
          <cell r="Q6338" t="str">
            <v>51511</v>
          </cell>
        </row>
        <row r="6339">
          <cell r="N6339" t="str">
            <v>82512000</v>
          </cell>
          <cell r="O6339" t="str">
            <v/>
          </cell>
          <cell r="P6339" t="str">
            <v/>
          </cell>
          <cell r="Q6339" t="str">
            <v>5151200</v>
          </cell>
        </row>
        <row r="6340">
          <cell r="N6340" t="str">
            <v>82512000</v>
          </cell>
          <cell r="O6340" t="str">
            <v>ONL</v>
          </cell>
          <cell r="P6340" t="str">
            <v>ONL82512000</v>
          </cell>
          <cell r="Q6340" t="str">
            <v>5151200</v>
          </cell>
        </row>
        <row r="6341">
          <cell r="N6341" t="str">
            <v>82512000</v>
          </cell>
          <cell r="O6341" t="str">
            <v>T30</v>
          </cell>
          <cell r="P6341" t="str">
            <v>T3082512000</v>
          </cell>
          <cell r="Q6341" t="str">
            <v>5151200</v>
          </cell>
        </row>
        <row r="6342">
          <cell r="N6342" t="str">
            <v>82512000</v>
          </cell>
          <cell r="O6342" t="str">
            <v>1ME</v>
          </cell>
          <cell r="P6342" t="str">
            <v>1ME82512000</v>
          </cell>
          <cell r="Q6342" t="str">
            <v>5151200</v>
          </cell>
        </row>
        <row r="6343">
          <cell r="N6343" t="str">
            <v>82512001</v>
          </cell>
          <cell r="O6343" t="str">
            <v/>
          </cell>
          <cell r="P6343" t="str">
            <v/>
          </cell>
          <cell r="Q6343" t="str">
            <v>501530430</v>
          </cell>
        </row>
        <row r="6344">
          <cell r="N6344" t="str">
            <v>82512001</v>
          </cell>
          <cell r="O6344" t="str">
            <v>T30</v>
          </cell>
          <cell r="P6344" t="str">
            <v>T3082512001</v>
          </cell>
          <cell r="Q6344" t="str">
            <v>501530430</v>
          </cell>
        </row>
        <row r="6345">
          <cell r="N6345" t="str">
            <v>82512001</v>
          </cell>
          <cell r="O6345" t="str">
            <v>1ME</v>
          </cell>
          <cell r="P6345" t="str">
            <v>1ME82512001</v>
          </cell>
          <cell r="Q6345" t="str">
            <v>501530430</v>
          </cell>
        </row>
        <row r="6346">
          <cell r="N6346" t="str">
            <v>8251202</v>
          </cell>
          <cell r="O6346" t="str">
            <v/>
          </cell>
          <cell r="P6346" t="str">
            <v/>
          </cell>
          <cell r="Q6346" t="str">
            <v>5151202</v>
          </cell>
        </row>
        <row r="6347">
          <cell r="N6347" t="str">
            <v>8251202</v>
          </cell>
          <cell r="O6347" t="str">
            <v>T30</v>
          </cell>
          <cell r="P6347" t="str">
            <v>T308251202</v>
          </cell>
          <cell r="Q6347" t="str">
            <v>5151202</v>
          </cell>
        </row>
        <row r="6348">
          <cell r="N6348" t="str">
            <v>8251202</v>
          </cell>
          <cell r="O6348" t="str">
            <v>V16</v>
          </cell>
          <cell r="P6348" t="str">
            <v>V168251202</v>
          </cell>
          <cell r="Q6348" t="str">
            <v>5151202</v>
          </cell>
        </row>
        <row r="6349">
          <cell r="N6349" t="str">
            <v>8251202</v>
          </cell>
          <cell r="O6349" t="str">
            <v>1ME</v>
          </cell>
          <cell r="P6349" t="str">
            <v>1ME8251202</v>
          </cell>
          <cell r="Q6349" t="str">
            <v>5151202</v>
          </cell>
        </row>
        <row r="6350">
          <cell r="N6350" t="str">
            <v>8251203</v>
          </cell>
          <cell r="O6350" t="str">
            <v/>
          </cell>
          <cell r="P6350" t="str">
            <v/>
          </cell>
          <cell r="Q6350" t="str">
            <v>5151203</v>
          </cell>
        </row>
        <row r="6351">
          <cell r="N6351" t="str">
            <v>8251203</v>
          </cell>
          <cell r="O6351" t="str">
            <v>ICN</v>
          </cell>
          <cell r="P6351" t="str">
            <v>ICN8251203</v>
          </cell>
          <cell r="Q6351" t="str">
            <v>5151203</v>
          </cell>
        </row>
        <row r="6352">
          <cell r="N6352" t="str">
            <v>8251203</v>
          </cell>
          <cell r="O6352" t="str">
            <v>ISF</v>
          </cell>
          <cell r="P6352" t="str">
            <v>ISF8251203</v>
          </cell>
          <cell r="Q6352" t="str">
            <v>5151203</v>
          </cell>
        </row>
        <row r="6353">
          <cell r="N6353" t="str">
            <v>8251203</v>
          </cell>
          <cell r="O6353" t="str">
            <v>ISJ</v>
          </cell>
          <cell r="P6353" t="str">
            <v>ISJ8251203</v>
          </cell>
          <cell r="Q6353" t="str">
            <v>5151203</v>
          </cell>
        </row>
        <row r="6354">
          <cell r="N6354" t="str">
            <v>8251203</v>
          </cell>
          <cell r="O6354" t="str">
            <v>IUP</v>
          </cell>
          <cell r="P6354" t="str">
            <v>IUP8251203</v>
          </cell>
          <cell r="Q6354" t="str">
            <v>5151203</v>
          </cell>
        </row>
        <row r="6355">
          <cell r="N6355" t="str">
            <v>8251203</v>
          </cell>
          <cell r="O6355" t="str">
            <v>IUQ</v>
          </cell>
          <cell r="P6355" t="str">
            <v>IUQ8251203</v>
          </cell>
          <cell r="Q6355" t="str">
            <v>5151203</v>
          </cell>
        </row>
        <row r="6356">
          <cell r="N6356" t="str">
            <v>8251203</v>
          </cell>
          <cell r="O6356" t="str">
            <v>IU7</v>
          </cell>
          <cell r="P6356" t="str">
            <v>IU78251203</v>
          </cell>
          <cell r="Q6356" t="str">
            <v>5151203</v>
          </cell>
        </row>
        <row r="6357">
          <cell r="N6357" t="str">
            <v>8251203</v>
          </cell>
          <cell r="O6357" t="str">
            <v>IXM</v>
          </cell>
          <cell r="P6357" t="str">
            <v>IXM8251203</v>
          </cell>
          <cell r="Q6357" t="str">
            <v>5151203</v>
          </cell>
        </row>
        <row r="6358">
          <cell r="N6358" t="str">
            <v>8251203</v>
          </cell>
          <cell r="O6358" t="str">
            <v>IXN</v>
          </cell>
          <cell r="P6358" t="str">
            <v>IXN8251203</v>
          </cell>
          <cell r="Q6358" t="str">
            <v>5151203</v>
          </cell>
        </row>
        <row r="6359">
          <cell r="N6359" t="str">
            <v>8251203</v>
          </cell>
          <cell r="O6359" t="str">
            <v>IZP</v>
          </cell>
          <cell r="P6359" t="str">
            <v>IZP8251203</v>
          </cell>
          <cell r="Q6359" t="str">
            <v>5151203</v>
          </cell>
        </row>
        <row r="6360">
          <cell r="N6360" t="str">
            <v>8251203</v>
          </cell>
          <cell r="O6360" t="str">
            <v>OGX</v>
          </cell>
          <cell r="P6360" t="str">
            <v>OGX8251203</v>
          </cell>
          <cell r="Q6360" t="str">
            <v>5151203</v>
          </cell>
        </row>
        <row r="6361">
          <cell r="N6361" t="str">
            <v>8251203</v>
          </cell>
          <cell r="O6361" t="str">
            <v>1ME</v>
          </cell>
          <cell r="P6361" t="str">
            <v>1ME8251203</v>
          </cell>
          <cell r="Q6361" t="str">
            <v>5151203</v>
          </cell>
        </row>
        <row r="6362">
          <cell r="N6362" t="str">
            <v>8251204</v>
          </cell>
          <cell r="O6362" t="str">
            <v/>
          </cell>
          <cell r="P6362" t="str">
            <v/>
          </cell>
          <cell r="Q6362" t="str">
            <v>5151204</v>
          </cell>
        </row>
        <row r="6363">
          <cell r="N6363" t="str">
            <v>8251204</v>
          </cell>
          <cell r="O6363" t="str">
            <v>BEC</v>
          </cell>
          <cell r="P6363" t="str">
            <v>BEC8251204</v>
          </cell>
          <cell r="Q6363" t="str">
            <v>5151204</v>
          </cell>
        </row>
        <row r="6364">
          <cell r="N6364" t="str">
            <v>8251204</v>
          </cell>
          <cell r="O6364" t="str">
            <v>CBI</v>
          </cell>
          <cell r="P6364" t="str">
            <v>CBI8251204</v>
          </cell>
          <cell r="Q6364" t="str">
            <v>5151204</v>
          </cell>
        </row>
        <row r="6365">
          <cell r="N6365" t="str">
            <v>8251204</v>
          </cell>
          <cell r="O6365" t="str">
            <v>T30</v>
          </cell>
          <cell r="P6365" t="str">
            <v>T308251204</v>
          </cell>
          <cell r="Q6365" t="str">
            <v>5151204</v>
          </cell>
        </row>
        <row r="6366">
          <cell r="N6366" t="str">
            <v>8251204</v>
          </cell>
          <cell r="O6366" t="str">
            <v>UF3</v>
          </cell>
          <cell r="P6366" t="str">
            <v>UF38251204</v>
          </cell>
          <cell r="Q6366" t="str">
            <v>5151204</v>
          </cell>
        </row>
        <row r="6367">
          <cell r="N6367" t="str">
            <v>8251204</v>
          </cell>
          <cell r="O6367" t="str">
            <v>1ME</v>
          </cell>
          <cell r="P6367" t="str">
            <v>1ME8251204</v>
          </cell>
          <cell r="Q6367" t="str">
            <v>5151204</v>
          </cell>
        </row>
        <row r="6368">
          <cell r="N6368" t="str">
            <v>8251210</v>
          </cell>
          <cell r="O6368" t="str">
            <v/>
          </cell>
          <cell r="P6368" t="str">
            <v/>
          </cell>
          <cell r="Q6368" t="str">
            <v/>
          </cell>
        </row>
        <row r="6369">
          <cell r="N6369" t="str">
            <v>8251210</v>
          </cell>
          <cell r="O6369" t="str">
            <v>REG</v>
          </cell>
          <cell r="P6369" t="str">
            <v>REG8251210</v>
          </cell>
          <cell r="Q6369" t="str">
            <v/>
          </cell>
        </row>
        <row r="6370">
          <cell r="N6370" t="str">
            <v>8251211</v>
          </cell>
          <cell r="O6370" t="str">
            <v/>
          </cell>
          <cell r="P6370" t="str">
            <v/>
          </cell>
          <cell r="Q6370" t="str">
            <v/>
          </cell>
        </row>
        <row r="6371">
          <cell r="N6371" t="str">
            <v>8251211</v>
          </cell>
          <cell r="O6371" t="str">
            <v>1ME</v>
          </cell>
          <cell r="P6371" t="str">
            <v>1ME8251211</v>
          </cell>
          <cell r="Q6371" t="str">
            <v/>
          </cell>
        </row>
        <row r="6372">
          <cell r="N6372" t="str">
            <v>8251212</v>
          </cell>
          <cell r="O6372" t="str">
            <v/>
          </cell>
          <cell r="P6372" t="str">
            <v/>
          </cell>
          <cell r="Q6372" t="str">
            <v>5151212</v>
          </cell>
        </row>
        <row r="6373">
          <cell r="N6373" t="str">
            <v>8251212</v>
          </cell>
          <cell r="O6373" t="str">
            <v>LTA</v>
          </cell>
          <cell r="P6373" t="str">
            <v>LTA8251212</v>
          </cell>
          <cell r="Q6373" t="str">
            <v>5151212</v>
          </cell>
        </row>
        <row r="6374">
          <cell r="N6374" t="str">
            <v>8251212</v>
          </cell>
          <cell r="O6374" t="str">
            <v>OGX</v>
          </cell>
          <cell r="P6374" t="str">
            <v>OGX8251212</v>
          </cell>
          <cell r="Q6374" t="str">
            <v>5151212</v>
          </cell>
        </row>
        <row r="6375">
          <cell r="N6375" t="str">
            <v>8251212</v>
          </cell>
          <cell r="O6375" t="str">
            <v>T30</v>
          </cell>
          <cell r="P6375" t="str">
            <v>T308251212</v>
          </cell>
          <cell r="Q6375" t="str">
            <v>5151212</v>
          </cell>
        </row>
        <row r="6376">
          <cell r="N6376" t="str">
            <v>8251212</v>
          </cell>
          <cell r="O6376" t="str">
            <v>1ME</v>
          </cell>
          <cell r="P6376" t="str">
            <v>1ME8251212</v>
          </cell>
          <cell r="Q6376" t="str">
            <v>5151212</v>
          </cell>
        </row>
        <row r="6377">
          <cell r="N6377" t="str">
            <v>8251215</v>
          </cell>
          <cell r="O6377" t="str">
            <v/>
          </cell>
          <cell r="P6377" t="str">
            <v/>
          </cell>
          <cell r="Q6377" t="str">
            <v>5151215</v>
          </cell>
        </row>
        <row r="6378">
          <cell r="N6378" t="str">
            <v>8251215</v>
          </cell>
          <cell r="O6378" t="str">
            <v>ONL</v>
          </cell>
          <cell r="P6378" t="str">
            <v>ONL8251215</v>
          </cell>
          <cell r="Q6378" t="str">
            <v>5151215</v>
          </cell>
        </row>
        <row r="6379">
          <cell r="N6379" t="str">
            <v>825129</v>
          </cell>
          <cell r="O6379" t="str">
            <v/>
          </cell>
          <cell r="P6379" t="str">
            <v/>
          </cell>
          <cell r="Q6379" t="str">
            <v/>
          </cell>
        </row>
        <row r="6380">
          <cell r="N6380" t="str">
            <v>825129</v>
          </cell>
          <cell r="O6380" t="str">
            <v>ONL</v>
          </cell>
          <cell r="P6380" t="str">
            <v>ONL825129</v>
          </cell>
          <cell r="Q6380" t="str">
            <v/>
          </cell>
        </row>
        <row r="6381">
          <cell r="N6381" t="str">
            <v>825129</v>
          </cell>
          <cell r="O6381" t="str">
            <v>1ME</v>
          </cell>
          <cell r="P6381" t="str">
            <v>1ME825129</v>
          </cell>
          <cell r="Q6381" t="str">
            <v/>
          </cell>
        </row>
        <row r="6382">
          <cell r="N6382" t="str">
            <v>82513</v>
          </cell>
          <cell r="O6382" t="str">
            <v/>
          </cell>
          <cell r="P6382" t="str">
            <v/>
          </cell>
          <cell r="Q6382" t="str">
            <v>51513</v>
          </cell>
        </row>
        <row r="6383">
          <cell r="N6383" t="str">
            <v>82513</v>
          </cell>
          <cell r="O6383" t="str">
            <v>ONL</v>
          </cell>
          <cell r="P6383" t="str">
            <v>ONL82513</v>
          </cell>
          <cell r="Q6383" t="str">
            <v>51513</v>
          </cell>
        </row>
        <row r="6384">
          <cell r="N6384" t="str">
            <v>82513</v>
          </cell>
          <cell r="O6384" t="str">
            <v>1ME</v>
          </cell>
          <cell r="P6384" t="str">
            <v>1ME82513</v>
          </cell>
          <cell r="Q6384" t="str">
            <v>51513</v>
          </cell>
        </row>
        <row r="6385">
          <cell r="N6385" t="str">
            <v>82518</v>
          </cell>
          <cell r="O6385" t="str">
            <v/>
          </cell>
          <cell r="P6385" t="str">
            <v/>
          </cell>
          <cell r="Q6385" t="str">
            <v/>
          </cell>
        </row>
        <row r="6386">
          <cell r="N6386" t="str">
            <v>82518</v>
          </cell>
          <cell r="O6386" t="str">
            <v>TRP</v>
          </cell>
          <cell r="P6386" t="str">
            <v>TRP82518</v>
          </cell>
          <cell r="Q6386" t="str">
            <v/>
          </cell>
        </row>
        <row r="6387">
          <cell r="N6387" t="str">
            <v>82518</v>
          </cell>
          <cell r="O6387" t="str">
            <v>1CG</v>
          </cell>
          <cell r="P6387" t="str">
            <v>1CG82518</v>
          </cell>
          <cell r="Q6387" t="str">
            <v/>
          </cell>
        </row>
        <row r="6388">
          <cell r="N6388" t="str">
            <v>82518</v>
          </cell>
          <cell r="O6388" t="str">
            <v>1ME</v>
          </cell>
          <cell r="P6388" t="str">
            <v>1ME82518</v>
          </cell>
          <cell r="Q6388" t="str">
            <v/>
          </cell>
        </row>
        <row r="6389">
          <cell r="N6389" t="str">
            <v>825180</v>
          </cell>
          <cell r="O6389" t="str">
            <v/>
          </cell>
          <cell r="P6389" t="str">
            <v/>
          </cell>
          <cell r="Q6389" t="str">
            <v>51518</v>
          </cell>
        </row>
        <row r="6390">
          <cell r="N6390" t="str">
            <v>825180</v>
          </cell>
          <cell r="O6390" t="str">
            <v>ONL</v>
          </cell>
          <cell r="P6390" t="str">
            <v>ONL825180</v>
          </cell>
          <cell r="Q6390" t="str">
            <v>51518</v>
          </cell>
        </row>
        <row r="6391">
          <cell r="N6391" t="str">
            <v>825180</v>
          </cell>
          <cell r="O6391" t="str">
            <v>TRP</v>
          </cell>
          <cell r="P6391" t="str">
            <v>TRP825180</v>
          </cell>
          <cell r="Q6391" t="str">
            <v>51518</v>
          </cell>
        </row>
        <row r="6392">
          <cell r="N6392" t="str">
            <v>82519</v>
          </cell>
          <cell r="O6392" t="str">
            <v/>
          </cell>
          <cell r="P6392" t="str">
            <v/>
          </cell>
          <cell r="Q6392" t="str">
            <v/>
          </cell>
        </row>
        <row r="6393">
          <cell r="N6393" t="str">
            <v>82519</v>
          </cell>
          <cell r="O6393" t="str">
            <v>ONL</v>
          </cell>
          <cell r="P6393" t="str">
            <v>ONL82519</v>
          </cell>
          <cell r="Q6393" t="str">
            <v/>
          </cell>
        </row>
        <row r="6394">
          <cell r="N6394" t="str">
            <v>82519</v>
          </cell>
          <cell r="O6394" t="str">
            <v>YDI</v>
          </cell>
          <cell r="P6394" t="str">
            <v>YDI82519</v>
          </cell>
          <cell r="Q6394" t="str">
            <v/>
          </cell>
        </row>
        <row r="6395">
          <cell r="N6395" t="str">
            <v>82519</v>
          </cell>
          <cell r="O6395" t="str">
            <v>YDR</v>
          </cell>
          <cell r="P6395" t="str">
            <v>YDR82519</v>
          </cell>
          <cell r="Q6395" t="str">
            <v/>
          </cell>
        </row>
        <row r="6396">
          <cell r="N6396" t="str">
            <v>82519</v>
          </cell>
          <cell r="O6396" t="str">
            <v>YEC</v>
          </cell>
          <cell r="P6396" t="str">
            <v>YEC82519</v>
          </cell>
          <cell r="Q6396" t="str">
            <v/>
          </cell>
        </row>
        <row r="6397">
          <cell r="N6397" t="str">
            <v>82519</v>
          </cell>
          <cell r="O6397" t="str">
            <v>YEG</v>
          </cell>
          <cell r="P6397" t="str">
            <v>YEG82519</v>
          </cell>
          <cell r="Q6397" t="str">
            <v/>
          </cell>
        </row>
        <row r="6398">
          <cell r="N6398" t="str">
            <v>82519</v>
          </cell>
          <cell r="O6398" t="str">
            <v>YER</v>
          </cell>
          <cell r="P6398" t="str">
            <v>YER82519</v>
          </cell>
          <cell r="Q6398" t="str">
            <v/>
          </cell>
        </row>
        <row r="6399">
          <cell r="N6399" t="str">
            <v>82519</v>
          </cell>
          <cell r="O6399" t="str">
            <v>YES</v>
          </cell>
          <cell r="P6399" t="str">
            <v>YES82519</v>
          </cell>
          <cell r="Q6399" t="str">
            <v/>
          </cell>
        </row>
        <row r="6400">
          <cell r="N6400" t="str">
            <v>82519</v>
          </cell>
          <cell r="O6400" t="str">
            <v>YET</v>
          </cell>
          <cell r="P6400" t="str">
            <v>YET82519</v>
          </cell>
          <cell r="Q6400" t="str">
            <v/>
          </cell>
        </row>
        <row r="6401">
          <cell r="N6401" t="str">
            <v>82519</v>
          </cell>
          <cell r="O6401" t="str">
            <v>YIV</v>
          </cell>
          <cell r="P6401" t="str">
            <v>YIV82519</v>
          </cell>
          <cell r="Q6401" t="str">
            <v/>
          </cell>
        </row>
        <row r="6402">
          <cell r="N6402" t="str">
            <v>82519</v>
          </cell>
          <cell r="O6402" t="str">
            <v>1ME</v>
          </cell>
          <cell r="P6402" t="str">
            <v>1ME82519</v>
          </cell>
          <cell r="Q6402" t="str">
            <v/>
          </cell>
        </row>
        <row r="6403">
          <cell r="N6403" t="str">
            <v>82521</v>
          </cell>
          <cell r="O6403" t="str">
            <v/>
          </cell>
          <cell r="P6403" t="str">
            <v/>
          </cell>
          <cell r="Q6403" t="str">
            <v>515289</v>
          </cell>
        </row>
        <row r="6404">
          <cell r="N6404" t="str">
            <v>82521</v>
          </cell>
          <cell r="O6404" t="str">
            <v>CGW</v>
          </cell>
          <cell r="P6404" t="str">
            <v>CGW82521</v>
          </cell>
          <cell r="Q6404" t="str">
            <v>515289</v>
          </cell>
        </row>
        <row r="6405">
          <cell r="N6405" t="str">
            <v>825300</v>
          </cell>
          <cell r="O6405" t="str">
            <v/>
          </cell>
          <cell r="P6405" t="str">
            <v/>
          </cell>
          <cell r="Q6405" t="str">
            <v>51580</v>
          </cell>
        </row>
        <row r="6406">
          <cell r="N6406" t="str">
            <v>825300</v>
          </cell>
          <cell r="O6406" t="str">
            <v>C00</v>
          </cell>
          <cell r="P6406" t="str">
            <v>C00825300</v>
          </cell>
          <cell r="Q6406" t="str">
            <v>51580</v>
          </cell>
        </row>
        <row r="6407">
          <cell r="N6407" t="str">
            <v>825300</v>
          </cell>
          <cell r="O6407" t="str">
            <v>FCD</v>
          </cell>
          <cell r="P6407" t="str">
            <v>FCD825300</v>
          </cell>
          <cell r="Q6407" t="str">
            <v>51580</v>
          </cell>
        </row>
        <row r="6408">
          <cell r="N6408" t="str">
            <v>825300</v>
          </cell>
          <cell r="O6408" t="str">
            <v>V16</v>
          </cell>
          <cell r="P6408" t="str">
            <v>V16825300</v>
          </cell>
          <cell r="Q6408" t="str">
            <v>51580</v>
          </cell>
        </row>
        <row r="6409">
          <cell r="N6409" t="str">
            <v>825300</v>
          </cell>
          <cell r="O6409" t="str">
            <v>1ME</v>
          </cell>
          <cell r="P6409" t="str">
            <v>1ME825300</v>
          </cell>
          <cell r="Q6409" t="str">
            <v>51580</v>
          </cell>
        </row>
        <row r="6410">
          <cell r="N6410" t="str">
            <v>825300</v>
          </cell>
          <cell r="O6410" t="str">
            <v>701</v>
          </cell>
          <cell r="P6410" t="str">
            <v>701825300</v>
          </cell>
          <cell r="Q6410" t="str">
            <v>51580</v>
          </cell>
        </row>
        <row r="6411">
          <cell r="N6411" t="str">
            <v>825300</v>
          </cell>
          <cell r="O6411" t="str">
            <v>996</v>
          </cell>
          <cell r="P6411" t="str">
            <v>996825300</v>
          </cell>
          <cell r="Q6411" t="str">
            <v>51580</v>
          </cell>
        </row>
        <row r="6412">
          <cell r="N6412" t="str">
            <v>825302</v>
          </cell>
          <cell r="O6412" t="str">
            <v/>
          </cell>
          <cell r="P6412" t="str">
            <v/>
          </cell>
          <cell r="Q6412" t="str">
            <v>51580</v>
          </cell>
        </row>
        <row r="6413">
          <cell r="N6413" t="str">
            <v>825302</v>
          </cell>
          <cell r="O6413" t="str">
            <v>CRR</v>
          </cell>
          <cell r="P6413" t="str">
            <v>CRR825302</v>
          </cell>
          <cell r="Q6413" t="str">
            <v>51580</v>
          </cell>
        </row>
        <row r="6414">
          <cell r="N6414" t="str">
            <v>825302</v>
          </cell>
          <cell r="O6414" t="str">
            <v>FGP</v>
          </cell>
          <cell r="P6414" t="str">
            <v>FGP825302</v>
          </cell>
          <cell r="Q6414" t="str">
            <v>51580</v>
          </cell>
        </row>
        <row r="6415">
          <cell r="N6415" t="str">
            <v>825302</v>
          </cell>
          <cell r="O6415" t="str">
            <v>FGR</v>
          </cell>
          <cell r="P6415" t="str">
            <v>FGR825302</v>
          </cell>
          <cell r="Q6415" t="str">
            <v>51580</v>
          </cell>
        </row>
        <row r="6416">
          <cell r="N6416" t="str">
            <v>825302</v>
          </cell>
          <cell r="O6416" t="str">
            <v>FGS</v>
          </cell>
          <cell r="P6416" t="str">
            <v>FGS825302</v>
          </cell>
          <cell r="Q6416" t="str">
            <v>51580</v>
          </cell>
        </row>
        <row r="6417">
          <cell r="N6417" t="str">
            <v>825302</v>
          </cell>
          <cell r="O6417" t="str">
            <v>FYL</v>
          </cell>
          <cell r="P6417" t="str">
            <v>FYL825302</v>
          </cell>
          <cell r="Q6417" t="str">
            <v>51580</v>
          </cell>
        </row>
        <row r="6418">
          <cell r="N6418" t="str">
            <v>825302</v>
          </cell>
          <cell r="O6418" t="str">
            <v>ODX</v>
          </cell>
          <cell r="P6418" t="str">
            <v>ODX825302</v>
          </cell>
          <cell r="Q6418" t="str">
            <v>51580</v>
          </cell>
        </row>
        <row r="6419">
          <cell r="N6419" t="str">
            <v>825302</v>
          </cell>
          <cell r="O6419" t="str">
            <v>OGX</v>
          </cell>
          <cell r="P6419" t="str">
            <v>OGX825302</v>
          </cell>
          <cell r="Q6419" t="str">
            <v>51580</v>
          </cell>
        </row>
        <row r="6420">
          <cell r="N6420" t="str">
            <v>825302</v>
          </cell>
          <cell r="O6420" t="str">
            <v>ONL</v>
          </cell>
          <cell r="P6420" t="str">
            <v>ONL825302</v>
          </cell>
          <cell r="Q6420" t="str">
            <v>51580</v>
          </cell>
        </row>
        <row r="6421">
          <cell r="N6421" t="str">
            <v>825302</v>
          </cell>
          <cell r="O6421" t="str">
            <v>T30</v>
          </cell>
          <cell r="P6421" t="str">
            <v>T30825302</v>
          </cell>
          <cell r="Q6421" t="str">
            <v>51580</v>
          </cell>
        </row>
        <row r="6422">
          <cell r="N6422" t="str">
            <v>8253200</v>
          </cell>
          <cell r="O6422" t="str">
            <v/>
          </cell>
          <cell r="P6422" t="str">
            <v/>
          </cell>
          <cell r="Q6422" t="str">
            <v/>
          </cell>
        </row>
        <row r="6423">
          <cell r="N6423" t="str">
            <v>8253200</v>
          </cell>
          <cell r="O6423" t="str">
            <v>T30</v>
          </cell>
          <cell r="P6423" t="str">
            <v>T308253200</v>
          </cell>
          <cell r="Q6423" t="str">
            <v/>
          </cell>
        </row>
        <row r="6424">
          <cell r="N6424" t="str">
            <v>8253201</v>
          </cell>
          <cell r="O6424" t="str">
            <v/>
          </cell>
          <cell r="P6424" t="str">
            <v/>
          </cell>
          <cell r="Q6424" t="str">
            <v/>
          </cell>
        </row>
        <row r="6425">
          <cell r="N6425" t="str">
            <v>8253201</v>
          </cell>
          <cell r="O6425" t="str">
            <v>ONL</v>
          </cell>
          <cell r="P6425" t="str">
            <v>ONL8253201</v>
          </cell>
          <cell r="Q6425" t="str">
            <v/>
          </cell>
        </row>
        <row r="6426">
          <cell r="N6426" t="str">
            <v>8253206</v>
          </cell>
          <cell r="O6426" t="str">
            <v/>
          </cell>
          <cell r="P6426" t="str">
            <v/>
          </cell>
          <cell r="Q6426" t="str">
            <v/>
          </cell>
        </row>
        <row r="6427">
          <cell r="N6427" t="str">
            <v>8253206</v>
          </cell>
          <cell r="O6427" t="str">
            <v>F5Y</v>
          </cell>
          <cell r="P6427" t="str">
            <v>F5Y8253206</v>
          </cell>
          <cell r="Q6427" t="str">
            <v/>
          </cell>
        </row>
        <row r="6428">
          <cell r="N6428" t="str">
            <v>8253206</v>
          </cell>
          <cell r="O6428" t="str">
            <v>ONL</v>
          </cell>
          <cell r="P6428" t="str">
            <v>ONL8253206</v>
          </cell>
          <cell r="Q6428" t="str">
            <v/>
          </cell>
        </row>
        <row r="6429">
          <cell r="N6429" t="str">
            <v>8253207</v>
          </cell>
          <cell r="O6429" t="str">
            <v/>
          </cell>
          <cell r="P6429" t="str">
            <v/>
          </cell>
          <cell r="Q6429" t="str">
            <v/>
          </cell>
        </row>
        <row r="6430">
          <cell r="N6430" t="str">
            <v>8253207</v>
          </cell>
          <cell r="O6430" t="str">
            <v>ONL</v>
          </cell>
          <cell r="P6430" t="str">
            <v>ONL8253207</v>
          </cell>
          <cell r="Q6430" t="str">
            <v/>
          </cell>
        </row>
        <row r="6431">
          <cell r="N6431" t="str">
            <v>8253207</v>
          </cell>
          <cell r="O6431" t="str">
            <v>TIT</v>
          </cell>
          <cell r="P6431" t="str">
            <v>TIT8253207</v>
          </cell>
          <cell r="Q6431" t="str">
            <v/>
          </cell>
        </row>
        <row r="6432">
          <cell r="N6432" t="str">
            <v>82533</v>
          </cell>
          <cell r="O6432" t="str">
            <v/>
          </cell>
          <cell r="P6432" t="str">
            <v/>
          </cell>
          <cell r="Q6432" t="str">
            <v>51401</v>
          </cell>
        </row>
        <row r="6433">
          <cell r="N6433" t="str">
            <v>82533</v>
          </cell>
          <cell r="O6433" t="str">
            <v>ECR</v>
          </cell>
          <cell r="P6433" t="str">
            <v>ECR82533</v>
          </cell>
          <cell r="Q6433" t="str">
            <v>51401</v>
          </cell>
        </row>
        <row r="6434">
          <cell r="N6434" t="str">
            <v>82533</v>
          </cell>
          <cell r="O6434" t="str">
            <v>5FK</v>
          </cell>
          <cell r="P6434" t="str">
            <v>5FK82533</v>
          </cell>
          <cell r="Q6434" t="str">
            <v>51401</v>
          </cell>
        </row>
        <row r="6435">
          <cell r="N6435" t="str">
            <v>825330</v>
          </cell>
          <cell r="O6435" t="str">
            <v/>
          </cell>
          <cell r="P6435" t="str">
            <v/>
          </cell>
          <cell r="Q6435" t="str">
            <v/>
          </cell>
        </row>
        <row r="6436">
          <cell r="N6436" t="str">
            <v>825330</v>
          </cell>
          <cell r="O6436" t="str">
            <v>CCC</v>
          </cell>
          <cell r="P6436" t="str">
            <v>CCC825330</v>
          </cell>
          <cell r="Q6436" t="str">
            <v/>
          </cell>
        </row>
        <row r="6437">
          <cell r="N6437" t="str">
            <v>825330</v>
          </cell>
          <cell r="O6437" t="str">
            <v>ONL</v>
          </cell>
          <cell r="P6437" t="str">
            <v>ONL825330</v>
          </cell>
          <cell r="Q6437" t="str">
            <v/>
          </cell>
        </row>
        <row r="6438">
          <cell r="N6438" t="str">
            <v>825330</v>
          </cell>
          <cell r="O6438" t="str">
            <v>T30</v>
          </cell>
          <cell r="P6438" t="str">
            <v>T30825330</v>
          </cell>
          <cell r="Q6438" t="str">
            <v/>
          </cell>
        </row>
        <row r="6439">
          <cell r="N6439" t="str">
            <v>825331</v>
          </cell>
          <cell r="O6439" t="str">
            <v/>
          </cell>
          <cell r="P6439" t="str">
            <v/>
          </cell>
          <cell r="Q6439" t="str">
            <v/>
          </cell>
        </row>
        <row r="6440">
          <cell r="N6440" t="str">
            <v>825331</v>
          </cell>
          <cell r="O6440" t="str">
            <v>TIT</v>
          </cell>
          <cell r="P6440" t="str">
            <v>TIT825331</v>
          </cell>
          <cell r="Q6440" t="str">
            <v/>
          </cell>
        </row>
        <row r="6441">
          <cell r="N6441" t="str">
            <v>825333</v>
          </cell>
          <cell r="O6441" t="str">
            <v/>
          </cell>
          <cell r="P6441" t="str">
            <v/>
          </cell>
          <cell r="Q6441" t="str">
            <v/>
          </cell>
        </row>
        <row r="6442">
          <cell r="N6442" t="str">
            <v>825333</v>
          </cell>
          <cell r="O6442" t="str">
            <v>F5J</v>
          </cell>
          <cell r="P6442" t="str">
            <v>F5J825333</v>
          </cell>
          <cell r="Q6442" t="str">
            <v/>
          </cell>
        </row>
        <row r="6443">
          <cell r="N6443" t="str">
            <v>825333</v>
          </cell>
          <cell r="O6443" t="str">
            <v>TRI</v>
          </cell>
          <cell r="P6443" t="str">
            <v>TRI825333</v>
          </cell>
          <cell r="Q6443" t="str">
            <v/>
          </cell>
        </row>
        <row r="6444">
          <cell r="N6444" t="str">
            <v>825334</v>
          </cell>
          <cell r="O6444" t="str">
            <v/>
          </cell>
          <cell r="P6444" t="str">
            <v/>
          </cell>
          <cell r="Q6444" t="str">
            <v/>
          </cell>
        </row>
        <row r="6445">
          <cell r="N6445" t="str">
            <v>825334</v>
          </cell>
          <cell r="O6445" t="str">
            <v>ONL</v>
          </cell>
          <cell r="P6445" t="str">
            <v>ONL825334</v>
          </cell>
          <cell r="Q6445" t="str">
            <v/>
          </cell>
        </row>
        <row r="6446">
          <cell r="N6446" t="str">
            <v>825334</v>
          </cell>
          <cell r="O6446" t="str">
            <v>0CT</v>
          </cell>
          <cell r="P6446" t="str">
            <v>0CT825334</v>
          </cell>
          <cell r="Q6446" t="str">
            <v/>
          </cell>
        </row>
        <row r="6447">
          <cell r="N6447" t="str">
            <v>825334</v>
          </cell>
          <cell r="O6447" t="str">
            <v>2F4</v>
          </cell>
          <cell r="P6447" t="str">
            <v>2F4825334</v>
          </cell>
          <cell r="Q6447" t="str">
            <v/>
          </cell>
        </row>
        <row r="6448">
          <cell r="N6448" t="str">
            <v>825336</v>
          </cell>
          <cell r="O6448" t="str">
            <v/>
          </cell>
          <cell r="P6448" t="str">
            <v/>
          </cell>
          <cell r="Q6448" t="str">
            <v/>
          </cell>
        </row>
        <row r="6449">
          <cell r="N6449" t="str">
            <v>825336</v>
          </cell>
          <cell r="O6449" t="str">
            <v>ONL</v>
          </cell>
          <cell r="P6449" t="str">
            <v>ONL825336</v>
          </cell>
          <cell r="Q6449" t="str">
            <v/>
          </cell>
        </row>
        <row r="6450">
          <cell r="N6450" t="str">
            <v>825337</v>
          </cell>
          <cell r="O6450" t="str">
            <v/>
          </cell>
          <cell r="P6450" t="str">
            <v/>
          </cell>
          <cell r="Q6450" t="str">
            <v/>
          </cell>
        </row>
        <row r="6451">
          <cell r="N6451" t="str">
            <v>825337</v>
          </cell>
          <cell r="O6451" t="str">
            <v>ONL</v>
          </cell>
          <cell r="P6451" t="str">
            <v>ONL825337</v>
          </cell>
          <cell r="Q6451" t="str">
            <v/>
          </cell>
        </row>
        <row r="6452">
          <cell r="N6452" t="str">
            <v>825337</v>
          </cell>
          <cell r="O6452" t="str">
            <v>TIT</v>
          </cell>
          <cell r="P6452" t="str">
            <v>TIT825337</v>
          </cell>
          <cell r="Q6452" t="str">
            <v/>
          </cell>
        </row>
        <row r="6453">
          <cell r="N6453" t="str">
            <v>825338</v>
          </cell>
          <cell r="O6453" t="str">
            <v/>
          </cell>
          <cell r="P6453" t="str">
            <v/>
          </cell>
          <cell r="Q6453" t="str">
            <v/>
          </cell>
        </row>
        <row r="6454">
          <cell r="N6454" t="str">
            <v>825338</v>
          </cell>
          <cell r="O6454" t="str">
            <v>F5J</v>
          </cell>
          <cell r="P6454" t="str">
            <v>F5J825338</v>
          </cell>
          <cell r="Q6454" t="str">
            <v/>
          </cell>
        </row>
        <row r="6455">
          <cell r="N6455" t="str">
            <v>825338</v>
          </cell>
          <cell r="O6455" t="str">
            <v>TRI</v>
          </cell>
          <cell r="P6455" t="str">
            <v>TRI825338</v>
          </cell>
          <cell r="Q6455" t="str">
            <v/>
          </cell>
        </row>
        <row r="6456">
          <cell r="N6456" t="str">
            <v>825339</v>
          </cell>
          <cell r="O6456" t="str">
            <v/>
          </cell>
          <cell r="P6456" t="str">
            <v/>
          </cell>
          <cell r="Q6456" t="str">
            <v/>
          </cell>
        </row>
        <row r="6457">
          <cell r="N6457" t="str">
            <v>825339</v>
          </cell>
          <cell r="O6457" t="str">
            <v>TRI</v>
          </cell>
          <cell r="P6457" t="str">
            <v>TRI825339</v>
          </cell>
          <cell r="Q6457" t="str">
            <v/>
          </cell>
        </row>
        <row r="6458">
          <cell r="N6458" t="str">
            <v>82533904</v>
          </cell>
          <cell r="O6458" t="str">
            <v/>
          </cell>
          <cell r="P6458" t="str">
            <v/>
          </cell>
          <cell r="Q6458" t="str">
            <v/>
          </cell>
        </row>
        <row r="6459">
          <cell r="N6459" t="str">
            <v>82533904</v>
          </cell>
          <cell r="O6459" t="str">
            <v>ONL</v>
          </cell>
          <cell r="P6459" t="str">
            <v>ONL82533904</v>
          </cell>
          <cell r="Q6459" t="str">
            <v/>
          </cell>
        </row>
        <row r="6460">
          <cell r="N6460" t="str">
            <v>82533904</v>
          </cell>
          <cell r="O6460" t="str">
            <v>TIT</v>
          </cell>
          <cell r="P6460" t="str">
            <v>TIT82533904</v>
          </cell>
          <cell r="Q6460" t="str">
            <v/>
          </cell>
        </row>
        <row r="6461">
          <cell r="N6461" t="str">
            <v>82533905</v>
          </cell>
          <cell r="O6461" t="str">
            <v/>
          </cell>
          <cell r="P6461" t="str">
            <v/>
          </cell>
          <cell r="Q6461" t="str">
            <v/>
          </cell>
        </row>
        <row r="6462">
          <cell r="N6462" t="str">
            <v>82533905</v>
          </cell>
          <cell r="O6462" t="str">
            <v>ONL</v>
          </cell>
          <cell r="P6462" t="str">
            <v>ONL82533905</v>
          </cell>
          <cell r="Q6462" t="str">
            <v/>
          </cell>
        </row>
        <row r="6463">
          <cell r="N6463" t="str">
            <v>82533905</v>
          </cell>
          <cell r="O6463" t="str">
            <v>TIT</v>
          </cell>
          <cell r="P6463" t="str">
            <v>TIT82533905</v>
          </cell>
          <cell r="Q6463" t="str">
            <v/>
          </cell>
        </row>
        <row r="6464">
          <cell r="N6464" t="str">
            <v>82533906</v>
          </cell>
          <cell r="O6464" t="str">
            <v/>
          </cell>
          <cell r="P6464" t="str">
            <v/>
          </cell>
          <cell r="Q6464" t="str">
            <v/>
          </cell>
        </row>
        <row r="6465">
          <cell r="N6465" t="str">
            <v>82533906</v>
          </cell>
          <cell r="O6465" t="str">
            <v>ONL</v>
          </cell>
          <cell r="P6465" t="str">
            <v>ONL82533906</v>
          </cell>
          <cell r="Q6465" t="str">
            <v/>
          </cell>
        </row>
        <row r="6466">
          <cell r="N6466" t="str">
            <v>82533906</v>
          </cell>
          <cell r="O6466" t="str">
            <v>TIT</v>
          </cell>
          <cell r="P6466" t="str">
            <v>TIT82533906</v>
          </cell>
          <cell r="Q6466" t="str">
            <v/>
          </cell>
        </row>
        <row r="6467">
          <cell r="N6467" t="str">
            <v>82533907</v>
          </cell>
          <cell r="O6467" t="str">
            <v/>
          </cell>
          <cell r="P6467" t="str">
            <v/>
          </cell>
          <cell r="Q6467" t="str">
            <v/>
          </cell>
        </row>
        <row r="6468">
          <cell r="N6468" t="str">
            <v>82533907</v>
          </cell>
          <cell r="O6468" t="str">
            <v>F5J</v>
          </cell>
          <cell r="P6468" t="str">
            <v>F5J82533907</v>
          </cell>
          <cell r="Q6468" t="str">
            <v/>
          </cell>
        </row>
        <row r="6469">
          <cell r="N6469" t="str">
            <v>82533907</v>
          </cell>
          <cell r="O6469" t="str">
            <v>ONL</v>
          </cell>
          <cell r="P6469" t="str">
            <v>ONL82533907</v>
          </cell>
          <cell r="Q6469" t="str">
            <v/>
          </cell>
        </row>
        <row r="6470">
          <cell r="N6470" t="str">
            <v>82533907</v>
          </cell>
          <cell r="O6470" t="str">
            <v>TIT</v>
          </cell>
          <cell r="P6470" t="str">
            <v>TIT82533907</v>
          </cell>
          <cell r="Q6470" t="str">
            <v/>
          </cell>
        </row>
        <row r="6471">
          <cell r="N6471" t="str">
            <v>82533908</v>
          </cell>
          <cell r="O6471" t="str">
            <v/>
          </cell>
          <cell r="P6471" t="str">
            <v/>
          </cell>
          <cell r="Q6471" t="str">
            <v/>
          </cell>
        </row>
        <row r="6472">
          <cell r="N6472" t="str">
            <v>82533908</v>
          </cell>
          <cell r="O6472" t="str">
            <v>F5J</v>
          </cell>
          <cell r="P6472" t="str">
            <v>F5J82533908</v>
          </cell>
          <cell r="Q6472" t="str">
            <v/>
          </cell>
        </row>
        <row r="6473">
          <cell r="N6473" t="str">
            <v>82533909</v>
          </cell>
          <cell r="O6473" t="str">
            <v/>
          </cell>
          <cell r="P6473" t="str">
            <v/>
          </cell>
          <cell r="Q6473" t="str">
            <v/>
          </cell>
        </row>
        <row r="6474">
          <cell r="N6474" t="str">
            <v>82533909</v>
          </cell>
          <cell r="O6474" t="str">
            <v>F5J</v>
          </cell>
          <cell r="P6474" t="str">
            <v>F5J82533909</v>
          </cell>
          <cell r="Q6474" t="str">
            <v/>
          </cell>
        </row>
        <row r="6475">
          <cell r="N6475" t="str">
            <v>82533909</v>
          </cell>
          <cell r="O6475" t="str">
            <v>ONL</v>
          </cell>
          <cell r="P6475" t="str">
            <v>ONL82533909</v>
          </cell>
          <cell r="Q6475" t="str">
            <v/>
          </cell>
        </row>
        <row r="6476">
          <cell r="N6476" t="str">
            <v>82533909</v>
          </cell>
          <cell r="O6476" t="str">
            <v>TIT</v>
          </cell>
          <cell r="P6476" t="str">
            <v>TIT82533909</v>
          </cell>
          <cell r="Q6476" t="str">
            <v/>
          </cell>
        </row>
        <row r="6477">
          <cell r="N6477" t="str">
            <v>82540</v>
          </cell>
          <cell r="O6477" t="str">
            <v/>
          </cell>
          <cell r="P6477" t="str">
            <v/>
          </cell>
          <cell r="Q6477" t="str">
            <v>51516</v>
          </cell>
        </row>
        <row r="6478">
          <cell r="N6478" t="str">
            <v>82540</v>
          </cell>
          <cell r="O6478" t="str">
            <v>C00</v>
          </cell>
          <cell r="P6478" t="str">
            <v>C0082540</v>
          </cell>
          <cell r="Q6478" t="str">
            <v>51516</v>
          </cell>
        </row>
        <row r="6479">
          <cell r="N6479" t="str">
            <v>82540</v>
          </cell>
          <cell r="O6479" t="str">
            <v>NRJ</v>
          </cell>
          <cell r="P6479" t="str">
            <v>NRJ82540</v>
          </cell>
          <cell r="Q6479" t="str">
            <v>51516</v>
          </cell>
        </row>
        <row r="6480">
          <cell r="N6480" t="str">
            <v>82540</v>
          </cell>
          <cell r="O6480" t="str">
            <v>T30</v>
          </cell>
          <cell r="P6480" t="str">
            <v>T3082540</v>
          </cell>
          <cell r="Q6480" t="str">
            <v>51516</v>
          </cell>
        </row>
        <row r="6481">
          <cell r="N6481" t="str">
            <v>82540</v>
          </cell>
          <cell r="O6481" t="str">
            <v>1ME</v>
          </cell>
          <cell r="P6481" t="str">
            <v>1ME82540</v>
          </cell>
          <cell r="Q6481" t="str">
            <v>51516</v>
          </cell>
        </row>
        <row r="6482">
          <cell r="N6482" t="str">
            <v>82550</v>
          </cell>
          <cell r="O6482" t="str">
            <v/>
          </cell>
          <cell r="P6482" t="str">
            <v/>
          </cell>
          <cell r="Q6482" t="str">
            <v/>
          </cell>
        </row>
        <row r="6483">
          <cell r="N6483" t="str">
            <v>82550</v>
          </cell>
          <cell r="O6483" t="str">
            <v>TRI</v>
          </cell>
          <cell r="P6483" t="str">
            <v>TRI82550</v>
          </cell>
          <cell r="Q6483" t="str">
            <v/>
          </cell>
        </row>
        <row r="6484">
          <cell r="N6484" t="str">
            <v>825500</v>
          </cell>
          <cell r="O6484" t="str">
            <v/>
          </cell>
          <cell r="P6484" t="str">
            <v/>
          </cell>
          <cell r="Q6484" t="str">
            <v/>
          </cell>
        </row>
        <row r="6485">
          <cell r="N6485" t="str">
            <v>825500</v>
          </cell>
          <cell r="O6485" t="str">
            <v>ONL</v>
          </cell>
          <cell r="P6485" t="str">
            <v>ONL825500</v>
          </cell>
          <cell r="Q6485" t="str">
            <v/>
          </cell>
        </row>
        <row r="6486">
          <cell r="N6486" t="str">
            <v>825500</v>
          </cell>
          <cell r="O6486" t="str">
            <v>STZ</v>
          </cell>
          <cell r="P6486" t="str">
            <v>STZ825500</v>
          </cell>
          <cell r="Q6486" t="str">
            <v/>
          </cell>
        </row>
        <row r="6487">
          <cell r="N6487" t="str">
            <v>825500</v>
          </cell>
          <cell r="O6487" t="str">
            <v>S5C</v>
          </cell>
          <cell r="P6487" t="str">
            <v>S5C825500</v>
          </cell>
          <cell r="Q6487" t="str">
            <v/>
          </cell>
        </row>
        <row r="6488">
          <cell r="N6488" t="str">
            <v>825502</v>
          </cell>
          <cell r="O6488" t="str">
            <v/>
          </cell>
          <cell r="P6488" t="str">
            <v/>
          </cell>
          <cell r="Q6488" t="str">
            <v/>
          </cell>
        </row>
        <row r="6489">
          <cell r="N6489" t="str">
            <v>825502</v>
          </cell>
          <cell r="O6489" t="str">
            <v>ONL</v>
          </cell>
          <cell r="P6489" t="str">
            <v>ONL825502</v>
          </cell>
          <cell r="Q6489" t="str">
            <v/>
          </cell>
        </row>
        <row r="6490">
          <cell r="N6490" t="str">
            <v>825502</v>
          </cell>
          <cell r="O6490" t="str">
            <v>SSH</v>
          </cell>
          <cell r="P6490" t="str">
            <v>SSH825502</v>
          </cell>
          <cell r="Q6490" t="str">
            <v/>
          </cell>
        </row>
        <row r="6491">
          <cell r="N6491" t="str">
            <v>825502</v>
          </cell>
          <cell r="O6491" t="str">
            <v>SSJ</v>
          </cell>
          <cell r="P6491" t="str">
            <v>SSJ825502</v>
          </cell>
          <cell r="Q6491" t="str">
            <v/>
          </cell>
        </row>
        <row r="6492">
          <cell r="N6492" t="str">
            <v>825502</v>
          </cell>
          <cell r="O6492" t="str">
            <v>S5C</v>
          </cell>
          <cell r="P6492" t="str">
            <v>S5C825502</v>
          </cell>
          <cell r="Q6492" t="str">
            <v/>
          </cell>
        </row>
        <row r="6493">
          <cell r="N6493" t="str">
            <v>825503</v>
          </cell>
          <cell r="O6493" t="str">
            <v/>
          </cell>
          <cell r="P6493" t="str">
            <v/>
          </cell>
          <cell r="Q6493" t="str">
            <v/>
          </cell>
        </row>
        <row r="6494">
          <cell r="N6494" t="str">
            <v>825503</v>
          </cell>
          <cell r="O6494" t="str">
            <v>ONL</v>
          </cell>
          <cell r="P6494" t="str">
            <v>ONL825503</v>
          </cell>
          <cell r="Q6494" t="str">
            <v/>
          </cell>
        </row>
        <row r="6495">
          <cell r="N6495" t="str">
            <v>825503</v>
          </cell>
          <cell r="O6495" t="str">
            <v>S5C</v>
          </cell>
          <cell r="P6495" t="str">
            <v>S5C825503</v>
          </cell>
          <cell r="Q6495" t="str">
            <v/>
          </cell>
        </row>
        <row r="6496">
          <cell r="N6496" t="str">
            <v>825504</v>
          </cell>
          <cell r="O6496" t="str">
            <v/>
          </cell>
          <cell r="P6496" t="str">
            <v/>
          </cell>
          <cell r="Q6496" t="str">
            <v/>
          </cell>
        </row>
        <row r="6497">
          <cell r="N6497" t="str">
            <v>825504</v>
          </cell>
          <cell r="O6497" t="str">
            <v>S5C</v>
          </cell>
          <cell r="P6497" t="str">
            <v>S5C825504</v>
          </cell>
          <cell r="Q6497" t="str">
            <v/>
          </cell>
        </row>
        <row r="6498">
          <cell r="N6498" t="str">
            <v>825505</v>
          </cell>
          <cell r="O6498" t="str">
            <v/>
          </cell>
          <cell r="P6498" t="str">
            <v/>
          </cell>
          <cell r="Q6498" t="str">
            <v/>
          </cell>
        </row>
        <row r="6499">
          <cell r="N6499" t="str">
            <v>825505</v>
          </cell>
          <cell r="O6499" t="str">
            <v>ONL</v>
          </cell>
          <cell r="P6499" t="str">
            <v>ONL825505</v>
          </cell>
          <cell r="Q6499" t="str">
            <v/>
          </cell>
        </row>
        <row r="6500">
          <cell r="N6500" t="str">
            <v>825505</v>
          </cell>
          <cell r="O6500" t="str">
            <v>SSV</v>
          </cell>
          <cell r="P6500" t="str">
            <v>SSV825505</v>
          </cell>
          <cell r="Q6500" t="str">
            <v/>
          </cell>
        </row>
        <row r="6501">
          <cell r="N6501" t="str">
            <v>825505</v>
          </cell>
          <cell r="O6501" t="str">
            <v>S5C</v>
          </cell>
          <cell r="P6501" t="str">
            <v>S5C825505</v>
          </cell>
          <cell r="Q6501" t="str">
            <v/>
          </cell>
        </row>
        <row r="6502">
          <cell r="N6502" t="str">
            <v>825506</v>
          </cell>
          <cell r="O6502" t="str">
            <v/>
          </cell>
          <cell r="P6502" t="str">
            <v/>
          </cell>
          <cell r="Q6502" t="str">
            <v/>
          </cell>
        </row>
        <row r="6503">
          <cell r="N6503" t="str">
            <v>825506</v>
          </cell>
          <cell r="O6503" t="str">
            <v>S5C</v>
          </cell>
          <cell r="P6503" t="str">
            <v>S5C825506</v>
          </cell>
          <cell r="Q6503" t="str">
            <v/>
          </cell>
        </row>
        <row r="6504">
          <cell r="N6504" t="str">
            <v>82560</v>
          </cell>
          <cell r="O6504" t="str">
            <v/>
          </cell>
          <cell r="P6504" t="str">
            <v/>
          </cell>
          <cell r="Q6504" t="str">
            <v>5151506</v>
          </cell>
        </row>
        <row r="6505">
          <cell r="N6505" t="str">
            <v>82560</v>
          </cell>
          <cell r="O6505" t="str">
            <v>T30</v>
          </cell>
          <cell r="P6505" t="str">
            <v>T3082560</v>
          </cell>
          <cell r="Q6505" t="str">
            <v>5151506</v>
          </cell>
        </row>
        <row r="6506">
          <cell r="N6506" t="str">
            <v>82561</v>
          </cell>
          <cell r="O6506" t="str">
            <v/>
          </cell>
          <cell r="P6506" t="str">
            <v/>
          </cell>
          <cell r="Q6506" t="str">
            <v>5151516</v>
          </cell>
        </row>
        <row r="6507">
          <cell r="N6507" t="str">
            <v>82561</v>
          </cell>
          <cell r="O6507" t="str">
            <v>T30</v>
          </cell>
          <cell r="P6507" t="str">
            <v>T3082561</v>
          </cell>
          <cell r="Q6507" t="str">
            <v>5151516</v>
          </cell>
        </row>
        <row r="6508">
          <cell r="N6508" t="str">
            <v>82561</v>
          </cell>
          <cell r="O6508" t="str">
            <v>1ME</v>
          </cell>
          <cell r="P6508" t="str">
            <v>1ME82561</v>
          </cell>
          <cell r="Q6508" t="str">
            <v>5151516</v>
          </cell>
        </row>
        <row r="6509">
          <cell r="N6509" t="str">
            <v>8257</v>
          </cell>
          <cell r="O6509" t="str">
            <v/>
          </cell>
          <cell r="P6509" t="str">
            <v/>
          </cell>
          <cell r="Q6509" t="str">
            <v>5151503</v>
          </cell>
        </row>
        <row r="6510">
          <cell r="N6510" t="str">
            <v>8257</v>
          </cell>
          <cell r="O6510" t="str">
            <v>T30</v>
          </cell>
          <cell r="P6510" t="str">
            <v>T308257</v>
          </cell>
          <cell r="Q6510" t="str">
            <v>5151503</v>
          </cell>
        </row>
        <row r="6511">
          <cell r="N6511" t="str">
            <v>82570</v>
          </cell>
          <cell r="O6511" t="str">
            <v/>
          </cell>
          <cell r="P6511" t="str">
            <v/>
          </cell>
          <cell r="Q6511" t="str">
            <v/>
          </cell>
        </row>
        <row r="6512">
          <cell r="N6512" t="str">
            <v>82570</v>
          </cell>
          <cell r="O6512" t="str">
            <v>S9P</v>
          </cell>
          <cell r="P6512" t="str">
            <v>S9P82570</v>
          </cell>
          <cell r="Q6512" t="str">
            <v/>
          </cell>
        </row>
        <row r="6513">
          <cell r="N6513" t="str">
            <v>82570</v>
          </cell>
          <cell r="O6513" t="str">
            <v>T30</v>
          </cell>
          <cell r="P6513" t="str">
            <v>T3082570</v>
          </cell>
          <cell r="Q6513" t="str">
            <v/>
          </cell>
        </row>
        <row r="6514">
          <cell r="N6514" t="str">
            <v>82571</v>
          </cell>
          <cell r="O6514" t="str">
            <v/>
          </cell>
          <cell r="P6514" t="str">
            <v/>
          </cell>
          <cell r="Q6514" t="str">
            <v/>
          </cell>
        </row>
        <row r="6515">
          <cell r="N6515" t="str">
            <v>82571</v>
          </cell>
          <cell r="O6515" t="str">
            <v>ABS</v>
          </cell>
          <cell r="P6515" t="str">
            <v>ABS82571</v>
          </cell>
          <cell r="Q6515" t="str">
            <v/>
          </cell>
        </row>
        <row r="6516">
          <cell r="N6516" t="str">
            <v>82571</v>
          </cell>
          <cell r="O6516" t="str">
            <v>YEZ</v>
          </cell>
          <cell r="P6516" t="str">
            <v>YEZ82571</v>
          </cell>
          <cell r="Q6516" t="str">
            <v/>
          </cell>
        </row>
        <row r="6517">
          <cell r="N6517" t="str">
            <v>825900</v>
          </cell>
          <cell r="O6517" t="str">
            <v/>
          </cell>
          <cell r="P6517" t="str">
            <v/>
          </cell>
          <cell r="Q6517" t="str">
            <v/>
          </cell>
        </row>
        <row r="6518">
          <cell r="N6518" t="str">
            <v>825900</v>
          </cell>
          <cell r="O6518" t="str">
            <v>S7A</v>
          </cell>
          <cell r="P6518" t="str">
            <v>S7A825900</v>
          </cell>
          <cell r="Q6518" t="str">
            <v/>
          </cell>
        </row>
        <row r="6519">
          <cell r="N6519" t="str">
            <v>825900</v>
          </cell>
          <cell r="O6519" t="str">
            <v>T30</v>
          </cell>
          <cell r="P6519" t="str">
            <v>T30825900</v>
          </cell>
          <cell r="Q6519" t="str">
            <v/>
          </cell>
        </row>
        <row r="6520">
          <cell r="N6520" t="str">
            <v>825900</v>
          </cell>
          <cell r="O6520" t="str">
            <v>1ME</v>
          </cell>
          <cell r="P6520" t="str">
            <v>1ME825900</v>
          </cell>
          <cell r="Q6520" t="str">
            <v/>
          </cell>
        </row>
        <row r="6521">
          <cell r="N6521" t="str">
            <v>825901</v>
          </cell>
          <cell r="O6521" t="str">
            <v/>
          </cell>
          <cell r="P6521" t="str">
            <v/>
          </cell>
          <cell r="Q6521" t="str">
            <v>5151512</v>
          </cell>
        </row>
        <row r="6522">
          <cell r="N6522" t="str">
            <v>825901</v>
          </cell>
          <cell r="O6522" t="str">
            <v>EYA</v>
          </cell>
          <cell r="P6522" t="str">
            <v>EYA825901</v>
          </cell>
          <cell r="Q6522" t="str">
            <v>5151512</v>
          </cell>
        </row>
        <row r="6523">
          <cell r="N6523" t="str">
            <v>825901</v>
          </cell>
          <cell r="O6523" t="str">
            <v>SKF</v>
          </cell>
          <cell r="P6523" t="str">
            <v>SKF825901</v>
          </cell>
          <cell r="Q6523" t="str">
            <v>5151512</v>
          </cell>
        </row>
        <row r="6524">
          <cell r="N6524" t="str">
            <v>825901</v>
          </cell>
          <cell r="O6524" t="str">
            <v>S7A</v>
          </cell>
          <cell r="P6524" t="str">
            <v>S7A825901</v>
          </cell>
          <cell r="Q6524" t="str">
            <v>5151512</v>
          </cell>
        </row>
        <row r="6525">
          <cell r="N6525" t="str">
            <v>825901</v>
          </cell>
          <cell r="O6525" t="str">
            <v>S7D</v>
          </cell>
          <cell r="P6525" t="str">
            <v>S7D825901</v>
          </cell>
          <cell r="Q6525" t="str">
            <v>5151512</v>
          </cell>
        </row>
        <row r="6526">
          <cell r="N6526" t="str">
            <v>825901</v>
          </cell>
          <cell r="O6526" t="str">
            <v>T30</v>
          </cell>
          <cell r="P6526" t="str">
            <v>T30825901</v>
          </cell>
          <cell r="Q6526" t="str">
            <v>5151512</v>
          </cell>
        </row>
        <row r="6527">
          <cell r="N6527" t="str">
            <v>825901</v>
          </cell>
          <cell r="O6527" t="str">
            <v>YFB</v>
          </cell>
          <cell r="P6527" t="str">
            <v>YFB825901</v>
          </cell>
          <cell r="Q6527" t="str">
            <v>5151512</v>
          </cell>
        </row>
        <row r="6528">
          <cell r="N6528" t="str">
            <v>825901</v>
          </cell>
          <cell r="O6528" t="str">
            <v>YGN</v>
          </cell>
          <cell r="P6528" t="str">
            <v>YGN825901</v>
          </cell>
          <cell r="Q6528" t="str">
            <v>5151512</v>
          </cell>
        </row>
        <row r="6529">
          <cell r="N6529" t="str">
            <v>825901</v>
          </cell>
          <cell r="O6529" t="str">
            <v>YGT</v>
          </cell>
          <cell r="P6529" t="str">
            <v>YGT825901</v>
          </cell>
          <cell r="Q6529" t="str">
            <v>5151512</v>
          </cell>
        </row>
        <row r="6530">
          <cell r="N6530" t="str">
            <v>825901</v>
          </cell>
          <cell r="O6530" t="str">
            <v>YHX</v>
          </cell>
          <cell r="P6530" t="str">
            <v>YHX825901</v>
          </cell>
          <cell r="Q6530" t="str">
            <v>5151512</v>
          </cell>
        </row>
        <row r="6531">
          <cell r="N6531" t="str">
            <v>825901</v>
          </cell>
          <cell r="O6531" t="str">
            <v>1ME</v>
          </cell>
          <cell r="P6531" t="str">
            <v>1ME825901</v>
          </cell>
          <cell r="Q6531" t="str">
            <v>5151512</v>
          </cell>
        </row>
        <row r="6532">
          <cell r="N6532" t="str">
            <v>825910</v>
          </cell>
          <cell r="O6532" t="str">
            <v/>
          </cell>
          <cell r="P6532" t="str">
            <v/>
          </cell>
          <cell r="Q6532" t="str">
            <v/>
          </cell>
        </row>
        <row r="6533">
          <cell r="N6533" t="str">
            <v>825910</v>
          </cell>
          <cell r="O6533" t="str">
            <v>T30</v>
          </cell>
          <cell r="P6533" t="str">
            <v>T30825910</v>
          </cell>
          <cell r="Q6533" t="str">
            <v/>
          </cell>
        </row>
        <row r="6534">
          <cell r="N6534" t="str">
            <v>825910</v>
          </cell>
          <cell r="O6534" t="str">
            <v>1ME</v>
          </cell>
          <cell r="P6534" t="str">
            <v>1ME825910</v>
          </cell>
          <cell r="Q6534" t="str">
            <v/>
          </cell>
        </row>
        <row r="6535">
          <cell r="N6535" t="str">
            <v>825910</v>
          </cell>
          <cell r="O6535" t="str">
            <v>701</v>
          </cell>
          <cell r="P6535" t="str">
            <v>701825910</v>
          </cell>
          <cell r="Q6535" t="str">
            <v/>
          </cell>
        </row>
        <row r="6536">
          <cell r="N6536" t="str">
            <v>825910</v>
          </cell>
          <cell r="O6536" t="str">
            <v>996</v>
          </cell>
          <cell r="P6536" t="str">
            <v>996825910</v>
          </cell>
          <cell r="Q6536" t="str">
            <v/>
          </cell>
        </row>
        <row r="6537">
          <cell r="N6537" t="str">
            <v>825911</v>
          </cell>
          <cell r="O6537" t="str">
            <v/>
          </cell>
          <cell r="P6537" t="str">
            <v/>
          </cell>
          <cell r="Q6537" t="str">
            <v>519399</v>
          </cell>
        </row>
        <row r="6538">
          <cell r="N6538" t="str">
            <v>825911</v>
          </cell>
          <cell r="O6538" t="str">
            <v>T30</v>
          </cell>
          <cell r="P6538" t="str">
            <v>T30825911</v>
          </cell>
          <cell r="Q6538" t="str">
            <v>519399</v>
          </cell>
        </row>
        <row r="6539">
          <cell r="N6539" t="str">
            <v>825911</v>
          </cell>
          <cell r="O6539" t="str">
            <v>1ME</v>
          </cell>
          <cell r="P6539" t="str">
            <v>1ME825911</v>
          </cell>
          <cell r="Q6539" t="str">
            <v>519399</v>
          </cell>
        </row>
        <row r="6540">
          <cell r="N6540" t="str">
            <v>825912</v>
          </cell>
          <cell r="O6540" t="str">
            <v/>
          </cell>
          <cell r="P6540" t="str">
            <v/>
          </cell>
          <cell r="Q6540" t="str">
            <v/>
          </cell>
        </row>
        <row r="6541">
          <cell r="N6541" t="str">
            <v>825912</v>
          </cell>
          <cell r="O6541" t="str">
            <v>T30</v>
          </cell>
          <cell r="P6541" t="str">
            <v>T30825912</v>
          </cell>
          <cell r="Q6541" t="str">
            <v/>
          </cell>
        </row>
        <row r="6542">
          <cell r="N6542" t="str">
            <v>825912</v>
          </cell>
          <cell r="O6542" t="str">
            <v>1ME</v>
          </cell>
          <cell r="P6542" t="str">
            <v>1ME825912</v>
          </cell>
          <cell r="Q6542" t="str">
            <v/>
          </cell>
        </row>
        <row r="6543">
          <cell r="N6543" t="str">
            <v>825912</v>
          </cell>
          <cell r="O6543" t="str">
            <v>610</v>
          </cell>
          <cell r="P6543" t="str">
            <v>610825912</v>
          </cell>
          <cell r="Q6543" t="str">
            <v/>
          </cell>
        </row>
        <row r="6544">
          <cell r="N6544" t="str">
            <v>825912</v>
          </cell>
          <cell r="O6544" t="str">
            <v>996</v>
          </cell>
          <cell r="P6544" t="str">
            <v>996825912</v>
          </cell>
          <cell r="Q6544" t="str">
            <v/>
          </cell>
        </row>
        <row r="6545">
          <cell r="N6545" t="str">
            <v>8259140</v>
          </cell>
          <cell r="O6545" t="str">
            <v/>
          </cell>
          <cell r="P6545" t="str">
            <v/>
          </cell>
          <cell r="Q6545" t="str">
            <v>519399</v>
          </cell>
        </row>
        <row r="6546">
          <cell r="N6546" t="str">
            <v>8259140</v>
          </cell>
          <cell r="O6546" t="str">
            <v>T30</v>
          </cell>
          <cell r="P6546" t="str">
            <v>T308259140</v>
          </cell>
          <cell r="Q6546" t="str">
            <v>519399</v>
          </cell>
        </row>
        <row r="6547">
          <cell r="N6547" t="str">
            <v>8259140</v>
          </cell>
          <cell r="O6547" t="str">
            <v>1ME</v>
          </cell>
          <cell r="P6547" t="str">
            <v>1ME8259140</v>
          </cell>
          <cell r="Q6547" t="str">
            <v>519399</v>
          </cell>
        </row>
        <row r="6548">
          <cell r="N6548" t="str">
            <v>8259140</v>
          </cell>
          <cell r="O6548" t="str">
            <v>701</v>
          </cell>
          <cell r="P6548" t="str">
            <v>7018259140</v>
          </cell>
          <cell r="Q6548" t="str">
            <v>519399</v>
          </cell>
        </row>
        <row r="6549">
          <cell r="N6549" t="str">
            <v>8259141</v>
          </cell>
          <cell r="O6549" t="str">
            <v/>
          </cell>
          <cell r="P6549" t="str">
            <v/>
          </cell>
          <cell r="Q6549" t="str">
            <v/>
          </cell>
        </row>
        <row r="6550">
          <cell r="N6550" t="str">
            <v>8259141</v>
          </cell>
          <cell r="O6550" t="str">
            <v>ONL</v>
          </cell>
          <cell r="P6550" t="str">
            <v>ONL8259141</v>
          </cell>
          <cell r="Q6550" t="str">
            <v/>
          </cell>
        </row>
        <row r="6551">
          <cell r="N6551" t="str">
            <v>8259141</v>
          </cell>
          <cell r="O6551" t="str">
            <v>1ME</v>
          </cell>
          <cell r="P6551" t="str">
            <v>1ME8259141</v>
          </cell>
          <cell r="Q6551" t="str">
            <v/>
          </cell>
        </row>
        <row r="6552">
          <cell r="N6552" t="str">
            <v>8259141</v>
          </cell>
          <cell r="O6552" t="str">
            <v>996</v>
          </cell>
          <cell r="P6552" t="str">
            <v>9968259141</v>
          </cell>
          <cell r="Q6552" t="str">
            <v/>
          </cell>
        </row>
        <row r="6553">
          <cell r="N6553" t="str">
            <v>8259142</v>
          </cell>
          <cell r="O6553" t="str">
            <v/>
          </cell>
          <cell r="P6553" t="str">
            <v/>
          </cell>
          <cell r="Q6553" t="str">
            <v/>
          </cell>
        </row>
        <row r="6554">
          <cell r="N6554" t="str">
            <v>8259142</v>
          </cell>
          <cell r="O6554" t="str">
            <v>1ME</v>
          </cell>
          <cell r="P6554" t="str">
            <v>1ME8259142</v>
          </cell>
          <cell r="Q6554" t="str">
            <v/>
          </cell>
        </row>
        <row r="6555">
          <cell r="N6555" t="str">
            <v>8259142</v>
          </cell>
          <cell r="O6555" t="str">
            <v>701</v>
          </cell>
          <cell r="P6555" t="str">
            <v>7018259142</v>
          </cell>
          <cell r="Q6555" t="str">
            <v/>
          </cell>
        </row>
        <row r="6556">
          <cell r="N6556" t="str">
            <v>8259142</v>
          </cell>
          <cell r="O6556" t="str">
            <v>996</v>
          </cell>
          <cell r="P6556" t="str">
            <v>9968259142</v>
          </cell>
          <cell r="Q6556" t="str">
            <v/>
          </cell>
        </row>
        <row r="6557">
          <cell r="N6557" t="str">
            <v>8259143</v>
          </cell>
          <cell r="O6557" t="str">
            <v/>
          </cell>
          <cell r="P6557" t="str">
            <v/>
          </cell>
          <cell r="Q6557" t="str">
            <v>519399</v>
          </cell>
        </row>
        <row r="6558">
          <cell r="N6558" t="str">
            <v>8259143</v>
          </cell>
          <cell r="O6558" t="str">
            <v>1ME</v>
          </cell>
          <cell r="P6558" t="str">
            <v>1ME8259143</v>
          </cell>
          <cell r="Q6558" t="str">
            <v>519399</v>
          </cell>
        </row>
        <row r="6559">
          <cell r="N6559" t="str">
            <v>8259143</v>
          </cell>
          <cell r="O6559" t="str">
            <v>701</v>
          </cell>
          <cell r="P6559" t="str">
            <v>7018259143</v>
          </cell>
          <cell r="Q6559" t="str">
            <v>519399</v>
          </cell>
        </row>
        <row r="6560">
          <cell r="N6560" t="str">
            <v>8259143</v>
          </cell>
          <cell r="O6560" t="str">
            <v>996</v>
          </cell>
          <cell r="P6560" t="str">
            <v>9968259143</v>
          </cell>
          <cell r="Q6560" t="str">
            <v>519399</v>
          </cell>
        </row>
        <row r="6561">
          <cell r="N6561" t="str">
            <v>8259144</v>
          </cell>
          <cell r="O6561" t="str">
            <v/>
          </cell>
          <cell r="P6561" t="str">
            <v/>
          </cell>
          <cell r="Q6561" t="str">
            <v>502031047</v>
          </cell>
        </row>
        <row r="6562">
          <cell r="N6562" t="str">
            <v>8259144</v>
          </cell>
          <cell r="O6562" t="str">
            <v>T30</v>
          </cell>
          <cell r="P6562" t="str">
            <v>T308259144</v>
          </cell>
          <cell r="Q6562" t="str">
            <v>502031047</v>
          </cell>
        </row>
        <row r="6563">
          <cell r="N6563" t="str">
            <v>8259144</v>
          </cell>
          <cell r="O6563" t="str">
            <v>690</v>
          </cell>
          <cell r="P6563" t="str">
            <v>6908259144</v>
          </cell>
          <cell r="Q6563" t="str">
            <v>502031047</v>
          </cell>
        </row>
        <row r="6564">
          <cell r="N6564" t="str">
            <v>8259146</v>
          </cell>
          <cell r="O6564" t="str">
            <v/>
          </cell>
          <cell r="P6564" t="str">
            <v/>
          </cell>
          <cell r="Q6564" t="str">
            <v/>
          </cell>
        </row>
        <row r="6565">
          <cell r="N6565" t="str">
            <v>8259146</v>
          </cell>
          <cell r="O6565" t="str">
            <v>ONL</v>
          </cell>
          <cell r="P6565" t="str">
            <v>ONL8259146</v>
          </cell>
          <cell r="Q6565" t="str">
            <v/>
          </cell>
        </row>
        <row r="6566">
          <cell r="N6566" t="str">
            <v>8259149</v>
          </cell>
          <cell r="O6566" t="str">
            <v/>
          </cell>
          <cell r="P6566" t="str">
            <v/>
          </cell>
          <cell r="Q6566" t="str">
            <v>502031047</v>
          </cell>
        </row>
        <row r="6567">
          <cell r="N6567" t="str">
            <v>8259149</v>
          </cell>
          <cell r="O6567" t="str">
            <v>ELI</v>
          </cell>
          <cell r="P6567" t="str">
            <v>ELI8259149</v>
          </cell>
          <cell r="Q6567" t="str">
            <v>502031047</v>
          </cell>
        </row>
        <row r="6568">
          <cell r="N6568" t="str">
            <v>8259149</v>
          </cell>
          <cell r="O6568" t="str">
            <v>1ME</v>
          </cell>
          <cell r="P6568" t="str">
            <v>1ME8259149</v>
          </cell>
          <cell r="Q6568" t="str">
            <v>502031047</v>
          </cell>
        </row>
        <row r="6569">
          <cell r="N6569" t="str">
            <v>825919</v>
          </cell>
          <cell r="O6569" t="str">
            <v/>
          </cell>
          <cell r="P6569" t="str">
            <v/>
          </cell>
          <cell r="Q6569" t="str">
            <v>519399</v>
          </cell>
        </row>
        <row r="6570">
          <cell r="N6570" t="str">
            <v>825919</v>
          </cell>
          <cell r="O6570" t="str">
            <v>996</v>
          </cell>
          <cell r="P6570" t="str">
            <v>996825919</v>
          </cell>
          <cell r="Q6570" t="str">
            <v>519399</v>
          </cell>
        </row>
        <row r="6571">
          <cell r="N6571" t="str">
            <v>82592</v>
          </cell>
          <cell r="O6571" t="str">
            <v/>
          </cell>
          <cell r="P6571" t="str">
            <v/>
          </cell>
          <cell r="Q6571" t="str">
            <v/>
          </cell>
        </row>
        <row r="6572">
          <cell r="N6572" t="str">
            <v>82592</v>
          </cell>
          <cell r="O6572" t="str">
            <v>LO1</v>
          </cell>
          <cell r="P6572" t="str">
            <v>LO182592</v>
          </cell>
          <cell r="Q6572" t="str">
            <v/>
          </cell>
        </row>
        <row r="6573">
          <cell r="N6573" t="str">
            <v>82592</v>
          </cell>
          <cell r="O6573" t="str">
            <v>ONL</v>
          </cell>
          <cell r="P6573" t="str">
            <v>ONL82592</v>
          </cell>
          <cell r="Q6573" t="str">
            <v/>
          </cell>
        </row>
        <row r="6574">
          <cell r="N6574" t="str">
            <v>82592</v>
          </cell>
          <cell r="O6574" t="str">
            <v>1ME</v>
          </cell>
          <cell r="P6574" t="str">
            <v>1ME82592</v>
          </cell>
          <cell r="Q6574" t="str">
            <v/>
          </cell>
        </row>
        <row r="6575">
          <cell r="N6575" t="str">
            <v>82592</v>
          </cell>
          <cell r="O6575" t="str">
            <v>111</v>
          </cell>
          <cell r="P6575" t="str">
            <v>11182592</v>
          </cell>
          <cell r="Q6575" t="str">
            <v/>
          </cell>
        </row>
        <row r="6576">
          <cell r="N6576" t="str">
            <v>825920</v>
          </cell>
          <cell r="O6576" t="str">
            <v/>
          </cell>
          <cell r="P6576" t="str">
            <v/>
          </cell>
          <cell r="Q6576" t="str">
            <v>519399</v>
          </cell>
        </row>
        <row r="6577">
          <cell r="N6577" t="str">
            <v>825920</v>
          </cell>
          <cell r="O6577" t="str">
            <v>T30</v>
          </cell>
          <cell r="P6577" t="str">
            <v>T30825920</v>
          </cell>
          <cell r="Q6577" t="str">
            <v>519399</v>
          </cell>
        </row>
        <row r="6578">
          <cell r="N6578" t="str">
            <v>825929</v>
          </cell>
          <cell r="O6578" t="str">
            <v/>
          </cell>
          <cell r="P6578" t="str">
            <v/>
          </cell>
          <cell r="Q6578" t="str">
            <v/>
          </cell>
        </row>
        <row r="6579">
          <cell r="N6579" t="str">
            <v>825929</v>
          </cell>
          <cell r="O6579" t="str">
            <v>TRP</v>
          </cell>
          <cell r="P6579" t="str">
            <v>TRP825929</v>
          </cell>
          <cell r="Q6579" t="str">
            <v/>
          </cell>
        </row>
        <row r="6580">
          <cell r="N6580" t="str">
            <v>82593</v>
          </cell>
          <cell r="O6580" t="str">
            <v/>
          </cell>
          <cell r="P6580" t="str">
            <v/>
          </cell>
          <cell r="Q6580" t="str">
            <v/>
          </cell>
        </row>
        <row r="6581">
          <cell r="N6581" t="str">
            <v>82593</v>
          </cell>
          <cell r="O6581" t="str">
            <v>EDX</v>
          </cell>
          <cell r="P6581" t="str">
            <v>EDX82593</v>
          </cell>
          <cell r="Q6581" t="str">
            <v/>
          </cell>
        </row>
        <row r="6582">
          <cell r="N6582" t="str">
            <v>82593</v>
          </cell>
          <cell r="O6582" t="str">
            <v>ONL</v>
          </cell>
          <cell r="P6582" t="str">
            <v>ONL82593</v>
          </cell>
          <cell r="Q6582" t="str">
            <v/>
          </cell>
        </row>
        <row r="6583">
          <cell r="N6583" t="str">
            <v>82593</v>
          </cell>
          <cell r="O6583" t="str">
            <v>T30</v>
          </cell>
          <cell r="P6583" t="str">
            <v>T3082593</v>
          </cell>
          <cell r="Q6583" t="str">
            <v/>
          </cell>
        </row>
        <row r="6584">
          <cell r="N6584" t="str">
            <v>825941</v>
          </cell>
          <cell r="O6584" t="str">
            <v/>
          </cell>
          <cell r="P6584" t="str">
            <v/>
          </cell>
          <cell r="Q6584" t="str">
            <v/>
          </cell>
        </row>
        <row r="6585">
          <cell r="N6585" t="str">
            <v>825941</v>
          </cell>
          <cell r="O6585" t="str">
            <v>1ME</v>
          </cell>
          <cell r="P6585" t="str">
            <v>1ME825941</v>
          </cell>
          <cell r="Q6585" t="str">
            <v/>
          </cell>
        </row>
        <row r="6586">
          <cell r="N6586" t="str">
            <v>8259411</v>
          </cell>
          <cell r="O6586" t="str">
            <v/>
          </cell>
          <cell r="P6586" t="str">
            <v/>
          </cell>
          <cell r="Q6586" t="str">
            <v>51931</v>
          </cell>
        </row>
        <row r="6587">
          <cell r="N6587" t="str">
            <v>8259411</v>
          </cell>
          <cell r="O6587" t="str">
            <v>T30</v>
          </cell>
          <cell r="P6587" t="str">
            <v>T308259411</v>
          </cell>
          <cell r="Q6587" t="str">
            <v>51931</v>
          </cell>
        </row>
        <row r="6588">
          <cell r="N6588" t="str">
            <v>8259411</v>
          </cell>
          <cell r="O6588" t="str">
            <v>1ME</v>
          </cell>
          <cell r="P6588" t="str">
            <v>1ME8259411</v>
          </cell>
          <cell r="Q6588" t="str">
            <v>51931</v>
          </cell>
        </row>
        <row r="6589">
          <cell r="N6589" t="str">
            <v>825942</v>
          </cell>
          <cell r="O6589" t="str">
            <v/>
          </cell>
          <cell r="P6589" t="str">
            <v/>
          </cell>
          <cell r="Q6589" t="str">
            <v>51950</v>
          </cell>
        </row>
        <row r="6590">
          <cell r="N6590" t="str">
            <v>825942</v>
          </cell>
          <cell r="O6590" t="str">
            <v>T30</v>
          </cell>
          <cell r="P6590" t="str">
            <v>T30825942</v>
          </cell>
          <cell r="Q6590" t="str">
            <v>51950</v>
          </cell>
        </row>
        <row r="6591">
          <cell r="N6591" t="str">
            <v>825942</v>
          </cell>
          <cell r="O6591" t="str">
            <v>1ME</v>
          </cell>
          <cell r="P6591" t="str">
            <v>1ME825942</v>
          </cell>
          <cell r="Q6591" t="str">
            <v>51950</v>
          </cell>
        </row>
        <row r="6592">
          <cell r="N6592" t="str">
            <v>825943</v>
          </cell>
          <cell r="O6592" t="str">
            <v/>
          </cell>
          <cell r="P6592" t="str">
            <v/>
          </cell>
          <cell r="Q6592" t="str">
            <v>51950</v>
          </cell>
        </row>
        <row r="6593">
          <cell r="N6593" t="str">
            <v>825943</v>
          </cell>
          <cell r="O6593" t="str">
            <v>1ME</v>
          </cell>
          <cell r="P6593" t="str">
            <v>1ME825943</v>
          </cell>
          <cell r="Q6593" t="str">
            <v>51950</v>
          </cell>
        </row>
        <row r="6594">
          <cell r="N6594" t="str">
            <v>825944</v>
          </cell>
          <cell r="O6594" t="str">
            <v/>
          </cell>
          <cell r="P6594" t="str">
            <v/>
          </cell>
          <cell r="Q6594" t="str">
            <v>512018</v>
          </cell>
        </row>
        <row r="6595">
          <cell r="N6595" t="str">
            <v>825944</v>
          </cell>
          <cell r="O6595" t="str">
            <v>UKU</v>
          </cell>
          <cell r="P6595" t="str">
            <v>UKU825944</v>
          </cell>
          <cell r="Q6595" t="str">
            <v>512018</v>
          </cell>
        </row>
        <row r="6596">
          <cell r="N6596" t="str">
            <v>825949</v>
          </cell>
          <cell r="O6596" t="str">
            <v/>
          </cell>
          <cell r="P6596" t="str">
            <v/>
          </cell>
          <cell r="Q6596" t="str">
            <v>51959</v>
          </cell>
        </row>
        <row r="6597">
          <cell r="N6597" t="str">
            <v>825949</v>
          </cell>
          <cell r="O6597" t="str">
            <v>1ME</v>
          </cell>
          <cell r="P6597" t="str">
            <v>1ME825949</v>
          </cell>
          <cell r="Q6597" t="str">
            <v>51959</v>
          </cell>
        </row>
        <row r="6598">
          <cell r="N6598" t="str">
            <v>825970</v>
          </cell>
          <cell r="O6598" t="str">
            <v/>
          </cell>
          <cell r="P6598" t="str">
            <v/>
          </cell>
          <cell r="Q6598" t="str">
            <v>5194</v>
          </cell>
        </row>
        <row r="6599">
          <cell r="N6599" t="str">
            <v>825970</v>
          </cell>
          <cell r="O6599" t="str">
            <v>RCU</v>
          </cell>
          <cell r="P6599" t="str">
            <v>RCU825970</v>
          </cell>
          <cell r="Q6599" t="str">
            <v>5194</v>
          </cell>
        </row>
        <row r="6600">
          <cell r="N6600" t="str">
            <v>825970</v>
          </cell>
          <cell r="O6600" t="str">
            <v>T30</v>
          </cell>
          <cell r="P6600" t="str">
            <v>T30825970</v>
          </cell>
          <cell r="Q6600" t="str">
            <v>5194</v>
          </cell>
        </row>
        <row r="6601">
          <cell r="N6601" t="str">
            <v>825970</v>
          </cell>
          <cell r="O6601" t="str">
            <v>1ME</v>
          </cell>
          <cell r="P6601" t="str">
            <v>1ME825970</v>
          </cell>
          <cell r="Q6601" t="str">
            <v>5194</v>
          </cell>
        </row>
        <row r="6602">
          <cell r="N6602" t="str">
            <v>825971</v>
          </cell>
          <cell r="O6602" t="str">
            <v/>
          </cell>
          <cell r="P6602" t="str">
            <v/>
          </cell>
          <cell r="Q6602" t="str">
            <v>5194</v>
          </cell>
        </row>
        <row r="6603">
          <cell r="N6603" t="str">
            <v>825971</v>
          </cell>
          <cell r="O6603" t="str">
            <v>CL4</v>
          </cell>
          <cell r="P6603" t="str">
            <v>CL4825971</v>
          </cell>
          <cell r="Q6603" t="str">
            <v>5194</v>
          </cell>
        </row>
        <row r="6604">
          <cell r="N6604" t="str">
            <v>825972</v>
          </cell>
          <cell r="O6604" t="str">
            <v/>
          </cell>
          <cell r="P6604" t="str">
            <v/>
          </cell>
          <cell r="Q6604" t="str">
            <v>5194</v>
          </cell>
        </row>
        <row r="6605">
          <cell r="N6605" t="str">
            <v>825972</v>
          </cell>
          <cell r="O6605" t="str">
            <v>T30</v>
          </cell>
          <cell r="P6605" t="str">
            <v>T30825972</v>
          </cell>
          <cell r="Q6605" t="str">
            <v>5194</v>
          </cell>
        </row>
        <row r="6606">
          <cell r="N6606" t="str">
            <v>825972</v>
          </cell>
          <cell r="O6606" t="str">
            <v>1ME</v>
          </cell>
          <cell r="P6606" t="str">
            <v>1ME825972</v>
          </cell>
          <cell r="Q6606" t="str">
            <v>5194</v>
          </cell>
        </row>
        <row r="6607">
          <cell r="N6607" t="str">
            <v>825973</v>
          </cell>
          <cell r="O6607" t="str">
            <v/>
          </cell>
          <cell r="P6607" t="str">
            <v/>
          </cell>
          <cell r="Q6607" t="str">
            <v>5194</v>
          </cell>
        </row>
        <row r="6608">
          <cell r="N6608" t="str">
            <v>825973</v>
          </cell>
          <cell r="O6608" t="str">
            <v>1ME</v>
          </cell>
          <cell r="P6608" t="str">
            <v>1ME825973</v>
          </cell>
          <cell r="Q6608" t="str">
            <v>5194</v>
          </cell>
        </row>
        <row r="6609">
          <cell r="N6609" t="str">
            <v>825975</v>
          </cell>
          <cell r="O6609" t="str">
            <v/>
          </cell>
          <cell r="P6609" t="str">
            <v/>
          </cell>
          <cell r="Q6609" t="str">
            <v>5194</v>
          </cell>
        </row>
        <row r="6610">
          <cell r="N6610" t="str">
            <v>825975</v>
          </cell>
          <cell r="O6610" t="str">
            <v>T30</v>
          </cell>
          <cell r="P6610" t="str">
            <v>T30825975</v>
          </cell>
          <cell r="Q6610" t="str">
            <v>5194</v>
          </cell>
        </row>
        <row r="6611">
          <cell r="N6611" t="str">
            <v>825975</v>
          </cell>
          <cell r="O6611" t="str">
            <v>1ME</v>
          </cell>
          <cell r="P6611" t="str">
            <v>1ME825975</v>
          </cell>
          <cell r="Q6611" t="str">
            <v>5194</v>
          </cell>
        </row>
        <row r="6612">
          <cell r="N6612" t="str">
            <v>825979</v>
          </cell>
          <cell r="O6612" t="str">
            <v/>
          </cell>
          <cell r="P6612" t="str">
            <v/>
          </cell>
          <cell r="Q6612" t="str">
            <v>5194</v>
          </cell>
        </row>
        <row r="6613">
          <cell r="N6613" t="str">
            <v>825979</v>
          </cell>
          <cell r="O6613" t="str">
            <v>T30</v>
          </cell>
          <cell r="P6613" t="str">
            <v>T30825979</v>
          </cell>
          <cell r="Q6613" t="str">
            <v>5194</v>
          </cell>
        </row>
        <row r="6614">
          <cell r="N6614" t="str">
            <v>825979</v>
          </cell>
          <cell r="O6614" t="str">
            <v>1ME</v>
          </cell>
          <cell r="P6614" t="str">
            <v>1ME825979</v>
          </cell>
          <cell r="Q6614" t="str">
            <v>5194</v>
          </cell>
        </row>
        <row r="6615">
          <cell r="N6615" t="str">
            <v>825979</v>
          </cell>
          <cell r="O6615" t="str">
            <v>47A</v>
          </cell>
          <cell r="P6615" t="str">
            <v>47A825979</v>
          </cell>
          <cell r="Q6615" t="str">
            <v>5194</v>
          </cell>
        </row>
        <row r="6616">
          <cell r="N6616" t="str">
            <v>82598</v>
          </cell>
          <cell r="O6616" t="str">
            <v/>
          </cell>
          <cell r="P6616" t="str">
            <v/>
          </cell>
          <cell r="Q6616" t="str">
            <v>502031047</v>
          </cell>
        </row>
        <row r="6617">
          <cell r="N6617" t="str">
            <v>82598</v>
          </cell>
          <cell r="O6617" t="str">
            <v>1ME</v>
          </cell>
          <cell r="P6617" t="str">
            <v>1ME82598</v>
          </cell>
          <cell r="Q6617" t="str">
            <v>502031047</v>
          </cell>
        </row>
        <row r="6618">
          <cell r="N6618" t="str">
            <v>82599</v>
          </cell>
          <cell r="O6618" t="str">
            <v/>
          </cell>
          <cell r="P6618" t="str">
            <v/>
          </cell>
          <cell r="Q6618" t="str">
            <v>519399</v>
          </cell>
        </row>
        <row r="6619">
          <cell r="N6619" t="str">
            <v>82599</v>
          </cell>
          <cell r="O6619" t="str">
            <v>BS1</v>
          </cell>
          <cell r="P6619" t="str">
            <v>BS182599</v>
          </cell>
          <cell r="Q6619" t="str">
            <v>519399</v>
          </cell>
        </row>
        <row r="6620">
          <cell r="N6620" t="str">
            <v>82599</v>
          </cell>
          <cell r="O6620" t="str">
            <v>CEM</v>
          </cell>
          <cell r="P6620" t="str">
            <v>CEM82599</v>
          </cell>
          <cell r="Q6620" t="str">
            <v>519399</v>
          </cell>
        </row>
        <row r="6621">
          <cell r="N6621" t="str">
            <v>82599</v>
          </cell>
          <cell r="O6621" t="str">
            <v>TIT</v>
          </cell>
          <cell r="P6621" t="str">
            <v>TIT82599</v>
          </cell>
          <cell r="Q6621" t="str">
            <v>519399</v>
          </cell>
        </row>
        <row r="6622">
          <cell r="N6622" t="str">
            <v>82599</v>
          </cell>
          <cell r="O6622" t="str">
            <v>T30</v>
          </cell>
          <cell r="P6622" t="str">
            <v>T3082599</v>
          </cell>
          <cell r="Q6622" t="str">
            <v>519399</v>
          </cell>
        </row>
        <row r="6623">
          <cell r="N6623" t="str">
            <v>82599</v>
          </cell>
          <cell r="O6623" t="str">
            <v>1ME</v>
          </cell>
          <cell r="P6623" t="str">
            <v>1ME82599</v>
          </cell>
          <cell r="Q6623" t="str">
            <v>519399</v>
          </cell>
        </row>
        <row r="6624">
          <cell r="N6624" t="str">
            <v>8261</v>
          </cell>
          <cell r="O6624" t="str">
            <v/>
          </cell>
          <cell r="P6624" t="str">
            <v/>
          </cell>
          <cell r="Q6624" t="str">
            <v>502031042</v>
          </cell>
        </row>
        <row r="6625">
          <cell r="N6625" t="str">
            <v>8261</v>
          </cell>
          <cell r="O6625" t="str">
            <v>ONL</v>
          </cell>
          <cell r="P6625" t="str">
            <v>ONL8261</v>
          </cell>
          <cell r="Q6625" t="str">
            <v>502031042</v>
          </cell>
        </row>
        <row r="6626">
          <cell r="N6626" t="str">
            <v>8261</v>
          </cell>
          <cell r="O6626" t="str">
            <v>S05</v>
          </cell>
          <cell r="P6626" t="str">
            <v>S058261</v>
          </cell>
          <cell r="Q6626" t="str">
            <v>502031042</v>
          </cell>
        </row>
        <row r="6627">
          <cell r="N6627" t="str">
            <v>8261</v>
          </cell>
          <cell r="O6627" t="str">
            <v>S06</v>
          </cell>
          <cell r="P6627" t="str">
            <v>S068261</v>
          </cell>
          <cell r="Q6627" t="str">
            <v>502031042</v>
          </cell>
        </row>
        <row r="6628">
          <cell r="N6628" t="str">
            <v>82800</v>
          </cell>
          <cell r="O6628" t="str">
            <v/>
          </cell>
          <cell r="P6628" t="str">
            <v/>
          </cell>
          <cell r="Q6628" t="str">
            <v/>
          </cell>
        </row>
        <row r="6629">
          <cell r="N6629" t="str">
            <v>82800</v>
          </cell>
          <cell r="O6629" t="str">
            <v>CCC</v>
          </cell>
          <cell r="P6629" t="str">
            <v>CCC82800</v>
          </cell>
          <cell r="Q6629" t="str">
            <v/>
          </cell>
        </row>
        <row r="6630">
          <cell r="N6630" t="str">
            <v>82800</v>
          </cell>
          <cell r="O6630" t="str">
            <v>REG</v>
          </cell>
          <cell r="P6630" t="str">
            <v>REG82800</v>
          </cell>
          <cell r="Q6630" t="str">
            <v/>
          </cell>
        </row>
        <row r="6631">
          <cell r="N6631" t="str">
            <v>82800</v>
          </cell>
          <cell r="O6631" t="str">
            <v>T30</v>
          </cell>
          <cell r="P6631" t="str">
            <v>T3082800</v>
          </cell>
          <cell r="Q6631" t="str">
            <v/>
          </cell>
        </row>
        <row r="6632">
          <cell r="N6632" t="str">
            <v>82800</v>
          </cell>
          <cell r="O6632" t="str">
            <v>1ME</v>
          </cell>
          <cell r="P6632" t="str">
            <v>1ME82800</v>
          </cell>
          <cell r="Q6632" t="str">
            <v/>
          </cell>
        </row>
        <row r="6633">
          <cell r="N6633" t="str">
            <v>82800</v>
          </cell>
          <cell r="O6633" t="str">
            <v>701</v>
          </cell>
          <cell r="P6633" t="str">
            <v>70182800</v>
          </cell>
          <cell r="Q6633" t="str">
            <v/>
          </cell>
        </row>
        <row r="6634">
          <cell r="N6634" t="str">
            <v>82801</v>
          </cell>
          <cell r="O6634" t="str">
            <v/>
          </cell>
          <cell r="P6634" t="str">
            <v/>
          </cell>
          <cell r="Q6634" t="str">
            <v>51401</v>
          </cell>
        </row>
        <row r="6635">
          <cell r="N6635" t="str">
            <v>82801</v>
          </cell>
          <cell r="O6635" t="str">
            <v>T30</v>
          </cell>
          <cell r="P6635" t="str">
            <v>T3082801</v>
          </cell>
          <cell r="Q6635" t="str">
            <v>51401</v>
          </cell>
        </row>
        <row r="6636">
          <cell r="N6636" t="str">
            <v>82810</v>
          </cell>
          <cell r="O6636" t="str">
            <v/>
          </cell>
          <cell r="P6636" t="str">
            <v/>
          </cell>
          <cell r="Q6636" t="str">
            <v>5148</v>
          </cell>
        </row>
        <row r="6637">
          <cell r="N6637" t="str">
            <v>82810</v>
          </cell>
          <cell r="O6637" t="str">
            <v>T30</v>
          </cell>
          <cell r="P6637" t="str">
            <v>T3082810</v>
          </cell>
          <cell r="Q6637" t="str">
            <v>5148</v>
          </cell>
        </row>
        <row r="6638">
          <cell r="N6638" t="str">
            <v>82810</v>
          </cell>
          <cell r="O6638" t="str">
            <v>1ME</v>
          </cell>
          <cell r="P6638" t="str">
            <v>1ME82810</v>
          </cell>
          <cell r="Q6638" t="str">
            <v>5148</v>
          </cell>
        </row>
        <row r="6639">
          <cell r="N6639" t="str">
            <v>8291</v>
          </cell>
          <cell r="O6639" t="str">
            <v/>
          </cell>
          <cell r="P6639" t="str">
            <v/>
          </cell>
          <cell r="Q6639" t="str">
            <v>51999</v>
          </cell>
        </row>
        <row r="6640">
          <cell r="N6640" t="str">
            <v>8291</v>
          </cell>
          <cell r="O6640" t="str">
            <v>UPW</v>
          </cell>
          <cell r="P6640" t="str">
            <v>UPW8291</v>
          </cell>
          <cell r="Q6640" t="str">
            <v>51999</v>
          </cell>
        </row>
        <row r="6641">
          <cell r="N6641" t="str">
            <v>8291</v>
          </cell>
          <cell r="O6641" t="str">
            <v>1ME</v>
          </cell>
          <cell r="P6641" t="str">
            <v>1ME8291</v>
          </cell>
          <cell r="Q6641" t="str">
            <v>51999</v>
          </cell>
        </row>
        <row r="6642">
          <cell r="N6642" t="str">
            <v>8292</v>
          </cell>
          <cell r="O6642" t="str">
            <v/>
          </cell>
          <cell r="P6642" t="str">
            <v/>
          </cell>
          <cell r="Q6642" t="str">
            <v>51999</v>
          </cell>
        </row>
        <row r="6643">
          <cell r="N6643" t="str">
            <v>8292</v>
          </cell>
          <cell r="O6643" t="str">
            <v>T30</v>
          </cell>
          <cell r="P6643" t="str">
            <v>T308292</v>
          </cell>
          <cell r="Q6643" t="str">
            <v>51999</v>
          </cell>
        </row>
        <row r="6644">
          <cell r="N6644" t="str">
            <v>8293</v>
          </cell>
          <cell r="O6644" t="str">
            <v/>
          </cell>
          <cell r="P6644" t="str">
            <v/>
          </cell>
          <cell r="Q6644" t="str">
            <v>51999</v>
          </cell>
        </row>
        <row r="6645">
          <cell r="N6645" t="str">
            <v>8293</v>
          </cell>
          <cell r="O6645" t="str">
            <v>T30</v>
          </cell>
          <cell r="P6645" t="str">
            <v>T308293</v>
          </cell>
          <cell r="Q6645" t="str">
            <v>51999</v>
          </cell>
        </row>
        <row r="6646">
          <cell r="N6646" t="str">
            <v>8294</v>
          </cell>
          <cell r="O6646" t="str">
            <v/>
          </cell>
          <cell r="P6646" t="str">
            <v/>
          </cell>
          <cell r="Q6646" t="str">
            <v/>
          </cell>
        </row>
        <row r="6647">
          <cell r="N6647" t="str">
            <v>8294</v>
          </cell>
          <cell r="O6647" t="str">
            <v>LNO</v>
          </cell>
          <cell r="P6647" t="str">
            <v>LNO8294</v>
          </cell>
          <cell r="Q6647" t="str">
            <v/>
          </cell>
        </row>
        <row r="6648">
          <cell r="N6648" t="str">
            <v>829800</v>
          </cell>
          <cell r="O6648" t="str">
            <v/>
          </cell>
          <cell r="P6648" t="str">
            <v/>
          </cell>
          <cell r="Q6648" t="str">
            <v/>
          </cell>
        </row>
        <row r="6649">
          <cell r="N6649" t="str">
            <v>829800</v>
          </cell>
          <cell r="O6649" t="str">
            <v>T30</v>
          </cell>
          <cell r="P6649" t="str">
            <v>T30829800</v>
          </cell>
          <cell r="Q6649" t="str">
            <v/>
          </cell>
        </row>
        <row r="6650">
          <cell r="N6650" t="str">
            <v>829800</v>
          </cell>
          <cell r="O6650" t="str">
            <v>YKA</v>
          </cell>
          <cell r="P6650" t="str">
            <v>YKA829800</v>
          </cell>
          <cell r="Q6650" t="str">
            <v/>
          </cell>
        </row>
        <row r="6651">
          <cell r="N6651" t="str">
            <v>829800</v>
          </cell>
          <cell r="O6651" t="str">
            <v>42A</v>
          </cell>
          <cell r="P6651" t="str">
            <v>42A829800</v>
          </cell>
          <cell r="Q6651" t="str">
            <v/>
          </cell>
        </row>
        <row r="6652">
          <cell r="N6652" t="str">
            <v>829803</v>
          </cell>
          <cell r="O6652" t="str">
            <v/>
          </cell>
          <cell r="P6652" t="str">
            <v/>
          </cell>
          <cell r="Q6652" t="str">
            <v/>
          </cell>
        </row>
        <row r="6653">
          <cell r="N6653" t="str">
            <v>829803</v>
          </cell>
          <cell r="O6653" t="str">
            <v>1ME</v>
          </cell>
          <cell r="P6653" t="str">
            <v>1ME829803</v>
          </cell>
          <cell r="Q6653" t="str">
            <v/>
          </cell>
        </row>
        <row r="6654">
          <cell r="N6654" t="str">
            <v>829803</v>
          </cell>
          <cell r="O6654" t="str">
            <v>111</v>
          </cell>
          <cell r="P6654" t="str">
            <v>111829803</v>
          </cell>
          <cell r="Q6654" t="str">
            <v/>
          </cell>
        </row>
        <row r="6655">
          <cell r="N6655" t="str">
            <v>829809</v>
          </cell>
          <cell r="O6655" t="str">
            <v/>
          </cell>
          <cell r="P6655" t="str">
            <v/>
          </cell>
          <cell r="Q6655" t="str">
            <v/>
          </cell>
        </row>
        <row r="6656">
          <cell r="N6656" t="str">
            <v>829809</v>
          </cell>
          <cell r="O6656" t="str">
            <v>T30</v>
          </cell>
          <cell r="P6656" t="str">
            <v>T30829809</v>
          </cell>
          <cell r="Q6656" t="str">
            <v/>
          </cell>
        </row>
        <row r="6657">
          <cell r="N6657" t="str">
            <v>829809</v>
          </cell>
          <cell r="O6657" t="str">
            <v>YCX</v>
          </cell>
          <cell r="P6657" t="str">
            <v>YCX829809</v>
          </cell>
          <cell r="Q6657" t="str">
            <v/>
          </cell>
        </row>
        <row r="6658">
          <cell r="N6658" t="str">
            <v>829809</v>
          </cell>
          <cell r="O6658" t="str">
            <v>YFB</v>
          </cell>
          <cell r="P6658" t="str">
            <v>YFB829809</v>
          </cell>
          <cell r="Q6658" t="str">
            <v/>
          </cell>
        </row>
        <row r="6659">
          <cell r="N6659" t="str">
            <v>829809</v>
          </cell>
          <cell r="O6659" t="str">
            <v>1ME</v>
          </cell>
          <cell r="P6659" t="str">
            <v>1ME829809</v>
          </cell>
          <cell r="Q6659" t="str">
            <v/>
          </cell>
        </row>
        <row r="6660">
          <cell r="N6660" t="str">
            <v>829809</v>
          </cell>
          <cell r="O6660" t="str">
            <v>111</v>
          </cell>
          <cell r="P6660" t="str">
            <v>111829809</v>
          </cell>
          <cell r="Q6660" t="str">
            <v/>
          </cell>
        </row>
        <row r="6661">
          <cell r="N6661" t="str">
            <v>82981</v>
          </cell>
          <cell r="O6661" t="str">
            <v/>
          </cell>
          <cell r="P6661" t="str">
            <v/>
          </cell>
          <cell r="Q6661" t="str">
            <v/>
          </cell>
        </row>
        <row r="6662">
          <cell r="N6662" t="str">
            <v>82981</v>
          </cell>
          <cell r="O6662" t="str">
            <v>CLM</v>
          </cell>
          <cell r="P6662" t="str">
            <v>CLM82981</v>
          </cell>
          <cell r="Q6662" t="str">
            <v/>
          </cell>
        </row>
        <row r="6663">
          <cell r="N6663" t="str">
            <v>82981</v>
          </cell>
          <cell r="O6663" t="str">
            <v>CNA</v>
          </cell>
          <cell r="P6663" t="str">
            <v>CNA82981</v>
          </cell>
          <cell r="Q6663" t="str">
            <v/>
          </cell>
        </row>
        <row r="6664">
          <cell r="N6664" t="str">
            <v>82981</v>
          </cell>
          <cell r="O6664" t="str">
            <v>SSH</v>
          </cell>
          <cell r="P6664" t="str">
            <v>SSH82981</v>
          </cell>
          <cell r="Q6664" t="str">
            <v/>
          </cell>
        </row>
        <row r="6665">
          <cell r="N6665" t="str">
            <v>82981</v>
          </cell>
          <cell r="O6665" t="str">
            <v>SSL</v>
          </cell>
          <cell r="P6665" t="str">
            <v>SSL82981</v>
          </cell>
          <cell r="Q6665" t="str">
            <v/>
          </cell>
        </row>
        <row r="6666">
          <cell r="N6666" t="str">
            <v>82981</v>
          </cell>
          <cell r="O6666" t="str">
            <v>T30</v>
          </cell>
          <cell r="P6666" t="str">
            <v>T3082981</v>
          </cell>
          <cell r="Q6666" t="str">
            <v/>
          </cell>
        </row>
        <row r="6667">
          <cell r="N6667" t="str">
            <v>82981</v>
          </cell>
          <cell r="O6667" t="str">
            <v>YDQ</v>
          </cell>
          <cell r="P6667" t="str">
            <v>YDQ82981</v>
          </cell>
          <cell r="Q6667" t="str">
            <v/>
          </cell>
        </row>
        <row r="6668">
          <cell r="N6668" t="str">
            <v>82981</v>
          </cell>
          <cell r="O6668" t="str">
            <v>YFB</v>
          </cell>
          <cell r="P6668" t="str">
            <v>YFB82981</v>
          </cell>
          <cell r="Q6668" t="str">
            <v/>
          </cell>
        </row>
        <row r="6669">
          <cell r="N6669" t="str">
            <v>82981</v>
          </cell>
          <cell r="O6669" t="str">
            <v>1ME</v>
          </cell>
          <cell r="P6669" t="str">
            <v>1ME82981</v>
          </cell>
          <cell r="Q6669" t="str">
            <v/>
          </cell>
        </row>
        <row r="6670">
          <cell r="N6670" t="str">
            <v>8299</v>
          </cell>
          <cell r="O6670" t="str">
            <v/>
          </cell>
          <cell r="P6670" t="str">
            <v/>
          </cell>
          <cell r="Q6670" t="str">
            <v/>
          </cell>
        </row>
        <row r="6671">
          <cell r="N6671" t="str">
            <v>8299</v>
          </cell>
          <cell r="O6671" t="str">
            <v>T30</v>
          </cell>
          <cell r="P6671" t="str">
            <v>T308299</v>
          </cell>
          <cell r="Q6671" t="str">
            <v/>
          </cell>
        </row>
        <row r="6672">
          <cell r="N6672" t="str">
            <v>8299</v>
          </cell>
          <cell r="O6672" t="str">
            <v>1ME</v>
          </cell>
          <cell r="P6672" t="str">
            <v>1ME8299</v>
          </cell>
          <cell r="Q6672" t="str">
            <v/>
          </cell>
        </row>
        <row r="6673">
          <cell r="N6673" t="str">
            <v>8920</v>
          </cell>
          <cell r="O6673" t="str">
            <v/>
          </cell>
          <cell r="P6673" t="str">
            <v/>
          </cell>
          <cell r="Q6673" t="str">
            <v>51999</v>
          </cell>
        </row>
        <row r="6674">
          <cell r="N6674" t="str">
            <v>8920</v>
          </cell>
          <cell r="O6674" t="str">
            <v>1ME</v>
          </cell>
          <cell r="P6674" t="str">
            <v>1ME8920</v>
          </cell>
          <cell r="Q6674" t="str">
            <v>51999</v>
          </cell>
        </row>
        <row r="6675">
          <cell r="N6675" t="str">
            <v>8921</v>
          </cell>
          <cell r="O6675" t="str">
            <v/>
          </cell>
          <cell r="P6675" t="str">
            <v/>
          </cell>
          <cell r="Q6675" t="str">
            <v>5151509</v>
          </cell>
        </row>
        <row r="6676">
          <cell r="N6676" t="str">
            <v>8921</v>
          </cell>
          <cell r="O6676" t="str">
            <v>TRP</v>
          </cell>
          <cell r="P6676" t="str">
            <v>TRP8921</v>
          </cell>
          <cell r="Q6676" t="str">
            <v>5151509</v>
          </cell>
        </row>
        <row r="6677">
          <cell r="N6677" t="str">
            <v>8921</v>
          </cell>
          <cell r="O6677" t="str">
            <v>1ME</v>
          </cell>
          <cell r="P6677" t="str">
            <v>1ME8921</v>
          </cell>
          <cell r="Q6677" t="str">
            <v>5151509</v>
          </cell>
        </row>
        <row r="6678">
          <cell r="N6678" t="str">
            <v>89210</v>
          </cell>
          <cell r="O6678" t="str">
            <v/>
          </cell>
          <cell r="P6678" t="str">
            <v/>
          </cell>
          <cell r="Q6678" t="str">
            <v/>
          </cell>
        </row>
        <row r="6679">
          <cell r="N6679" t="str">
            <v>89210</v>
          </cell>
          <cell r="O6679" t="str">
            <v>CGI</v>
          </cell>
          <cell r="P6679" t="str">
            <v>CGI89210</v>
          </cell>
          <cell r="Q6679" t="str">
            <v/>
          </cell>
        </row>
        <row r="6680">
          <cell r="N6680" t="str">
            <v>89210</v>
          </cell>
          <cell r="O6680" t="str">
            <v>CG1</v>
          </cell>
          <cell r="P6680" t="str">
            <v>CG189210</v>
          </cell>
          <cell r="Q6680" t="str">
            <v/>
          </cell>
        </row>
        <row r="6681">
          <cell r="N6681" t="str">
            <v>89210</v>
          </cell>
          <cell r="O6681" t="str">
            <v>CLM</v>
          </cell>
          <cell r="P6681" t="str">
            <v>CLM89210</v>
          </cell>
          <cell r="Q6681" t="str">
            <v/>
          </cell>
        </row>
        <row r="6682">
          <cell r="N6682" t="str">
            <v>89210</v>
          </cell>
          <cell r="O6682" t="str">
            <v>CNA</v>
          </cell>
          <cell r="P6682" t="str">
            <v>CNA89210</v>
          </cell>
          <cell r="Q6682" t="str">
            <v/>
          </cell>
        </row>
        <row r="6683">
          <cell r="N6683" t="str">
            <v>89210</v>
          </cell>
          <cell r="O6683" t="str">
            <v>TRP</v>
          </cell>
          <cell r="P6683" t="str">
            <v>TRP89210</v>
          </cell>
          <cell r="Q6683" t="str">
            <v/>
          </cell>
        </row>
        <row r="6684">
          <cell r="N6684" t="str">
            <v>89210</v>
          </cell>
          <cell r="O6684" t="str">
            <v>1ME</v>
          </cell>
          <cell r="P6684" t="str">
            <v>1ME89210</v>
          </cell>
          <cell r="Q6684" t="str">
            <v/>
          </cell>
        </row>
        <row r="6685">
          <cell r="N6685" t="str">
            <v>89210</v>
          </cell>
          <cell r="O6685" t="str">
            <v>111</v>
          </cell>
          <cell r="P6685" t="str">
            <v>11189210</v>
          </cell>
          <cell r="Q6685" t="str">
            <v/>
          </cell>
        </row>
        <row r="6686">
          <cell r="N6686" t="str">
            <v>89213</v>
          </cell>
          <cell r="O6686" t="str">
            <v/>
          </cell>
          <cell r="P6686" t="str">
            <v/>
          </cell>
          <cell r="Q6686" t="str">
            <v/>
          </cell>
        </row>
        <row r="6687">
          <cell r="N6687" t="str">
            <v>89213</v>
          </cell>
          <cell r="O6687" t="str">
            <v>T30</v>
          </cell>
          <cell r="P6687" t="str">
            <v>T3089213</v>
          </cell>
          <cell r="Q6687" t="str">
            <v/>
          </cell>
        </row>
        <row r="6688">
          <cell r="N6688" t="str">
            <v>89213</v>
          </cell>
          <cell r="O6688" t="str">
            <v>YIM</v>
          </cell>
          <cell r="P6688" t="str">
            <v>YIM89213</v>
          </cell>
          <cell r="Q6688" t="str">
            <v/>
          </cell>
        </row>
        <row r="6689">
          <cell r="N6689" t="str">
            <v>89214</v>
          </cell>
          <cell r="O6689" t="str">
            <v/>
          </cell>
          <cell r="P6689" t="str">
            <v/>
          </cell>
          <cell r="Q6689" t="str">
            <v/>
          </cell>
        </row>
        <row r="6690">
          <cell r="N6690" t="str">
            <v>89214</v>
          </cell>
          <cell r="O6690" t="str">
            <v>T30</v>
          </cell>
          <cell r="P6690" t="str">
            <v>T3089214</v>
          </cell>
          <cell r="Q6690" t="str">
            <v/>
          </cell>
        </row>
        <row r="6691">
          <cell r="N6691" t="str">
            <v>89219</v>
          </cell>
          <cell r="O6691" t="str">
            <v/>
          </cell>
          <cell r="P6691" t="str">
            <v/>
          </cell>
          <cell r="Q6691" t="str">
            <v/>
          </cell>
        </row>
        <row r="6692">
          <cell r="N6692" t="str">
            <v>89219</v>
          </cell>
          <cell r="O6692" t="str">
            <v>SHS</v>
          </cell>
          <cell r="P6692" t="str">
            <v>SHS89219</v>
          </cell>
          <cell r="Q6692" t="str">
            <v/>
          </cell>
        </row>
        <row r="6693">
          <cell r="N6693" t="str">
            <v>89219</v>
          </cell>
          <cell r="O6693" t="str">
            <v>1ME</v>
          </cell>
          <cell r="P6693" t="str">
            <v>1ME89219</v>
          </cell>
          <cell r="Q6693" t="str">
            <v/>
          </cell>
        </row>
        <row r="6694">
          <cell r="N6694" t="str">
            <v>89220</v>
          </cell>
          <cell r="O6694" t="str">
            <v/>
          </cell>
          <cell r="P6694" t="str">
            <v/>
          </cell>
          <cell r="Q6694" t="str">
            <v>55083</v>
          </cell>
        </row>
        <row r="6695">
          <cell r="N6695" t="str">
            <v>89220</v>
          </cell>
          <cell r="O6695" t="str">
            <v>T30</v>
          </cell>
          <cell r="P6695" t="str">
            <v>T3089220</v>
          </cell>
          <cell r="Q6695" t="str">
            <v>55083</v>
          </cell>
        </row>
        <row r="6696">
          <cell r="N6696" t="str">
            <v>89221</v>
          </cell>
          <cell r="O6696" t="str">
            <v/>
          </cell>
          <cell r="P6696" t="str">
            <v/>
          </cell>
          <cell r="Q6696" t="str">
            <v>55083</v>
          </cell>
        </row>
        <row r="6697">
          <cell r="N6697" t="str">
            <v>89221</v>
          </cell>
          <cell r="O6697" t="str">
            <v>1ME</v>
          </cell>
          <cell r="P6697" t="str">
            <v>1ME89221</v>
          </cell>
          <cell r="Q6697" t="str">
            <v>55083</v>
          </cell>
        </row>
        <row r="6698">
          <cell r="N6698" t="str">
            <v>89223</v>
          </cell>
          <cell r="O6698" t="str">
            <v/>
          </cell>
          <cell r="P6698" t="str">
            <v/>
          </cell>
          <cell r="Q6698" t="str">
            <v>55083</v>
          </cell>
        </row>
        <row r="6699">
          <cell r="N6699" t="str">
            <v>89223</v>
          </cell>
          <cell r="O6699" t="str">
            <v>T30</v>
          </cell>
          <cell r="P6699" t="str">
            <v>T3089223</v>
          </cell>
          <cell r="Q6699" t="str">
            <v>55083</v>
          </cell>
        </row>
        <row r="6700">
          <cell r="N6700" t="str">
            <v>89223</v>
          </cell>
          <cell r="O6700" t="str">
            <v>1ME</v>
          </cell>
          <cell r="P6700" t="str">
            <v>1ME89223</v>
          </cell>
          <cell r="Q6700" t="str">
            <v>55083</v>
          </cell>
        </row>
        <row r="6701">
          <cell r="N6701" t="str">
            <v>89229</v>
          </cell>
          <cell r="O6701" t="str">
            <v/>
          </cell>
          <cell r="P6701" t="str">
            <v/>
          </cell>
          <cell r="Q6701" t="str">
            <v/>
          </cell>
        </row>
        <row r="6702">
          <cell r="N6702" t="str">
            <v>89229</v>
          </cell>
          <cell r="O6702" t="str">
            <v>1ME</v>
          </cell>
          <cell r="P6702" t="str">
            <v>1ME89229</v>
          </cell>
          <cell r="Q6702" t="str">
            <v/>
          </cell>
        </row>
        <row r="6703">
          <cell r="N6703" t="str">
            <v>8923</v>
          </cell>
          <cell r="O6703" t="str">
            <v/>
          </cell>
          <cell r="P6703" t="str">
            <v/>
          </cell>
          <cell r="Q6703" t="str">
            <v>55088091</v>
          </cell>
        </row>
        <row r="6704">
          <cell r="N6704" t="str">
            <v>8923</v>
          </cell>
          <cell r="O6704" t="str">
            <v>1ME</v>
          </cell>
          <cell r="P6704" t="str">
            <v>1ME8923</v>
          </cell>
          <cell r="Q6704" t="str">
            <v>55088091</v>
          </cell>
        </row>
        <row r="6705">
          <cell r="N6705" t="str">
            <v>8923</v>
          </cell>
          <cell r="O6705" t="str">
            <v>355</v>
          </cell>
          <cell r="P6705" t="str">
            <v>3558923</v>
          </cell>
          <cell r="Q6705" t="str">
            <v>55088091</v>
          </cell>
        </row>
        <row r="6706">
          <cell r="N6706" t="str">
            <v>8924</v>
          </cell>
          <cell r="O6706" t="str">
            <v/>
          </cell>
          <cell r="P6706" t="str">
            <v/>
          </cell>
          <cell r="Q6706" t="str">
            <v>55088091</v>
          </cell>
        </row>
        <row r="6707">
          <cell r="N6707" t="str">
            <v>8924</v>
          </cell>
          <cell r="O6707" t="str">
            <v>ONL</v>
          </cell>
          <cell r="P6707" t="str">
            <v>ONL8924</v>
          </cell>
          <cell r="Q6707" t="str">
            <v>55088091</v>
          </cell>
        </row>
        <row r="6708">
          <cell r="N6708" t="str">
            <v>8924</v>
          </cell>
          <cell r="O6708" t="str">
            <v>PO1</v>
          </cell>
          <cell r="P6708" t="str">
            <v>PO18924</v>
          </cell>
          <cell r="Q6708" t="str">
            <v>55088091</v>
          </cell>
        </row>
        <row r="6709">
          <cell r="N6709" t="str">
            <v>8924</v>
          </cell>
          <cell r="O6709" t="str">
            <v>1ME</v>
          </cell>
          <cell r="P6709" t="str">
            <v>1ME8924</v>
          </cell>
          <cell r="Q6709" t="str">
            <v>55088091</v>
          </cell>
        </row>
        <row r="6710">
          <cell r="N6710" t="str">
            <v>8924</v>
          </cell>
          <cell r="O6710" t="str">
            <v>701</v>
          </cell>
          <cell r="P6710" t="str">
            <v>7018924</v>
          </cell>
          <cell r="Q6710" t="str">
            <v>55088091</v>
          </cell>
        </row>
        <row r="6711">
          <cell r="N6711" t="str">
            <v>8928</v>
          </cell>
          <cell r="O6711" t="str">
            <v/>
          </cell>
          <cell r="P6711" t="str">
            <v/>
          </cell>
          <cell r="Q6711" t="str">
            <v/>
          </cell>
        </row>
        <row r="6712">
          <cell r="N6712" t="str">
            <v>8928</v>
          </cell>
          <cell r="O6712" t="str">
            <v>CRR</v>
          </cell>
          <cell r="P6712" t="str">
            <v>CRR8928</v>
          </cell>
          <cell r="Q6712" t="str">
            <v/>
          </cell>
        </row>
        <row r="6713">
          <cell r="N6713" t="str">
            <v>8928</v>
          </cell>
          <cell r="O6713" t="str">
            <v>REG</v>
          </cell>
          <cell r="P6713" t="str">
            <v>REG8928</v>
          </cell>
          <cell r="Q6713" t="str">
            <v/>
          </cell>
        </row>
        <row r="6714">
          <cell r="N6714" t="str">
            <v>89280</v>
          </cell>
          <cell r="O6714" t="str">
            <v/>
          </cell>
          <cell r="P6714" t="str">
            <v/>
          </cell>
          <cell r="Q6714" t="str">
            <v/>
          </cell>
        </row>
        <row r="6715">
          <cell r="N6715" t="str">
            <v>89280</v>
          </cell>
          <cell r="O6715" t="str">
            <v>ONL</v>
          </cell>
          <cell r="P6715" t="str">
            <v>ONL89280</v>
          </cell>
          <cell r="Q6715" t="str">
            <v/>
          </cell>
        </row>
        <row r="6716">
          <cell r="N6716" t="str">
            <v>89280</v>
          </cell>
          <cell r="O6716" t="str">
            <v>1ME</v>
          </cell>
          <cell r="P6716" t="str">
            <v>1ME89280</v>
          </cell>
          <cell r="Q6716" t="str">
            <v/>
          </cell>
        </row>
        <row r="6717">
          <cell r="N6717" t="str">
            <v>89281</v>
          </cell>
          <cell r="O6717" t="str">
            <v/>
          </cell>
          <cell r="P6717" t="str">
            <v/>
          </cell>
          <cell r="Q6717" t="str">
            <v/>
          </cell>
        </row>
        <row r="6718">
          <cell r="N6718" t="str">
            <v>89281</v>
          </cell>
          <cell r="O6718" t="str">
            <v>ONL</v>
          </cell>
          <cell r="P6718" t="str">
            <v>ONL89281</v>
          </cell>
          <cell r="Q6718" t="str">
            <v/>
          </cell>
        </row>
        <row r="6719">
          <cell r="N6719" t="str">
            <v>89281</v>
          </cell>
          <cell r="O6719" t="str">
            <v>TRI</v>
          </cell>
          <cell r="P6719" t="str">
            <v>TRI89281</v>
          </cell>
          <cell r="Q6719" t="str">
            <v/>
          </cell>
        </row>
        <row r="6720">
          <cell r="N6720" t="str">
            <v>89282</v>
          </cell>
          <cell r="O6720" t="str">
            <v/>
          </cell>
          <cell r="P6720" t="str">
            <v/>
          </cell>
          <cell r="Q6720" t="str">
            <v/>
          </cell>
        </row>
        <row r="6721">
          <cell r="N6721" t="str">
            <v>89282</v>
          </cell>
          <cell r="O6721" t="str">
            <v>ONL</v>
          </cell>
          <cell r="P6721" t="str">
            <v>ONL89282</v>
          </cell>
          <cell r="Q6721" t="str">
            <v/>
          </cell>
        </row>
        <row r="6722">
          <cell r="N6722" t="str">
            <v>89283</v>
          </cell>
          <cell r="O6722" t="str">
            <v/>
          </cell>
          <cell r="P6722" t="str">
            <v/>
          </cell>
          <cell r="Q6722" t="str">
            <v/>
          </cell>
        </row>
        <row r="6723">
          <cell r="N6723" t="str">
            <v>89283</v>
          </cell>
          <cell r="O6723" t="str">
            <v>REG</v>
          </cell>
          <cell r="P6723" t="str">
            <v>REG89283</v>
          </cell>
          <cell r="Q6723" t="str">
            <v/>
          </cell>
        </row>
        <row r="6724">
          <cell r="N6724" t="str">
            <v>89283</v>
          </cell>
          <cell r="O6724" t="str">
            <v>1ME</v>
          </cell>
          <cell r="P6724" t="str">
            <v>1ME89283</v>
          </cell>
          <cell r="Q6724" t="str">
            <v/>
          </cell>
        </row>
        <row r="6725">
          <cell r="N6725" t="str">
            <v>89284</v>
          </cell>
          <cell r="O6725" t="str">
            <v/>
          </cell>
          <cell r="P6725" t="str">
            <v/>
          </cell>
          <cell r="Q6725" t="str">
            <v/>
          </cell>
        </row>
        <row r="6726">
          <cell r="N6726" t="str">
            <v>89284</v>
          </cell>
          <cell r="O6726" t="str">
            <v>CCR</v>
          </cell>
          <cell r="P6726" t="str">
            <v>CCR89284</v>
          </cell>
          <cell r="Q6726" t="str">
            <v/>
          </cell>
        </row>
        <row r="6727">
          <cell r="N6727" t="str">
            <v>89284</v>
          </cell>
          <cell r="O6727" t="str">
            <v>TIT</v>
          </cell>
          <cell r="P6727" t="str">
            <v>TIT89284</v>
          </cell>
          <cell r="Q6727" t="str">
            <v/>
          </cell>
        </row>
        <row r="6728">
          <cell r="N6728" t="str">
            <v>89284</v>
          </cell>
          <cell r="O6728" t="str">
            <v>T30</v>
          </cell>
          <cell r="P6728" t="str">
            <v>T3089284</v>
          </cell>
          <cell r="Q6728" t="str">
            <v/>
          </cell>
        </row>
        <row r="6729">
          <cell r="N6729" t="str">
            <v>89290</v>
          </cell>
          <cell r="O6729" t="str">
            <v/>
          </cell>
          <cell r="P6729" t="str">
            <v/>
          </cell>
          <cell r="Q6729" t="str">
            <v>55088091</v>
          </cell>
        </row>
        <row r="6730">
          <cell r="N6730" t="str">
            <v>89290</v>
          </cell>
          <cell r="O6730" t="str">
            <v>TRE</v>
          </cell>
          <cell r="P6730" t="str">
            <v>TRE89290</v>
          </cell>
          <cell r="Q6730" t="str">
            <v>55088091</v>
          </cell>
        </row>
        <row r="6731">
          <cell r="N6731" t="str">
            <v>89292</v>
          </cell>
          <cell r="O6731" t="str">
            <v/>
          </cell>
          <cell r="P6731" t="str">
            <v/>
          </cell>
          <cell r="Q6731" t="str">
            <v/>
          </cell>
        </row>
        <row r="6732">
          <cell r="N6732" t="str">
            <v>89292</v>
          </cell>
          <cell r="O6732" t="str">
            <v>CCN</v>
          </cell>
          <cell r="P6732" t="str">
            <v>CCN89292</v>
          </cell>
          <cell r="Q6732" t="str">
            <v/>
          </cell>
        </row>
        <row r="6733">
          <cell r="N6733" t="str">
            <v>89292</v>
          </cell>
          <cell r="O6733" t="str">
            <v>TRE</v>
          </cell>
          <cell r="P6733" t="str">
            <v>TRE89292</v>
          </cell>
          <cell r="Q6733" t="str">
            <v/>
          </cell>
        </row>
        <row r="6734">
          <cell r="N6734" t="str">
            <v>89293</v>
          </cell>
          <cell r="O6734" t="str">
            <v/>
          </cell>
          <cell r="P6734" t="str">
            <v/>
          </cell>
          <cell r="Q6734" t="str">
            <v>55088091</v>
          </cell>
        </row>
        <row r="6735">
          <cell r="N6735" t="str">
            <v>89293</v>
          </cell>
          <cell r="O6735" t="str">
            <v>0C4</v>
          </cell>
          <cell r="P6735" t="str">
            <v>0C489293</v>
          </cell>
          <cell r="Q6735" t="str">
            <v>55088091</v>
          </cell>
        </row>
        <row r="6736">
          <cell r="N6736" t="str">
            <v>89293</v>
          </cell>
          <cell r="O6736" t="str">
            <v>1ME</v>
          </cell>
          <cell r="P6736" t="str">
            <v>1ME89293</v>
          </cell>
          <cell r="Q6736" t="str">
            <v>55088091</v>
          </cell>
        </row>
        <row r="6737">
          <cell r="N6737" t="str">
            <v>89299</v>
          </cell>
          <cell r="O6737" t="str">
            <v/>
          </cell>
          <cell r="P6737" t="str">
            <v/>
          </cell>
          <cell r="Q6737" t="str">
            <v/>
          </cell>
        </row>
        <row r="6738">
          <cell r="N6738" t="str">
            <v>89299</v>
          </cell>
          <cell r="O6738" t="str">
            <v>AP9</v>
          </cell>
          <cell r="P6738" t="str">
            <v>AP989299</v>
          </cell>
          <cell r="Q6738" t="str">
            <v/>
          </cell>
        </row>
        <row r="6739">
          <cell r="N6739" t="str">
            <v>89299</v>
          </cell>
          <cell r="O6739" t="str">
            <v>SRW</v>
          </cell>
          <cell r="P6739" t="str">
            <v>SRW89299</v>
          </cell>
          <cell r="Q6739" t="str">
            <v/>
          </cell>
        </row>
        <row r="6740">
          <cell r="N6740" t="str">
            <v>89299</v>
          </cell>
          <cell r="O6740" t="str">
            <v>1ME</v>
          </cell>
          <cell r="P6740" t="str">
            <v>1ME89299</v>
          </cell>
          <cell r="Q6740" t="str">
            <v/>
          </cell>
        </row>
        <row r="6741">
          <cell r="N6741" t="str">
            <v>89299</v>
          </cell>
          <cell r="O6741" t="str">
            <v>859</v>
          </cell>
          <cell r="P6741" t="str">
            <v>85989299</v>
          </cell>
          <cell r="Q6741" t="str">
            <v/>
          </cell>
        </row>
        <row r="6742">
          <cell r="N6742" t="str">
            <v>89299</v>
          </cell>
          <cell r="O6742" t="str">
            <v>996</v>
          </cell>
          <cell r="P6742" t="str">
            <v>99689299</v>
          </cell>
          <cell r="Q6742" t="str">
            <v/>
          </cell>
        </row>
        <row r="6743">
          <cell r="N6743" t="str">
            <v>89300</v>
          </cell>
          <cell r="O6743" t="str">
            <v/>
          </cell>
          <cell r="P6743" t="str">
            <v/>
          </cell>
          <cell r="Q6743" t="str">
            <v>4311884</v>
          </cell>
        </row>
        <row r="6744">
          <cell r="N6744" t="str">
            <v>89300</v>
          </cell>
          <cell r="O6744" t="str">
            <v>1ME</v>
          </cell>
          <cell r="P6744" t="str">
            <v>1ME89300</v>
          </cell>
          <cell r="Q6744" t="str">
            <v>4311884</v>
          </cell>
        </row>
        <row r="6745">
          <cell r="N6745" t="str">
            <v>89302</v>
          </cell>
          <cell r="O6745" t="str">
            <v/>
          </cell>
          <cell r="P6745" t="str">
            <v/>
          </cell>
          <cell r="Q6745" t="str">
            <v>43118822</v>
          </cell>
        </row>
        <row r="6746">
          <cell r="N6746" t="str">
            <v>89302</v>
          </cell>
          <cell r="O6746" t="str">
            <v>ONL</v>
          </cell>
          <cell r="P6746" t="str">
            <v>ONL89302</v>
          </cell>
          <cell r="Q6746" t="str">
            <v>43118822</v>
          </cell>
        </row>
        <row r="6747">
          <cell r="N6747" t="str">
            <v>89303</v>
          </cell>
          <cell r="O6747" t="str">
            <v/>
          </cell>
          <cell r="P6747" t="str">
            <v/>
          </cell>
          <cell r="Q6747" t="str">
            <v>4311885</v>
          </cell>
        </row>
        <row r="6748">
          <cell r="N6748" t="str">
            <v>89303</v>
          </cell>
          <cell r="O6748" t="str">
            <v>1ME</v>
          </cell>
          <cell r="P6748" t="str">
            <v>1ME89303</v>
          </cell>
          <cell r="Q6748" t="str">
            <v>4311885</v>
          </cell>
        </row>
        <row r="6749">
          <cell r="N6749" t="str">
            <v>89305</v>
          </cell>
          <cell r="O6749" t="str">
            <v/>
          </cell>
          <cell r="P6749" t="str">
            <v/>
          </cell>
          <cell r="Q6749" t="str">
            <v>43118822</v>
          </cell>
        </row>
        <row r="6750">
          <cell r="N6750" t="str">
            <v>89305</v>
          </cell>
          <cell r="O6750" t="str">
            <v>ONL</v>
          </cell>
          <cell r="P6750" t="str">
            <v>ONL89305</v>
          </cell>
          <cell r="Q6750" t="str">
            <v>43118822</v>
          </cell>
        </row>
        <row r="6751">
          <cell r="N6751" t="str">
            <v>89305</v>
          </cell>
          <cell r="O6751" t="str">
            <v>1ME</v>
          </cell>
          <cell r="P6751" t="str">
            <v>1ME89305</v>
          </cell>
          <cell r="Q6751" t="str">
            <v>43118822</v>
          </cell>
        </row>
        <row r="6752">
          <cell r="N6752" t="str">
            <v>89308</v>
          </cell>
          <cell r="O6752" t="str">
            <v/>
          </cell>
          <cell r="P6752" t="str">
            <v/>
          </cell>
          <cell r="Q6752" t="str">
            <v>4311884</v>
          </cell>
        </row>
        <row r="6753">
          <cell r="N6753" t="str">
            <v>89308</v>
          </cell>
          <cell r="O6753" t="str">
            <v>T30</v>
          </cell>
          <cell r="P6753" t="str">
            <v>T3089308</v>
          </cell>
          <cell r="Q6753" t="str">
            <v>4311884</v>
          </cell>
        </row>
        <row r="6754">
          <cell r="N6754" t="str">
            <v>89309</v>
          </cell>
          <cell r="O6754" t="str">
            <v/>
          </cell>
          <cell r="P6754" t="str">
            <v/>
          </cell>
          <cell r="Q6754" t="str">
            <v>43118822</v>
          </cell>
        </row>
        <row r="6755">
          <cell r="N6755" t="str">
            <v>89309</v>
          </cell>
          <cell r="O6755" t="str">
            <v>DAN</v>
          </cell>
          <cell r="P6755" t="str">
            <v>DAN89309</v>
          </cell>
          <cell r="Q6755" t="str">
            <v>43118822</v>
          </cell>
        </row>
        <row r="6756">
          <cell r="N6756" t="str">
            <v>89309</v>
          </cell>
          <cell r="O6756" t="str">
            <v>TP1</v>
          </cell>
          <cell r="P6756" t="str">
            <v>TP189309</v>
          </cell>
          <cell r="Q6756" t="str">
            <v>43118822</v>
          </cell>
        </row>
        <row r="6757">
          <cell r="N6757" t="str">
            <v>893091</v>
          </cell>
          <cell r="O6757" t="str">
            <v/>
          </cell>
          <cell r="P6757" t="str">
            <v/>
          </cell>
          <cell r="Q6757" t="str">
            <v/>
          </cell>
        </row>
        <row r="6758">
          <cell r="N6758" t="str">
            <v>893091</v>
          </cell>
          <cell r="O6758" t="str">
            <v>DAN</v>
          </cell>
          <cell r="P6758" t="str">
            <v>DAN893091</v>
          </cell>
          <cell r="Q6758" t="str">
            <v/>
          </cell>
        </row>
        <row r="6759">
          <cell r="N6759" t="str">
            <v>893091</v>
          </cell>
          <cell r="O6759" t="str">
            <v>1ME</v>
          </cell>
          <cell r="P6759" t="str">
            <v>1ME893091</v>
          </cell>
          <cell r="Q6759" t="str">
            <v/>
          </cell>
        </row>
        <row r="6760">
          <cell r="N6760" t="str">
            <v>893091</v>
          </cell>
          <cell r="O6760" t="str">
            <v>343</v>
          </cell>
          <cell r="P6760" t="str">
            <v>343893091</v>
          </cell>
          <cell r="Q6760" t="str">
            <v/>
          </cell>
        </row>
        <row r="6761">
          <cell r="N6761" t="str">
            <v>893091</v>
          </cell>
          <cell r="O6761" t="str">
            <v>386</v>
          </cell>
          <cell r="P6761" t="str">
            <v>386893091</v>
          </cell>
          <cell r="Q6761" t="str">
            <v/>
          </cell>
        </row>
        <row r="6762">
          <cell r="N6762" t="str">
            <v>893093</v>
          </cell>
          <cell r="O6762" t="str">
            <v/>
          </cell>
          <cell r="P6762" t="str">
            <v/>
          </cell>
          <cell r="Q6762" t="str">
            <v/>
          </cell>
        </row>
        <row r="6763">
          <cell r="N6763" t="str">
            <v>893093</v>
          </cell>
          <cell r="O6763" t="str">
            <v>CMH</v>
          </cell>
          <cell r="P6763" t="str">
            <v>CMH893093</v>
          </cell>
          <cell r="Q6763" t="str">
            <v/>
          </cell>
        </row>
        <row r="6764">
          <cell r="N6764" t="str">
            <v>893093</v>
          </cell>
          <cell r="O6764" t="str">
            <v>ONL</v>
          </cell>
          <cell r="P6764" t="str">
            <v>ONL893093</v>
          </cell>
          <cell r="Q6764" t="str">
            <v/>
          </cell>
        </row>
        <row r="6765">
          <cell r="N6765" t="str">
            <v>893093</v>
          </cell>
          <cell r="O6765" t="str">
            <v>TP1</v>
          </cell>
          <cell r="P6765" t="str">
            <v>TP1893093</v>
          </cell>
          <cell r="Q6765" t="str">
            <v/>
          </cell>
        </row>
        <row r="6766">
          <cell r="N6766" t="str">
            <v>893093</v>
          </cell>
          <cell r="O6766" t="str">
            <v>019</v>
          </cell>
          <cell r="P6766" t="str">
            <v>019893093</v>
          </cell>
          <cell r="Q6766" t="str">
            <v/>
          </cell>
        </row>
        <row r="6767">
          <cell r="N6767" t="str">
            <v>893093</v>
          </cell>
          <cell r="O6767" t="str">
            <v>1ME</v>
          </cell>
          <cell r="P6767" t="str">
            <v>1ME893093</v>
          </cell>
          <cell r="Q6767" t="str">
            <v/>
          </cell>
        </row>
        <row r="6768">
          <cell r="N6768" t="str">
            <v>893093</v>
          </cell>
          <cell r="O6768" t="str">
            <v>7AB</v>
          </cell>
          <cell r="P6768" t="str">
            <v>7AB893093</v>
          </cell>
          <cell r="Q6768" t="str">
            <v/>
          </cell>
        </row>
        <row r="6769">
          <cell r="N6769" t="str">
            <v>893093</v>
          </cell>
          <cell r="O6769" t="str">
            <v>8AB</v>
          </cell>
          <cell r="P6769" t="str">
            <v>8AB893093</v>
          </cell>
          <cell r="Q6769" t="str">
            <v/>
          </cell>
        </row>
        <row r="6770">
          <cell r="N6770" t="str">
            <v>893093</v>
          </cell>
          <cell r="O6770" t="str">
            <v>9AB</v>
          </cell>
          <cell r="P6770" t="str">
            <v>9AB893093</v>
          </cell>
          <cell r="Q6770" t="str">
            <v/>
          </cell>
        </row>
        <row r="6771">
          <cell r="N6771" t="str">
            <v>8931</v>
          </cell>
          <cell r="O6771" t="str">
            <v/>
          </cell>
          <cell r="P6771" t="str">
            <v/>
          </cell>
          <cell r="Q6771" t="str">
            <v>550811</v>
          </cell>
        </row>
        <row r="6772">
          <cell r="N6772" t="str">
            <v>8931</v>
          </cell>
          <cell r="O6772" t="str">
            <v>1ME</v>
          </cell>
          <cell r="P6772" t="str">
            <v>1ME8931</v>
          </cell>
          <cell r="Q6772" t="str">
            <v>550811</v>
          </cell>
        </row>
        <row r="6773">
          <cell r="N6773" t="str">
            <v>8932</v>
          </cell>
          <cell r="O6773" t="str">
            <v/>
          </cell>
          <cell r="P6773" t="str">
            <v/>
          </cell>
          <cell r="Q6773" t="str">
            <v/>
          </cell>
        </row>
        <row r="6774">
          <cell r="N6774" t="str">
            <v>8932</v>
          </cell>
          <cell r="O6774" t="str">
            <v>CT1</v>
          </cell>
          <cell r="P6774" t="str">
            <v>CT18932</v>
          </cell>
          <cell r="Q6774" t="str">
            <v/>
          </cell>
        </row>
        <row r="6775">
          <cell r="N6775" t="str">
            <v>8932</v>
          </cell>
          <cell r="O6775" t="str">
            <v>OGX</v>
          </cell>
          <cell r="P6775" t="str">
            <v>OGX8932</v>
          </cell>
          <cell r="Q6775" t="str">
            <v/>
          </cell>
        </row>
        <row r="6776">
          <cell r="N6776" t="str">
            <v>8932</v>
          </cell>
          <cell r="O6776" t="str">
            <v>TE1</v>
          </cell>
          <cell r="P6776" t="str">
            <v>TE18932</v>
          </cell>
          <cell r="Q6776" t="str">
            <v/>
          </cell>
        </row>
        <row r="6777">
          <cell r="N6777" t="str">
            <v>8932</v>
          </cell>
          <cell r="O6777" t="str">
            <v>1ME</v>
          </cell>
          <cell r="P6777" t="str">
            <v>1ME8932</v>
          </cell>
          <cell r="Q6777" t="str">
            <v/>
          </cell>
        </row>
        <row r="6778">
          <cell r="N6778" t="str">
            <v>8933</v>
          </cell>
          <cell r="O6778" t="str">
            <v/>
          </cell>
          <cell r="P6778" t="str">
            <v/>
          </cell>
          <cell r="Q6778" t="str">
            <v>431112</v>
          </cell>
        </row>
        <row r="6779">
          <cell r="N6779" t="str">
            <v>8933</v>
          </cell>
          <cell r="O6779" t="str">
            <v>OBO</v>
          </cell>
          <cell r="P6779" t="str">
            <v>OBO8933</v>
          </cell>
          <cell r="Q6779" t="str">
            <v>431112</v>
          </cell>
        </row>
        <row r="6780">
          <cell r="N6780" t="str">
            <v>8933</v>
          </cell>
          <cell r="O6780" t="str">
            <v>RSB</v>
          </cell>
          <cell r="P6780" t="str">
            <v>RSB8933</v>
          </cell>
          <cell r="Q6780" t="str">
            <v>431112</v>
          </cell>
        </row>
        <row r="6781">
          <cell r="N6781" t="str">
            <v>8933</v>
          </cell>
          <cell r="O6781" t="str">
            <v>1ME</v>
          </cell>
          <cell r="P6781" t="str">
            <v>1ME8933</v>
          </cell>
          <cell r="Q6781" t="str">
            <v>431112</v>
          </cell>
        </row>
        <row r="6782">
          <cell r="N6782" t="str">
            <v>89340</v>
          </cell>
          <cell r="O6782" t="str">
            <v/>
          </cell>
          <cell r="P6782" t="str">
            <v/>
          </cell>
          <cell r="Q6782" t="str">
            <v>431110</v>
          </cell>
        </row>
        <row r="6783">
          <cell r="N6783" t="str">
            <v>89340</v>
          </cell>
          <cell r="O6783" t="str">
            <v>T30</v>
          </cell>
          <cell r="P6783" t="str">
            <v>T3089340</v>
          </cell>
          <cell r="Q6783" t="str">
            <v>431110</v>
          </cell>
        </row>
        <row r="6784">
          <cell r="N6784" t="str">
            <v>89340</v>
          </cell>
          <cell r="O6784" t="str">
            <v>U10</v>
          </cell>
          <cell r="P6784" t="str">
            <v>U1089340</v>
          </cell>
          <cell r="Q6784" t="str">
            <v>431110</v>
          </cell>
        </row>
        <row r="6785">
          <cell r="N6785" t="str">
            <v>89340</v>
          </cell>
          <cell r="O6785" t="str">
            <v>1ME</v>
          </cell>
          <cell r="P6785" t="str">
            <v>1ME89340</v>
          </cell>
          <cell r="Q6785" t="str">
            <v>431110</v>
          </cell>
        </row>
        <row r="6786">
          <cell r="N6786" t="str">
            <v>89341</v>
          </cell>
          <cell r="O6786" t="str">
            <v/>
          </cell>
          <cell r="P6786" t="str">
            <v/>
          </cell>
          <cell r="Q6786" t="str">
            <v>431110</v>
          </cell>
        </row>
        <row r="6787">
          <cell r="N6787" t="str">
            <v>89341</v>
          </cell>
          <cell r="O6787" t="str">
            <v>E3L</v>
          </cell>
          <cell r="P6787" t="str">
            <v>E3L89341</v>
          </cell>
          <cell r="Q6787" t="str">
            <v>431110</v>
          </cell>
        </row>
        <row r="6788">
          <cell r="N6788" t="str">
            <v>89341</v>
          </cell>
          <cell r="O6788" t="str">
            <v>PO1</v>
          </cell>
          <cell r="P6788" t="str">
            <v>PO189341</v>
          </cell>
          <cell r="Q6788" t="str">
            <v>431110</v>
          </cell>
        </row>
        <row r="6789">
          <cell r="N6789" t="str">
            <v>89341</v>
          </cell>
          <cell r="O6789" t="str">
            <v>TAW</v>
          </cell>
          <cell r="P6789" t="str">
            <v>TAW89341</v>
          </cell>
          <cell r="Q6789" t="str">
            <v>431110</v>
          </cell>
        </row>
        <row r="6790">
          <cell r="N6790" t="str">
            <v>89341</v>
          </cell>
          <cell r="O6790" t="str">
            <v>T30</v>
          </cell>
          <cell r="P6790" t="str">
            <v>T3089341</v>
          </cell>
          <cell r="Q6790" t="str">
            <v>431110</v>
          </cell>
        </row>
        <row r="6791">
          <cell r="N6791" t="str">
            <v>89341</v>
          </cell>
          <cell r="O6791" t="str">
            <v>1ME</v>
          </cell>
          <cell r="P6791" t="str">
            <v>1ME89341</v>
          </cell>
          <cell r="Q6791" t="str">
            <v>431110</v>
          </cell>
        </row>
        <row r="6792">
          <cell r="N6792" t="str">
            <v>89342</v>
          </cell>
          <cell r="O6792" t="str">
            <v/>
          </cell>
          <cell r="P6792" t="str">
            <v/>
          </cell>
          <cell r="Q6792" t="str">
            <v>431111</v>
          </cell>
        </row>
        <row r="6793">
          <cell r="N6793" t="str">
            <v>89342</v>
          </cell>
          <cell r="O6793" t="str">
            <v>T30</v>
          </cell>
          <cell r="P6793" t="str">
            <v>T3089342</v>
          </cell>
          <cell r="Q6793" t="str">
            <v>431111</v>
          </cell>
        </row>
        <row r="6794">
          <cell r="N6794" t="str">
            <v>89342</v>
          </cell>
          <cell r="O6794" t="str">
            <v>UBY</v>
          </cell>
          <cell r="P6794" t="str">
            <v>UBY89342</v>
          </cell>
          <cell r="Q6794" t="str">
            <v>431111</v>
          </cell>
        </row>
        <row r="6795">
          <cell r="N6795" t="str">
            <v>89342</v>
          </cell>
          <cell r="O6795" t="str">
            <v>089</v>
          </cell>
          <cell r="P6795" t="str">
            <v>08989342</v>
          </cell>
          <cell r="Q6795" t="str">
            <v>431111</v>
          </cell>
        </row>
        <row r="6796">
          <cell r="N6796" t="str">
            <v>89342</v>
          </cell>
          <cell r="O6796" t="str">
            <v>1ME</v>
          </cell>
          <cell r="P6796" t="str">
            <v>1ME89342</v>
          </cell>
          <cell r="Q6796" t="str">
            <v>431111</v>
          </cell>
        </row>
        <row r="6797">
          <cell r="N6797" t="str">
            <v>89343</v>
          </cell>
          <cell r="O6797" t="str">
            <v/>
          </cell>
          <cell r="P6797" t="str">
            <v/>
          </cell>
          <cell r="Q6797" t="str">
            <v>431110</v>
          </cell>
        </row>
        <row r="6798">
          <cell r="N6798" t="str">
            <v>89343</v>
          </cell>
          <cell r="O6798" t="str">
            <v>T30</v>
          </cell>
          <cell r="P6798" t="str">
            <v>T3089343</v>
          </cell>
          <cell r="Q6798" t="str">
            <v>431110</v>
          </cell>
        </row>
        <row r="6799">
          <cell r="N6799" t="str">
            <v>89343</v>
          </cell>
          <cell r="O6799" t="str">
            <v>064</v>
          </cell>
          <cell r="P6799" t="str">
            <v>06489343</v>
          </cell>
          <cell r="Q6799" t="str">
            <v>431110</v>
          </cell>
        </row>
        <row r="6800">
          <cell r="N6800" t="str">
            <v>89343</v>
          </cell>
          <cell r="O6800" t="str">
            <v>1ME</v>
          </cell>
          <cell r="P6800" t="str">
            <v>1ME89343</v>
          </cell>
          <cell r="Q6800" t="str">
            <v>431110</v>
          </cell>
        </row>
        <row r="6801">
          <cell r="N6801" t="str">
            <v>89343</v>
          </cell>
          <cell r="O6801" t="str">
            <v>978</v>
          </cell>
          <cell r="P6801" t="str">
            <v>97889343</v>
          </cell>
          <cell r="Q6801" t="str">
            <v>431110</v>
          </cell>
        </row>
        <row r="6802">
          <cell r="N6802" t="str">
            <v>89344</v>
          </cell>
          <cell r="O6802" t="str">
            <v/>
          </cell>
          <cell r="P6802" t="str">
            <v/>
          </cell>
          <cell r="Q6802" t="str">
            <v>431110</v>
          </cell>
        </row>
        <row r="6803">
          <cell r="N6803" t="str">
            <v>89344</v>
          </cell>
          <cell r="O6803" t="str">
            <v>OE1</v>
          </cell>
          <cell r="P6803" t="str">
            <v>OE189344</v>
          </cell>
          <cell r="Q6803" t="str">
            <v>431110</v>
          </cell>
        </row>
        <row r="6804">
          <cell r="N6804" t="str">
            <v>89344</v>
          </cell>
          <cell r="O6804" t="str">
            <v>T30</v>
          </cell>
          <cell r="P6804" t="str">
            <v>T3089344</v>
          </cell>
          <cell r="Q6804" t="str">
            <v>431110</v>
          </cell>
        </row>
        <row r="6805">
          <cell r="N6805" t="str">
            <v>89344</v>
          </cell>
          <cell r="O6805" t="str">
            <v>1ME</v>
          </cell>
          <cell r="P6805" t="str">
            <v>1ME89344</v>
          </cell>
          <cell r="Q6805" t="str">
            <v>431110</v>
          </cell>
        </row>
        <row r="6806">
          <cell r="N6806" t="str">
            <v>89350</v>
          </cell>
          <cell r="O6806" t="str">
            <v/>
          </cell>
          <cell r="P6806" t="str">
            <v/>
          </cell>
          <cell r="Q6806" t="str">
            <v>4311811</v>
          </cell>
        </row>
        <row r="6807">
          <cell r="N6807" t="str">
            <v>89350</v>
          </cell>
          <cell r="O6807" t="str">
            <v>ODX</v>
          </cell>
          <cell r="P6807" t="str">
            <v>ODX89350</v>
          </cell>
          <cell r="Q6807" t="str">
            <v>4311811</v>
          </cell>
        </row>
        <row r="6808">
          <cell r="N6808" t="str">
            <v>89350</v>
          </cell>
          <cell r="O6808" t="str">
            <v>ONL</v>
          </cell>
          <cell r="P6808" t="str">
            <v>ONL89350</v>
          </cell>
          <cell r="Q6808" t="str">
            <v>4311811</v>
          </cell>
        </row>
        <row r="6809">
          <cell r="N6809" t="str">
            <v>89350</v>
          </cell>
          <cell r="O6809" t="str">
            <v>RAJ</v>
          </cell>
          <cell r="P6809" t="str">
            <v>RAJ89350</v>
          </cell>
          <cell r="Q6809" t="str">
            <v>4311811</v>
          </cell>
        </row>
        <row r="6810">
          <cell r="N6810" t="str">
            <v>89351</v>
          </cell>
          <cell r="O6810" t="str">
            <v/>
          </cell>
          <cell r="P6810" t="str">
            <v/>
          </cell>
          <cell r="Q6810" t="str">
            <v>4311811</v>
          </cell>
        </row>
        <row r="6811">
          <cell r="N6811" t="str">
            <v>89351</v>
          </cell>
          <cell r="O6811" t="str">
            <v>HAG</v>
          </cell>
          <cell r="P6811" t="str">
            <v>HAG89351</v>
          </cell>
          <cell r="Q6811" t="str">
            <v>4311811</v>
          </cell>
        </row>
        <row r="6812">
          <cell r="N6812" t="str">
            <v>89351</v>
          </cell>
          <cell r="O6812" t="str">
            <v>1ME</v>
          </cell>
          <cell r="P6812" t="str">
            <v>1ME89351</v>
          </cell>
          <cell r="Q6812" t="str">
            <v>4311811</v>
          </cell>
        </row>
        <row r="6813">
          <cell r="N6813" t="str">
            <v>89351</v>
          </cell>
          <cell r="O6813" t="str">
            <v>6EN</v>
          </cell>
          <cell r="P6813" t="str">
            <v>6EN89351</v>
          </cell>
          <cell r="Q6813" t="str">
            <v>4311811</v>
          </cell>
        </row>
        <row r="6814">
          <cell r="N6814" t="str">
            <v>89353</v>
          </cell>
          <cell r="O6814" t="str">
            <v/>
          </cell>
          <cell r="P6814" t="str">
            <v/>
          </cell>
          <cell r="Q6814" t="str">
            <v>4311811</v>
          </cell>
        </row>
        <row r="6815">
          <cell r="N6815" t="str">
            <v>89353</v>
          </cell>
          <cell r="O6815" t="str">
            <v>T30</v>
          </cell>
          <cell r="P6815" t="str">
            <v>T3089353</v>
          </cell>
          <cell r="Q6815" t="str">
            <v>4311811</v>
          </cell>
        </row>
        <row r="6816">
          <cell r="N6816" t="str">
            <v>8938</v>
          </cell>
          <cell r="O6816" t="str">
            <v/>
          </cell>
          <cell r="P6816" t="str">
            <v/>
          </cell>
          <cell r="Q6816" t="str">
            <v/>
          </cell>
        </row>
        <row r="6817">
          <cell r="N6817" t="str">
            <v>8938</v>
          </cell>
          <cell r="O6817" t="str">
            <v>ONL</v>
          </cell>
          <cell r="P6817" t="str">
            <v>ONL8938</v>
          </cell>
          <cell r="Q6817" t="str">
            <v/>
          </cell>
        </row>
        <row r="6818">
          <cell r="N6818" t="str">
            <v>8938</v>
          </cell>
          <cell r="O6818" t="str">
            <v>T30</v>
          </cell>
          <cell r="P6818" t="str">
            <v>T308938</v>
          </cell>
          <cell r="Q6818" t="str">
            <v/>
          </cell>
        </row>
        <row r="6819">
          <cell r="N6819" t="str">
            <v>8938</v>
          </cell>
          <cell r="O6819" t="str">
            <v>1ME</v>
          </cell>
          <cell r="P6819" t="str">
            <v>1ME8938</v>
          </cell>
          <cell r="Q6819" t="str">
            <v/>
          </cell>
        </row>
        <row r="6820">
          <cell r="N6820" t="str">
            <v>8939</v>
          </cell>
          <cell r="O6820" t="str">
            <v/>
          </cell>
          <cell r="P6820" t="str">
            <v/>
          </cell>
          <cell r="Q6820" t="str">
            <v/>
          </cell>
        </row>
        <row r="6821">
          <cell r="N6821" t="str">
            <v>8939</v>
          </cell>
          <cell r="O6821" t="str">
            <v>AP9</v>
          </cell>
          <cell r="P6821" t="str">
            <v>AP98939</v>
          </cell>
          <cell r="Q6821" t="str">
            <v/>
          </cell>
        </row>
        <row r="6822">
          <cell r="N6822" t="str">
            <v>8939</v>
          </cell>
          <cell r="O6822" t="str">
            <v>BS1</v>
          </cell>
          <cell r="P6822" t="str">
            <v>BS18939</v>
          </cell>
          <cell r="Q6822" t="str">
            <v/>
          </cell>
        </row>
        <row r="6823">
          <cell r="N6823" t="str">
            <v>8939</v>
          </cell>
          <cell r="O6823" t="str">
            <v>DCK</v>
          </cell>
          <cell r="P6823" t="str">
            <v>DCK8939</v>
          </cell>
          <cell r="Q6823" t="str">
            <v/>
          </cell>
        </row>
        <row r="6824">
          <cell r="N6824" t="str">
            <v>8939</v>
          </cell>
          <cell r="O6824" t="str">
            <v>DCV</v>
          </cell>
          <cell r="P6824" t="str">
            <v>DCV8939</v>
          </cell>
          <cell r="Q6824" t="str">
            <v/>
          </cell>
        </row>
        <row r="6825">
          <cell r="N6825" t="str">
            <v>8939</v>
          </cell>
          <cell r="O6825" t="str">
            <v>1ME</v>
          </cell>
          <cell r="P6825" t="str">
            <v>1ME8939</v>
          </cell>
          <cell r="Q6825" t="str">
            <v/>
          </cell>
        </row>
        <row r="6826">
          <cell r="N6826" t="str">
            <v>8939</v>
          </cell>
          <cell r="O6826" t="str">
            <v>20A</v>
          </cell>
          <cell r="P6826" t="str">
            <v>20A8939</v>
          </cell>
          <cell r="Q6826" t="str">
            <v/>
          </cell>
        </row>
        <row r="6827">
          <cell r="N6827" t="str">
            <v>8939</v>
          </cell>
          <cell r="O6827" t="str">
            <v>996</v>
          </cell>
          <cell r="P6827" t="str">
            <v>9968939</v>
          </cell>
          <cell r="Q6827" t="str">
            <v/>
          </cell>
        </row>
        <row r="6828">
          <cell r="N6828" t="str">
            <v>8990</v>
          </cell>
          <cell r="O6828" t="str">
            <v/>
          </cell>
          <cell r="P6828" t="str">
            <v/>
          </cell>
          <cell r="Q6828" t="str">
            <v>55088091</v>
          </cell>
        </row>
        <row r="6829">
          <cell r="N6829" t="str">
            <v>8990</v>
          </cell>
          <cell r="O6829" t="str">
            <v>LRA</v>
          </cell>
          <cell r="P6829" t="str">
            <v>LRA8990</v>
          </cell>
          <cell r="Q6829" t="str">
            <v>55088091</v>
          </cell>
        </row>
        <row r="6830">
          <cell r="N6830" t="str">
            <v>8990</v>
          </cell>
          <cell r="O6830" t="str">
            <v>1ME</v>
          </cell>
          <cell r="P6830" t="str">
            <v>1ME8990</v>
          </cell>
          <cell r="Q6830" t="str">
            <v>55088091</v>
          </cell>
        </row>
        <row r="6831">
          <cell r="N6831" t="str">
            <v>89921</v>
          </cell>
          <cell r="O6831" t="str">
            <v/>
          </cell>
          <cell r="P6831" t="str">
            <v/>
          </cell>
          <cell r="Q6831" t="str">
            <v>51959</v>
          </cell>
        </row>
        <row r="6832">
          <cell r="N6832" t="str">
            <v>89921</v>
          </cell>
          <cell r="O6832" t="str">
            <v>T30</v>
          </cell>
          <cell r="P6832" t="str">
            <v>T3089921</v>
          </cell>
          <cell r="Q6832" t="str">
            <v>51959</v>
          </cell>
        </row>
        <row r="6833">
          <cell r="N6833" t="str">
            <v>89921</v>
          </cell>
          <cell r="O6833" t="str">
            <v>1ME</v>
          </cell>
          <cell r="P6833" t="str">
            <v>1ME89921</v>
          </cell>
          <cell r="Q6833" t="str">
            <v>51959</v>
          </cell>
        </row>
        <row r="6834">
          <cell r="N6834" t="str">
            <v>8993</v>
          </cell>
          <cell r="O6834" t="str">
            <v/>
          </cell>
          <cell r="P6834" t="str">
            <v/>
          </cell>
          <cell r="Q6834" t="str">
            <v>55088091</v>
          </cell>
        </row>
        <row r="6835">
          <cell r="N6835" t="str">
            <v>8993</v>
          </cell>
          <cell r="O6835" t="str">
            <v>41V</v>
          </cell>
          <cell r="P6835" t="str">
            <v>41V8993</v>
          </cell>
          <cell r="Q6835" t="str">
            <v>55088091</v>
          </cell>
        </row>
        <row r="6836">
          <cell r="N6836" t="str">
            <v>8994</v>
          </cell>
          <cell r="O6836" t="str">
            <v/>
          </cell>
          <cell r="P6836" t="str">
            <v/>
          </cell>
          <cell r="Q6836" t="str">
            <v/>
          </cell>
        </row>
        <row r="6837">
          <cell r="N6837" t="str">
            <v>8994</v>
          </cell>
          <cell r="O6837" t="str">
            <v>T30</v>
          </cell>
          <cell r="P6837" t="str">
            <v>T308994</v>
          </cell>
          <cell r="Q6837" t="str">
            <v/>
          </cell>
        </row>
        <row r="6838">
          <cell r="N6838" t="str">
            <v>8994</v>
          </cell>
          <cell r="O6838" t="str">
            <v>1ME</v>
          </cell>
          <cell r="P6838" t="str">
            <v>1ME8994</v>
          </cell>
          <cell r="Q6838" t="str">
            <v/>
          </cell>
        </row>
        <row r="6839">
          <cell r="N6839" t="str">
            <v>8995</v>
          </cell>
          <cell r="O6839" t="str">
            <v/>
          </cell>
          <cell r="P6839" t="str">
            <v/>
          </cell>
          <cell r="Q6839" t="str">
            <v>5194</v>
          </cell>
        </row>
        <row r="6840">
          <cell r="N6840" t="str">
            <v>8995</v>
          </cell>
          <cell r="O6840" t="str">
            <v>BET</v>
          </cell>
          <cell r="P6840" t="str">
            <v>BET8995</v>
          </cell>
          <cell r="Q6840" t="str">
            <v>5194</v>
          </cell>
        </row>
        <row r="6841">
          <cell r="N6841" t="str">
            <v>8995</v>
          </cell>
          <cell r="O6841" t="str">
            <v>1ME</v>
          </cell>
          <cell r="P6841" t="str">
            <v>1ME8995</v>
          </cell>
          <cell r="Q6841" t="str">
            <v>5194</v>
          </cell>
        </row>
        <row r="6842">
          <cell r="N6842" t="str">
            <v>8999</v>
          </cell>
          <cell r="O6842" t="str">
            <v/>
          </cell>
          <cell r="P6842" t="str">
            <v/>
          </cell>
          <cell r="Q6842" t="str">
            <v/>
          </cell>
        </row>
        <row r="6843">
          <cell r="N6843" t="str">
            <v>8999</v>
          </cell>
          <cell r="O6843" t="str">
            <v>BIC</v>
          </cell>
          <cell r="P6843" t="str">
            <v>BIC8999</v>
          </cell>
          <cell r="Q6843" t="str">
            <v/>
          </cell>
        </row>
        <row r="6844">
          <cell r="N6844" t="str">
            <v>8999</v>
          </cell>
          <cell r="O6844" t="str">
            <v>PLC</v>
          </cell>
          <cell r="P6844" t="str">
            <v>PLC8999</v>
          </cell>
          <cell r="Q6844" t="str">
            <v/>
          </cell>
        </row>
        <row r="6845">
          <cell r="N6845" t="str">
            <v>8999</v>
          </cell>
          <cell r="O6845" t="str">
            <v>T30</v>
          </cell>
          <cell r="P6845" t="str">
            <v>T308999</v>
          </cell>
          <cell r="Q6845" t="str">
            <v/>
          </cell>
        </row>
        <row r="6846">
          <cell r="N6846" t="str">
            <v>8999</v>
          </cell>
          <cell r="O6846" t="str">
            <v>UNZ</v>
          </cell>
          <cell r="P6846" t="str">
            <v>UNZ8999</v>
          </cell>
          <cell r="Q6846" t="str">
            <v/>
          </cell>
        </row>
        <row r="6847">
          <cell r="N6847" t="str">
            <v>8999</v>
          </cell>
          <cell r="O6847" t="str">
            <v>1ME</v>
          </cell>
          <cell r="P6847" t="str">
            <v>1ME8999</v>
          </cell>
          <cell r="Q6847" t="str">
            <v/>
          </cell>
        </row>
        <row r="6848">
          <cell r="N6848" t="str">
            <v>8999</v>
          </cell>
          <cell r="O6848" t="str">
            <v>775</v>
          </cell>
          <cell r="P6848" t="str">
            <v>7758999</v>
          </cell>
          <cell r="Q6848" t="str">
            <v/>
          </cell>
        </row>
        <row r="6849">
          <cell r="N6849" t="str">
            <v>89990</v>
          </cell>
          <cell r="O6849" t="str">
            <v/>
          </cell>
          <cell r="P6849" t="str">
            <v/>
          </cell>
          <cell r="Q6849" t="str">
            <v>55088091</v>
          </cell>
        </row>
        <row r="6850">
          <cell r="N6850" t="str">
            <v>89990</v>
          </cell>
          <cell r="O6850" t="str">
            <v>BIC</v>
          </cell>
          <cell r="P6850" t="str">
            <v>BIC89990</v>
          </cell>
          <cell r="Q6850" t="str">
            <v>55088091</v>
          </cell>
        </row>
        <row r="6851">
          <cell r="N6851" t="str">
            <v/>
          </cell>
          <cell r="O6851" t="str">
            <v/>
          </cell>
          <cell r="P6851" t="str">
            <v/>
          </cell>
          <cell r="Q6851" t="str">
            <v/>
          </cell>
        </row>
        <row r="6852">
          <cell r="N6852" t="str">
            <v/>
          </cell>
          <cell r="O6852" t="str">
            <v/>
          </cell>
          <cell r="P6852" t="str">
            <v/>
          </cell>
          <cell r="Q6852" t="str">
            <v/>
          </cell>
        </row>
        <row r="6853">
          <cell r="N6853" t="str">
            <v/>
          </cell>
          <cell r="O6853" t="str">
            <v/>
          </cell>
          <cell r="P6853" t="str">
            <v/>
          </cell>
          <cell r="Q6853" t="str">
            <v/>
          </cell>
        </row>
        <row r="6854">
          <cell r="N6854" t="str">
            <v/>
          </cell>
          <cell r="O6854" t="str">
            <v/>
          </cell>
          <cell r="P6854" t="str">
            <v/>
          </cell>
          <cell r="Q6854" t="str">
            <v/>
          </cell>
        </row>
        <row r="6855">
          <cell r="N6855" t="str">
            <v/>
          </cell>
          <cell r="O6855" t="str">
            <v/>
          </cell>
          <cell r="P6855" t="str">
            <v/>
          </cell>
          <cell r="Q6855" t="str">
            <v/>
          </cell>
        </row>
      </sheetData>
      <sheetData sheetId="5"/>
      <sheetData sheetId="6"/>
      <sheetData sheetId="7"/>
      <sheetData sheetId="8"/>
      <sheetData sheetId="9">
        <row r="4">
          <cell r="A4" t="str">
            <v>TOTAL</v>
          </cell>
          <cell r="B4" t="str">
            <v>Comissões</v>
          </cell>
          <cell r="C4" t="str">
            <v>UMC-TOTAL</v>
          </cell>
          <cell r="D4" t="str">
            <v>Comissões</v>
          </cell>
        </row>
        <row r="5">
          <cell r="A5" t="str">
            <v>AA</v>
          </cell>
          <cell r="B5" t="str">
            <v>!Comissões de Contas</v>
          </cell>
          <cell r="C5" t="str">
            <v xml:space="preserve">     UMC-AA</v>
          </cell>
          <cell r="D5" t="str">
            <v xml:space="preserve">     !Comissões de Contas</v>
          </cell>
        </row>
        <row r="6">
          <cell r="A6" t="str">
            <v>AA1</v>
          </cell>
          <cell r="B6" t="str">
            <v>!Contas DO</v>
          </cell>
          <cell r="C6" t="str">
            <v xml:space="preserve">          UMC-AA1</v>
          </cell>
          <cell r="D6" t="str">
            <v xml:space="preserve">          !Contas DO</v>
          </cell>
        </row>
        <row r="7">
          <cell r="A7" t="str">
            <v>AA10</v>
          </cell>
          <cell r="B7" t="str">
            <v>!Manutenção</v>
          </cell>
          <cell r="C7" t="str">
            <v xml:space="preserve">               UMC-AA10</v>
          </cell>
          <cell r="D7" t="str">
            <v xml:space="preserve">               !Manutenção</v>
          </cell>
        </row>
        <row r="8">
          <cell r="A8" t="str">
            <v>AA1000</v>
          </cell>
          <cell r="B8" t="str">
            <v>!Manutenção Empresa</v>
          </cell>
          <cell r="C8" t="str">
            <v xml:space="preserve">                    UMC-AA1000</v>
          </cell>
          <cell r="D8" t="str">
            <v xml:space="preserve">                    !Manutenção Empresa</v>
          </cell>
          <cell r="F8" t="str">
            <v>Não Financeiras</v>
          </cell>
        </row>
        <row r="9">
          <cell r="A9" t="str">
            <v>AA1100</v>
          </cell>
          <cell r="B9" t="str">
            <v>!Manutenção Particulares</v>
          </cell>
          <cell r="C9" t="str">
            <v xml:space="preserve">                    UMC-AA1100</v>
          </cell>
          <cell r="D9" t="str">
            <v xml:space="preserve">                    !Manutenção Particulares</v>
          </cell>
          <cell r="F9" t="str">
            <v>Não Financeiras</v>
          </cell>
        </row>
        <row r="10">
          <cell r="A10" t="str">
            <v>AA1150</v>
          </cell>
          <cell r="B10" t="str">
            <v>!Manut.Client.Nat.Financ.</v>
          </cell>
          <cell r="C10" t="str">
            <v xml:space="preserve">                    UMC-AA1150</v>
          </cell>
          <cell r="D10" t="str">
            <v xml:space="preserve">                    !Manut.Client.Nat.Financ.</v>
          </cell>
          <cell r="F10" t="str">
            <v>Não Financeiras</v>
          </cell>
        </row>
        <row r="11">
          <cell r="A11" t="str">
            <v>AA1190</v>
          </cell>
          <cell r="B11" t="str">
            <v>!Manutenção Outras</v>
          </cell>
          <cell r="C11" t="str">
            <v xml:space="preserve">                    UMC-AA1190</v>
          </cell>
          <cell r="D11" t="str">
            <v xml:space="preserve">                    !Manutenção Outras</v>
          </cell>
          <cell r="F11" t="str">
            <v>Não Financeiras</v>
          </cell>
        </row>
        <row r="12">
          <cell r="A12" t="str">
            <v>AA1350</v>
          </cell>
          <cell r="B12" t="str">
            <v>!Custos Transacções ATM's</v>
          </cell>
          <cell r="C12" t="str">
            <v xml:space="preserve">               UMC-AA1350</v>
          </cell>
          <cell r="D12" t="str">
            <v xml:space="preserve">               !Custos Transacções ATM's</v>
          </cell>
        </row>
        <row r="13">
          <cell r="A13" t="str">
            <v>CC1410</v>
          </cell>
          <cell r="B13" t="str">
            <v>!Por Levantamentos</v>
          </cell>
          <cell r="C13" t="str">
            <v xml:space="preserve">                    UMC-CC1410</v>
          </cell>
          <cell r="D13" t="str">
            <v xml:space="preserve">                    !Por Levantamentos</v>
          </cell>
          <cell r="F13" t="str">
            <v>Não Financeiras</v>
          </cell>
        </row>
        <row r="14">
          <cell r="A14" t="str">
            <v>CC1420</v>
          </cell>
          <cell r="B14" t="str">
            <v>!Por Consultas</v>
          </cell>
          <cell r="C14" t="str">
            <v xml:space="preserve">                    UMC-CC1420</v>
          </cell>
          <cell r="D14" t="str">
            <v xml:space="preserve">                    !Por Consultas</v>
          </cell>
          <cell r="F14" t="str">
            <v>Não Financeiras</v>
          </cell>
        </row>
        <row r="15">
          <cell r="A15" t="str">
            <v>AA1410</v>
          </cell>
          <cell r="B15" t="str">
            <v>!Cms Gestão Contas Part.</v>
          </cell>
          <cell r="C15" t="str">
            <v xml:space="preserve">               UMC-AA1410</v>
          </cell>
          <cell r="D15" t="str">
            <v xml:space="preserve">               !Cms Gestão Contas Part.</v>
          </cell>
          <cell r="F15" t="str">
            <v>Não Financeiras</v>
          </cell>
        </row>
        <row r="16">
          <cell r="A16" t="str">
            <v>AA1420</v>
          </cell>
          <cell r="B16" t="str">
            <v>!Cms Gestão Contas Neg.</v>
          </cell>
          <cell r="C16" t="str">
            <v xml:space="preserve">               UMC-AA1420</v>
          </cell>
          <cell r="D16" t="str">
            <v xml:space="preserve">               !Cms Gestão Contas Neg.</v>
          </cell>
          <cell r="F16" t="str">
            <v>Não Financeiras</v>
          </cell>
        </row>
        <row r="17">
          <cell r="A17" t="str">
            <v>AA1430</v>
          </cell>
          <cell r="B17" t="str">
            <v>!CashBacks M123</v>
          </cell>
          <cell r="C17" t="str">
            <v xml:space="preserve">               UMC-AA1430</v>
          </cell>
          <cell r="D17" t="str">
            <v xml:space="preserve">               !CashBacks M123</v>
          </cell>
        </row>
        <row r="18">
          <cell r="A18" t="str">
            <v>AA1431</v>
          </cell>
          <cell r="B18" t="str">
            <v>!Domiciliações/Cash Back</v>
          </cell>
          <cell r="C18" t="str">
            <v xml:space="preserve">                    UMC-AA1431</v>
          </cell>
          <cell r="D18" t="str">
            <v xml:space="preserve">                    !Domiciliações/Cash Back</v>
          </cell>
          <cell r="F18" t="str">
            <v>Não Financeiras</v>
          </cell>
        </row>
        <row r="19">
          <cell r="A19" t="str">
            <v>AA1432</v>
          </cell>
          <cell r="B19" t="str">
            <v>!Gasolina/Cash Back</v>
          </cell>
          <cell r="C19" t="str">
            <v xml:space="preserve">                    UMC-AA1432</v>
          </cell>
          <cell r="D19" t="str">
            <v xml:space="preserve">                    !Gasolina/Cash Back</v>
          </cell>
          <cell r="F19" t="str">
            <v>Não Financeiras</v>
          </cell>
        </row>
        <row r="20">
          <cell r="A20" t="str">
            <v>AA1433</v>
          </cell>
          <cell r="B20" t="str">
            <v>!Cross Segment/Cash Back</v>
          </cell>
          <cell r="C20" t="str">
            <v xml:space="preserve">                    UMC-AA1433</v>
          </cell>
          <cell r="D20" t="str">
            <v xml:space="preserve">                    !Cross Segment/Cash Back</v>
          </cell>
          <cell r="F20" t="str">
            <v>Não Financeiras</v>
          </cell>
        </row>
        <row r="21">
          <cell r="A21" t="str">
            <v>AA1434</v>
          </cell>
          <cell r="B21" t="str">
            <v>!IMI/Cash Back</v>
          </cell>
          <cell r="C21" t="str">
            <v xml:space="preserve">                    UMC-AA1434</v>
          </cell>
          <cell r="D21" t="str">
            <v xml:space="preserve">                    !IMI/Cash Back</v>
          </cell>
          <cell r="F21" t="str">
            <v>Não Financeiras</v>
          </cell>
        </row>
        <row r="22">
          <cell r="A22" t="str">
            <v>AA1435</v>
          </cell>
          <cell r="B22" t="str">
            <v>!Convénios/Cash Back</v>
          </cell>
          <cell r="C22" t="str">
            <v xml:space="preserve">                    UMC-AA1435</v>
          </cell>
          <cell r="D22" t="str">
            <v xml:space="preserve">                    !Convénios/Cash Back</v>
          </cell>
          <cell r="F22" t="str">
            <v>Não Financeiras</v>
          </cell>
        </row>
        <row r="23">
          <cell r="A23" t="str">
            <v>CC1546</v>
          </cell>
          <cell r="B23" t="str">
            <v>!Compras Cartões/Cash Back</v>
          </cell>
          <cell r="C23" t="str">
            <v xml:space="preserve">                    UMC-CC1546</v>
          </cell>
          <cell r="D23" t="str">
            <v xml:space="preserve">                    !Compras Cartões/Cash Back</v>
          </cell>
          <cell r="F23" t="str">
            <v>Não Financeiras</v>
          </cell>
        </row>
        <row r="24">
          <cell r="A24" t="str">
            <v>CC1547</v>
          </cell>
          <cell r="B24" t="str">
            <v>!Via Verde/Cash Back</v>
          </cell>
          <cell r="C24" t="str">
            <v xml:space="preserve">                    UMC-CC1547</v>
          </cell>
          <cell r="D24" t="str">
            <v xml:space="preserve">                    !Via Verde/Cash Back</v>
          </cell>
          <cell r="F24" t="str">
            <v>Não Financeiras</v>
          </cell>
        </row>
        <row r="25">
          <cell r="A25" t="str">
            <v>AA1499</v>
          </cell>
          <cell r="B25" t="str">
            <v>!Outras Comissões DO</v>
          </cell>
          <cell r="C25" t="str">
            <v xml:space="preserve">               UMC-AA1499</v>
          </cell>
          <cell r="D25" t="str">
            <v xml:space="preserve">               !Outras Comissões DO</v>
          </cell>
        </row>
        <row r="26">
          <cell r="A26" t="str">
            <v>AA1200</v>
          </cell>
          <cell r="B26" t="str">
            <v>!Extractos</v>
          </cell>
          <cell r="C26" t="str">
            <v xml:space="preserve">                    UMC-AA1200</v>
          </cell>
          <cell r="D26" t="str">
            <v xml:space="preserve">                    !Extractos</v>
          </cell>
          <cell r="F26" t="str">
            <v>Não Financeiras</v>
          </cell>
        </row>
        <row r="27">
          <cell r="A27" t="str">
            <v>AA1300</v>
          </cell>
          <cell r="B27" t="str">
            <v>!Levantamento Balcão</v>
          </cell>
          <cell r="C27" t="str">
            <v xml:space="preserve">                    UMC-AA1300</v>
          </cell>
          <cell r="D27" t="str">
            <v xml:space="preserve">                    !Levantamento Balcão</v>
          </cell>
          <cell r="F27" t="str">
            <v>Não Financeiras</v>
          </cell>
        </row>
        <row r="28">
          <cell r="A28" t="str">
            <v>AA1310</v>
          </cell>
          <cell r="B28" t="str">
            <v>!Depósitos ao Balcão</v>
          </cell>
          <cell r="C28" t="str">
            <v xml:space="preserve">                    UMC-AA1310</v>
          </cell>
          <cell r="D28" t="str">
            <v xml:space="preserve">                    !Depósitos ao Balcão</v>
          </cell>
          <cell r="F28" t="str">
            <v>Não Financeiras</v>
          </cell>
        </row>
        <row r="29">
          <cell r="A29" t="str">
            <v>AA1480</v>
          </cell>
          <cell r="B29" t="str">
            <v>!Tramitação Manual</v>
          </cell>
          <cell r="C29" t="str">
            <v xml:space="preserve">                    UMC-AA1480</v>
          </cell>
          <cell r="D29" t="str">
            <v xml:space="preserve">                    !Tramitação Manual</v>
          </cell>
          <cell r="F29" t="str">
            <v>Não Financeiras</v>
          </cell>
        </row>
        <row r="30">
          <cell r="A30" t="str">
            <v>AA1490</v>
          </cell>
          <cell r="B30" t="str">
            <v>!Outras DO</v>
          </cell>
          <cell r="C30" t="str">
            <v xml:space="preserve">                    UMC-AA1490</v>
          </cell>
          <cell r="D30" t="str">
            <v xml:space="preserve">                    !Outras DO</v>
          </cell>
          <cell r="F30" t="str">
            <v>Não Financeiras</v>
          </cell>
        </row>
        <row r="31">
          <cell r="A31" t="str">
            <v>AA2</v>
          </cell>
          <cell r="B31" t="str">
            <v>!Cheques</v>
          </cell>
          <cell r="C31" t="str">
            <v xml:space="preserve">          UMC-AA2</v>
          </cell>
          <cell r="D31" t="str">
            <v xml:space="preserve">          !Cheques</v>
          </cell>
        </row>
        <row r="32">
          <cell r="A32" t="str">
            <v>AA2000</v>
          </cell>
          <cell r="B32" t="str">
            <v>!Cadernetas</v>
          </cell>
          <cell r="C32" t="str">
            <v xml:space="preserve">               UMC-AA2000</v>
          </cell>
          <cell r="D32" t="str">
            <v xml:space="preserve">               !Cadernetas</v>
          </cell>
          <cell r="F32" t="str">
            <v>Não Financeiras</v>
          </cell>
        </row>
        <row r="33">
          <cell r="A33" t="str">
            <v>AA2100</v>
          </cell>
          <cell r="B33" t="str">
            <v>!Visados/Bancários</v>
          </cell>
          <cell r="C33" t="str">
            <v xml:space="preserve">               UMC-AA2100</v>
          </cell>
          <cell r="D33" t="str">
            <v xml:space="preserve">               !Visados/Bancários</v>
          </cell>
          <cell r="F33" t="str">
            <v>Não Financeiras</v>
          </cell>
        </row>
        <row r="34">
          <cell r="A34" t="str">
            <v>AA2200</v>
          </cell>
          <cell r="B34" t="str">
            <v>!Devolução de Cheques</v>
          </cell>
          <cell r="C34" t="str">
            <v xml:space="preserve">               UMC-AA2200</v>
          </cell>
          <cell r="D34" t="str">
            <v xml:space="preserve">               !Devolução de Cheques</v>
          </cell>
          <cell r="F34" t="str">
            <v>Não Financeiras</v>
          </cell>
        </row>
        <row r="35">
          <cell r="A35" t="str">
            <v>AA2290</v>
          </cell>
          <cell r="B35" t="str">
            <v>!Cheques sem Provisão</v>
          </cell>
          <cell r="C35" t="str">
            <v xml:space="preserve">               UMC-AA2290</v>
          </cell>
          <cell r="D35" t="str">
            <v xml:space="preserve">               !Cheques sem Provisão</v>
          </cell>
          <cell r="F35" t="str">
            <v>Não Financeiras</v>
          </cell>
        </row>
        <row r="36">
          <cell r="A36" t="str">
            <v>AA2300</v>
          </cell>
          <cell r="B36" t="str">
            <v>!Cheques Outras</v>
          </cell>
          <cell r="C36" t="str">
            <v xml:space="preserve">               UMC-AA2300</v>
          </cell>
          <cell r="D36" t="str">
            <v xml:space="preserve">               !Cheques Outras</v>
          </cell>
          <cell r="F36" t="str">
            <v>Não Financeiras</v>
          </cell>
        </row>
        <row r="37">
          <cell r="A37" t="str">
            <v>AA3</v>
          </cell>
          <cell r="B37" t="str">
            <v>!Descobertos</v>
          </cell>
          <cell r="C37" t="str">
            <v xml:space="preserve">          UMC-AA3</v>
          </cell>
          <cell r="D37" t="str">
            <v xml:space="preserve">          !Descobertos</v>
          </cell>
        </row>
        <row r="38">
          <cell r="A38" t="str">
            <v>AA300</v>
          </cell>
          <cell r="B38" t="str">
            <v>!Autorizados</v>
          </cell>
          <cell r="C38" t="str">
            <v xml:space="preserve">               UMC-AA300</v>
          </cell>
          <cell r="D38" t="str">
            <v xml:space="preserve">               !Autorizados</v>
          </cell>
        </row>
        <row r="39">
          <cell r="A39" t="str">
            <v>AA3000</v>
          </cell>
          <cell r="B39" t="str">
            <v>!Desc.Autorizados</v>
          </cell>
          <cell r="C39" t="str">
            <v xml:space="preserve">                    UMC-AA3000</v>
          </cell>
          <cell r="D39" t="str">
            <v xml:space="preserve">                    !Desc.Autorizados</v>
          </cell>
          <cell r="F39" t="str">
            <v>Não Financeiras</v>
          </cell>
        </row>
        <row r="40">
          <cell r="A40" t="str">
            <v>AA3001</v>
          </cell>
          <cell r="B40" t="str">
            <v>!Desc.Autorizados-Vercon</v>
          </cell>
          <cell r="C40" t="str">
            <v xml:space="preserve">                    UMC-AA3001</v>
          </cell>
          <cell r="D40" t="str">
            <v xml:space="preserve">                    !Desc.Autorizados-Vercon</v>
          </cell>
          <cell r="F40" t="str">
            <v>Não Financeiras</v>
          </cell>
        </row>
        <row r="41">
          <cell r="A41" t="str">
            <v>AA3002</v>
          </cell>
          <cell r="B41" t="str">
            <v>!Desc.Autor.-Imobilização</v>
          </cell>
          <cell r="C41" t="str">
            <v xml:space="preserve">                    UMC-AA3002</v>
          </cell>
          <cell r="D41" t="str">
            <v xml:space="preserve">                    !Desc.Autor.-Imobilização</v>
          </cell>
          <cell r="F41" t="str">
            <v>Não Financeiras</v>
          </cell>
        </row>
        <row r="42">
          <cell r="A42" t="str">
            <v>AA310</v>
          </cell>
          <cell r="B42" t="str">
            <v>!Não Autorizados</v>
          </cell>
          <cell r="C42" t="str">
            <v xml:space="preserve">               UMC-AA310</v>
          </cell>
          <cell r="D42" t="str">
            <v xml:space="preserve">               !Não Autorizados</v>
          </cell>
        </row>
        <row r="43">
          <cell r="A43" t="str">
            <v>AA3100</v>
          </cell>
          <cell r="B43" t="str">
            <v>!Desc.Não Autorizados</v>
          </cell>
          <cell r="C43" t="str">
            <v xml:space="preserve">                    UMC-AA3100</v>
          </cell>
          <cell r="D43" t="str">
            <v xml:space="preserve">                    !Desc.Não Autorizados</v>
          </cell>
          <cell r="F43" t="str">
            <v>Não Financeiras</v>
          </cell>
        </row>
        <row r="44">
          <cell r="A44" t="str">
            <v>AA3101</v>
          </cell>
          <cell r="B44" t="str">
            <v>!Desc.Não Autoriz-Vercon</v>
          </cell>
          <cell r="C44" t="str">
            <v xml:space="preserve">                    UMC-AA3101</v>
          </cell>
          <cell r="D44" t="str">
            <v xml:space="preserve">                    !Desc.Não Autoriz-Vercon</v>
          </cell>
          <cell r="F44" t="str">
            <v>Não Financeiras</v>
          </cell>
        </row>
        <row r="45">
          <cell r="A45" t="str">
            <v>CC</v>
          </cell>
          <cell r="B45" t="str">
            <v>!Comissões Meios Pagamento</v>
          </cell>
          <cell r="C45" t="str">
            <v xml:space="preserve">     UMC-CC</v>
          </cell>
          <cell r="D45" t="str">
            <v xml:space="preserve">     !Comissões Meios Pagamento</v>
          </cell>
        </row>
        <row r="46">
          <cell r="A46" t="str">
            <v>CC1</v>
          </cell>
          <cell r="B46" t="str">
            <v>!Comissões Cartões</v>
          </cell>
          <cell r="C46" t="str">
            <v xml:space="preserve">          UMC-CC1</v>
          </cell>
          <cell r="D46" t="str">
            <v xml:space="preserve">          !Comissões Cartões</v>
          </cell>
        </row>
        <row r="47">
          <cell r="A47" t="str">
            <v>CC10</v>
          </cell>
          <cell r="B47" t="str">
            <v>!Facturação Cartões</v>
          </cell>
          <cell r="C47" t="str">
            <v xml:space="preserve">               UMC-CC10</v>
          </cell>
          <cell r="D47" t="str">
            <v xml:space="preserve">               !Facturação Cartões</v>
          </cell>
        </row>
        <row r="48">
          <cell r="A48" t="str">
            <v>CC1010</v>
          </cell>
          <cell r="B48" t="str">
            <v>!Cash Advance</v>
          </cell>
          <cell r="C48" t="str">
            <v xml:space="preserve">                    UMC-CC1010</v>
          </cell>
          <cell r="D48" t="str">
            <v xml:space="preserve">                    !Cash Advance</v>
          </cell>
          <cell r="F48" t="str">
            <v>Não Financeiras</v>
          </cell>
        </row>
        <row r="49">
          <cell r="A49" t="str">
            <v>CC1019</v>
          </cell>
          <cell r="B49" t="str">
            <v>!Compras</v>
          </cell>
          <cell r="C49" t="str">
            <v xml:space="preserve">                    UMC-CC1019</v>
          </cell>
          <cell r="D49" t="str">
            <v xml:space="preserve">                    !Compras</v>
          </cell>
        </row>
        <row r="50">
          <cell r="A50" t="str">
            <v>CC1020</v>
          </cell>
          <cell r="B50" t="str">
            <v>!Compras Cartões</v>
          </cell>
          <cell r="C50" t="str">
            <v xml:space="preserve">                         UMC-CC1020</v>
          </cell>
          <cell r="D50" t="str">
            <v xml:space="preserve">                         !Compras Cartões</v>
          </cell>
          <cell r="F50" t="str">
            <v>Não Financeiras</v>
          </cell>
        </row>
        <row r="51">
          <cell r="A51" t="str">
            <v>CC1022</v>
          </cell>
          <cell r="B51" t="str">
            <v>!Loja Digital/Compras Cart</v>
          </cell>
          <cell r="C51" t="str">
            <v xml:space="preserve">                         UMC-CC1022</v>
          </cell>
          <cell r="D51" t="str">
            <v xml:space="preserve">                         !Loja Digital/Compras Cart</v>
          </cell>
          <cell r="F51" t="str">
            <v>Não Financeiras</v>
          </cell>
        </row>
        <row r="52">
          <cell r="A52" t="str">
            <v>CC1030</v>
          </cell>
          <cell r="B52" t="str">
            <v>!Proveitos-Serviços</v>
          </cell>
          <cell r="C52" t="str">
            <v xml:space="preserve">                    UMC-CC1030</v>
          </cell>
          <cell r="D52" t="str">
            <v xml:space="preserve">                    !Proveitos-Serviços</v>
          </cell>
        </row>
        <row r="53">
          <cell r="A53" t="str">
            <v>CC1021</v>
          </cell>
          <cell r="B53" t="str">
            <v>!Canais</v>
          </cell>
          <cell r="C53" t="str">
            <v xml:space="preserve">                         UMC-CC1021</v>
          </cell>
          <cell r="D53" t="str">
            <v xml:space="preserve">                         !Canais</v>
          </cell>
          <cell r="F53" t="str">
            <v>Não Financeiras</v>
          </cell>
        </row>
        <row r="54">
          <cell r="A54" t="str">
            <v>MM7900</v>
          </cell>
          <cell r="B54" t="str">
            <v>!DUC's</v>
          </cell>
          <cell r="C54" t="str">
            <v xml:space="preserve">                         UMC-MM7900</v>
          </cell>
          <cell r="D54" t="str">
            <v xml:space="preserve">                         !DUC's</v>
          </cell>
          <cell r="F54" t="str">
            <v>Não Financeiras</v>
          </cell>
        </row>
        <row r="55">
          <cell r="A55" t="str">
            <v>CC11</v>
          </cell>
          <cell r="B55" t="str">
            <v>!Preçário Cartões</v>
          </cell>
          <cell r="C55" t="str">
            <v xml:space="preserve">               UMC-CC11</v>
          </cell>
          <cell r="D55" t="str">
            <v xml:space="preserve">               !Preçário Cartões</v>
          </cell>
        </row>
        <row r="56">
          <cell r="A56" t="str">
            <v>CC1110</v>
          </cell>
          <cell r="B56" t="str">
            <v>!Anuidades Cartões CR</v>
          </cell>
          <cell r="C56" t="str">
            <v xml:space="preserve">                    UMC-CC1110</v>
          </cell>
          <cell r="D56" t="str">
            <v xml:space="preserve">                    !Anuidades Cartões CR</v>
          </cell>
        </row>
        <row r="57">
          <cell r="A57" t="str">
            <v>CCC000</v>
          </cell>
          <cell r="B57" t="str">
            <v>!Anuidades CR-Cash</v>
          </cell>
          <cell r="C57" t="str">
            <v xml:space="preserve">                         UMC-CCC000</v>
          </cell>
          <cell r="D57" t="str">
            <v xml:space="preserve">                         !Anuidades CR-Cash</v>
          </cell>
          <cell r="F57" t="str">
            <v>Não Financeiras</v>
          </cell>
        </row>
        <row r="58">
          <cell r="A58" t="str">
            <v>CCC001</v>
          </cell>
          <cell r="B58" t="str">
            <v>!Anuidades CR-Periodif.</v>
          </cell>
          <cell r="C58" t="str">
            <v xml:space="preserve">                         UMC-CCC001</v>
          </cell>
          <cell r="D58" t="str">
            <v xml:space="preserve">                         !Anuidades CR-Periodif.</v>
          </cell>
          <cell r="F58" t="str">
            <v>Não Financeiras</v>
          </cell>
        </row>
        <row r="59">
          <cell r="A59" t="str">
            <v>CC1111</v>
          </cell>
          <cell r="B59" t="str">
            <v>!Anuidades Cartões DB</v>
          </cell>
          <cell r="C59" t="str">
            <v xml:space="preserve">                    UMC-CC1111</v>
          </cell>
          <cell r="D59" t="str">
            <v xml:space="preserve">                    !Anuidades Cartões DB</v>
          </cell>
          <cell r="F59" t="str">
            <v>Não Financeiras</v>
          </cell>
        </row>
        <row r="60">
          <cell r="A60" t="str">
            <v>CC13</v>
          </cell>
          <cell r="B60" t="str">
            <v>!Servicing</v>
          </cell>
          <cell r="C60" t="str">
            <v xml:space="preserve">                    UMC-CC13</v>
          </cell>
          <cell r="D60" t="str">
            <v xml:space="preserve">                    !Servicing</v>
          </cell>
        </row>
        <row r="61">
          <cell r="A61" t="str">
            <v>CC1310</v>
          </cell>
          <cell r="B61" t="str">
            <v>!Substituição</v>
          </cell>
          <cell r="C61" t="str">
            <v xml:space="preserve">                         UMC-CC1310</v>
          </cell>
          <cell r="D61" t="str">
            <v xml:space="preserve">                         !Substituição</v>
          </cell>
          <cell r="F61" t="str">
            <v>Não Financeiras</v>
          </cell>
        </row>
        <row r="62">
          <cell r="A62" t="str">
            <v>CC1311</v>
          </cell>
          <cell r="B62" t="str">
            <v>!Overlimit</v>
          </cell>
          <cell r="C62" t="str">
            <v xml:space="preserve">                         UMC-CC1311</v>
          </cell>
          <cell r="D62" t="str">
            <v xml:space="preserve">                         !Overlimit</v>
          </cell>
          <cell r="F62" t="str">
            <v>Não Financeiras</v>
          </cell>
        </row>
        <row r="63">
          <cell r="A63" t="str">
            <v>CC1312</v>
          </cell>
          <cell r="B63" t="str">
            <v>!Carregamento Pré-Pagos</v>
          </cell>
          <cell r="C63" t="str">
            <v xml:space="preserve">                         UMC-CC1312</v>
          </cell>
          <cell r="D63" t="str">
            <v xml:space="preserve">                         !Carregamento Pré-Pagos</v>
          </cell>
          <cell r="F63" t="str">
            <v>Não Financeiras</v>
          </cell>
        </row>
        <row r="64">
          <cell r="A64" t="str">
            <v>CC1320</v>
          </cell>
          <cell r="B64" t="str">
            <v>!Lista Negra</v>
          </cell>
          <cell r="C64" t="str">
            <v xml:space="preserve">                         UMC-CC1320</v>
          </cell>
          <cell r="D64" t="str">
            <v xml:space="preserve">                         !Lista Negra</v>
          </cell>
          <cell r="F64" t="str">
            <v>Não Financeiras</v>
          </cell>
        </row>
        <row r="65">
          <cell r="A65" t="str">
            <v>CC1330</v>
          </cell>
          <cell r="B65" t="str">
            <v>!QuasiCash</v>
          </cell>
          <cell r="C65" t="str">
            <v xml:space="preserve">                         UMC-CC1330</v>
          </cell>
          <cell r="D65" t="str">
            <v xml:space="preserve">                         !QuasiCash</v>
          </cell>
          <cell r="F65" t="str">
            <v>Não Financeiras</v>
          </cell>
        </row>
        <row r="66">
          <cell r="A66" t="str">
            <v>CC1350</v>
          </cell>
          <cell r="B66" t="str">
            <v>!Transfer. Contas/Cartão</v>
          </cell>
          <cell r="C66" t="str">
            <v xml:space="preserve">                    UMC-CC1350</v>
          </cell>
          <cell r="D66" t="str">
            <v xml:space="preserve">                    !Transfer. Contas/Cartão</v>
          </cell>
        </row>
        <row r="67">
          <cell r="A67" t="str">
            <v>CC1351</v>
          </cell>
          <cell r="B67" t="str">
            <v>!Transfer. entre Contas</v>
          </cell>
          <cell r="C67" t="str">
            <v xml:space="preserve">                         UMC-CC1351</v>
          </cell>
          <cell r="D67" t="str">
            <v xml:space="preserve">                         !Transfer. entre Contas</v>
          </cell>
          <cell r="F67" t="str">
            <v>Não Financeiras</v>
          </cell>
        </row>
        <row r="68">
          <cell r="A68" t="str">
            <v>CC1700</v>
          </cell>
          <cell r="B68" t="str">
            <v>!Recuperação de Dívida</v>
          </cell>
          <cell r="C68" t="str">
            <v xml:space="preserve">                    UMC-CC1700</v>
          </cell>
          <cell r="D68" t="str">
            <v xml:space="preserve">                    !Recuperação de Dívida</v>
          </cell>
          <cell r="F68" t="str">
            <v>Não Financeiras</v>
          </cell>
        </row>
        <row r="69">
          <cell r="A69" t="str">
            <v>CC1810</v>
          </cell>
          <cell r="B69" t="str">
            <v>!Plano PagaSimples</v>
          </cell>
          <cell r="C69" t="str">
            <v xml:space="preserve">                    UMC-CC1810</v>
          </cell>
          <cell r="D69" t="str">
            <v xml:space="preserve">                    !Plano PagaSimples</v>
          </cell>
          <cell r="F69" t="str">
            <v>Não Financeiras</v>
          </cell>
        </row>
        <row r="70">
          <cell r="A70" t="str">
            <v>CC1950</v>
          </cell>
          <cell r="B70" t="str">
            <v>!Outros Preçario Cartoes</v>
          </cell>
          <cell r="C70" t="str">
            <v xml:space="preserve">                    UMC-CC1950</v>
          </cell>
          <cell r="D70" t="str">
            <v xml:space="preserve">                    !Outros Preçario Cartoes</v>
          </cell>
          <cell r="F70" t="str">
            <v>Não Financeiras</v>
          </cell>
        </row>
        <row r="71">
          <cell r="A71" t="str">
            <v>CC12</v>
          </cell>
          <cell r="B71" t="str">
            <v>!Custos Cartões</v>
          </cell>
          <cell r="C71" t="str">
            <v xml:space="preserve">               UMC-CC12</v>
          </cell>
          <cell r="D71" t="str">
            <v xml:space="preserve">               !Custos Cartões</v>
          </cell>
        </row>
        <row r="72">
          <cell r="A72" t="str">
            <v>CC12A</v>
          </cell>
          <cell r="B72" t="str">
            <v>!Processamento MARCAS</v>
          </cell>
          <cell r="C72" t="str">
            <v xml:space="preserve">                    UMC-CC12A</v>
          </cell>
          <cell r="D72" t="str">
            <v xml:space="preserve">                    !Processamento MARCAS</v>
          </cell>
        </row>
        <row r="73">
          <cell r="A73" t="str">
            <v>CC120</v>
          </cell>
          <cell r="B73" t="str">
            <v>!Visa</v>
          </cell>
          <cell r="C73" t="str">
            <v xml:space="preserve">                         UMC-CC120</v>
          </cell>
          <cell r="D73" t="str">
            <v xml:space="preserve">                         !Visa</v>
          </cell>
          <cell r="F73" t="str">
            <v>Não Financeiras</v>
          </cell>
        </row>
        <row r="74">
          <cell r="A74" t="str">
            <v>CC1200</v>
          </cell>
          <cell r="B74" t="str">
            <v>!V Proveitos</v>
          </cell>
          <cell r="C74" t="str">
            <v xml:space="preserve">                              UMC-CC1200</v>
          </cell>
          <cell r="D74" t="str">
            <v xml:space="preserve">                              !V Proveitos</v>
          </cell>
          <cell r="F74" t="str">
            <v>Não Financeiras</v>
          </cell>
        </row>
        <row r="75">
          <cell r="A75" t="str">
            <v>CC1201</v>
          </cell>
          <cell r="B75" t="str">
            <v>!V Custos</v>
          </cell>
          <cell r="C75" t="str">
            <v xml:space="preserve">                              UMC-CC1201</v>
          </cell>
          <cell r="D75" t="str">
            <v xml:space="preserve">                              !V Custos</v>
          </cell>
          <cell r="F75" t="str">
            <v>Não Financeiras</v>
          </cell>
        </row>
        <row r="76">
          <cell r="A76" t="str">
            <v>CC121</v>
          </cell>
          <cell r="B76" t="str">
            <v>!Mastercard</v>
          </cell>
          <cell r="C76" t="str">
            <v xml:space="preserve">                         UMC-CC121</v>
          </cell>
          <cell r="D76" t="str">
            <v xml:space="preserve">                         !Mastercard</v>
          </cell>
        </row>
        <row r="77">
          <cell r="A77" t="str">
            <v>CC1210</v>
          </cell>
          <cell r="B77" t="str">
            <v>!M Proveitos</v>
          </cell>
          <cell r="C77" t="str">
            <v xml:space="preserve">                              UMC-CC1210</v>
          </cell>
          <cell r="D77" t="str">
            <v xml:space="preserve">                              !M Proveitos</v>
          </cell>
          <cell r="F77" t="str">
            <v>Não Financeiras</v>
          </cell>
        </row>
        <row r="78">
          <cell r="A78" t="str">
            <v>CC1212</v>
          </cell>
          <cell r="B78" t="str">
            <v>!M Custos</v>
          </cell>
          <cell r="C78" t="str">
            <v xml:space="preserve">                              UMC-CC1212</v>
          </cell>
          <cell r="D78" t="str">
            <v xml:space="preserve">                              !M Custos</v>
          </cell>
          <cell r="F78" t="str">
            <v>Não Financeiras</v>
          </cell>
        </row>
        <row r="79">
          <cell r="A79" t="str">
            <v>CC1220</v>
          </cell>
          <cell r="B79" t="str">
            <v>!Outros</v>
          </cell>
          <cell r="C79" t="str">
            <v xml:space="preserve">                         UMC-CC1220</v>
          </cell>
          <cell r="D79" t="str">
            <v xml:space="preserve">                         !Outros</v>
          </cell>
          <cell r="F79" t="str">
            <v>Não Financeiras</v>
          </cell>
        </row>
        <row r="80">
          <cell r="A80" t="str">
            <v>CC14</v>
          </cell>
          <cell r="B80" t="str">
            <v>!Process. SIBS (Cartões)</v>
          </cell>
          <cell r="C80" t="str">
            <v xml:space="preserve">                    UMC-CC14</v>
          </cell>
          <cell r="D80" t="str">
            <v xml:space="preserve">                    !Process. SIBS (Cartões)</v>
          </cell>
        </row>
        <row r="81">
          <cell r="A81" t="str">
            <v>CC1430</v>
          </cell>
          <cell r="B81" t="str">
            <v>!Diversos SIBS</v>
          </cell>
          <cell r="C81" t="str">
            <v xml:space="preserve">                         UMC-CC1430</v>
          </cell>
          <cell r="D81" t="str">
            <v xml:space="preserve">                         !Diversos SIBS</v>
          </cell>
          <cell r="F81" t="str">
            <v>Não Financeiras</v>
          </cell>
        </row>
        <row r="82">
          <cell r="A82" t="str">
            <v>CC1440</v>
          </cell>
          <cell r="B82" t="str">
            <v>!Factura SIBS</v>
          </cell>
          <cell r="C82" t="str">
            <v xml:space="preserve">                         UMC-CC1440</v>
          </cell>
          <cell r="D82" t="str">
            <v xml:space="preserve">                         !Factura SIBS</v>
          </cell>
          <cell r="F82" t="str">
            <v>Não Financeiras</v>
          </cell>
        </row>
        <row r="83">
          <cell r="A83" t="str">
            <v>CC15</v>
          </cell>
          <cell r="B83" t="str">
            <v>!Programas Fidelização</v>
          </cell>
          <cell r="C83" t="str">
            <v xml:space="preserve">                    UMC-CC15</v>
          </cell>
          <cell r="D83" t="str">
            <v xml:space="preserve">                    !Programas Fidelização</v>
          </cell>
        </row>
        <row r="84">
          <cell r="A84" t="str">
            <v>CC1510</v>
          </cell>
          <cell r="B84" t="str">
            <v>!CashBack Desconto</v>
          </cell>
          <cell r="C84" t="str">
            <v xml:space="preserve">                         UMC-CC1510</v>
          </cell>
          <cell r="D84" t="str">
            <v xml:space="preserve">                         !CashBack Desconto</v>
          </cell>
          <cell r="F84" t="str">
            <v>Não Financeiras</v>
          </cell>
        </row>
        <row r="85">
          <cell r="A85" t="str">
            <v>CC1520</v>
          </cell>
          <cell r="B85" t="str">
            <v>!CashBack Gasol./Via Verde</v>
          </cell>
          <cell r="C85" t="str">
            <v xml:space="preserve">                         UMC-CC1520</v>
          </cell>
          <cell r="D85" t="str">
            <v xml:space="preserve">                         !CashBack Gasol./Via Verde</v>
          </cell>
          <cell r="F85" t="str">
            <v>Não Financeiras</v>
          </cell>
        </row>
        <row r="86">
          <cell r="A86" t="str">
            <v>CC1525</v>
          </cell>
          <cell r="B86" t="str">
            <v>!CashBack Classic</v>
          </cell>
          <cell r="C86" t="str">
            <v xml:space="preserve">                         UMC-CC1525</v>
          </cell>
          <cell r="D86" t="str">
            <v xml:space="preserve">                         !CashBack Classic</v>
          </cell>
          <cell r="F86" t="str">
            <v>Não Financeiras</v>
          </cell>
        </row>
        <row r="87">
          <cell r="A87" t="str">
            <v>CC1540</v>
          </cell>
          <cell r="B87" t="str">
            <v>!Incentivos/Campanhas</v>
          </cell>
          <cell r="C87" t="str">
            <v xml:space="preserve">                         UMC-CC1540</v>
          </cell>
          <cell r="D87" t="str">
            <v xml:space="preserve">                         !Incentivos/Campanhas</v>
          </cell>
          <cell r="F87" t="str">
            <v>Não Financeiras</v>
          </cell>
        </row>
        <row r="88">
          <cell r="A88" t="str">
            <v>CC1560</v>
          </cell>
          <cell r="B88" t="str">
            <v>!Milhas</v>
          </cell>
          <cell r="C88" t="str">
            <v xml:space="preserve">                         UMC-CC1560</v>
          </cell>
          <cell r="D88" t="str">
            <v xml:space="preserve">                         !Milhas</v>
          </cell>
          <cell r="F88" t="str">
            <v>Não Financeiras</v>
          </cell>
        </row>
        <row r="89">
          <cell r="A89" t="str">
            <v>CC155</v>
          </cell>
          <cell r="B89" t="str">
            <v>!Plásticos/Personalizações</v>
          </cell>
          <cell r="C89" t="str">
            <v xml:space="preserve">                    UMC-CC155</v>
          </cell>
          <cell r="D89" t="str">
            <v xml:space="preserve">                    !Plásticos/Personalizações</v>
          </cell>
        </row>
        <row r="90">
          <cell r="A90" t="str">
            <v>CC155A</v>
          </cell>
          <cell r="B90" t="str">
            <v>!Plásticos</v>
          </cell>
          <cell r="C90" t="str">
            <v xml:space="preserve">                         UMC-CC155A</v>
          </cell>
          <cell r="D90" t="str">
            <v xml:space="preserve">                         !Plásticos</v>
          </cell>
          <cell r="F90" t="str">
            <v>Não Financeiras</v>
          </cell>
        </row>
        <row r="91">
          <cell r="A91" t="str">
            <v>CC155B</v>
          </cell>
          <cell r="B91" t="str">
            <v>!Personalizações</v>
          </cell>
          <cell r="C91" t="str">
            <v xml:space="preserve">                         UMC-CC155B</v>
          </cell>
          <cell r="D91" t="str">
            <v xml:space="preserve">                         !Personalizações</v>
          </cell>
          <cell r="F91" t="str">
            <v>Não Financeiras</v>
          </cell>
        </row>
        <row r="92">
          <cell r="A92" t="str">
            <v>CC1570</v>
          </cell>
          <cell r="B92" t="str">
            <v>!Prémios de Seguros</v>
          </cell>
          <cell r="C92" t="str">
            <v xml:space="preserve">                    UMC-CC1570</v>
          </cell>
          <cell r="D92" t="str">
            <v xml:space="preserve">                    !Prémios de Seguros</v>
          </cell>
          <cell r="F92" t="str">
            <v>Não Financeiras</v>
          </cell>
        </row>
        <row r="93">
          <cell r="A93" t="str">
            <v>CC1600</v>
          </cell>
          <cell r="B93" t="str">
            <v>!Incidências/Fraude</v>
          </cell>
          <cell r="C93" t="str">
            <v xml:space="preserve">                    UMC-CC1600</v>
          </cell>
          <cell r="D93" t="str">
            <v xml:space="preserve">                    !Incidências/Fraude</v>
          </cell>
          <cell r="F93" t="str">
            <v>Não Financeiras</v>
          </cell>
        </row>
        <row r="94">
          <cell r="A94" t="str">
            <v>CC180A</v>
          </cell>
          <cell r="B94" t="str">
            <v>!Outros Custos Cartões</v>
          </cell>
          <cell r="C94" t="str">
            <v xml:space="preserve">                    UMC-CC180A</v>
          </cell>
          <cell r="D94" t="str">
            <v xml:space="preserve">                    !Outros Custos Cartões</v>
          </cell>
        </row>
        <row r="95">
          <cell r="A95" t="str">
            <v>CC1565</v>
          </cell>
          <cell r="B95" t="str">
            <v>!Marketing Digital Cartões</v>
          </cell>
          <cell r="C95" t="str">
            <v xml:space="preserve">                         UMC-CC1565</v>
          </cell>
          <cell r="D95" t="str">
            <v xml:space="preserve">                         !Marketing Digital Cartões</v>
          </cell>
          <cell r="F95" t="str">
            <v>Não Financeiras</v>
          </cell>
        </row>
        <row r="96">
          <cell r="A96" t="str">
            <v>CC1568</v>
          </cell>
          <cell r="B96" t="str">
            <v>!Custos de Expedição</v>
          </cell>
          <cell r="C96" t="str">
            <v xml:space="preserve">                         UMC-CC1568</v>
          </cell>
          <cell r="D96" t="str">
            <v xml:space="preserve">                         !Custos de Expedição</v>
          </cell>
          <cell r="F96" t="str">
            <v>Não Financeiras</v>
          </cell>
        </row>
        <row r="97">
          <cell r="A97" t="str">
            <v>CC1580</v>
          </cell>
          <cell r="B97" t="str">
            <v>!ICV's Cartões</v>
          </cell>
          <cell r="C97" t="str">
            <v xml:space="preserve">                         UMC-CC1580</v>
          </cell>
          <cell r="D97" t="str">
            <v xml:space="preserve">                         !ICV's Cartões</v>
          </cell>
          <cell r="F97" t="str">
            <v>Não Financeiras</v>
          </cell>
        </row>
        <row r="98">
          <cell r="A98" t="str">
            <v>CC1800</v>
          </cell>
          <cell r="B98" t="str">
            <v>!Outros Custos com Cartões</v>
          </cell>
          <cell r="C98" t="str">
            <v xml:space="preserve">                         UMC-CC1800</v>
          </cell>
          <cell r="D98" t="str">
            <v xml:space="preserve">                         !Outros Custos com Cartões</v>
          </cell>
          <cell r="F98" t="str">
            <v>Não Financeiras</v>
          </cell>
        </row>
        <row r="99">
          <cell r="A99" t="str">
            <v>CC2</v>
          </cell>
          <cell r="B99" t="str">
            <v>!Comissões ATM</v>
          </cell>
          <cell r="C99" t="str">
            <v xml:space="preserve">          UMC-CC2</v>
          </cell>
          <cell r="D99" t="str">
            <v xml:space="preserve">          !Comissões ATM</v>
          </cell>
        </row>
        <row r="100">
          <cell r="A100" t="str">
            <v>CC20</v>
          </cell>
          <cell r="B100" t="str">
            <v>!Proveitos ATM</v>
          </cell>
          <cell r="C100" t="str">
            <v xml:space="preserve">               UMC-CC20</v>
          </cell>
          <cell r="D100" t="str">
            <v xml:space="preserve">               !Proveitos ATM</v>
          </cell>
          <cell r="F100" t="str">
            <v>Não Financeiras</v>
          </cell>
        </row>
        <row r="101">
          <cell r="A101" t="str">
            <v>CC2000</v>
          </cell>
          <cell r="B101" t="str">
            <v>!Tarif. Interbancário ATM</v>
          </cell>
          <cell r="C101" t="str">
            <v xml:space="preserve">                    UMC-CC2000</v>
          </cell>
          <cell r="D101" t="str">
            <v xml:space="preserve">                    !Tarif. Interbancário ATM</v>
          </cell>
          <cell r="F101" t="str">
            <v>Não Financeiras</v>
          </cell>
        </row>
        <row r="102">
          <cell r="A102" t="str">
            <v>CC2100</v>
          </cell>
          <cell r="B102" t="str">
            <v>!Proveitos Diversos ATM</v>
          </cell>
          <cell r="C102" t="str">
            <v xml:space="preserve">                    UMC-CC2100</v>
          </cell>
          <cell r="D102" t="str">
            <v xml:space="preserve">                    !Proveitos Diversos ATM</v>
          </cell>
          <cell r="F102" t="str">
            <v>Não Financeiras</v>
          </cell>
        </row>
        <row r="103">
          <cell r="A103" t="str">
            <v>CC2150</v>
          </cell>
          <cell r="B103" t="str">
            <v>!Custos ATM</v>
          </cell>
          <cell r="C103" t="str">
            <v xml:space="preserve">               UMC-CC2150</v>
          </cell>
          <cell r="D103" t="str">
            <v xml:space="preserve">               !Custos ATM</v>
          </cell>
          <cell r="F103" t="str">
            <v>Não Financeiras</v>
          </cell>
        </row>
        <row r="104">
          <cell r="A104" t="str">
            <v>CC2200</v>
          </cell>
          <cell r="B104" t="str">
            <v>!Custos Diversos ATM</v>
          </cell>
          <cell r="C104" t="str">
            <v xml:space="preserve">                    UMC-CC2200</v>
          </cell>
          <cell r="D104" t="str">
            <v xml:space="preserve">                    !Custos Diversos ATM</v>
          </cell>
          <cell r="F104" t="str">
            <v>Não Financeiras</v>
          </cell>
        </row>
        <row r="105">
          <cell r="A105" t="str">
            <v>CC2300</v>
          </cell>
          <cell r="B105" t="str">
            <v>!Custos Recorrentes ATM</v>
          </cell>
          <cell r="C105" t="str">
            <v xml:space="preserve">                    UMC-CC2300</v>
          </cell>
          <cell r="D105" t="str">
            <v xml:space="preserve">                    !Custos Recorrentes ATM</v>
          </cell>
          <cell r="F105" t="str">
            <v>Não Financeiras</v>
          </cell>
        </row>
        <row r="106">
          <cell r="A106" t="str">
            <v>CC3</v>
          </cell>
          <cell r="B106" t="str">
            <v>!Comissões POS</v>
          </cell>
          <cell r="C106" t="str">
            <v xml:space="preserve">          UMC-CC3</v>
          </cell>
          <cell r="D106" t="str">
            <v xml:space="preserve">          !Comissões POS</v>
          </cell>
        </row>
        <row r="107">
          <cell r="A107" t="str">
            <v>CC30</v>
          </cell>
          <cell r="B107" t="str">
            <v>!Proveitos POS</v>
          </cell>
          <cell r="C107" t="str">
            <v xml:space="preserve">               UMC-CC30</v>
          </cell>
          <cell r="D107" t="str">
            <v xml:space="preserve">               !Proveitos POS</v>
          </cell>
        </row>
        <row r="108">
          <cell r="A108" t="str">
            <v>CC3000</v>
          </cell>
          <cell r="B108" t="str">
            <v>!Taxa Mensal de Serviço</v>
          </cell>
          <cell r="C108" t="str">
            <v xml:space="preserve">                    UMC-CC3000</v>
          </cell>
          <cell r="D108" t="str">
            <v xml:space="preserve">                    !Taxa Mensal de Serviço</v>
          </cell>
          <cell r="F108" t="str">
            <v>Não Financeiras</v>
          </cell>
        </row>
        <row r="109">
          <cell r="A109" t="str">
            <v>CC3001</v>
          </cell>
          <cell r="B109" t="str">
            <v>!Taxa Serviço Comerciante</v>
          </cell>
          <cell r="C109" t="str">
            <v xml:space="preserve">                    UMC-CC3001</v>
          </cell>
          <cell r="D109" t="str">
            <v xml:space="preserve">                    !Taxa Serviço Comerciante</v>
          </cell>
          <cell r="F109" t="str">
            <v>Não Financeiras</v>
          </cell>
        </row>
        <row r="110">
          <cell r="A110" t="str">
            <v>CC3002</v>
          </cell>
          <cell r="B110" t="str">
            <v>!Cms Negociação Unicre</v>
          </cell>
          <cell r="C110" t="str">
            <v xml:space="preserve">                    UMC-CC3002</v>
          </cell>
          <cell r="D110" t="str">
            <v xml:space="preserve">                    !Cms Negociação Unicre</v>
          </cell>
          <cell r="F110" t="str">
            <v>Não Financeiras</v>
          </cell>
        </row>
        <row r="111">
          <cell r="A111" t="str">
            <v>CC3003</v>
          </cell>
          <cell r="B111" t="str">
            <v>!Proveitos Diversos POS</v>
          </cell>
          <cell r="C111" t="str">
            <v xml:space="preserve">                    UMC-CC3003</v>
          </cell>
          <cell r="D111" t="str">
            <v xml:space="preserve">                    !Proveitos Diversos POS</v>
          </cell>
          <cell r="F111" t="str">
            <v>Não Financeiras</v>
          </cell>
        </row>
        <row r="112">
          <cell r="A112" t="str">
            <v>CC3050</v>
          </cell>
          <cell r="B112" t="str">
            <v>!Custos POS</v>
          </cell>
          <cell r="C112" t="str">
            <v xml:space="preserve">               UMC-CC3050</v>
          </cell>
          <cell r="D112" t="str">
            <v xml:space="preserve">               !Custos POS</v>
          </cell>
        </row>
        <row r="113">
          <cell r="A113" t="str">
            <v>CC3051</v>
          </cell>
          <cell r="B113" t="str">
            <v>!Tarif.Interbancário POS</v>
          </cell>
          <cell r="C113" t="str">
            <v xml:space="preserve">                    UMC-CC3051</v>
          </cell>
          <cell r="D113" t="str">
            <v xml:space="preserve">                    !Tarif.Interbancário POS</v>
          </cell>
          <cell r="F113" t="str">
            <v>Não Financeiras</v>
          </cell>
        </row>
        <row r="114">
          <cell r="A114" t="str">
            <v>CC3052</v>
          </cell>
          <cell r="B114" t="str">
            <v>!Processamento SIBS (POS)</v>
          </cell>
          <cell r="C114" t="str">
            <v xml:space="preserve">                    UMC-CC3052</v>
          </cell>
          <cell r="D114" t="str">
            <v xml:space="preserve">                    !Processamento SIBS (POS)</v>
          </cell>
          <cell r="F114" t="str">
            <v>Não Financeiras</v>
          </cell>
        </row>
        <row r="115">
          <cell r="A115" t="str">
            <v>CC3053</v>
          </cell>
          <cell r="B115" t="str">
            <v>!Fornecedores</v>
          </cell>
          <cell r="C115" t="str">
            <v xml:space="preserve">                    UMC-CC3053</v>
          </cell>
          <cell r="D115" t="str">
            <v xml:space="preserve">                    !Fornecedores</v>
          </cell>
          <cell r="F115" t="str">
            <v>Não Financeiras</v>
          </cell>
        </row>
        <row r="116">
          <cell r="A116" t="str">
            <v>CC3100</v>
          </cell>
          <cell r="B116" t="str">
            <v>!Custos Diversos POS</v>
          </cell>
          <cell r="C116" t="str">
            <v xml:space="preserve">                    UMC-CC3100</v>
          </cell>
          <cell r="D116" t="str">
            <v xml:space="preserve">                    !Custos Diversos POS</v>
          </cell>
          <cell r="F116" t="str">
            <v>Não Financeiras</v>
          </cell>
        </row>
        <row r="117">
          <cell r="A117" t="str">
            <v>CC3070</v>
          </cell>
          <cell r="B117" t="str">
            <v>!Comissões POS GETNET</v>
          </cell>
          <cell r="C117" t="str">
            <v xml:space="preserve">               UMC-CC3070</v>
          </cell>
          <cell r="D117" t="str">
            <v xml:space="preserve">               !Comissões POS GETNET</v>
          </cell>
        </row>
        <row r="118">
          <cell r="A118" t="str">
            <v>CC3071</v>
          </cell>
          <cell r="B118" t="str">
            <v>!Getnet (10%)</v>
          </cell>
          <cell r="C118" t="str">
            <v xml:space="preserve">                    UMC-CC3071</v>
          </cell>
          <cell r="D118" t="str">
            <v xml:space="preserve">                    !Getnet (10%)</v>
          </cell>
          <cell r="F118" t="str">
            <v>Não Financeiras</v>
          </cell>
        </row>
        <row r="119">
          <cell r="A119" t="str">
            <v>CC3072</v>
          </cell>
          <cell r="B119" t="str">
            <v>!Getnet (90%)</v>
          </cell>
          <cell r="C119" t="str">
            <v xml:space="preserve">                    UMC-CC3072</v>
          </cell>
          <cell r="D119" t="str">
            <v xml:space="preserve">                    !Getnet (90%)</v>
          </cell>
          <cell r="F119" t="str">
            <v>Não Financeiras</v>
          </cell>
        </row>
        <row r="120">
          <cell r="A120" t="str">
            <v>CC3073</v>
          </cell>
          <cell r="B120" t="str">
            <v>!Outras Comissões Getnet</v>
          </cell>
          <cell r="C120" t="str">
            <v xml:space="preserve">                    UMC-CC3073</v>
          </cell>
          <cell r="D120" t="str">
            <v xml:space="preserve">                    !Outras Comissões Getnet</v>
          </cell>
          <cell r="F120" t="str">
            <v>Não Financeiras</v>
          </cell>
        </row>
        <row r="121">
          <cell r="A121" t="str">
            <v>EE</v>
          </cell>
          <cell r="B121" t="str">
            <v>!Comissões de Crédito</v>
          </cell>
          <cell r="C121" t="str">
            <v xml:space="preserve">     UMC-EE</v>
          </cell>
          <cell r="D121" t="str">
            <v xml:space="preserve">     !Comissões de Crédito</v>
          </cell>
        </row>
        <row r="122">
          <cell r="A122" t="str">
            <v>EE0000</v>
          </cell>
          <cell r="B122" t="str">
            <v>!Crédito Geral</v>
          </cell>
          <cell r="C122" t="str">
            <v xml:space="preserve">          UMC-EE0000</v>
          </cell>
          <cell r="D122" t="str">
            <v xml:space="preserve">          !Crédito Geral</v>
          </cell>
        </row>
        <row r="123">
          <cell r="A123" t="str">
            <v>EEAA</v>
          </cell>
          <cell r="B123" t="str">
            <v>!Iniciais CG</v>
          </cell>
          <cell r="C123" t="str">
            <v xml:space="preserve">               UMC-EEAA</v>
          </cell>
          <cell r="D123" t="str">
            <v xml:space="preserve">               !Iniciais CG</v>
          </cell>
        </row>
        <row r="124">
          <cell r="A124" t="str">
            <v>EE1</v>
          </cell>
          <cell r="B124" t="str">
            <v>!Abertura de Crédito</v>
          </cell>
          <cell r="C124" t="str">
            <v xml:space="preserve">                    UMC-EE1</v>
          </cell>
          <cell r="D124" t="str">
            <v xml:space="preserve">                    !Abertura de Crédito</v>
          </cell>
        </row>
        <row r="125">
          <cell r="A125" t="str">
            <v>EE1000</v>
          </cell>
          <cell r="B125" t="str">
            <v>!Abertura - Cash</v>
          </cell>
          <cell r="C125" t="str">
            <v xml:space="preserve">                         UMC-EE1000</v>
          </cell>
          <cell r="D125" t="str">
            <v xml:space="preserve">                         !Abertura - Cash</v>
          </cell>
          <cell r="F125" t="str">
            <v>Financeiras</v>
          </cell>
        </row>
        <row r="126">
          <cell r="A126" t="str">
            <v>EE1100</v>
          </cell>
          <cell r="B126" t="str">
            <v>!Abertura - Periodif.</v>
          </cell>
          <cell r="C126" t="str">
            <v xml:space="preserve">                         UMC-EE1100</v>
          </cell>
          <cell r="D126" t="str">
            <v xml:space="preserve">                         !Abertura - Periodif.</v>
          </cell>
          <cell r="F126" t="str">
            <v>Financeiras</v>
          </cell>
        </row>
        <row r="127">
          <cell r="A127" t="str">
            <v>EE5110</v>
          </cell>
          <cell r="B127" t="str">
            <v>!Letras Contratação</v>
          </cell>
          <cell r="C127" t="str">
            <v xml:space="preserve">                    UMC-EE5110</v>
          </cell>
          <cell r="D127" t="str">
            <v xml:space="preserve">                    !Letras Contratação</v>
          </cell>
        </row>
        <row r="128">
          <cell r="A128" t="str">
            <v>EE5111</v>
          </cell>
          <cell r="B128" t="str">
            <v>!Letras Contr. Cash</v>
          </cell>
          <cell r="C128" t="str">
            <v xml:space="preserve">                         UMC-EE5111</v>
          </cell>
          <cell r="D128" t="str">
            <v xml:space="preserve">                         !Letras Contr. Cash</v>
          </cell>
          <cell r="F128" t="str">
            <v>Mista (Fin)</v>
          </cell>
        </row>
        <row r="129">
          <cell r="A129" t="str">
            <v>EE5112</v>
          </cell>
          <cell r="B129" t="str">
            <v>!Letras Contr. Periodif.</v>
          </cell>
          <cell r="C129" t="str">
            <v xml:space="preserve">                         UMC-EE5112</v>
          </cell>
          <cell r="D129" t="str">
            <v xml:space="preserve">                         !Letras Contr. Periodif.</v>
          </cell>
          <cell r="F129" t="str">
            <v>Financeiras</v>
          </cell>
        </row>
        <row r="130">
          <cell r="A130" t="str">
            <v>EE5200</v>
          </cell>
          <cell r="B130" t="str">
            <v>!Livranças Contratação</v>
          </cell>
          <cell r="C130" t="str">
            <v xml:space="preserve">                    UMC-EE5200</v>
          </cell>
          <cell r="D130" t="str">
            <v xml:space="preserve">                    !Livranças Contratação</v>
          </cell>
        </row>
        <row r="131">
          <cell r="A131" t="str">
            <v>EE5210</v>
          </cell>
          <cell r="B131" t="str">
            <v>!Liv.Contratação-Cash</v>
          </cell>
          <cell r="C131" t="str">
            <v xml:space="preserve">                         UMC-EE5210</v>
          </cell>
          <cell r="D131" t="str">
            <v xml:space="preserve">                         !Liv.Contratação-Cash</v>
          </cell>
          <cell r="F131" t="str">
            <v>Financeiras</v>
          </cell>
        </row>
        <row r="132">
          <cell r="A132" t="str">
            <v>EE5220</v>
          </cell>
          <cell r="B132" t="str">
            <v>!Liv.Contratação-Periodif.</v>
          </cell>
          <cell r="C132" t="str">
            <v xml:space="preserve">                         UMC-EE5220</v>
          </cell>
          <cell r="D132" t="str">
            <v xml:space="preserve">                         !Liv.Contratação-Periodif.</v>
          </cell>
          <cell r="F132" t="str">
            <v>Financeiras</v>
          </cell>
        </row>
        <row r="133">
          <cell r="A133" t="str">
            <v>GH1000</v>
          </cell>
          <cell r="B133" t="str">
            <v>!Avaliação</v>
          </cell>
          <cell r="C133" t="str">
            <v xml:space="preserve">                    UMC-GH1000</v>
          </cell>
          <cell r="D133" t="str">
            <v xml:space="preserve">                    !Avaliação</v>
          </cell>
        </row>
        <row r="134">
          <cell r="A134" t="str">
            <v>GH1010</v>
          </cell>
          <cell r="B134" t="str">
            <v>!Avaliação-Cash</v>
          </cell>
          <cell r="C134" t="str">
            <v xml:space="preserve">                         UMC-GH1010</v>
          </cell>
          <cell r="D134" t="str">
            <v xml:space="preserve">                         !Avaliação-Cash</v>
          </cell>
          <cell r="F134" t="str">
            <v>Financeiras</v>
          </cell>
        </row>
        <row r="135">
          <cell r="A135" t="str">
            <v>GH1020</v>
          </cell>
          <cell r="B135" t="str">
            <v>!Avaliação-Periodif.</v>
          </cell>
          <cell r="C135" t="str">
            <v xml:space="preserve">                         UMC-GH1020</v>
          </cell>
          <cell r="D135" t="str">
            <v xml:space="preserve">                         !Avaliação-Periodif.</v>
          </cell>
          <cell r="F135" t="str">
            <v>Financeiras</v>
          </cell>
        </row>
        <row r="136">
          <cell r="A136" t="str">
            <v>GH1100</v>
          </cell>
          <cell r="B136" t="str">
            <v>!Dossier</v>
          </cell>
          <cell r="C136" t="str">
            <v xml:space="preserve">                    UMC-GH1100</v>
          </cell>
          <cell r="D136" t="str">
            <v xml:space="preserve">                    !Dossier</v>
          </cell>
        </row>
        <row r="137">
          <cell r="A137" t="str">
            <v>GH1110</v>
          </cell>
          <cell r="B137" t="str">
            <v>!Dossier-Cash</v>
          </cell>
          <cell r="C137" t="str">
            <v xml:space="preserve">                         UMC-GH1110</v>
          </cell>
          <cell r="D137" t="str">
            <v xml:space="preserve">                         !Dossier-Cash</v>
          </cell>
          <cell r="F137" t="str">
            <v>Financeiras</v>
          </cell>
        </row>
        <row r="138">
          <cell r="A138" t="str">
            <v>GH1120</v>
          </cell>
          <cell r="B138" t="str">
            <v>!Dossier-Periodif.</v>
          </cell>
          <cell r="C138" t="str">
            <v xml:space="preserve">                         UMC-GH1120</v>
          </cell>
          <cell r="D138" t="str">
            <v xml:space="preserve">                         !Dossier-Periodif.</v>
          </cell>
          <cell r="F138" t="str">
            <v>Financeiras</v>
          </cell>
        </row>
        <row r="139">
          <cell r="A139" t="str">
            <v>GH1200</v>
          </cell>
          <cell r="B139" t="str">
            <v>!Solicitadoria</v>
          </cell>
          <cell r="C139" t="str">
            <v xml:space="preserve">                    UMC-GH1200</v>
          </cell>
          <cell r="D139" t="str">
            <v xml:space="preserve">                    !Solicitadoria</v>
          </cell>
          <cell r="F139" t="str">
            <v>Não Financeiras</v>
          </cell>
        </row>
        <row r="140">
          <cell r="A140" t="str">
            <v>GH2000</v>
          </cell>
          <cell r="B140" t="str">
            <v>!Contrato Hipotecário</v>
          </cell>
          <cell r="C140" t="str">
            <v xml:space="preserve">                    UMC-GH2000</v>
          </cell>
          <cell r="D140" t="str">
            <v xml:space="preserve">                    !Contrato Hipotecário</v>
          </cell>
          <cell r="F140" t="str">
            <v>Não Financeiras</v>
          </cell>
        </row>
        <row r="141">
          <cell r="A141" t="str">
            <v>GH2300</v>
          </cell>
          <cell r="B141" t="str">
            <v>!Prep Doc Contratuais</v>
          </cell>
          <cell r="C141" t="str">
            <v xml:space="preserve">                    UMC-GH2300</v>
          </cell>
          <cell r="D141" t="str">
            <v xml:space="preserve">                    !Prep Doc Contratuais</v>
          </cell>
        </row>
        <row r="142">
          <cell r="A142" t="str">
            <v>GH2310</v>
          </cell>
          <cell r="B142" t="str">
            <v>!Prep Doc Contr Cash</v>
          </cell>
          <cell r="C142" t="str">
            <v xml:space="preserve">                         UMC-GH2310</v>
          </cell>
          <cell r="D142" t="str">
            <v xml:space="preserve">                         !Prep Doc Contr Cash</v>
          </cell>
          <cell r="F142" t="str">
            <v>Não Financeiras</v>
          </cell>
        </row>
        <row r="143">
          <cell r="A143" t="str">
            <v>GH2320</v>
          </cell>
          <cell r="B143" t="str">
            <v>!Prep Doc Contr Periodif</v>
          </cell>
          <cell r="C143" t="str">
            <v xml:space="preserve">                         UMC-GH2320</v>
          </cell>
          <cell r="D143" t="str">
            <v xml:space="preserve">                         !Prep Doc Contr Periodif</v>
          </cell>
          <cell r="F143" t="str">
            <v>Financeiras</v>
          </cell>
        </row>
        <row r="144">
          <cell r="A144" t="str">
            <v>GH2322</v>
          </cell>
          <cell r="B144" t="str">
            <v>!Outras Iniciais</v>
          </cell>
          <cell r="C144" t="str">
            <v xml:space="preserve">                    UMC-GH2322</v>
          </cell>
          <cell r="D144" t="str">
            <v xml:space="preserve">                    !Outras Iniciais</v>
          </cell>
        </row>
        <row r="145">
          <cell r="A145" t="str">
            <v>EE1200</v>
          </cell>
          <cell r="B145" t="str">
            <v>!Loja Digital / Parceiro</v>
          </cell>
          <cell r="C145" t="str">
            <v xml:space="preserve">                         UMC-EE1200</v>
          </cell>
          <cell r="D145" t="str">
            <v xml:space="preserve">                         !Loja Digital / Parceiro</v>
          </cell>
        </row>
        <row r="146">
          <cell r="A146" t="str">
            <v>EE1210</v>
          </cell>
          <cell r="B146" t="str">
            <v>!Loja Digital Sant-Cash</v>
          </cell>
          <cell r="C146" t="str">
            <v xml:space="preserve">                              UMC-EE1210</v>
          </cell>
          <cell r="D146" t="str">
            <v xml:space="preserve">                              !Loja Digital Sant-Cash</v>
          </cell>
          <cell r="F146" t="str">
            <v>Financeiras</v>
          </cell>
        </row>
        <row r="147">
          <cell r="A147" t="str">
            <v>EE1220</v>
          </cell>
          <cell r="B147" t="str">
            <v>!Loja Digital-Sant-Period</v>
          </cell>
          <cell r="C147" t="str">
            <v xml:space="preserve">                              UMC-EE1220</v>
          </cell>
          <cell r="D147" t="str">
            <v xml:space="preserve">                              !Loja Digital-Sant-Period</v>
          </cell>
          <cell r="F147" t="str">
            <v>Financeiras</v>
          </cell>
        </row>
        <row r="148">
          <cell r="A148" t="str">
            <v>EE1300</v>
          </cell>
          <cell r="B148" t="str">
            <v>!Campanha Cash Back CH</v>
          </cell>
          <cell r="C148" t="str">
            <v xml:space="preserve">                         UMC-EE1300</v>
          </cell>
          <cell r="D148" t="str">
            <v xml:space="preserve">                         !Campanha Cash Back CH</v>
          </cell>
        </row>
        <row r="149">
          <cell r="A149" t="str">
            <v>EE1310</v>
          </cell>
          <cell r="B149" t="str">
            <v>!Camp.Cash Back CH-Cash</v>
          </cell>
          <cell r="C149" t="str">
            <v xml:space="preserve">                              UMC-EE1310</v>
          </cell>
          <cell r="D149" t="str">
            <v xml:space="preserve">                              !Camp.Cash Back CH-Cash</v>
          </cell>
          <cell r="F149" t="str">
            <v>Financeiras</v>
          </cell>
        </row>
        <row r="150">
          <cell r="A150" t="str">
            <v>EE1320</v>
          </cell>
          <cell r="B150" t="str">
            <v>!Camp.Cash Back CH-Period</v>
          </cell>
          <cell r="C150" t="str">
            <v xml:space="preserve">                              UMC-EE1320</v>
          </cell>
          <cell r="D150" t="str">
            <v xml:space="preserve">                              !Camp.Cash Back CH-Period</v>
          </cell>
          <cell r="F150" t="str">
            <v>Financeiras</v>
          </cell>
        </row>
        <row r="151">
          <cell r="A151" t="str">
            <v>GH2210</v>
          </cell>
          <cell r="B151" t="str">
            <v>!Cancelamento de Hipoteca</v>
          </cell>
          <cell r="C151" t="str">
            <v xml:space="preserve">                         UMC-GH2210</v>
          </cell>
          <cell r="D151" t="str">
            <v xml:space="preserve">                         !Cancelamento de Hipoteca</v>
          </cell>
          <cell r="F151" t="str">
            <v>Não Financeiras</v>
          </cell>
        </row>
        <row r="152">
          <cell r="A152" t="str">
            <v>GH2220</v>
          </cell>
          <cell r="B152" t="str">
            <v>!Registos Predial Dispensa</v>
          </cell>
          <cell r="C152" t="str">
            <v xml:space="preserve">                         UMC-GH2220</v>
          </cell>
          <cell r="D152" t="str">
            <v xml:space="preserve">                         !Registos Predial Dispensa</v>
          </cell>
        </row>
        <row r="153">
          <cell r="A153" t="str">
            <v>GH2221</v>
          </cell>
          <cell r="B153" t="str">
            <v>!Dispens.Regist.-Cash</v>
          </cell>
          <cell r="C153" t="str">
            <v xml:space="preserve">                              UMC-GH2221</v>
          </cell>
          <cell r="D153" t="str">
            <v xml:space="preserve">                              !Dispens.Regist.-Cash</v>
          </cell>
          <cell r="F153" t="str">
            <v>Financeiras</v>
          </cell>
        </row>
        <row r="154">
          <cell r="A154" t="str">
            <v>GH2222</v>
          </cell>
          <cell r="B154" t="str">
            <v>!Dispens.Regist.-Periodif.</v>
          </cell>
          <cell r="C154" t="str">
            <v xml:space="preserve">                              UMC-GH2222</v>
          </cell>
          <cell r="D154" t="str">
            <v xml:space="preserve">                              !Dispens.Regist.-Periodif.</v>
          </cell>
          <cell r="F154" t="str">
            <v>Financeiras</v>
          </cell>
        </row>
        <row r="155">
          <cell r="A155" t="str">
            <v>GH2230</v>
          </cell>
          <cell r="B155" t="str">
            <v>!Registo Predial Conversão</v>
          </cell>
          <cell r="C155" t="str">
            <v xml:space="preserve">                         UMC-GH2230</v>
          </cell>
          <cell r="D155" t="str">
            <v xml:space="preserve">                         !Registo Predial Conversão</v>
          </cell>
        </row>
        <row r="156">
          <cell r="A156" t="str">
            <v>GH2231</v>
          </cell>
          <cell r="B156" t="str">
            <v>!Convers.Regist.-Cash</v>
          </cell>
          <cell r="C156" t="str">
            <v xml:space="preserve">                              UMC-GH2231</v>
          </cell>
          <cell r="D156" t="str">
            <v xml:space="preserve">                              !Convers.Regist.-Cash</v>
          </cell>
          <cell r="F156" t="str">
            <v>Financeiras</v>
          </cell>
        </row>
        <row r="157">
          <cell r="A157" t="str">
            <v>GH2232</v>
          </cell>
          <cell r="B157" t="str">
            <v>!Convers.Regist.-Periodif.</v>
          </cell>
          <cell r="C157" t="str">
            <v xml:space="preserve">                              UMC-GH2232</v>
          </cell>
          <cell r="D157" t="str">
            <v xml:space="preserve">                              !Convers.Regist.-Periodif.</v>
          </cell>
          <cell r="F157" t="str">
            <v>Financeiras</v>
          </cell>
        </row>
        <row r="158">
          <cell r="A158" t="str">
            <v>GH2400</v>
          </cell>
          <cell r="B158" t="str">
            <v>!Fiança</v>
          </cell>
          <cell r="C158" t="str">
            <v xml:space="preserve">                         UMC-GH2400</v>
          </cell>
          <cell r="D158" t="str">
            <v xml:space="preserve">                         !Fiança</v>
          </cell>
        </row>
        <row r="159">
          <cell r="A159" t="str">
            <v>GH2410</v>
          </cell>
          <cell r="B159" t="str">
            <v>!Fiança-Cash</v>
          </cell>
          <cell r="C159" t="str">
            <v xml:space="preserve">                              UMC-GH2410</v>
          </cell>
          <cell r="D159" t="str">
            <v xml:space="preserve">                              !Fiança-Cash</v>
          </cell>
          <cell r="F159" t="str">
            <v>Financeiras</v>
          </cell>
        </row>
        <row r="160">
          <cell r="A160" t="str">
            <v>GH2420</v>
          </cell>
          <cell r="B160" t="str">
            <v>!Fiança-Periodif.</v>
          </cell>
          <cell r="C160" t="str">
            <v xml:space="preserve">                              UMC-GH2420</v>
          </cell>
          <cell r="D160" t="str">
            <v xml:space="preserve">                              !Fiança-Periodif.</v>
          </cell>
          <cell r="F160" t="str">
            <v>Financeiras</v>
          </cell>
        </row>
        <row r="161">
          <cell r="A161" t="str">
            <v>GH2500</v>
          </cell>
          <cell r="B161" t="str">
            <v>!Seguros Posteriori</v>
          </cell>
          <cell r="C161" t="str">
            <v xml:space="preserve">                         UMC-GH2500</v>
          </cell>
          <cell r="D161" t="str">
            <v xml:space="preserve">                         !Seguros Posteriori</v>
          </cell>
          <cell r="F161" t="str">
            <v>Não Financeiras</v>
          </cell>
        </row>
        <row r="162">
          <cell r="A162" t="str">
            <v>GH2600</v>
          </cell>
          <cell r="B162" t="str">
            <v>!Outras IFRRU</v>
          </cell>
          <cell r="C162" t="str">
            <v xml:space="preserve">                         UMC-GH2600</v>
          </cell>
          <cell r="D162" t="str">
            <v xml:space="preserve">                         !Outras IFRRU</v>
          </cell>
          <cell r="F162" t="str">
            <v>Financeiras</v>
          </cell>
        </row>
        <row r="163">
          <cell r="A163" t="str">
            <v>GH2650</v>
          </cell>
          <cell r="B163" t="str">
            <v>!Diversas Crédito Iniciais</v>
          </cell>
          <cell r="C163" t="str">
            <v xml:space="preserve">                         UMC-GH2650</v>
          </cell>
          <cell r="D163" t="str">
            <v xml:space="preserve">                         !Diversas Crédito Iniciais</v>
          </cell>
          <cell r="F163" t="str">
            <v>Não Financeiras</v>
          </cell>
        </row>
        <row r="164">
          <cell r="A164" t="str">
            <v>EEAB</v>
          </cell>
          <cell r="B164" t="str">
            <v>!Pós-Contratuais CG</v>
          </cell>
          <cell r="C164" t="str">
            <v xml:space="preserve">               UMC-EEAB</v>
          </cell>
          <cell r="D164" t="str">
            <v xml:space="preserve">               !Pós-Contratuais CG</v>
          </cell>
        </row>
        <row r="165">
          <cell r="A165" t="str">
            <v>EE4000</v>
          </cell>
          <cell r="B165" t="str">
            <v>!Comissão de Gestão</v>
          </cell>
          <cell r="C165" t="str">
            <v xml:space="preserve">                    UMC-EE4000</v>
          </cell>
          <cell r="D165" t="str">
            <v xml:space="preserve">                    !Comissão de Gestão</v>
          </cell>
          <cell r="F165" t="str">
            <v>Não Financeiras</v>
          </cell>
        </row>
        <row r="166">
          <cell r="A166" t="str">
            <v>EE5120</v>
          </cell>
          <cell r="B166" t="str">
            <v>!Domicil.Não Concretizada</v>
          </cell>
          <cell r="C166" t="str">
            <v xml:space="preserve">                    UMC-EE5120</v>
          </cell>
          <cell r="D166" t="str">
            <v xml:space="preserve">                    !Domicil.Não Concretizada</v>
          </cell>
          <cell r="F166" t="str">
            <v>Não Financeiras</v>
          </cell>
        </row>
        <row r="167">
          <cell r="A167" t="str">
            <v>EE6100</v>
          </cell>
          <cell r="B167" t="str">
            <v>!Garantias Nacionais-Taxa</v>
          </cell>
          <cell r="C167" t="str">
            <v xml:space="preserve">                    UMC-EE6100</v>
          </cell>
          <cell r="D167" t="str">
            <v xml:space="preserve">                    !Garantias Nacionais-Taxa</v>
          </cell>
        </row>
        <row r="168">
          <cell r="A168" t="str">
            <v>EE6110</v>
          </cell>
          <cell r="B168" t="str">
            <v>!Garant.Nacionais-Cash</v>
          </cell>
          <cell r="C168" t="str">
            <v xml:space="preserve">                         UMC-EE6110</v>
          </cell>
          <cell r="D168" t="str">
            <v xml:space="preserve">                         !Garant.Nacionais-Cash</v>
          </cell>
          <cell r="F168" t="str">
            <v>Não Financeiras</v>
          </cell>
        </row>
        <row r="169">
          <cell r="A169" t="str">
            <v>EE6120</v>
          </cell>
          <cell r="B169" t="str">
            <v>!Garant.Nacionais-Periodif</v>
          </cell>
          <cell r="C169" t="str">
            <v xml:space="preserve">                         UMC-EE6120</v>
          </cell>
          <cell r="D169" t="str">
            <v xml:space="preserve">                         !Garant.Nacionais-Periodif</v>
          </cell>
          <cell r="F169" t="str">
            <v>Não Financeiras</v>
          </cell>
        </row>
        <row r="170">
          <cell r="A170" t="str">
            <v>EE6200</v>
          </cell>
          <cell r="B170" t="str">
            <v>!Garantias Nacionais-Outra</v>
          </cell>
          <cell r="C170" t="str">
            <v xml:space="preserve">                    UMC-EE6200</v>
          </cell>
          <cell r="D170" t="str">
            <v xml:space="preserve">                    !Garantias Nacionais-Outra</v>
          </cell>
          <cell r="F170" t="str">
            <v>Não Financeiras</v>
          </cell>
        </row>
        <row r="171">
          <cell r="A171" t="str">
            <v>GH2900</v>
          </cell>
          <cell r="B171" t="str">
            <v>!Amortização Antecipada</v>
          </cell>
          <cell r="C171" t="str">
            <v xml:space="preserve">                    UMC-GH2900</v>
          </cell>
          <cell r="D171" t="str">
            <v xml:space="preserve">                    !Amortização Antecipada</v>
          </cell>
        </row>
        <row r="172">
          <cell r="A172" t="str">
            <v>GH3200</v>
          </cell>
          <cell r="B172" t="str">
            <v>!Amortização Total</v>
          </cell>
          <cell r="C172" t="str">
            <v xml:space="preserve">                         UMC-GH3200</v>
          </cell>
          <cell r="D172" t="str">
            <v xml:space="preserve">                         !Amortização Total</v>
          </cell>
          <cell r="F172" t="str">
            <v>Não Financeiras</v>
          </cell>
        </row>
        <row r="173">
          <cell r="A173" t="str">
            <v>GH3400</v>
          </cell>
          <cell r="B173" t="str">
            <v>!Amortização Parcial</v>
          </cell>
          <cell r="C173" t="str">
            <v xml:space="preserve">                         UMC-GH3400</v>
          </cell>
          <cell r="D173" t="str">
            <v xml:space="preserve">                         !Amortização Parcial</v>
          </cell>
        </row>
        <row r="174">
          <cell r="A174" t="str">
            <v>GH3410</v>
          </cell>
          <cell r="B174" t="str">
            <v>!Amortização Parcial-Cash</v>
          </cell>
          <cell r="C174" t="str">
            <v xml:space="preserve">                              UMC-GH3410</v>
          </cell>
          <cell r="D174" t="str">
            <v xml:space="preserve">                              !Amortização Parcial-Cash</v>
          </cell>
          <cell r="F174" t="str">
            <v>Não Financeiras</v>
          </cell>
        </row>
        <row r="175">
          <cell r="A175" t="str">
            <v>GH3420</v>
          </cell>
          <cell r="B175" t="str">
            <v>!Amortiz.Parcial-Periodif.</v>
          </cell>
          <cell r="C175" t="str">
            <v xml:space="preserve">                              UMC-GH3420</v>
          </cell>
          <cell r="D175" t="str">
            <v xml:space="preserve">                              !Amortiz.Parcial-Periodif.</v>
          </cell>
          <cell r="F175" t="str">
            <v>Não Financeiras</v>
          </cell>
        </row>
        <row r="176">
          <cell r="A176" t="str">
            <v>GH3000</v>
          </cell>
          <cell r="B176" t="str">
            <v>!Vistorias</v>
          </cell>
          <cell r="C176" t="str">
            <v xml:space="preserve">                    UMC-GH3000</v>
          </cell>
          <cell r="D176" t="str">
            <v xml:space="preserve">                    !Vistorias</v>
          </cell>
        </row>
        <row r="177">
          <cell r="A177" t="str">
            <v>GH3010</v>
          </cell>
          <cell r="B177" t="str">
            <v>!Vistorias-Cash</v>
          </cell>
          <cell r="C177" t="str">
            <v xml:space="preserve">                         UMC-GH3010</v>
          </cell>
          <cell r="D177" t="str">
            <v xml:space="preserve">                         !Vistorias-Cash</v>
          </cell>
          <cell r="F177" t="str">
            <v>Financeiras</v>
          </cell>
        </row>
        <row r="178">
          <cell r="A178" t="str">
            <v>GH3020</v>
          </cell>
          <cell r="B178" t="str">
            <v>!Vistorias-Periodif.</v>
          </cell>
          <cell r="C178" t="str">
            <v xml:space="preserve">                         UMC-GH3020</v>
          </cell>
          <cell r="D178" t="str">
            <v xml:space="preserve">                         !Vistorias-Periodif.</v>
          </cell>
          <cell r="F178" t="str">
            <v>Financeiras</v>
          </cell>
        </row>
        <row r="179">
          <cell r="A179" t="str">
            <v>GH3050</v>
          </cell>
          <cell r="B179" t="str">
            <v>!Outras Pós-Contratuais</v>
          </cell>
          <cell r="C179" t="str">
            <v xml:space="preserve">                    UMC-GH3050</v>
          </cell>
          <cell r="D179" t="str">
            <v xml:space="preserve">                    !Outras Pós-Contratuais</v>
          </cell>
        </row>
        <row r="180">
          <cell r="A180" t="str">
            <v>EE5130</v>
          </cell>
          <cell r="B180" t="str">
            <v>!Efeitos Outras</v>
          </cell>
          <cell r="C180" t="str">
            <v xml:space="preserve">                         UMC-EE5130</v>
          </cell>
          <cell r="D180" t="str">
            <v xml:space="preserve">                         !Efeitos Outras</v>
          </cell>
          <cell r="F180" t="str">
            <v>Não Financeiras</v>
          </cell>
        </row>
        <row r="181">
          <cell r="A181" t="str">
            <v>GH3100</v>
          </cell>
          <cell r="B181" t="str">
            <v>!Emissão de Declarações</v>
          </cell>
          <cell r="C181" t="str">
            <v xml:space="preserve">                         UMC-GH3100</v>
          </cell>
          <cell r="D181" t="str">
            <v xml:space="preserve">                         !Emissão de Declarações</v>
          </cell>
          <cell r="F181" t="str">
            <v>Não Financeiras</v>
          </cell>
        </row>
        <row r="182">
          <cell r="A182" t="str">
            <v>GH3300</v>
          </cell>
          <cell r="B182" t="str">
            <v>!Distrates</v>
          </cell>
          <cell r="C182" t="str">
            <v xml:space="preserve">                         UMC-GH3300</v>
          </cell>
          <cell r="D182" t="str">
            <v xml:space="preserve">                         !Distrates</v>
          </cell>
          <cell r="F182" t="str">
            <v>Não Financeiras</v>
          </cell>
        </row>
        <row r="183">
          <cell r="A183" t="str">
            <v>GH3500</v>
          </cell>
          <cell r="B183" t="str">
            <v>!Alter.Condiç.Contratuais</v>
          </cell>
          <cell r="C183" t="str">
            <v xml:space="preserve">                         UMC-GH3500</v>
          </cell>
          <cell r="D183" t="str">
            <v xml:space="preserve">                         !Alter.Condiç.Contratuais</v>
          </cell>
        </row>
        <row r="184">
          <cell r="A184" t="str">
            <v>GH3510</v>
          </cell>
          <cell r="B184" t="str">
            <v>!Alter.Cond.Contrat-Cash</v>
          </cell>
          <cell r="C184" t="str">
            <v xml:space="preserve">                              UMC-GH3510</v>
          </cell>
          <cell r="D184" t="str">
            <v xml:space="preserve">                              !Alter.Cond.Contrat-Cash</v>
          </cell>
          <cell r="F184" t="str">
            <v>Financeiras</v>
          </cell>
        </row>
        <row r="185">
          <cell r="A185" t="str">
            <v>GH3520</v>
          </cell>
          <cell r="B185" t="str">
            <v>!Alter.Cond.Contr-Periodif</v>
          </cell>
          <cell r="C185" t="str">
            <v xml:space="preserve">                              UMC-GH3520</v>
          </cell>
          <cell r="D185" t="str">
            <v xml:space="preserve">                              !Alter.Cond.Contr-Periodif</v>
          </cell>
          <cell r="F185" t="str">
            <v>Financeiras</v>
          </cell>
        </row>
        <row r="186">
          <cell r="A186" t="str">
            <v>GH3600</v>
          </cell>
          <cell r="B186" t="str">
            <v>!Alteração de Seguros</v>
          </cell>
          <cell r="C186" t="str">
            <v xml:space="preserve">                         UMC-GH3600</v>
          </cell>
          <cell r="D186" t="str">
            <v xml:space="preserve">                         !Alteração de Seguros</v>
          </cell>
        </row>
        <row r="187">
          <cell r="A187" t="str">
            <v>GH3610</v>
          </cell>
          <cell r="B187" t="str">
            <v>!Dentro do Grupo</v>
          </cell>
          <cell r="C187" t="str">
            <v xml:space="preserve">                              UMC-GH3610</v>
          </cell>
          <cell r="D187" t="str">
            <v xml:space="preserve">                              !Dentro do Grupo</v>
          </cell>
          <cell r="F187" t="str">
            <v>Não Financeiras</v>
          </cell>
        </row>
        <row r="188">
          <cell r="A188" t="str">
            <v>GH3620</v>
          </cell>
          <cell r="B188" t="str">
            <v>!Fora do Grupo</v>
          </cell>
          <cell r="C188" t="str">
            <v xml:space="preserve">                              UMC-GH3620</v>
          </cell>
          <cell r="D188" t="str">
            <v xml:space="preserve">                              !Fora do Grupo</v>
          </cell>
          <cell r="F188" t="str">
            <v>Não Financeiras</v>
          </cell>
        </row>
        <row r="189">
          <cell r="A189" t="str">
            <v>GH3900</v>
          </cell>
          <cell r="B189" t="str">
            <v>!Diversas Créd. Pós-Contr</v>
          </cell>
          <cell r="C189" t="str">
            <v xml:space="preserve">                         UMC-GH3900</v>
          </cell>
          <cell r="D189" t="str">
            <v xml:space="preserve">                         !Diversas Créd. Pós-Contr</v>
          </cell>
          <cell r="F189" t="str">
            <v>Não Financeiras</v>
          </cell>
        </row>
        <row r="190">
          <cell r="A190" t="str">
            <v>EEAC</v>
          </cell>
          <cell r="B190" t="str">
            <v>!Incumprimento CG</v>
          </cell>
          <cell r="C190" t="str">
            <v xml:space="preserve">               UMC-EEAC</v>
          </cell>
          <cell r="D190" t="str">
            <v xml:space="preserve">               !Incumprimento CG</v>
          </cell>
        </row>
        <row r="191">
          <cell r="A191" t="str">
            <v>EE3000</v>
          </cell>
          <cell r="B191" t="str">
            <v>!Cobr.Prest.Dívida Atraso</v>
          </cell>
          <cell r="C191" t="str">
            <v xml:space="preserve">                    UMC-EE3000</v>
          </cell>
          <cell r="D191" t="str">
            <v xml:space="preserve">                    !Cobr.Prest.Dívida Atraso</v>
          </cell>
          <cell r="F191" t="str">
            <v>Não Financeiras</v>
          </cell>
        </row>
        <row r="192">
          <cell r="A192" t="str">
            <v>EE3090</v>
          </cell>
          <cell r="B192" t="str">
            <v>!Outras Incumprimento CG</v>
          </cell>
          <cell r="C192" t="str">
            <v xml:space="preserve">                    UMC-EE3090</v>
          </cell>
          <cell r="D192" t="str">
            <v xml:space="preserve">                    !Outras Incumprimento CG</v>
          </cell>
          <cell r="F192" t="str">
            <v>Não Financeiras</v>
          </cell>
        </row>
        <row r="193">
          <cell r="A193" t="str">
            <v>EEAD</v>
          </cell>
          <cell r="B193" t="str">
            <v>!Custos CG</v>
          </cell>
          <cell r="C193" t="str">
            <v xml:space="preserve">               UMC-EEAD</v>
          </cell>
          <cell r="D193" t="str">
            <v xml:space="preserve">               !Custos CG</v>
          </cell>
        </row>
        <row r="194">
          <cell r="A194" t="str">
            <v>GH4000</v>
          </cell>
          <cell r="B194" t="str">
            <v>!Custos c/Avaliad-Solicit.</v>
          </cell>
          <cell r="C194" t="str">
            <v xml:space="preserve">                    UMC-GH4000</v>
          </cell>
          <cell r="D194" t="str">
            <v xml:space="preserve">                    !Custos c/Avaliad-Solicit.</v>
          </cell>
        </row>
        <row r="195">
          <cell r="A195" t="str">
            <v>GH4001</v>
          </cell>
          <cell r="B195" t="str">
            <v>!Custos c/Avaliadores</v>
          </cell>
          <cell r="C195" t="str">
            <v xml:space="preserve">                         UMC-GH4001</v>
          </cell>
          <cell r="D195" t="str">
            <v xml:space="preserve">                         !Custos c/Avaliadores</v>
          </cell>
          <cell r="F195" t="str">
            <v>Mista (Fin)</v>
          </cell>
        </row>
        <row r="196">
          <cell r="A196" t="str">
            <v>GH4002</v>
          </cell>
          <cell r="B196" t="str">
            <v>!Custos c/Solicitadores</v>
          </cell>
          <cell r="C196" t="str">
            <v xml:space="preserve">                         UMC-GH4002</v>
          </cell>
          <cell r="D196" t="str">
            <v xml:space="preserve">                         !Custos c/Solicitadores</v>
          </cell>
          <cell r="F196" t="str">
            <v>Não Financeiras</v>
          </cell>
        </row>
        <row r="197">
          <cell r="A197" t="str">
            <v>GH41AA</v>
          </cell>
          <cell r="B197" t="str">
            <v>!ICV's Crédito/Mediadores</v>
          </cell>
          <cell r="C197" t="str">
            <v xml:space="preserve">                    UMC-GH41AA</v>
          </cell>
          <cell r="D197" t="str">
            <v xml:space="preserve">                    !ICV's Crédito/Mediadores</v>
          </cell>
        </row>
        <row r="198">
          <cell r="A198" t="str">
            <v>GH4100</v>
          </cell>
          <cell r="B198" t="str">
            <v>!ICV's Crédito Hipotecário</v>
          </cell>
          <cell r="C198" t="str">
            <v xml:space="preserve">                         UMC-GH4100</v>
          </cell>
          <cell r="D198" t="str">
            <v xml:space="preserve">                         !ICV's Crédito Hipotecário</v>
          </cell>
        </row>
        <row r="199">
          <cell r="A199" t="str">
            <v>GH410A</v>
          </cell>
          <cell r="B199" t="str">
            <v>!ICV's Créd Hipot. Cash</v>
          </cell>
          <cell r="C199" t="str">
            <v xml:space="preserve">                              UMC-GH410A</v>
          </cell>
          <cell r="D199" t="str">
            <v xml:space="preserve">                              !ICV's Créd Hipot. Cash</v>
          </cell>
          <cell r="F199" t="str">
            <v>Mista (Fin)</v>
          </cell>
        </row>
        <row r="200">
          <cell r="A200" t="str">
            <v>GH410B</v>
          </cell>
          <cell r="B200" t="str">
            <v>!ICV's Créd Hipot. Period.</v>
          </cell>
          <cell r="C200" t="str">
            <v xml:space="preserve">                              UMC-GH410B</v>
          </cell>
          <cell r="D200" t="str">
            <v xml:space="preserve">                              !ICV's Créd Hipot. Period.</v>
          </cell>
          <cell r="F200" t="str">
            <v>Financeiras</v>
          </cell>
        </row>
        <row r="201">
          <cell r="A201" t="str">
            <v>GH4110</v>
          </cell>
          <cell r="B201" t="str">
            <v>!ICV's Crédito Consumo</v>
          </cell>
          <cell r="C201" t="str">
            <v xml:space="preserve">                         UMC-GH4110</v>
          </cell>
          <cell r="D201" t="str">
            <v xml:space="preserve">                         !ICV's Crédito Consumo</v>
          </cell>
        </row>
        <row r="202">
          <cell r="A202" t="str">
            <v>GH411A</v>
          </cell>
          <cell r="B202" t="str">
            <v>!ICV's Créd Consumo Cash</v>
          </cell>
          <cell r="C202" t="str">
            <v xml:space="preserve">                              UMC-GH411A</v>
          </cell>
          <cell r="D202" t="str">
            <v xml:space="preserve">                              !ICV's Créd Consumo Cash</v>
          </cell>
          <cell r="F202" t="str">
            <v>Financeiras</v>
          </cell>
        </row>
        <row r="203">
          <cell r="A203" t="str">
            <v>GH411B</v>
          </cell>
          <cell r="B203" t="str">
            <v>!ICV's Créd Consumo Period</v>
          </cell>
          <cell r="C203" t="str">
            <v xml:space="preserve">                              UMC-GH411B</v>
          </cell>
          <cell r="D203" t="str">
            <v xml:space="preserve">                              !ICV's Créd Consumo Period</v>
          </cell>
          <cell r="F203" t="str">
            <v>Financeiras</v>
          </cell>
        </row>
        <row r="204">
          <cell r="A204" t="str">
            <v>GH4120</v>
          </cell>
          <cell r="B204" t="str">
            <v>!ICV's Crédito Mútuos</v>
          </cell>
          <cell r="C204" t="str">
            <v xml:space="preserve">                         UMC-GH4120</v>
          </cell>
          <cell r="D204" t="str">
            <v xml:space="preserve">                         !ICV's Crédito Mútuos</v>
          </cell>
        </row>
        <row r="205">
          <cell r="A205" t="str">
            <v>GH412A</v>
          </cell>
          <cell r="B205" t="str">
            <v>!ICV's Créd Mútuos Cash</v>
          </cell>
          <cell r="C205" t="str">
            <v xml:space="preserve">                              UMC-GH412A</v>
          </cell>
          <cell r="D205" t="str">
            <v xml:space="preserve">                              !ICV's Créd Mútuos Cash</v>
          </cell>
          <cell r="F205" t="str">
            <v>Financeiras</v>
          </cell>
        </row>
        <row r="206">
          <cell r="A206" t="str">
            <v>GH412B</v>
          </cell>
          <cell r="B206" t="str">
            <v>!ICV's Créd Mútuos Period</v>
          </cell>
          <cell r="C206" t="str">
            <v xml:space="preserve">                              UMC-GH412B</v>
          </cell>
          <cell r="D206" t="str">
            <v xml:space="preserve">                              !ICV's Créd Mútuos Period</v>
          </cell>
          <cell r="F206" t="str">
            <v>Financeiras</v>
          </cell>
        </row>
        <row r="207">
          <cell r="A207" t="str">
            <v>GH4200</v>
          </cell>
          <cell r="B207" t="str">
            <v>!Custos de Transferências</v>
          </cell>
          <cell r="C207" t="str">
            <v xml:space="preserve">                    UMC-GH4200</v>
          </cell>
          <cell r="D207" t="str">
            <v xml:space="preserve">                    !Custos de Transferências</v>
          </cell>
        </row>
        <row r="208">
          <cell r="A208" t="str">
            <v>GH4210</v>
          </cell>
          <cell r="B208" t="str">
            <v>!Custos Transf.-Cash</v>
          </cell>
          <cell r="C208" t="str">
            <v xml:space="preserve">                         UMC-GH4210</v>
          </cell>
          <cell r="D208" t="str">
            <v xml:space="preserve">                         !Custos Transf.-Cash</v>
          </cell>
          <cell r="F208" t="str">
            <v>Financeiras</v>
          </cell>
        </row>
        <row r="209">
          <cell r="A209" t="str">
            <v>GH4220</v>
          </cell>
          <cell r="B209" t="str">
            <v>!Custos Transf.-Periodif</v>
          </cell>
          <cell r="C209" t="str">
            <v xml:space="preserve">                         UMC-GH4220</v>
          </cell>
          <cell r="D209" t="str">
            <v xml:space="preserve">                         !Custos Transf.-Periodif</v>
          </cell>
          <cell r="F209" t="str">
            <v>Financeiras</v>
          </cell>
        </row>
        <row r="210">
          <cell r="A210" t="str">
            <v>TT2000</v>
          </cell>
          <cell r="B210" t="str">
            <v>!Despesas Judiciais</v>
          </cell>
          <cell r="C210" t="str">
            <v xml:space="preserve">                    UMC-TT2000</v>
          </cell>
          <cell r="D210" t="str">
            <v xml:space="preserve">                    !Despesas Judiciais</v>
          </cell>
          <cell r="F210" t="str">
            <v>Não Financeiras</v>
          </cell>
        </row>
        <row r="211">
          <cell r="A211" t="str">
            <v>GH5</v>
          </cell>
          <cell r="B211" t="str">
            <v>!Outras CG</v>
          </cell>
          <cell r="C211" t="str">
            <v xml:space="preserve">               UMC-GH5</v>
          </cell>
          <cell r="D211" t="str">
            <v xml:space="preserve">               !Outras CG</v>
          </cell>
        </row>
        <row r="212">
          <cell r="A212" t="str">
            <v>EE8000</v>
          </cell>
          <cell r="B212" t="str">
            <v>!Crédito Diversas</v>
          </cell>
          <cell r="C212" t="str">
            <v xml:space="preserve">                    UMC-EE8000</v>
          </cell>
          <cell r="D212" t="str">
            <v xml:space="preserve">                    !Crédito Diversas</v>
          </cell>
          <cell r="F212" t="str">
            <v>Não Financeiras</v>
          </cell>
        </row>
        <row r="213">
          <cell r="A213" t="str">
            <v>EE90AA</v>
          </cell>
          <cell r="B213" t="str">
            <v>!Comissões FC's Sindicados</v>
          </cell>
          <cell r="C213" t="str">
            <v xml:space="preserve">                    UMC-EE90AA</v>
          </cell>
          <cell r="D213" t="str">
            <v xml:space="preserve">                    !Comissões FC's Sindicados</v>
          </cell>
        </row>
        <row r="214">
          <cell r="A214" t="str">
            <v>EE9000</v>
          </cell>
          <cell r="B214" t="str">
            <v>!Com.Formalização</v>
          </cell>
          <cell r="C214" t="str">
            <v xml:space="preserve">                         UMC-EE9000</v>
          </cell>
          <cell r="D214" t="str">
            <v xml:space="preserve">                         !Com.Formalização</v>
          </cell>
          <cell r="F214" t="str">
            <v>Financeiras</v>
          </cell>
        </row>
        <row r="215">
          <cell r="A215" t="str">
            <v>EE9010</v>
          </cell>
          <cell r="B215" t="str">
            <v>!Com.Dossier</v>
          </cell>
          <cell r="C215" t="str">
            <v xml:space="preserve">                         UMC-EE9010</v>
          </cell>
          <cell r="D215" t="str">
            <v xml:space="preserve">                         !Com.Dossier</v>
          </cell>
          <cell r="F215" t="str">
            <v>Financeiras</v>
          </cell>
        </row>
        <row r="216">
          <cell r="A216" t="str">
            <v>EE9020</v>
          </cell>
          <cell r="B216" t="str">
            <v>!Com.Avaliação</v>
          </cell>
          <cell r="C216" t="str">
            <v xml:space="preserve">                         UMC-EE9020</v>
          </cell>
          <cell r="D216" t="str">
            <v xml:space="preserve">                         !Com.Avaliação</v>
          </cell>
          <cell r="F216" t="str">
            <v>Financeiras</v>
          </cell>
        </row>
        <row r="217">
          <cell r="A217" t="str">
            <v>EE9030</v>
          </cell>
          <cell r="B217" t="str">
            <v>!Com.Gestão</v>
          </cell>
          <cell r="C217" t="str">
            <v xml:space="preserve">                         UMC-EE9030</v>
          </cell>
          <cell r="D217" t="str">
            <v xml:space="preserve">                         !Com.Gestão</v>
          </cell>
          <cell r="F217" t="str">
            <v>Não Financeiras</v>
          </cell>
        </row>
        <row r="218">
          <cell r="A218" t="str">
            <v>EE9040</v>
          </cell>
          <cell r="B218" t="str">
            <v>!Com.Banco Agente</v>
          </cell>
          <cell r="C218" t="str">
            <v xml:space="preserve">                         UMC-EE9040</v>
          </cell>
          <cell r="D218" t="str">
            <v xml:space="preserve">                         !Com.Banco Agente</v>
          </cell>
          <cell r="F218" t="str">
            <v>Não Financeiras</v>
          </cell>
        </row>
        <row r="219">
          <cell r="A219" t="str">
            <v>EE9050</v>
          </cell>
          <cell r="B219" t="str">
            <v>!Com.Prorrogação</v>
          </cell>
          <cell r="C219" t="str">
            <v xml:space="preserve">                         UMC-EE9050</v>
          </cell>
          <cell r="D219" t="str">
            <v xml:space="preserve">                         !Com.Prorrogação</v>
          </cell>
          <cell r="F219" t="str">
            <v>Não Financeiras</v>
          </cell>
        </row>
        <row r="220">
          <cell r="A220" t="str">
            <v>GH5000</v>
          </cell>
          <cell r="B220" t="str">
            <v>!Securitização</v>
          </cell>
          <cell r="C220" t="str">
            <v xml:space="preserve">                    UMC-GH5000</v>
          </cell>
          <cell r="D220" t="str">
            <v xml:space="preserve">                    !Securitização</v>
          </cell>
          <cell r="F220" t="str">
            <v>Não Financeiras</v>
          </cell>
        </row>
        <row r="221">
          <cell r="A221" t="str">
            <v>GH5100</v>
          </cell>
          <cell r="B221" t="str">
            <v>!GH Outras</v>
          </cell>
          <cell r="C221" t="str">
            <v xml:space="preserve">                    UMC-GH5100</v>
          </cell>
          <cell r="D221" t="str">
            <v xml:space="preserve">                    !GH Outras</v>
          </cell>
          <cell r="F221" t="str">
            <v>Não Financeiras</v>
          </cell>
        </row>
        <row r="222">
          <cell r="A222" t="str">
            <v>GH5990</v>
          </cell>
          <cell r="B222" t="str">
            <v>!Custos Projetos</v>
          </cell>
          <cell r="C222" t="str">
            <v xml:space="preserve">                    UMC-GH5990</v>
          </cell>
          <cell r="D222" t="str">
            <v xml:space="preserve">                    !Custos Projetos</v>
          </cell>
          <cell r="F222" t="str">
            <v>Financeiras</v>
          </cell>
        </row>
        <row r="223">
          <cell r="A223" t="str">
            <v>GH5995</v>
          </cell>
          <cell r="B223" t="str">
            <v>!Marketing Digital Crédito</v>
          </cell>
          <cell r="C223" t="str">
            <v xml:space="preserve">                    UMC-GH5995</v>
          </cell>
          <cell r="D223" t="str">
            <v xml:space="preserve">                    !Marketing Digital Crédito</v>
          </cell>
        </row>
        <row r="224">
          <cell r="A224" t="str">
            <v>GH599A</v>
          </cell>
          <cell r="B224" t="str">
            <v>!Mark.Dig.Crédito Consumo</v>
          </cell>
          <cell r="C224" t="str">
            <v xml:space="preserve">                         UMC-GH599A</v>
          </cell>
          <cell r="D224" t="str">
            <v xml:space="preserve">                         !Mark.Dig.Crédito Consumo</v>
          </cell>
        </row>
        <row r="225">
          <cell r="A225" t="str">
            <v>GH5996</v>
          </cell>
          <cell r="B225" t="str">
            <v>!Mark. Dig. Crédito Cash</v>
          </cell>
          <cell r="C225" t="str">
            <v xml:space="preserve">                              UMC-GH5996</v>
          </cell>
          <cell r="D225" t="str">
            <v xml:space="preserve">                              !Mark. Dig. Crédito Cash</v>
          </cell>
          <cell r="F225" t="str">
            <v>Não Financeiras</v>
          </cell>
        </row>
        <row r="226">
          <cell r="A226" t="str">
            <v>GH5997</v>
          </cell>
          <cell r="B226" t="str">
            <v>!Mark. Dig. Crédito Period</v>
          </cell>
          <cell r="C226" t="str">
            <v xml:space="preserve">                              UMC-GH5997</v>
          </cell>
          <cell r="D226" t="str">
            <v xml:space="preserve">                              !Mark. Dig. Crédito Period</v>
          </cell>
          <cell r="F226" t="str">
            <v>Não Financeiras</v>
          </cell>
        </row>
        <row r="227">
          <cell r="A227" t="str">
            <v>GH599B</v>
          </cell>
          <cell r="B227" t="str">
            <v>!Mark.Dig.Créd.Hipotecário</v>
          </cell>
          <cell r="C227" t="str">
            <v xml:space="preserve">                         UMC-GH599B</v>
          </cell>
          <cell r="D227" t="str">
            <v xml:space="preserve">                         !Mark.Dig.Créd.Hipotecário</v>
          </cell>
          <cell r="F227" t="str">
            <v>Não Financeiras</v>
          </cell>
        </row>
        <row r="228">
          <cell r="A228" t="str">
            <v>EE2</v>
          </cell>
          <cell r="B228" t="str">
            <v>!Contas Correntes</v>
          </cell>
          <cell r="C228" t="str">
            <v xml:space="preserve">          UMC-EE2</v>
          </cell>
          <cell r="D228" t="str">
            <v xml:space="preserve">          !Contas Correntes</v>
          </cell>
        </row>
        <row r="229">
          <cell r="A229" t="str">
            <v>EE200A</v>
          </cell>
          <cell r="B229" t="str">
            <v>!Iniciais CC</v>
          </cell>
          <cell r="C229" t="str">
            <v xml:space="preserve">               UMC-EE200A</v>
          </cell>
          <cell r="D229" t="str">
            <v xml:space="preserve">               !Iniciais CC</v>
          </cell>
        </row>
        <row r="230">
          <cell r="A230" t="str">
            <v>EE2000</v>
          </cell>
          <cell r="B230" t="str">
            <v>!Abertura e Renovação</v>
          </cell>
          <cell r="C230" t="str">
            <v xml:space="preserve">                    UMC-EE2000</v>
          </cell>
          <cell r="D230" t="str">
            <v xml:space="preserve">                    !Abertura e Renovação</v>
          </cell>
        </row>
        <row r="231">
          <cell r="A231" t="str">
            <v>EE201</v>
          </cell>
          <cell r="B231" t="str">
            <v>!Abert.e Renovação-Cash</v>
          </cell>
          <cell r="C231" t="str">
            <v xml:space="preserve">                         UMC-EE201</v>
          </cell>
          <cell r="D231" t="str">
            <v xml:space="preserve">                         !Abert.e Renovação-Cash</v>
          </cell>
        </row>
        <row r="232">
          <cell r="A232" t="str">
            <v>EE2010</v>
          </cell>
          <cell r="B232" t="str">
            <v>!CC-Abert.e Renovação-Cash</v>
          </cell>
          <cell r="C232" t="str">
            <v xml:space="preserve">                              UMC-EE2010</v>
          </cell>
          <cell r="D232" t="str">
            <v xml:space="preserve">                              !CC-Abert.e Renovação-Cash</v>
          </cell>
          <cell r="F232" t="str">
            <v>Mista (Fin)</v>
          </cell>
        </row>
        <row r="233">
          <cell r="A233" t="str">
            <v>EE2011</v>
          </cell>
          <cell r="B233" t="str">
            <v>!CC-Ab.e Renov-Cash-Vercon</v>
          </cell>
          <cell r="C233" t="str">
            <v xml:space="preserve">                              UMC-EE2011</v>
          </cell>
          <cell r="D233" t="str">
            <v xml:space="preserve">                              !CC-Ab.e Renov-Cash-Vercon</v>
          </cell>
          <cell r="F233" t="str">
            <v>Financeiras</v>
          </cell>
        </row>
        <row r="234">
          <cell r="A234" t="str">
            <v>EE202</v>
          </cell>
          <cell r="B234" t="str">
            <v>!Abert.e Renovação-Period.</v>
          </cell>
          <cell r="C234" t="str">
            <v xml:space="preserve">                         UMC-EE202</v>
          </cell>
          <cell r="D234" t="str">
            <v xml:space="preserve">                         !Abert.e Renovação-Period.</v>
          </cell>
        </row>
        <row r="235">
          <cell r="A235" t="str">
            <v>EE2020</v>
          </cell>
          <cell r="B235" t="str">
            <v>!CC-Abert.e Renov-Period.</v>
          </cell>
          <cell r="C235" t="str">
            <v xml:space="preserve">                              UMC-EE2020</v>
          </cell>
          <cell r="D235" t="str">
            <v xml:space="preserve">                              !CC-Abert.e Renov-Period.</v>
          </cell>
          <cell r="F235" t="str">
            <v>Financeiras</v>
          </cell>
        </row>
        <row r="236">
          <cell r="A236" t="str">
            <v>EE2021</v>
          </cell>
          <cell r="B236" t="str">
            <v>!CC-Ab.Renov-Period-Vercon</v>
          </cell>
          <cell r="C236" t="str">
            <v xml:space="preserve">                              UMC-EE2021</v>
          </cell>
          <cell r="D236" t="str">
            <v xml:space="preserve">                              !CC-Ab.Renov-Period-Vercon</v>
          </cell>
          <cell r="F236" t="str">
            <v>Financeiras</v>
          </cell>
        </row>
        <row r="237">
          <cell r="A237" t="str">
            <v>EE2100</v>
          </cell>
          <cell r="B237" t="str">
            <v>!Organização de Dossier</v>
          </cell>
          <cell r="C237" t="str">
            <v xml:space="preserve">                    UMC-EE2100</v>
          </cell>
          <cell r="D237" t="str">
            <v xml:space="preserve">                    !Organização de Dossier</v>
          </cell>
        </row>
        <row r="238">
          <cell r="A238" t="str">
            <v>EE2110</v>
          </cell>
          <cell r="B238" t="str">
            <v>!Org.de Dossier-Cash</v>
          </cell>
          <cell r="C238" t="str">
            <v xml:space="preserve">                         UMC-EE2110</v>
          </cell>
          <cell r="D238" t="str">
            <v xml:space="preserve">                         !Org.de Dossier-Cash</v>
          </cell>
          <cell r="F238" t="str">
            <v>Financeiras</v>
          </cell>
        </row>
        <row r="239">
          <cell r="A239" t="str">
            <v>EE2120</v>
          </cell>
          <cell r="B239" t="str">
            <v>!Org.de Dossier-Periodif.</v>
          </cell>
          <cell r="C239" t="str">
            <v xml:space="preserve">                         UMC-EE2120</v>
          </cell>
          <cell r="D239" t="str">
            <v xml:space="preserve">                         !Org.de Dossier-Periodif.</v>
          </cell>
          <cell r="F239" t="str">
            <v>Financeiras</v>
          </cell>
        </row>
        <row r="240">
          <cell r="A240" t="str">
            <v>EE2190</v>
          </cell>
          <cell r="B240" t="str">
            <v>!CC Iniciais Outras</v>
          </cell>
          <cell r="C240" t="str">
            <v xml:space="preserve">                    UMC-EE2190</v>
          </cell>
          <cell r="D240" t="str">
            <v xml:space="preserve">                    !CC Iniciais Outras</v>
          </cell>
          <cell r="F240" t="str">
            <v>Não Financeiras</v>
          </cell>
        </row>
        <row r="241">
          <cell r="A241" t="str">
            <v>EE200B</v>
          </cell>
          <cell r="B241" t="str">
            <v>!Pós-Contratuais CC</v>
          </cell>
          <cell r="C241" t="str">
            <v xml:space="preserve">               UMC-EE200B</v>
          </cell>
          <cell r="D241" t="str">
            <v xml:space="preserve">               !Pós-Contratuais CC</v>
          </cell>
        </row>
        <row r="242">
          <cell r="A242" t="str">
            <v>EE1500</v>
          </cell>
          <cell r="B242" t="str">
            <v>!Comissão Gestão CC</v>
          </cell>
          <cell r="C242" t="str">
            <v xml:space="preserve">                    UMC-EE1500</v>
          </cell>
          <cell r="D242" t="str">
            <v xml:space="preserve">                    !Comissão Gestão CC</v>
          </cell>
          <cell r="F242" t="str">
            <v>Mista (NFin)</v>
          </cell>
        </row>
        <row r="243">
          <cell r="A243" t="str">
            <v>EE220</v>
          </cell>
          <cell r="B243" t="str">
            <v>!Imobilização</v>
          </cell>
          <cell r="C243" t="str">
            <v xml:space="preserve">                    UMC-EE220</v>
          </cell>
          <cell r="D243" t="str">
            <v xml:space="preserve">                    !Imobilização</v>
          </cell>
        </row>
        <row r="244">
          <cell r="A244" t="str">
            <v>EE2200</v>
          </cell>
          <cell r="B244" t="str">
            <v>!CC-Imobilização</v>
          </cell>
          <cell r="C244" t="str">
            <v xml:space="preserve">                         UMC-EE2200</v>
          </cell>
          <cell r="D244" t="str">
            <v xml:space="preserve">                         !CC-Imobilização</v>
          </cell>
          <cell r="F244" t="str">
            <v>Não Financeiras</v>
          </cell>
        </row>
        <row r="245">
          <cell r="A245" t="str">
            <v>EE2201</v>
          </cell>
          <cell r="B245" t="str">
            <v>!CC-Imobilização-Vercon</v>
          </cell>
          <cell r="C245" t="str">
            <v xml:space="preserve">                         UMC-EE2201</v>
          </cell>
          <cell r="D245" t="str">
            <v xml:space="preserve">                         !CC-Imobilização-Vercon</v>
          </cell>
          <cell r="F245" t="str">
            <v>Não Financeiras</v>
          </cell>
        </row>
        <row r="246">
          <cell r="A246" t="str">
            <v>EE2300</v>
          </cell>
          <cell r="B246" t="str">
            <v>!CC Pós-Contratuais Outros</v>
          </cell>
          <cell r="C246" t="str">
            <v xml:space="preserve">                    UMC-EE2300</v>
          </cell>
          <cell r="D246" t="str">
            <v xml:space="preserve">                    !CC Pós-Contratuais Outros</v>
          </cell>
          <cell r="F246" t="str">
            <v>Financeiras</v>
          </cell>
        </row>
        <row r="247">
          <cell r="A247" t="str">
            <v>EE200C</v>
          </cell>
          <cell r="B247" t="str">
            <v>!Incumprimento CC</v>
          </cell>
          <cell r="C247" t="str">
            <v xml:space="preserve">               UMC-EE200C</v>
          </cell>
          <cell r="D247" t="str">
            <v xml:space="preserve">               !Incumprimento CC</v>
          </cell>
          <cell r="F247" t="str">
            <v>Não Financeiras</v>
          </cell>
        </row>
        <row r="248">
          <cell r="A248" t="str">
            <v>EE200D</v>
          </cell>
          <cell r="B248" t="str">
            <v>!Custos CC</v>
          </cell>
          <cell r="C248" t="str">
            <v xml:space="preserve">               UMC-EE200D</v>
          </cell>
          <cell r="D248" t="str">
            <v xml:space="preserve">               !Custos CC</v>
          </cell>
          <cell r="F248" t="str">
            <v>Não Financeiras</v>
          </cell>
        </row>
        <row r="249">
          <cell r="A249" t="str">
            <v>EE200E</v>
          </cell>
          <cell r="B249" t="str">
            <v>!Outras CC</v>
          </cell>
          <cell r="C249" t="str">
            <v xml:space="preserve">               UMC-EE200E</v>
          </cell>
          <cell r="D249" t="str">
            <v xml:space="preserve">               !Outras CC</v>
          </cell>
          <cell r="F249" t="str">
            <v>Não Financeiras</v>
          </cell>
        </row>
        <row r="250">
          <cell r="A250" t="str">
            <v>EE7000</v>
          </cell>
          <cell r="B250" t="str">
            <v>!Crédito Especializado</v>
          </cell>
          <cell r="C250" t="str">
            <v xml:space="preserve">          UMC-EE7000</v>
          </cell>
          <cell r="D250" t="str">
            <v xml:space="preserve">          !Crédito Especializado</v>
          </cell>
        </row>
        <row r="251">
          <cell r="A251" t="str">
            <v>EE7100</v>
          </cell>
          <cell r="B251" t="str">
            <v>!CE Contabilidade Própria</v>
          </cell>
          <cell r="C251" t="str">
            <v xml:space="preserve">               UMC-EE7100</v>
          </cell>
          <cell r="D251" t="str">
            <v xml:space="preserve">               !CE Contabilidade Própria</v>
          </cell>
          <cell r="F251" t="str">
            <v>Financeiras</v>
          </cell>
        </row>
        <row r="252">
          <cell r="A252" t="str">
            <v>EE720A</v>
          </cell>
          <cell r="B252" t="str">
            <v>!Leasing e Outros CE</v>
          </cell>
          <cell r="C252" t="str">
            <v xml:space="preserve">               UMC-EE720A</v>
          </cell>
          <cell r="D252" t="str">
            <v xml:space="preserve">               !Leasing e Outros CE</v>
          </cell>
        </row>
        <row r="253">
          <cell r="A253" t="str">
            <v>EE72A1</v>
          </cell>
          <cell r="B253" t="str">
            <v>!Iniciais Lease</v>
          </cell>
          <cell r="C253" t="str">
            <v xml:space="preserve">                    UMC-EE72A1</v>
          </cell>
          <cell r="D253" t="str">
            <v xml:space="preserve">                    !Iniciais Lease</v>
          </cell>
        </row>
        <row r="254">
          <cell r="A254" t="str">
            <v>EE7210</v>
          </cell>
          <cell r="B254" t="str">
            <v>!CE-Receb-Abert/Formaliz.</v>
          </cell>
          <cell r="C254" t="str">
            <v xml:space="preserve">                         UMC-EE7210</v>
          </cell>
          <cell r="D254" t="str">
            <v xml:space="preserve">                         !CE-Receb-Abert/Formaliz.</v>
          </cell>
          <cell r="F254" t="str">
            <v>Financeiras</v>
          </cell>
        </row>
        <row r="255">
          <cell r="A255" t="str">
            <v>EE7241</v>
          </cell>
          <cell r="B255" t="str">
            <v>!CE-Avaliações</v>
          </cell>
          <cell r="C255" t="str">
            <v xml:space="preserve">                         UMC-EE7241</v>
          </cell>
          <cell r="D255" t="str">
            <v xml:space="preserve">                         !CE-Avaliações</v>
          </cell>
          <cell r="F255" t="str">
            <v>Financeiras</v>
          </cell>
        </row>
        <row r="256">
          <cell r="A256" t="str">
            <v>EE72AA</v>
          </cell>
          <cell r="B256" t="str">
            <v>!CE-Iniciais Outras</v>
          </cell>
          <cell r="C256" t="str">
            <v xml:space="preserve">                         UMC-EE72AA</v>
          </cell>
          <cell r="D256" t="str">
            <v xml:space="preserve">                         !CE-Iniciais Outras</v>
          </cell>
          <cell r="F256" t="str">
            <v>Não Financeiras</v>
          </cell>
        </row>
        <row r="257">
          <cell r="A257" t="str">
            <v>EE72A2</v>
          </cell>
          <cell r="B257" t="str">
            <v>!Pós-Contratuais Lease</v>
          </cell>
          <cell r="C257" t="str">
            <v xml:space="preserve">                    UMC-EE72A2</v>
          </cell>
          <cell r="D257" t="str">
            <v xml:space="preserve">                    !Pós-Contratuais Lease</v>
          </cell>
        </row>
        <row r="258">
          <cell r="A258" t="str">
            <v>EE7221</v>
          </cell>
          <cell r="B258" t="str">
            <v>!CE-CGA</v>
          </cell>
          <cell r="C258" t="str">
            <v xml:space="preserve">                         UMC-EE7221</v>
          </cell>
          <cell r="D258" t="str">
            <v xml:space="preserve">                         !CE-CGA</v>
          </cell>
          <cell r="F258" t="str">
            <v>Não Financeiras</v>
          </cell>
        </row>
        <row r="259">
          <cell r="A259" t="str">
            <v>EE7222</v>
          </cell>
          <cell r="B259" t="str">
            <v>!CE-Portes</v>
          </cell>
          <cell r="C259" t="str">
            <v xml:space="preserve">                         UMC-EE7222</v>
          </cell>
          <cell r="D259" t="str">
            <v xml:space="preserve">                         !CE-Portes</v>
          </cell>
          <cell r="F259" t="str">
            <v>Não Financeiras</v>
          </cell>
        </row>
        <row r="260">
          <cell r="A260" t="str">
            <v>EE7223</v>
          </cell>
          <cell r="B260" t="str">
            <v>!CE-Rescisão Antecipada</v>
          </cell>
          <cell r="C260" t="str">
            <v xml:space="preserve">                         UMC-EE7223</v>
          </cell>
          <cell r="D260" t="str">
            <v xml:space="preserve">                         !CE-Rescisão Antecipada</v>
          </cell>
          <cell r="F260" t="str">
            <v>Financeiras</v>
          </cell>
        </row>
        <row r="261">
          <cell r="A261" t="str">
            <v>EE7224</v>
          </cell>
          <cell r="B261" t="str">
            <v>!CE-Pós-Contratuais Outros</v>
          </cell>
          <cell r="C261" t="str">
            <v xml:space="preserve">                         UMC-EE7224</v>
          </cell>
          <cell r="D261" t="str">
            <v xml:space="preserve">                         !CE-Pós-Contratuais Outros</v>
          </cell>
          <cell r="F261" t="str">
            <v>Financeiras</v>
          </cell>
        </row>
        <row r="262">
          <cell r="A262" t="str">
            <v>EE72A3</v>
          </cell>
          <cell r="B262" t="str">
            <v>!Incumprimento Lease</v>
          </cell>
          <cell r="C262" t="str">
            <v xml:space="preserve">                    UMC-EE72A3</v>
          </cell>
          <cell r="D262" t="str">
            <v xml:space="preserve">                    !Incumprimento Lease</v>
          </cell>
        </row>
        <row r="263">
          <cell r="A263" t="str">
            <v>EE7231</v>
          </cell>
          <cell r="B263" t="str">
            <v>!CE-Incumprimento</v>
          </cell>
          <cell r="C263" t="str">
            <v xml:space="preserve">                         UMC-EE7231</v>
          </cell>
          <cell r="D263" t="str">
            <v xml:space="preserve">                         !CE-Incumprimento</v>
          </cell>
          <cell r="F263" t="str">
            <v>Não Financeiras</v>
          </cell>
        </row>
        <row r="264">
          <cell r="A264" t="str">
            <v>EE7232</v>
          </cell>
          <cell r="B264" t="str">
            <v>!CE-Contencioso/Reestrut.</v>
          </cell>
          <cell r="C264" t="str">
            <v xml:space="preserve">                         UMC-EE7232</v>
          </cell>
          <cell r="D264" t="str">
            <v xml:space="preserve">                         !CE-Contencioso/Reestrut.</v>
          </cell>
          <cell r="F264" t="str">
            <v>Não Financeiras</v>
          </cell>
        </row>
        <row r="265">
          <cell r="A265" t="str">
            <v>EE72AB</v>
          </cell>
          <cell r="B265" t="str">
            <v>!CE-Incumprimento Outras</v>
          </cell>
          <cell r="C265" t="str">
            <v xml:space="preserve">                         UMC-EE72AB</v>
          </cell>
          <cell r="D265" t="str">
            <v xml:space="preserve">                         !CE-Incumprimento Outras</v>
          </cell>
          <cell r="F265" t="str">
            <v>Não Financeiras</v>
          </cell>
        </row>
        <row r="266">
          <cell r="A266" t="str">
            <v>EE72A4</v>
          </cell>
          <cell r="B266" t="str">
            <v>!Custos Lease</v>
          </cell>
          <cell r="C266" t="str">
            <v xml:space="preserve">                    UMC-EE72A4</v>
          </cell>
          <cell r="D266" t="str">
            <v xml:space="preserve">                    !Custos Lease</v>
          </cell>
        </row>
        <row r="267">
          <cell r="A267" t="str">
            <v>EE7271</v>
          </cell>
          <cell r="B267" t="str">
            <v>!CE-ICV's Leasing</v>
          </cell>
          <cell r="C267" t="str">
            <v xml:space="preserve">                         UMC-EE7271</v>
          </cell>
          <cell r="D267" t="str">
            <v xml:space="preserve">                         !CE-ICV's Leasing</v>
          </cell>
        </row>
        <row r="268">
          <cell r="A268" t="str">
            <v>EE727A</v>
          </cell>
          <cell r="B268" t="str">
            <v>!ICV's Leasing Mobiliário</v>
          </cell>
          <cell r="C268" t="str">
            <v xml:space="preserve">                              UMC-EE727A</v>
          </cell>
          <cell r="D268" t="str">
            <v xml:space="preserve">                              !ICV's Leasing Mobiliário</v>
          </cell>
        </row>
        <row r="269">
          <cell r="A269" t="str">
            <v>EE727B</v>
          </cell>
          <cell r="B269" t="str">
            <v>!ICV's - Lease Mob. Cash</v>
          </cell>
          <cell r="C269" t="str">
            <v xml:space="preserve">                                   UMC-EE727B</v>
          </cell>
          <cell r="D269" t="str">
            <v xml:space="preserve">                                   !ICV's - Lease Mob. Cash</v>
          </cell>
          <cell r="F269" t="str">
            <v>Financeiras</v>
          </cell>
        </row>
        <row r="270">
          <cell r="A270" t="str">
            <v>EE727C</v>
          </cell>
          <cell r="B270" t="str">
            <v>!ICV's - Lease Mob. Period</v>
          </cell>
          <cell r="C270" t="str">
            <v xml:space="preserve">                                   UMC-EE727C</v>
          </cell>
          <cell r="D270" t="str">
            <v xml:space="preserve">                                   !ICV's - Lease Mob. Period</v>
          </cell>
          <cell r="F270" t="str">
            <v>Financeiras</v>
          </cell>
        </row>
        <row r="271">
          <cell r="A271" t="str">
            <v>EE727D</v>
          </cell>
          <cell r="B271" t="str">
            <v>!ICV's Leasing Imobiliário</v>
          </cell>
          <cell r="C271" t="str">
            <v xml:space="preserve">                              UMC-EE727D</v>
          </cell>
          <cell r="D271" t="str">
            <v xml:space="preserve">                              !ICV's Leasing Imobiliário</v>
          </cell>
        </row>
        <row r="272">
          <cell r="A272" t="str">
            <v>EE727E</v>
          </cell>
          <cell r="B272" t="str">
            <v>!ICV's - Lease Imob. Cash</v>
          </cell>
          <cell r="C272" t="str">
            <v xml:space="preserve">                                   UMC-EE727E</v>
          </cell>
          <cell r="D272" t="str">
            <v xml:space="preserve">                                   !ICV's - Lease Imob. Cash</v>
          </cell>
          <cell r="F272" t="str">
            <v>Financeiras</v>
          </cell>
        </row>
        <row r="273">
          <cell r="A273" t="str">
            <v>EE727F</v>
          </cell>
          <cell r="B273" t="str">
            <v>!ICV's - Lease Imob. Perio</v>
          </cell>
          <cell r="C273" t="str">
            <v xml:space="preserve">                                   UMC-EE727F</v>
          </cell>
          <cell r="D273" t="str">
            <v xml:space="preserve">                                   !ICV's - Lease Imob. Perio</v>
          </cell>
          <cell r="F273" t="str">
            <v>Financeiras</v>
          </cell>
        </row>
        <row r="274">
          <cell r="A274" t="str">
            <v>EE7272</v>
          </cell>
          <cell r="B274" t="str">
            <v>!CE-P Outras</v>
          </cell>
          <cell r="C274" t="str">
            <v xml:space="preserve">                         UMC-EE7272</v>
          </cell>
          <cell r="D274" t="str">
            <v xml:space="preserve">                         !CE-P Outras</v>
          </cell>
          <cell r="F274" t="str">
            <v>Não Financeiras</v>
          </cell>
        </row>
        <row r="275">
          <cell r="A275" t="str">
            <v>EE72AC</v>
          </cell>
          <cell r="B275" t="str">
            <v>!CE-Custos Outras</v>
          </cell>
          <cell r="C275" t="str">
            <v xml:space="preserve">                         UMC-EE72AC</v>
          </cell>
          <cell r="D275" t="str">
            <v xml:space="preserve">                         !CE-Custos Outras</v>
          </cell>
          <cell r="F275" t="str">
            <v>Não Financeiras</v>
          </cell>
        </row>
        <row r="276">
          <cell r="A276" t="str">
            <v>EE72A5</v>
          </cell>
          <cell r="B276" t="str">
            <v>!Outras Lease</v>
          </cell>
          <cell r="C276" t="str">
            <v xml:space="preserve">                    UMC-EE72A5</v>
          </cell>
          <cell r="D276" t="str">
            <v xml:space="preserve">                    !Outras Lease</v>
          </cell>
        </row>
        <row r="277">
          <cell r="A277" t="str">
            <v>EE7242</v>
          </cell>
          <cell r="B277" t="str">
            <v>!CE-Outras Seguros</v>
          </cell>
          <cell r="C277" t="str">
            <v xml:space="preserve">                         UMC-EE7242</v>
          </cell>
          <cell r="D277" t="str">
            <v xml:space="preserve">                         !CE-Outras Seguros</v>
          </cell>
          <cell r="F277" t="str">
            <v>Não Financeiras</v>
          </cell>
        </row>
        <row r="278">
          <cell r="A278" t="str">
            <v>EE7243</v>
          </cell>
          <cell r="B278" t="str">
            <v>!CE-RO Outras</v>
          </cell>
          <cell r="C278" t="str">
            <v xml:space="preserve">                         UMC-EE7243</v>
          </cell>
          <cell r="D278" t="str">
            <v xml:space="preserve">                         !CE-RO Outras</v>
          </cell>
          <cell r="F278" t="str">
            <v>Não Financeiras</v>
          </cell>
        </row>
        <row r="279">
          <cell r="A279" t="str">
            <v>EE72AD</v>
          </cell>
          <cell r="B279" t="str">
            <v>!CE-Diversas</v>
          </cell>
          <cell r="C279" t="str">
            <v xml:space="preserve">                         UMC-EE72AD</v>
          </cell>
          <cell r="D279" t="str">
            <v xml:space="preserve">                         !CE-Diversas</v>
          </cell>
          <cell r="F279" t="str">
            <v>Não Financeiras</v>
          </cell>
        </row>
        <row r="280">
          <cell r="A280" t="str">
            <v>EE725Z</v>
          </cell>
          <cell r="B280" t="str">
            <v>!Comissões Factoring</v>
          </cell>
          <cell r="C280" t="str">
            <v xml:space="preserve">               UMC-EE725Z</v>
          </cell>
          <cell r="D280" t="str">
            <v xml:space="preserve">               !Comissões Factoring</v>
          </cell>
        </row>
        <row r="281">
          <cell r="A281" t="str">
            <v>EE72Z1</v>
          </cell>
          <cell r="B281" t="str">
            <v>!Iniciais Fact.</v>
          </cell>
          <cell r="C281" t="str">
            <v xml:space="preserve">                    UMC-EE72Z1</v>
          </cell>
          <cell r="D281" t="str">
            <v xml:space="preserve">                    !Iniciais Fact.</v>
          </cell>
        </row>
        <row r="282">
          <cell r="A282" t="str">
            <v>EE7251</v>
          </cell>
          <cell r="B282" t="str">
            <v>!Fact Abert./Formalização</v>
          </cell>
          <cell r="C282" t="str">
            <v xml:space="preserve">                         UMC-EE7251</v>
          </cell>
          <cell r="D282" t="str">
            <v xml:space="preserve">                         !Fact Abert./Formalização</v>
          </cell>
          <cell r="F282" t="str">
            <v>Financeiras</v>
          </cell>
        </row>
        <row r="283">
          <cell r="A283" t="str">
            <v>EE7253</v>
          </cell>
          <cell r="B283" t="str">
            <v>!Fact-Comissão Renovação</v>
          </cell>
          <cell r="C283" t="str">
            <v xml:space="preserve">                         UMC-EE7253</v>
          </cell>
          <cell r="D283" t="str">
            <v xml:space="preserve">                         !Fact-Comissão Renovação</v>
          </cell>
          <cell r="F283" t="str">
            <v>Financeiras</v>
          </cell>
        </row>
        <row r="284">
          <cell r="A284" t="str">
            <v>EE72ZA</v>
          </cell>
          <cell r="B284" t="str">
            <v>!Fact-Iniciais Outras</v>
          </cell>
          <cell r="C284" t="str">
            <v xml:space="preserve">                         UMC-EE72ZA</v>
          </cell>
          <cell r="D284" t="str">
            <v xml:space="preserve">                         !Fact-Iniciais Outras</v>
          </cell>
          <cell r="F284" t="str">
            <v>Não Financeiras</v>
          </cell>
        </row>
        <row r="285">
          <cell r="A285" t="str">
            <v>EE72Z2</v>
          </cell>
          <cell r="B285" t="str">
            <v>!Pós-Contratuais Fact.</v>
          </cell>
          <cell r="C285" t="str">
            <v xml:space="preserve">                    UMC-EE72Z2</v>
          </cell>
          <cell r="D285" t="str">
            <v xml:space="preserve">                    !Pós-Contratuais Fact.</v>
          </cell>
        </row>
        <row r="286">
          <cell r="A286" t="str">
            <v>EE7252</v>
          </cell>
          <cell r="B286" t="str">
            <v>!Fact-Cms Imobilização</v>
          </cell>
          <cell r="C286" t="str">
            <v xml:space="preserve">                         UMC-EE7252</v>
          </cell>
          <cell r="D286" t="str">
            <v xml:space="preserve">                         !Fact-Cms Imobilização</v>
          </cell>
          <cell r="F286" t="str">
            <v>Não Financeiras</v>
          </cell>
        </row>
        <row r="287">
          <cell r="A287" t="str">
            <v>EE7254</v>
          </cell>
          <cell r="B287" t="str">
            <v>!Fact-Comissão Gestão</v>
          </cell>
          <cell r="C287" t="str">
            <v xml:space="preserve">                         UMC-EE7254</v>
          </cell>
          <cell r="D287" t="str">
            <v xml:space="preserve">                         !Fact-Comissão Gestão</v>
          </cell>
          <cell r="F287" t="str">
            <v>Financeiras</v>
          </cell>
        </row>
        <row r="288">
          <cell r="A288" t="str">
            <v>EE7255</v>
          </cell>
          <cell r="B288" t="str">
            <v>!Fact-Cms Rescisão Antecip</v>
          </cell>
          <cell r="C288" t="str">
            <v xml:space="preserve">                         UMC-EE7255</v>
          </cell>
          <cell r="D288" t="str">
            <v xml:space="preserve">                         !Fact-Cms Rescisão Antecip</v>
          </cell>
          <cell r="F288" t="str">
            <v>Financeiras</v>
          </cell>
        </row>
        <row r="289">
          <cell r="A289" t="str">
            <v>EE7258</v>
          </cell>
          <cell r="B289" t="str">
            <v>!Fact-Com.Cessão Crédito</v>
          </cell>
          <cell r="C289" t="str">
            <v xml:space="preserve">                         UMC-EE7258</v>
          </cell>
          <cell r="D289" t="str">
            <v xml:space="preserve">                         !Fact-Com.Cessão Crédito</v>
          </cell>
          <cell r="F289" t="str">
            <v>Financeiras</v>
          </cell>
        </row>
        <row r="290">
          <cell r="A290" t="str">
            <v>EE72ZB</v>
          </cell>
          <cell r="B290" t="str">
            <v>!Fact-Pós-Contrat. Outros</v>
          </cell>
          <cell r="C290" t="str">
            <v xml:space="preserve">                         UMC-EE72ZB</v>
          </cell>
          <cell r="D290" t="str">
            <v xml:space="preserve">                         !Fact-Pós-Contrat. Outros</v>
          </cell>
          <cell r="F290" t="str">
            <v>Não Financeiras</v>
          </cell>
        </row>
        <row r="291">
          <cell r="A291" t="str">
            <v>EE72Z3</v>
          </cell>
          <cell r="B291" t="str">
            <v>!Incumprimento Fact.</v>
          </cell>
          <cell r="C291" t="str">
            <v xml:space="preserve">                    UMC-EE72Z3</v>
          </cell>
          <cell r="D291" t="str">
            <v xml:space="preserve">                    !Incumprimento Fact.</v>
          </cell>
        </row>
        <row r="292">
          <cell r="A292" t="str">
            <v>EE7256</v>
          </cell>
          <cell r="B292" t="str">
            <v>!Fact-Com.Incumprimento</v>
          </cell>
          <cell r="C292" t="str">
            <v xml:space="preserve">                         UMC-EE7256</v>
          </cell>
          <cell r="D292" t="str">
            <v xml:space="preserve">                         !Fact-Com.Incumprimento</v>
          </cell>
          <cell r="F292" t="str">
            <v>Não Financeiras</v>
          </cell>
        </row>
        <row r="293">
          <cell r="A293" t="str">
            <v>EE7257</v>
          </cell>
          <cell r="B293" t="str">
            <v>!Fact-Contenc./Reestrut.</v>
          </cell>
          <cell r="C293" t="str">
            <v xml:space="preserve">                         UMC-EE7257</v>
          </cell>
          <cell r="D293" t="str">
            <v xml:space="preserve">                         !Fact-Contenc./Reestrut.</v>
          </cell>
          <cell r="F293" t="str">
            <v>Não Financeiras</v>
          </cell>
        </row>
        <row r="294">
          <cell r="A294" t="str">
            <v>EE72ZC</v>
          </cell>
          <cell r="B294" t="str">
            <v>!Fact-Incumprimento Outras</v>
          </cell>
          <cell r="C294" t="str">
            <v xml:space="preserve">                         UMC-EE72ZC</v>
          </cell>
          <cell r="D294" t="str">
            <v xml:space="preserve">                         !Fact-Incumprimento Outras</v>
          </cell>
          <cell r="F294" t="str">
            <v>Não Financeiras</v>
          </cell>
        </row>
        <row r="295">
          <cell r="A295" t="str">
            <v>EE72Z4</v>
          </cell>
          <cell r="B295" t="str">
            <v>!Custos Fact.</v>
          </cell>
          <cell r="C295" t="str">
            <v xml:space="preserve">                    UMC-EE72Z4</v>
          </cell>
          <cell r="D295" t="str">
            <v xml:space="preserve">                    !Custos Fact.</v>
          </cell>
        </row>
        <row r="296">
          <cell r="A296" t="str">
            <v>EE7259</v>
          </cell>
          <cell r="B296" t="str">
            <v>!Fact-Com.Seguros Crédito</v>
          </cell>
          <cell r="C296" t="str">
            <v xml:space="preserve">                         UMC-EE7259</v>
          </cell>
          <cell r="D296" t="str">
            <v xml:space="preserve">                         !Fact-Com.Seguros Crédito</v>
          </cell>
          <cell r="F296" t="str">
            <v>Não Financeiras</v>
          </cell>
        </row>
        <row r="297">
          <cell r="A297" t="str">
            <v>EE72ZD</v>
          </cell>
          <cell r="B297" t="str">
            <v>!Fact-Custos Outras</v>
          </cell>
          <cell r="C297" t="str">
            <v xml:space="preserve">                         UMC-EE72ZD</v>
          </cell>
          <cell r="D297" t="str">
            <v xml:space="preserve">                         !Fact-Custos Outras</v>
          </cell>
          <cell r="F297" t="str">
            <v>Não Financeiras</v>
          </cell>
        </row>
        <row r="298">
          <cell r="A298" t="str">
            <v>EE72Z5</v>
          </cell>
          <cell r="B298" t="str">
            <v>!Outras Fact.</v>
          </cell>
          <cell r="C298" t="str">
            <v xml:space="preserve">                    UMC-EE72Z5</v>
          </cell>
          <cell r="D298" t="str">
            <v xml:space="preserve">                    !Outras Fact.</v>
          </cell>
        </row>
        <row r="299">
          <cell r="A299" t="str">
            <v>EE725A</v>
          </cell>
          <cell r="B299" t="str">
            <v>!Fact-Outras Cms.Factoring</v>
          </cell>
          <cell r="C299" t="str">
            <v xml:space="preserve">                         UMC-EE725A</v>
          </cell>
          <cell r="D299" t="str">
            <v xml:space="preserve">                         !Fact-Outras Cms.Factoring</v>
          </cell>
          <cell r="F299" t="str">
            <v>Financeiras</v>
          </cell>
        </row>
        <row r="300">
          <cell r="A300" t="str">
            <v>EE72ZE</v>
          </cell>
          <cell r="B300" t="str">
            <v>!Fact-Diversas</v>
          </cell>
          <cell r="C300" t="str">
            <v xml:space="preserve">                         UMC-EE72ZE</v>
          </cell>
          <cell r="D300" t="str">
            <v xml:space="preserve">                         !Fact-Diversas</v>
          </cell>
          <cell r="F300" t="str">
            <v>Não Financeiras</v>
          </cell>
        </row>
        <row r="301">
          <cell r="A301" t="str">
            <v>EE7260</v>
          </cell>
          <cell r="B301" t="str">
            <v>!Comissões de Confirming</v>
          </cell>
          <cell r="C301" t="str">
            <v xml:space="preserve">               UMC-EE7260</v>
          </cell>
          <cell r="D301" t="str">
            <v xml:space="preserve">               !Comissões de Confirming</v>
          </cell>
        </row>
        <row r="302">
          <cell r="A302" t="str">
            <v>EE72B1</v>
          </cell>
          <cell r="B302" t="str">
            <v>!Iniciais Conf.</v>
          </cell>
          <cell r="C302" t="str">
            <v xml:space="preserve">                    UMC-EE72B1</v>
          </cell>
          <cell r="D302" t="str">
            <v xml:space="preserve">                    !Iniciais Conf.</v>
          </cell>
        </row>
        <row r="303">
          <cell r="A303" t="str">
            <v>EE7267</v>
          </cell>
          <cell r="B303" t="str">
            <v>!Conf-Com. de Formalização</v>
          </cell>
          <cell r="C303" t="str">
            <v xml:space="preserve">                         UMC-EE7267</v>
          </cell>
          <cell r="D303" t="str">
            <v xml:space="preserve">                         !Conf-Com. de Formalização</v>
          </cell>
          <cell r="F303" t="str">
            <v>Não Financeiras</v>
          </cell>
        </row>
        <row r="304">
          <cell r="A304" t="str">
            <v>EE7268</v>
          </cell>
          <cell r="B304" t="str">
            <v>!Conf-Com. de Renovação</v>
          </cell>
          <cell r="C304" t="str">
            <v xml:space="preserve">                         UMC-EE7268</v>
          </cell>
          <cell r="D304" t="str">
            <v xml:space="preserve">                         !Conf-Com. de Renovação</v>
          </cell>
          <cell r="F304" t="str">
            <v>Não Financeiras</v>
          </cell>
        </row>
        <row r="305">
          <cell r="A305" t="str">
            <v>EE726G</v>
          </cell>
          <cell r="B305" t="str">
            <v>!Conf-Iniciais Outras</v>
          </cell>
          <cell r="C305" t="str">
            <v xml:space="preserve">                         UMC-EE726G</v>
          </cell>
          <cell r="D305" t="str">
            <v xml:space="preserve">                         !Conf-Iniciais Outras</v>
          </cell>
          <cell r="F305" t="str">
            <v>Não Financeiras</v>
          </cell>
        </row>
        <row r="306">
          <cell r="A306" t="str">
            <v>EE72B2</v>
          </cell>
          <cell r="B306" t="str">
            <v>!Pós-Contratuais Conf.</v>
          </cell>
          <cell r="C306" t="str">
            <v xml:space="preserve">                    UMC-EE72B2</v>
          </cell>
          <cell r="D306" t="str">
            <v xml:space="preserve">                    !Pós-Contratuais Conf.</v>
          </cell>
        </row>
        <row r="307">
          <cell r="A307" t="str">
            <v>EE7261</v>
          </cell>
          <cell r="B307" t="str">
            <v>!Conf-Processament Remessa</v>
          </cell>
          <cell r="C307" t="str">
            <v xml:space="preserve">                         UMC-EE7261</v>
          </cell>
          <cell r="D307" t="str">
            <v xml:space="preserve">                         !Conf-Processament Remessa</v>
          </cell>
          <cell r="F307" t="str">
            <v>Não Financeiras</v>
          </cell>
        </row>
        <row r="308">
          <cell r="A308" t="str">
            <v>EE7262</v>
          </cell>
          <cell r="B308" t="str">
            <v>!Conf-Comissão de Garantia</v>
          </cell>
          <cell r="C308" t="str">
            <v xml:space="preserve">                         UMC-EE7262</v>
          </cell>
          <cell r="D308" t="str">
            <v xml:space="preserve">                         !Conf-Comissão de Garantia</v>
          </cell>
          <cell r="F308" t="str">
            <v>Não Financeiras</v>
          </cell>
        </row>
        <row r="309">
          <cell r="A309" t="str">
            <v>EE7263</v>
          </cell>
          <cell r="B309" t="str">
            <v>!Conf-Cms Financiamento</v>
          </cell>
          <cell r="C309" t="str">
            <v xml:space="preserve">                         UMC-EE7263</v>
          </cell>
          <cell r="D309" t="str">
            <v xml:space="preserve">                         !Conf-Cms Financiamento</v>
          </cell>
        </row>
        <row r="310">
          <cell r="A310" t="str">
            <v>EE726A</v>
          </cell>
          <cell r="B310" t="str">
            <v>!Conf-Financiamento</v>
          </cell>
          <cell r="C310" t="str">
            <v xml:space="preserve">                              UMC-EE726A</v>
          </cell>
          <cell r="D310" t="str">
            <v xml:space="preserve">                              !Conf-Financiamento</v>
          </cell>
        </row>
        <row r="311">
          <cell r="A311" t="str">
            <v>EE726B</v>
          </cell>
          <cell r="B311" t="str">
            <v>!Conf-Financ. Cash</v>
          </cell>
          <cell r="C311" t="str">
            <v xml:space="preserve">                                   UMC-EE726B</v>
          </cell>
          <cell r="D311" t="str">
            <v xml:space="preserve">                                   !Conf-Financ. Cash</v>
          </cell>
          <cell r="F311" t="str">
            <v>Financeiras</v>
          </cell>
        </row>
        <row r="312">
          <cell r="A312" t="str">
            <v>EE726C</v>
          </cell>
          <cell r="B312" t="str">
            <v>!Conf-Financ. Periodif.</v>
          </cell>
          <cell r="C312" t="str">
            <v xml:space="preserve">                                   UMC-EE726C</v>
          </cell>
          <cell r="D312" t="str">
            <v xml:space="preserve">                                   !Conf-Financ. Periodif.</v>
          </cell>
          <cell r="F312" t="str">
            <v>Financeiras</v>
          </cell>
        </row>
        <row r="313">
          <cell r="A313" t="str">
            <v>EE726D</v>
          </cell>
          <cell r="B313" t="str">
            <v>!Conf-Partilha com Devedor</v>
          </cell>
          <cell r="C313" t="str">
            <v xml:space="preserve">                              UMC-EE726D</v>
          </cell>
          <cell r="D313" t="str">
            <v xml:space="preserve">                              !Conf-Partilha com Devedor</v>
          </cell>
          <cell r="F313" t="str">
            <v>Não Financeiras</v>
          </cell>
        </row>
        <row r="314">
          <cell r="A314" t="str">
            <v>EE7264</v>
          </cell>
          <cell r="B314" t="str">
            <v>!Conf-Cms Prorrogação</v>
          </cell>
          <cell r="C314" t="str">
            <v xml:space="preserve">                         UMC-EE7264</v>
          </cell>
          <cell r="D314" t="str">
            <v xml:space="preserve">                         !Conf-Cms Prorrogação</v>
          </cell>
        </row>
        <row r="315">
          <cell r="A315" t="str">
            <v>EE726X</v>
          </cell>
          <cell r="B315" t="str">
            <v>!Conf-Prorrogação-Cash</v>
          </cell>
          <cell r="C315" t="str">
            <v xml:space="preserve">                              UMC-EE726X</v>
          </cell>
          <cell r="D315" t="str">
            <v xml:space="preserve">                              !Conf-Prorrogação-Cash</v>
          </cell>
          <cell r="F315" t="str">
            <v>Financeiras</v>
          </cell>
        </row>
        <row r="316">
          <cell r="A316" t="str">
            <v>EE726Y</v>
          </cell>
          <cell r="B316" t="str">
            <v>!Conf-Prorrogação-Periodif</v>
          </cell>
          <cell r="C316" t="str">
            <v xml:space="preserve">                              UMC-EE726Y</v>
          </cell>
          <cell r="D316" t="str">
            <v xml:space="preserve">                              !Conf-Prorrogação-Periodif</v>
          </cell>
          <cell r="F316" t="str">
            <v>Financeiras</v>
          </cell>
        </row>
        <row r="317">
          <cell r="A317" t="str">
            <v>EE7266</v>
          </cell>
          <cell r="B317" t="str">
            <v>!Conf-Cms Transfer. p/ OIC</v>
          </cell>
          <cell r="C317" t="str">
            <v xml:space="preserve">                         UMC-EE7266</v>
          </cell>
          <cell r="D317" t="str">
            <v xml:space="preserve">                         !Conf-Cms Transfer. p/ OIC</v>
          </cell>
          <cell r="F317" t="str">
            <v>Não Financeiras</v>
          </cell>
        </row>
        <row r="318">
          <cell r="A318" t="str">
            <v>EE726H</v>
          </cell>
          <cell r="B318" t="str">
            <v>!Conf-Pós-Contrat. Outras</v>
          </cell>
          <cell r="C318" t="str">
            <v xml:space="preserve">                         UMC-EE726H</v>
          </cell>
          <cell r="D318" t="str">
            <v xml:space="preserve">                         !Conf-Pós-Contrat. Outras</v>
          </cell>
          <cell r="F318" t="str">
            <v>Não Financeiras</v>
          </cell>
        </row>
        <row r="319">
          <cell r="A319" t="str">
            <v>EE72B3</v>
          </cell>
          <cell r="B319" t="str">
            <v>!Incumprimento Conf.</v>
          </cell>
          <cell r="C319" t="str">
            <v xml:space="preserve">                    UMC-EE72B3</v>
          </cell>
          <cell r="D319" t="str">
            <v xml:space="preserve">                    !Incumprimento Conf.</v>
          </cell>
          <cell r="F319" t="str">
            <v>Não Financeiras</v>
          </cell>
        </row>
        <row r="320">
          <cell r="A320" t="str">
            <v>EE72B4</v>
          </cell>
          <cell r="B320" t="str">
            <v>!Custos Conf.</v>
          </cell>
          <cell r="C320" t="str">
            <v xml:space="preserve">                    UMC-EE72B4</v>
          </cell>
          <cell r="D320" t="str">
            <v xml:space="preserve">                    !Custos Conf.</v>
          </cell>
          <cell r="F320" t="str">
            <v>Não Financeiras</v>
          </cell>
        </row>
        <row r="321">
          <cell r="A321" t="str">
            <v>EE72B5</v>
          </cell>
          <cell r="B321" t="str">
            <v>!Outras Conf.</v>
          </cell>
          <cell r="C321" t="str">
            <v xml:space="preserve">                    UMC-EE72B5</v>
          </cell>
          <cell r="D321" t="str">
            <v xml:space="preserve">                    !Outras Conf.</v>
          </cell>
        </row>
        <row r="322">
          <cell r="A322" t="str">
            <v>EE7265</v>
          </cell>
          <cell r="B322" t="str">
            <v>!Conf-Outras Confirming</v>
          </cell>
          <cell r="C322" t="str">
            <v xml:space="preserve">                         UMC-EE7265</v>
          </cell>
          <cell r="D322" t="str">
            <v xml:space="preserve">                         !Conf-Outras Confirming</v>
          </cell>
          <cell r="F322" t="str">
            <v>Não Financeiras</v>
          </cell>
        </row>
        <row r="323">
          <cell r="A323" t="str">
            <v>EE726I</v>
          </cell>
          <cell r="B323" t="str">
            <v>!Conf-Diversas</v>
          </cell>
          <cell r="C323" t="str">
            <v xml:space="preserve">                         UMC-EE726I</v>
          </cell>
          <cell r="D323" t="str">
            <v xml:space="preserve">                         !Conf-Diversas</v>
          </cell>
          <cell r="F323" t="str">
            <v>Não Financeiras</v>
          </cell>
        </row>
        <row r="324">
          <cell r="A324" t="str">
            <v>MM1400</v>
          </cell>
          <cell r="B324" t="str">
            <v>!Papel Comercial</v>
          </cell>
          <cell r="C324" t="str">
            <v xml:space="preserve">          UMC-MM1400</v>
          </cell>
          <cell r="D324" t="str">
            <v xml:space="preserve">          !Papel Comercial</v>
          </cell>
        </row>
        <row r="325">
          <cell r="A325" t="str">
            <v>MM1401</v>
          </cell>
          <cell r="B325" t="str">
            <v>!Iniciais PPC</v>
          </cell>
          <cell r="C325" t="str">
            <v xml:space="preserve">               UMC-MM1401</v>
          </cell>
          <cell r="D325" t="str">
            <v xml:space="preserve">               !Iniciais PPC</v>
          </cell>
        </row>
        <row r="326">
          <cell r="A326" t="str">
            <v>MM1430</v>
          </cell>
          <cell r="B326" t="str">
            <v>!Papel Comerc.-Subscrição</v>
          </cell>
          <cell r="C326" t="str">
            <v xml:space="preserve">                    UMC-MM1430</v>
          </cell>
          <cell r="D326" t="str">
            <v xml:space="preserve">                    !Papel Comerc.-Subscrição</v>
          </cell>
        </row>
        <row r="327">
          <cell r="A327" t="str">
            <v>MM1431</v>
          </cell>
          <cell r="B327" t="str">
            <v>!PPC Subscrição Cash</v>
          </cell>
          <cell r="C327" t="str">
            <v xml:space="preserve">                         UMC-MM1431</v>
          </cell>
          <cell r="D327" t="str">
            <v xml:space="preserve">                         !PPC Subscrição Cash</v>
          </cell>
          <cell r="F327" t="str">
            <v>Não Financeiras</v>
          </cell>
        </row>
        <row r="328">
          <cell r="A328" t="str">
            <v>MM1432</v>
          </cell>
          <cell r="B328" t="str">
            <v>!PPC Subscrição Periodif.</v>
          </cell>
          <cell r="C328" t="str">
            <v xml:space="preserve">                         UMC-MM1432</v>
          </cell>
          <cell r="D328" t="str">
            <v xml:space="preserve">                         !PPC Subscrição Periodif.</v>
          </cell>
          <cell r="F328" t="str">
            <v>Não Financeiras</v>
          </cell>
        </row>
        <row r="329">
          <cell r="A329" t="str">
            <v>MM1402</v>
          </cell>
          <cell r="B329" t="str">
            <v>!Pós-Contratuais PPC</v>
          </cell>
          <cell r="C329" t="str">
            <v xml:space="preserve">               UMC-MM1402</v>
          </cell>
          <cell r="D329" t="str">
            <v xml:space="preserve">               !Pós-Contratuais PPC</v>
          </cell>
        </row>
        <row r="330">
          <cell r="A330" t="str">
            <v>MM1440</v>
          </cell>
          <cell r="B330" t="str">
            <v>!Papel Comer.-Imobilização</v>
          </cell>
          <cell r="C330" t="str">
            <v xml:space="preserve">                    UMC-MM1440</v>
          </cell>
          <cell r="D330" t="str">
            <v xml:space="preserve">                    !Papel Comer.-Imobilização</v>
          </cell>
          <cell r="F330" t="str">
            <v>Não Financeiras</v>
          </cell>
        </row>
        <row r="331">
          <cell r="A331" t="str">
            <v>MM1403</v>
          </cell>
          <cell r="B331" t="str">
            <v>!Incumprimento PPC</v>
          </cell>
          <cell r="C331" t="str">
            <v xml:space="preserve">               UMC-MM1403</v>
          </cell>
          <cell r="D331" t="str">
            <v xml:space="preserve">               !Incumprimento PPC</v>
          </cell>
          <cell r="F331" t="str">
            <v>Não Financeiras</v>
          </cell>
        </row>
        <row r="332">
          <cell r="A332" t="str">
            <v>MM1404</v>
          </cell>
          <cell r="B332" t="str">
            <v>!Custos PPC</v>
          </cell>
          <cell r="C332" t="str">
            <v xml:space="preserve">               UMC-MM1404</v>
          </cell>
          <cell r="D332" t="str">
            <v xml:space="preserve">               !Custos PPC</v>
          </cell>
          <cell r="F332" t="str">
            <v>Não Financeiras</v>
          </cell>
        </row>
        <row r="333">
          <cell r="A333" t="str">
            <v>MM1405</v>
          </cell>
          <cell r="B333" t="str">
            <v>!Outras PPC</v>
          </cell>
          <cell r="C333" t="str">
            <v xml:space="preserve">               UMC-MM1405</v>
          </cell>
          <cell r="D333" t="str">
            <v xml:space="preserve">               !Outras PPC</v>
          </cell>
          <cell r="F333" t="str">
            <v>Não Financeiras</v>
          </cell>
        </row>
        <row r="334">
          <cell r="A334" t="str">
            <v>JJ</v>
          </cell>
          <cell r="B334" t="str">
            <v>!Comissões de Estrangeiro</v>
          </cell>
          <cell r="C334" t="str">
            <v xml:space="preserve">     UMC-JJ</v>
          </cell>
          <cell r="D334" t="str">
            <v xml:space="preserve">     !Comissões de Estrangeiro</v>
          </cell>
        </row>
        <row r="335">
          <cell r="A335" t="str">
            <v>JJA0</v>
          </cell>
          <cell r="B335" t="str">
            <v>!Cash</v>
          </cell>
          <cell r="C335" t="str">
            <v xml:space="preserve">          UMC-JJA0</v>
          </cell>
          <cell r="D335" t="str">
            <v xml:space="preserve">          !Cash</v>
          </cell>
        </row>
        <row r="336">
          <cell r="A336" t="str">
            <v>JJ1</v>
          </cell>
          <cell r="B336" t="str">
            <v>!Ordens de Pagamento</v>
          </cell>
          <cell r="C336" t="str">
            <v xml:space="preserve">               UMC-JJ1</v>
          </cell>
          <cell r="D336" t="str">
            <v xml:space="preserve">               !Ordens de Pagamento</v>
          </cell>
        </row>
        <row r="337">
          <cell r="A337" t="str">
            <v>JJ1000</v>
          </cell>
          <cell r="B337" t="str">
            <v>!OP Emitidas</v>
          </cell>
          <cell r="C337" t="str">
            <v xml:space="preserve">                    UMC-JJ1000</v>
          </cell>
          <cell r="D337" t="str">
            <v xml:space="preserve">                    !OP Emitidas</v>
          </cell>
          <cell r="F337" t="str">
            <v>Não Financeiras</v>
          </cell>
        </row>
        <row r="338">
          <cell r="A338" t="str">
            <v>JJ1100</v>
          </cell>
          <cell r="B338" t="str">
            <v>!OP Recebidas</v>
          </cell>
          <cell r="C338" t="str">
            <v xml:space="preserve">                    UMC-JJ1100</v>
          </cell>
          <cell r="D338" t="str">
            <v xml:space="preserve">                    !OP Recebidas</v>
          </cell>
          <cell r="F338" t="str">
            <v>Não Financeiras</v>
          </cell>
        </row>
        <row r="339">
          <cell r="A339" t="str">
            <v>JJ1200</v>
          </cell>
          <cell r="B339" t="str">
            <v>!IBOS</v>
          </cell>
          <cell r="C339" t="str">
            <v xml:space="preserve">                    UMC-JJ1200</v>
          </cell>
          <cell r="D339" t="str">
            <v xml:space="preserve">                    !IBOS</v>
          </cell>
          <cell r="F339" t="str">
            <v>Não Financeiras</v>
          </cell>
        </row>
        <row r="340">
          <cell r="A340" t="str">
            <v>JJ2</v>
          </cell>
          <cell r="B340" t="str">
            <v>!Cash Letter</v>
          </cell>
          <cell r="C340" t="str">
            <v xml:space="preserve">               UMC-JJ2</v>
          </cell>
          <cell r="D340" t="str">
            <v xml:space="preserve">               !Cash Letter</v>
          </cell>
        </row>
        <row r="341">
          <cell r="A341" t="str">
            <v>JJ2000</v>
          </cell>
          <cell r="B341" t="str">
            <v>!CL Emitidas</v>
          </cell>
          <cell r="C341" t="str">
            <v xml:space="preserve">                    UMC-JJ2000</v>
          </cell>
          <cell r="D341" t="str">
            <v xml:space="preserve">                    !CL Emitidas</v>
          </cell>
          <cell r="F341" t="str">
            <v>Não Financeiras</v>
          </cell>
        </row>
        <row r="342">
          <cell r="A342" t="str">
            <v>JJ2100</v>
          </cell>
          <cell r="B342" t="str">
            <v>!CL Recebidas</v>
          </cell>
          <cell r="C342" t="str">
            <v xml:space="preserve">                    UMC-JJ2100</v>
          </cell>
          <cell r="D342" t="str">
            <v xml:space="preserve">                    !CL Recebidas</v>
          </cell>
          <cell r="F342" t="str">
            <v>Não Financeiras</v>
          </cell>
        </row>
        <row r="343">
          <cell r="A343" t="str">
            <v>JJ6000</v>
          </cell>
          <cell r="B343" t="str">
            <v>!Cheques Emitidos</v>
          </cell>
          <cell r="C343" t="str">
            <v xml:space="preserve">               UMC-JJ6000</v>
          </cell>
          <cell r="D343" t="str">
            <v xml:space="preserve">               !Cheques Emitidos</v>
          </cell>
          <cell r="F343" t="str">
            <v>Não Financeiras</v>
          </cell>
        </row>
        <row r="344">
          <cell r="A344" t="str">
            <v>JJB0</v>
          </cell>
          <cell r="B344" t="str">
            <v>!Trade</v>
          </cell>
          <cell r="C344" t="str">
            <v xml:space="preserve">          UMC-JJB0</v>
          </cell>
          <cell r="D344" t="str">
            <v xml:space="preserve">          !Trade</v>
          </cell>
        </row>
        <row r="345">
          <cell r="A345" t="str">
            <v>JJ3</v>
          </cell>
          <cell r="B345" t="str">
            <v>!Remessas Documentárias</v>
          </cell>
          <cell r="C345" t="str">
            <v xml:space="preserve">               UMC-JJ3</v>
          </cell>
          <cell r="D345" t="str">
            <v xml:space="preserve">               !Remessas Documentárias</v>
          </cell>
        </row>
        <row r="346">
          <cell r="A346" t="str">
            <v>JJ3000</v>
          </cell>
          <cell r="B346" t="str">
            <v>!RD Importação</v>
          </cell>
          <cell r="C346" t="str">
            <v xml:space="preserve">                    UMC-JJ3000</v>
          </cell>
          <cell r="D346" t="str">
            <v xml:space="preserve">                    !RD Importação</v>
          </cell>
          <cell r="F346" t="str">
            <v>Não Financeiras</v>
          </cell>
        </row>
        <row r="347">
          <cell r="A347" t="str">
            <v>JJ3100</v>
          </cell>
          <cell r="B347" t="str">
            <v>!RD Exportação</v>
          </cell>
          <cell r="C347" t="str">
            <v xml:space="preserve">                    UMC-JJ3100</v>
          </cell>
          <cell r="D347" t="str">
            <v xml:space="preserve">                    !RD Exportação</v>
          </cell>
        </row>
        <row r="348">
          <cell r="A348" t="str">
            <v>JJ310A</v>
          </cell>
          <cell r="B348" t="str">
            <v>!RD Exportação Taxa</v>
          </cell>
          <cell r="C348" t="str">
            <v xml:space="preserve">                         UMC-JJ310A</v>
          </cell>
          <cell r="D348" t="str">
            <v xml:space="preserve">                         !RD Exportação Taxa</v>
          </cell>
        </row>
        <row r="349">
          <cell r="A349" t="str">
            <v>JJ3110</v>
          </cell>
          <cell r="B349" t="str">
            <v>!RD Exportação-Cash</v>
          </cell>
          <cell r="C349" t="str">
            <v xml:space="preserve">                              UMC-JJ3110</v>
          </cell>
          <cell r="D349" t="str">
            <v xml:space="preserve">                              !RD Exportação-Cash</v>
          </cell>
          <cell r="F349" t="str">
            <v>Financeiras</v>
          </cell>
        </row>
        <row r="350">
          <cell r="A350" t="str">
            <v>JJ3120</v>
          </cell>
          <cell r="B350" t="str">
            <v>!RD Exportação-Periodif.</v>
          </cell>
          <cell r="C350" t="str">
            <v xml:space="preserve">                              UMC-JJ3120</v>
          </cell>
          <cell r="D350" t="str">
            <v xml:space="preserve">                              !RD Exportação-Periodif.</v>
          </cell>
          <cell r="F350" t="str">
            <v>Financeiras</v>
          </cell>
        </row>
        <row r="351">
          <cell r="A351" t="str">
            <v>JJ3150</v>
          </cell>
          <cell r="B351" t="str">
            <v>!RD Exportação-Outras</v>
          </cell>
          <cell r="C351" t="str">
            <v xml:space="preserve">                         UMC-JJ3150</v>
          </cell>
          <cell r="D351" t="str">
            <v xml:space="preserve">                         !RD Exportação-Outras</v>
          </cell>
          <cell r="F351" t="str">
            <v>Mista (NFin)</v>
          </cell>
        </row>
        <row r="352">
          <cell r="A352" t="str">
            <v>JJ4</v>
          </cell>
          <cell r="B352" t="str">
            <v>!Créditos Documentários</v>
          </cell>
          <cell r="C352" t="str">
            <v xml:space="preserve">               UMC-JJ4</v>
          </cell>
          <cell r="D352" t="str">
            <v xml:space="preserve">               !Créditos Documentários</v>
          </cell>
        </row>
        <row r="353">
          <cell r="A353" t="str">
            <v>JJ4000</v>
          </cell>
          <cell r="B353" t="str">
            <v>!CD Importação</v>
          </cell>
          <cell r="C353" t="str">
            <v xml:space="preserve">                    UMC-JJ4000</v>
          </cell>
          <cell r="D353" t="str">
            <v xml:space="preserve">                    !CD Importação</v>
          </cell>
          <cell r="F353" t="str">
            <v>Não Financeiras</v>
          </cell>
        </row>
        <row r="354">
          <cell r="A354" t="str">
            <v>JJ4100</v>
          </cell>
          <cell r="B354" t="str">
            <v>!CD Exportação</v>
          </cell>
          <cell r="C354" t="str">
            <v xml:space="preserve">                    UMC-JJ4100</v>
          </cell>
          <cell r="D354" t="str">
            <v xml:space="preserve">                    !CD Exportação</v>
          </cell>
          <cell r="F354" t="str">
            <v>Não Financeiras</v>
          </cell>
        </row>
        <row r="355">
          <cell r="A355" t="str">
            <v>JJ4200</v>
          </cell>
          <cell r="B355" t="str">
            <v>!Standby Letters</v>
          </cell>
          <cell r="C355" t="str">
            <v xml:space="preserve">                    UMC-JJ4200</v>
          </cell>
          <cell r="D355" t="str">
            <v xml:space="preserve">                    !Standby Letters</v>
          </cell>
          <cell r="F355" t="str">
            <v>Não Financeiras</v>
          </cell>
        </row>
        <row r="356">
          <cell r="A356" t="str">
            <v>JJ5</v>
          </cell>
          <cell r="B356" t="str">
            <v>!Garantias s/Estrangeiro</v>
          </cell>
          <cell r="C356" t="str">
            <v xml:space="preserve">               UMC-JJ5</v>
          </cell>
          <cell r="D356" t="str">
            <v xml:space="preserve">               !Garantias s/Estrangeiro</v>
          </cell>
        </row>
        <row r="357">
          <cell r="A357" t="str">
            <v>JJ500A</v>
          </cell>
          <cell r="B357" t="str">
            <v>!Garantias S/Estrang.-Taxa</v>
          </cell>
          <cell r="C357" t="str">
            <v xml:space="preserve">                    UMC-JJ500A</v>
          </cell>
          <cell r="D357" t="str">
            <v xml:space="preserve">                    !Garantias S/Estrang.-Taxa</v>
          </cell>
        </row>
        <row r="358">
          <cell r="A358" t="str">
            <v>JJ5000</v>
          </cell>
          <cell r="B358" t="str">
            <v>!Gar.S/Estr-Cash</v>
          </cell>
          <cell r="C358" t="str">
            <v xml:space="preserve">                         UMC-JJ5000</v>
          </cell>
          <cell r="D358" t="str">
            <v xml:space="preserve">                         !Gar.S/Estr-Cash</v>
          </cell>
          <cell r="F358" t="str">
            <v>Não Financeiras</v>
          </cell>
        </row>
        <row r="359">
          <cell r="A359" t="str">
            <v>JJ5100</v>
          </cell>
          <cell r="B359" t="str">
            <v>!Gar.S/Estr-Periodif.</v>
          </cell>
          <cell r="C359" t="str">
            <v xml:space="preserve">                         UMC-JJ5100</v>
          </cell>
          <cell r="D359" t="str">
            <v xml:space="preserve">                         !Gar.S/Estr-Periodif.</v>
          </cell>
          <cell r="F359" t="str">
            <v>Não Financeiras</v>
          </cell>
        </row>
        <row r="360">
          <cell r="A360" t="str">
            <v>JJ500B</v>
          </cell>
          <cell r="B360" t="str">
            <v>!Outras Garant.S/Estrang.</v>
          </cell>
          <cell r="C360" t="str">
            <v xml:space="preserve">                    UMC-JJ500B</v>
          </cell>
          <cell r="D360" t="str">
            <v xml:space="preserve">                    !Outras Garant.S/Estrang.</v>
          </cell>
          <cell r="F360" t="str">
            <v>Não Financeiras</v>
          </cell>
        </row>
        <row r="361">
          <cell r="A361" t="str">
            <v>JJC0</v>
          </cell>
          <cell r="B361" t="str">
            <v>!Outras Estrang</v>
          </cell>
          <cell r="C361" t="str">
            <v xml:space="preserve">          UMC-JJC0</v>
          </cell>
          <cell r="D361" t="str">
            <v xml:space="preserve">          !Outras Estrang</v>
          </cell>
        </row>
        <row r="362">
          <cell r="A362" t="str">
            <v>JJ7000</v>
          </cell>
          <cell r="B362" t="str">
            <v>!Compra/Venda de ME</v>
          </cell>
          <cell r="C362" t="str">
            <v xml:space="preserve">               UMC-JJ7000</v>
          </cell>
          <cell r="D362" t="str">
            <v xml:space="preserve">               !Compra/Venda de ME</v>
          </cell>
          <cell r="F362" t="str">
            <v>Não Financeiras</v>
          </cell>
        </row>
        <row r="363">
          <cell r="A363" t="str">
            <v>JJ8000</v>
          </cell>
          <cell r="B363" t="str">
            <v>!Outras Estrangeiro</v>
          </cell>
          <cell r="C363" t="str">
            <v xml:space="preserve">               UMC-JJ8000</v>
          </cell>
          <cell r="D363" t="str">
            <v xml:space="preserve">               !Outras Estrangeiro</v>
          </cell>
          <cell r="F363" t="str">
            <v>Não Financeiras</v>
          </cell>
        </row>
        <row r="364">
          <cell r="A364" t="str">
            <v>TT4200</v>
          </cell>
          <cell r="B364" t="str">
            <v>!Bancos Correspondentes</v>
          </cell>
          <cell r="C364" t="str">
            <v xml:space="preserve">               UMC-TT4200</v>
          </cell>
          <cell r="D364" t="str">
            <v xml:space="preserve">               !Bancos Correspondentes</v>
          </cell>
        </row>
        <row r="365">
          <cell r="A365" t="str">
            <v>TT4210</v>
          </cell>
          <cell r="B365" t="str">
            <v>!Outras Correspondentes</v>
          </cell>
          <cell r="C365" t="str">
            <v xml:space="preserve">                    UMC-TT4210</v>
          </cell>
          <cell r="D365" t="str">
            <v xml:space="preserve">                    !Outras Correspondentes</v>
          </cell>
          <cell r="F365" t="str">
            <v>Não Financeiras</v>
          </cell>
        </row>
        <row r="366">
          <cell r="A366" t="str">
            <v>TT4220</v>
          </cell>
          <cell r="B366" t="str">
            <v>!Fincase</v>
          </cell>
          <cell r="C366" t="str">
            <v xml:space="preserve">                    UMC-TT4220</v>
          </cell>
          <cell r="D366" t="str">
            <v xml:space="preserve">                    !Fincase</v>
          </cell>
          <cell r="F366" t="str">
            <v>Não Financeiras</v>
          </cell>
        </row>
        <row r="367">
          <cell r="A367" t="str">
            <v>MM</v>
          </cell>
          <cell r="B367" t="str">
            <v>!Comissões de Serviços</v>
          </cell>
          <cell r="C367" t="str">
            <v xml:space="preserve">     UMC-MM</v>
          </cell>
          <cell r="D367" t="str">
            <v xml:space="preserve">     !Comissões de Serviços</v>
          </cell>
        </row>
        <row r="368">
          <cell r="A368" t="str">
            <v>MM1</v>
          </cell>
          <cell r="B368" t="str">
            <v>!Titulos</v>
          </cell>
          <cell r="C368" t="str">
            <v xml:space="preserve">          UMC-MM1</v>
          </cell>
          <cell r="D368" t="str">
            <v xml:space="preserve">          !Titulos</v>
          </cell>
        </row>
        <row r="369">
          <cell r="A369" t="str">
            <v>MM1000</v>
          </cell>
          <cell r="B369" t="str">
            <v>!Guarda de Valores</v>
          </cell>
          <cell r="C369" t="str">
            <v xml:space="preserve">               UMC-MM1000</v>
          </cell>
          <cell r="D369" t="str">
            <v xml:space="preserve">               !Guarda de Valores</v>
          </cell>
          <cell r="F369" t="str">
            <v>Mista (NFin)</v>
          </cell>
        </row>
        <row r="370">
          <cell r="A370" t="str">
            <v>MM1050</v>
          </cell>
          <cell r="B370" t="str">
            <v>!Banco Depositario</v>
          </cell>
          <cell r="C370" t="str">
            <v xml:space="preserve">               UMC-MM1050</v>
          </cell>
          <cell r="D370" t="str">
            <v xml:space="preserve">               !Banco Depositario</v>
          </cell>
          <cell r="F370" t="str">
            <v>Não Financeiras</v>
          </cell>
        </row>
        <row r="371">
          <cell r="A371" t="str">
            <v>MM1100</v>
          </cell>
          <cell r="B371" t="str">
            <v>!Dividend e o.Rend/Event</v>
          </cell>
          <cell r="C371" t="str">
            <v xml:space="preserve">               UMC-MM1100</v>
          </cell>
          <cell r="D371" t="str">
            <v xml:space="preserve">               !Dividend e o.Rend/Event</v>
          </cell>
          <cell r="F371" t="str">
            <v>Não Financeiras</v>
          </cell>
        </row>
        <row r="372">
          <cell r="A372" t="str">
            <v>MM1200</v>
          </cell>
          <cell r="B372" t="str">
            <v>!Operações Fora de Bolsa</v>
          </cell>
          <cell r="C372" t="str">
            <v xml:space="preserve">               UMC-MM1200</v>
          </cell>
          <cell r="D372" t="str">
            <v xml:space="preserve">               !Operações Fora de Bolsa</v>
          </cell>
          <cell r="F372" t="str">
            <v>Não Financeiras</v>
          </cell>
        </row>
        <row r="373">
          <cell r="A373" t="str">
            <v>MM1300</v>
          </cell>
          <cell r="B373" t="str">
            <v>!Operações em Bolsa</v>
          </cell>
          <cell r="C373" t="str">
            <v xml:space="preserve">               UMC-MM1300</v>
          </cell>
          <cell r="D373" t="str">
            <v xml:space="preserve">               !Operações em Bolsa</v>
          </cell>
        </row>
        <row r="374">
          <cell r="A374" t="str">
            <v>MM1310</v>
          </cell>
          <cell r="B374" t="str">
            <v>!Oper. Bolsa-Doméstico</v>
          </cell>
          <cell r="C374" t="str">
            <v xml:space="preserve">                    UMC-MM1310</v>
          </cell>
          <cell r="D374" t="str">
            <v xml:space="preserve">                    !Oper. Bolsa-Doméstico</v>
          </cell>
          <cell r="F374" t="str">
            <v>Não Financeiras</v>
          </cell>
        </row>
        <row r="375">
          <cell r="A375" t="str">
            <v>MM1320</v>
          </cell>
          <cell r="B375" t="str">
            <v>!Oper. Bolsa-Internacional</v>
          </cell>
          <cell r="C375" t="str">
            <v xml:space="preserve">                    UMC-MM1320</v>
          </cell>
          <cell r="D375" t="str">
            <v xml:space="preserve">                    !Oper. Bolsa-Internacional</v>
          </cell>
          <cell r="F375" t="str">
            <v>Não Financeiras</v>
          </cell>
        </row>
        <row r="376">
          <cell r="A376" t="str">
            <v>MM1350</v>
          </cell>
          <cell r="B376" t="str">
            <v>!Notas Estruturadas Ufront</v>
          </cell>
          <cell r="C376" t="str">
            <v xml:space="preserve">               UMC-MM1350</v>
          </cell>
          <cell r="D376" t="str">
            <v xml:space="preserve">               !Notas Estruturadas Ufront</v>
          </cell>
          <cell r="F376" t="str">
            <v>Não Financeiras</v>
          </cell>
        </row>
        <row r="377">
          <cell r="A377" t="str">
            <v>MM1410</v>
          </cell>
          <cell r="B377" t="str">
            <v>!Papel Comerc-Agente/Organ</v>
          </cell>
          <cell r="C377" t="str">
            <v xml:space="preserve">               UMC-MM1410</v>
          </cell>
          <cell r="D377" t="str">
            <v xml:space="preserve">               !Papel Comerc-Agente/Organ</v>
          </cell>
        </row>
        <row r="378">
          <cell r="A378" t="str">
            <v>MM141A</v>
          </cell>
          <cell r="B378" t="str">
            <v>!PPC Agente</v>
          </cell>
          <cell r="C378" t="str">
            <v xml:space="preserve">                    UMC-MM141A</v>
          </cell>
          <cell r="D378" t="str">
            <v xml:space="preserve">                    !PPC Agente</v>
          </cell>
        </row>
        <row r="379">
          <cell r="A379" t="str">
            <v>MM1411</v>
          </cell>
          <cell r="B379" t="str">
            <v>!PPC Agente Cash</v>
          </cell>
          <cell r="C379" t="str">
            <v xml:space="preserve">                         UMC-MM1411</v>
          </cell>
          <cell r="D379" t="str">
            <v xml:space="preserve">                         !PPC Agente Cash</v>
          </cell>
          <cell r="F379" t="str">
            <v>Não Financeiras</v>
          </cell>
        </row>
        <row r="380">
          <cell r="A380" t="str">
            <v>MM1412</v>
          </cell>
          <cell r="B380" t="str">
            <v>!PPC Agente Periodif.</v>
          </cell>
          <cell r="C380" t="str">
            <v xml:space="preserve">                         UMC-MM1412</v>
          </cell>
          <cell r="D380" t="str">
            <v xml:space="preserve">                         !PPC Agente Periodif.</v>
          </cell>
          <cell r="F380" t="str">
            <v>Não Financeiras</v>
          </cell>
        </row>
        <row r="381">
          <cell r="A381" t="str">
            <v>MM141B</v>
          </cell>
          <cell r="B381" t="str">
            <v>!PPC Organização</v>
          </cell>
          <cell r="C381" t="str">
            <v xml:space="preserve">                    UMC-MM141B</v>
          </cell>
          <cell r="D381" t="str">
            <v xml:space="preserve">                    !PPC Organização</v>
          </cell>
        </row>
        <row r="382">
          <cell r="A382" t="str">
            <v>MM1415</v>
          </cell>
          <cell r="B382" t="str">
            <v>!PPC Organização Cash</v>
          </cell>
          <cell r="C382" t="str">
            <v xml:space="preserve">                         UMC-MM1415</v>
          </cell>
          <cell r="D382" t="str">
            <v xml:space="preserve">                         !PPC Organização Cash</v>
          </cell>
          <cell r="F382" t="str">
            <v>Não Financeiras</v>
          </cell>
        </row>
        <row r="383">
          <cell r="A383" t="str">
            <v>MM1416</v>
          </cell>
          <cell r="B383" t="str">
            <v>!PPC Organização Periodif.</v>
          </cell>
          <cell r="C383" t="str">
            <v xml:space="preserve">                         UMC-MM1416</v>
          </cell>
          <cell r="D383" t="str">
            <v xml:space="preserve">                         !PPC Organização Periodif.</v>
          </cell>
          <cell r="F383" t="str">
            <v>Não Financeiras</v>
          </cell>
        </row>
        <row r="384">
          <cell r="A384" t="str">
            <v>MM1500</v>
          </cell>
          <cell r="B384" t="str">
            <v>!T Outras</v>
          </cell>
          <cell r="C384" t="str">
            <v xml:space="preserve">               UMC-MM1500</v>
          </cell>
          <cell r="D384" t="str">
            <v xml:space="preserve">               !T Outras</v>
          </cell>
        </row>
        <row r="385">
          <cell r="A385" t="str">
            <v>MM150A</v>
          </cell>
          <cell r="B385" t="str">
            <v>!Custos Titulos</v>
          </cell>
          <cell r="C385" t="str">
            <v xml:space="preserve">                    UMC-MM150A</v>
          </cell>
          <cell r="D385" t="str">
            <v xml:space="preserve">                    !Custos Titulos</v>
          </cell>
        </row>
        <row r="386">
          <cell r="A386" t="str">
            <v>MM1510</v>
          </cell>
          <cell r="B386" t="str">
            <v>!Custos Taxa Supervisão</v>
          </cell>
          <cell r="C386" t="str">
            <v xml:space="preserve">                         UMC-MM1510</v>
          </cell>
          <cell r="D386" t="str">
            <v xml:space="preserve">                         !Custos Taxa Supervisão</v>
          </cell>
          <cell r="F386" t="str">
            <v>Não Financeiras</v>
          </cell>
        </row>
        <row r="387">
          <cell r="A387" t="str">
            <v>MM1520</v>
          </cell>
          <cell r="B387" t="str">
            <v>!Custos Interbolsa</v>
          </cell>
          <cell r="C387" t="str">
            <v xml:space="preserve">                         UMC-MM1520</v>
          </cell>
          <cell r="D387" t="str">
            <v xml:space="preserve">                         !Custos Interbolsa</v>
          </cell>
          <cell r="F387" t="str">
            <v>Não Financeiras</v>
          </cell>
        </row>
        <row r="388">
          <cell r="A388" t="str">
            <v>MM1525</v>
          </cell>
          <cell r="B388" t="str">
            <v>!Euroclear</v>
          </cell>
          <cell r="C388" t="str">
            <v xml:space="preserve">                         UMC-MM1525</v>
          </cell>
          <cell r="D388" t="str">
            <v xml:space="preserve">                         !Euroclear</v>
          </cell>
          <cell r="F388" t="str">
            <v>Não Financeiras</v>
          </cell>
        </row>
        <row r="389">
          <cell r="A389" t="str">
            <v>MM1526</v>
          </cell>
          <cell r="B389" t="str">
            <v>!Gestão de Carteiras</v>
          </cell>
          <cell r="C389" t="str">
            <v xml:space="preserve">                         UMC-MM1526</v>
          </cell>
          <cell r="D389" t="str">
            <v xml:space="preserve">                         !Gestão de Carteiras</v>
          </cell>
          <cell r="F389" t="str">
            <v>Não Financeiras</v>
          </cell>
        </row>
        <row r="390">
          <cell r="A390" t="str">
            <v>TT4100</v>
          </cell>
          <cell r="B390" t="str">
            <v>!Brokers</v>
          </cell>
          <cell r="C390" t="str">
            <v xml:space="preserve">                         UMC-TT4100</v>
          </cell>
          <cell r="D390" t="str">
            <v xml:space="preserve">                         !Brokers</v>
          </cell>
          <cell r="F390" t="str">
            <v>Não Financeiras</v>
          </cell>
        </row>
        <row r="391">
          <cell r="A391" t="str">
            <v>MM1535</v>
          </cell>
          <cell r="B391" t="str">
            <v>!O.Proveitos Titulos</v>
          </cell>
          <cell r="C391" t="str">
            <v xml:space="preserve">                    UMC-MM1535</v>
          </cell>
          <cell r="D391" t="str">
            <v xml:space="preserve">                    !O.Proveitos Titulos</v>
          </cell>
        </row>
        <row r="392">
          <cell r="A392" t="str">
            <v>MM1530</v>
          </cell>
          <cell r="B392" t="str">
            <v>!Outras Titulos</v>
          </cell>
          <cell r="C392" t="str">
            <v xml:space="preserve">                         UMC-MM1530</v>
          </cell>
          <cell r="D392" t="str">
            <v xml:space="preserve">                         !Outras Titulos</v>
          </cell>
          <cell r="F392" t="str">
            <v>Não Financeiras</v>
          </cell>
        </row>
        <row r="393">
          <cell r="A393" t="str">
            <v>MM1531</v>
          </cell>
          <cell r="B393" t="str">
            <v>!Corretagem</v>
          </cell>
          <cell r="C393" t="str">
            <v xml:space="preserve">                         UMC-MM1531</v>
          </cell>
          <cell r="D393" t="str">
            <v xml:space="preserve">                         !Corretagem</v>
          </cell>
          <cell r="F393" t="str">
            <v>Não Financeiras</v>
          </cell>
        </row>
        <row r="394">
          <cell r="A394" t="str">
            <v>MM1532</v>
          </cell>
          <cell r="B394" t="str">
            <v>!Settlements</v>
          </cell>
          <cell r="C394" t="str">
            <v xml:space="preserve">                         UMC-MM1532</v>
          </cell>
          <cell r="D394" t="str">
            <v xml:space="preserve">                         !Settlements</v>
          </cell>
          <cell r="F394" t="str">
            <v>Não Financeiras</v>
          </cell>
        </row>
        <row r="395">
          <cell r="A395" t="str">
            <v>MM1533</v>
          </cell>
          <cell r="B395" t="str">
            <v>!Levantamento de Titulos</v>
          </cell>
          <cell r="C395" t="str">
            <v xml:space="preserve">                         UMC-MM1533</v>
          </cell>
          <cell r="D395" t="str">
            <v xml:space="preserve">                         !Levantamento de Titulos</v>
          </cell>
          <cell r="F395" t="str">
            <v>Não Financeiras</v>
          </cell>
        </row>
        <row r="396">
          <cell r="A396" t="str">
            <v>MM1534</v>
          </cell>
          <cell r="B396" t="str">
            <v>!Expediente Titulos</v>
          </cell>
          <cell r="C396" t="str">
            <v xml:space="preserve">                         UMC-MM1534</v>
          </cell>
          <cell r="D396" t="str">
            <v xml:space="preserve">                         !Expediente Titulos</v>
          </cell>
          <cell r="F396" t="str">
            <v>Não Financeiras</v>
          </cell>
        </row>
        <row r="397">
          <cell r="A397" t="str">
            <v>MM1536</v>
          </cell>
          <cell r="B397" t="str">
            <v>!Intermediação</v>
          </cell>
          <cell r="C397" t="str">
            <v xml:space="preserve">                         UMC-MM1536</v>
          </cell>
          <cell r="D397" t="str">
            <v xml:space="preserve">                         !Intermediação</v>
          </cell>
          <cell r="F397" t="str">
            <v>Não Financeiras</v>
          </cell>
        </row>
        <row r="398">
          <cell r="A398" t="str">
            <v>MM1537</v>
          </cell>
          <cell r="B398" t="str">
            <v>!Risco Operacional</v>
          </cell>
          <cell r="C398" t="str">
            <v xml:space="preserve">                         UMC-MM1537</v>
          </cell>
          <cell r="D398" t="str">
            <v xml:space="preserve">                         !Risco Operacional</v>
          </cell>
          <cell r="F398" t="str">
            <v>Não Financeiras</v>
          </cell>
        </row>
        <row r="399">
          <cell r="A399" t="str">
            <v>MM1538</v>
          </cell>
          <cell r="B399" t="str">
            <v>!Recuperação de Impostos</v>
          </cell>
          <cell r="C399" t="str">
            <v xml:space="preserve">                         UMC-MM1538</v>
          </cell>
          <cell r="D399" t="str">
            <v xml:space="preserve">                         !Recuperação de Impostos</v>
          </cell>
          <cell r="F399" t="str">
            <v>Não Financeiras</v>
          </cell>
        </row>
        <row r="400">
          <cell r="A400" t="str">
            <v>MM2</v>
          </cell>
          <cell r="B400" t="str">
            <v>!Domic./Déb.Directos</v>
          </cell>
          <cell r="C400" t="str">
            <v xml:space="preserve">          UMC-MM2</v>
          </cell>
          <cell r="D400" t="str">
            <v xml:space="preserve">          !Domic./Déb.Directos</v>
          </cell>
        </row>
        <row r="401">
          <cell r="A401" t="str">
            <v>MM2000</v>
          </cell>
          <cell r="B401" t="str">
            <v>!Domiciliações</v>
          </cell>
          <cell r="C401" t="str">
            <v xml:space="preserve">               UMC-MM2000</v>
          </cell>
          <cell r="D401" t="str">
            <v xml:space="preserve">               !Domiciliações</v>
          </cell>
          <cell r="F401" t="str">
            <v>Não Financeiras</v>
          </cell>
        </row>
        <row r="402">
          <cell r="A402" t="str">
            <v>MM2100</v>
          </cell>
          <cell r="B402" t="str">
            <v>!Débitos Directos</v>
          </cell>
          <cell r="C402" t="str">
            <v xml:space="preserve">               UMC-MM2100</v>
          </cell>
          <cell r="D402" t="str">
            <v xml:space="preserve">               !Débitos Directos</v>
          </cell>
        </row>
        <row r="403">
          <cell r="A403" t="str">
            <v>MM2110</v>
          </cell>
          <cell r="B403" t="str">
            <v>!DD Tarif.Interbancário</v>
          </cell>
          <cell r="C403" t="str">
            <v xml:space="preserve">                    UMC-MM2110</v>
          </cell>
          <cell r="D403" t="str">
            <v xml:space="preserve">                    !DD Tarif.Interbancário</v>
          </cell>
        </row>
        <row r="404">
          <cell r="A404" t="str">
            <v>MM2111</v>
          </cell>
          <cell r="B404" t="str">
            <v>!DD Tarif.Interb.-Pago</v>
          </cell>
          <cell r="C404" t="str">
            <v xml:space="preserve">                         UMC-MM2111</v>
          </cell>
          <cell r="D404" t="str">
            <v xml:space="preserve">                         !DD Tarif.Interb.-Pago</v>
          </cell>
          <cell r="F404" t="str">
            <v>Não Financeiras</v>
          </cell>
        </row>
        <row r="405">
          <cell r="A405" t="str">
            <v>MM2112</v>
          </cell>
          <cell r="B405" t="str">
            <v>!DD Tarif.Interb.-Receb.</v>
          </cell>
          <cell r="C405" t="str">
            <v xml:space="preserve">                         UMC-MM2112</v>
          </cell>
          <cell r="D405" t="str">
            <v xml:space="preserve">                         !DD Tarif.Interb.-Receb.</v>
          </cell>
          <cell r="F405" t="str">
            <v>Não Financeiras</v>
          </cell>
        </row>
        <row r="406">
          <cell r="A406" t="str">
            <v>MM2120</v>
          </cell>
          <cell r="B406" t="str">
            <v>!Tarifário Clientes</v>
          </cell>
          <cell r="C406" t="str">
            <v xml:space="preserve">                    UMC-MM2120</v>
          </cell>
          <cell r="D406" t="str">
            <v xml:space="preserve">                    !Tarifário Clientes</v>
          </cell>
          <cell r="F406" t="str">
            <v>Não Financeiras</v>
          </cell>
        </row>
        <row r="407">
          <cell r="A407" t="str">
            <v>MM2130</v>
          </cell>
          <cell r="B407" t="str">
            <v>!Outros DD</v>
          </cell>
          <cell r="C407" t="str">
            <v xml:space="preserve">                    UMC-MM2130</v>
          </cell>
          <cell r="D407" t="str">
            <v xml:space="preserve">                    !Outros DD</v>
          </cell>
          <cell r="F407" t="str">
            <v>Não Financeiras</v>
          </cell>
        </row>
        <row r="408">
          <cell r="A408" t="str">
            <v>MM3</v>
          </cell>
          <cell r="B408" t="str">
            <v>!Transferências</v>
          </cell>
          <cell r="C408" t="str">
            <v xml:space="preserve">          UMC-MM3</v>
          </cell>
          <cell r="D408" t="str">
            <v xml:space="preserve">          !Transferências</v>
          </cell>
        </row>
        <row r="409">
          <cell r="A409" t="str">
            <v>MM3000</v>
          </cell>
          <cell r="B409" t="str">
            <v>!Execução</v>
          </cell>
          <cell r="C409" t="str">
            <v xml:space="preserve">               UMC-MM3000</v>
          </cell>
          <cell r="D409" t="str">
            <v xml:space="preserve">               !Execução</v>
          </cell>
        </row>
        <row r="410">
          <cell r="A410" t="str">
            <v>CC1360</v>
          </cell>
          <cell r="B410" t="str">
            <v>!Transferências MBWay</v>
          </cell>
          <cell r="C410" t="str">
            <v xml:space="preserve">                    UMC-CC1360</v>
          </cell>
          <cell r="D410" t="str">
            <v xml:space="preserve">                    !Transferências MBWay</v>
          </cell>
        </row>
        <row r="411">
          <cell r="A411" t="str">
            <v>CC1361</v>
          </cell>
          <cell r="B411" t="str">
            <v>!Transferências APP BST</v>
          </cell>
          <cell r="C411" t="str">
            <v xml:space="preserve">                         UMC-CC1361</v>
          </cell>
          <cell r="D411" t="str">
            <v xml:space="preserve">                         !Transferências APP BST</v>
          </cell>
          <cell r="F411" t="str">
            <v>Não Financeiras</v>
          </cell>
        </row>
        <row r="412">
          <cell r="A412" t="str">
            <v>CC1362</v>
          </cell>
          <cell r="B412" t="str">
            <v>!Transferências APP MBWay</v>
          </cell>
          <cell r="C412" t="str">
            <v xml:space="preserve">                         UMC-CC1362</v>
          </cell>
          <cell r="D412" t="str">
            <v xml:space="preserve">                         !Transferências APP MBWay</v>
          </cell>
          <cell r="F412" t="str">
            <v>Não Financeiras</v>
          </cell>
        </row>
        <row r="413">
          <cell r="A413" t="str">
            <v>MM3010</v>
          </cell>
          <cell r="B413" t="str">
            <v>!Transferências - SEPA CT</v>
          </cell>
          <cell r="C413" t="str">
            <v xml:space="preserve">                    UMC-MM3010</v>
          </cell>
          <cell r="D413" t="str">
            <v xml:space="preserve">                    !Transferências - SEPA CT</v>
          </cell>
          <cell r="F413" t="str">
            <v>Não Financeiras</v>
          </cell>
        </row>
        <row r="414">
          <cell r="A414" t="str">
            <v>MM3020</v>
          </cell>
          <cell r="B414" t="str">
            <v>!IBAN's Dedicados</v>
          </cell>
          <cell r="C414" t="str">
            <v xml:space="preserve">                    UMC-MM3020</v>
          </cell>
          <cell r="D414" t="str">
            <v xml:space="preserve">                    !IBAN's Dedicados</v>
          </cell>
        </row>
        <row r="415">
          <cell r="A415" t="str">
            <v>MM3021</v>
          </cell>
          <cell r="B415" t="str">
            <v>!Comissão de Implementação</v>
          </cell>
          <cell r="C415" t="str">
            <v xml:space="preserve">                         UMC-MM3021</v>
          </cell>
          <cell r="D415" t="str">
            <v xml:space="preserve">                         !Comissão de Implementação</v>
          </cell>
          <cell r="F415" t="str">
            <v>Não Financeiras</v>
          </cell>
        </row>
        <row r="416">
          <cell r="A416" t="str">
            <v>MM3022</v>
          </cell>
          <cell r="B416" t="str">
            <v>!Mensalidade</v>
          </cell>
          <cell r="C416" t="str">
            <v xml:space="preserve">                         UMC-MM3022</v>
          </cell>
          <cell r="D416" t="str">
            <v xml:space="preserve">                         !Mensalidade</v>
          </cell>
          <cell r="F416" t="str">
            <v>Não Financeiras</v>
          </cell>
        </row>
        <row r="417">
          <cell r="A417" t="str">
            <v>MM3023</v>
          </cell>
          <cell r="B417" t="str">
            <v>!Comissão por Transação</v>
          </cell>
          <cell r="C417" t="str">
            <v xml:space="preserve">                         UMC-MM3023</v>
          </cell>
          <cell r="D417" t="str">
            <v xml:space="preserve">                         !Comissão por Transação</v>
          </cell>
          <cell r="F417" t="str">
            <v>Não Financeiras</v>
          </cell>
        </row>
        <row r="418">
          <cell r="A418" t="str">
            <v>MM3030</v>
          </cell>
          <cell r="B418" t="str">
            <v>!Transferências Imediatas</v>
          </cell>
          <cell r="C418" t="str">
            <v xml:space="preserve">                    UMC-MM3030</v>
          </cell>
          <cell r="D418" t="str">
            <v xml:space="preserve">                    !Transferências Imediatas</v>
          </cell>
        </row>
        <row r="419">
          <cell r="A419" t="str">
            <v>MM3031</v>
          </cell>
          <cell r="B419" t="str">
            <v>!Transf Imed Nacionais</v>
          </cell>
          <cell r="C419" t="str">
            <v xml:space="preserve">                         UMC-MM3031</v>
          </cell>
          <cell r="D419" t="str">
            <v xml:space="preserve">                         !Transf Imed Nacionais</v>
          </cell>
        </row>
        <row r="420">
          <cell r="A420" t="str">
            <v>MM3032</v>
          </cell>
          <cell r="B420" t="str">
            <v>!Transf Nac Emitidas</v>
          </cell>
          <cell r="C420" t="str">
            <v xml:space="preserve">                              UMC-MM3032</v>
          </cell>
          <cell r="D420" t="str">
            <v xml:space="preserve">                              !Transf Nac Emitidas</v>
          </cell>
          <cell r="F420" t="str">
            <v>Não Financeiras</v>
          </cell>
        </row>
        <row r="421">
          <cell r="A421" t="str">
            <v>MM3033</v>
          </cell>
          <cell r="B421" t="str">
            <v>!Transf Nac Recebidas</v>
          </cell>
          <cell r="C421" t="str">
            <v xml:space="preserve">                              UMC-MM3033</v>
          </cell>
          <cell r="D421" t="str">
            <v xml:space="preserve">                              !Transf Nac Recebidas</v>
          </cell>
          <cell r="F421" t="str">
            <v>Não Financeiras</v>
          </cell>
        </row>
        <row r="422">
          <cell r="A422" t="str">
            <v>MM3034</v>
          </cell>
          <cell r="B422" t="str">
            <v>!Transf Nac Emit Pacotes</v>
          </cell>
          <cell r="C422" t="str">
            <v xml:space="preserve">                              UMC-MM3034</v>
          </cell>
          <cell r="D422" t="str">
            <v xml:space="preserve">                              !Transf Nac Emit Pacotes</v>
          </cell>
          <cell r="F422" t="str">
            <v>Não Financeiras</v>
          </cell>
        </row>
        <row r="423">
          <cell r="A423" t="str">
            <v>MM3036</v>
          </cell>
          <cell r="B423" t="str">
            <v>!Transf Imed Internacional</v>
          </cell>
          <cell r="C423" t="str">
            <v xml:space="preserve">                         UMC-MM3036</v>
          </cell>
          <cell r="D423" t="str">
            <v xml:space="preserve">                         !Transf Imed Internacional</v>
          </cell>
        </row>
        <row r="424">
          <cell r="A424" t="str">
            <v>MM3037</v>
          </cell>
          <cell r="B424" t="str">
            <v>!Transf Intern Emitidas</v>
          </cell>
          <cell r="C424" t="str">
            <v xml:space="preserve">                              UMC-MM3037</v>
          </cell>
          <cell r="D424" t="str">
            <v xml:space="preserve">                              !Transf Intern Emitidas</v>
          </cell>
          <cell r="F424" t="str">
            <v>Não Financeiras</v>
          </cell>
        </row>
        <row r="425">
          <cell r="A425" t="str">
            <v>MM3038</v>
          </cell>
          <cell r="B425" t="str">
            <v>!Transf Intern Recebidas</v>
          </cell>
          <cell r="C425" t="str">
            <v xml:space="preserve">                              UMC-MM3038</v>
          </cell>
          <cell r="D425" t="str">
            <v xml:space="preserve">                              !Transf Intern Recebidas</v>
          </cell>
          <cell r="F425" t="str">
            <v>Não Financeiras</v>
          </cell>
        </row>
        <row r="426">
          <cell r="A426" t="str">
            <v>MM3100</v>
          </cell>
          <cell r="B426" t="str">
            <v>!CT Outras</v>
          </cell>
          <cell r="C426" t="str">
            <v xml:space="preserve">               UMC-MM3100</v>
          </cell>
          <cell r="D426" t="str">
            <v xml:space="preserve">               !CT Outras</v>
          </cell>
          <cell r="F426" t="str">
            <v>Não Financeiras</v>
          </cell>
        </row>
        <row r="427">
          <cell r="A427" t="str">
            <v>MM4000</v>
          </cell>
          <cell r="B427" t="str">
            <v>!Aluguer Cofres</v>
          </cell>
          <cell r="C427" t="str">
            <v xml:space="preserve">          UMC-MM4000</v>
          </cell>
          <cell r="D427" t="str">
            <v xml:space="preserve">          !Aluguer Cofres</v>
          </cell>
          <cell r="F427" t="str">
            <v>Não Financeiras</v>
          </cell>
        </row>
        <row r="428">
          <cell r="A428" t="str">
            <v>MM5000</v>
          </cell>
          <cell r="B428" t="str">
            <v>!Prest.Informações</v>
          </cell>
          <cell r="C428" t="str">
            <v xml:space="preserve">          UMC-MM5000</v>
          </cell>
          <cell r="D428" t="str">
            <v xml:space="preserve">          !Prest.Informações</v>
          </cell>
        </row>
        <row r="429">
          <cell r="A429" t="str">
            <v>MM5100</v>
          </cell>
          <cell r="B429" t="str">
            <v>!Informações</v>
          </cell>
          <cell r="C429" t="str">
            <v xml:space="preserve">               UMC-MM5100</v>
          </cell>
          <cell r="D429" t="str">
            <v xml:space="preserve">               !Informações</v>
          </cell>
          <cell r="F429" t="str">
            <v>Não Financeiras</v>
          </cell>
        </row>
        <row r="430">
          <cell r="A430" t="str">
            <v>MM5200</v>
          </cell>
          <cell r="B430" t="str">
            <v>!Declarações</v>
          </cell>
          <cell r="C430" t="str">
            <v xml:space="preserve">               UMC-MM5200</v>
          </cell>
          <cell r="D430" t="str">
            <v xml:space="preserve">               !Declarações</v>
          </cell>
        </row>
        <row r="431">
          <cell r="A431" t="str">
            <v>MM5201</v>
          </cell>
          <cell r="B431" t="str">
            <v>!Capacidade Financeira</v>
          </cell>
          <cell r="C431" t="str">
            <v xml:space="preserve">                    UMC-MM5201</v>
          </cell>
          <cell r="D431" t="str">
            <v xml:space="preserve">                    !Capacidade Financeira</v>
          </cell>
          <cell r="F431" t="str">
            <v>Não Financeiras</v>
          </cell>
        </row>
        <row r="432">
          <cell r="A432" t="str">
            <v>MM5202</v>
          </cell>
          <cell r="B432" t="str">
            <v>!Habilitação Herdeiros</v>
          </cell>
          <cell r="C432" t="str">
            <v xml:space="preserve">                    UMC-MM5202</v>
          </cell>
          <cell r="D432" t="str">
            <v xml:space="preserve">                    !Habilitação Herdeiros</v>
          </cell>
          <cell r="F432" t="str">
            <v>Não Financeiras</v>
          </cell>
        </row>
        <row r="433">
          <cell r="A433" t="str">
            <v>MM5209</v>
          </cell>
          <cell r="B433" t="str">
            <v>!Outras Declarações</v>
          </cell>
          <cell r="C433" t="str">
            <v xml:space="preserve">                    UMC-MM5209</v>
          </cell>
          <cell r="D433" t="str">
            <v xml:space="preserve">                    !Outras Declarações</v>
          </cell>
          <cell r="F433" t="str">
            <v>Não Financeiras</v>
          </cell>
        </row>
        <row r="434">
          <cell r="A434" t="str">
            <v>MM6000</v>
          </cell>
          <cell r="B434" t="str">
            <v>!Cheques Pré-Datados</v>
          </cell>
          <cell r="C434" t="str">
            <v xml:space="preserve">          UMC-MM6000</v>
          </cell>
          <cell r="D434" t="str">
            <v xml:space="preserve">          !Cheques Pré-Datados</v>
          </cell>
          <cell r="F434" t="str">
            <v>Não Financeiras</v>
          </cell>
        </row>
        <row r="435">
          <cell r="A435" t="str">
            <v>MM6999</v>
          </cell>
          <cell r="B435" t="str">
            <v>!Outras Serviços</v>
          </cell>
          <cell r="C435" t="str">
            <v xml:space="preserve">          UMC-MM6999</v>
          </cell>
          <cell r="D435" t="str">
            <v xml:space="preserve">          !Outras Serviços</v>
          </cell>
        </row>
        <row r="436">
          <cell r="A436" t="str">
            <v>MM7000</v>
          </cell>
          <cell r="B436" t="str">
            <v>!Cheques Fornecedores</v>
          </cell>
          <cell r="C436" t="str">
            <v xml:space="preserve">               UMC-MM7000</v>
          </cell>
          <cell r="D436" t="str">
            <v xml:space="preserve">               !Cheques Fornecedores</v>
          </cell>
          <cell r="F436" t="str">
            <v>Não Financeiras</v>
          </cell>
        </row>
        <row r="437">
          <cell r="A437" t="str">
            <v>MM7100</v>
          </cell>
          <cell r="B437" t="str">
            <v>!Banco Apoio p/Pg.Serviços</v>
          </cell>
          <cell r="C437" t="str">
            <v xml:space="preserve">               UMC-MM7100</v>
          </cell>
          <cell r="D437" t="str">
            <v xml:space="preserve">               !Banco Apoio p/Pg.Serviços</v>
          </cell>
        </row>
        <row r="438">
          <cell r="A438" t="str">
            <v>MM7110</v>
          </cell>
          <cell r="B438" t="str">
            <v>!Tx Mensal de Adesão</v>
          </cell>
          <cell r="C438" t="str">
            <v xml:space="preserve">                    UMC-MM7110</v>
          </cell>
          <cell r="D438" t="str">
            <v xml:space="preserve">                    !Tx Mensal de Adesão</v>
          </cell>
          <cell r="F438" t="str">
            <v>Não Financeiras</v>
          </cell>
        </row>
        <row r="439">
          <cell r="A439" t="str">
            <v>MM7120</v>
          </cell>
          <cell r="B439" t="str">
            <v>!Pagamento Serviços</v>
          </cell>
          <cell r="C439" t="str">
            <v xml:space="preserve">                    UMC-MM7120</v>
          </cell>
          <cell r="D439" t="str">
            <v xml:space="preserve">                    !Pagamento Serviços</v>
          </cell>
          <cell r="F439" t="str">
            <v>Não Financeiras</v>
          </cell>
        </row>
        <row r="440">
          <cell r="A440" t="str">
            <v>MM7130</v>
          </cell>
          <cell r="B440" t="str">
            <v>!Recebe Já</v>
          </cell>
          <cell r="C440" t="str">
            <v xml:space="preserve">                    UMC-MM7130</v>
          </cell>
          <cell r="D440" t="str">
            <v xml:space="preserve">                    !Recebe Já</v>
          </cell>
        </row>
        <row r="441">
          <cell r="A441" t="str">
            <v>MM7131</v>
          </cell>
          <cell r="B441" t="str">
            <v>!Tx Mensal Recebe Já</v>
          </cell>
          <cell r="C441" t="str">
            <v xml:space="preserve">                         UMC-MM7131</v>
          </cell>
          <cell r="D441" t="str">
            <v xml:space="preserve">                         !Tx Mensal Recebe Já</v>
          </cell>
          <cell r="F441" t="str">
            <v>Não Financeiras</v>
          </cell>
        </row>
        <row r="442">
          <cell r="A442" t="str">
            <v>MM7132</v>
          </cell>
          <cell r="B442" t="str">
            <v>!Com Transação Recebe Já</v>
          </cell>
          <cell r="C442" t="str">
            <v xml:space="preserve">                         UMC-MM7132</v>
          </cell>
          <cell r="D442" t="str">
            <v xml:space="preserve">                         !Com Transação Recebe Já</v>
          </cell>
          <cell r="F442" t="str">
            <v>Não Financeiras</v>
          </cell>
        </row>
        <row r="443">
          <cell r="A443" t="str">
            <v>MM7700</v>
          </cell>
          <cell r="B443" t="str">
            <v>!Digital Payments Gateway</v>
          </cell>
          <cell r="C443" t="str">
            <v xml:space="preserve">                    UMC-MM7700</v>
          </cell>
          <cell r="D443" t="str">
            <v xml:space="preserve">                    !Digital Payments Gateway</v>
          </cell>
        </row>
        <row r="444">
          <cell r="A444" t="str">
            <v>MM7710</v>
          </cell>
          <cell r="B444" t="str">
            <v>!Taxas:Mensalid. e Adesão</v>
          </cell>
          <cell r="C444" t="str">
            <v xml:space="preserve">                         UMC-MM7710</v>
          </cell>
          <cell r="D444" t="str">
            <v xml:space="preserve">                         !Taxas:Mensalid. e Adesão</v>
          </cell>
          <cell r="F444" t="str">
            <v>Não Financeiras</v>
          </cell>
        </row>
        <row r="445">
          <cell r="A445" t="str">
            <v>MM7720</v>
          </cell>
          <cell r="B445" t="str">
            <v>!Com.Transação DPG</v>
          </cell>
          <cell r="C445" t="str">
            <v xml:space="preserve">                         UMC-MM7720</v>
          </cell>
          <cell r="D445" t="str">
            <v xml:space="preserve">                         !Com.Transação DPG</v>
          </cell>
          <cell r="F445" t="str">
            <v>Não Financeiras</v>
          </cell>
        </row>
        <row r="446">
          <cell r="A446" t="str">
            <v>MM7200</v>
          </cell>
          <cell r="B446" t="str">
            <v>!Canais Complementares</v>
          </cell>
          <cell r="C446" t="str">
            <v xml:space="preserve">               UMC-MM7200</v>
          </cell>
          <cell r="D446" t="str">
            <v xml:space="preserve">               !Canais Complementares</v>
          </cell>
          <cell r="F446" t="str">
            <v>Não Financeiras</v>
          </cell>
        </row>
        <row r="447">
          <cell r="A447" t="str">
            <v>MM7400</v>
          </cell>
          <cell r="B447" t="str">
            <v>!HomeDeposit</v>
          </cell>
          <cell r="C447" t="str">
            <v xml:space="preserve">               UMC-MM7400</v>
          </cell>
          <cell r="D447" t="str">
            <v xml:space="preserve">               !HomeDeposit</v>
          </cell>
          <cell r="F447" t="str">
            <v>Não Financeiras</v>
          </cell>
        </row>
        <row r="448">
          <cell r="A448" t="str">
            <v>MM7500</v>
          </cell>
          <cell r="B448" t="str">
            <v>!Raspadinha</v>
          </cell>
          <cell r="C448" t="str">
            <v xml:space="preserve">               UMC-MM7500</v>
          </cell>
          <cell r="D448" t="str">
            <v xml:space="preserve">               !Raspadinha</v>
          </cell>
          <cell r="F448" t="str">
            <v>Não Financeiras</v>
          </cell>
        </row>
        <row r="449">
          <cell r="A449" t="str">
            <v>MM7600</v>
          </cell>
          <cell r="B449" t="str">
            <v>!Canal Multibancário</v>
          </cell>
          <cell r="C449" t="str">
            <v xml:space="preserve">               UMC-MM7600</v>
          </cell>
          <cell r="D449" t="str">
            <v xml:space="preserve">               !Canal Multibancário</v>
          </cell>
          <cell r="F449" t="str">
            <v>Não Financeiras</v>
          </cell>
        </row>
        <row r="450">
          <cell r="A450" t="str">
            <v>MM7800</v>
          </cell>
          <cell r="B450" t="str">
            <v>!Lotes Pag.Serv.Multibanco</v>
          </cell>
          <cell r="C450" t="str">
            <v xml:space="preserve">               UMC-MM7800</v>
          </cell>
          <cell r="D450" t="str">
            <v xml:space="preserve">               !Lotes Pag.Serv.Multibanco</v>
          </cell>
          <cell r="F450" t="str">
            <v>Não Financeiras</v>
          </cell>
        </row>
        <row r="451">
          <cell r="A451" t="str">
            <v>MM7850</v>
          </cell>
          <cell r="B451" t="str">
            <v>!Open Banking - API</v>
          </cell>
          <cell r="C451" t="str">
            <v xml:space="preserve">               UMC-MM7850</v>
          </cell>
          <cell r="D451" t="str">
            <v xml:space="preserve">               !Open Banking - API</v>
          </cell>
          <cell r="F451" t="str">
            <v>Não Financeiras</v>
          </cell>
        </row>
        <row r="452">
          <cell r="A452" t="str">
            <v>MM7950</v>
          </cell>
          <cell r="B452" t="str">
            <v>!Parceria EDP</v>
          </cell>
          <cell r="C452" t="str">
            <v xml:space="preserve">               UMC-MM7950</v>
          </cell>
          <cell r="D452" t="str">
            <v xml:space="preserve">               !Parceria EDP</v>
          </cell>
          <cell r="F452" t="str">
            <v>Não Financeiras</v>
          </cell>
        </row>
        <row r="453">
          <cell r="A453" t="str">
            <v>MM7960</v>
          </cell>
          <cell r="B453" t="str">
            <v>!Renting Sant. Consumer</v>
          </cell>
          <cell r="C453" t="str">
            <v xml:space="preserve">               UMC-MM7960</v>
          </cell>
          <cell r="D453" t="str">
            <v xml:space="preserve">               !Renting Sant. Consumer</v>
          </cell>
        </row>
        <row r="454">
          <cell r="A454" t="str">
            <v>MM7961</v>
          </cell>
          <cell r="B454" t="str">
            <v>!Contabilidade_SCF</v>
          </cell>
          <cell r="C454" t="str">
            <v xml:space="preserve">                    UMC-MM7961</v>
          </cell>
          <cell r="D454" t="str">
            <v xml:space="preserve">                    !Contabilidade_SCF</v>
          </cell>
          <cell r="F454" t="str">
            <v>Não Financeiras</v>
          </cell>
        </row>
        <row r="455">
          <cell r="A455" t="str">
            <v>MM7962</v>
          </cell>
          <cell r="B455" t="str">
            <v>!Com. Angariação Contrato</v>
          </cell>
          <cell r="C455" t="str">
            <v xml:space="preserve">                    UMC-MM7962</v>
          </cell>
          <cell r="D455" t="str">
            <v xml:space="preserve">                    !Com. Angariação Contrato</v>
          </cell>
          <cell r="F455" t="str">
            <v>Não Financeiras</v>
          </cell>
        </row>
        <row r="456">
          <cell r="A456" t="str">
            <v>MM7963</v>
          </cell>
          <cell r="B456" t="str">
            <v>!Comissão Rappel</v>
          </cell>
          <cell r="C456" t="str">
            <v xml:space="preserve">                    UMC-MM7963</v>
          </cell>
          <cell r="D456" t="str">
            <v xml:space="preserve">                    !Comissão Rappel</v>
          </cell>
          <cell r="F456" t="str">
            <v>Não Financeiras</v>
          </cell>
        </row>
        <row r="457">
          <cell r="A457" t="str">
            <v>MM7964</v>
          </cell>
          <cell r="B457" t="str">
            <v>!Comissão Seguro</v>
          </cell>
          <cell r="C457" t="str">
            <v xml:space="preserve">                    UMC-MM7964</v>
          </cell>
          <cell r="D457" t="str">
            <v xml:space="preserve">                    !Comissão Seguro</v>
          </cell>
          <cell r="F457" t="str">
            <v>Não Financeiras</v>
          </cell>
        </row>
        <row r="458">
          <cell r="A458" t="str">
            <v>MM7970</v>
          </cell>
          <cell r="B458" t="str">
            <v>!PBC Norkom &amp; Payments HUB</v>
          </cell>
          <cell r="C458" t="str">
            <v xml:space="preserve">               UMC-MM7970</v>
          </cell>
          <cell r="D458" t="str">
            <v xml:space="preserve">               !PBC Norkom &amp; Payments HUB</v>
          </cell>
          <cell r="F458" t="str">
            <v>Não Financeiras</v>
          </cell>
        </row>
        <row r="459">
          <cell r="A459" t="str">
            <v>MM73</v>
          </cell>
          <cell r="B459" t="str">
            <v>!Assessoria Financeira</v>
          </cell>
          <cell r="C459" t="str">
            <v xml:space="preserve">     UMC-MM73</v>
          </cell>
          <cell r="D459" t="str">
            <v xml:space="preserve">     !Assessoria Financeira</v>
          </cell>
        </row>
        <row r="460">
          <cell r="A460" t="str">
            <v>MM7300</v>
          </cell>
          <cell r="B460" t="str">
            <v>!Asses. FIn. CIB</v>
          </cell>
          <cell r="C460" t="str">
            <v xml:space="preserve">          UMC-MM7300</v>
          </cell>
          <cell r="D460" t="str">
            <v xml:space="preserve">          !Asses. FIn. CIB</v>
          </cell>
          <cell r="F460" t="str">
            <v>Não Financeiras</v>
          </cell>
        </row>
        <row r="461">
          <cell r="A461" t="str">
            <v>MM7301</v>
          </cell>
          <cell r="B461" t="str">
            <v>!Asses. Fin. Collaboration</v>
          </cell>
          <cell r="C461" t="str">
            <v xml:space="preserve">          UMC-MM7301</v>
          </cell>
          <cell r="D461" t="str">
            <v xml:space="preserve">          !Asses. Fin. Collaboration</v>
          </cell>
          <cell r="F461" t="str">
            <v>Não Financeiras</v>
          </cell>
        </row>
        <row r="462">
          <cell r="A462" t="str">
            <v>PP</v>
          </cell>
          <cell r="B462" t="str">
            <v>!Comissões de Fundos</v>
          </cell>
          <cell r="C462" t="str">
            <v xml:space="preserve">     UMC-PP</v>
          </cell>
          <cell r="D462" t="str">
            <v xml:space="preserve">     !Comissões de Fundos</v>
          </cell>
        </row>
        <row r="463">
          <cell r="A463" t="str">
            <v>PP1000</v>
          </cell>
          <cell r="B463" t="str">
            <v>!Distribuição</v>
          </cell>
          <cell r="C463" t="str">
            <v xml:space="preserve">          UMC-PP1000</v>
          </cell>
          <cell r="D463" t="str">
            <v xml:space="preserve">          !Distribuição</v>
          </cell>
          <cell r="F463" t="str">
            <v>Não Financeiras</v>
          </cell>
        </row>
        <row r="464">
          <cell r="A464" t="str">
            <v>PP2000</v>
          </cell>
          <cell r="B464" t="str">
            <v>!Subscrição</v>
          </cell>
          <cell r="C464" t="str">
            <v xml:space="preserve">          UMC-PP2000</v>
          </cell>
          <cell r="D464" t="str">
            <v xml:space="preserve">          !Subscrição</v>
          </cell>
          <cell r="F464" t="str">
            <v>Não Financeiras</v>
          </cell>
        </row>
        <row r="465">
          <cell r="A465" t="str">
            <v>PP3000</v>
          </cell>
          <cell r="B465" t="str">
            <v>!Resgate</v>
          </cell>
          <cell r="C465" t="str">
            <v xml:space="preserve">          UMC-PP3000</v>
          </cell>
          <cell r="D465" t="str">
            <v xml:space="preserve">          !Resgate</v>
          </cell>
          <cell r="F465" t="str">
            <v>Não Financeiras</v>
          </cell>
        </row>
        <row r="466">
          <cell r="A466" t="str">
            <v>PP4000</v>
          </cell>
          <cell r="B466" t="str">
            <v>!FU Outras</v>
          </cell>
          <cell r="C466" t="str">
            <v xml:space="preserve">          UMC-PP4000</v>
          </cell>
          <cell r="D466" t="str">
            <v xml:space="preserve">          !FU Outras</v>
          </cell>
          <cell r="F466" t="str">
            <v>Não Financeiras</v>
          </cell>
        </row>
        <row r="467">
          <cell r="A467" t="str">
            <v>QQ</v>
          </cell>
          <cell r="B467" t="str">
            <v>!Comissões Mandatos Gestão</v>
          </cell>
          <cell r="C467" t="str">
            <v xml:space="preserve">     UMC-QQ</v>
          </cell>
          <cell r="D467" t="str">
            <v xml:space="preserve">     !Comissões Mandatos Gestão</v>
          </cell>
        </row>
        <row r="468">
          <cell r="A468" t="str">
            <v>QQ0100</v>
          </cell>
          <cell r="B468" t="str">
            <v>!Mandatos Gestão</v>
          </cell>
          <cell r="C468" t="str">
            <v xml:space="preserve">          UMC-QQ0100</v>
          </cell>
          <cell r="D468" t="str">
            <v xml:space="preserve">          !Mandatos Gestão</v>
          </cell>
        </row>
        <row r="469">
          <cell r="A469" t="str">
            <v>QQ0110</v>
          </cell>
          <cell r="B469" t="str">
            <v>!Mandatos Gestão Cash</v>
          </cell>
          <cell r="C469" t="str">
            <v xml:space="preserve">               UMC-QQ0110</v>
          </cell>
          <cell r="D469" t="str">
            <v xml:space="preserve">               !Mandatos Gestão Cash</v>
          </cell>
          <cell r="F469" t="str">
            <v>Não Financeiras</v>
          </cell>
        </row>
        <row r="470">
          <cell r="A470" t="str">
            <v>QQ0120</v>
          </cell>
          <cell r="B470" t="str">
            <v>!Mandatos Gestão Periodif.</v>
          </cell>
          <cell r="C470" t="str">
            <v xml:space="preserve">               UMC-QQ0120</v>
          </cell>
          <cell r="D470" t="str">
            <v xml:space="preserve">               !Mandatos Gestão Periodif.</v>
          </cell>
          <cell r="F470" t="str">
            <v>Não Financeiras</v>
          </cell>
        </row>
        <row r="471">
          <cell r="A471" t="str">
            <v>QQ1000</v>
          </cell>
          <cell r="B471" t="str">
            <v>!Mandatos Gestão Outras</v>
          </cell>
          <cell r="C471" t="str">
            <v xml:space="preserve">          UMC-QQ1000</v>
          </cell>
          <cell r="D471" t="str">
            <v xml:space="preserve">          !Mandatos Gestão Outras</v>
          </cell>
          <cell r="F471" t="str">
            <v>Não Financeiras</v>
          </cell>
        </row>
        <row r="472">
          <cell r="A472" t="str">
            <v>SS</v>
          </cell>
          <cell r="B472" t="str">
            <v>!Comissões de Seguros</v>
          </cell>
          <cell r="C472" t="str">
            <v xml:space="preserve">     UMC-SS</v>
          </cell>
          <cell r="D472" t="str">
            <v xml:space="preserve">     !Comissões de Seguros</v>
          </cell>
        </row>
        <row r="473">
          <cell r="A473" t="str">
            <v>SS0000</v>
          </cell>
          <cell r="B473" t="str">
            <v>!SG-Seguros Financeiros</v>
          </cell>
          <cell r="C473" t="str">
            <v xml:space="preserve">          UMC-SS0000</v>
          </cell>
          <cell r="D473" t="str">
            <v xml:space="preserve">          !SG-Seguros Financeiros</v>
          </cell>
        </row>
        <row r="474">
          <cell r="A474" t="str">
            <v>SS0100</v>
          </cell>
          <cell r="B474" t="str">
            <v>!SG-Contabilidade Financ.</v>
          </cell>
          <cell r="C474" t="str">
            <v xml:space="preserve">               UMC-SS0100</v>
          </cell>
          <cell r="D474" t="str">
            <v xml:space="preserve">               !SG-Contabilidade Financ.</v>
          </cell>
          <cell r="F474" t="str">
            <v>Não Financeiras</v>
          </cell>
        </row>
        <row r="475">
          <cell r="A475" t="str">
            <v>SS0110</v>
          </cell>
          <cell r="B475" t="str">
            <v>!SG-Seg. Financeiros</v>
          </cell>
          <cell r="C475" t="str">
            <v xml:space="preserve">               UMC-SS0110</v>
          </cell>
          <cell r="D475" t="str">
            <v xml:space="preserve">               !SG-Seg. Financeiros</v>
          </cell>
        </row>
        <row r="476">
          <cell r="A476" t="str">
            <v>SS0111</v>
          </cell>
          <cell r="B476" t="str">
            <v>!SG-Seg Fin (running)</v>
          </cell>
          <cell r="C476" t="str">
            <v xml:space="preserve">                    UMC-SS0111</v>
          </cell>
          <cell r="D476" t="str">
            <v xml:space="preserve">                    !SG-Seg Fin (running)</v>
          </cell>
          <cell r="F476" t="str">
            <v>Não Financeiras</v>
          </cell>
        </row>
        <row r="477">
          <cell r="A477" t="str">
            <v>SS0112</v>
          </cell>
          <cell r="B477" t="str">
            <v>!SG-Seg Fin (up-front)</v>
          </cell>
          <cell r="C477" t="str">
            <v xml:space="preserve">                    UMC-SS0112</v>
          </cell>
          <cell r="D477" t="str">
            <v xml:space="preserve">                    !SG-Seg Fin (up-front)</v>
          </cell>
          <cell r="F477" t="str">
            <v>Não Financeiras</v>
          </cell>
        </row>
        <row r="478">
          <cell r="A478" t="str">
            <v>SS0120</v>
          </cell>
          <cell r="B478" t="str">
            <v>!SG-PPR</v>
          </cell>
          <cell r="C478" t="str">
            <v xml:space="preserve">               UMC-SS0120</v>
          </cell>
          <cell r="D478" t="str">
            <v xml:space="preserve">               !SG-PPR</v>
          </cell>
        </row>
        <row r="479">
          <cell r="A479" t="str">
            <v>SS0121</v>
          </cell>
          <cell r="B479" t="str">
            <v>!SG-PPR (running)</v>
          </cell>
          <cell r="C479" t="str">
            <v xml:space="preserve">                    UMC-SS0121</v>
          </cell>
          <cell r="D479" t="str">
            <v xml:space="preserve">                    !SG-PPR (running)</v>
          </cell>
          <cell r="F479" t="str">
            <v>Não Financeiras</v>
          </cell>
        </row>
        <row r="480">
          <cell r="A480" t="str">
            <v>SS0122</v>
          </cell>
          <cell r="B480" t="str">
            <v>!SG-PPR (up-front)</v>
          </cell>
          <cell r="C480" t="str">
            <v xml:space="preserve">                    UMC-SS0122</v>
          </cell>
          <cell r="D480" t="str">
            <v xml:space="preserve">                    !SG-PPR (up-front)</v>
          </cell>
          <cell r="F480" t="str">
            <v>Não Financeiras</v>
          </cell>
        </row>
        <row r="481">
          <cell r="A481" t="str">
            <v>SS2300</v>
          </cell>
          <cell r="B481" t="str">
            <v>!SG-PPR Prov. Matemáticas</v>
          </cell>
          <cell r="C481" t="str">
            <v xml:space="preserve">                    UMC-SS2300</v>
          </cell>
          <cell r="D481" t="str">
            <v xml:space="preserve">                    !SG-PPR Prov. Matemáticas</v>
          </cell>
          <cell r="F481" t="str">
            <v>Não Financeiras</v>
          </cell>
        </row>
        <row r="482">
          <cell r="A482" t="str">
            <v>SS2301</v>
          </cell>
          <cell r="B482" t="str">
            <v>!SG-PPR Resgates</v>
          </cell>
          <cell r="C482" t="str">
            <v xml:space="preserve">                    UMC-SS2301</v>
          </cell>
          <cell r="D482" t="str">
            <v xml:space="preserve">                    !SG-PPR Resgates</v>
          </cell>
          <cell r="F482" t="str">
            <v>Não Financeiras</v>
          </cell>
        </row>
        <row r="483">
          <cell r="A483" t="str">
            <v>SS2400</v>
          </cell>
          <cell r="B483" t="str">
            <v>!SG-Plano Genesis</v>
          </cell>
          <cell r="C483" t="str">
            <v xml:space="preserve">               UMC-SS2400</v>
          </cell>
          <cell r="D483" t="str">
            <v xml:space="preserve">               !SG-Plano Genesis</v>
          </cell>
          <cell r="F483" t="str">
            <v>Não Financeiras</v>
          </cell>
        </row>
        <row r="484">
          <cell r="A484" t="str">
            <v>SS2000</v>
          </cell>
          <cell r="B484" t="str">
            <v>!SG-Riscos</v>
          </cell>
          <cell r="C484" t="str">
            <v xml:space="preserve">          UMC-SS2000</v>
          </cell>
          <cell r="D484" t="str">
            <v xml:space="preserve">          !SG-Riscos</v>
          </cell>
        </row>
        <row r="485">
          <cell r="A485" t="str">
            <v>SS10XX</v>
          </cell>
          <cell r="B485" t="str">
            <v>!SG-Contabilidade Risco</v>
          </cell>
          <cell r="C485" t="str">
            <v xml:space="preserve">               UMC-SS10XX</v>
          </cell>
          <cell r="D485" t="str">
            <v xml:space="preserve">               !SG-Contabilidade Risco</v>
          </cell>
        </row>
        <row r="486">
          <cell r="A486" t="str">
            <v>SS1000</v>
          </cell>
          <cell r="B486" t="str">
            <v>!SG-Contabilidade / Risco</v>
          </cell>
          <cell r="C486" t="str">
            <v xml:space="preserve">                    UMC-SS1000</v>
          </cell>
          <cell r="D486" t="str">
            <v xml:space="preserve">                    !SG-Contabilidade / Risco</v>
          </cell>
          <cell r="F486" t="str">
            <v>Não Financeiras</v>
          </cell>
        </row>
        <row r="487">
          <cell r="A487" t="str">
            <v>SS1001</v>
          </cell>
          <cell r="B487" t="str">
            <v>!Marketing Digital Seguros</v>
          </cell>
          <cell r="C487" t="str">
            <v xml:space="preserve">                    UMC-SS1001</v>
          </cell>
          <cell r="D487" t="str">
            <v xml:space="preserve">                    !Marketing Digital Seguros</v>
          </cell>
        </row>
        <row r="488">
          <cell r="A488" t="str">
            <v>SS1002</v>
          </cell>
          <cell r="B488" t="str">
            <v>!Mark. Dig. Seguros Cash</v>
          </cell>
          <cell r="C488" t="str">
            <v xml:space="preserve">                         UMC-SS1002</v>
          </cell>
          <cell r="D488" t="str">
            <v xml:space="preserve">                         !Mark. Dig. Seguros Cash</v>
          </cell>
          <cell r="F488" t="str">
            <v>Não Financeiras</v>
          </cell>
        </row>
        <row r="489">
          <cell r="A489" t="str">
            <v>SS1003</v>
          </cell>
          <cell r="B489" t="str">
            <v>!Mark. Dig. Seguros Period</v>
          </cell>
          <cell r="C489" t="str">
            <v xml:space="preserve">                         UMC-SS1003</v>
          </cell>
          <cell r="D489" t="str">
            <v xml:space="preserve">                         !Mark. Dig. Seguros Period</v>
          </cell>
          <cell r="F489" t="str">
            <v>Não Financeiras</v>
          </cell>
        </row>
        <row r="490">
          <cell r="A490" t="str">
            <v>SS1005</v>
          </cell>
          <cell r="B490" t="str">
            <v>!ICV's Seguros</v>
          </cell>
          <cell r="C490" t="str">
            <v xml:space="preserve">                    UMC-SS1005</v>
          </cell>
          <cell r="D490" t="str">
            <v xml:space="preserve">                    !ICV's Seguros</v>
          </cell>
          <cell r="F490" t="str">
            <v>Não Financeiras</v>
          </cell>
        </row>
        <row r="491">
          <cell r="A491" t="str">
            <v>SS2005</v>
          </cell>
          <cell r="B491" t="str">
            <v>!SG-Seguros Vinculados</v>
          </cell>
          <cell r="C491" t="str">
            <v xml:space="preserve">               UMC-SS2005</v>
          </cell>
          <cell r="D491" t="str">
            <v xml:space="preserve">               !SG-Seguros Vinculados</v>
          </cell>
        </row>
        <row r="492">
          <cell r="A492" t="str">
            <v>SS2010</v>
          </cell>
          <cell r="B492" t="str">
            <v>!SG-Associado Créd.Habit.</v>
          </cell>
          <cell r="C492" t="str">
            <v xml:space="preserve">                    UMC-SS2010</v>
          </cell>
          <cell r="D492" t="str">
            <v xml:space="preserve">                    !SG-Associado Créd.Habit.</v>
          </cell>
        </row>
        <row r="493">
          <cell r="A493" t="str">
            <v>SS2100</v>
          </cell>
          <cell r="B493" t="str">
            <v>!SG-CH-Vida</v>
          </cell>
          <cell r="C493" t="str">
            <v xml:space="preserve">                         UMC-SS2100</v>
          </cell>
          <cell r="D493" t="str">
            <v xml:space="preserve">                         !SG-CH-Vida</v>
          </cell>
          <cell r="F493" t="str">
            <v>Não Financeiras</v>
          </cell>
        </row>
        <row r="494">
          <cell r="A494" t="str">
            <v>SS2101</v>
          </cell>
          <cell r="B494" t="str">
            <v>!SG-CH-Desemprego</v>
          </cell>
          <cell r="C494" t="str">
            <v xml:space="preserve">                         UMC-SS2101</v>
          </cell>
          <cell r="D494" t="str">
            <v xml:space="preserve">                         !SG-CH-Desemprego</v>
          </cell>
          <cell r="F494" t="str">
            <v>Não Financeiras</v>
          </cell>
        </row>
        <row r="495">
          <cell r="A495" t="str">
            <v>SS2102</v>
          </cell>
          <cell r="B495" t="str">
            <v>!SG-CH-Vida Prémio Único</v>
          </cell>
          <cell r="C495" t="str">
            <v xml:space="preserve">                         UMC-SS2102</v>
          </cell>
          <cell r="D495" t="str">
            <v xml:space="preserve">                         !SG-CH-Vida Prémio Único</v>
          </cell>
          <cell r="F495" t="str">
            <v>Não Financeiras</v>
          </cell>
        </row>
        <row r="496">
          <cell r="A496" t="str">
            <v>SS2801</v>
          </cell>
          <cell r="B496" t="str">
            <v>!SG-Multiriscos-Habitação</v>
          </cell>
          <cell r="C496" t="str">
            <v xml:space="preserve">                         UMC-SS2801</v>
          </cell>
          <cell r="D496" t="str">
            <v xml:space="preserve">                         !SG-Multiriscos-Habitação</v>
          </cell>
        </row>
        <row r="497">
          <cell r="A497" t="str">
            <v>SS280A</v>
          </cell>
          <cell r="B497" t="str">
            <v>!Multi.Habitação Com.Base</v>
          </cell>
          <cell r="C497" t="str">
            <v xml:space="preserve">                              UMC-SS280A</v>
          </cell>
          <cell r="D497" t="str">
            <v xml:space="preserve">                              !Multi.Habitação Com.Base</v>
          </cell>
          <cell r="F497" t="str">
            <v>Não Financeiras</v>
          </cell>
        </row>
        <row r="498">
          <cell r="A498" t="str">
            <v>SS280B</v>
          </cell>
          <cell r="B498" t="str">
            <v>!Multi.Habitação Com.Extra</v>
          </cell>
          <cell r="C498" t="str">
            <v xml:space="preserve">                              UMC-SS280B</v>
          </cell>
          <cell r="D498" t="str">
            <v xml:space="preserve">                              !Multi.Habitação Com.Extra</v>
          </cell>
          <cell r="F498" t="str">
            <v>Não Financeiras</v>
          </cell>
        </row>
        <row r="499">
          <cell r="A499" t="str">
            <v>SS2200</v>
          </cell>
          <cell r="B499" t="str">
            <v>!SG-Associado Créd.Pessoal</v>
          </cell>
          <cell r="C499" t="str">
            <v xml:space="preserve">                    UMC-SS2200</v>
          </cell>
          <cell r="D499" t="str">
            <v xml:space="preserve">                    !SG-Associado Créd.Pessoal</v>
          </cell>
        </row>
        <row r="500">
          <cell r="A500" t="str">
            <v>SS2210</v>
          </cell>
          <cell r="B500" t="str">
            <v>!SG-Créd.Pessoal-Vida</v>
          </cell>
          <cell r="C500" t="str">
            <v xml:space="preserve">                         UMC-SS2210</v>
          </cell>
          <cell r="D500" t="str">
            <v xml:space="preserve">                         !SG-Créd.Pessoal-Vida</v>
          </cell>
          <cell r="F500" t="str">
            <v>Não Financeiras</v>
          </cell>
        </row>
        <row r="501">
          <cell r="A501" t="str">
            <v>SS2220</v>
          </cell>
          <cell r="B501" t="str">
            <v>!SG-Crd.Pessoal-Desemprego</v>
          </cell>
          <cell r="C501" t="str">
            <v xml:space="preserve">                         UMC-SS2220</v>
          </cell>
          <cell r="D501" t="str">
            <v xml:space="preserve">                         !SG-Crd.Pessoal-Desemprego</v>
          </cell>
          <cell r="F501" t="str">
            <v>Não Financeiras</v>
          </cell>
        </row>
        <row r="502">
          <cell r="A502" t="str">
            <v>SS2230</v>
          </cell>
          <cell r="B502" t="str">
            <v>!SG-Créd.Pessoal (anul)</v>
          </cell>
          <cell r="C502" t="str">
            <v xml:space="preserve">                         UMC-SS2230</v>
          </cell>
          <cell r="D502" t="str">
            <v xml:space="preserve">                         !SG-Créd.Pessoal (anul)</v>
          </cell>
        </row>
        <row r="503">
          <cell r="A503" t="str">
            <v>SS2231</v>
          </cell>
          <cell r="B503" t="str">
            <v>!SG-Créd.Pess-Vida (anul)</v>
          </cell>
          <cell r="C503" t="str">
            <v xml:space="preserve">                              UMC-SS2231</v>
          </cell>
          <cell r="D503" t="str">
            <v xml:space="preserve">                              !SG-Créd.Pess-Vida (anul)</v>
          </cell>
          <cell r="F503" t="str">
            <v>Não Financeiras</v>
          </cell>
        </row>
        <row r="504">
          <cell r="A504" t="str">
            <v>SS2232</v>
          </cell>
          <cell r="B504" t="str">
            <v>!SG-Crd.Pess-Desemp.(anul)</v>
          </cell>
          <cell r="C504" t="str">
            <v xml:space="preserve">                              UMC-SS2232</v>
          </cell>
          <cell r="D504" t="str">
            <v xml:space="preserve">                              !SG-Crd.Pess-Desemp.(anul)</v>
          </cell>
          <cell r="F504" t="str">
            <v>Não Financeiras</v>
          </cell>
        </row>
        <row r="505">
          <cell r="A505" t="str">
            <v>SS2240</v>
          </cell>
          <cell r="B505" t="str">
            <v>!SG-Associado Créd.Empresa</v>
          </cell>
          <cell r="C505" t="str">
            <v xml:space="preserve">                    UMC-SS2240</v>
          </cell>
          <cell r="D505" t="str">
            <v xml:space="preserve">                    !SG-Associado Créd.Empresa</v>
          </cell>
        </row>
        <row r="506">
          <cell r="A506" t="str">
            <v>SS2241</v>
          </cell>
          <cell r="B506" t="str">
            <v>!SG-Empresas Mútuos</v>
          </cell>
          <cell r="C506" t="str">
            <v xml:space="preserve">                         UMC-SS2241</v>
          </cell>
          <cell r="D506" t="str">
            <v xml:space="preserve">                         !SG-Empresas Mútuos</v>
          </cell>
          <cell r="F506" t="str">
            <v>Não Financeiras</v>
          </cell>
        </row>
        <row r="507">
          <cell r="A507" t="str">
            <v>SS2242</v>
          </cell>
          <cell r="B507" t="str">
            <v>!SG-Empr Contas Correntes</v>
          </cell>
          <cell r="C507" t="str">
            <v xml:space="preserve">                         UMC-SS2242</v>
          </cell>
          <cell r="D507" t="str">
            <v xml:space="preserve">                         !SG-Empr Contas Correntes</v>
          </cell>
          <cell r="F507" t="str">
            <v>Não Financeiras</v>
          </cell>
        </row>
        <row r="508">
          <cell r="A508" t="str">
            <v>SS2260</v>
          </cell>
          <cell r="B508" t="str">
            <v>!SG-Associado Leasing</v>
          </cell>
          <cell r="C508" t="str">
            <v xml:space="preserve">                    UMC-SS2260</v>
          </cell>
          <cell r="D508" t="str">
            <v xml:space="preserve">                    !SG-Associado Leasing</v>
          </cell>
        </row>
        <row r="509">
          <cell r="A509" t="str">
            <v>SS2243</v>
          </cell>
          <cell r="B509" t="str">
            <v>!Empr Leasing Mobiliário</v>
          </cell>
          <cell r="C509" t="str">
            <v xml:space="preserve">                         UMC-SS2243</v>
          </cell>
          <cell r="D509" t="str">
            <v xml:space="preserve">                         !Empr Leasing Mobiliário</v>
          </cell>
          <cell r="F509" t="str">
            <v>Não Financeiras</v>
          </cell>
        </row>
        <row r="510">
          <cell r="A510" t="str">
            <v>SS2261</v>
          </cell>
          <cell r="B510" t="str">
            <v>!Leasing Auto Empresa</v>
          </cell>
          <cell r="C510" t="str">
            <v xml:space="preserve">                         UMC-SS2261</v>
          </cell>
          <cell r="D510" t="str">
            <v xml:space="preserve">                         !Leasing Auto Empresa</v>
          </cell>
          <cell r="F510" t="str">
            <v>Não Financeiras</v>
          </cell>
        </row>
        <row r="511">
          <cell r="A511" t="str">
            <v>SS2262</v>
          </cell>
          <cell r="B511" t="str">
            <v>!Leasing Auto Particulares</v>
          </cell>
          <cell r="C511" t="str">
            <v xml:space="preserve">                         UMC-SS2262</v>
          </cell>
          <cell r="D511" t="str">
            <v xml:space="preserve">                         !Leasing Auto Particulares</v>
          </cell>
          <cell r="F511" t="str">
            <v>Não Financeiras</v>
          </cell>
        </row>
        <row r="512">
          <cell r="A512" t="str">
            <v>SS2310</v>
          </cell>
          <cell r="B512" t="str">
            <v>!SG-Outros Seguros</v>
          </cell>
          <cell r="C512" t="str">
            <v xml:space="preserve">               UMC-SS2310</v>
          </cell>
          <cell r="D512" t="str">
            <v xml:space="preserve">               !SG-Outros Seguros</v>
          </cell>
        </row>
        <row r="513">
          <cell r="A513" t="str">
            <v>SS2250</v>
          </cell>
          <cell r="B513" t="str">
            <v>!PS Outros Seg. Associados</v>
          </cell>
          <cell r="C513" t="str">
            <v xml:space="preserve">                    UMC-SS2250</v>
          </cell>
          <cell r="D513" t="str">
            <v xml:space="preserve">                    !PS Outros Seg. Associados</v>
          </cell>
          <cell r="F513" t="str">
            <v>Não Financeiras</v>
          </cell>
        </row>
        <row r="514">
          <cell r="A514" t="str">
            <v>SS2600</v>
          </cell>
          <cell r="B514" t="str">
            <v>!SG-Generalli</v>
          </cell>
          <cell r="C514" t="str">
            <v xml:space="preserve">                    UMC-SS2600</v>
          </cell>
          <cell r="D514" t="str">
            <v xml:space="preserve">                    !SG-Generalli</v>
          </cell>
          <cell r="F514" t="str">
            <v>Não Financeiras</v>
          </cell>
        </row>
        <row r="515">
          <cell r="A515" t="str">
            <v>SS2500</v>
          </cell>
          <cell r="B515" t="str">
            <v>!SG-Seguros Autónomos</v>
          </cell>
          <cell r="C515" t="str">
            <v xml:space="preserve">               UMC-SS2500</v>
          </cell>
          <cell r="D515" t="str">
            <v xml:space="preserve">               !SG-Seguros Autónomos</v>
          </cell>
        </row>
        <row r="516">
          <cell r="A516" t="str">
            <v>SS2501</v>
          </cell>
          <cell r="B516" t="str">
            <v>!SG-Seguros Protecção Vida</v>
          </cell>
          <cell r="C516" t="str">
            <v xml:space="preserve">                    UMC-SS2501</v>
          </cell>
          <cell r="D516" t="str">
            <v xml:space="preserve">                    !SG-Seguros Protecção Vida</v>
          </cell>
        </row>
        <row r="517">
          <cell r="A517" t="str">
            <v>SS2510</v>
          </cell>
          <cell r="B517" t="str">
            <v>!SG-Pl.Protecção Vida</v>
          </cell>
          <cell r="C517" t="str">
            <v xml:space="preserve">                         UMC-SS2510</v>
          </cell>
          <cell r="D517" t="str">
            <v xml:space="preserve">                         !SG-Pl.Protecção Vida</v>
          </cell>
          <cell r="F517" t="str">
            <v>Não Financeiras</v>
          </cell>
        </row>
        <row r="518">
          <cell r="A518" t="str">
            <v>SS2530</v>
          </cell>
          <cell r="B518" t="str">
            <v>!SG-Lifecorporate</v>
          </cell>
          <cell r="C518" t="str">
            <v xml:space="preserve">                         UMC-SS2530</v>
          </cell>
          <cell r="D518" t="str">
            <v xml:space="preserve">                         !SG-Lifecorporate</v>
          </cell>
          <cell r="F518" t="str">
            <v>Não Financeiras</v>
          </cell>
        </row>
        <row r="519">
          <cell r="A519" t="str">
            <v>SS2502</v>
          </cell>
          <cell r="B519" t="str">
            <v>!SG-Seg. Protecção Saúde</v>
          </cell>
          <cell r="C519" t="str">
            <v xml:space="preserve">                    UMC-SS2502</v>
          </cell>
          <cell r="D519" t="str">
            <v xml:space="preserve">                    !SG-Seg. Protecção Saúde</v>
          </cell>
        </row>
        <row r="520">
          <cell r="A520" t="str">
            <v>SS2540</v>
          </cell>
          <cell r="B520" t="str">
            <v>!SG-Pl.Protecção Viva Mais</v>
          </cell>
          <cell r="C520" t="str">
            <v xml:space="preserve">                         UMC-SS2540</v>
          </cell>
          <cell r="D520" t="str">
            <v xml:space="preserve">                         !SG-Pl.Protecção Viva Mais</v>
          </cell>
          <cell r="F520" t="str">
            <v>Não Financeiras</v>
          </cell>
        </row>
        <row r="521">
          <cell r="A521" t="str">
            <v>SS2550</v>
          </cell>
          <cell r="B521" t="str">
            <v>!SG-Pl.Protecção Safecare</v>
          </cell>
          <cell r="C521" t="str">
            <v xml:space="preserve">                         UMC-SS2550</v>
          </cell>
          <cell r="D521" t="str">
            <v xml:space="preserve">                         !SG-Pl.Protecção Safecare</v>
          </cell>
          <cell r="F521" t="str">
            <v>Não Financeiras</v>
          </cell>
        </row>
        <row r="522">
          <cell r="A522" t="str">
            <v>SS2555</v>
          </cell>
          <cell r="B522" t="str">
            <v>!SG-Saúde Tailor Made</v>
          </cell>
          <cell r="C522" t="str">
            <v xml:space="preserve">                         UMC-SS2555</v>
          </cell>
          <cell r="D522" t="str">
            <v xml:space="preserve">                         !SG-Saúde Tailor Made</v>
          </cell>
          <cell r="F522" t="str">
            <v>Não Financeiras</v>
          </cell>
        </row>
        <row r="523">
          <cell r="A523" t="str">
            <v>SS2700</v>
          </cell>
          <cell r="B523" t="str">
            <v>!SG-Saúde AXA</v>
          </cell>
          <cell r="C523" t="str">
            <v xml:space="preserve">                         UMC-SS2700</v>
          </cell>
          <cell r="D523" t="str">
            <v xml:space="preserve">                         !SG-Saúde AXA</v>
          </cell>
          <cell r="F523" t="str">
            <v>Não Financeiras</v>
          </cell>
        </row>
        <row r="524">
          <cell r="A524" t="str">
            <v>SS2710</v>
          </cell>
          <cell r="B524" t="str">
            <v>!SG-Saúde OneCare</v>
          </cell>
          <cell r="C524" t="str">
            <v xml:space="preserve">                         UMC-SS2710</v>
          </cell>
          <cell r="D524" t="str">
            <v xml:space="preserve">                         !SG-Saúde OneCare</v>
          </cell>
          <cell r="F524" t="str">
            <v>Não Financeiras</v>
          </cell>
        </row>
        <row r="525">
          <cell r="A525" t="str">
            <v>SS2711</v>
          </cell>
          <cell r="B525" t="str">
            <v>!SG-Saúde CUF Santander</v>
          </cell>
          <cell r="C525" t="str">
            <v xml:space="preserve">                         UMC-SS2711</v>
          </cell>
          <cell r="D525" t="str">
            <v xml:space="preserve">                         !SG-Saúde CUF Santander</v>
          </cell>
          <cell r="F525" t="str">
            <v>Não Financeiras</v>
          </cell>
        </row>
        <row r="526">
          <cell r="A526" t="str">
            <v>SS2520</v>
          </cell>
          <cell r="B526" t="str">
            <v>!SG-Pl.Protecção Ordenado</v>
          </cell>
          <cell r="C526" t="str">
            <v xml:space="preserve">                    UMC-SS2520</v>
          </cell>
          <cell r="D526" t="str">
            <v xml:space="preserve">                    !SG-Pl.Protecção Ordenado</v>
          </cell>
          <cell r="F526" t="str">
            <v>Não Financeiras</v>
          </cell>
        </row>
        <row r="527">
          <cell r="A527" t="str">
            <v>SS2525</v>
          </cell>
          <cell r="B527" t="str">
            <v>!SG-Acidentes</v>
          </cell>
          <cell r="C527" t="str">
            <v xml:space="preserve">                    UMC-SS2525</v>
          </cell>
          <cell r="D527" t="str">
            <v xml:space="preserve">                    !SG-Acidentes</v>
          </cell>
        </row>
        <row r="528">
          <cell r="A528" t="str">
            <v>SS2560</v>
          </cell>
          <cell r="B528" t="str">
            <v>!SG-Acidentes Pessoais</v>
          </cell>
          <cell r="C528" t="str">
            <v xml:space="preserve">                         UMC-SS2560</v>
          </cell>
          <cell r="D528" t="str">
            <v xml:space="preserve">                         !SG-Acidentes Pessoais</v>
          </cell>
          <cell r="F528" t="str">
            <v>Não Financeiras</v>
          </cell>
        </row>
        <row r="529">
          <cell r="A529" t="str">
            <v>SS2590</v>
          </cell>
          <cell r="B529" t="str">
            <v>!Protecção Serv.Domésticos</v>
          </cell>
          <cell r="C529" t="str">
            <v xml:space="preserve">                         UMC-SS2590</v>
          </cell>
          <cell r="D529" t="str">
            <v xml:space="preserve">                         !Protecção Serv.Domésticos</v>
          </cell>
          <cell r="F529" t="str">
            <v>Não Financeiras</v>
          </cell>
        </row>
        <row r="530">
          <cell r="A530" t="str">
            <v>SS2591</v>
          </cell>
          <cell r="B530" t="str">
            <v>!Protecção Acid. Trabalho</v>
          </cell>
          <cell r="C530" t="str">
            <v xml:space="preserve">                         UMC-SS2591</v>
          </cell>
          <cell r="D530" t="str">
            <v xml:space="preserve">                         !Protecção Acid. Trabalho</v>
          </cell>
          <cell r="F530" t="str">
            <v>Não Financeiras</v>
          </cell>
        </row>
        <row r="531">
          <cell r="A531" t="str">
            <v>SS2570</v>
          </cell>
          <cell r="B531" t="str">
            <v>!SG-Pack Seguros</v>
          </cell>
          <cell r="C531" t="str">
            <v xml:space="preserve">                    UMC-SS2570</v>
          </cell>
          <cell r="D531" t="str">
            <v xml:space="preserve">                    !SG-Pack Seguros</v>
          </cell>
          <cell r="F531" t="str">
            <v>Não Financeiras</v>
          </cell>
        </row>
        <row r="532">
          <cell r="A532" t="str">
            <v>SS2580</v>
          </cell>
          <cell r="B532" t="str">
            <v>!SG-Pl.Protecção Automóvel</v>
          </cell>
          <cell r="C532" t="str">
            <v xml:space="preserve">                    UMC-SS2580</v>
          </cell>
          <cell r="D532" t="str">
            <v xml:space="preserve">                    !SG-Pl.Protecção Automóvel</v>
          </cell>
          <cell r="F532" t="str">
            <v>Não Financeiras</v>
          </cell>
        </row>
        <row r="533">
          <cell r="A533" t="str">
            <v>SS2800</v>
          </cell>
          <cell r="B533" t="str">
            <v>!SG-Multiriscos</v>
          </cell>
          <cell r="C533" t="str">
            <v xml:space="preserve">                    UMC-SS2800</v>
          </cell>
          <cell r="D533" t="str">
            <v xml:space="preserve">                    !SG-Multiriscos</v>
          </cell>
        </row>
        <row r="534">
          <cell r="A534" t="str">
            <v>SS2802</v>
          </cell>
          <cell r="B534" t="str">
            <v>!SG-Multiris-Protecção Lar</v>
          </cell>
          <cell r="C534" t="str">
            <v xml:space="preserve">                         UMC-SS2802</v>
          </cell>
          <cell r="D534" t="str">
            <v xml:space="preserve">                         !SG-Multiris-Protecção Lar</v>
          </cell>
        </row>
        <row r="535">
          <cell r="A535" t="str">
            <v>SS280C</v>
          </cell>
          <cell r="B535" t="str">
            <v>!Multi.Prot.Lar Com.Base</v>
          </cell>
          <cell r="C535" t="str">
            <v xml:space="preserve">                              UMC-SS280C</v>
          </cell>
          <cell r="D535" t="str">
            <v xml:space="preserve">                              !Multi.Prot.Lar Com.Base</v>
          </cell>
          <cell r="F535" t="str">
            <v>Não Financeiras</v>
          </cell>
        </row>
        <row r="536">
          <cell r="A536" t="str">
            <v>SS280D</v>
          </cell>
          <cell r="B536" t="str">
            <v>!Multi.Prot.Lar Com.Extra</v>
          </cell>
          <cell r="C536" t="str">
            <v xml:space="preserve">                              UMC-SS280D</v>
          </cell>
          <cell r="D536" t="str">
            <v xml:space="preserve">                              !Multi.Prot.Lar Com.Extra</v>
          </cell>
          <cell r="F536" t="str">
            <v>Não Financeiras</v>
          </cell>
        </row>
        <row r="537">
          <cell r="A537" t="str">
            <v>SS2810</v>
          </cell>
          <cell r="B537" t="str">
            <v>!Multiriscos Comércio</v>
          </cell>
          <cell r="C537" t="str">
            <v xml:space="preserve">                         UMC-SS2810</v>
          </cell>
          <cell r="D537" t="str">
            <v xml:space="preserve">                         !Multiriscos Comércio</v>
          </cell>
          <cell r="F537" t="str">
            <v>Não Financeiras</v>
          </cell>
        </row>
        <row r="538">
          <cell r="A538" t="str">
            <v>SS291A</v>
          </cell>
          <cell r="B538" t="str">
            <v>!Ramo Responsab.Civil</v>
          </cell>
          <cell r="C538" t="str">
            <v xml:space="preserve">                    UMC-SS291A</v>
          </cell>
          <cell r="D538" t="str">
            <v xml:space="preserve">                    !Ramo Responsab.Civil</v>
          </cell>
        </row>
        <row r="539">
          <cell r="A539" t="str">
            <v>SS2910</v>
          </cell>
          <cell r="B539" t="str">
            <v>!Responsabilidade Civil</v>
          </cell>
          <cell r="C539" t="str">
            <v xml:space="preserve">                         UMC-SS2910</v>
          </cell>
          <cell r="D539" t="str">
            <v xml:space="preserve">                         !Responsabilidade Civil</v>
          </cell>
          <cell r="F539" t="str">
            <v>Não Financeiras</v>
          </cell>
        </row>
        <row r="540">
          <cell r="A540" t="str">
            <v>SS2911</v>
          </cell>
          <cell r="B540" t="str">
            <v>!Cyber Empresas</v>
          </cell>
          <cell r="C540" t="str">
            <v xml:space="preserve">                         UMC-SS2911</v>
          </cell>
          <cell r="D540" t="str">
            <v xml:space="preserve">                         !Cyber Empresas</v>
          </cell>
          <cell r="F540" t="str">
            <v>Não Financeiras</v>
          </cell>
        </row>
        <row r="541">
          <cell r="A541" t="str">
            <v>SS2930</v>
          </cell>
          <cell r="B541" t="str">
            <v>!Chave de Mediação</v>
          </cell>
          <cell r="C541" t="str">
            <v xml:space="preserve">                    UMC-SS2930</v>
          </cell>
          <cell r="D541" t="str">
            <v xml:space="preserve">                    !Chave de Mediação</v>
          </cell>
          <cell r="F541" t="str">
            <v>Não Financeiras</v>
          </cell>
        </row>
        <row r="542">
          <cell r="A542" t="str">
            <v>SS295A</v>
          </cell>
          <cell r="B542" t="str">
            <v>!Proteção Broker's/AON</v>
          </cell>
          <cell r="C542" t="str">
            <v xml:space="preserve">                    UMC-SS295A</v>
          </cell>
          <cell r="D542" t="str">
            <v xml:space="preserve">                    !Proteção Broker's/AON</v>
          </cell>
        </row>
        <row r="543">
          <cell r="A543" t="str">
            <v>SS2950</v>
          </cell>
          <cell r="B543" t="str">
            <v>!Proteção Empresas</v>
          </cell>
          <cell r="C543" t="str">
            <v xml:space="preserve">                         UMC-SS2950</v>
          </cell>
          <cell r="D543" t="str">
            <v xml:space="preserve">                         !Proteção Empresas</v>
          </cell>
          <cell r="F543" t="str">
            <v>Não Financeiras</v>
          </cell>
        </row>
        <row r="544">
          <cell r="A544" t="str">
            <v>SS2951</v>
          </cell>
          <cell r="B544" t="str">
            <v>!Proteção Private</v>
          </cell>
          <cell r="C544" t="str">
            <v xml:space="preserve">                         UMC-SS2951</v>
          </cell>
          <cell r="D544" t="str">
            <v xml:space="preserve">                         !Proteção Private</v>
          </cell>
          <cell r="F544" t="str">
            <v>Não Financeiras</v>
          </cell>
        </row>
        <row r="545">
          <cell r="A545" t="str">
            <v>SS2952</v>
          </cell>
          <cell r="B545" t="str">
            <v>!AON Comissão Consultoria</v>
          </cell>
          <cell r="C545" t="str">
            <v xml:space="preserve">                         UMC-SS2952</v>
          </cell>
          <cell r="D545" t="str">
            <v xml:space="preserve">                         !AON Comissão Consultoria</v>
          </cell>
          <cell r="F545" t="str">
            <v>Não Financeiras</v>
          </cell>
        </row>
        <row r="546">
          <cell r="A546" t="str">
            <v>SS2999</v>
          </cell>
          <cell r="B546" t="str">
            <v>!Vida Autónomos/Associados</v>
          </cell>
          <cell r="C546" t="str">
            <v xml:space="preserve">                    UMC-SS2999</v>
          </cell>
          <cell r="D546" t="str">
            <v xml:space="preserve">                    !Vida Autónomos/Associados</v>
          </cell>
          <cell r="F546" t="str">
            <v>Não Financeiras</v>
          </cell>
        </row>
        <row r="547">
          <cell r="A547" t="str">
            <v>SX1000</v>
          </cell>
          <cell r="B547" t="str">
            <v>!Comissões Fundo Pensões</v>
          </cell>
          <cell r="C547" t="str">
            <v xml:space="preserve">     UMC-SX1000</v>
          </cell>
          <cell r="D547" t="str">
            <v xml:space="preserve">     !Comissões Fundo Pensões</v>
          </cell>
        </row>
        <row r="548">
          <cell r="A548" t="str">
            <v>SX1100</v>
          </cell>
          <cell r="B548" t="str">
            <v>!Contabilidade F.Pensões</v>
          </cell>
          <cell r="C548" t="str">
            <v xml:space="preserve">          UMC-SX1100</v>
          </cell>
          <cell r="D548" t="str">
            <v xml:space="preserve">          !Contabilidade F.Pensões</v>
          </cell>
          <cell r="F548" t="str">
            <v>Não Financeiras</v>
          </cell>
        </row>
        <row r="549">
          <cell r="A549" t="str">
            <v>SX1200</v>
          </cell>
          <cell r="B549" t="str">
            <v>!Fundo de Pensões</v>
          </cell>
          <cell r="C549" t="str">
            <v xml:space="preserve">          UMC-SX1200</v>
          </cell>
          <cell r="D549" t="str">
            <v xml:space="preserve">          !Fundo de Pensões</v>
          </cell>
          <cell r="F549" t="str">
            <v>Não Financeiras</v>
          </cell>
        </row>
        <row r="550">
          <cell r="A550" t="str">
            <v>TT</v>
          </cell>
          <cell r="B550" t="str">
            <v>!Outras Comissões</v>
          </cell>
          <cell r="C550" t="str">
            <v xml:space="preserve">     UMC-TT</v>
          </cell>
          <cell r="D550" t="str">
            <v xml:space="preserve">     !Outras Comissões</v>
          </cell>
        </row>
        <row r="551">
          <cell r="A551" t="str">
            <v>TT1</v>
          </cell>
          <cell r="B551" t="str">
            <v>!Com.Comunicação/Expedient</v>
          </cell>
          <cell r="C551" t="str">
            <v xml:space="preserve">          UMC-TT1</v>
          </cell>
          <cell r="D551" t="str">
            <v xml:space="preserve">          !Com.Comunicação/Expedient</v>
          </cell>
        </row>
        <row r="552">
          <cell r="A552" t="str">
            <v>TT1000</v>
          </cell>
          <cell r="B552" t="str">
            <v>!Portes</v>
          </cell>
          <cell r="C552" t="str">
            <v xml:space="preserve">               UMC-TT1000</v>
          </cell>
          <cell r="D552" t="str">
            <v xml:space="preserve">               !Portes</v>
          </cell>
          <cell r="F552" t="str">
            <v>Não Financeiras</v>
          </cell>
        </row>
        <row r="553">
          <cell r="A553" t="str">
            <v>TT1100</v>
          </cell>
          <cell r="B553" t="str">
            <v>!Expediente</v>
          </cell>
          <cell r="C553" t="str">
            <v xml:space="preserve">               UMC-TT1100</v>
          </cell>
          <cell r="D553" t="str">
            <v xml:space="preserve">               !Expediente</v>
          </cell>
          <cell r="F553" t="str">
            <v>Não Financeiras</v>
          </cell>
        </row>
        <row r="554">
          <cell r="A554" t="str">
            <v>TT2100</v>
          </cell>
          <cell r="B554" t="str">
            <v>!Prod.Não Financeiros</v>
          </cell>
          <cell r="C554" t="str">
            <v xml:space="preserve">          UMC-TT2100</v>
          </cell>
          <cell r="D554" t="str">
            <v xml:space="preserve">          !Prod.Não Financeiros</v>
          </cell>
          <cell r="F554" t="str">
            <v>Não Financeiras</v>
          </cell>
        </row>
        <row r="555">
          <cell r="A555" t="str">
            <v>TT2200</v>
          </cell>
          <cell r="B555" t="str">
            <v>!Custos/Prov.Balcões</v>
          </cell>
          <cell r="C555" t="str">
            <v xml:space="preserve">          UMC-TT2200</v>
          </cell>
          <cell r="D555" t="str">
            <v xml:space="preserve">          !Custos/Prov.Balcões</v>
          </cell>
          <cell r="F555" t="str">
            <v>Não Financeiras</v>
          </cell>
        </row>
        <row r="556">
          <cell r="A556" t="str">
            <v>TT3100</v>
          </cell>
          <cell r="B556" t="str">
            <v>!ANA</v>
          </cell>
          <cell r="C556" t="str">
            <v xml:space="preserve">          UMC-TT3100</v>
          </cell>
          <cell r="D556" t="str">
            <v xml:space="preserve">          !ANA</v>
          </cell>
          <cell r="F556" t="str">
            <v>Não Financeiras</v>
          </cell>
        </row>
        <row r="557">
          <cell r="A557" t="str">
            <v>TT3200</v>
          </cell>
          <cell r="B557" t="str">
            <v>!Promotores</v>
          </cell>
          <cell r="C557" t="str">
            <v xml:space="preserve">          UMC-TT3200</v>
          </cell>
          <cell r="D557" t="str">
            <v xml:space="preserve">          !Promotores</v>
          </cell>
          <cell r="F557" t="str">
            <v>Mista (NFin)</v>
          </cell>
        </row>
        <row r="558">
          <cell r="A558" t="str">
            <v>TT4000</v>
          </cell>
          <cell r="B558" t="str">
            <v>!Agentes-Internacional</v>
          </cell>
          <cell r="C558" t="str">
            <v xml:space="preserve">          UMC-TT4000</v>
          </cell>
          <cell r="D558" t="str">
            <v xml:space="preserve">          !Agentes-Internacional</v>
          </cell>
          <cell r="F558" t="str">
            <v>Não Financeiras</v>
          </cell>
        </row>
        <row r="559">
          <cell r="A559" t="str">
            <v>TT5000</v>
          </cell>
          <cell r="B559" t="str">
            <v>!Escrit.no Estrangeiro</v>
          </cell>
          <cell r="C559" t="str">
            <v xml:space="preserve">          UMC-TT5000</v>
          </cell>
          <cell r="D559" t="str">
            <v xml:space="preserve">          !Escrit.no Estrangeiro</v>
          </cell>
          <cell r="F559" t="str">
            <v>Não Financeiras</v>
          </cell>
        </row>
        <row r="560">
          <cell r="A560" t="str">
            <v>TT5001</v>
          </cell>
          <cell r="B560" t="str">
            <v>!Diversas</v>
          </cell>
          <cell r="C560" t="str">
            <v xml:space="preserve">          UMC-TT5001</v>
          </cell>
          <cell r="D560" t="str">
            <v xml:space="preserve">          !Diversas</v>
          </cell>
        </row>
        <row r="561">
          <cell r="A561" t="str">
            <v>TT5100</v>
          </cell>
          <cell r="B561" t="str">
            <v>!Outr.Comiss.Diversas</v>
          </cell>
          <cell r="C561" t="str">
            <v xml:space="preserve">               UMC-TT5100</v>
          </cell>
          <cell r="D561" t="str">
            <v xml:space="preserve">               !Outr.Comiss.Diversas</v>
          </cell>
          <cell r="F561" t="str">
            <v>Não Financeiras</v>
          </cell>
        </row>
        <row r="562">
          <cell r="A562" t="str">
            <v>TT5110</v>
          </cell>
          <cell r="B562" t="str">
            <v>!Fraudes Netbanco</v>
          </cell>
          <cell r="C562" t="str">
            <v xml:space="preserve">               UMC-TT5110</v>
          </cell>
          <cell r="D562" t="str">
            <v xml:space="preserve">               !Fraudes Netbanco</v>
          </cell>
          <cell r="F562" t="str">
            <v>Não Financeiras</v>
          </cell>
        </row>
        <row r="563">
          <cell r="A563" t="str">
            <v>TT5200</v>
          </cell>
          <cell r="B563" t="str">
            <v>!Desactivadas</v>
          </cell>
          <cell r="C563" t="str">
            <v xml:space="preserve">          UMC-TT5200</v>
          </cell>
          <cell r="D563" t="str">
            <v xml:space="preserve">          !Desactivadas</v>
          </cell>
          <cell r="F563" t="str">
            <v>Não Financeiras</v>
          </cell>
        </row>
        <row r="564">
          <cell r="A564" t="str">
            <v>UGMC00</v>
          </cell>
          <cell r="B564" t="str">
            <v>!Comissões Genéricas</v>
          </cell>
          <cell r="C564" t="str">
            <v xml:space="preserve">     UMC-UGMC00</v>
          </cell>
          <cell r="D564" t="str">
            <v xml:space="preserve">     !Comissões Genéricas</v>
          </cell>
        </row>
        <row r="565">
          <cell r="A565" t="str">
            <v>UMC000</v>
          </cell>
          <cell r="B565" t="str">
            <v>!Sem Comissão</v>
          </cell>
          <cell r="C565" t="str">
            <v xml:space="preserve">          UMC-UMC000</v>
          </cell>
          <cell r="D565" t="str">
            <v xml:space="preserve">          !Sem Comissão</v>
          </cell>
          <cell r="F565" t="str">
            <v>Não Financeiras</v>
          </cell>
        </row>
        <row r="566">
          <cell r="A566" t="str">
            <v>UMCGI0</v>
          </cell>
          <cell r="B566" t="str">
            <v>!Genéricas Indefinidas</v>
          </cell>
          <cell r="C566" t="str">
            <v xml:space="preserve">          UMC-UMCGI0</v>
          </cell>
          <cell r="D566" t="str">
            <v xml:space="preserve">          !Genéricas Indefinidas</v>
          </cell>
          <cell r="F566" t="str">
            <v>Não Financeiras</v>
          </cell>
        </row>
        <row r="567">
          <cell r="A567" t="str">
            <v>UMCGP0</v>
          </cell>
          <cell r="B567" t="str">
            <v>!Genéricas Pagas</v>
          </cell>
          <cell r="C567" t="str">
            <v xml:space="preserve">          UMC-UMCGP0</v>
          </cell>
          <cell r="D567" t="str">
            <v xml:space="preserve">          !Genéricas Pagas</v>
          </cell>
          <cell r="F567" t="str">
            <v>Não Financeiras</v>
          </cell>
        </row>
        <row r="568">
          <cell r="A568" t="str">
            <v>UMCGR0</v>
          </cell>
          <cell r="B568" t="str">
            <v>!Genéricas Recebidas</v>
          </cell>
          <cell r="C568" t="str">
            <v xml:space="preserve">          UMC-UMCGR0</v>
          </cell>
          <cell r="D568" t="str">
            <v xml:space="preserve">          !Genéricas Recebidas</v>
          </cell>
          <cell r="F568" t="str">
            <v>Não Financeiras</v>
          </cell>
        </row>
      </sheetData>
      <sheetData sheetId="10">
        <row r="38">
          <cell r="A38" t="str">
            <v>71809</v>
          </cell>
          <cell r="C38" t="str">
            <v>IFIC</v>
          </cell>
        </row>
        <row r="39">
          <cell r="A39" t="str">
            <v>718900</v>
          </cell>
          <cell r="C39" t="str">
            <v>IFIC</v>
          </cell>
        </row>
        <row r="40">
          <cell r="A40" t="str">
            <v>718902</v>
          </cell>
          <cell r="C40" t="str">
            <v>IFIC</v>
          </cell>
        </row>
        <row r="41">
          <cell r="A41" t="str">
            <v>718903</v>
          </cell>
          <cell r="C41" t="str">
            <v>IFIC</v>
          </cell>
        </row>
        <row r="42">
          <cell r="A42" t="str">
            <v>718909</v>
          </cell>
          <cell r="C42" t="str">
            <v>REC_MF</v>
          </cell>
        </row>
        <row r="43">
          <cell r="A43" t="str">
            <v>718912</v>
          </cell>
          <cell r="C43" t="str">
            <v>IFIC</v>
          </cell>
        </row>
        <row r="44">
          <cell r="A44">
            <v>71894</v>
          </cell>
          <cell r="C44" t="str">
            <v>REC_MF</v>
          </cell>
        </row>
        <row r="45">
          <cell r="A45" t="str">
            <v>71899</v>
          </cell>
          <cell r="C45" t="str">
            <v>IFIC</v>
          </cell>
        </row>
        <row r="46">
          <cell r="A46" t="str">
            <v>719000</v>
          </cell>
          <cell r="C46" t="str">
            <v>IFIC</v>
          </cell>
        </row>
        <row r="47">
          <cell r="A47" t="str">
            <v>719001</v>
          </cell>
          <cell r="C47" t="str">
            <v>IFIC</v>
          </cell>
        </row>
        <row r="48">
          <cell r="A48" t="str">
            <v>719002</v>
          </cell>
          <cell r="C48" t="str">
            <v>REC_MF</v>
          </cell>
        </row>
        <row r="49">
          <cell r="A49" t="str">
            <v>719003</v>
          </cell>
          <cell r="C49" t="str">
            <v>IFIC</v>
          </cell>
        </row>
        <row r="50">
          <cell r="A50" t="str">
            <v>719003</v>
          </cell>
          <cell r="B50" t="str">
            <v>VI6</v>
          </cell>
          <cell r="C50" t="str">
            <v>REC_MF</v>
          </cell>
        </row>
        <row r="51">
          <cell r="A51" t="str">
            <v>719004</v>
          </cell>
          <cell r="C51" t="str">
            <v>REC_MF</v>
          </cell>
        </row>
        <row r="52">
          <cell r="A52" t="str">
            <v>719009</v>
          </cell>
          <cell r="C52" t="str">
            <v>REC_MF</v>
          </cell>
        </row>
        <row r="53">
          <cell r="A53" t="str">
            <v>719020</v>
          </cell>
          <cell r="C53" t="str">
            <v>IFIC</v>
          </cell>
        </row>
        <row r="54">
          <cell r="A54" t="str">
            <v>719022</v>
          </cell>
          <cell r="C54" t="str">
            <v>REC_MF</v>
          </cell>
        </row>
        <row r="55">
          <cell r="A55" t="str">
            <v>719032</v>
          </cell>
          <cell r="C55" t="str">
            <v>IFIC</v>
          </cell>
        </row>
        <row r="56">
          <cell r="A56" t="str">
            <v>719033</v>
          </cell>
          <cell r="C56" t="str">
            <v>IFIC</v>
          </cell>
        </row>
        <row r="57">
          <cell r="A57" t="str">
            <v>7190400</v>
          </cell>
          <cell r="C57" t="str">
            <v>IFIC</v>
          </cell>
        </row>
        <row r="58">
          <cell r="A58" t="str">
            <v>71904010</v>
          </cell>
          <cell r="C58" t="str">
            <v>IFIC</v>
          </cell>
        </row>
        <row r="59">
          <cell r="A59" t="str">
            <v>71904011</v>
          </cell>
          <cell r="C59" t="str">
            <v>IFIC</v>
          </cell>
        </row>
        <row r="60">
          <cell r="A60" t="str">
            <v>71904012</v>
          </cell>
          <cell r="C60" t="str">
            <v>IFIC</v>
          </cell>
        </row>
        <row r="61">
          <cell r="A61" t="str">
            <v>71904013</v>
          </cell>
          <cell r="C61" t="str">
            <v>IFIC</v>
          </cell>
        </row>
        <row r="62">
          <cell r="A62" t="str">
            <v>71904014</v>
          </cell>
          <cell r="C62" t="str">
            <v>IFIC</v>
          </cell>
        </row>
        <row r="63">
          <cell r="A63" t="str">
            <v>71904015</v>
          </cell>
          <cell r="C63" t="str">
            <v>IFIC</v>
          </cell>
        </row>
        <row r="64">
          <cell r="A64" t="str">
            <v>71904017</v>
          </cell>
          <cell r="C64" t="str">
            <v>REC_MF</v>
          </cell>
        </row>
        <row r="65">
          <cell r="A65" t="str">
            <v>71904070</v>
          </cell>
          <cell r="C65" t="str">
            <v>IFIC</v>
          </cell>
        </row>
        <row r="66">
          <cell r="A66" t="str">
            <v>71904071</v>
          </cell>
          <cell r="C66" t="str">
            <v>IFIC</v>
          </cell>
        </row>
        <row r="67">
          <cell r="A67" t="str">
            <v>71904080</v>
          </cell>
          <cell r="C67" t="str">
            <v>IFIC</v>
          </cell>
        </row>
        <row r="68">
          <cell r="A68" t="str">
            <v>71904081</v>
          </cell>
          <cell r="C68" t="str">
            <v>IFIC</v>
          </cell>
        </row>
        <row r="69">
          <cell r="A69" t="str">
            <v>7190409</v>
          </cell>
          <cell r="C69" t="str">
            <v>IFIC</v>
          </cell>
        </row>
        <row r="70">
          <cell r="A70" t="str">
            <v>7190419</v>
          </cell>
          <cell r="C70" t="str">
            <v>IFIC</v>
          </cell>
        </row>
        <row r="71">
          <cell r="A71" t="str">
            <v>7190420</v>
          </cell>
          <cell r="C71" t="str">
            <v>REC_MF</v>
          </cell>
        </row>
        <row r="72">
          <cell r="A72" t="str">
            <v>7190423</v>
          </cell>
          <cell r="C72" t="str">
            <v>IFIC</v>
          </cell>
        </row>
        <row r="73">
          <cell r="A73" t="str">
            <v>719044</v>
          </cell>
          <cell r="C73" t="str">
            <v>IFIC</v>
          </cell>
        </row>
        <row r="74">
          <cell r="A74" t="str">
            <v>71905</v>
          </cell>
          <cell r="C74" t="str">
            <v>IFIC</v>
          </cell>
        </row>
        <row r="75">
          <cell r="A75" t="str">
            <v>7190600</v>
          </cell>
          <cell r="C75" t="str">
            <v>REC_MF</v>
          </cell>
        </row>
        <row r="76">
          <cell r="A76" t="str">
            <v>7190601</v>
          </cell>
          <cell r="C76" t="str">
            <v>REC_MF</v>
          </cell>
        </row>
        <row r="77">
          <cell r="A77" t="str">
            <v>7190602</v>
          </cell>
          <cell r="C77" t="str">
            <v>REC_MF</v>
          </cell>
        </row>
        <row r="78">
          <cell r="A78" t="str">
            <v>7190610</v>
          </cell>
          <cell r="C78" t="str">
            <v>REC_MF</v>
          </cell>
        </row>
        <row r="79">
          <cell r="A79" t="str">
            <v>7190611</v>
          </cell>
          <cell r="C79" t="str">
            <v>REC_MF</v>
          </cell>
        </row>
        <row r="80">
          <cell r="A80" t="str">
            <v>7190612</v>
          </cell>
          <cell r="C80" t="str">
            <v>REC_MF</v>
          </cell>
        </row>
        <row r="81">
          <cell r="A81" t="str">
            <v>71906300</v>
          </cell>
          <cell r="C81" t="str">
            <v>REC_MF</v>
          </cell>
        </row>
        <row r="82">
          <cell r="A82" t="str">
            <v>71906301</v>
          </cell>
          <cell r="C82" t="str">
            <v>REC_MF</v>
          </cell>
        </row>
        <row r="83">
          <cell r="A83" t="str">
            <v>71906302</v>
          </cell>
          <cell r="C83" t="str">
            <v>REC_MF</v>
          </cell>
        </row>
        <row r="84">
          <cell r="A84" t="str">
            <v>71906310</v>
          </cell>
          <cell r="C84" t="str">
            <v>REC_MF</v>
          </cell>
        </row>
        <row r="85">
          <cell r="A85" t="str">
            <v>71906311</v>
          </cell>
          <cell r="C85" t="str">
            <v>REC_MF</v>
          </cell>
        </row>
        <row r="86">
          <cell r="A86" t="str">
            <v>71906312</v>
          </cell>
          <cell r="C86" t="str">
            <v>REC_MF</v>
          </cell>
        </row>
        <row r="87">
          <cell r="A87" t="str">
            <v>71909</v>
          </cell>
          <cell r="C87" t="str">
            <v>IFIC</v>
          </cell>
        </row>
        <row r="88">
          <cell r="A88" t="str">
            <v>71990</v>
          </cell>
          <cell r="C88" t="str">
            <v>IFIC</v>
          </cell>
        </row>
        <row r="89">
          <cell r="A89" t="str">
            <v>71991</v>
          </cell>
          <cell r="C89" t="str">
            <v>IFIC</v>
          </cell>
        </row>
        <row r="90">
          <cell r="A90" t="str">
            <v>71999</v>
          </cell>
          <cell r="C90" t="str">
            <v>IFIC</v>
          </cell>
        </row>
        <row r="91">
          <cell r="A91" t="str">
            <v>7214</v>
          </cell>
          <cell r="C91" t="str">
            <v>OREX</v>
          </cell>
        </row>
        <row r="92">
          <cell r="A92" t="str">
            <v>7219</v>
          </cell>
          <cell r="C92" t="str">
            <v>OREX</v>
          </cell>
        </row>
        <row r="93">
          <cell r="A93" t="str">
            <v>72800</v>
          </cell>
          <cell r="C93" t="str">
            <v>OREX</v>
          </cell>
        </row>
        <row r="94">
          <cell r="A94" t="str">
            <v>72809</v>
          </cell>
          <cell r="C94" t="str">
            <v>OREX</v>
          </cell>
        </row>
        <row r="95">
          <cell r="A95" t="str">
            <v>7281</v>
          </cell>
          <cell r="C95" t="str">
            <v>OREX</v>
          </cell>
        </row>
        <row r="96">
          <cell r="A96" t="str">
            <v>7282</v>
          </cell>
          <cell r="C96" t="str">
            <v>OREX</v>
          </cell>
        </row>
        <row r="97">
          <cell r="A97" t="str">
            <v>7333</v>
          </cell>
          <cell r="C97" t="str">
            <v>GG</v>
          </cell>
        </row>
        <row r="98">
          <cell r="A98" t="str">
            <v>74000</v>
          </cell>
          <cell r="C98" t="str">
            <v>GG</v>
          </cell>
        </row>
        <row r="99">
          <cell r="A99" t="str">
            <v>740010</v>
          </cell>
          <cell r="C99" t="str">
            <v>GG</v>
          </cell>
        </row>
        <row r="100">
          <cell r="A100" t="str">
            <v>740011</v>
          </cell>
          <cell r="C100" t="str">
            <v>GG</v>
          </cell>
        </row>
        <row r="101">
          <cell r="A101" t="str">
            <v>740012</v>
          </cell>
          <cell r="C101" t="str">
            <v>GG</v>
          </cell>
        </row>
        <row r="102">
          <cell r="A102" t="str">
            <v>74002</v>
          </cell>
          <cell r="C102" t="str">
            <v>GG</v>
          </cell>
        </row>
        <row r="103">
          <cell r="A103" t="str">
            <v>740100</v>
          </cell>
          <cell r="C103" t="str">
            <v>GG</v>
          </cell>
        </row>
        <row r="104">
          <cell r="A104" t="str">
            <v>740101</v>
          </cell>
          <cell r="C104" t="str">
            <v>GG</v>
          </cell>
        </row>
        <row r="105">
          <cell r="A105" t="str">
            <v>74011</v>
          </cell>
          <cell r="C105" t="str">
            <v>GG</v>
          </cell>
        </row>
        <row r="106">
          <cell r="A106" t="str">
            <v>74012</v>
          </cell>
          <cell r="C106" t="str">
            <v>GG</v>
          </cell>
        </row>
        <row r="107">
          <cell r="A107" t="str">
            <v>7402</v>
          </cell>
          <cell r="C107" t="str">
            <v>GG</v>
          </cell>
        </row>
        <row r="108">
          <cell r="A108" t="str">
            <v>740300</v>
          </cell>
          <cell r="C108" t="str">
            <v>GG</v>
          </cell>
        </row>
        <row r="109">
          <cell r="A109" t="str">
            <v>740301</v>
          </cell>
          <cell r="C109" t="str">
            <v>GG</v>
          </cell>
        </row>
        <row r="110">
          <cell r="A110" t="str">
            <v>74031</v>
          </cell>
          <cell r="C110" t="str">
            <v>GG</v>
          </cell>
        </row>
        <row r="111">
          <cell r="A111" t="str">
            <v>7404</v>
          </cell>
          <cell r="C111" t="str">
            <v>GG</v>
          </cell>
        </row>
        <row r="112">
          <cell r="A112" t="str">
            <v>74050</v>
          </cell>
          <cell r="C112" t="str">
            <v>GG</v>
          </cell>
        </row>
        <row r="113">
          <cell r="A113" t="str">
            <v>74051</v>
          </cell>
          <cell r="C113" t="str">
            <v>GG</v>
          </cell>
        </row>
        <row r="114">
          <cell r="A114" t="str">
            <v>74059</v>
          </cell>
          <cell r="C114" t="str">
            <v>GG</v>
          </cell>
        </row>
        <row r="115">
          <cell r="A115" t="str">
            <v>7406</v>
          </cell>
          <cell r="C115" t="str">
            <v>GG</v>
          </cell>
        </row>
        <row r="116">
          <cell r="A116" t="str">
            <v>7409</v>
          </cell>
          <cell r="C116" t="str">
            <v>GG</v>
          </cell>
        </row>
        <row r="117">
          <cell r="A117" t="str">
            <v>741000</v>
          </cell>
          <cell r="C117" t="str">
            <v>GG</v>
          </cell>
        </row>
        <row r="118">
          <cell r="A118" t="str">
            <v>741001</v>
          </cell>
          <cell r="C118" t="str">
            <v>GG</v>
          </cell>
        </row>
        <row r="119">
          <cell r="A119" t="str">
            <v>741009</v>
          </cell>
          <cell r="C119" t="str">
            <v>GG</v>
          </cell>
        </row>
        <row r="120">
          <cell r="A120" t="str">
            <v>74101</v>
          </cell>
          <cell r="C120" t="str">
            <v>GG</v>
          </cell>
        </row>
        <row r="121">
          <cell r="A121" t="str">
            <v>74102</v>
          </cell>
          <cell r="C121" t="str">
            <v>GG</v>
          </cell>
        </row>
        <row r="122">
          <cell r="A122" t="str">
            <v>74109</v>
          </cell>
          <cell r="C122" t="str">
            <v>GG</v>
          </cell>
        </row>
        <row r="123">
          <cell r="A123" t="str">
            <v>741100</v>
          </cell>
          <cell r="C123" t="str">
            <v>GG</v>
          </cell>
        </row>
        <row r="124">
          <cell r="A124" t="str">
            <v>741101</v>
          </cell>
          <cell r="C124" t="str">
            <v>GG</v>
          </cell>
        </row>
        <row r="125">
          <cell r="A125" t="str">
            <v>74111</v>
          </cell>
          <cell r="C125" t="str">
            <v>GG</v>
          </cell>
        </row>
        <row r="126">
          <cell r="A126" t="str">
            <v>74112</v>
          </cell>
          <cell r="C126" t="str">
            <v>GG</v>
          </cell>
        </row>
        <row r="127">
          <cell r="A127" t="str">
            <v>74113</v>
          </cell>
          <cell r="C127" t="str">
            <v>GG</v>
          </cell>
        </row>
        <row r="128">
          <cell r="A128" t="str">
            <v>74114</v>
          </cell>
          <cell r="C128" t="str">
            <v>GG</v>
          </cell>
        </row>
        <row r="129">
          <cell r="A129" t="str">
            <v>74115</v>
          </cell>
          <cell r="C129" t="str">
            <v>GG</v>
          </cell>
        </row>
        <row r="130">
          <cell r="A130" t="str">
            <v>7412000</v>
          </cell>
          <cell r="C130" t="str">
            <v>GG</v>
          </cell>
        </row>
        <row r="131">
          <cell r="A131" t="str">
            <v>7412001</v>
          </cell>
          <cell r="C131" t="str">
            <v>GG</v>
          </cell>
        </row>
        <row r="132">
          <cell r="A132" t="str">
            <v>7412002</v>
          </cell>
          <cell r="C132" t="str">
            <v>GG</v>
          </cell>
        </row>
        <row r="133">
          <cell r="A133" t="str">
            <v>741201</v>
          </cell>
          <cell r="C133" t="str">
            <v>GG</v>
          </cell>
        </row>
        <row r="134">
          <cell r="A134" t="str">
            <v>741202</v>
          </cell>
          <cell r="C134" t="str">
            <v>GG</v>
          </cell>
        </row>
        <row r="135">
          <cell r="A135" t="str">
            <v>7412030</v>
          </cell>
          <cell r="C135" t="str">
            <v>GG</v>
          </cell>
        </row>
        <row r="136">
          <cell r="A136" t="str">
            <v>7412031</v>
          </cell>
          <cell r="C136" t="str">
            <v>GG</v>
          </cell>
        </row>
        <row r="137">
          <cell r="A137" t="str">
            <v>741209</v>
          </cell>
          <cell r="C137" t="str">
            <v>GG</v>
          </cell>
        </row>
        <row r="138">
          <cell r="A138" t="str">
            <v>7412100</v>
          </cell>
          <cell r="C138" t="str">
            <v>GG</v>
          </cell>
        </row>
        <row r="139">
          <cell r="A139" t="str">
            <v>7412101</v>
          </cell>
          <cell r="C139" t="str">
            <v>GG</v>
          </cell>
        </row>
        <row r="140">
          <cell r="A140" t="str">
            <v>741211</v>
          </cell>
          <cell r="C140" t="str">
            <v>GG</v>
          </cell>
        </row>
        <row r="141">
          <cell r="A141" t="str">
            <v>741212</v>
          </cell>
          <cell r="C141" t="str">
            <v>GG</v>
          </cell>
        </row>
        <row r="142">
          <cell r="A142" t="str">
            <v>7412130</v>
          </cell>
          <cell r="C142" t="str">
            <v>GG</v>
          </cell>
        </row>
        <row r="143">
          <cell r="A143" t="str">
            <v>7412131</v>
          </cell>
          <cell r="C143" t="str">
            <v>GG</v>
          </cell>
        </row>
        <row r="144">
          <cell r="A144" t="str">
            <v>741219</v>
          </cell>
          <cell r="C144" t="str">
            <v>GG</v>
          </cell>
        </row>
        <row r="145">
          <cell r="A145" t="str">
            <v>74122</v>
          </cell>
          <cell r="C145" t="str">
            <v>GG</v>
          </cell>
        </row>
        <row r="146">
          <cell r="A146" t="str">
            <v>741230</v>
          </cell>
          <cell r="C146" t="str">
            <v>GG</v>
          </cell>
        </row>
        <row r="147">
          <cell r="A147" t="str">
            <v>741231</v>
          </cell>
          <cell r="C147" t="str">
            <v>GG</v>
          </cell>
        </row>
        <row r="148">
          <cell r="A148" t="str">
            <v>74130</v>
          </cell>
          <cell r="C148" t="str">
            <v>GG</v>
          </cell>
        </row>
        <row r="149">
          <cell r="A149" t="str">
            <v>74131000</v>
          </cell>
          <cell r="C149" t="str">
            <v>GG</v>
          </cell>
        </row>
        <row r="150">
          <cell r="A150" t="str">
            <v>74131001</v>
          </cell>
          <cell r="C150" t="str">
            <v>GG</v>
          </cell>
        </row>
        <row r="151">
          <cell r="A151" t="str">
            <v>7413101</v>
          </cell>
          <cell r="C151" t="str">
            <v>GG</v>
          </cell>
        </row>
        <row r="152">
          <cell r="A152" t="str">
            <v>7413120</v>
          </cell>
          <cell r="C152" t="str">
            <v>GG</v>
          </cell>
        </row>
        <row r="153">
          <cell r="A153" t="str">
            <v>7413121</v>
          </cell>
          <cell r="C153" t="str">
            <v>GG</v>
          </cell>
        </row>
        <row r="154">
          <cell r="A154" t="str">
            <v>7413125</v>
          </cell>
          <cell r="C154" t="str">
            <v>GG</v>
          </cell>
        </row>
        <row r="155">
          <cell r="A155" t="str">
            <v>7413126</v>
          </cell>
          <cell r="C155" t="str">
            <v>GG</v>
          </cell>
        </row>
        <row r="156">
          <cell r="A156" t="str">
            <v>7413127</v>
          </cell>
          <cell r="C156" t="str">
            <v>GG</v>
          </cell>
        </row>
        <row r="157">
          <cell r="A157" t="str">
            <v>7413128</v>
          </cell>
          <cell r="C157" t="str">
            <v>GG</v>
          </cell>
        </row>
        <row r="158">
          <cell r="A158" t="str">
            <v>74131290</v>
          </cell>
          <cell r="C158" t="str">
            <v>GG</v>
          </cell>
        </row>
        <row r="159">
          <cell r="A159" t="str">
            <v>74131291</v>
          </cell>
          <cell r="C159" t="str">
            <v>GG</v>
          </cell>
        </row>
        <row r="160">
          <cell r="A160" t="str">
            <v>74131299</v>
          </cell>
          <cell r="C160" t="str">
            <v>GG</v>
          </cell>
        </row>
        <row r="161">
          <cell r="A161" t="str">
            <v>7413190</v>
          </cell>
          <cell r="C161" t="str">
            <v>GG</v>
          </cell>
        </row>
        <row r="162">
          <cell r="A162" t="str">
            <v>7413191</v>
          </cell>
          <cell r="C162" t="str">
            <v>GG</v>
          </cell>
        </row>
        <row r="163">
          <cell r="A163" t="str">
            <v>7413192</v>
          </cell>
          <cell r="C163" t="str">
            <v>GG</v>
          </cell>
        </row>
        <row r="164">
          <cell r="A164" t="str">
            <v>7413193</v>
          </cell>
          <cell r="C164" t="str">
            <v>GG</v>
          </cell>
        </row>
        <row r="165">
          <cell r="A165" t="str">
            <v>7413199</v>
          </cell>
          <cell r="C165" t="str">
            <v>GG</v>
          </cell>
        </row>
        <row r="166">
          <cell r="A166" t="str">
            <v>74132</v>
          </cell>
          <cell r="C166" t="str">
            <v>GG</v>
          </cell>
        </row>
        <row r="167">
          <cell r="A167" t="str">
            <v>74140</v>
          </cell>
          <cell r="C167" t="str">
            <v>GG</v>
          </cell>
        </row>
        <row r="168">
          <cell r="A168" t="str">
            <v>74149</v>
          </cell>
          <cell r="C168" t="str">
            <v>GG</v>
          </cell>
        </row>
        <row r="169">
          <cell r="A169" t="str">
            <v>741500</v>
          </cell>
          <cell r="C169" t="str">
            <v>GG</v>
          </cell>
        </row>
        <row r="170">
          <cell r="A170" t="str">
            <v>741501</v>
          </cell>
          <cell r="C170" t="str">
            <v>GG</v>
          </cell>
        </row>
        <row r="171">
          <cell r="A171" t="str">
            <v>7415100</v>
          </cell>
          <cell r="C171" t="str">
            <v>GG</v>
          </cell>
        </row>
        <row r="172">
          <cell r="A172" t="str">
            <v>74151010</v>
          </cell>
          <cell r="C172" t="str">
            <v>GG</v>
          </cell>
        </row>
        <row r="173">
          <cell r="A173" t="str">
            <v>74151011</v>
          </cell>
          <cell r="C173" t="str">
            <v>GG</v>
          </cell>
        </row>
        <row r="174">
          <cell r="A174" t="str">
            <v>741510200</v>
          </cell>
          <cell r="C174" t="str">
            <v>GG</v>
          </cell>
        </row>
        <row r="175">
          <cell r="A175" t="str">
            <v>741510201</v>
          </cell>
          <cell r="C175" t="str">
            <v>GG</v>
          </cell>
        </row>
        <row r="176">
          <cell r="A176" t="str">
            <v>741510202</v>
          </cell>
          <cell r="C176" t="str">
            <v>GG</v>
          </cell>
        </row>
        <row r="177">
          <cell r="A177" t="str">
            <v>741510210</v>
          </cell>
          <cell r="C177" t="str">
            <v>GG</v>
          </cell>
        </row>
        <row r="178">
          <cell r="A178" t="str">
            <v>741510211</v>
          </cell>
          <cell r="C178" t="str">
            <v>GG</v>
          </cell>
        </row>
        <row r="179">
          <cell r="A179" t="str">
            <v>741510212</v>
          </cell>
          <cell r="C179" t="str">
            <v>GG</v>
          </cell>
        </row>
        <row r="180">
          <cell r="A180" t="str">
            <v>74151022</v>
          </cell>
          <cell r="C180" t="str">
            <v>GG</v>
          </cell>
        </row>
        <row r="181">
          <cell r="A181" t="str">
            <v>74151023</v>
          </cell>
          <cell r="C181" t="str">
            <v>GG</v>
          </cell>
        </row>
        <row r="182">
          <cell r="A182" t="str">
            <v>74151024</v>
          </cell>
          <cell r="C182" t="str">
            <v>GG</v>
          </cell>
        </row>
        <row r="183">
          <cell r="A183" t="str">
            <v>7415103</v>
          </cell>
          <cell r="C183" t="str">
            <v>GG</v>
          </cell>
        </row>
        <row r="184">
          <cell r="A184" t="str">
            <v>7415109</v>
          </cell>
          <cell r="C184" t="str">
            <v>GG</v>
          </cell>
        </row>
        <row r="185">
          <cell r="A185" t="str">
            <v>741511</v>
          </cell>
          <cell r="C185" t="str">
            <v>GG</v>
          </cell>
        </row>
        <row r="186">
          <cell r="A186" t="str">
            <v>741512</v>
          </cell>
          <cell r="C186" t="str">
            <v>GG</v>
          </cell>
        </row>
        <row r="187">
          <cell r="A187" t="str">
            <v>741513</v>
          </cell>
          <cell r="C187" t="str">
            <v>GG</v>
          </cell>
        </row>
        <row r="188">
          <cell r="A188" t="str">
            <v>741519</v>
          </cell>
          <cell r="C188" t="str">
            <v>GG</v>
          </cell>
        </row>
        <row r="189">
          <cell r="A189" t="str">
            <v>74152</v>
          </cell>
          <cell r="C189" t="str">
            <v>GG</v>
          </cell>
        </row>
        <row r="190">
          <cell r="A190" t="str">
            <v>74159</v>
          </cell>
          <cell r="C190" t="str">
            <v>GG</v>
          </cell>
        </row>
        <row r="191">
          <cell r="A191" t="str">
            <v>74160</v>
          </cell>
          <cell r="C191" t="str">
            <v>GG</v>
          </cell>
        </row>
        <row r="192">
          <cell r="A192" t="str">
            <v>74161</v>
          </cell>
          <cell r="C192" t="str">
            <v>GG</v>
          </cell>
        </row>
        <row r="193">
          <cell r="A193" t="str">
            <v>74162</v>
          </cell>
          <cell r="C193" t="str">
            <v>GG</v>
          </cell>
        </row>
        <row r="194">
          <cell r="A194" t="str">
            <v>74163</v>
          </cell>
          <cell r="C194" t="str">
            <v>GG</v>
          </cell>
        </row>
        <row r="195">
          <cell r="A195" t="str">
            <v>74164</v>
          </cell>
          <cell r="C195" t="str">
            <v>GG</v>
          </cell>
        </row>
        <row r="196">
          <cell r="A196" t="str">
            <v>741690</v>
          </cell>
          <cell r="C196" t="str">
            <v>GG</v>
          </cell>
        </row>
        <row r="197">
          <cell r="A197" t="str">
            <v>741691</v>
          </cell>
          <cell r="C197" t="str">
            <v>GG</v>
          </cell>
        </row>
        <row r="198">
          <cell r="A198" t="str">
            <v>741692</v>
          </cell>
          <cell r="C198" t="str">
            <v>GG</v>
          </cell>
        </row>
        <row r="199">
          <cell r="A199" t="str">
            <v>74170</v>
          </cell>
          <cell r="C199" t="str">
            <v>GG</v>
          </cell>
        </row>
        <row r="200">
          <cell r="A200" t="str">
            <v>74171</v>
          </cell>
          <cell r="C200" t="str">
            <v>GG</v>
          </cell>
        </row>
        <row r="201">
          <cell r="A201" t="str">
            <v>74172</v>
          </cell>
          <cell r="C201" t="str">
            <v>GG</v>
          </cell>
        </row>
        <row r="202">
          <cell r="A202" t="str">
            <v>7419000</v>
          </cell>
          <cell r="C202" t="str">
            <v>GG</v>
          </cell>
        </row>
        <row r="203">
          <cell r="A203" t="str">
            <v>7419001</v>
          </cell>
          <cell r="C203" t="str">
            <v>GG</v>
          </cell>
        </row>
        <row r="204">
          <cell r="A204" t="str">
            <v>7419002</v>
          </cell>
          <cell r="C204" t="str">
            <v>GG</v>
          </cell>
        </row>
        <row r="205">
          <cell r="A205" t="str">
            <v>7419003</v>
          </cell>
          <cell r="C205" t="str">
            <v>GG</v>
          </cell>
        </row>
        <row r="206">
          <cell r="A206" t="str">
            <v>741901</v>
          </cell>
          <cell r="C206" t="str">
            <v>GG</v>
          </cell>
        </row>
        <row r="207">
          <cell r="A207" t="str">
            <v>741903</v>
          </cell>
          <cell r="C207" t="str">
            <v>GG</v>
          </cell>
        </row>
        <row r="208">
          <cell r="A208" t="str">
            <v>741904</v>
          </cell>
          <cell r="C208" t="str">
            <v>GG</v>
          </cell>
        </row>
        <row r="209">
          <cell r="A209" t="str">
            <v>7419050</v>
          </cell>
          <cell r="C209" t="str">
            <v>GG</v>
          </cell>
        </row>
        <row r="210">
          <cell r="A210" t="str">
            <v>7419051</v>
          </cell>
          <cell r="C210" t="str">
            <v>GG</v>
          </cell>
        </row>
        <row r="211">
          <cell r="A211" t="str">
            <v>7419052</v>
          </cell>
          <cell r="C211" t="str">
            <v>GG</v>
          </cell>
        </row>
        <row r="212">
          <cell r="A212" t="str">
            <v>7419053</v>
          </cell>
          <cell r="C212" t="str">
            <v>GG</v>
          </cell>
        </row>
        <row r="213">
          <cell r="A213" t="str">
            <v>7419054</v>
          </cell>
          <cell r="C213" t="str">
            <v>GG</v>
          </cell>
        </row>
        <row r="214">
          <cell r="A214" t="str">
            <v>7419055</v>
          </cell>
          <cell r="C214" t="str">
            <v>GG</v>
          </cell>
        </row>
        <row r="215">
          <cell r="A215" t="str">
            <v>74190900</v>
          </cell>
          <cell r="C215" t="str">
            <v>GG</v>
          </cell>
        </row>
        <row r="216">
          <cell r="A216" t="str">
            <v>74190901</v>
          </cell>
          <cell r="C216" t="str">
            <v>GG</v>
          </cell>
        </row>
        <row r="217">
          <cell r="A217" t="str">
            <v>74190902</v>
          </cell>
          <cell r="C217" t="str">
            <v>GG</v>
          </cell>
        </row>
        <row r="218">
          <cell r="A218" t="str">
            <v>741909030</v>
          </cell>
          <cell r="C218" t="str">
            <v>GG</v>
          </cell>
        </row>
        <row r="219">
          <cell r="A219" t="str">
            <v>741909031</v>
          </cell>
          <cell r="C219" t="str">
            <v>GG</v>
          </cell>
        </row>
        <row r="220">
          <cell r="A220" t="str">
            <v>741909032</v>
          </cell>
          <cell r="C220" t="str">
            <v>GG</v>
          </cell>
        </row>
        <row r="221">
          <cell r="A221" t="str">
            <v>7419091</v>
          </cell>
          <cell r="C221" t="str">
            <v>GG</v>
          </cell>
        </row>
        <row r="222">
          <cell r="A222" t="str">
            <v>7419092</v>
          </cell>
          <cell r="C222" t="str">
            <v>GG</v>
          </cell>
        </row>
        <row r="223">
          <cell r="A223" t="str">
            <v>7419093</v>
          </cell>
          <cell r="C223" t="str">
            <v>GG</v>
          </cell>
        </row>
        <row r="224">
          <cell r="A224" t="str">
            <v>7419094</v>
          </cell>
          <cell r="C224" t="str">
            <v>GG</v>
          </cell>
        </row>
        <row r="225">
          <cell r="A225" t="str">
            <v>7419095</v>
          </cell>
          <cell r="C225" t="str">
            <v>GG</v>
          </cell>
        </row>
        <row r="226">
          <cell r="A226" t="str">
            <v>7419096</v>
          </cell>
          <cell r="C226" t="str">
            <v>GG</v>
          </cell>
        </row>
        <row r="227">
          <cell r="A227" t="str">
            <v>74190970</v>
          </cell>
          <cell r="C227" t="str">
            <v>GG</v>
          </cell>
        </row>
        <row r="228">
          <cell r="A228" t="str">
            <v>74190971</v>
          </cell>
          <cell r="C228" t="str">
            <v>GG</v>
          </cell>
        </row>
        <row r="229">
          <cell r="A229" t="str">
            <v>74190990</v>
          </cell>
          <cell r="C229" t="str">
            <v>GG</v>
          </cell>
        </row>
        <row r="230">
          <cell r="A230" t="str">
            <v>74190991</v>
          </cell>
          <cell r="C230" t="str">
            <v>GG</v>
          </cell>
        </row>
        <row r="231">
          <cell r="A231" t="str">
            <v>74190992</v>
          </cell>
          <cell r="C231" t="str">
            <v>GG</v>
          </cell>
        </row>
        <row r="232">
          <cell r="A232" t="str">
            <v>74190993</v>
          </cell>
          <cell r="C232" t="str">
            <v>GG</v>
          </cell>
        </row>
        <row r="233">
          <cell r="A233" t="str">
            <v>741910</v>
          </cell>
          <cell r="C233" t="str">
            <v>GG</v>
          </cell>
        </row>
        <row r="234">
          <cell r="A234" t="str">
            <v>741911</v>
          </cell>
          <cell r="C234" t="str">
            <v>GG</v>
          </cell>
        </row>
        <row r="235">
          <cell r="A235" t="str">
            <v>7419120</v>
          </cell>
          <cell r="C235" t="str">
            <v>GG</v>
          </cell>
        </row>
        <row r="236">
          <cell r="A236" t="str">
            <v>7419121</v>
          </cell>
          <cell r="C236" t="str">
            <v>GG</v>
          </cell>
        </row>
        <row r="237">
          <cell r="A237" t="str">
            <v>74192</v>
          </cell>
          <cell r="C237" t="str">
            <v>GG</v>
          </cell>
        </row>
        <row r="238">
          <cell r="A238" t="str">
            <v>741990</v>
          </cell>
          <cell r="C238" t="str">
            <v>GG</v>
          </cell>
        </row>
        <row r="239">
          <cell r="A239" t="str">
            <v>741991</v>
          </cell>
          <cell r="C239" t="str">
            <v>GG</v>
          </cell>
        </row>
        <row r="240">
          <cell r="A240" t="str">
            <v>741992</v>
          </cell>
          <cell r="C240" t="str">
            <v>GG</v>
          </cell>
        </row>
        <row r="241">
          <cell r="A241" t="str">
            <v>7600</v>
          </cell>
          <cell r="C241" t="str">
            <v>GG</v>
          </cell>
        </row>
        <row r="242">
          <cell r="A242" t="str">
            <v>7601</v>
          </cell>
          <cell r="C242" t="str">
            <v>GG</v>
          </cell>
        </row>
        <row r="243">
          <cell r="A243" t="str">
            <v>7602</v>
          </cell>
          <cell r="C243" t="str">
            <v>GG</v>
          </cell>
        </row>
        <row r="244">
          <cell r="A244" t="str">
            <v>76070</v>
          </cell>
          <cell r="C244" t="str">
            <v>GG</v>
          </cell>
        </row>
        <row r="245">
          <cell r="A245" t="str">
            <v>76072</v>
          </cell>
          <cell r="C245" t="str">
            <v>GG</v>
          </cell>
        </row>
        <row r="246">
          <cell r="A246" t="str">
            <v>7609</v>
          </cell>
          <cell r="C246" t="str">
            <v>GG</v>
          </cell>
        </row>
        <row r="247">
          <cell r="A247" t="str">
            <v>7610</v>
          </cell>
          <cell r="C247" t="str">
            <v>GG</v>
          </cell>
        </row>
        <row r="248">
          <cell r="A248" t="str">
            <v>7611</v>
          </cell>
          <cell r="C248" t="str">
            <v>GG</v>
          </cell>
        </row>
        <row r="249">
          <cell r="A249" t="str">
            <v>7619</v>
          </cell>
          <cell r="C249" t="str">
            <v>GG</v>
          </cell>
        </row>
        <row r="250">
          <cell r="A250" t="str">
            <v>77000</v>
          </cell>
          <cell r="C250" t="str">
            <v>GG</v>
          </cell>
        </row>
        <row r="251">
          <cell r="A251" t="str">
            <v>77001</v>
          </cell>
          <cell r="C251" t="str">
            <v>GG</v>
          </cell>
        </row>
        <row r="252">
          <cell r="A252" t="str">
            <v>7701</v>
          </cell>
          <cell r="C252" t="str">
            <v>GG</v>
          </cell>
        </row>
        <row r="253">
          <cell r="A253" t="str">
            <v>7702</v>
          </cell>
          <cell r="C253" t="str">
            <v>GG</v>
          </cell>
        </row>
        <row r="254">
          <cell r="A254" t="str">
            <v>7703</v>
          </cell>
          <cell r="C254" t="str">
            <v>GG</v>
          </cell>
        </row>
        <row r="255">
          <cell r="A255" t="str">
            <v>7794111</v>
          </cell>
          <cell r="C255" t="str">
            <v>GG</v>
          </cell>
        </row>
        <row r="256">
          <cell r="A256" t="str">
            <v>77980</v>
          </cell>
          <cell r="C256" t="str">
            <v>RO</v>
          </cell>
        </row>
        <row r="257">
          <cell r="A257" t="str">
            <v>779810</v>
          </cell>
          <cell r="C257" t="str">
            <v>RO</v>
          </cell>
        </row>
        <row r="258">
          <cell r="A258" t="str">
            <v>779811</v>
          </cell>
          <cell r="C258" t="str">
            <v>RO</v>
          </cell>
        </row>
        <row r="259">
          <cell r="A259" t="str">
            <v>77982</v>
          </cell>
          <cell r="C259" t="str">
            <v>RO</v>
          </cell>
        </row>
        <row r="260">
          <cell r="A260" t="str">
            <v>77983</v>
          </cell>
          <cell r="C260" t="str">
            <v>RO</v>
          </cell>
        </row>
        <row r="261">
          <cell r="A261" t="str">
            <v>77984</v>
          </cell>
          <cell r="C261" t="str">
            <v>RO</v>
          </cell>
        </row>
        <row r="262">
          <cell r="A262" t="str">
            <v>77985</v>
          </cell>
          <cell r="C262" t="str">
            <v>RO</v>
          </cell>
        </row>
        <row r="263">
          <cell r="A263" t="str">
            <v>77986</v>
          </cell>
          <cell r="C263" t="str">
            <v>RO</v>
          </cell>
        </row>
        <row r="264">
          <cell r="A264" t="str">
            <v>779900</v>
          </cell>
          <cell r="C264" t="str">
            <v>OREX</v>
          </cell>
        </row>
        <row r="265">
          <cell r="A265" t="str">
            <v>779902</v>
          </cell>
          <cell r="C265" t="str">
            <v>OREX</v>
          </cell>
        </row>
        <row r="266">
          <cell r="A266" t="str">
            <v>779903</v>
          </cell>
          <cell r="C266" t="str">
            <v>OREX</v>
          </cell>
        </row>
        <row r="267">
          <cell r="A267" t="str">
            <v>779905</v>
          </cell>
          <cell r="C267" t="str">
            <v>OREX</v>
          </cell>
        </row>
        <row r="268">
          <cell r="A268" t="str">
            <v>779906</v>
          </cell>
          <cell r="C268" t="str">
            <v>OREX</v>
          </cell>
        </row>
        <row r="269">
          <cell r="A269" t="str">
            <v>779907</v>
          </cell>
          <cell r="C269" t="str">
            <v>OREX</v>
          </cell>
        </row>
        <row r="270">
          <cell r="A270" t="str">
            <v>77991</v>
          </cell>
          <cell r="C270" t="str">
            <v>OREX</v>
          </cell>
        </row>
        <row r="271">
          <cell r="A271" t="str">
            <v>77992</v>
          </cell>
          <cell r="C271" t="str">
            <v>OREX</v>
          </cell>
        </row>
        <row r="272">
          <cell r="A272" t="str">
            <v>8022900</v>
          </cell>
          <cell r="C272" t="str">
            <v>IFIC_RECMF</v>
          </cell>
        </row>
        <row r="273">
          <cell r="A273" t="str">
            <v>8022902</v>
          </cell>
          <cell r="C273" t="str">
            <v>IFIC_RECMF</v>
          </cell>
        </row>
        <row r="274">
          <cell r="A274" t="str">
            <v>8022903</v>
          </cell>
          <cell r="C274" t="str">
            <v>IFIC_RECMF</v>
          </cell>
        </row>
        <row r="275">
          <cell r="A275" t="str">
            <v>8022904</v>
          </cell>
          <cell r="C275" t="str">
            <v>IFIC_RECMF</v>
          </cell>
        </row>
        <row r="276">
          <cell r="A276" t="str">
            <v>8022910</v>
          </cell>
          <cell r="C276" t="str">
            <v>IFIC_RECMF</v>
          </cell>
        </row>
        <row r="277">
          <cell r="A277" t="str">
            <v>8022911</v>
          </cell>
          <cell r="C277" t="str">
            <v>IFIC_RECMF</v>
          </cell>
        </row>
        <row r="278">
          <cell r="A278" t="str">
            <v>8022912</v>
          </cell>
          <cell r="C278" t="str">
            <v>IFIC_RECMF</v>
          </cell>
        </row>
        <row r="279">
          <cell r="A279" t="str">
            <v>8022913</v>
          </cell>
          <cell r="C279" t="str">
            <v>IFIC_RECMF</v>
          </cell>
        </row>
        <row r="280">
          <cell r="A280" t="str">
            <v>8022914</v>
          </cell>
          <cell r="C280" t="str">
            <v>IFIC_RECMF</v>
          </cell>
        </row>
        <row r="281">
          <cell r="A281" t="str">
            <v>8022915</v>
          </cell>
          <cell r="C281" t="str">
            <v>IFIC_RECMF</v>
          </cell>
        </row>
        <row r="282">
          <cell r="A282" t="str">
            <v>8022916</v>
          </cell>
          <cell r="C282" t="str">
            <v>IFIC_RECMF</v>
          </cell>
        </row>
        <row r="283">
          <cell r="A283" t="str">
            <v>8022917</v>
          </cell>
          <cell r="C283" t="str">
            <v>IFIC_RECMF</v>
          </cell>
        </row>
        <row r="284">
          <cell r="A284" t="str">
            <v>8022918</v>
          </cell>
          <cell r="C284" t="str">
            <v>IFIC_RECMF</v>
          </cell>
        </row>
        <row r="285">
          <cell r="A285" t="str">
            <v>8022919</v>
          </cell>
          <cell r="C285" t="str">
            <v>IFIC_RECMF</v>
          </cell>
        </row>
        <row r="286">
          <cell r="A286" t="str">
            <v>82000</v>
          </cell>
          <cell r="C286" t="str">
            <v>IFIC</v>
          </cell>
        </row>
        <row r="287">
          <cell r="A287" t="str">
            <v>82001</v>
          </cell>
          <cell r="C287" t="str">
            <v>IFIC</v>
          </cell>
        </row>
        <row r="288">
          <cell r="A288" t="str">
            <v>82040</v>
          </cell>
          <cell r="C288" t="str">
            <v>IFIC</v>
          </cell>
        </row>
        <row r="289">
          <cell r="A289" t="str">
            <v>82041</v>
          </cell>
          <cell r="C289" t="str">
            <v>IFIC</v>
          </cell>
        </row>
        <row r="290">
          <cell r="A290" t="str">
            <v>82203</v>
          </cell>
          <cell r="C290" t="str">
            <v>IFIC</v>
          </cell>
        </row>
        <row r="291">
          <cell r="A291" t="str">
            <v>825000</v>
          </cell>
          <cell r="C291" t="str">
            <v>IFIC</v>
          </cell>
        </row>
        <row r="292">
          <cell r="A292" t="str">
            <v>8250011</v>
          </cell>
          <cell r="C292" t="str">
            <v>REC_MF</v>
          </cell>
        </row>
        <row r="293">
          <cell r="A293" t="str">
            <v>82501</v>
          </cell>
          <cell r="C293" t="str">
            <v>IFIC</v>
          </cell>
        </row>
        <row r="294">
          <cell r="A294" t="str">
            <v>82502</v>
          </cell>
          <cell r="C294" t="str">
            <v>IFIC</v>
          </cell>
        </row>
        <row r="295">
          <cell r="A295" t="str">
            <v>8251000</v>
          </cell>
          <cell r="C295" t="str">
            <v>REC_MF</v>
          </cell>
        </row>
        <row r="296">
          <cell r="A296" t="str">
            <v>8251001</v>
          </cell>
          <cell r="C296" t="str">
            <v>IFIC</v>
          </cell>
        </row>
        <row r="297">
          <cell r="A297" t="str">
            <v>8251002</v>
          </cell>
          <cell r="C297" t="str">
            <v>REC_MF</v>
          </cell>
        </row>
        <row r="298">
          <cell r="A298" t="str">
            <v>825101</v>
          </cell>
          <cell r="C298" t="str">
            <v>IFIC</v>
          </cell>
        </row>
        <row r="299">
          <cell r="A299" t="str">
            <v>825110</v>
          </cell>
          <cell r="C299" t="str">
            <v>IFIC</v>
          </cell>
        </row>
        <row r="300">
          <cell r="A300" t="str">
            <v>825112</v>
          </cell>
          <cell r="C300" t="str">
            <v>IFIC</v>
          </cell>
        </row>
        <row r="301">
          <cell r="A301" t="str">
            <v>825113</v>
          </cell>
          <cell r="C301" t="str">
            <v>IFIC</v>
          </cell>
        </row>
        <row r="302">
          <cell r="A302" t="str">
            <v>82512000</v>
          </cell>
          <cell r="C302" t="str">
            <v>IFIC</v>
          </cell>
        </row>
        <row r="303">
          <cell r="A303" t="str">
            <v>82512001</v>
          </cell>
          <cell r="C303" t="str">
            <v>REC_MF</v>
          </cell>
        </row>
        <row r="304">
          <cell r="A304" t="str">
            <v>8251202</v>
          </cell>
          <cell r="C304" t="str">
            <v>IFIC</v>
          </cell>
        </row>
        <row r="305">
          <cell r="A305" t="str">
            <v>8251203</v>
          </cell>
          <cell r="C305" t="str">
            <v>IFIC</v>
          </cell>
        </row>
        <row r="306">
          <cell r="A306" t="str">
            <v>8251204</v>
          </cell>
          <cell r="C306" t="str">
            <v>IFIC</v>
          </cell>
        </row>
        <row r="307">
          <cell r="A307" t="str">
            <v>82512101</v>
          </cell>
          <cell r="C307" t="str">
            <v>IFIC</v>
          </cell>
        </row>
        <row r="308">
          <cell r="A308" t="str">
            <v>8251212</v>
          </cell>
          <cell r="C308" t="str">
            <v>IFIC</v>
          </cell>
        </row>
        <row r="309">
          <cell r="A309" t="str">
            <v>8251219</v>
          </cell>
          <cell r="C309" t="str">
            <v>IFIC</v>
          </cell>
        </row>
        <row r="310">
          <cell r="A310" t="str">
            <v>825300</v>
          </cell>
          <cell r="C310" t="str">
            <v>IFIC</v>
          </cell>
        </row>
        <row r="311">
          <cell r="A311" t="str">
            <v>825304</v>
          </cell>
          <cell r="C311" t="str">
            <v>IFIC</v>
          </cell>
        </row>
        <row r="312">
          <cell r="A312" t="str">
            <v>825309</v>
          </cell>
          <cell r="C312" t="str">
            <v>IFIC</v>
          </cell>
        </row>
        <row r="313">
          <cell r="A313" t="str">
            <v>82533</v>
          </cell>
          <cell r="C313" t="str">
            <v>IFIC</v>
          </cell>
        </row>
        <row r="314">
          <cell r="A314" t="str">
            <v>82535</v>
          </cell>
          <cell r="C314" t="str">
            <v>IFIC</v>
          </cell>
        </row>
        <row r="315">
          <cell r="A315" t="str">
            <v>82536</v>
          </cell>
          <cell r="C315" t="str">
            <v>IFIC</v>
          </cell>
        </row>
        <row r="316">
          <cell r="A316" t="str">
            <v>82540</v>
          </cell>
          <cell r="C316" t="str">
            <v>IFIC</v>
          </cell>
        </row>
        <row r="317">
          <cell r="A317" t="str">
            <v>8255</v>
          </cell>
          <cell r="C317" t="str">
            <v>IFIC</v>
          </cell>
        </row>
        <row r="318">
          <cell r="A318" t="str">
            <v>82560</v>
          </cell>
          <cell r="C318" t="str">
            <v>IFIC</v>
          </cell>
        </row>
        <row r="319">
          <cell r="A319" t="str">
            <v>82561</v>
          </cell>
          <cell r="C319" t="str">
            <v>IFIC</v>
          </cell>
        </row>
        <row r="320">
          <cell r="A320" t="str">
            <v>82563</v>
          </cell>
          <cell r="C320" t="str">
            <v>IFIC</v>
          </cell>
        </row>
        <row r="321">
          <cell r="A321" t="str">
            <v>825900</v>
          </cell>
          <cell r="C321" t="str">
            <v>IFIC</v>
          </cell>
        </row>
        <row r="322">
          <cell r="A322" t="str">
            <v>825901</v>
          </cell>
          <cell r="C322" t="str">
            <v>IFIC</v>
          </cell>
        </row>
        <row r="323">
          <cell r="A323" t="str">
            <v>8259100</v>
          </cell>
          <cell r="C323" t="str">
            <v>REC_MF</v>
          </cell>
        </row>
        <row r="324">
          <cell r="A324" t="str">
            <v>8259102</v>
          </cell>
          <cell r="C324" t="str">
            <v>REC_MF</v>
          </cell>
        </row>
        <row r="325">
          <cell r="A325" t="str">
            <v>825911</v>
          </cell>
          <cell r="C325" t="str">
            <v>IFIC</v>
          </cell>
        </row>
        <row r="326">
          <cell r="A326" t="str">
            <v>82591200</v>
          </cell>
          <cell r="C326" t="str">
            <v>REC_MF</v>
          </cell>
        </row>
        <row r="327">
          <cell r="A327" t="str">
            <v>82591201</v>
          </cell>
          <cell r="C327" t="str">
            <v>REC_MF</v>
          </cell>
        </row>
        <row r="328">
          <cell r="A328" t="str">
            <v>8259130</v>
          </cell>
          <cell r="C328" t="str">
            <v>REC_MF</v>
          </cell>
        </row>
        <row r="329">
          <cell r="A329" t="str">
            <v>8259140</v>
          </cell>
          <cell r="C329" t="str">
            <v>IFIC</v>
          </cell>
        </row>
        <row r="330">
          <cell r="A330" t="str">
            <v>82591420</v>
          </cell>
          <cell r="C330" t="str">
            <v>REC_MF</v>
          </cell>
        </row>
        <row r="331">
          <cell r="A331" t="str">
            <v>8259143</v>
          </cell>
          <cell r="C331" t="str">
            <v>IFIC</v>
          </cell>
        </row>
        <row r="332">
          <cell r="A332" t="str">
            <v>82591450</v>
          </cell>
          <cell r="C332" t="str">
            <v>REC_MF</v>
          </cell>
        </row>
        <row r="333">
          <cell r="A333" t="str">
            <v>82591460</v>
          </cell>
          <cell r="C333" t="str">
            <v>REC_MF</v>
          </cell>
        </row>
        <row r="334">
          <cell r="A334" t="str">
            <v>8259147</v>
          </cell>
          <cell r="C334" t="str">
            <v>IFIC</v>
          </cell>
        </row>
        <row r="335">
          <cell r="A335" t="str">
            <v>825915</v>
          </cell>
          <cell r="C335" t="str">
            <v>IFIC</v>
          </cell>
        </row>
        <row r="336">
          <cell r="A336" t="str">
            <v>825916</v>
          </cell>
          <cell r="C336" t="str">
            <v>IFIC</v>
          </cell>
        </row>
        <row r="337">
          <cell r="A337" t="str">
            <v>8259170</v>
          </cell>
          <cell r="C337" t="str">
            <v>REC_MF</v>
          </cell>
        </row>
        <row r="338">
          <cell r="A338" t="str">
            <v>82591720</v>
          </cell>
          <cell r="C338" t="str">
            <v>REC_MF</v>
          </cell>
        </row>
        <row r="339">
          <cell r="A339" t="str">
            <v>8259180</v>
          </cell>
          <cell r="C339" t="str">
            <v>REC_MF</v>
          </cell>
        </row>
        <row r="340">
          <cell r="A340" t="str">
            <v>8259188</v>
          </cell>
          <cell r="C340" t="str">
            <v>REC_MF</v>
          </cell>
        </row>
        <row r="341">
          <cell r="A341" t="str">
            <v>825919</v>
          </cell>
          <cell r="C341" t="str">
            <v>IFIC</v>
          </cell>
        </row>
        <row r="342">
          <cell r="A342" t="str">
            <v>825920</v>
          </cell>
          <cell r="C342" t="str">
            <v>IFIC</v>
          </cell>
        </row>
        <row r="343">
          <cell r="A343" t="str">
            <v>825921</v>
          </cell>
          <cell r="C343" t="str">
            <v>IFIC</v>
          </cell>
        </row>
        <row r="344">
          <cell r="A344" t="str">
            <v>825930</v>
          </cell>
          <cell r="C344" t="str">
            <v>REC_MF</v>
          </cell>
        </row>
        <row r="345">
          <cell r="A345" t="str">
            <v>825931</v>
          </cell>
          <cell r="C345" t="str">
            <v>REC_MF</v>
          </cell>
        </row>
        <row r="346">
          <cell r="A346" t="str">
            <v>825932</v>
          </cell>
          <cell r="C346" t="str">
            <v>IFIC</v>
          </cell>
        </row>
        <row r="347">
          <cell r="A347" t="str">
            <v>825933</v>
          </cell>
          <cell r="C347" t="str">
            <v>IFIC</v>
          </cell>
        </row>
        <row r="348">
          <cell r="A348" t="str">
            <v>8259411</v>
          </cell>
          <cell r="C348" t="str">
            <v>IFIC</v>
          </cell>
        </row>
        <row r="349">
          <cell r="A349" t="str">
            <v>8259412</v>
          </cell>
          <cell r="C349" t="str">
            <v>IFIC</v>
          </cell>
        </row>
        <row r="350">
          <cell r="A350" t="str">
            <v>825942</v>
          </cell>
          <cell r="C350" t="str">
            <v>IFIC</v>
          </cell>
        </row>
        <row r="351">
          <cell r="A351" t="str">
            <v>825943</v>
          </cell>
          <cell r="C351" t="str">
            <v>IFIC</v>
          </cell>
        </row>
        <row r="352">
          <cell r="A352" t="str">
            <v>825944</v>
          </cell>
          <cell r="C352" t="str">
            <v>IFIC</v>
          </cell>
        </row>
        <row r="353">
          <cell r="A353" t="str">
            <v>825945</v>
          </cell>
          <cell r="C353" t="str">
            <v>IFIC</v>
          </cell>
        </row>
        <row r="354">
          <cell r="A354" t="str">
            <v>825946</v>
          </cell>
          <cell r="C354" t="str">
            <v>IFIC</v>
          </cell>
        </row>
        <row r="355">
          <cell r="A355" t="str">
            <v>825947</v>
          </cell>
          <cell r="C355" t="str">
            <v>IFIC</v>
          </cell>
        </row>
        <row r="356">
          <cell r="A356" t="str">
            <v>82595503</v>
          </cell>
          <cell r="C356" t="str">
            <v>IFIC</v>
          </cell>
        </row>
        <row r="357">
          <cell r="A357" t="str">
            <v>82595506</v>
          </cell>
          <cell r="C357" t="str">
            <v>IFIC</v>
          </cell>
        </row>
        <row r="358">
          <cell r="A358" t="str">
            <v>82595507</v>
          </cell>
          <cell r="C358" t="str">
            <v>IFIC</v>
          </cell>
        </row>
        <row r="359">
          <cell r="A359" t="str">
            <v>82595591</v>
          </cell>
          <cell r="C359" t="str">
            <v>IFIC</v>
          </cell>
        </row>
        <row r="360">
          <cell r="A360" t="str">
            <v>82595593</v>
          </cell>
          <cell r="C360" t="str">
            <v>IFIC</v>
          </cell>
        </row>
        <row r="361">
          <cell r="A361" t="str">
            <v>82595594</v>
          </cell>
          <cell r="C361" t="str">
            <v>IFIC</v>
          </cell>
        </row>
        <row r="362">
          <cell r="A362" t="str">
            <v>82595597</v>
          </cell>
          <cell r="C362" t="str">
            <v>IFIC</v>
          </cell>
        </row>
        <row r="363">
          <cell r="A363" t="str">
            <v>825955991</v>
          </cell>
          <cell r="C363" t="str">
            <v>IFIC</v>
          </cell>
        </row>
        <row r="364">
          <cell r="A364" t="str">
            <v>825955993</v>
          </cell>
          <cell r="C364" t="str">
            <v>IFIC</v>
          </cell>
        </row>
        <row r="365">
          <cell r="A365" t="str">
            <v>825955994</v>
          </cell>
          <cell r="C365" t="str">
            <v>IFIC</v>
          </cell>
        </row>
        <row r="366">
          <cell r="A366" t="str">
            <v>825955995</v>
          </cell>
          <cell r="C366" t="str">
            <v>IFIC</v>
          </cell>
        </row>
        <row r="367">
          <cell r="A367" t="str">
            <v>82595600</v>
          </cell>
          <cell r="C367" t="str">
            <v>IFIC</v>
          </cell>
        </row>
        <row r="368">
          <cell r="A368" t="str">
            <v>82595620</v>
          </cell>
          <cell r="C368" t="str">
            <v>IFIC</v>
          </cell>
        </row>
        <row r="369">
          <cell r="A369" t="str">
            <v>82595670</v>
          </cell>
          <cell r="C369" t="str">
            <v>IFIC</v>
          </cell>
        </row>
        <row r="370">
          <cell r="A370" t="str">
            <v>82595680</v>
          </cell>
          <cell r="C370" t="str">
            <v>IFIC</v>
          </cell>
        </row>
        <row r="371">
          <cell r="A371" t="str">
            <v>8259570</v>
          </cell>
          <cell r="C371" t="str">
            <v>IFIC</v>
          </cell>
        </row>
        <row r="372">
          <cell r="A372" t="str">
            <v>8259571</v>
          </cell>
          <cell r="C372" t="str">
            <v>REC_MF</v>
          </cell>
        </row>
        <row r="373">
          <cell r="A373" t="str">
            <v>8259572</v>
          </cell>
          <cell r="C373" t="str">
            <v>IFIC</v>
          </cell>
        </row>
        <row r="374">
          <cell r="A374" t="str">
            <v>8259573</v>
          </cell>
          <cell r="C374" t="str">
            <v>REC_MF</v>
          </cell>
        </row>
        <row r="375">
          <cell r="A375" t="str">
            <v>825959602</v>
          </cell>
          <cell r="C375" t="str">
            <v>IFIC</v>
          </cell>
        </row>
        <row r="376">
          <cell r="A376" t="str">
            <v>825959604</v>
          </cell>
          <cell r="C376" t="str">
            <v>IFIC</v>
          </cell>
        </row>
        <row r="377">
          <cell r="A377" t="str">
            <v>825959606</v>
          </cell>
          <cell r="C377" t="str">
            <v>IFIC</v>
          </cell>
        </row>
        <row r="378">
          <cell r="A378" t="str">
            <v>825959607</v>
          </cell>
          <cell r="C378" t="str">
            <v>IFIC</v>
          </cell>
        </row>
        <row r="379">
          <cell r="A379" t="str">
            <v>825959617</v>
          </cell>
          <cell r="C379" t="str">
            <v>IFIC</v>
          </cell>
        </row>
        <row r="380">
          <cell r="A380" t="str">
            <v>825959620</v>
          </cell>
          <cell r="C380" t="str">
            <v>IFIC</v>
          </cell>
        </row>
        <row r="381">
          <cell r="A381" t="str">
            <v>825959625</v>
          </cell>
          <cell r="C381" t="str">
            <v>IFIC</v>
          </cell>
        </row>
        <row r="382">
          <cell r="A382" t="str">
            <v>825959626</v>
          </cell>
          <cell r="C382" t="str">
            <v>IFIC</v>
          </cell>
        </row>
        <row r="383">
          <cell r="A383" t="str">
            <v>82595995</v>
          </cell>
          <cell r="C383" t="str">
            <v>IFIC</v>
          </cell>
        </row>
        <row r="384">
          <cell r="A384" t="str">
            <v>82595996</v>
          </cell>
          <cell r="C384" t="str">
            <v>IFIC</v>
          </cell>
        </row>
        <row r="385">
          <cell r="A385" t="str">
            <v>82595998</v>
          </cell>
          <cell r="C385" t="str">
            <v>IFIC</v>
          </cell>
        </row>
        <row r="386">
          <cell r="A386" t="str">
            <v>825970</v>
          </cell>
          <cell r="C386" t="str">
            <v>IFIC</v>
          </cell>
        </row>
        <row r="387">
          <cell r="A387" t="str">
            <v>825972</v>
          </cell>
          <cell r="C387" t="str">
            <v>IFIC</v>
          </cell>
        </row>
        <row r="388">
          <cell r="A388" t="str">
            <v>825974</v>
          </cell>
          <cell r="C388" t="str">
            <v>IFIC</v>
          </cell>
        </row>
        <row r="389">
          <cell r="A389" t="str">
            <v>825975</v>
          </cell>
          <cell r="C389" t="str">
            <v>IFIC</v>
          </cell>
        </row>
        <row r="390">
          <cell r="A390" t="str">
            <v>825976</v>
          </cell>
          <cell r="C390" t="str">
            <v>IFIC</v>
          </cell>
        </row>
        <row r="391">
          <cell r="A391" t="str">
            <v>825977</v>
          </cell>
          <cell r="C391" t="str">
            <v>IFIC</v>
          </cell>
        </row>
        <row r="392">
          <cell r="A392" t="str">
            <v>825978</v>
          </cell>
          <cell r="C392" t="str">
            <v>IFIC</v>
          </cell>
        </row>
        <row r="393">
          <cell r="A393" t="str">
            <v>825979</v>
          </cell>
          <cell r="C393" t="str">
            <v>IFIC</v>
          </cell>
        </row>
        <row r="394">
          <cell r="A394" t="str">
            <v>82599</v>
          </cell>
          <cell r="C394" t="str">
            <v>IFIC</v>
          </cell>
        </row>
        <row r="395">
          <cell r="A395" t="str">
            <v>8280000</v>
          </cell>
          <cell r="C395" t="str">
            <v>IFIC</v>
          </cell>
        </row>
        <row r="396">
          <cell r="A396" t="str">
            <v>8280001</v>
          </cell>
          <cell r="C396" t="str">
            <v>IFIC</v>
          </cell>
        </row>
        <row r="397">
          <cell r="A397" t="str">
            <v>8280002</v>
          </cell>
          <cell r="C397" t="str">
            <v>IFIC</v>
          </cell>
        </row>
        <row r="398">
          <cell r="A398" t="str">
            <v>8280003</v>
          </cell>
          <cell r="C398" t="str">
            <v>IFIC</v>
          </cell>
        </row>
        <row r="399">
          <cell r="A399" t="str">
            <v>828001</v>
          </cell>
          <cell r="C399" t="str">
            <v>IFIC</v>
          </cell>
        </row>
        <row r="400">
          <cell r="A400" t="str">
            <v>82801</v>
          </cell>
          <cell r="C400" t="str">
            <v>IFIC</v>
          </cell>
        </row>
        <row r="401">
          <cell r="A401" t="str">
            <v>82810</v>
          </cell>
          <cell r="C401" t="str">
            <v>IFIC</v>
          </cell>
        </row>
        <row r="402">
          <cell r="A402" t="str">
            <v>829000</v>
          </cell>
          <cell r="C402" t="str">
            <v>IFIC</v>
          </cell>
        </row>
        <row r="403">
          <cell r="A403" t="str">
            <v>829001</v>
          </cell>
          <cell r="C403" t="str">
            <v>IFIC</v>
          </cell>
        </row>
        <row r="404">
          <cell r="A404" t="str">
            <v>829002</v>
          </cell>
          <cell r="C404" t="str">
            <v>IFIC</v>
          </cell>
        </row>
        <row r="405">
          <cell r="A405" t="str">
            <v>82901</v>
          </cell>
          <cell r="C405" t="str">
            <v>IFIC</v>
          </cell>
        </row>
        <row r="406">
          <cell r="A406" t="str">
            <v>8291</v>
          </cell>
          <cell r="C406" t="str">
            <v>IFIC</v>
          </cell>
        </row>
        <row r="407">
          <cell r="A407" t="str">
            <v>8294</v>
          </cell>
          <cell r="C407" t="str">
            <v>IFIC</v>
          </cell>
        </row>
        <row r="408">
          <cell r="A408" t="str">
            <v>8298</v>
          </cell>
          <cell r="C408" t="str">
            <v>IFIC</v>
          </cell>
        </row>
        <row r="409">
          <cell r="A409" t="str">
            <v>82990</v>
          </cell>
          <cell r="C409" t="str">
            <v>IFIC</v>
          </cell>
        </row>
        <row r="410">
          <cell r="A410" t="str">
            <v>82991</v>
          </cell>
          <cell r="C410" t="str">
            <v>IFIC</v>
          </cell>
        </row>
        <row r="411">
          <cell r="A411" t="str">
            <v>82992</v>
          </cell>
          <cell r="C411" t="str">
            <v>IFIC</v>
          </cell>
        </row>
        <row r="412">
          <cell r="A412" t="str">
            <v>82999</v>
          </cell>
          <cell r="C412" t="str">
            <v>IFIC</v>
          </cell>
        </row>
        <row r="413">
          <cell r="A413" t="str">
            <v>8314</v>
          </cell>
          <cell r="C413" t="str">
            <v>OREX</v>
          </cell>
        </row>
        <row r="414">
          <cell r="A414" t="str">
            <v>8319</v>
          </cell>
          <cell r="C414" t="str">
            <v>OREX</v>
          </cell>
        </row>
        <row r="415">
          <cell r="A415" t="str">
            <v>83358</v>
          </cell>
          <cell r="C415" t="str">
            <v>OREX</v>
          </cell>
        </row>
        <row r="416">
          <cell r="A416" t="str">
            <v>83800</v>
          </cell>
          <cell r="C416" t="str">
            <v>OREX</v>
          </cell>
        </row>
        <row r="417">
          <cell r="A417" t="str">
            <v>83809</v>
          </cell>
          <cell r="C417" t="str">
            <v>OREX</v>
          </cell>
        </row>
        <row r="418">
          <cell r="A418" t="str">
            <v>8382</v>
          </cell>
          <cell r="C418" t="str">
            <v>OREX</v>
          </cell>
        </row>
        <row r="419">
          <cell r="A419" t="str">
            <v>839200</v>
          </cell>
          <cell r="C419" t="str">
            <v>OREX</v>
          </cell>
        </row>
        <row r="420">
          <cell r="A420" t="str">
            <v>8900</v>
          </cell>
          <cell r="C420" t="str">
            <v>OREX</v>
          </cell>
        </row>
        <row r="421">
          <cell r="A421" t="str">
            <v>891</v>
          </cell>
          <cell r="C421" t="str">
            <v>OREX</v>
          </cell>
        </row>
        <row r="422">
          <cell r="A422" t="str">
            <v>8920</v>
          </cell>
          <cell r="C422" t="str">
            <v>IFIC</v>
          </cell>
        </row>
        <row r="423">
          <cell r="A423" t="str">
            <v>89220</v>
          </cell>
          <cell r="C423" t="str">
            <v>OREX</v>
          </cell>
        </row>
        <row r="424">
          <cell r="A424" t="str">
            <v>89221</v>
          </cell>
          <cell r="C424" t="str">
            <v>OREX</v>
          </cell>
        </row>
        <row r="425">
          <cell r="A425" t="str">
            <v>89222</v>
          </cell>
          <cell r="C425" t="str">
            <v>OREX</v>
          </cell>
        </row>
        <row r="426">
          <cell r="A426" t="str">
            <v>89223</v>
          </cell>
          <cell r="C426" t="str">
            <v>OREX</v>
          </cell>
        </row>
        <row r="427">
          <cell r="A427" t="str">
            <v>89224</v>
          </cell>
          <cell r="C427" t="str">
            <v>OREX</v>
          </cell>
        </row>
        <row r="428">
          <cell r="A428" t="str">
            <v>89225</v>
          </cell>
          <cell r="C428" t="str">
            <v>OREX</v>
          </cell>
        </row>
        <row r="429">
          <cell r="A429" t="str">
            <v>8923</v>
          </cell>
          <cell r="C429" t="str">
            <v>OREX</v>
          </cell>
        </row>
        <row r="430">
          <cell r="A430" t="str">
            <v>8924</v>
          </cell>
          <cell r="C430" t="str">
            <v>OREX</v>
          </cell>
        </row>
        <row r="431">
          <cell r="A431" t="str">
            <v>89250</v>
          </cell>
          <cell r="C431" t="str">
            <v>OREX</v>
          </cell>
        </row>
        <row r="432">
          <cell r="A432" t="str">
            <v>89251</v>
          </cell>
          <cell r="C432" t="str">
            <v>OREX</v>
          </cell>
        </row>
        <row r="433">
          <cell r="A433" t="str">
            <v>89260</v>
          </cell>
          <cell r="C433" t="str">
            <v>OREX</v>
          </cell>
        </row>
        <row r="434">
          <cell r="A434" t="str">
            <v>89261</v>
          </cell>
          <cell r="C434" t="str">
            <v>OREX</v>
          </cell>
        </row>
        <row r="435">
          <cell r="A435" t="str">
            <v>89270</v>
          </cell>
          <cell r="C435" t="str">
            <v>OREX</v>
          </cell>
        </row>
        <row r="436">
          <cell r="A436" t="str">
            <v>89271</v>
          </cell>
          <cell r="C436" t="str">
            <v>OREX</v>
          </cell>
        </row>
        <row r="437">
          <cell r="A437" t="str">
            <v>89290</v>
          </cell>
          <cell r="C437" t="str">
            <v>OREX</v>
          </cell>
        </row>
        <row r="438">
          <cell r="A438" t="str">
            <v>89293</v>
          </cell>
          <cell r="C438" t="str">
            <v>OREX</v>
          </cell>
        </row>
        <row r="439">
          <cell r="A439" t="str">
            <v>892990</v>
          </cell>
          <cell r="C439" t="str">
            <v>OREX</v>
          </cell>
        </row>
        <row r="440">
          <cell r="A440" t="str">
            <v>892991</v>
          </cell>
          <cell r="C440" t="str">
            <v>OREX</v>
          </cell>
        </row>
        <row r="441">
          <cell r="A441" t="str">
            <v>89300</v>
          </cell>
          <cell r="C441" t="str">
            <v>GG</v>
          </cell>
        </row>
        <row r="442">
          <cell r="A442" t="str">
            <v>89301</v>
          </cell>
          <cell r="C442" t="str">
            <v>GG</v>
          </cell>
        </row>
        <row r="443">
          <cell r="A443" t="str">
            <v>89302</v>
          </cell>
          <cell r="C443" t="str">
            <v>GG</v>
          </cell>
        </row>
        <row r="444">
          <cell r="A444" t="str">
            <v>89303</v>
          </cell>
          <cell r="C444" t="str">
            <v>GG</v>
          </cell>
        </row>
        <row r="445">
          <cell r="A445" t="str">
            <v>89304</v>
          </cell>
          <cell r="C445" t="str">
            <v>GG</v>
          </cell>
        </row>
        <row r="446">
          <cell r="A446" t="str">
            <v>89305</v>
          </cell>
          <cell r="C446" t="str">
            <v>GG</v>
          </cell>
        </row>
        <row r="447">
          <cell r="A447" t="str">
            <v>89306</v>
          </cell>
          <cell r="C447" t="str">
            <v>GG</v>
          </cell>
        </row>
        <row r="448">
          <cell r="A448" t="str">
            <v>89307</v>
          </cell>
          <cell r="C448" t="str">
            <v>GG</v>
          </cell>
        </row>
        <row r="449">
          <cell r="A449" t="str">
            <v>89308</v>
          </cell>
          <cell r="C449" t="str">
            <v>GG</v>
          </cell>
        </row>
        <row r="450">
          <cell r="A450" t="str">
            <v>89309</v>
          </cell>
          <cell r="C450" t="str">
            <v>GG</v>
          </cell>
        </row>
        <row r="451">
          <cell r="A451" t="str">
            <v>8933</v>
          </cell>
          <cell r="C451" t="str">
            <v>GG</v>
          </cell>
        </row>
        <row r="452">
          <cell r="A452" t="str">
            <v>89340</v>
          </cell>
          <cell r="C452" t="str">
            <v>GG</v>
          </cell>
        </row>
        <row r="453">
          <cell r="A453" t="str">
            <v>89341</v>
          </cell>
          <cell r="C453" t="str">
            <v>GG</v>
          </cell>
        </row>
        <row r="454">
          <cell r="A454" t="str">
            <v>89342</v>
          </cell>
          <cell r="C454" t="str">
            <v>GG</v>
          </cell>
        </row>
        <row r="455">
          <cell r="A455" t="str">
            <v>89343</v>
          </cell>
          <cell r="C455" t="str">
            <v>GG</v>
          </cell>
        </row>
        <row r="456">
          <cell r="A456" t="str">
            <v>89344</v>
          </cell>
          <cell r="C456" t="str">
            <v>GG</v>
          </cell>
        </row>
        <row r="457">
          <cell r="A457" t="str">
            <v>89350</v>
          </cell>
          <cell r="C457" t="str">
            <v>GG</v>
          </cell>
        </row>
        <row r="458">
          <cell r="A458" t="str">
            <v>89351</v>
          </cell>
          <cell r="C458" t="str">
            <v>GG</v>
          </cell>
        </row>
        <row r="459">
          <cell r="A459" t="str">
            <v>89352</v>
          </cell>
          <cell r="C459" t="str">
            <v>GG</v>
          </cell>
        </row>
        <row r="460">
          <cell r="A460" t="str">
            <v>89353</v>
          </cell>
          <cell r="C460" t="str">
            <v>GG</v>
          </cell>
        </row>
        <row r="461">
          <cell r="A461" t="str">
            <v>89354</v>
          </cell>
          <cell r="C461" t="str">
            <v>GG</v>
          </cell>
        </row>
        <row r="462">
          <cell r="A462" t="str">
            <v>89355</v>
          </cell>
          <cell r="C462" t="str">
            <v>GG</v>
          </cell>
        </row>
        <row r="463">
          <cell r="A463" t="str">
            <v>8936</v>
          </cell>
          <cell r="C463" t="str">
            <v>GG</v>
          </cell>
        </row>
        <row r="464">
          <cell r="A464" t="str">
            <v>89390</v>
          </cell>
          <cell r="C464" t="str">
            <v>GG</v>
          </cell>
        </row>
        <row r="465">
          <cell r="A465" t="str">
            <v>89391</v>
          </cell>
          <cell r="C465" t="str">
            <v>GG</v>
          </cell>
        </row>
        <row r="466">
          <cell r="A466" t="str">
            <v>8980</v>
          </cell>
          <cell r="C466" t="str">
            <v>RO</v>
          </cell>
        </row>
        <row r="467">
          <cell r="A467" t="str">
            <v>89810</v>
          </cell>
          <cell r="C467" t="str">
            <v>RO</v>
          </cell>
        </row>
        <row r="468">
          <cell r="A468" t="str">
            <v>89811</v>
          </cell>
          <cell r="C468" t="str">
            <v>RO</v>
          </cell>
        </row>
        <row r="469">
          <cell r="A469" t="str">
            <v>8982</v>
          </cell>
          <cell r="C469" t="str">
            <v>RO</v>
          </cell>
        </row>
        <row r="470">
          <cell r="A470" t="str">
            <v>8983</v>
          </cell>
          <cell r="C470" t="str">
            <v>RO</v>
          </cell>
        </row>
        <row r="471">
          <cell r="A471" t="str">
            <v>8984</v>
          </cell>
          <cell r="C471" t="str">
            <v>RO</v>
          </cell>
        </row>
        <row r="472">
          <cell r="A472" t="str">
            <v>8985</v>
          </cell>
          <cell r="C472" t="str">
            <v>RO</v>
          </cell>
        </row>
        <row r="473">
          <cell r="A473" t="str">
            <v>8986</v>
          </cell>
          <cell r="C473" t="str">
            <v>RO</v>
          </cell>
        </row>
        <row r="474">
          <cell r="A474" t="str">
            <v>8990</v>
          </cell>
          <cell r="C474" t="str">
            <v>OREX</v>
          </cell>
        </row>
        <row r="475">
          <cell r="A475" t="str">
            <v>89910</v>
          </cell>
          <cell r="C475" t="str">
            <v>OREX</v>
          </cell>
        </row>
        <row r="476">
          <cell r="A476" t="str">
            <v>89913</v>
          </cell>
          <cell r="C476" t="str">
            <v>OREX</v>
          </cell>
        </row>
        <row r="477">
          <cell r="A477" t="str">
            <v>899151</v>
          </cell>
          <cell r="C477" t="str">
            <v>OREX</v>
          </cell>
        </row>
        <row r="478">
          <cell r="A478" t="str">
            <v>899152</v>
          </cell>
          <cell r="C478" t="str">
            <v>OREX</v>
          </cell>
        </row>
        <row r="479">
          <cell r="A479" t="str">
            <v>899153</v>
          </cell>
          <cell r="C479" t="str">
            <v>OREX</v>
          </cell>
        </row>
        <row r="480">
          <cell r="A480" t="str">
            <v>899154</v>
          </cell>
          <cell r="C480" t="str">
            <v>OREX</v>
          </cell>
        </row>
        <row r="481">
          <cell r="A481" t="str">
            <v>899155</v>
          </cell>
          <cell r="C481" t="str">
            <v>OREX</v>
          </cell>
        </row>
        <row r="482">
          <cell r="A482" t="str">
            <v>8991591</v>
          </cell>
          <cell r="C482" t="str">
            <v>OREX</v>
          </cell>
        </row>
        <row r="483">
          <cell r="A483" t="str">
            <v>8991592</v>
          </cell>
          <cell r="C483" t="str">
            <v>OREX</v>
          </cell>
        </row>
        <row r="484">
          <cell r="A484" t="str">
            <v>8991593</v>
          </cell>
          <cell r="C484" t="str">
            <v>OREX</v>
          </cell>
        </row>
        <row r="485">
          <cell r="A485" t="str">
            <v>8991594</v>
          </cell>
          <cell r="C485" t="str">
            <v>GG</v>
          </cell>
        </row>
        <row r="486">
          <cell r="A486" t="str">
            <v>8991595</v>
          </cell>
          <cell r="C486" t="str">
            <v>GG</v>
          </cell>
        </row>
        <row r="487">
          <cell r="A487" t="str">
            <v>8991599</v>
          </cell>
          <cell r="C487" t="str">
            <v>GG</v>
          </cell>
        </row>
        <row r="488">
          <cell r="A488" t="str">
            <v>89916</v>
          </cell>
          <cell r="C488" t="str">
            <v>OREX</v>
          </cell>
        </row>
        <row r="489">
          <cell r="A489" t="str">
            <v>89917</v>
          </cell>
          <cell r="C489" t="str">
            <v>OREX</v>
          </cell>
        </row>
        <row r="490">
          <cell r="A490" t="str">
            <v>899181</v>
          </cell>
          <cell r="C490" t="str">
            <v>OREX</v>
          </cell>
        </row>
        <row r="491">
          <cell r="A491" t="str">
            <v>899182</v>
          </cell>
          <cell r="C491" t="str">
            <v>OREX</v>
          </cell>
        </row>
        <row r="492">
          <cell r="A492" t="str">
            <v>899183</v>
          </cell>
          <cell r="C492" t="str">
            <v>OREX</v>
          </cell>
        </row>
        <row r="493">
          <cell r="A493" t="str">
            <v>89919</v>
          </cell>
          <cell r="C493" t="str">
            <v>OREX</v>
          </cell>
        </row>
        <row r="494">
          <cell r="A494" t="str">
            <v>8993</v>
          </cell>
          <cell r="C494" t="str">
            <v>OREX</v>
          </cell>
        </row>
        <row r="495">
          <cell r="A495" t="str">
            <v>8996</v>
          </cell>
          <cell r="C495" t="str">
            <v>OREX</v>
          </cell>
        </row>
        <row r="496">
          <cell r="A496" t="str">
            <v>8997</v>
          </cell>
          <cell r="C496" t="str">
            <v>OREX</v>
          </cell>
        </row>
        <row r="497">
          <cell r="A497" t="str">
            <v>89990</v>
          </cell>
          <cell r="C497" t="str">
            <v>OREX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V1291"/>
  <sheetViews>
    <sheetView tabSelected="1" zoomScale="54" zoomScaleNormal="100" workbookViewId="0">
      <pane xSplit="4" ySplit="4" topLeftCell="E5" activePane="bottomRight" state="frozen"/>
      <selection pane="bottomRight" activeCell="O4" sqref="O4"/>
      <selection pane="bottomLeft" activeCell="A2" sqref="A2"/>
      <selection pane="topRight" activeCell="D1" sqref="D1"/>
    </sheetView>
  </sheetViews>
  <sheetFormatPr defaultRowHeight="14.45"/>
  <cols>
    <col min="1" max="1" width="8" customWidth="1"/>
    <col min="2" max="2" width="26.5703125" bestFit="1" customWidth="1"/>
    <col min="3" max="3" width="5.85546875" customWidth="1"/>
    <col min="4" max="4" width="10" bestFit="1" customWidth="1"/>
    <col min="5" max="5" width="12" bestFit="1" customWidth="1"/>
    <col min="6" max="6" width="15.42578125" bestFit="1" customWidth="1"/>
    <col min="7" max="7" width="14.5703125" bestFit="1" customWidth="1"/>
    <col min="8" max="8" width="14.140625" bestFit="1" customWidth="1"/>
    <col min="9" max="9" width="14.140625" style="2" bestFit="1" customWidth="1"/>
    <col min="10" max="10" width="10.140625" customWidth="1"/>
    <col min="11" max="11" width="1.42578125" style="2" customWidth="1"/>
    <col min="12" max="12" width="25.85546875" customWidth="1"/>
    <col min="13" max="13" width="13.5703125" style="2" bestFit="1" customWidth="1"/>
    <col min="14" max="14" width="1.42578125" customWidth="1"/>
    <col min="15" max="15" width="23.42578125" bestFit="1" customWidth="1"/>
    <col min="16" max="16" width="7.5703125" customWidth="1"/>
    <col min="17" max="17" width="5.5703125" bestFit="1" customWidth="1"/>
    <col min="18" max="19" width="3.42578125" bestFit="1" customWidth="1"/>
    <col min="20" max="20" width="7.5703125" customWidth="1"/>
  </cols>
  <sheetData>
    <row r="1" spans="1:22">
      <c r="F1" s="1">
        <f>SUBTOTAL(9,F5:F1234)</f>
        <v>497523059.44999969</v>
      </c>
      <c r="G1" s="1">
        <f t="shared" ref="G1:I1" si="0">SUBTOTAL(9,G5:G1234)</f>
        <v>476853264.60538423</v>
      </c>
      <c r="H1" s="1">
        <f t="shared" si="0"/>
        <v>20669749.844615698</v>
      </c>
      <c r="I1" s="1">
        <f t="shared" si="0"/>
        <v>20669794.844615687</v>
      </c>
      <c r="J1" s="1"/>
      <c r="L1" s="2">
        <f>I1-H1</f>
        <v>44.999999988824129</v>
      </c>
      <c r="M1" s="1">
        <f t="shared" ref="M1" si="1">SUBTOTAL(9,M5:M1234)</f>
        <v>155525608.06000003</v>
      </c>
    </row>
    <row r="2" spans="1:22">
      <c r="I2" s="2">
        <f>F1245+F1248+F1251</f>
        <v>20343268.27</v>
      </c>
      <c r="L2" s="2">
        <f>I1-I2</f>
        <v>326526.57461568713</v>
      </c>
      <c r="V2" s="3"/>
    </row>
    <row r="3" spans="1:22" ht="15" thickBot="1"/>
    <row r="4" spans="1:22" ht="59.1" thickTop="1" thickBot="1">
      <c r="A4" s="130" t="s">
        <v>0</v>
      </c>
      <c r="B4" s="131"/>
      <c r="C4" s="4" t="s">
        <v>1</v>
      </c>
      <c r="D4" s="5" t="s">
        <v>2</v>
      </c>
      <c r="E4" s="6" t="s">
        <v>3</v>
      </c>
      <c r="F4" s="7" t="s">
        <v>4</v>
      </c>
      <c r="G4" s="7" t="s">
        <v>5</v>
      </c>
      <c r="H4" s="132" t="s">
        <v>6</v>
      </c>
      <c r="I4" s="131"/>
      <c r="J4" s="8" t="s">
        <v>7</v>
      </c>
      <c r="L4" s="9" t="s">
        <v>8</v>
      </c>
      <c r="M4" s="10" t="s">
        <v>9</v>
      </c>
      <c r="O4" s="7" t="s">
        <v>10</v>
      </c>
      <c r="P4" s="8" t="s">
        <v>11</v>
      </c>
      <c r="Q4" s="8" t="s">
        <v>12</v>
      </c>
      <c r="R4" s="8" t="s">
        <v>13</v>
      </c>
      <c r="S4" s="8" t="s">
        <v>14</v>
      </c>
      <c r="T4" s="8" t="s">
        <v>15</v>
      </c>
    </row>
    <row r="5" spans="1:22" ht="15.6" thickTop="1" thickBot="1">
      <c r="A5" s="11" t="s">
        <v>16</v>
      </c>
      <c r="B5" s="11" t="str">
        <f>VLOOKUP(A5,'[6]Fin vs NFin'!$A$4:$B$568,2,FALSE)</f>
        <v>!Manutenção Empresa</v>
      </c>
      <c r="C5" s="11" t="s">
        <v>17</v>
      </c>
      <c r="D5" s="11" t="s">
        <v>18</v>
      </c>
      <c r="E5" s="11" t="str">
        <f>VLOOKUP(D5,[6]Arvore!$N$8:$Q$6855,4,FALSE)</f>
        <v>51950</v>
      </c>
      <c r="F5" s="12">
        <v>4418012.92</v>
      </c>
      <c r="G5" s="12">
        <v>4418052.5784109998</v>
      </c>
      <c r="H5" s="13">
        <v>-39.658410999923902</v>
      </c>
      <c r="I5" s="14">
        <v>-39.658410999923902</v>
      </c>
      <c r="J5" s="12"/>
      <c r="L5" s="15"/>
      <c r="M5" s="16"/>
      <c r="O5" s="12" t="str">
        <f>VLOOKUP(QUERY_FOR_TRNSTRANSPOSED_0008!A5,'[6]Fin vs NFin'!$A$4:$F$568,6,FALSE)</f>
        <v>Não Financeiras</v>
      </c>
      <c r="P5" s="17" t="str">
        <f>LEFT(D5,2)</f>
        <v>82</v>
      </c>
      <c r="Q5" s="17"/>
      <c r="R5" s="17"/>
      <c r="S5" s="17"/>
      <c r="T5" s="17"/>
    </row>
    <row r="6" spans="1:22">
      <c r="A6" s="18" t="s">
        <v>19</v>
      </c>
      <c r="B6" s="18" t="str">
        <f>VLOOKUP(A6,'[6]Fin vs NFin'!$A$4:$B$568,2,FALSE)</f>
        <v>!Manutenção Particulares</v>
      </c>
      <c r="C6" s="18" t="s">
        <v>20</v>
      </c>
      <c r="D6" s="18" t="s">
        <v>18</v>
      </c>
      <c r="E6" s="18" t="str">
        <f>VLOOKUP(D6,[6]Arvore!$N$8:$Q$6855,4,FALSE)</f>
        <v>51950</v>
      </c>
      <c r="F6" s="19">
        <v>343483.76</v>
      </c>
      <c r="G6" s="19">
        <v>342992.18</v>
      </c>
      <c r="H6" s="20">
        <v>491.58000000001601</v>
      </c>
      <c r="I6" s="114">
        <f>SUM(H6:H7)</f>
        <v>4.0800000000160139</v>
      </c>
      <c r="J6" s="19"/>
      <c r="K6" s="21"/>
      <c r="L6" s="22"/>
      <c r="M6" s="23"/>
      <c r="O6" s="19" t="str">
        <f>VLOOKUP(QUERY_FOR_TRNSTRANSPOSED_0008!A6,'[6]Fin vs NFin'!$A$4:$F$568,6,FALSE)</f>
        <v>Não Financeiras</v>
      </c>
      <c r="P6" s="24" t="str">
        <f t="shared" ref="P6:P69" si="2">LEFT(D6,2)</f>
        <v>82</v>
      </c>
      <c r="Q6" s="24"/>
      <c r="R6" s="24"/>
      <c r="S6" s="24"/>
      <c r="T6" s="24"/>
    </row>
    <row r="7" spans="1:22" ht="15" thickBot="1">
      <c r="A7" s="11" t="s">
        <v>19</v>
      </c>
      <c r="B7" s="11" t="str">
        <f>VLOOKUP(A7,'[6]Fin vs NFin'!$A$4:$B$568,2,FALSE)</f>
        <v>!Manutenção Particulares</v>
      </c>
      <c r="C7" s="11" t="s">
        <v>21</v>
      </c>
      <c r="D7" s="11" t="s">
        <v>18</v>
      </c>
      <c r="E7" s="11" t="str">
        <f>VLOOKUP(D7,[6]Arvore!$N$8:$Q$6855,4,FALSE)</f>
        <v>51950</v>
      </c>
      <c r="F7" s="12">
        <v>175672.28</v>
      </c>
      <c r="G7" s="12">
        <v>176159.78</v>
      </c>
      <c r="H7" s="13">
        <v>-487.5</v>
      </c>
      <c r="I7" s="109"/>
      <c r="J7" s="12"/>
      <c r="K7" s="21"/>
      <c r="L7" s="15"/>
      <c r="M7" s="16"/>
      <c r="O7" s="12" t="str">
        <f>VLOOKUP(QUERY_FOR_TRNSTRANSPOSED_0008!A7,'[6]Fin vs NFin'!$A$4:$F$568,6,FALSE)</f>
        <v>Não Financeiras</v>
      </c>
      <c r="P7" s="17" t="str">
        <f t="shared" si="2"/>
        <v>82</v>
      </c>
      <c r="Q7" s="17"/>
      <c r="R7" s="17"/>
      <c r="S7" s="17"/>
      <c r="T7" s="17"/>
    </row>
    <row r="8" spans="1:22" ht="15" thickBot="1">
      <c r="A8" s="25" t="s">
        <v>22</v>
      </c>
      <c r="B8" s="25" t="str">
        <f>VLOOKUP(A8,'[6]Fin vs NFin'!$A$4:$B$568,2,FALSE)</f>
        <v>!Manut.Client.Nat.Financ.</v>
      </c>
      <c r="C8" s="25" t="s">
        <v>23</v>
      </c>
      <c r="D8" s="25" t="s">
        <v>18</v>
      </c>
      <c r="E8" s="25" t="str">
        <f>VLOOKUP(D8,[6]Arvore!$N$8:$Q$6855,4,FALSE)</f>
        <v>51950</v>
      </c>
      <c r="F8" s="26">
        <v>-12680.77</v>
      </c>
      <c r="G8" s="26">
        <v>-12680.77</v>
      </c>
      <c r="H8" s="27">
        <v>1.8189894035458601E-12</v>
      </c>
      <c r="I8" s="28">
        <v>1.8189894035458601E-12</v>
      </c>
      <c r="J8" s="26"/>
      <c r="L8" s="29"/>
      <c r="M8" s="30"/>
      <c r="O8" s="26" t="str">
        <f>VLOOKUP(QUERY_FOR_TRNSTRANSPOSED_0008!A8,'[6]Fin vs NFin'!$A$4:$F$568,6,FALSE)</f>
        <v>Não Financeiras</v>
      </c>
      <c r="P8" s="31" t="str">
        <f t="shared" si="2"/>
        <v>82</v>
      </c>
      <c r="Q8" s="31"/>
      <c r="R8" s="31"/>
      <c r="S8" s="31"/>
      <c r="T8" s="31"/>
    </row>
    <row r="9" spans="1:22">
      <c r="A9" s="18" t="s">
        <v>24</v>
      </c>
      <c r="B9" s="18" t="str">
        <f>VLOOKUP(A9,'[6]Fin vs NFin'!$A$4:$B$568,2,FALSE)</f>
        <v>!Manutenção Outras</v>
      </c>
      <c r="C9" s="18" t="s">
        <v>25</v>
      </c>
      <c r="D9" s="18" t="s">
        <v>26</v>
      </c>
      <c r="E9" s="18" t="str">
        <f>VLOOKUP(D9,[6]Arvore!$N$8:$Q$6855,4,FALSE)</f>
        <v>512010</v>
      </c>
      <c r="F9" s="19">
        <v>88299.76</v>
      </c>
      <c r="G9" s="19">
        <v>66554.64</v>
      </c>
      <c r="H9" s="20">
        <v>21745.119999999999</v>
      </c>
      <c r="I9" s="108">
        <v>-7.2759576141834308E-12</v>
      </c>
      <c r="J9" s="19"/>
      <c r="K9" s="21"/>
      <c r="L9" s="22"/>
      <c r="M9" s="23"/>
      <c r="O9" s="19" t="str">
        <f>VLOOKUP(QUERY_FOR_TRNSTRANSPOSED_0008!A9,'[6]Fin vs NFin'!$A$4:$F$568,6,FALSE)</f>
        <v>Não Financeiras</v>
      </c>
      <c r="P9" s="24" t="str">
        <f t="shared" si="2"/>
        <v>82</v>
      </c>
      <c r="Q9" s="24"/>
      <c r="R9" s="24"/>
      <c r="S9" s="24"/>
      <c r="T9" s="24"/>
    </row>
    <row r="10" spans="1:22">
      <c r="A10" s="18" t="s">
        <v>24</v>
      </c>
      <c r="B10" s="18" t="str">
        <f>VLOOKUP(A10,'[6]Fin vs NFin'!$A$4:$B$568,2,FALSE)</f>
        <v>!Manutenção Outras</v>
      </c>
      <c r="C10" s="18" t="s">
        <v>27</v>
      </c>
      <c r="D10" s="18" t="s">
        <v>26</v>
      </c>
      <c r="E10" s="18" t="str">
        <f>VLOOKUP(D10,[6]Arvore!$N$8:$Q$6855,4,FALSE)</f>
        <v>512010</v>
      </c>
      <c r="F10" s="19">
        <v>16984</v>
      </c>
      <c r="G10" s="19">
        <v>38729.120000000003</v>
      </c>
      <c r="H10" s="20">
        <v>-21745.119999999999</v>
      </c>
      <c r="I10" s="114"/>
      <c r="J10" s="19"/>
      <c r="K10" s="21"/>
      <c r="L10" s="22"/>
      <c r="M10" s="23"/>
      <c r="O10" s="19" t="str">
        <f>VLOOKUP(QUERY_FOR_TRNSTRANSPOSED_0008!A10,'[6]Fin vs NFin'!$A$4:$F$568,6,FALSE)</f>
        <v>Não Financeiras</v>
      </c>
      <c r="P10" s="24" t="str">
        <f t="shared" si="2"/>
        <v>82</v>
      </c>
      <c r="Q10" s="24"/>
      <c r="R10" s="24"/>
      <c r="S10" s="24"/>
      <c r="T10" s="24"/>
    </row>
    <row r="11" spans="1:22">
      <c r="A11" s="32" t="s">
        <v>24</v>
      </c>
      <c r="B11" s="32" t="str">
        <f>VLOOKUP(A11,'[6]Fin vs NFin'!$A$4:$B$568,2,FALSE)</f>
        <v>!Manutenção Outras</v>
      </c>
      <c r="C11" s="32" t="s">
        <v>28</v>
      </c>
      <c r="D11" s="32" t="s">
        <v>18</v>
      </c>
      <c r="E11" s="32" t="str">
        <f>VLOOKUP(D11,[6]Arvore!$N$8:$Q$6855,4,FALSE)</f>
        <v>51950</v>
      </c>
      <c r="F11" s="33">
        <v>-24</v>
      </c>
      <c r="G11" s="33">
        <v>-24</v>
      </c>
      <c r="H11" s="34">
        <v>0</v>
      </c>
      <c r="I11" s="114"/>
      <c r="J11" s="19"/>
      <c r="K11" s="21"/>
      <c r="L11" s="22"/>
      <c r="M11" s="23"/>
      <c r="O11" s="19" t="str">
        <f>VLOOKUP(QUERY_FOR_TRNSTRANSPOSED_0008!A11,'[6]Fin vs NFin'!$A$4:$F$568,6,FALSE)</f>
        <v>Não Financeiras</v>
      </c>
      <c r="P11" s="24" t="str">
        <f t="shared" si="2"/>
        <v>82</v>
      </c>
      <c r="Q11" s="24"/>
      <c r="R11" s="24"/>
      <c r="S11" s="24"/>
      <c r="T11" s="24"/>
    </row>
    <row r="12" spans="1:22" ht="15" thickBot="1">
      <c r="A12" s="35" t="s">
        <v>24</v>
      </c>
      <c r="B12" s="35" t="str">
        <f>VLOOKUP(A12,'[6]Fin vs NFin'!$A$4:$B$568,2,FALSE)</f>
        <v>!Manutenção Outras</v>
      </c>
      <c r="C12" s="35" t="s">
        <v>29</v>
      </c>
      <c r="D12" s="35" t="s">
        <v>18</v>
      </c>
      <c r="E12" s="35" t="str">
        <f>VLOOKUP(D12,[6]Arvore!$N$8:$Q$6855,4,FALSE)</f>
        <v>51950</v>
      </c>
      <c r="F12" s="36">
        <v>-2.2000000000000002</v>
      </c>
      <c r="G12" s="36">
        <v>-2.2000000000000002</v>
      </c>
      <c r="H12" s="37">
        <v>0</v>
      </c>
      <c r="I12" s="109"/>
      <c r="J12" s="12"/>
      <c r="K12" s="21"/>
      <c r="L12" s="15"/>
      <c r="M12" s="16"/>
      <c r="O12" s="12" t="str">
        <f>VLOOKUP(QUERY_FOR_TRNSTRANSPOSED_0008!A12,'[6]Fin vs NFin'!$A$4:$F$568,6,FALSE)</f>
        <v>Não Financeiras</v>
      </c>
      <c r="P12" s="17" t="str">
        <f t="shared" si="2"/>
        <v>82</v>
      </c>
      <c r="Q12" s="17"/>
      <c r="R12" s="17"/>
      <c r="S12" s="17"/>
      <c r="T12" s="17"/>
    </row>
    <row r="13" spans="1:22">
      <c r="A13" s="38" t="s">
        <v>30</v>
      </c>
      <c r="B13" s="38" t="str">
        <f>VLOOKUP(A13,'[6]Fin vs NFin'!$A$4:$B$568,2,FALSE)</f>
        <v>!Extractos</v>
      </c>
      <c r="C13" s="38" t="s">
        <v>31</v>
      </c>
      <c r="D13" s="38" t="s">
        <v>32</v>
      </c>
      <c r="E13" s="38" t="str">
        <f>VLOOKUP(D13,[6]Arvore!$N$8:$Q$6855,4,FALSE)</f>
        <v>55083</v>
      </c>
      <c r="F13" s="39">
        <v>19485.59</v>
      </c>
      <c r="G13" s="39">
        <v>19560.91</v>
      </c>
      <c r="H13" s="40">
        <v>-75.320000000003304</v>
      </c>
      <c r="I13" s="108">
        <v>-2.1884716261411102E-12</v>
      </c>
      <c r="J13" s="39"/>
      <c r="K13" s="21"/>
      <c r="L13" s="41"/>
      <c r="M13" s="42"/>
      <c r="O13" s="39" t="str">
        <f>VLOOKUP(QUERY_FOR_TRNSTRANSPOSED_0008!A13,'[6]Fin vs NFin'!$A$4:$F$568,6,FALSE)</f>
        <v>Não Financeiras</v>
      </c>
      <c r="P13" s="43" t="str">
        <f t="shared" si="2"/>
        <v>89</v>
      </c>
      <c r="Q13" s="43" t="str">
        <f>VLOOKUP(D13,[6]Mapeamento!$A$38:$C$497,3,FALSE)</f>
        <v>OREX</v>
      </c>
      <c r="R13" s="43"/>
      <c r="S13" s="43"/>
      <c r="T13" s="43"/>
    </row>
    <row r="14" spans="1:22">
      <c r="A14" s="18" t="s">
        <v>30</v>
      </c>
      <c r="B14" s="18" t="str">
        <f>VLOOKUP(A14,'[6]Fin vs NFin'!$A$4:$B$568,2,FALSE)</f>
        <v>!Extractos</v>
      </c>
      <c r="C14" s="18" t="s">
        <v>33</v>
      </c>
      <c r="D14" s="18" t="s">
        <v>32</v>
      </c>
      <c r="E14" s="18" t="str">
        <f>VLOOKUP(D14,[6]Arvore!$N$8:$Q$6855,4,FALSE)</f>
        <v>55083</v>
      </c>
      <c r="F14" s="19">
        <v>68.08</v>
      </c>
      <c r="G14" s="19">
        <v>40.92</v>
      </c>
      <c r="H14" s="20">
        <v>27.16</v>
      </c>
      <c r="I14" s="114"/>
      <c r="J14" s="19"/>
      <c r="K14" s="21"/>
      <c r="L14" s="22"/>
      <c r="M14" s="23"/>
      <c r="O14" s="19" t="str">
        <f>VLOOKUP(QUERY_FOR_TRNSTRANSPOSED_0008!A14,'[6]Fin vs NFin'!$A$4:$F$568,6,FALSE)</f>
        <v>Não Financeiras</v>
      </c>
      <c r="P14" s="24" t="str">
        <f t="shared" si="2"/>
        <v>89</v>
      </c>
      <c r="Q14" s="24" t="str">
        <f>VLOOKUP(D14,[6]Mapeamento!$A$38:$C$497,3,FALSE)</f>
        <v>OREX</v>
      </c>
      <c r="R14" s="24"/>
      <c r="S14" s="24"/>
      <c r="T14" s="24"/>
    </row>
    <row r="15" spans="1:22">
      <c r="A15" s="18" t="s">
        <v>30</v>
      </c>
      <c r="B15" s="18" t="str">
        <f>VLOOKUP(A15,'[6]Fin vs NFin'!$A$4:$B$568,2,FALSE)</f>
        <v>!Extractos</v>
      </c>
      <c r="C15" s="18" t="s">
        <v>34</v>
      </c>
      <c r="D15" s="18" t="s">
        <v>32</v>
      </c>
      <c r="E15" s="18" t="str">
        <f>VLOOKUP(D15,[6]Arvore!$N$8:$Q$6855,4,FALSE)</f>
        <v>55083</v>
      </c>
      <c r="F15" s="19">
        <v>-11.16</v>
      </c>
      <c r="G15" s="19">
        <v>-111.6</v>
      </c>
      <c r="H15" s="20">
        <v>100.44</v>
      </c>
      <c r="I15" s="114"/>
      <c r="J15" s="19"/>
      <c r="K15" s="21"/>
      <c r="L15" s="22"/>
      <c r="M15" s="23"/>
      <c r="O15" s="19" t="str">
        <f>VLOOKUP(QUERY_FOR_TRNSTRANSPOSED_0008!A15,'[6]Fin vs NFin'!$A$4:$F$568,6,FALSE)</f>
        <v>Não Financeiras</v>
      </c>
      <c r="P15" s="24" t="str">
        <f t="shared" si="2"/>
        <v>89</v>
      </c>
      <c r="Q15" s="24" t="str">
        <f>VLOOKUP(D15,[6]Mapeamento!$A$38:$C$497,3,FALSE)</f>
        <v>OREX</v>
      </c>
      <c r="R15" s="24"/>
      <c r="S15" s="24"/>
      <c r="T15" s="24"/>
    </row>
    <row r="16" spans="1:22">
      <c r="A16" s="32" t="s">
        <v>30</v>
      </c>
      <c r="B16" s="32" t="str">
        <f>VLOOKUP(A16,'[6]Fin vs NFin'!$A$4:$B$568,2,FALSE)</f>
        <v>!Extractos</v>
      </c>
      <c r="C16" s="32" t="s">
        <v>35</v>
      </c>
      <c r="D16" s="32" t="s">
        <v>32</v>
      </c>
      <c r="E16" s="32" t="str">
        <f>VLOOKUP(D16,[6]Arvore!$N$8:$Q$6855,4,FALSE)</f>
        <v>55083</v>
      </c>
      <c r="F16" s="33">
        <v>109.6</v>
      </c>
      <c r="G16" s="33">
        <v>109.6</v>
      </c>
      <c r="H16" s="34">
        <v>0</v>
      </c>
      <c r="I16" s="114"/>
      <c r="J16" s="19"/>
      <c r="K16" s="21"/>
      <c r="L16" s="22"/>
      <c r="M16" s="23"/>
      <c r="O16" s="19" t="str">
        <f>VLOOKUP(QUERY_FOR_TRNSTRANSPOSED_0008!A16,'[6]Fin vs NFin'!$A$4:$F$568,6,FALSE)</f>
        <v>Não Financeiras</v>
      </c>
      <c r="P16" s="24" t="str">
        <f t="shared" si="2"/>
        <v>89</v>
      </c>
      <c r="Q16" s="24" t="str">
        <f>VLOOKUP(D16,[6]Mapeamento!$A$38:$C$497,3,FALSE)</f>
        <v>OREX</v>
      </c>
      <c r="R16" s="24"/>
      <c r="S16" s="24"/>
      <c r="T16" s="24"/>
    </row>
    <row r="17" spans="1:20" ht="15" thickBot="1">
      <c r="A17" s="11" t="s">
        <v>30</v>
      </c>
      <c r="B17" s="11" t="str">
        <f>VLOOKUP(A17,'[6]Fin vs NFin'!$A$4:$B$568,2,FALSE)</f>
        <v>!Extractos</v>
      </c>
      <c r="C17" s="11" t="s">
        <v>36</v>
      </c>
      <c r="D17" s="11" t="s">
        <v>32</v>
      </c>
      <c r="E17" s="11" t="str">
        <f>VLOOKUP(D17,[6]Arvore!$N$8:$Q$6855,4,FALSE)</f>
        <v>55083</v>
      </c>
      <c r="F17" s="12">
        <v>23301.72</v>
      </c>
      <c r="G17" s="12">
        <v>23354</v>
      </c>
      <c r="H17" s="13">
        <v>-52.2799999999988</v>
      </c>
      <c r="I17" s="109"/>
      <c r="J17" s="12"/>
      <c r="K17" s="21"/>
      <c r="L17" s="15"/>
      <c r="M17" s="16"/>
      <c r="O17" s="12" t="str">
        <f>VLOOKUP(QUERY_FOR_TRNSTRANSPOSED_0008!A17,'[6]Fin vs NFin'!$A$4:$F$568,6,FALSE)</f>
        <v>Não Financeiras</v>
      </c>
      <c r="P17" s="17" t="str">
        <f t="shared" si="2"/>
        <v>89</v>
      </c>
      <c r="Q17" s="17" t="str">
        <f>VLOOKUP(D17,[6]Mapeamento!$A$38:$C$497,3,FALSE)</f>
        <v>OREX</v>
      </c>
      <c r="R17" s="17"/>
      <c r="S17" s="17"/>
      <c r="T17" s="17"/>
    </row>
    <row r="18" spans="1:20">
      <c r="A18" s="38" t="s">
        <v>37</v>
      </c>
      <c r="B18" s="38" t="str">
        <f>VLOOKUP(A18,'[6]Fin vs NFin'!$A$4:$B$568,2,FALSE)</f>
        <v>!Levantamento Balcão</v>
      </c>
      <c r="C18" s="38" t="s">
        <v>38</v>
      </c>
      <c r="D18" s="38" t="s">
        <v>39</v>
      </c>
      <c r="E18" s="38" t="str">
        <f>VLOOKUP(D18,[6]Arvore!$N$8:$Q$6855,4,FALSE)</f>
        <v>5194</v>
      </c>
      <c r="F18" s="39">
        <v>754692</v>
      </c>
      <c r="G18" s="39">
        <v>760932</v>
      </c>
      <c r="H18" s="40">
        <v>-6240</v>
      </c>
      <c r="I18" s="108">
        <v>0</v>
      </c>
      <c r="J18" s="39"/>
      <c r="K18" s="21"/>
      <c r="L18" s="41"/>
      <c r="M18" s="42"/>
      <c r="O18" s="39" t="str">
        <f>VLOOKUP(QUERY_FOR_TRNSTRANSPOSED_0008!A18,'[6]Fin vs NFin'!$A$4:$F$568,6,FALSE)</f>
        <v>Não Financeiras</v>
      </c>
      <c r="P18" s="43" t="str">
        <f t="shared" si="2"/>
        <v>82</v>
      </c>
      <c r="Q18" s="43"/>
      <c r="R18" s="43"/>
      <c r="S18" s="43"/>
      <c r="T18" s="43"/>
    </row>
    <row r="19" spans="1:20">
      <c r="A19" s="18" t="s">
        <v>37</v>
      </c>
      <c r="B19" s="18" t="str">
        <f>VLOOKUP(A19,'[6]Fin vs NFin'!$A$4:$B$568,2,FALSE)</f>
        <v>!Levantamento Balcão</v>
      </c>
      <c r="C19" s="18" t="s">
        <v>40</v>
      </c>
      <c r="D19" s="18" t="s">
        <v>39</v>
      </c>
      <c r="E19" s="18" t="str">
        <f>VLOOKUP(D19,[6]Arvore!$N$8:$Q$6855,4,FALSE)</f>
        <v>5194</v>
      </c>
      <c r="F19" s="19">
        <v>-36</v>
      </c>
      <c r="G19" s="19">
        <v>-318</v>
      </c>
      <c r="H19" s="20">
        <v>282</v>
      </c>
      <c r="I19" s="114"/>
      <c r="J19" s="19"/>
      <c r="K19" s="21"/>
      <c r="L19" s="22"/>
      <c r="M19" s="23"/>
      <c r="O19" s="19" t="str">
        <f>VLOOKUP(QUERY_FOR_TRNSTRANSPOSED_0008!A19,'[6]Fin vs NFin'!$A$4:$F$568,6,FALSE)</f>
        <v>Não Financeiras</v>
      </c>
      <c r="P19" s="24" t="str">
        <f t="shared" si="2"/>
        <v>82</v>
      </c>
      <c r="Q19" s="24"/>
      <c r="R19" s="24"/>
      <c r="S19" s="24"/>
      <c r="T19" s="24"/>
    </row>
    <row r="20" spans="1:20" ht="15" thickBot="1">
      <c r="A20" s="18" t="s">
        <v>37</v>
      </c>
      <c r="B20" s="18" t="str">
        <f>VLOOKUP(A20,'[6]Fin vs NFin'!$A$4:$B$568,2,FALSE)</f>
        <v>!Levantamento Balcão</v>
      </c>
      <c r="C20" s="18" t="s">
        <v>41</v>
      </c>
      <c r="D20" s="18" t="s">
        <v>39</v>
      </c>
      <c r="E20" s="18" t="str">
        <f>VLOOKUP(D20,[6]Arvore!$N$8:$Q$6855,4,FALSE)</f>
        <v>5194</v>
      </c>
      <c r="F20" s="19">
        <v>-783.3</v>
      </c>
      <c r="G20" s="19">
        <v>-6741.3</v>
      </c>
      <c r="H20" s="20">
        <v>5958</v>
      </c>
      <c r="I20" s="114"/>
      <c r="J20" s="19"/>
      <c r="K20" s="21"/>
      <c r="L20" s="22"/>
      <c r="M20" s="23"/>
      <c r="O20" s="19" t="str">
        <f>VLOOKUP(QUERY_FOR_TRNSTRANSPOSED_0008!A20,'[6]Fin vs NFin'!$A$4:$F$568,6,FALSE)</f>
        <v>Não Financeiras</v>
      </c>
      <c r="P20" s="24" t="str">
        <f t="shared" si="2"/>
        <v>82</v>
      </c>
      <c r="Q20" s="24"/>
      <c r="R20" s="24"/>
      <c r="S20" s="24"/>
      <c r="T20" s="24"/>
    </row>
    <row r="21" spans="1:20">
      <c r="A21" s="38" t="s">
        <v>42</v>
      </c>
      <c r="B21" s="38" t="str">
        <f>VLOOKUP(A21,'[6]Fin vs NFin'!$A$4:$B$568,2,FALSE)</f>
        <v>!Depósitos ao Balcão</v>
      </c>
      <c r="C21" s="38" t="s">
        <v>43</v>
      </c>
      <c r="D21" s="38" t="s">
        <v>44</v>
      </c>
      <c r="E21" s="38" t="str">
        <f>VLOOKUP(D21,[6]Arvore!$N$8:$Q$6855,4,FALSE)</f>
        <v>51959</v>
      </c>
      <c r="F21" s="39">
        <v>54189.8</v>
      </c>
      <c r="G21" s="39">
        <v>13584.66</v>
      </c>
      <c r="H21" s="40">
        <v>40605.14</v>
      </c>
      <c r="I21" s="108">
        <v>-4.5474735088646402E-13</v>
      </c>
      <c r="J21" s="39"/>
      <c r="K21" s="21"/>
      <c r="L21" s="41"/>
      <c r="M21" s="42"/>
      <c r="O21" s="39" t="str">
        <f>VLOOKUP(QUERY_FOR_TRNSTRANSPOSED_0008!A21,'[6]Fin vs NFin'!$A$4:$F$568,6,FALSE)</f>
        <v>Não Financeiras</v>
      </c>
      <c r="P21" s="43" t="str">
        <f t="shared" si="2"/>
        <v>82</v>
      </c>
      <c r="Q21" s="43"/>
      <c r="R21" s="43"/>
      <c r="S21" s="43"/>
      <c r="T21" s="43"/>
    </row>
    <row r="22" spans="1:20">
      <c r="A22" s="18" t="s">
        <v>42</v>
      </c>
      <c r="B22" s="18" t="str">
        <f>VLOOKUP(A22,'[6]Fin vs NFin'!$A$4:$B$568,2,FALSE)</f>
        <v>!Depósitos ao Balcão</v>
      </c>
      <c r="C22" s="18" t="s">
        <v>45</v>
      </c>
      <c r="D22" s="18" t="s">
        <v>44</v>
      </c>
      <c r="E22" s="18" t="str">
        <f>VLOOKUP(D22,[6]Arvore!$N$8:$Q$6855,4,FALSE)</f>
        <v>51959</v>
      </c>
      <c r="F22" s="19">
        <v>20294.25</v>
      </c>
      <c r="G22" s="19">
        <v>60052.25</v>
      </c>
      <c r="H22" s="20">
        <v>-39758</v>
      </c>
      <c r="I22" s="114"/>
      <c r="J22" s="19"/>
      <c r="K22" s="21"/>
      <c r="L22" s="22"/>
      <c r="M22" s="23"/>
      <c r="O22" s="19" t="str">
        <f>VLOOKUP(QUERY_FOR_TRNSTRANSPOSED_0008!A22,'[6]Fin vs NFin'!$A$4:$F$568,6,FALSE)</f>
        <v>Não Financeiras</v>
      </c>
      <c r="P22" s="24" t="str">
        <f t="shared" si="2"/>
        <v>82</v>
      </c>
      <c r="Q22" s="24"/>
      <c r="R22" s="24"/>
      <c r="S22" s="24"/>
      <c r="T22" s="24"/>
    </row>
    <row r="23" spans="1:20" ht="15" thickBot="1">
      <c r="A23" s="18" t="s">
        <v>42</v>
      </c>
      <c r="B23" s="18" t="str">
        <f>VLOOKUP(A23,'[6]Fin vs NFin'!$A$4:$B$568,2,FALSE)</f>
        <v>!Depósitos ao Balcão</v>
      </c>
      <c r="C23" s="18" t="s">
        <v>46</v>
      </c>
      <c r="D23" s="18" t="s">
        <v>44</v>
      </c>
      <c r="E23" s="18" t="str">
        <f>VLOOKUP(D23,[6]Arvore!$N$8:$Q$6855,4,FALSE)</f>
        <v>51959</v>
      </c>
      <c r="F23" s="19">
        <v>1755.36</v>
      </c>
      <c r="G23" s="19">
        <v>2602.5</v>
      </c>
      <c r="H23" s="20">
        <v>-847.14</v>
      </c>
      <c r="I23" s="114"/>
      <c r="J23" s="19"/>
      <c r="K23" s="21"/>
      <c r="L23" s="22"/>
      <c r="M23" s="23"/>
      <c r="O23" s="19" t="str">
        <f>VLOOKUP(QUERY_FOR_TRNSTRANSPOSED_0008!A23,'[6]Fin vs NFin'!$A$4:$F$568,6,FALSE)</f>
        <v>Não Financeiras</v>
      </c>
      <c r="P23" s="24" t="str">
        <f t="shared" si="2"/>
        <v>82</v>
      </c>
      <c r="Q23" s="24"/>
      <c r="R23" s="24"/>
      <c r="S23" s="24"/>
      <c r="T23" s="24"/>
    </row>
    <row r="24" spans="1:20">
      <c r="A24" s="38" t="s">
        <v>47</v>
      </c>
      <c r="B24" s="38" t="str">
        <f>VLOOKUP(A24,'[6]Fin vs NFin'!$A$4:$B$568,2,FALSE)</f>
        <v>!Cms Gestão Contas Part.</v>
      </c>
      <c r="C24" s="38" t="s">
        <v>48</v>
      </c>
      <c r="D24" s="38" t="s">
        <v>49</v>
      </c>
      <c r="E24" s="38" t="str">
        <f>VLOOKUP(D24,[6]Arvore!$N$8:$Q$6855,4,FALSE)</f>
        <v>51959</v>
      </c>
      <c r="F24" s="39">
        <v>51940780.68</v>
      </c>
      <c r="G24" s="39">
        <v>52749148.350000001</v>
      </c>
      <c r="H24" s="40">
        <v>-808367.67000000202</v>
      </c>
      <c r="I24" s="108">
        <f>SUM(H24:H26)</f>
        <v>-310.20794440293685</v>
      </c>
      <c r="J24" s="39"/>
      <c r="K24" s="21"/>
      <c r="L24" s="41"/>
      <c r="M24" s="42"/>
      <c r="O24" s="39" t="str">
        <f>VLOOKUP(QUERY_FOR_TRNSTRANSPOSED_0008!A24,'[6]Fin vs NFin'!$A$4:$F$568,6,FALSE)</f>
        <v>Não Financeiras</v>
      </c>
      <c r="P24" s="43" t="str">
        <f t="shared" si="2"/>
        <v>82</v>
      </c>
      <c r="Q24" s="43"/>
      <c r="R24" s="43"/>
      <c r="S24" s="43"/>
      <c r="T24" s="43"/>
    </row>
    <row r="25" spans="1:20">
      <c r="A25" s="18" t="s">
        <v>47</v>
      </c>
      <c r="B25" s="18" t="str">
        <f>VLOOKUP(A25,'[6]Fin vs NFin'!$A$4:$B$568,2,FALSE)</f>
        <v>!Cms Gestão Contas Part.</v>
      </c>
      <c r="C25" s="18" t="s">
        <v>50</v>
      </c>
      <c r="D25" s="18" t="s">
        <v>49</v>
      </c>
      <c r="E25" s="18" t="str">
        <f>VLOOKUP(D25,[6]Arvore!$N$8:$Q$6855,4,FALSE)</f>
        <v>51959</v>
      </c>
      <c r="F25" s="19">
        <v>944096.42</v>
      </c>
      <c r="G25" s="19">
        <v>934724</v>
      </c>
      <c r="H25" s="20">
        <v>9372.4200000000401</v>
      </c>
      <c r="I25" s="114"/>
      <c r="J25" s="19"/>
      <c r="K25" s="21"/>
      <c r="L25" s="22"/>
      <c r="M25" s="23"/>
      <c r="O25" s="19" t="str">
        <f>VLOOKUP(QUERY_FOR_TRNSTRANSPOSED_0008!A25,'[6]Fin vs NFin'!$A$4:$F$568,6,FALSE)</f>
        <v>Não Financeiras</v>
      </c>
      <c r="P25" s="24" t="str">
        <f t="shared" si="2"/>
        <v>82</v>
      </c>
      <c r="Q25" s="24"/>
      <c r="R25" s="24"/>
      <c r="S25" s="24"/>
      <c r="T25" s="24"/>
    </row>
    <row r="26" spans="1:20" ht="15" thickBot="1">
      <c r="A26" s="11" t="s">
        <v>47</v>
      </c>
      <c r="B26" s="11" t="str">
        <f>VLOOKUP(A26,'[6]Fin vs NFin'!$A$4:$B$568,2,FALSE)</f>
        <v>!Cms Gestão Contas Part.</v>
      </c>
      <c r="C26" s="11" t="s">
        <v>51</v>
      </c>
      <c r="D26" s="11" t="s">
        <v>49</v>
      </c>
      <c r="E26" s="11" t="str">
        <f>VLOOKUP(D26,[6]Arvore!$N$8:$Q$6855,4,FALSE)</f>
        <v>51959</v>
      </c>
      <c r="F26" s="12">
        <v>29055771.399999999</v>
      </c>
      <c r="G26" s="12">
        <v>28257086.357944399</v>
      </c>
      <c r="H26" s="13">
        <v>798685.04205559904</v>
      </c>
      <c r="I26" s="109"/>
      <c r="J26" s="12"/>
      <c r="K26" s="21"/>
      <c r="L26" s="15"/>
      <c r="M26" s="16"/>
      <c r="O26" s="12" t="str">
        <f>VLOOKUP(QUERY_FOR_TRNSTRANSPOSED_0008!A26,'[6]Fin vs NFin'!$A$4:$F$568,6,FALSE)</f>
        <v>Não Financeiras</v>
      </c>
      <c r="P26" s="17" t="str">
        <f t="shared" si="2"/>
        <v>82</v>
      </c>
      <c r="Q26" s="17"/>
      <c r="R26" s="17"/>
      <c r="S26" s="17"/>
      <c r="T26" s="17"/>
    </row>
    <row r="27" spans="1:20">
      <c r="A27" s="18" t="s">
        <v>52</v>
      </c>
      <c r="B27" s="18" t="str">
        <f>VLOOKUP(A27,'[6]Fin vs NFin'!$A$4:$B$568,2,FALSE)</f>
        <v>!Cms Gestão Contas Neg.</v>
      </c>
      <c r="C27" s="18" t="s">
        <v>53</v>
      </c>
      <c r="D27" s="18" t="s">
        <v>54</v>
      </c>
      <c r="E27" s="18" t="str">
        <f>VLOOKUP(D27,[6]Arvore!$N$8:$Q$6855,4,FALSE)</f>
        <v>51950</v>
      </c>
      <c r="F27" s="19">
        <v>20166319.859999999</v>
      </c>
      <c r="G27" s="19">
        <v>20274230.120000001</v>
      </c>
      <c r="H27" s="20">
        <v>-107910.260000002</v>
      </c>
      <c r="I27" s="114">
        <f>SUM(H27:H30)</f>
        <v>0.3833667015296669</v>
      </c>
      <c r="J27" s="19"/>
      <c r="K27" s="21"/>
      <c r="L27" s="22"/>
      <c r="M27" s="23"/>
      <c r="O27" s="19" t="str">
        <f>VLOOKUP(QUERY_FOR_TRNSTRANSPOSED_0008!A27,'[6]Fin vs NFin'!$A$4:$F$568,6,FALSE)</f>
        <v>Não Financeiras</v>
      </c>
      <c r="P27" s="24" t="str">
        <f t="shared" si="2"/>
        <v>82</v>
      </c>
      <c r="Q27" s="24"/>
      <c r="R27" s="24"/>
      <c r="S27" s="24"/>
      <c r="T27" s="24"/>
    </row>
    <row r="28" spans="1:20">
      <c r="A28" s="18" t="s">
        <v>52</v>
      </c>
      <c r="B28" s="18" t="str">
        <f>VLOOKUP(A28,'[6]Fin vs NFin'!$A$4:$B$568,2,FALSE)</f>
        <v>!Cms Gestão Contas Neg.</v>
      </c>
      <c r="C28" s="18" t="s">
        <v>55</v>
      </c>
      <c r="D28" s="18" t="s">
        <v>54</v>
      </c>
      <c r="E28" s="18" t="str">
        <f>VLOOKUP(D28,[6]Arvore!$N$8:$Q$6855,4,FALSE)</f>
        <v>51950</v>
      </c>
      <c r="F28" s="19">
        <v>763</v>
      </c>
      <c r="G28" s="19">
        <v>-98741.66</v>
      </c>
      <c r="H28" s="20">
        <v>99504.66</v>
      </c>
      <c r="I28" s="114"/>
      <c r="J28" s="19"/>
      <c r="K28" s="21"/>
      <c r="L28" s="22"/>
      <c r="M28" s="23"/>
      <c r="O28" s="19" t="str">
        <f>VLOOKUP(QUERY_FOR_TRNSTRANSPOSED_0008!A28,'[6]Fin vs NFin'!$A$4:$F$568,6,FALSE)</f>
        <v>Não Financeiras</v>
      </c>
      <c r="P28" s="24" t="str">
        <f t="shared" si="2"/>
        <v>82</v>
      </c>
      <c r="Q28" s="24"/>
      <c r="R28" s="24"/>
      <c r="S28" s="24"/>
      <c r="T28" s="24"/>
    </row>
    <row r="29" spans="1:20">
      <c r="A29" s="32" t="s">
        <v>52</v>
      </c>
      <c r="B29" s="32" t="str">
        <f>VLOOKUP(A29,'[6]Fin vs NFin'!$A$4:$B$568,2,FALSE)</f>
        <v>!Cms Gestão Contas Neg.</v>
      </c>
      <c r="C29" s="32" t="s">
        <v>56</v>
      </c>
      <c r="D29" s="32" t="s">
        <v>54</v>
      </c>
      <c r="E29" s="32" t="str">
        <f>VLOOKUP(D29,[6]Arvore!$N$8:$Q$6855,4,FALSE)</f>
        <v>51950</v>
      </c>
      <c r="F29" s="33">
        <v>1625</v>
      </c>
      <c r="G29" s="33">
        <v>1625</v>
      </c>
      <c r="H29" s="34">
        <v>0</v>
      </c>
      <c r="I29" s="114"/>
      <c r="J29" s="19"/>
      <c r="K29" s="21"/>
      <c r="L29" s="22"/>
      <c r="M29" s="23"/>
      <c r="O29" s="19" t="str">
        <f>VLOOKUP(QUERY_FOR_TRNSTRANSPOSED_0008!A29,'[6]Fin vs NFin'!$A$4:$F$568,6,FALSE)</f>
        <v>Não Financeiras</v>
      </c>
      <c r="P29" s="24" t="str">
        <f t="shared" si="2"/>
        <v>82</v>
      </c>
      <c r="Q29" s="24"/>
      <c r="R29" s="24"/>
      <c r="S29" s="24"/>
      <c r="T29" s="24"/>
    </row>
    <row r="30" spans="1:20" ht="15" thickBot="1">
      <c r="A30" s="18" t="s">
        <v>52</v>
      </c>
      <c r="B30" s="18" t="str">
        <f>VLOOKUP(A30,'[6]Fin vs NFin'!$A$4:$B$568,2,FALSE)</f>
        <v>!Cms Gestão Contas Neg.</v>
      </c>
      <c r="C30" s="18" t="s">
        <v>57</v>
      </c>
      <c r="D30" s="18" t="s">
        <v>54</v>
      </c>
      <c r="E30" s="18" t="str">
        <f>VLOOKUP(D30,[6]Arvore!$N$8:$Q$6855,4,FALSE)</f>
        <v>51950</v>
      </c>
      <c r="F30" s="19">
        <v>-786.51</v>
      </c>
      <c r="G30" s="19">
        <v>-9192.4933667035293</v>
      </c>
      <c r="H30" s="20">
        <v>8405.9833667035291</v>
      </c>
      <c r="I30" s="114"/>
      <c r="J30" s="19"/>
      <c r="K30" s="21"/>
      <c r="L30" s="22"/>
      <c r="M30" s="23"/>
      <c r="O30" s="19" t="str">
        <f>VLOOKUP(QUERY_FOR_TRNSTRANSPOSED_0008!A30,'[6]Fin vs NFin'!$A$4:$F$568,6,FALSE)</f>
        <v>Não Financeiras</v>
      </c>
      <c r="P30" s="24" t="str">
        <f t="shared" si="2"/>
        <v>82</v>
      </c>
      <c r="Q30" s="24"/>
      <c r="R30" s="24"/>
      <c r="S30" s="24"/>
      <c r="T30" s="24"/>
    </row>
    <row r="31" spans="1:20" ht="15" thickBot="1">
      <c r="A31" s="44" t="s">
        <v>58</v>
      </c>
      <c r="B31" s="44" t="str">
        <f>VLOOKUP(A31,'[6]Fin vs NFin'!$A$4:$B$568,2,FALSE)</f>
        <v>!Domiciliações/Cash Back</v>
      </c>
      <c r="C31" s="44" t="s">
        <v>59</v>
      </c>
      <c r="D31" s="44" t="s">
        <v>60</v>
      </c>
      <c r="E31" s="44" t="str">
        <f>VLOOKUP(D31,[6]Arvore!$N$8:$Q$6855,4,FALSE)</f>
        <v>4161599</v>
      </c>
      <c r="F31" s="45">
        <v>-5908506.8799999999</v>
      </c>
      <c r="G31" s="45">
        <v>-5908506.8799999999</v>
      </c>
      <c r="H31" s="46">
        <v>9.3132257461547893E-10</v>
      </c>
      <c r="I31" s="28">
        <v>9.3132257461547893E-10</v>
      </c>
      <c r="J31" s="26"/>
      <c r="L31" s="29"/>
      <c r="M31" s="30"/>
      <c r="O31" s="26" t="str">
        <f>VLOOKUP(QUERY_FOR_TRNSTRANSPOSED_0008!A31,'[6]Fin vs NFin'!$A$4:$F$568,6,FALSE)</f>
        <v>Não Financeiras</v>
      </c>
      <c r="P31" s="31" t="str">
        <f t="shared" si="2"/>
        <v>71</v>
      </c>
      <c r="Q31" s="31"/>
      <c r="R31" s="31"/>
      <c r="S31" s="31"/>
      <c r="T31" s="31"/>
    </row>
    <row r="32" spans="1:20">
      <c r="A32" s="18" t="s">
        <v>61</v>
      </c>
      <c r="B32" s="18" t="str">
        <f>VLOOKUP(A32,'[6]Fin vs NFin'!$A$4:$B$568,2,FALSE)</f>
        <v>!Gasolina/Cash Back</v>
      </c>
      <c r="C32" s="18" t="s">
        <v>62</v>
      </c>
      <c r="D32" s="18" t="s">
        <v>63</v>
      </c>
      <c r="E32" s="18" t="str">
        <f>VLOOKUP(D32,[6]Arvore!$N$8:$Q$6855,4,FALSE)</f>
        <v>4161599</v>
      </c>
      <c r="F32" s="19">
        <v>-872953.72</v>
      </c>
      <c r="G32" s="19">
        <v>-872302.87</v>
      </c>
      <c r="H32" s="20">
        <v>-650.85000000009302</v>
      </c>
      <c r="I32" s="114">
        <f>SUM(H32:H36)</f>
        <v>-2.0941115508321673E-10</v>
      </c>
      <c r="J32" s="19"/>
      <c r="K32" s="21"/>
      <c r="L32" s="22"/>
      <c r="M32" s="23"/>
      <c r="O32" s="19" t="str">
        <f>VLOOKUP(QUERY_FOR_TRNSTRANSPOSED_0008!A32,'[6]Fin vs NFin'!$A$4:$F$568,6,FALSE)</f>
        <v>Não Financeiras</v>
      </c>
      <c r="P32" s="24" t="str">
        <f t="shared" si="2"/>
        <v>71</v>
      </c>
      <c r="Q32" s="24"/>
      <c r="R32" s="24"/>
      <c r="S32" s="24"/>
      <c r="T32" s="24"/>
    </row>
    <row r="33" spans="1:20">
      <c r="A33" s="32" t="s">
        <v>61</v>
      </c>
      <c r="B33" s="32" t="str">
        <f>VLOOKUP(A33,'[6]Fin vs NFin'!$A$4:$B$568,2,FALSE)</f>
        <v>!Gasolina/Cash Back</v>
      </c>
      <c r="C33" s="32" t="s">
        <v>64</v>
      </c>
      <c r="D33" s="32" t="s">
        <v>65</v>
      </c>
      <c r="E33" s="32" t="str">
        <f>VLOOKUP(D33,[6]Arvore!$N$8:$Q$6855,4,FALSE)</f>
        <v>4161599</v>
      </c>
      <c r="F33" s="33">
        <v>-869701.57</v>
      </c>
      <c r="G33" s="33">
        <v>-869701.57</v>
      </c>
      <c r="H33" s="34">
        <v>-1.16415321826935E-10</v>
      </c>
      <c r="I33" s="114"/>
      <c r="J33" s="19"/>
      <c r="K33" s="21"/>
      <c r="L33" s="22"/>
      <c r="M33" s="23"/>
      <c r="O33" s="19" t="str">
        <f>VLOOKUP(QUERY_FOR_TRNSTRANSPOSED_0008!A33,'[6]Fin vs NFin'!$A$4:$F$568,6,FALSE)</f>
        <v>Não Financeiras</v>
      </c>
      <c r="P33" s="24" t="str">
        <f t="shared" si="2"/>
        <v>71</v>
      </c>
      <c r="Q33" s="24"/>
      <c r="R33" s="24"/>
      <c r="S33" s="24"/>
      <c r="T33" s="24"/>
    </row>
    <row r="34" spans="1:20">
      <c r="A34" s="18" t="s">
        <v>61</v>
      </c>
      <c r="B34" s="18" t="str">
        <f>VLOOKUP(A34,'[6]Fin vs NFin'!$A$4:$B$568,2,FALSE)</f>
        <v>!Gasolina/Cash Back</v>
      </c>
      <c r="C34" s="18" t="s">
        <v>66</v>
      </c>
      <c r="D34" s="18" t="s">
        <v>65</v>
      </c>
      <c r="E34" s="18" t="str">
        <f>VLOOKUP(D34,[6]Arvore!$N$8:$Q$6855,4,FALSE)</f>
        <v>4161599</v>
      </c>
      <c r="F34" s="19">
        <v>-1419.15</v>
      </c>
      <c r="G34" s="19">
        <v>-2070</v>
      </c>
      <c r="H34" s="20">
        <v>650.85</v>
      </c>
      <c r="I34" s="114"/>
      <c r="J34" s="19"/>
      <c r="K34" s="21"/>
      <c r="L34" s="22"/>
      <c r="M34" s="23"/>
      <c r="O34" s="19" t="str">
        <f>VLOOKUP(QUERY_FOR_TRNSTRANSPOSED_0008!A34,'[6]Fin vs NFin'!$A$4:$F$568,6,FALSE)</f>
        <v>Não Financeiras</v>
      </c>
      <c r="P34" s="24" t="str">
        <f t="shared" si="2"/>
        <v>71</v>
      </c>
      <c r="Q34" s="24"/>
      <c r="R34" s="24"/>
      <c r="S34" s="24"/>
      <c r="T34" s="24"/>
    </row>
    <row r="35" spans="1:20">
      <c r="A35" s="32" t="s">
        <v>61</v>
      </c>
      <c r="B35" s="32" t="str">
        <f>VLOOKUP(A35,'[6]Fin vs NFin'!$A$4:$B$568,2,FALSE)</f>
        <v>!Gasolina/Cash Back</v>
      </c>
      <c r="C35" s="32" t="s">
        <v>67</v>
      </c>
      <c r="D35" s="32" t="s">
        <v>63</v>
      </c>
      <c r="E35" s="32" t="str">
        <f>VLOOKUP(D35,[6]Arvore!$N$8:$Q$6855,4,FALSE)</f>
        <v>4161599</v>
      </c>
      <c r="F35" s="33">
        <v>257305.22</v>
      </c>
      <c r="G35" s="33">
        <v>257305.22</v>
      </c>
      <c r="H35" s="34">
        <v>0</v>
      </c>
      <c r="I35" s="114"/>
      <c r="J35" s="19"/>
      <c r="K35" s="21"/>
      <c r="L35" s="22"/>
      <c r="M35" s="23"/>
      <c r="O35" s="19" t="str">
        <f>VLOOKUP(QUERY_FOR_TRNSTRANSPOSED_0008!A35,'[6]Fin vs NFin'!$A$4:$F$568,6,FALSE)</f>
        <v>Não Financeiras</v>
      </c>
      <c r="P35" s="24" t="str">
        <f t="shared" si="2"/>
        <v>71</v>
      </c>
      <c r="Q35" s="24"/>
      <c r="R35" s="24"/>
      <c r="S35" s="24"/>
      <c r="T35" s="24"/>
    </row>
    <row r="36" spans="1:20" ht="15" thickBot="1">
      <c r="A36" s="35" t="s">
        <v>61</v>
      </c>
      <c r="B36" s="35" t="str">
        <f>VLOOKUP(A36,'[6]Fin vs NFin'!$A$4:$B$568,2,FALSE)</f>
        <v>!Gasolina/Cash Back</v>
      </c>
      <c r="C36" s="35" t="s">
        <v>67</v>
      </c>
      <c r="D36" s="35" t="s">
        <v>65</v>
      </c>
      <c r="E36" s="35" t="str">
        <f>VLOOKUP(D36,[6]Arvore!$N$8:$Q$6855,4,FALSE)</f>
        <v>4161599</v>
      </c>
      <c r="F36" s="36">
        <v>602249.56999999995</v>
      </c>
      <c r="G36" s="36">
        <v>602249.56999999995</v>
      </c>
      <c r="H36" s="37">
        <v>0</v>
      </c>
      <c r="I36" s="109"/>
      <c r="J36" s="12"/>
      <c r="K36" s="21"/>
      <c r="L36" s="15"/>
      <c r="M36" s="16"/>
      <c r="O36" s="12" t="str">
        <f>VLOOKUP(QUERY_FOR_TRNSTRANSPOSED_0008!A36,'[6]Fin vs NFin'!$A$4:$F$568,6,FALSE)</f>
        <v>Não Financeiras</v>
      </c>
      <c r="P36" s="17" t="str">
        <f t="shared" si="2"/>
        <v>71</v>
      </c>
      <c r="Q36" s="17"/>
      <c r="R36" s="17"/>
      <c r="S36" s="17"/>
      <c r="T36" s="17"/>
    </row>
    <row r="37" spans="1:20" ht="15" thickBot="1">
      <c r="A37" s="35" t="s">
        <v>68</v>
      </c>
      <c r="B37" s="35" t="str">
        <f>VLOOKUP(A37,'[6]Fin vs NFin'!$A$4:$B$568,2,FALSE)</f>
        <v>!Cross Segment/Cash Back</v>
      </c>
      <c r="C37" s="35" t="s">
        <v>69</v>
      </c>
      <c r="D37" s="35" t="s">
        <v>70</v>
      </c>
      <c r="E37" s="35" t="str">
        <f>VLOOKUP(D37,[6]Arvore!$N$8:$Q$6855,4,FALSE)</f>
        <v>4198</v>
      </c>
      <c r="F37" s="36">
        <v>-10862.54</v>
      </c>
      <c r="G37" s="36">
        <v>-10862.54</v>
      </c>
      <c r="H37" s="37">
        <v>0</v>
      </c>
      <c r="I37" s="47">
        <v>0</v>
      </c>
      <c r="J37" s="12"/>
      <c r="K37" s="21"/>
      <c r="L37" s="15"/>
      <c r="M37" s="16"/>
      <c r="O37" s="12" t="str">
        <f>VLOOKUP(QUERY_FOR_TRNSTRANSPOSED_0008!A37,'[6]Fin vs NFin'!$A$4:$F$568,6,FALSE)</f>
        <v>Não Financeiras</v>
      </c>
      <c r="P37" s="17" t="str">
        <f t="shared" si="2"/>
        <v>71</v>
      </c>
      <c r="Q37" s="17"/>
      <c r="R37" s="17"/>
      <c r="S37" s="17"/>
      <c r="T37" s="17"/>
    </row>
    <row r="38" spans="1:20" ht="15" thickBot="1">
      <c r="A38" s="35" t="s">
        <v>71</v>
      </c>
      <c r="B38" s="35" t="str">
        <f>VLOOKUP(A38,'[6]Fin vs NFin'!$A$4:$B$568,2,FALSE)</f>
        <v>!IMI/Cash Back</v>
      </c>
      <c r="C38" s="35" t="s">
        <v>72</v>
      </c>
      <c r="D38" s="35" t="s">
        <v>73</v>
      </c>
      <c r="E38" s="35" t="str">
        <f>VLOOKUP(D38,[6]Arvore!$N$8:$Q$6855,4,FALSE)</f>
        <v>4161599</v>
      </c>
      <c r="F38" s="36">
        <v>-1239134.8899999999</v>
      </c>
      <c r="G38" s="36">
        <v>-1239134.8899999999</v>
      </c>
      <c r="H38" s="37">
        <v>-2.3283064365386999E-10</v>
      </c>
      <c r="I38" s="47">
        <v>0</v>
      </c>
      <c r="J38" s="12"/>
      <c r="K38" s="21"/>
      <c r="L38" s="15"/>
      <c r="M38" s="16"/>
      <c r="O38" s="12" t="str">
        <f>VLOOKUP(QUERY_FOR_TRNSTRANSPOSED_0008!A38,'[6]Fin vs NFin'!$A$4:$F$568,6,FALSE)</f>
        <v>Não Financeiras</v>
      </c>
      <c r="P38" s="17" t="str">
        <f t="shared" si="2"/>
        <v>71</v>
      </c>
      <c r="Q38" s="17"/>
      <c r="R38" s="17"/>
      <c r="S38" s="17"/>
      <c r="T38" s="17"/>
    </row>
    <row r="39" spans="1:20" ht="15" thickBot="1">
      <c r="A39" s="44" t="s">
        <v>74</v>
      </c>
      <c r="B39" s="44" t="str">
        <f>VLOOKUP(A39,'[6]Fin vs NFin'!$A$4:$B$568,2,FALSE)</f>
        <v>!Tramitação Manual</v>
      </c>
      <c r="C39" s="44" t="s">
        <v>75</v>
      </c>
      <c r="D39" s="44" t="s">
        <v>76</v>
      </c>
      <c r="E39" s="44" t="str">
        <f>VLOOKUP(D39,[6]Arvore!$N$8:$Q$6855,4,FALSE)</f>
        <v>5151212</v>
      </c>
      <c r="F39" s="45">
        <v>2333970.41</v>
      </c>
      <c r="G39" s="45">
        <v>2333970.41</v>
      </c>
      <c r="H39" s="46">
        <v>0</v>
      </c>
      <c r="I39" s="28">
        <v>0</v>
      </c>
      <c r="J39" s="26"/>
      <c r="L39" s="29"/>
      <c r="M39" s="30"/>
      <c r="O39" s="26" t="str">
        <f>VLOOKUP(QUERY_FOR_TRNSTRANSPOSED_0008!A39,'[6]Fin vs NFin'!$A$4:$F$568,6,FALSE)</f>
        <v>Não Financeiras</v>
      </c>
      <c r="P39" s="31" t="str">
        <f t="shared" si="2"/>
        <v>82</v>
      </c>
      <c r="Q39" s="31"/>
      <c r="R39" s="31"/>
      <c r="S39" s="31"/>
      <c r="T39" s="31"/>
    </row>
    <row r="40" spans="1:20">
      <c r="A40" s="38" t="s">
        <v>77</v>
      </c>
      <c r="B40" s="38" t="str">
        <f>VLOOKUP(A40,'[6]Fin vs NFin'!$A$4:$B$568,2,FALSE)</f>
        <v>!Outras DO</v>
      </c>
      <c r="C40" s="38" t="s">
        <v>78</v>
      </c>
      <c r="D40" s="38" t="s">
        <v>79</v>
      </c>
      <c r="E40" s="38" t="str">
        <f>VLOOKUP(D40,[6]Arvore!$N$8:$Q$6855,4,FALSE)</f>
        <v>51959</v>
      </c>
      <c r="F40" s="39">
        <v>32704.880000000001</v>
      </c>
      <c r="G40" s="39">
        <v>32742.32</v>
      </c>
      <c r="H40" s="40">
        <v>-37.439999999998697</v>
      </c>
      <c r="I40" s="128">
        <v>342371.99</v>
      </c>
      <c r="J40" s="39"/>
      <c r="K40" s="21"/>
      <c r="L40" s="41"/>
      <c r="M40" s="42"/>
      <c r="O40" s="39" t="str">
        <f>VLOOKUP(QUERY_FOR_TRNSTRANSPOSED_0008!A40,'[6]Fin vs NFin'!$A$4:$F$568,6,FALSE)</f>
        <v>Não Financeiras</v>
      </c>
      <c r="P40" s="43" t="str">
        <f t="shared" si="2"/>
        <v>82</v>
      </c>
      <c r="Q40" s="43"/>
      <c r="R40" s="43"/>
      <c r="S40" s="43"/>
      <c r="T40" s="43"/>
    </row>
    <row r="41" spans="1:20">
      <c r="A41" s="32" t="s">
        <v>77</v>
      </c>
      <c r="B41" s="32" t="str">
        <f>VLOOKUP(A41,'[6]Fin vs NFin'!$A$4:$B$568,2,FALSE)</f>
        <v>!Outras DO</v>
      </c>
      <c r="C41" s="32" t="s">
        <v>80</v>
      </c>
      <c r="D41" s="32" t="s">
        <v>81</v>
      </c>
      <c r="E41" s="32" t="str">
        <f>VLOOKUP(D41,[6]Arvore!$N$8:$Q$6855,4,FALSE)</f>
        <v>4198</v>
      </c>
      <c r="F41" s="33">
        <v>2011.68</v>
      </c>
      <c r="G41" s="33">
        <v>2011.68</v>
      </c>
      <c r="H41" s="34">
        <v>2.2737367544323201E-13</v>
      </c>
      <c r="I41" s="129"/>
      <c r="J41" s="19"/>
      <c r="K41" s="21"/>
      <c r="L41" s="22"/>
      <c r="M41" s="23"/>
      <c r="O41" s="19" t="str">
        <f>VLOOKUP(QUERY_FOR_TRNSTRANSPOSED_0008!A41,'[6]Fin vs NFin'!$A$4:$F$568,6,FALSE)</f>
        <v>Não Financeiras</v>
      </c>
      <c r="P41" s="24" t="str">
        <f t="shared" si="2"/>
        <v>71</v>
      </c>
      <c r="Q41" s="24"/>
      <c r="R41" s="24"/>
      <c r="S41" s="24"/>
      <c r="T41" s="24"/>
    </row>
    <row r="42" spans="1:20">
      <c r="A42" s="18" t="s">
        <v>77</v>
      </c>
      <c r="B42" s="18" t="str">
        <f>VLOOKUP(A42,'[6]Fin vs NFin'!$A$4:$B$568,2,FALSE)</f>
        <v>!Outras DO</v>
      </c>
      <c r="C42" s="18" t="s">
        <v>82</v>
      </c>
      <c r="D42" s="18" t="s">
        <v>83</v>
      </c>
      <c r="E42" s="18" t="str">
        <f>VLOOKUP(D42,[6]Arvore!$N$8:$Q$6855,4,FALSE)</f>
        <v>4198</v>
      </c>
      <c r="F42" s="19" t="s">
        <v>84</v>
      </c>
      <c r="G42" s="19">
        <v>5250</v>
      </c>
      <c r="H42" s="20">
        <v>-5250</v>
      </c>
      <c r="I42" s="129"/>
      <c r="J42" s="19"/>
      <c r="K42" s="21"/>
      <c r="L42" s="22"/>
      <c r="M42" s="23"/>
      <c r="O42" s="19" t="str">
        <f>VLOOKUP(QUERY_FOR_TRNSTRANSPOSED_0008!A42,'[6]Fin vs NFin'!$A$4:$F$568,6,FALSE)</f>
        <v>Não Financeiras</v>
      </c>
      <c r="P42" s="24" t="str">
        <f t="shared" si="2"/>
        <v>71</v>
      </c>
      <c r="Q42" s="24"/>
      <c r="R42" s="24"/>
      <c r="S42" s="24"/>
      <c r="T42" s="24"/>
    </row>
    <row r="43" spans="1:20">
      <c r="A43" s="18" t="s">
        <v>77</v>
      </c>
      <c r="B43" s="18" t="str">
        <f>VLOOKUP(A43,'[6]Fin vs NFin'!$A$4:$B$568,2,FALSE)</f>
        <v>!Outras DO</v>
      </c>
      <c r="C43" s="18" t="s">
        <v>82</v>
      </c>
      <c r="D43" s="18" t="s">
        <v>85</v>
      </c>
      <c r="E43" s="18" t="str">
        <f>VLOOKUP(D43,[6]Arvore!$N$8:$Q$6855,4,FALSE)</f>
        <v>4198</v>
      </c>
      <c r="F43" s="19" t="s">
        <v>84</v>
      </c>
      <c r="G43" s="19">
        <v>551.11</v>
      </c>
      <c r="H43" s="20">
        <v>-551.11</v>
      </c>
      <c r="I43" s="129"/>
      <c r="J43" s="19"/>
      <c r="K43" s="21"/>
      <c r="L43" s="22"/>
      <c r="M43" s="23"/>
      <c r="O43" s="19" t="str">
        <f>VLOOKUP(QUERY_FOR_TRNSTRANSPOSED_0008!A43,'[6]Fin vs NFin'!$A$4:$F$568,6,FALSE)</f>
        <v>Não Financeiras</v>
      </c>
      <c r="P43" s="24" t="str">
        <f t="shared" si="2"/>
        <v>71</v>
      </c>
      <c r="Q43" s="24"/>
      <c r="R43" s="24"/>
      <c r="S43" s="24"/>
      <c r="T43" s="24"/>
    </row>
    <row r="44" spans="1:20">
      <c r="A44" s="18" t="s">
        <v>77</v>
      </c>
      <c r="B44" s="18" t="str">
        <f>VLOOKUP(A44,'[6]Fin vs NFin'!$A$4:$B$568,2,FALSE)</f>
        <v>!Outras DO</v>
      </c>
      <c r="C44" s="18" t="s">
        <v>82</v>
      </c>
      <c r="D44" s="18" t="s">
        <v>86</v>
      </c>
      <c r="E44" s="18" t="str">
        <f>VLOOKUP(D44,[6]Arvore!$N$8:$Q$6855,4,FALSE)</f>
        <v>4912000</v>
      </c>
      <c r="F44" s="19" t="s">
        <v>84</v>
      </c>
      <c r="G44" s="19">
        <v>-342371.99</v>
      </c>
      <c r="H44" s="48">
        <v>342371.99</v>
      </c>
      <c r="I44" s="129"/>
      <c r="J44" s="19"/>
      <c r="K44" s="21"/>
      <c r="L44" s="22"/>
      <c r="M44" s="23"/>
      <c r="O44" s="19" t="str">
        <f>VLOOKUP(QUERY_FOR_TRNSTRANSPOSED_0008!A44,'[6]Fin vs NFin'!$A$4:$F$568,6,FALSE)</f>
        <v>Não Financeiras</v>
      </c>
      <c r="P44" s="24" t="str">
        <f t="shared" si="2"/>
        <v>71</v>
      </c>
      <c r="Q44" s="24"/>
      <c r="R44" s="24"/>
      <c r="S44" s="24"/>
      <c r="T44" s="24"/>
    </row>
    <row r="45" spans="1:20">
      <c r="A45" s="18" t="s">
        <v>77</v>
      </c>
      <c r="B45" s="18" t="str">
        <f>VLOOKUP(A45,'[6]Fin vs NFin'!$A$4:$B$568,2,FALSE)</f>
        <v>!Outras DO</v>
      </c>
      <c r="C45" s="18" t="s">
        <v>87</v>
      </c>
      <c r="D45" s="18" t="s">
        <v>79</v>
      </c>
      <c r="E45" s="18" t="str">
        <f>VLOOKUP(D45,[6]Arvore!$N$8:$Q$6855,4,FALSE)</f>
        <v>51959</v>
      </c>
      <c r="F45" s="19">
        <v>1978.88</v>
      </c>
      <c r="G45" s="19">
        <v>1941.44</v>
      </c>
      <c r="H45" s="20">
        <v>37.440000000000097</v>
      </c>
      <c r="I45" s="129"/>
      <c r="J45" s="19"/>
      <c r="K45" s="21"/>
      <c r="L45" s="22"/>
      <c r="M45" s="23"/>
      <c r="O45" s="19" t="str">
        <f>VLOOKUP(QUERY_FOR_TRNSTRANSPOSED_0008!A45,'[6]Fin vs NFin'!$A$4:$F$568,6,FALSE)</f>
        <v>Não Financeiras</v>
      </c>
      <c r="P45" s="24" t="str">
        <f t="shared" si="2"/>
        <v>82</v>
      </c>
      <c r="Q45" s="24"/>
      <c r="R45" s="24"/>
      <c r="S45" s="24"/>
      <c r="T45" s="24"/>
    </row>
    <row r="46" spans="1:20">
      <c r="A46" s="32" t="s">
        <v>77</v>
      </c>
      <c r="B46" s="32" t="str">
        <f>VLOOKUP(A46,'[6]Fin vs NFin'!$A$4:$B$568,2,FALSE)</f>
        <v>!Outras DO</v>
      </c>
      <c r="C46" s="32" t="s">
        <v>88</v>
      </c>
      <c r="D46" s="32" t="s">
        <v>89</v>
      </c>
      <c r="E46" s="32" t="str">
        <f>VLOOKUP(D46,[6]Arvore!$N$8:$Q$6855,4,FALSE)</f>
        <v>4198</v>
      </c>
      <c r="F46" s="33">
        <v>-20760</v>
      </c>
      <c r="G46" s="33">
        <v>-20760</v>
      </c>
      <c r="H46" s="34">
        <v>0</v>
      </c>
      <c r="I46" s="129"/>
      <c r="J46" s="19"/>
      <c r="K46" s="21"/>
      <c r="L46" s="22"/>
      <c r="M46" s="23"/>
      <c r="O46" s="19" t="str">
        <f>VLOOKUP(QUERY_FOR_TRNSTRANSPOSED_0008!A46,'[6]Fin vs NFin'!$A$4:$F$568,6,FALSE)</f>
        <v>Não Financeiras</v>
      </c>
      <c r="P46" s="24" t="str">
        <f t="shared" si="2"/>
        <v>71</v>
      </c>
      <c r="Q46" s="24"/>
      <c r="R46" s="24"/>
      <c r="S46" s="24"/>
      <c r="T46" s="24"/>
    </row>
    <row r="47" spans="1:20">
      <c r="A47" s="18" t="s">
        <v>77</v>
      </c>
      <c r="B47" s="18" t="str">
        <f>VLOOKUP(A47,'[6]Fin vs NFin'!$A$4:$B$568,2,FALSE)</f>
        <v>!Outras DO</v>
      </c>
      <c r="C47" s="18" t="s">
        <v>67</v>
      </c>
      <c r="D47" s="18" t="s">
        <v>85</v>
      </c>
      <c r="E47" s="18" t="str">
        <f>VLOOKUP(D47,[6]Arvore!$N$8:$Q$6855,4,FALSE)</f>
        <v>4198</v>
      </c>
      <c r="F47" s="19">
        <v>-558008.78</v>
      </c>
      <c r="G47" s="19">
        <v>-460772.48</v>
      </c>
      <c r="H47" s="20">
        <v>-97236.3</v>
      </c>
      <c r="I47" s="129"/>
      <c r="J47" s="19"/>
      <c r="K47" s="21"/>
      <c r="L47" s="22"/>
      <c r="M47" s="23"/>
      <c r="O47" s="19" t="str">
        <f>VLOOKUP(QUERY_FOR_TRNSTRANSPOSED_0008!A47,'[6]Fin vs NFin'!$A$4:$F$568,6,FALSE)</f>
        <v>Não Financeiras</v>
      </c>
      <c r="P47" s="24" t="str">
        <f t="shared" si="2"/>
        <v>71</v>
      </c>
      <c r="Q47" s="24"/>
      <c r="R47" s="24"/>
      <c r="S47" s="24"/>
      <c r="T47" s="24"/>
    </row>
    <row r="48" spans="1:20">
      <c r="A48" s="18" t="s">
        <v>77</v>
      </c>
      <c r="B48" s="18" t="str">
        <f>VLOOKUP(A48,'[6]Fin vs NFin'!$A$4:$B$568,2,FALSE)</f>
        <v>!Outras DO</v>
      </c>
      <c r="C48" s="18" t="s">
        <v>67</v>
      </c>
      <c r="D48" s="18" t="s">
        <v>81</v>
      </c>
      <c r="E48" s="18" t="str">
        <f>VLOOKUP(D48,[6]Arvore!$N$8:$Q$6855,4,FALSE)</f>
        <v>4198</v>
      </c>
      <c r="F48" s="19">
        <v>-609940.67000000004</v>
      </c>
      <c r="G48" s="19">
        <v>-477125.59</v>
      </c>
      <c r="H48" s="20">
        <v>-132815.07999999999</v>
      </c>
      <c r="I48" s="129"/>
      <c r="J48" s="19"/>
      <c r="K48" s="21"/>
      <c r="L48" s="22"/>
      <c r="M48" s="23"/>
      <c r="O48" s="19" t="str">
        <f>VLOOKUP(QUERY_FOR_TRNSTRANSPOSED_0008!A48,'[6]Fin vs NFin'!$A$4:$F$568,6,FALSE)</f>
        <v>Não Financeiras</v>
      </c>
      <c r="P48" s="24" t="str">
        <f t="shared" si="2"/>
        <v>71</v>
      </c>
      <c r="Q48" s="24"/>
      <c r="R48" s="24"/>
      <c r="S48" s="24"/>
      <c r="T48" s="24"/>
    </row>
    <row r="49" spans="1:20">
      <c r="A49" s="18" t="s">
        <v>77</v>
      </c>
      <c r="B49" s="18" t="str">
        <f>VLOOKUP(A49,'[6]Fin vs NFin'!$A$4:$B$568,2,FALSE)</f>
        <v>!Outras DO</v>
      </c>
      <c r="C49" s="18" t="s">
        <v>67</v>
      </c>
      <c r="D49" s="18" t="s">
        <v>89</v>
      </c>
      <c r="E49" s="18" t="str">
        <f>VLOOKUP(D49,[6]Arvore!$N$8:$Q$6855,4,FALSE)</f>
        <v>4198</v>
      </c>
      <c r="F49" s="19">
        <v>124576.19</v>
      </c>
      <c r="G49" s="19">
        <v>-14040</v>
      </c>
      <c r="H49" s="20">
        <v>138616.19</v>
      </c>
      <c r="I49" s="129"/>
      <c r="J49" s="19"/>
      <c r="K49" s="21"/>
      <c r="L49" s="22"/>
      <c r="M49" s="23"/>
      <c r="O49" s="19" t="str">
        <f>VLOOKUP(QUERY_FOR_TRNSTRANSPOSED_0008!A49,'[6]Fin vs NFin'!$A$4:$F$568,6,FALSE)</f>
        <v>Não Financeiras</v>
      </c>
      <c r="P49" s="24" t="str">
        <f t="shared" si="2"/>
        <v>71</v>
      </c>
      <c r="Q49" s="24"/>
      <c r="R49" s="24"/>
      <c r="S49" s="24"/>
      <c r="T49" s="24"/>
    </row>
    <row r="50" spans="1:20" ht="15" thickBot="1">
      <c r="A50" s="18" t="s">
        <v>77</v>
      </c>
      <c r="B50" s="18" t="str">
        <f>VLOOKUP(A50,'[6]Fin vs NFin'!$A$4:$B$568,2,FALSE)</f>
        <v>!Outras DO</v>
      </c>
      <c r="C50" s="18" t="s">
        <v>67</v>
      </c>
      <c r="D50" s="18" t="s">
        <v>86</v>
      </c>
      <c r="E50" s="18" t="str">
        <f>VLOOKUP(D50,[6]Arvore!$N$8:$Q$6855,4,FALSE)</f>
        <v>4912000</v>
      </c>
      <c r="F50" s="19" t="s">
        <v>84</v>
      </c>
      <c r="G50" s="19">
        <v>-97236.3</v>
      </c>
      <c r="H50" s="20">
        <v>97236.3</v>
      </c>
      <c r="I50" s="129"/>
      <c r="J50" s="19"/>
      <c r="K50" s="21"/>
      <c r="L50" s="22"/>
      <c r="M50" s="23"/>
      <c r="O50" s="19" t="str">
        <f>VLOOKUP(QUERY_FOR_TRNSTRANSPOSED_0008!A50,'[6]Fin vs NFin'!$A$4:$F$568,6,FALSE)</f>
        <v>Não Financeiras</v>
      </c>
      <c r="P50" s="24" t="str">
        <f t="shared" si="2"/>
        <v>71</v>
      </c>
      <c r="Q50" s="24"/>
      <c r="R50" s="24"/>
      <c r="S50" s="24"/>
      <c r="T50" s="24"/>
    </row>
    <row r="51" spans="1:20">
      <c r="A51" s="38" t="s">
        <v>90</v>
      </c>
      <c r="B51" s="38" t="str">
        <f>VLOOKUP(A51,'[6]Fin vs NFin'!$A$4:$B$568,2,FALSE)</f>
        <v>!Cadernetas</v>
      </c>
      <c r="C51" s="38" t="s">
        <v>91</v>
      </c>
      <c r="D51" s="38" t="s">
        <v>92</v>
      </c>
      <c r="E51" s="38" t="str">
        <f>VLOOKUP(D51,[6]Arvore!$N$8:$Q$6855,4,FALSE)</f>
        <v>5194</v>
      </c>
      <c r="F51" s="39">
        <v>102460.78</v>
      </c>
      <c r="G51" s="39">
        <v>98346.98</v>
      </c>
      <c r="H51" s="40">
        <v>4113.8</v>
      </c>
      <c r="I51" s="108">
        <f>SUM(H51:H53)</f>
        <v>0</v>
      </c>
      <c r="J51" s="39"/>
      <c r="K51" s="21"/>
      <c r="L51" s="41"/>
      <c r="M51" s="42"/>
      <c r="O51" s="39" t="str">
        <f>VLOOKUP(QUERY_FOR_TRNSTRANSPOSED_0008!A51,'[6]Fin vs NFin'!$A$4:$F$568,6,FALSE)</f>
        <v>Não Financeiras</v>
      </c>
      <c r="P51" s="43" t="str">
        <f t="shared" si="2"/>
        <v>82</v>
      </c>
      <c r="Q51" s="43"/>
      <c r="R51" s="43"/>
      <c r="S51" s="43"/>
      <c r="T51" s="43"/>
    </row>
    <row r="52" spans="1:20">
      <c r="A52" s="18" t="s">
        <v>90</v>
      </c>
      <c r="B52" s="18" t="str">
        <f>VLOOKUP(A52,'[6]Fin vs NFin'!$A$4:$B$568,2,FALSE)</f>
        <v>!Cadernetas</v>
      </c>
      <c r="C52" s="18" t="s">
        <v>93</v>
      </c>
      <c r="D52" s="18" t="s">
        <v>92</v>
      </c>
      <c r="E52" s="18" t="str">
        <f>VLOOKUP(D52,[6]Arvore!$N$8:$Q$6855,4,FALSE)</f>
        <v>5194</v>
      </c>
      <c r="F52" s="19">
        <v>1033494.46</v>
      </c>
      <c r="G52" s="19">
        <v>1037999.46</v>
      </c>
      <c r="H52" s="20">
        <v>-4505</v>
      </c>
      <c r="I52" s="114"/>
      <c r="J52" s="19"/>
      <c r="K52" s="21"/>
      <c r="L52" s="22"/>
      <c r="M52" s="23"/>
      <c r="O52" s="19" t="str">
        <f>VLOOKUP(QUERY_FOR_TRNSTRANSPOSED_0008!A52,'[6]Fin vs NFin'!$A$4:$F$568,6,FALSE)</f>
        <v>Não Financeiras</v>
      </c>
      <c r="P52" s="24" t="str">
        <f t="shared" si="2"/>
        <v>82</v>
      </c>
      <c r="Q52" s="24"/>
      <c r="R52" s="24"/>
      <c r="S52" s="24"/>
      <c r="T52" s="24"/>
    </row>
    <row r="53" spans="1:20" ht="15" thickBot="1">
      <c r="A53" s="18" t="s">
        <v>90</v>
      </c>
      <c r="B53" s="18" t="str">
        <f>VLOOKUP(A53,'[6]Fin vs NFin'!$A$4:$B$568,2,FALSE)</f>
        <v>!Cadernetas</v>
      </c>
      <c r="C53" s="18" t="s">
        <v>94</v>
      </c>
      <c r="D53" s="18" t="s">
        <v>92</v>
      </c>
      <c r="E53" s="18" t="str">
        <f>VLOOKUP(D53,[6]Arvore!$N$8:$Q$6855,4,FALSE)</f>
        <v>5194</v>
      </c>
      <c r="F53" s="19">
        <v>-152.19999999999999</v>
      </c>
      <c r="G53" s="19">
        <v>-543.4</v>
      </c>
      <c r="H53" s="20">
        <v>391.2</v>
      </c>
      <c r="I53" s="114"/>
      <c r="J53" s="19"/>
      <c r="K53" s="21"/>
      <c r="L53" s="22"/>
      <c r="M53" s="23"/>
      <c r="O53" s="19" t="str">
        <f>VLOOKUP(QUERY_FOR_TRNSTRANSPOSED_0008!A53,'[6]Fin vs NFin'!$A$4:$F$568,6,FALSE)</f>
        <v>Não Financeiras</v>
      </c>
      <c r="P53" s="24" t="str">
        <f t="shared" si="2"/>
        <v>82</v>
      </c>
      <c r="Q53" s="24"/>
      <c r="R53" s="24"/>
      <c r="S53" s="24"/>
      <c r="T53" s="24"/>
    </row>
    <row r="54" spans="1:20">
      <c r="A54" s="38" t="s">
        <v>95</v>
      </c>
      <c r="B54" s="38" t="str">
        <f>VLOOKUP(A54,'[6]Fin vs NFin'!$A$4:$B$568,2,FALSE)</f>
        <v>!Visados/Bancários</v>
      </c>
      <c r="C54" s="38" t="s">
        <v>96</v>
      </c>
      <c r="D54" s="38" t="s">
        <v>97</v>
      </c>
      <c r="E54" s="38" t="str">
        <f>VLOOKUP(D54,[6]Arvore!$N$8:$Q$6855,4,FALSE)</f>
        <v>5194</v>
      </c>
      <c r="F54" s="39">
        <v>15687.5</v>
      </c>
      <c r="G54" s="39">
        <v>8512.5</v>
      </c>
      <c r="H54" s="40">
        <v>7175</v>
      </c>
      <c r="I54" s="108">
        <v>0</v>
      </c>
      <c r="J54" s="39"/>
      <c r="K54" s="21"/>
      <c r="L54" s="41"/>
      <c r="M54" s="42"/>
      <c r="O54" s="39" t="str">
        <f>VLOOKUP(QUERY_FOR_TRNSTRANSPOSED_0008!A54,'[6]Fin vs NFin'!$A$4:$F$568,6,FALSE)</f>
        <v>Não Financeiras</v>
      </c>
      <c r="P54" s="43" t="str">
        <f t="shared" si="2"/>
        <v>82</v>
      </c>
      <c r="Q54" s="43"/>
      <c r="R54" s="43"/>
      <c r="S54" s="43"/>
      <c r="T54" s="43"/>
    </row>
    <row r="55" spans="1:20">
      <c r="A55" s="18" t="s">
        <v>95</v>
      </c>
      <c r="B55" s="18" t="str">
        <f>VLOOKUP(A55,'[6]Fin vs NFin'!$A$4:$B$568,2,FALSE)</f>
        <v>!Visados/Bancários</v>
      </c>
      <c r="C55" s="18" t="s">
        <v>96</v>
      </c>
      <c r="D55" s="18" t="s">
        <v>98</v>
      </c>
      <c r="E55" s="18" t="str">
        <f>VLOOKUP(D55,[6]Arvore!$N$8:$Q$6855,4,FALSE)</f>
        <v>5194</v>
      </c>
      <c r="F55" s="19">
        <v>843773.25</v>
      </c>
      <c r="G55" s="19">
        <v>855338.25</v>
      </c>
      <c r="H55" s="20">
        <v>-11565</v>
      </c>
      <c r="I55" s="114"/>
      <c r="J55" s="19"/>
      <c r="K55" s="21"/>
      <c r="L55" s="22"/>
      <c r="M55" s="23"/>
      <c r="O55" s="19" t="str">
        <f>VLOOKUP(QUERY_FOR_TRNSTRANSPOSED_0008!A55,'[6]Fin vs NFin'!$A$4:$F$568,6,FALSE)</f>
        <v>Não Financeiras</v>
      </c>
      <c r="P55" s="24" t="str">
        <f t="shared" si="2"/>
        <v>82</v>
      </c>
      <c r="Q55" s="24"/>
      <c r="R55" s="24"/>
      <c r="S55" s="24"/>
      <c r="T55" s="24"/>
    </row>
    <row r="56" spans="1:20">
      <c r="A56" s="18" t="s">
        <v>95</v>
      </c>
      <c r="B56" s="18" t="str">
        <f>VLOOKUP(A56,'[6]Fin vs NFin'!$A$4:$B$568,2,FALSE)</f>
        <v>!Visados/Bancários</v>
      </c>
      <c r="C56" s="18" t="s">
        <v>99</v>
      </c>
      <c r="D56" s="18" t="s">
        <v>98</v>
      </c>
      <c r="E56" s="18" t="str">
        <f>VLOOKUP(D56,[6]Arvore!$N$8:$Q$6855,4,FALSE)</f>
        <v>5194</v>
      </c>
      <c r="F56" s="19">
        <v>-250</v>
      </c>
      <c r="G56" s="19">
        <v>-3690</v>
      </c>
      <c r="H56" s="20">
        <v>3440</v>
      </c>
      <c r="I56" s="114"/>
      <c r="J56" s="19"/>
      <c r="K56" s="21"/>
      <c r="L56" s="22"/>
      <c r="M56" s="23"/>
      <c r="O56" s="19" t="str">
        <f>VLOOKUP(QUERY_FOR_TRNSTRANSPOSED_0008!A56,'[6]Fin vs NFin'!$A$4:$F$568,6,FALSE)</f>
        <v>Não Financeiras</v>
      </c>
      <c r="P56" s="24" t="str">
        <f t="shared" si="2"/>
        <v>82</v>
      </c>
      <c r="Q56" s="24"/>
      <c r="R56" s="24"/>
      <c r="S56" s="24"/>
      <c r="T56" s="24"/>
    </row>
    <row r="57" spans="1:20">
      <c r="A57" s="18" t="s">
        <v>95</v>
      </c>
      <c r="B57" s="18" t="str">
        <f>VLOOKUP(A57,'[6]Fin vs NFin'!$A$4:$B$568,2,FALSE)</f>
        <v>!Visados/Bancários</v>
      </c>
      <c r="C57" s="18" t="s">
        <v>100</v>
      </c>
      <c r="D57" s="18" t="s">
        <v>98</v>
      </c>
      <c r="E57" s="18" t="str">
        <f>VLOOKUP(D57,[6]Arvore!$N$8:$Q$6855,4,FALSE)</f>
        <v>5194</v>
      </c>
      <c r="F57" s="19" t="s">
        <v>84</v>
      </c>
      <c r="G57" s="19">
        <v>-375</v>
      </c>
      <c r="H57" s="20">
        <v>375</v>
      </c>
      <c r="I57" s="114"/>
      <c r="J57" s="19"/>
      <c r="K57" s="21"/>
      <c r="L57" s="22"/>
      <c r="M57" s="23"/>
      <c r="O57" s="19" t="str">
        <f>VLOOKUP(QUERY_FOR_TRNSTRANSPOSED_0008!A57,'[6]Fin vs NFin'!$A$4:$F$568,6,FALSE)</f>
        <v>Não Financeiras</v>
      </c>
      <c r="P57" s="24" t="str">
        <f t="shared" si="2"/>
        <v>82</v>
      </c>
      <c r="Q57" s="24"/>
      <c r="R57" s="24"/>
      <c r="S57" s="24"/>
      <c r="T57" s="24"/>
    </row>
    <row r="58" spans="1:20">
      <c r="A58" s="18" t="s">
        <v>95</v>
      </c>
      <c r="B58" s="18" t="str">
        <f>VLOOKUP(A58,'[6]Fin vs NFin'!$A$4:$B$568,2,FALSE)</f>
        <v>!Visados/Bancários</v>
      </c>
      <c r="C58" s="18" t="s">
        <v>101</v>
      </c>
      <c r="D58" s="18" t="s">
        <v>97</v>
      </c>
      <c r="E58" s="18" t="str">
        <f>VLOOKUP(D58,[6]Arvore!$N$8:$Q$6855,4,FALSE)</f>
        <v>5194</v>
      </c>
      <c r="F58" s="19" t="s">
        <v>84</v>
      </c>
      <c r="G58" s="19">
        <v>-125</v>
      </c>
      <c r="H58" s="20">
        <v>125</v>
      </c>
      <c r="I58" s="114"/>
      <c r="J58" s="19"/>
      <c r="K58" s="21"/>
      <c r="L58" s="22"/>
      <c r="M58" s="23"/>
      <c r="O58" s="19" t="str">
        <f>VLOOKUP(QUERY_FOR_TRNSTRANSPOSED_0008!A58,'[6]Fin vs NFin'!$A$4:$F$568,6,FALSE)</f>
        <v>Não Financeiras</v>
      </c>
      <c r="P58" s="24" t="str">
        <f t="shared" si="2"/>
        <v>82</v>
      </c>
      <c r="Q58" s="24"/>
      <c r="R58" s="24"/>
      <c r="S58" s="24"/>
      <c r="T58" s="24"/>
    </row>
    <row r="59" spans="1:20" ht="15" thickBot="1">
      <c r="A59" s="18" t="s">
        <v>95</v>
      </c>
      <c r="B59" s="18" t="str">
        <f>VLOOKUP(A59,'[6]Fin vs NFin'!$A$4:$B$568,2,FALSE)</f>
        <v>!Visados/Bancários</v>
      </c>
      <c r="C59" s="18" t="s">
        <v>102</v>
      </c>
      <c r="D59" s="18" t="s">
        <v>98</v>
      </c>
      <c r="E59" s="18" t="str">
        <f>VLOOKUP(D59,[6]Arvore!$N$8:$Q$6855,4,FALSE)</f>
        <v>5194</v>
      </c>
      <c r="F59" s="19">
        <v>-80</v>
      </c>
      <c r="G59" s="19">
        <v>-530</v>
      </c>
      <c r="H59" s="20">
        <v>450</v>
      </c>
      <c r="I59" s="114"/>
      <c r="J59" s="19"/>
      <c r="K59" s="21"/>
      <c r="L59" s="22"/>
      <c r="M59" s="23"/>
      <c r="O59" s="19" t="str">
        <f>VLOOKUP(QUERY_FOR_TRNSTRANSPOSED_0008!A59,'[6]Fin vs NFin'!$A$4:$F$568,6,FALSE)</f>
        <v>Não Financeiras</v>
      </c>
      <c r="P59" s="24" t="str">
        <f t="shared" si="2"/>
        <v>82</v>
      </c>
      <c r="Q59" s="24"/>
      <c r="R59" s="24"/>
      <c r="S59" s="24"/>
      <c r="T59" s="24"/>
    </row>
    <row r="60" spans="1:20">
      <c r="A60" s="38" t="s">
        <v>103</v>
      </c>
      <c r="B60" s="38" t="str">
        <f>VLOOKUP(A60,'[6]Fin vs NFin'!$A$4:$B$568,2,FALSE)</f>
        <v>!Devolução de Cheques</v>
      </c>
      <c r="C60" s="38" t="s">
        <v>104</v>
      </c>
      <c r="D60" s="38" t="s">
        <v>105</v>
      </c>
      <c r="E60" s="38" t="str">
        <f>VLOOKUP(D60,[6]Arvore!$N$8:$Q$6855,4,FALSE)</f>
        <v>5194</v>
      </c>
      <c r="F60" s="39">
        <v>401370</v>
      </c>
      <c r="G60" s="39">
        <v>407155</v>
      </c>
      <c r="H60" s="40">
        <v>-5785</v>
      </c>
      <c r="I60" s="108">
        <f>SUM(H60:H61)</f>
        <v>0</v>
      </c>
      <c r="J60" s="39"/>
      <c r="K60" s="21"/>
      <c r="L60" s="41"/>
      <c r="M60" s="42"/>
      <c r="O60" s="39" t="str">
        <f>VLOOKUP(QUERY_FOR_TRNSTRANSPOSED_0008!A60,'[6]Fin vs NFin'!$A$4:$F$568,6,FALSE)</f>
        <v>Não Financeiras</v>
      </c>
      <c r="P60" s="43" t="str">
        <f t="shared" si="2"/>
        <v>82</v>
      </c>
      <c r="Q60" s="43"/>
      <c r="R60" s="43"/>
      <c r="S60" s="43"/>
      <c r="T60" s="43"/>
    </row>
    <row r="61" spans="1:20" ht="15" thickBot="1">
      <c r="A61" s="11" t="s">
        <v>103</v>
      </c>
      <c r="B61" s="11" t="str">
        <f>VLOOKUP(A61,'[6]Fin vs NFin'!$A$4:$B$568,2,FALSE)</f>
        <v>!Devolução de Cheques</v>
      </c>
      <c r="C61" s="11" t="s">
        <v>106</v>
      </c>
      <c r="D61" s="11" t="s">
        <v>105</v>
      </c>
      <c r="E61" s="11" t="str">
        <f>VLOOKUP(D61,[6]Arvore!$N$8:$Q$6855,4,FALSE)</f>
        <v>5194</v>
      </c>
      <c r="F61" s="12">
        <v>-910</v>
      </c>
      <c r="G61" s="12">
        <v>-6695</v>
      </c>
      <c r="H61" s="13">
        <v>5785</v>
      </c>
      <c r="I61" s="109"/>
      <c r="J61" s="12"/>
      <c r="K61" s="21"/>
      <c r="L61" s="15"/>
      <c r="M61" s="16"/>
      <c r="O61" s="12" t="str">
        <f>VLOOKUP(QUERY_FOR_TRNSTRANSPOSED_0008!A61,'[6]Fin vs NFin'!$A$4:$F$568,6,FALSE)</f>
        <v>Não Financeiras</v>
      </c>
      <c r="P61" s="17" t="str">
        <f t="shared" si="2"/>
        <v>82</v>
      </c>
      <c r="Q61" s="17"/>
      <c r="R61" s="17"/>
      <c r="S61" s="17"/>
      <c r="T61" s="17"/>
    </row>
    <row r="62" spans="1:20">
      <c r="A62" s="38" t="s">
        <v>107</v>
      </c>
      <c r="B62" s="38" t="str">
        <f>VLOOKUP(A62,'[6]Fin vs NFin'!$A$4:$B$568,2,FALSE)</f>
        <v>!Cheques sem Provisão</v>
      </c>
      <c r="C62" s="38" t="s">
        <v>108</v>
      </c>
      <c r="D62" s="38" t="s">
        <v>109</v>
      </c>
      <c r="E62" s="38" t="str">
        <f>VLOOKUP(D62,[6]Arvore!$N$8:$Q$6855,4,FALSE)</f>
        <v>51931</v>
      </c>
      <c r="F62" s="39">
        <v>253925</v>
      </c>
      <c r="G62" s="39">
        <v>255500</v>
      </c>
      <c r="H62" s="40">
        <v>-1575</v>
      </c>
      <c r="I62" s="108">
        <v>0</v>
      </c>
      <c r="J62" s="39"/>
      <c r="K62" s="21"/>
      <c r="L62" s="41"/>
      <c r="M62" s="42"/>
      <c r="O62" s="39" t="str">
        <f>VLOOKUP(QUERY_FOR_TRNSTRANSPOSED_0008!A62,'[6]Fin vs NFin'!$A$4:$F$568,6,FALSE)</f>
        <v>Não Financeiras</v>
      </c>
      <c r="P62" s="43" t="str">
        <f t="shared" si="2"/>
        <v>82</v>
      </c>
      <c r="Q62" s="43"/>
      <c r="R62" s="43"/>
      <c r="S62" s="43"/>
      <c r="T62" s="43"/>
    </row>
    <row r="63" spans="1:20">
      <c r="A63" s="18" t="s">
        <v>107</v>
      </c>
      <c r="B63" s="18" t="str">
        <f>VLOOKUP(A63,'[6]Fin vs NFin'!$A$4:$B$568,2,FALSE)</f>
        <v>!Cheques sem Provisão</v>
      </c>
      <c r="C63" s="18" t="s">
        <v>110</v>
      </c>
      <c r="D63" s="18" t="s">
        <v>109</v>
      </c>
      <c r="E63" s="18" t="str">
        <f>VLOOKUP(D63,[6]Arvore!$N$8:$Q$6855,4,FALSE)</f>
        <v>51931</v>
      </c>
      <c r="F63" s="19">
        <v>-150</v>
      </c>
      <c r="G63" s="19">
        <v>-1725</v>
      </c>
      <c r="H63" s="20">
        <v>1575</v>
      </c>
      <c r="I63" s="114"/>
      <c r="J63" s="19"/>
      <c r="K63" s="21"/>
      <c r="L63" s="22"/>
      <c r="M63" s="23"/>
      <c r="O63" s="19" t="str">
        <f>VLOOKUP(QUERY_FOR_TRNSTRANSPOSED_0008!A63,'[6]Fin vs NFin'!$A$4:$F$568,6,FALSE)</f>
        <v>Não Financeiras</v>
      </c>
      <c r="P63" s="24" t="str">
        <f t="shared" si="2"/>
        <v>82</v>
      </c>
      <c r="Q63" s="24"/>
      <c r="R63" s="24"/>
      <c r="S63" s="24"/>
      <c r="T63" s="24"/>
    </row>
    <row r="64" spans="1:20" ht="15" thickBot="1">
      <c r="A64" s="32" t="s">
        <v>107</v>
      </c>
      <c r="B64" s="32" t="str">
        <f>VLOOKUP(A64,'[6]Fin vs NFin'!$A$4:$B$568,2,FALSE)</f>
        <v>!Cheques sem Provisão</v>
      </c>
      <c r="C64" s="32" t="s">
        <v>111</v>
      </c>
      <c r="D64" s="32" t="s">
        <v>109</v>
      </c>
      <c r="E64" s="32" t="str">
        <f>VLOOKUP(D64,[6]Arvore!$N$8:$Q$6855,4,FALSE)</f>
        <v>51931</v>
      </c>
      <c r="F64" s="33">
        <v>-80</v>
      </c>
      <c r="G64" s="33">
        <v>-80</v>
      </c>
      <c r="H64" s="34">
        <v>0</v>
      </c>
      <c r="I64" s="114"/>
      <c r="J64" s="19"/>
      <c r="K64" s="21"/>
      <c r="L64" s="22"/>
      <c r="M64" s="23"/>
      <c r="O64" s="19" t="str">
        <f>VLOOKUP(QUERY_FOR_TRNSTRANSPOSED_0008!A64,'[6]Fin vs NFin'!$A$4:$F$568,6,FALSE)</f>
        <v>Não Financeiras</v>
      </c>
      <c r="P64" s="24" t="str">
        <f t="shared" si="2"/>
        <v>82</v>
      </c>
      <c r="Q64" s="24"/>
      <c r="R64" s="24"/>
      <c r="S64" s="24"/>
      <c r="T64" s="24"/>
    </row>
    <row r="65" spans="1:20">
      <c r="A65" s="49" t="s">
        <v>112</v>
      </c>
      <c r="B65" s="49" t="str">
        <f>VLOOKUP(A65,'[6]Fin vs NFin'!$A$4:$B$568,2,FALSE)</f>
        <v>!Cheques Outras</v>
      </c>
      <c r="C65" s="49" t="s">
        <v>113</v>
      </c>
      <c r="D65" s="49" t="s">
        <v>114</v>
      </c>
      <c r="E65" s="49" t="str">
        <f>VLOOKUP(D65,[6]Arvore!$N$8:$Q$6855,4,FALSE)</f>
        <v>41499</v>
      </c>
      <c r="F65" s="50">
        <v>-1800</v>
      </c>
      <c r="G65" s="50">
        <v>-1800</v>
      </c>
      <c r="H65" s="51">
        <v>0</v>
      </c>
      <c r="I65" s="108">
        <f>SUM(H65:H71)</f>
        <v>0</v>
      </c>
      <c r="J65" s="39"/>
      <c r="K65" s="21"/>
      <c r="L65" s="41"/>
      <c r="M65" s="42"/>
      <c r="O65" s="39" t="str">
        <f>VLOOKUP(QUERY_FOR_TRNSTRANSPOSED_0008!A65,'[6]Fin vs NFin'!$A$4:$F$568,6,FALSE)</f>
        <v>Não Financeiras</v>
      </c>
      <c r="P65" s="43" t="str">
        <f t="shared" si="2"/>
        <v>77</v>
      </c>
      <c r="Q65" s="43"/>
      <c r="R65" s="43"/>
      <c r="S65" s="43"/>
      <c r="T65" s="43"/>
    </row>
    <row r="66" spans="1:20">
      <c r="A66" s="18" t="s">
        <v>112</v>
      </c>
      <c r="B66" s="18" t="str">
        <f>VLOOKUP(A66,'[6]Fin vs NFin'!$A$4:$B$568,2,FALSE)</f>
        <v>!Cheques Outras</v>
      </c>
      <c r="C66" s="18" t="s">
        <v>115</v>
      </c>
      <c r="D66" s="18" t="s">
        <v>116</v>
      </c>
      <c r="E66" s="18" t="str">
        <f>VLOOKUP(D66,[6]Arvore!$N$8:$Q$6855,4,FALSE)</f>
        <v>5194</v>
      </c>
      <c r="F66" s="19">
        <v>29022.5</v>
      </c>
      <c r="G66" s="19">
        <v>28782.5</v>
      </c>
      <c r="H66" s="20">
        <v>240</v>
      </c>
      <c r="I66" s="114"/>
      <c r="J66" s="19"/>
      <c r="K66" s="21"/>
      <c r="L66" s="22"/>
      <c r="M66" s="23"/>
      <c r="O66" s="19" t="str">
        <f>VLOOKUP(QUERY_FOR_TRNSTRANSPOSED_0008!A66,'[6]Fin vs NFin'!$A$4:$F$568,6,FALSE)</f>
        <v>Não Financeiras</v>
      </c>
      <c r="P66" s="24" t="str">
        <f t="shared" si="2"/>
        <v>82</v>
      </c>
      <c r="Q66" s="24"/>
      <c r="R66" s="24"/>
      <c r="S66" s="24"/>
      <c r="T66" s="24"/>
    </row>
    <row r="67" spans="1:20">
      <c r="A67" s="32" t="s">
        <v>112</v>
      </c>
      <c r="B67" s="32" t="str">
        <f>VLOOKUP(A67,'[6]Fin vs NFin'!$A$4:$B$568,2,FALSE)</f>
        <v>!Cheques Outras</v>
      </c>
      <c r="C67" s="32" t="s">
        <v>117</v>
      </c>
      <c r="D67" s="32" t="s">
        <v>118</v>
      </c>
      <c r="E67" s="32" t="str">
        <f>VLOOKUP(D67,[6]Arvore!$N$8:$Q$6855,4,FALSE)</f>
        <v>431110</v>
      </c>
      <c r="F67" s="33">
        <v>3725</v>
      </c>
      <c r="G67" s="33">
        <v>3725</v>
      </c>
      <c r="H67" s="34">
        <v>0</v>
      </c>
      <c r="I67" s="114"/>
      <c r="J67" s="19"/>
      <c r="K67" s="21"/>
      <c r="L67" s="22"/>
      <c r="M67" s="23"/>
      <c r="O67" s="19" t="str">
        <f>VLOOKUP(QUERY_FOR_TRNSTRANSPOSED_0008!A67,'[6]Fin vs NFin'!$A$4:$F$568,6,FALSE)</f>
        <v>Não Financeiras</v>
      </c>
      <c r="P67" s="24" t="str">
        <f t="shared" si="2"/>
        <v>89</v>
      </c>
      <c r="Q67" s="24"/>
      <c r="R67" s="24" t="str">
        <f>VLOOKUP(D67,[6]Mapeamento!$A$38:$C$497,3,FALSE)</f>
        <v>GG</v>
      </c>
      <c r="S67" s="24"/>
      <c r="T67" s="24"/>
    </row>
    <row r="68" spans="1:20">
      <c r="A68" s="32" t="s">
        <v>112</v>
      </c>
      <c r="B68" s="32" t="str">
        <f>VLOOKUP(A68,'[6]Fin vs NFin'!$A$4:$B$568,2,FALSE)</f>
        <v>!Cheques Outras</v>
      </c>
      <c r="C68" s="32" t="s">
        <v>119</v>
      </c>
      <c r="D68" s="32" t="s">
        <v>120</v>
      </c>
      <c r="E68" s="32" t="str">
        <f>VLOOKUP(D68,[6]Arvore!$N$8:$Q$6855,4,FALSE)</f>
        <v>5194</v>
      </c>
      <c r="F68" s="33">
        <v>-10</v>
      </c>
      <c r="G68" s="33">
        <v>-10</v>
      </c>
      <c r="H68" s="34">
        <v>0</v>
      </c>
      <c r="I68" s="114"/>
      <c r="J68" s="19"/>
      <c r="K68" s="21"/>
      <c r="L68" s="22"/>
      <c r="M68" s="23"/>
      <c r="O68" s="19" t="str">
        <f>VLOOKUP(QUERY_FOR_TRNSTRANSPOSED_0008!A68,'[6]Fin vs NFin'!$A$4:$F$568,6,FALSE)</f>
        <v>Não Financeiras</v>
      </c>
      <c r="P68" s="24" t="str">
        <f t="shared" si="2"/>
        <v>89</v>
      </c>
      <c r="Q68" s="24"/>
      <c r="R68" s="24"/>
      <c r="S68" s="24"/>
      <c r="T68" s="24"/>
    </row>
    <row r="69" spans="1:20">
      <c r="A69" s="18" t="s">
        <v>112</v>
      </c>
      <c r="B69" s="18" t="str">
        <f>VLOOKUP(A69,'[6]Fin vs NFin'!$A$4:$B$568,2,FALSE)</f>
        <v>!Cheques Outras</v>
      </c>
      <c r="C69" s="18" t="s">
        <v>121</v>
      </c>
      <c r="D69" s="18" t="s">
        <v>122</v>
      </c>
      <c r="E69" s="18" t="str">
        <f>VLOOKUP(D69,[6]Arvore!$N$8:$Q$6855,4,FALSE)</f>
        <v>5194</v>
      </c>
      <c r="F69" s="19">
        <v>77360</v>
      </c>
      <c r="G69" s="19">
        <v>77600</v>
      </c>
      <c r="H69" s="20">
        <v>-240</v>
      </c>
      <c r="I69" s="114"/>
      <c r="J69" s="19"/>
      <c r="K69" s="21"/>
      <c r="L69" s="22"/>
      <c r="M69" s="23"/>
      <c r="O69" s="19" t="str">
        <f>VLOOKUP(QUERY_FOR_TRNSTRANSPOSED_0008!A69,'[6]Fin vs NFin'!$A$4:$F$568,6,FALSE)</f>
        <v>Não Financeiras</v>
      </c>
      <c r="P69" s="24" t="str">
        <f t="shared" si="2"/>
        <v>82</v>
      </c>
      <c r="Q69" s="24"/>
      <c r="R69" s="24"/>
      <c r="S69" s="24"/>
      <c r="T69" s="24"/>
    </row>
    <row r="70" spans="1:20">
      <c r="A70" s="18" t="s">
        <v>112</v>
      </c>
      <c r="B70" s="18" t="str">
        <f>VLOOKUP(A70,'[6]Fin vs NFin'!$A$4:$B$568,2,FALSE)</f>
        <v>!Cheques Outras</v>
      </c>
      <c r="C70" s="18" t="s">
        <v>82</v>
      </c>
      <c r="D70" s="18" t="s">
        <v>123</v>
      </c>
      <c r="E70" s="18" t="str">
        <f>VLOOKUP(D70,[6]Arvore!$N$8:$Q$6855,4,FALSE)</f>
        <v>416190</v>
      </c>
      <c r="F70" s="19">
        <v>-389678.36</v>
      </c>
      <c r="G70" s="19">
        <v>-650867.42000000004</v>
      </c>
      <c r="H70" s="20">
        <v>261189.06</v>
      </c>
      <c r="I70" s="114"/>
      <c r="J70" s="19"/>
      <c r="K70" s="21"/>
      <c r="L70" s="22"/>
      <c r="M70" s="23"/>
      <c r="O70" s="19" t="str">
        <f>VLOOKUP(QUERY_FOR_TRNSTRANSPOSED_0008!A70,'[6]Fin vs NFin'!$A$4:$F$568,6,FALSE)</f>
        <v>Não Financeiras</v>
      </c>
      <c r="P70" s="24" t="str">
        <f t="shared" ref="P70:P133" si="3">LEFT(D70,2)</f>
        <v>71</v>
      </c>
      <c r="Q70" s="24"/>
      <c r="R70" s="24"/>
      <c r="S70" s="24"/>
      <c r="T70" s="24"/>
    </row>
    <row r="71" spans="1:20" ht="15" thickBot="1">
      <c r="A71" s="18" t="s">
        <v>112</v>
      </c>
      <c r="B71" s="18" t="str">
        <f>VLOOKUP(A71,'[6]Fin vs NFin'!$A$4:$B$568,2,FALSE)</f>
        <v>!Cheques Outras</v>
      </c>
      <c r="C71" s="18" t="s">
        <v>67</v>
      </c>
      <c r="D71" s="18" t="s">
        <v>123</v>
      </c>
      <c r="E71" s="18" t="str">
        <f>VLOOKUP(D71,[6]Arvore!$N$8:$Q$6855,4,FALSE)</f>
        <v>416190</v>
      </c>
      <c r="F71" s="19">
        <v>-261189.06</v>
      </c>
      <c r="G71" s="19">
        <v>6.3664629124105001E-12</v>
      </c>
      <c r="H71" s="20">
        <v>-261189.06</v>
      </c>
      <c r="I71" s="114"/>
      <c r="J71" s="19"/>
      <c r="K71" s="21"/>
      <c r="L71" s="22"/>
      <c r="M71" s="23"/>
      <c r="O71" s="19" t="str">
        <f>VLOOKUP(QUERY_FOR_TRNSTRANSPOSED_0008!A71,'[6]Fin vs NFin'!$A$4:$F$568,6,FALSE)</f>
        <v>Não Financeiras</v>
      </c>
      <c r="P71" s="24" t="str">
        <f t="shared" si="3"/>
        <v>71</v>
      </c>
      <c r="Q71" s="24"/>
      <c r="R71" s="24"/>
      <c r="S71" s="24"/>
      <c r="T71" s="24"/>
    </row>
    <row r="72" spans="1:20">
      <c r="A72" s="38" t="s">
        <v>124</v>
      </c>
      <c r="B72" s="38" t="str">
        <f>VLOOKUP(A72,'[6]Fin vs NFin'!$A$4:$B$568,2,FALSE)</f>
        <v>!Desc.Autorizados</v>
      </c>
      <c r="C72" s="38" t="s">
        <v>125</v>
      </c>
      <c r="D72" s="38" t="s">
        <v>126</v>
      </c>
      <c r="E72" s="38" t="str">
        <f>VLOOKUP(D72,[6]Arvore!$N$8:$Q$6855,4,FALSE)</f>
        <v>1992199</v>
      </c>
      <c r="F72" s="39">
        <v>1126.1199999999999</v>
      </c>
      <c r="G72" s="39">
        <v>0</v>
      </c>
      <c r="H72" s="40">
        <v>1126.1199999999999</v>
      </c>
      <c r="I72" s="108">
        <v>-4.5474735088646402E-13</v>
      </c>
      <c r="J72" s="39"/>
      <c r="K72" s="21"/>
      <c r="L72" s="41"/>
      <c r="M72" s="42"/>
      <c r="O72" s="39" t="str">
        <f>VLOOKUP(QUERY_FOR_TRNSTRANSPOSED_0008!A72,'[6]Fin vs NFin'!$A$4:$F$568,6,FALSE)</f>
        <v>Não Financeiras</v>
      </c>
      <c r="P72" s="43" t="str">
        <f t="shared" si="3"/>
        <v>51</v>
      </c>
      <c r="Q72" s="43"/>
      <c r="R72" s="43"/>
      <c r="S72" s="43"/>
      <c r="T72" s="43"/>
    </row>
    <row r="73" spans="1:20">
      <c r="A73" s="18" t="s">
        <v>124</v>
      </c>
      <c r="B73" s="18" t="str">
        <f>VLOOKUP(A73,'[6]Fin vs NFin'!$A$4:$B$568,2,FALSE)</f>
        <v>!Desc.Autorizados</v>
      </c>
      <c r="C73" s="18" t="s">
        <v>127</v>
      </c>
      <c r="D73" s="18" t="s">
        <v>128</v>
      </c>
      <c r="E73" s="18" t="str">
        <f>VLOOKUP(D73,[6]Arvore!$N$8:$Q$6855,4,FALSE)</f>
        <v>51931</v>
      </c>
      <c r="F73" s="19">
        <v>1679.89</v>
      </c>
      <c r="G73" s="19">
        <v>2890.01</v>
      </c>
      <c r="H73" s="20">
        <v>-1210.1199999999999</v>
      </c>
      <c r="I73" s="114"/>
      <c r="J73" s="19"/>
      <c r="K73" s="21"/>
      <c r="L73" s="22"/>
      <c r="M73" s="23"/>
      <c r="O73" s="19" t="str">
        <f>VLOOKUP(QUERY_FOR_TRNSTRANSPOSED_0008!A73,'[6]Fin vs NFin'!$A$4:$F$568,6,FALSE)</f>
        <v>Não Financeiras</v>
      </c>
      <c r="P73" s="24" t="str">
        <f t="shared" si="3"/>
        <v>82</v>
      </c>
      <c r="Q73" s="24"/>
      <c r="R73" s="24"/>
      <c r="S73" s="24"/>
      <c r="T73" s="24"/>
    </row>
    <row r="74" spans="1:20" ht="15" thickBot="1">
      <c r="A74" s="18" t="s">
        <v>124</v>
      </c>
      <c r="B74" s="18" t="str">
        <f>VLOOKUP(A74,'[6]Fin vs NFin'!$A$4:$B$568,2,FALSE)</f>
        <v>!Desc.Autorizados</v>
      </c>
      <c r="C74" s="18" t="s">
        <v>129</v>
      </c>
      <c r="D74" s="18" t="s">
        <v>128</v>
      </c>
      <c r="E74" s="18" t="str">
        <f>VLOOKUP(D74,[6]Arvore!$N$8:$Q$6855,4,FALSE)</f>
        <v>51931</v>
      </c>
      <c r="F74" s="19">
        <v>18750</v>
      </c>
      <c r="G74" s="19">
        <v>18666</v>
      </c>
      <c r="H74" s="20">
        <v>84</v>
      </c>
      <c r="I74" s="114"/>
      <c r="J74" s="19"/>
      <c r="K74" s="21"/>
      <c r="L74" s="22"/>
      <c r="M74" s="23"/>
      <c r="O74" s="19" t="str">
        <f>VLOOKUP(QUERY_FOR_TRNSTRANSPOSED_0008!A74,'[6]Fin vs NFin'!$A$4:$F$568,6,FALSE)</f>
        <v>Não Financeiras</v>
      </c>
      <c r="P74" s="24" t="str">
        <f t="shared" si="3"/>
        <v>82</v>
      </c>
      <c r="Q74" s="24"/>
      <c r="R74" s="24"/>
      <c r="S74" s="24"/>
      <c r="T74" s="24"/>
    </row>
    <row r="75" spans="1:20">
      <c r="A75" s="49" t="s">
        <v>130</v>
      </c>
      <c r="B75" s="49" t="str">
        <f>VLOOKUP(A75,'[6]Fin vs NFin'!$A$4:$B$568,2,FALSE)</f>
        <v>!Desc.Autorizados-Vercon</v>
      </c>
      <c r="C75" s="49" t="s">
        <v>131</v>
      </c>
      <c r="D75" s="49" t="s">
        <v>128</v>
      </c>
      <c r="E75" s="49" t="str">
        <f>VLOOKUP(D75,[6]Arvore!$N$8:$Q$6855,4,FALSE)</f>
        <v>51931</v>
      </c>
      <c r="F75" s="50">
        <v>5.6</v>
      </c>
      <c r="G75" s="50">
        <v>5.6</v>
      </c>
      <c r="H75" s="51">
        <v>0</v>
      </c>
      <c r="I75" s="108">
        <v>0</v>
      </c>
      <c r="J75" s="39"/>
      <c r="K75" s="21"/>
      <c r="L75" s="41"/>
      <c r="M75" s="42"/>
      <c r="O75" s="39" t="str">
        <f>VLOOKUP(QUERY_FOR_TRNSTRANSPOSED_0008!A75,'[6]Fin vs NFin'!$A$4:$F$568,6,FALSE)</f>
        <v>Não Financeiras</v>
      </c>
      <c r="P75" s="43" t="str">
        <f t="shared" si="3"/>
        <v>82</v>
      </c>
      <c r="Q75" s="43"/>
      <c r="R75" s="43"/>
      <c r="S75" s="43"/>
      <c r="T75" s="43"/>
    </row>
    <row r="76" spans="1:20" ht="15" thickBot="1">
      <c r="A76" s="35" t="s">
        <v>130</v>
      </c>
      <c r="B76" s="35" t="str">
        <f>VLOOKUP(A76,'[6]Fin vs NFin'!$A$4:$B$568,2,FALSE)</f>
        <v>!Desc.Autorizados-Vercon</v>
      </c>
      <c r="C76" s="35" t="s">
        <v>132</v>
      </c>
      <c r="D76" s="35" t="s">
        <v>128</v>
      </c>
      <c r="E76" s="35" t="str">
        <f>VLOOKUP(D76,[6]Arvore!$N$8:$Q$6855,4,FALSE)</f>
        <v>51931</v>
      </c>
      <c r="F76" s="36">
        <v>-24</v>
      </c>
      <c r="G76" s="36">
        <v>-24</v>
      </c>
      <c r="H76" s="37">
        <v>0</v>
      </c>
      <c r="I76" s="109"/>
      <c r="J76" s="12"/>
      <c r="K76" s="21"/>
      <c r="L76" s="15"/>
      <c r="M76" s="16"/>
      <c r="O76" s="12" t="str">
        <f>VLOOKUP(QUERY_FOR_TRNSTRANSPOSED_0008!A76,'[6]Fin vs NFin'!$A$4:$F$568,6,FALSE)</f>
        <v>Não Financeiras</v>
      </c>
      <c r="P76" s="17" t="str">
        <f t="shared" si="3"/>
        <v>82</v>
      </c>
      <c r="Q76" s="17"/>
      <c r="R76" s="17"/>
      <c r="S76" s="17"/>
      <c r="T76" s="17"/>
    </row>
    <row r="77" spans="1:20" ht="15" thickBot="1">
      <c r="A77" s="49" t="s">
        <v>133</v>
      </c>
      <c r="B77" s="49" t="str">
        <f>VLOOKUP(A77,'[6]Fin vs NFin'!$A$4:$B$568,2,FALSE)</f>
        <v>!Desc.Autor.-Imobilização</v>
      </c>
      <c r="C77" s="49" t="s">
        <v>134</v>
      </c>
      <c r="D77" s="49" t="s">
        <v>135</v>
      </c>
      <c r="E77" s="49" t="str">
        <f>VLOOKUP(D77,[6]Arvore!$N$8:$Q$6855,4,FALSE)</f>
        <v>512018</v>
      </c>
      <c r="F77" s="50">
        <v>479638.19</v>
      </c>
      <c r="G77" s="50">
        <v>479638.19</v>
      </c>
      <c r="H77" s="51">
        <v>0</v>
      </c>
      <c r="I77" s="52">
        <v>0</v>
      </c>
      <c r="J77" s="39"/>
      <c r="K77" s="21"/>
      <c r="L77" s="41"/>
      <c r="M77" s="42"/>
      <c r="O77" s="39" t="str">
        <f>VLOOKUP(QUERY_FOR_TRNSTRANSPOSED_0008!A77,'[6]Fin vs NFin'!$A$4:$F$568,6,FALSE)</f>
        <v>Não Financeiras</v>
      </c>
      <c r="P77" s="43" t="str">
        <f t="shared" si="3"/>
        <v>82</v>
      </c>
      <c r="Q77" s="43"/>
      <c r="R77" s="43"/>
      <c r="S77" s="43"/>
      <c r="T77" s="43"/>
    </row>
    <row r="78" spans="1:20">
      <c r="A78" s="38" t="s">
        <v>136</v>
      </c>
      <c r="B78" s="38" t="str">
        <f>VLOOKUP(A78,'[6]Fin vs NFin'!$A$4:$B$568,2,FALSE)</f>
        <v>!Desc.Não Autorizados</v>
      </c>
      <c r="C78" s="38" t="s">
        <v>137</v>
      </c>
      <c r="D78" s="38" t="s">
        <v>128</v>
      </c>
      <c r="E78" s="38" t="str">
        <f>VLOOKUP(D78,[6]Arvore!$N$8:$Q$6855,4,FALSE)</f>
        <v>51931</v>
      </c>
      <c r="F78" s="39">
        <v>2239678.2999999998</v>
      </c>
      <c r="G78" s="39">
        <v>4836572.82</v>
      </c>
      <c r="H78" s="40">
        <v>-2596894.52</v>
      </c>
      <c r="I78" s="108">
        <v>6.7794432745358804E-2</v>
      </c>
      <c r="J78" s="39"/>
      <c r="K78" s="21"/>
      <c r="L78" s="41"/>
      <c r="M78" s="42"/>
      <c r="O78" s="39" t="str">
        <f>VLOOKUP(QUERY_FOR_TRNSTRANSPOSED_0008!A78,'[6]Fin vs NFin'!$A$4:$F$568,6,FALSE)</f>
        <v>Não Financeiras</v>
      </c>
      <c r="P78" s="43" t="str">
        <f t="shared" si="3"/>
        <v>82</v>
      </c>
      <c r="Q78" s="43"/>
      <c r="R78" s="43"/>
      <c r="S78" s="43"/>
      <c r="T78" s="43"/>
    </row>
    <row r="79" spans="1:20">
      <c r="A79" s="18" t="s">
        <v>136</v>
      </c>
      <c r="B79" s="18" t="str">
        <f>VLOOKUP(A79,'[6]Fin vs NFin'!$A$4:$B$568,2,FALSE)</f>
        <v>!Desc.Não Autorizados</v>
      </c>
      <c r="C79" s="18" t="s">
        <v>138</v>
      </c>
      <c r="D79" s="18" t="s">
        <v>139</v>
      </c>
      <c r="E79" s="18" t="str">
        <f>VLOOKUP(D79,[6]Arvore!$N$8:$Q$6855,4,FALSE)</f>
        <v>1999</v>
      </c>
      <c r="F79" s="19">
        <v>2544574.69</v>
      </c>
      <c r="G79" s="19">
        <v>0</v>
      </c>
      <c r="H79" s="20">
        <v>2544574.69</v>
      </c>
      <c r="I79" s="114"/>
      <c r="J79" s="19"/>
      <c r="K79" s="21"/>
      <c r="L79" s="22"/>
      <c r="M79" s="23"/>
      <c r="O79" s="19" t="str">
        <f>VLOOKUP(QUERY_FOR_TRNSTRANSPOSED_0008!A79,'[6]Fin vs NFin'!$A$4:$F$568,6,FALSE)</f>
        <v>Não Financeiras</v>
      </c>
      <c r="P79" s="24" t="str">
        <f t="shared" si="3"/>
        <v>57</v>
      </c>
      <c r="Q79" s="24"/>
      <c r="R79" s="24"/>
      <c r="S79" s="24"/>
      <c r="T79" s="24"/>
    </row>
    <row r="80" spans="1:20">
      <c r="A80" s="18" t="s">
        <v>136</v>
      </c>
      <c r="B80" s="18" t="str">
        <f>VLOOKUP(A80,'[6]Fin vs NFin'!$A$4:$B$568,2,FALSE)</f>
        <v>!Desc.Não Autorizados</v>
      </c>
      <c r="C80" s="18" t="s">
        <v>140</v>
      </c>
      <c r="D80" s="18" t="s">
        <v>128</v>
      </c>
      <c r="E80" s="18" t="str">
        <f>VLOOKUP(D80,[6]Arvore!$N$8:$Q$6855,4,FALSE)</f>
        <v>51931</v>
      </c>
      <c r="F80" s="19">
        <v>-1498.2</v>
      </c>
      <c r="G80" s="19">
        <v>-51323.65</v>
      </c>
      <c r="H80" s="20">
        <v>49825.45</v>
      </c>
      <c r="I80" s="114"/>
      <c r="J80" s="19"/>
      <c r="K80" s="21"/>
      <c r="L80" s="22"/>
      <c r="M80" s="23"/>
      <c r="O80" s="19" t="str">
        <f>VLOOKUP(QUERY_FOR_TRNSTRANSPOSED_0008!A80,'[6]Fin vs NFin'!$A$4:$F$568,6,FALSE)</f>
        <v>Não Financeiras</v>
      </c>
      <c r="P80" s="24" t="str">
        <f t="shared" si="3"/>
        <v>82</v>
      </c>
      <c r="Q80" s="24"/>
      <c r="R80" s="24"/>
      <c r="S80" s="24"/>
      <c r="T80" s="24"/>
    </row>
    <row r="81" spans="1:20">
      <c r="A81" s="18" t="s">
        <v>136</v>
      </c>
      <c r="B81" s="18" t="str">
        <f>VLOOKUP(A81,'[6]Fin vs NFin'!$A$4:$B$568,2,FALSE)</f>
        <v>!Desc.Não Autorizados</v>
      </c>
      <c r="C81" s="18" t="s">
        <v>141</v>
      </c>
      <c r="D81" s="18" t="s">
        <v>128</v>
      </c>
      <c r="E81" s="18" t="str">
        <f>VLOOKUP(D81,[6]Arvore!$N$8:$Q$6855,4,FALSE)</f>
        <v>51931</v>
      </c>
      <c r="F81" s="19">
        <v>-6509.72</v>
      </c>
      <c r="G81" s="19">
        <v>-9004.1677944323492</v>
      </c>
      <c r="H81" s="20">
        <v>2494.4477944323498</v>
      </c>
      <c r="I81" s="114"/>
      <c r="J81" s="19"/>
      <c r="K81" s="21"/>
      <c r="L81" s="22"/>
      <c r="M81" s="23"/>
      <c r="O81" s="19" t="str">
        <f>VLOOKUP(QUERY_FOR_TRNSTRANSPOSED_0008!A81,'[6]Fin vs NFin'!$A$4:$F$568,6,FALSE)</f>
        <v>Não Financeiras</v>
      </c>
      <c r="P81" s="24" t="str">
        <f t="shared" si="3"/>
        <v>82</v>
      </c>
      <c r="Q81" s="24"/>
      <c r="R81" s="24"/>
      <c r="S81" s="24"/>
      <c r="T81" s="24"/>
    </row>
    <row r="82" spans="1:20" ht="15" thickBot="1">
      <c r="A82" s="32" t="s">
        <v>136</v>
      </c>
      <c r="B82" s="32" t="str">
        <f>VLOOKUP(A82,'[6]Fin vs NFin'!$A$4:$B$568,2,FALSE)</f>
        <v>!Desc.Não Autorizados</v>
      </c>
      <c r="C82" s="32" t="s">
        <v>67</v>
      </c>
      <c r="D82" s="32" t="s">
        <v>128</v>
      </c>
      <c r="E82" s="32" t="str">
        <f>VLOOKUP(D82,[6]Arvore!$N$8:$Q$6855,4,FALSE)</f>
        <v>51931</v>
      </c>
      <c r="F82" s="33">
        <v>79.900000000000006</v>
      </c>
      <c r="G82" s="33">
        <v>79.900000000000006</v>
      </c>
      <c r="H82" s="34">
        <v>0</v>
      </c>
      <c r="I82" s="114"/>
      <c r="J82" s="19"/>
      <c r="K82" s="21"/>
      <c r="L82" s="22"/>
      <c r="M82" s="23"/>
      <c r="O82" s="19" t="str">
        <f>VLOOKUP(QUERY_FOR_TRNSTRANSPOSED_0008!A82,'[6]Fin vs NFin'!$A$4:$F$568,6,FALSE)</f>
        <v>Não Financeiras</v>
      </c>
      <c r="P82" s="24" t="str">
        <f t="shared" si="3"/>
        <v>82</v>
      </c>
      <c r="Q82" s="24"/>
      <c r="R82" s="24"/>
      <c r="S82" s="24"/>
      <c r="T82" s="24"/>
    </row>
    <row r="83" spans="1:20">
      <c r="A83" s="49" t="s">
        <v>142</v>
      </c>
      <c r="B83" s="49" t="str">
        <f>VLOOKUP(A83,'[6]Fin vs NFin'!$A$4:$B$568,2,FALSE)</f>
        <v>!Desc.Não Autoriz-Vercon</v>
      </c>
      <c r="C83" s="49" t="s">
        <v>143</v>
      </c>
      <c r="D83" s="49" t="s">
        <v>128</v>
      </c>
      <c r="E83" s="49" t="str">
        <f>VLOOKUP(D83,[6]Arvore!$N$8:$Q$6855,4,FALSE)</f>
        <v>51931</v>
      </c>
      <c r="F83" s="50">
        <v>-131211.79</v>
      </c>
      <c r="G83" s="50">
        <v>-131211.79</v>
      </c>
      <c r="H83" s="51">
        <v>0</v>
      </c>
      <c r="I83" s="108">
        <v>-2.2737367544323201E-13</v>
      </c>
      <c r="J83" s="39"/>
      <c r="K83" s="21"/>
      <c r="L83" s="41"/>
      <c r="M83" s="42"/>
      <c r="O83" s="39" t="str">
        <f>VLOOKUP(QUERY_FOR_TRNSTRANSPOSED_0008!A83,'[6]Fin vs NFin'!$A$4:$F$568,6,FALSE)</f>
        <v>Não Financeiras</v>
      </c>
      <c r="P83" s="43" t="str">
        <f t="shared" si="3"/>
        <v>82</v>
      </c>
      <c r="Q83" s="43"/>
      <c r="R83" s="43"/>
      <c r="S83" s="43"/>
      <c r="T83" s="43"/>
    </row>
    <row r="84" spans="1:20" ht="15" thickBot="1">
      <c r="A84" s="35" t="s">
        <v>142</v>
      </c>
      <c r="B84" s="35" t="str">
        <f>VLOOKUP(A84,'[6]Fin vs NFin'!$A$4:$B$568,2,FALSE)</f>
        <v>!Desc.Não Autoriz-Vercon</v>
      </c>
      <c r="C84" s="35" t="s">
        <v>144</v>
      </c>
      <c r="D84" s="35" t="s">
        <v>128</v>
      </c>
      <c r="E84" s="35" t="str">
        <f>VLOOKUP(D84,[6]Arvore!$N$8:$Q$6855,4,FALSE)</f>
        <v>51931</v>
      </c>
      <c r="F84" s="36">
        <v>944.72</v>
      </c>
      <c r="G84" s="36">
        <v>944.72</v>
      </c>
      <c r="H84" s="37">
        <v>-2.2737367544323201E-13</v>
      </c>
      <c r="I84" s="109"/>
      <c r="J84" s="12"/>
      <c r="K84" s="21"/>
      <c r="L84" s="15"/>
      <c r="M84" s="16"/>
      <c r="O84" s="12" t="str">
        <f>VLOOKUP(QUERY_FOR_TRNSTRANSPOSED_0008!A84,'[6]Fin vs NFin'!$A$4:$F$568,6,FALSE)</f>
        <v>Não Financeiras</v>
      </c>
      <c r="P84" s="17" t="str">
        <f t="shared" si="3"/>
        <v>82</v>
      </c>
      <c r="Q84" s="17"/>
      <c r="R84" s="17"/>
      <c r="S84" s="17"/>
      <c r="T84" s="17"/>
    </row>
    <row r="85" spans="1:20">
      <c r="A85" s="18" t="s">
        <v>145</v>
      </c>
      <c r="B85" s="18" t="str">
        <f>VLOOKUP(A85,'[6]Fin vs NFin'!$A$4:$B$568,2,FALSE)</f>
        <v>!Cash Advance</v>
      </c>
      <c r="C85" s="18" t="s">
        <v>146</v>
      </c>
      <c r="D85" s="18" t="s">
        <v>147</v>
      </c>
      <c r="E85" s="18" t="str">
        <f>VLOOKUP(D85,[6]Arvore!$N$8:$Q$6855,4,FALSE)</f>
        <v>5151512</v>
      </c>
      <c r="F85" s="19">
        <v>2247912.2599999998</v>
      </c>
      <c r="G85" s="19">
        <v>2349001.39</v>
      </c>
      <c r="H85" s="20">
        <v>-101089.13</v>
      </c>
      <c r="I85" s="114">
        <f>SUM(H85:H89)</f>
        <v>0</v>
      </c>
      <c r="J85" s="19"/>
      <c r="K85" s="21"/>
      <c r="L85" s="22"/>
      <c r="M85" s="23"/>
      <c r="O85" s="19" t="str">
        <f>VLOOKUP(QUERY_FOR_TRNSTRANSPOSED_0008!A85,'[6]Fin vs NFin'!$A$4:$F$568,6,FALSE)</f>
        <v>Não Financeiras</v>
      </c>
      <c r="P85" s="24" t="str">
        <f t="shared" si="3"/>
        <v>82</v>
      </c>
      <c r="Q85" s="24"/>
      <c r="R85" s="24"/>
      <c r="S85" s="24"/>
      <c r="T85" s="24"/>
    </row>
    <row r="86" spans="1:20">
      <c r="A86" s="18" t="s">
        <v>145</v>
      </c>
      <c r="B86" s="18" t="str">
        <f>VLOOKUP(A86,'[6]Fin vs NFin'!$A$4:$B$568,2,FALSE)</f>
        <v>!Cash Advance</v>
      </c>
      <c r="C86" s="18" t="s">
        <v>148</v>
      </c>
      <c r="D86" s="18" t="s">
        <v>147</v>
      </c>
      <c r="E86" s="18" t="str">
        <f>VLOOKUP(D86,[6]Arvore!$N$8:$Q$6855,4,FALSE)</f>
        <v>5151512</v>
      </c>
      <c r="F86" s="19">
        <v>148548.95000000001</v>
      </c>
      <c r="G86" s="19">
        <v>45906.99</v>
      </c>
      <c r="H86" s="20">
        <v>102641.96</v>
      </c>
      <c r="I86" s="114"/>
      <c r="J86" s="19"/>
      <c r="K86" s="21"/>
      <c r="L86" s="22"/>
      <c r="M86" s="23"/>
      <c r="O86" s="19" t="str">
        <f>VLOOKUP(QUERY_FOR_TRNSTRANSPOSED_0008!A86,'[6]Fin vs NFin'!$A$4:$F$568,6,FALSE)</f>
        <v>Não Financeiras</v>
      </c>
      <c r="P86" s="24" t="str">
        <f t="shared" si="3"/>
        <v>82</v>
      </c>
      <c r="Q86" s="24"/>
      <c r="R86" s="24"/>
      <c r="S86" s="24"/>
      <c r="T86" s="24"/>
    </row>
    <row r="87" spans="1:20">
      <c r="A87" s="32" t="s">
        <v>145</v>
      </c>
      <c r="B87" s="32" t="str">
        <f>VLOOKUP(A87,'[6]Fin vs NFin'!$A$4:$B$568,2,FALSE)</f>
        <v>!Cash Advance</v>
      </c>
      <c r="C87" s="32" t="s">
        <v>149</v>
      </c>
      <c r="D87" s="32" t="s">
        <v>147</v>
      </c>
      <c r="E87" s="32" t="str">
        <f>VLOOKUP(D87,[6]Arvore!$N$8:$Q$6855,4,FALSE)</f>
        <v>5151512</v>
      </c>
      <c r="F87" s="33">
        <v>-209.93</v>
      </c>
      <c r="G87" s="33">
        <v>-209.93</v>
      </c>
      <c r="H87" s="34">
        <v>0</v>
      </c>
      <c r="I87" s="114"/>
      <c r="J87" s="19"/>
      <c r="K87" s="21"/>
      <c r="L87" s="22"/>
      <c r="M87" s="23"/>
      <c r="O87" s="19" t="str">
        <f>VLOOKUP(QUERY_FOR_TRNSTRANSPOSED_0008!A87,'[6]Fin vs NFin'!$A$4:$F$568,6,FALSE)</f>
        <v>Não Financeiras</v>
      </c>
      <c r="P87" s="24" t="str">
        <f t="shared" si="3"/>
        <v>82</v>
      </c>
      <c r="Q87" s="24"/>
      <c r="R87" s="24"/>
      <c r="S87" s="24"/>
      <c r="T87" s="24"/>
    </row>
    <row r="88" spans="1:20">
      <c r="A88" s="18" t="s">
        <v>145</v>
      </c>
      <c r="B88" s="18" t="str">
        <f>VLOOKUP(A88,'[6]Fin vs NFin'!$A$4:$B$568,2,FALSE)</f>
        <v>!Cash Advance</v>
      </c>
      <c r="C88" s="18" t="s">
        <v>150</v>
      </c>
      <c r="D88" s="18" t="s">
        <v>147</v>
      </c>
      <c r="E88" s="18" t="str">
        <f>VLOOKUP(D88,[6]Arvore!$N$8:$Q$6855,4,FALSE)</f>
        <v>5151512</v>
      </c>
      <c r="F88" s="19">
        <v>61490.8</v>
      </c>
      <c r="G88" s="19">
        <v>49129.22</v>
      </c>
      <c r="H88" s="20">
        <v>12361.58</v>
      </c>
      <c r="I88" s="114"/>
      <c r="J88" s="19"/>
      <c r="K88" s="21"/>
      <c r="L88" s="22"/>
      <c r="M88" s="23"/>
      <c r="O88" s="19" t="str">
        <f>VLOOKUP(QUERY_FOR_TRNSTRANSPOSED_0008!A88,'[6]Fin vs NFin'!$A$4:$F$568,6,FALSE)</f>
        <v>Não Financeiras</v>
      </c>
      <c r="P88" s="24" t="str">
        <f t="shared" si="3"/>
        <v>82</v>
      </c>
      <c r="Q88" s="24"/>
      <c r="R88" s="24"/>
      <c r="S88" s="24"/>
      <c r="T88" s="24"/>
    </row>
    <row r="89" spans="1:20" ht="15" thickBot="1">
      <c r="A89" s="18" t="s">
        <v>145</v>
      </c>
      <c r="B89" s="18" t="str">
        <f>VLOOKUP(A89,'[6]Fin vs NFin'!$A$4:$B$568,2,FALSE)</f>
        <v>!Cash Advance</v>
      </c>
      <c r="C89" s="18" t="s">
        <v>151</v>
      </c>
      <c r="D89" s="18" t="s">
        <v>147</v>
      </c>
      <c r="E89" s="18" t="str">
        <f>VLOOKUP(D89,[6]Arvore!$N$8:$Q$6855,4,FALSE)</f>
        <v>5151512</v>
      </c>
      <c r="F89" s="19">
        <v>70498.12</v>
      </c>
      <c r="G89" s="19">
        <v>84412.53</v>
      </c>
      <c r="H89" s="20">
        <v>-13914.41</v>
      </c>
      <c r="I89" s="114"/>
      <c r="J89" s="19"/>
      <c r="K89" s="21"/>
      <c r="L89" s="22"/>
      <c r="M89" s="23"/>
      <c r="O89" s="19" t="str">
        <f>VLOOKUP(QUERY_FOR_TRNSTRANSPOSED_0008!A89,'[6]Fin vs NFin'!$A$4:$F$568,6,FALSE)</f>
        <v>Não Financeiras</v>
      </c>
      <c r="P89" s="24" t="str">
        <f t="shared" si="3"/>
        <v>82</v>
      </c>
      <c r="Q89" s="24"/>
      <c r="R89" s="24"/>
      <c r="S89" s="24"/>
      <c r="T89" s="24"/>
    </row>
    <row r="90" spans="1:20">
      <c r="A90" s="49" t="s">
        <v>152</v>
      </c>
      <c r="B90" s="49" t="str">
        <f>VLOOKUP(A90,'[6]Fin vs NFin'!$A$4:$B$568,2,FALSE)</f>
        <v>!Compras Cartões</v>
      </c>
      <c r="C90" s="49" t="s">
        <v>153</v>
      </c>
      <c r="D90" s="49" t="s">
        <v>147</v>
      </c>
      <c r="E90" s="49" t="str">
        <f>VLOOKUP(D90,[6]Arvore!$N$8:$Q$6855,4,FALSE)</f>
        <v>5151512</v>
      </c>
      <c r="F90" s="50">
        <v>-15.49</v>
      </c>
      <c r="G90" s="50">
        <v>-15.49</v>
      </c>
      <c r="H90" s="51">
        <v>0</v>
      </c>
      <c r="I90" s="115">
        <v>-12489820.939999999</v>
      </c>
      <c r="J90" s="127">
        <f>I90+I115+I120</f>
        <v>0</v>
      </c>
      <c r="K90" s="21"/>
      <c r="L90" s="41"/>
      <c r="M90" s="42"/>
      <c r="O90" s="39" t="str">
        <f>VLOOKUP(QUERY_FOR_TRNSTRANSPOSED_0008!A90,'[6]Fin vs NFin'!$A$4:$F$568,6,FALSE)</f>
        <v>Não Financeiras</v>
      </c>
      <c r="P90" s="43" t="str">
        <f t="shared" si="3"/>
        <v>82</v>
      </c>
      <c r="Q90" s="43"/>
      <c r="R90" s="43"/>
      <c r="S90" s="43"/>
      <c r="T90" s="43"/>
    </row>
    <row r="91" spans="1:20">
      <c r="A91" s="18" t="s">
        <v>152</v>
      </c>
      <c r="B91" s="18" t="str">
        <f>VLOOKUP(A91,'[6]Fin vs NFin'!$A$4:$B$568,2,FALSE)</f>
        <v>!Compras Cartões</v>
      </c>
      <c r="C91" s="18" t="s">
        <v>154</v>
      </c>
      <c r="D91" s="18" t="s">
        <v>155</v>
      </c>
      <c r="E91" s="18" t="str">
        <f>VLOOKUP(D91,[6]Arvore!$N$8:$Q$6855,4,FALSE)</f>
        <v>5151511</v>
      </c>
      <c r="F91" s="19">
        <v>0</v>
      </c>
      <c r="G91" s="19">
        <v>6346418.2800000003</v>
      </c>
      <c r="H91" s="20">
        <v>-6346418.2800000003</v>
      </c>
      <c r="I91" s="116"/>
      <c r="J91" s="117"/>
      <c r="K91" s="21"/>
      <c r="L91" s="22"/>
      <c r="M91" s="23"/>
      <c r="O91" s="19" t="str">
        <f>VLOOKUP(QUERY_FOR_TRNSTRANSPOSED_0008!A91,'[6]Fin vs NFin'!$A$4:$F$568,6,FALSE)</f>
        <v>Não Financeiras</v>
      </c>
      <c r="P91" s="24" t="str">
        <f t="shared" si="3"/>
        <v>82</v>
      </c>
      <c r="Q91" s="24"/>
      <c r="R91" s="24"/>
      <c r="S91" s="24"/>
      <c r="T91" s="24"/>
    </row>
    <row r="92" spans="1:20">
      <c r="A92" s="32" t="s">
        <v>152</v>
      </c>
      <c r="B92" s="32" t="str">
        <f>VLOOKUP(A92,'[6]Fin vs NFin'!$A$4:$B$568,2,FALSE)</f>
        <v>!Compras Cartões</v>
      </c>
      <c r="C92" s="32" t="s">
        <v>67</v>
      </c>
      <c r="D92" s="32" t="s">
        <v>156</v>
      </c>
      <c r="E92" s="32" t="str">
        <f>VLOOKUP(D92,[6]Arvore!$N$8:$Q$6855,4,FALSE)</f>
        <v>5151511</v>
      </c>
      <c r="F92" s="33">
        <v>336362.62</v>
      </c>
      <c r="G92" s="33">
        <v>336362.62</v>
      </c>
      <c r="H92" s="34">
        <v>0</v>
      </c>
      <c r="I92" s="116"/>
      <c r="J92" s="117"/>
      <c r="K92" s="21"/>
      <c r="L92" s="22"/>
      <c r="M92" s="23"/>
      <c r="O92" s="19" t="str">
        <f>VLOOKUP(QUERY_FOR_TRNSTRANSPOSED_0008!A92,'[6]Fin vs NFin'!$A$4:$F$568,6,FALSE)</f>
        <v>Não Financeiras</v>
      </c>
      <c r="P92" s="24" t="str">
        <f t="shared" si="3"/>
        <v>82</v>
      </c>
      <c r="Q92" s="24"/>
      <c r="R92" s="24"/>
      <c r="S92" s="24"/>
      <c r="T92" s="24"/>
    </row>
    <row r="93" spans="1:20">
      <c r="A93" s="18" t="s">
        <v>152</v>
      </c>
      <c r="B93" s="18" t="str">
        <f>VLOOKUP(A93,'[6]Fin vs NFin'!$A$4:$B$568,2,FALSE)</f>
        <v>!Compras Cartões</v>
      </c>
      <c r="C93" s="18" t="s">
        <v>157</v>
      </c>
      <c r="D93" s="18" t="s">
        <v>158</v>
      </c>
      <c r="E93" s="18" t="str">
        <f>VLOOKUP(D93,[6]Arvore!$N$8:$Q$6855,4,FALSE)</f>
        <v>5151511</v>
      </c>
      <c r="F93" s="19">
        <v>60117.03</v>
      </c>
      <c r="G93" s="19">
        <v>-36380.800000000003</v>
      </c>
      <c r="H93" s="20">
        <v>96497.83</v>
      </c>
      <c r="I93" s="116"/>
      <c r="J93" s="117"/>
      <c r="K93" s="21"/>
      <c r="L93" s="22"/>
      <c r="M93" s="23"/>
      <c r="O93" s="19" t="str">
        <f>VLOOKUP(QUERY_FOR_TRNSTRANSPOSED_0008!A93,'[6]Fin vs NFin'!$A$4:$F$568,6,FALSE)</f>
        <v>Não Financeiras</v>
      </c>
      <c r="P93" s="24" t="str">
        <f t="shared" si="3"/>
        <v>71</v>
      </c>
      <c r="Q93" s="24"/>
      <c r="R93" s="24"/>
      <c r="S93" s="24"/>
      <c r="T93" s="24"/>
    </row>
    <row r="94" spans="1:20">
      <c r="A94" s="18" t="s">
        <v>152</v>
      </c>
      <c r="B94" s="18" t="str">
        <f>VLOOKUP(A94,'[6]Fin vs NFin'!$A$4:$B$568,2,FALSE)</f>
        <v>!Compras Cartões</v>
      </c>
      <c r="C94" s="18" t="s">
        <v>159</v>
      </c>
      <c r="D94" s="18" t="s">
        <v>147</v>
      </c>
      <c r="E94" s="18" t="str">
        <f>VLOOKUP(D94,[6]Arvore!$N$8:$Q$6855,4,FALSE)</f>
        <v>5151512</v>
      </c>
      <c r="F94" s="19">
        <v>1014751.39</v>
      </c>
      <c r="G94" s="19">
        <v>1585093.85</v>
      </c>
      <c r="H94" s="20">
        <v>-570342.46</v>
      </c>
      <c r="I94" s="116"/>
      <c r="J94" s="117"/>
      <c r="K94" s="21"/>
      <c r="L94" s="22"/>
      <c r="M94" s="23"/>
      <c r="O94" s="19" t="str">
        <f>VLOOKUP(QUERY_FOR_TRNSTRANSPOSED_0008!A94,'[6]Fin vs NFin'!$A$4:$F$568,6,FALSE)</f>
        <v>Não Financeiras</v>
      </c>
      <c r="P94" s="24" t="str">
        <f t="shared" si="3"/>
        <v>82</v>
      </c>
      <c r="Q94" s="24"/>
      <c r="R94" s="24"/>
      <c r="S94" s="24"/>
      <c r="T94" s="24"/>
    </row>
    <row r="95" spans="1:20">
      <c r="A95" s="18" t="s">
        <v>152</v>
      </c>
      <c r="B95" s="18" t="str">
        <f>VLOOKUP(A95,'[6]Fin vs NFin'!$A$4:$B$568,2,FALSE)</f>
        <v>!Compras Cartões</v>
      </c>
      <c r="C95" s="18" t="s">
        <v>160</v>
      </c>
      <c r="D95" s="18" t="s">
        <v>147</v>
      </c>
      <c r="E95" s="18" t="str">
        <f>VLOOKUP(D95,[6]Arvore!$N$8:$Q$6855,4,FALSE)</f>
        <v>5151512</v>
      </c>
      <c r="F95" s="19">
        <v>1801475.64</v>
      </c>
      <c r="G95" s="19">
        <v>860816.46000000101</v>
      </c>
      <c r="H95" s="20">
        <v>940659.179999999</v>
      </c>
      <c r="I95" s="116"/>
      <c r="J95" s="117"/>
      <c r="K95" s="21"/>
      <c r="L95" s="22"/>
      <c r="M95" s="23"/>
      <c r="O95" s="19" t="str">
        <f>VLOOKUP(QUERY_FOR_TRNSTRANSPOSED_0008!A95,'[6]Fin vs NFin'!$A$4:$F$568,6,FALSE)</f>
        <v>Não Financeiras</v>
      </c>
      <c r="P95" s="24" t="str">
        <f t="shared" si="3"/>
        <v>82</v>
      </c>
      <c r="Q95" s="24"/>
      <c r="R95" s="24"/>
      <c r="S95" s="24"/>
      <c r="T95" s="24"/>
    </row>
    <row r="96" spans="1:20">
      <c r="A96" s="18" t="s">
        <v>152</v>
      </c>
      <c r="B96" s="18" t="str">
        <f>VLOOKUP(A96,'[6]Fin vs NFin'!$A$4:$B$568,2,FALSE)</f>
        <v>!Compras Cartões</v>
      </c>
      <c r="C96" s="18" t="s">
        <v>161</v>
      </c>
      <c r="D96" s="18" t="s">
        <v>156</v>
      </c>
      <c r="E96" s="18" t="str">
        <f>VLOOKUP(D96,[6]Arvore!$N$8:$Q$6855,4,FALSE)</f>
        <v>5151511</v>
      </c>
      <c r="F96" s="19">
        <v>0</v>
      </c>
      <c r="G96" s="19">
        <v>6143402.6600000001</v>
      </c>
      <c r="H96" s="20">
        <v>-6143402.6600000001</v>
      </c>
      <c r="I96" s="116"/>
      <c r="J96" s="117"/>
      <c r="K96" s="21"/>
      <c r="L96" s="22"/>
      <c r="M96" s="23"/>
      <c r="O96" s="19" t="str">
        <f>VLOOKUP(QUERY_FOR_TRNSTRANSPOSED_0008!A96,'[6]Fin vs NFin'!$A$4:$F$568,6,FALSE)</f>
        <v>Não Financeiras</v>
      </c>
      <c r="P96" s="24" t="str">
        <f t="shared" si="3"/>
        <v>82</v>
      </c>
      <c r="Q96" s="24"/>
      <c r="R96" s="24"/>
      <c r="S96" s="24"/>
      <c r="T96" s="24"/>
    </row>
    <row r="97" spans="1:20">
      <c r="A97" s="18" t="s">
        <v>152</v>
      </c>
      <c r="B97" s="18" t="str">
        <f>VLOOKUP(A97,'[6]Fin vs NFin'!$A$4:$B$568,2,FALSE)</f>
        <v>!Compras Cartões</v>
      </c>
      <c r="C97" s="18" t="s">
        <v>162</v>
      </c>
      <c r="D97" s="18" t="s">
        <v>147</v>
      </c>
      <c r="E97" s="18" t="str">
        <f>VLOOKUP(D97,[6]Arvore!$N$8:$Q$6855,4,FALSE)</f>
        <v>5151512</v>
      </c>
      <c r="F97" s="19">
        <v>481359.85</v>
      </c>
      <c r="G97" s="19">
        <v>808223.21</v>
      </c>
      <c r="H97" s="20">
        <v>-326863.35999999999</v>
      </c>
      <c r="I97" s="116"/>
      <c r="J97" s="117"/>
      <c r="K97" s="21"/>
      <c r="L97" s="22"/>
      <c r="M97" s="23"/>
      <c r="O97" s="19" t="str">
        <f>VLOOKUP(QUERY_FOR_TRNSTRANSPOSED_0008!A97,'[6]Fin vs NFin'!$A$4:$F$568,6,FALSE)</f>
        <v>Não Financeiras</v>
      </c>
      <c r="P97" s="24" t="str">
        <f t="shared" si="3"/>
        <v>82</v>
      </c>
      <c r="Q97" s="24"/>
      <c r="R97" s="24"/>
      <c r="S97" s="24"/>
      <c r="T97" s="24"/>
    </row>
    <row r="98" spans="1:20">
      <c r="A98" s="18" t="s">
        <v>152</v>
      </c>
      <c r="B98" s="18" t="str">
        <f>VLOOKUP(A98,'[6]Fin vs NFin'!$A$4:$B$568,2,FALSE)</f>
        <v>!Compras Cartões</v>
      </c>
      <c r="C98" s="18" t="s">
        <v>163</v>
      </c>
      <c r="D98" s="18" t="s">
        <v>156</v>
      </c>
      <c r="E98" s="18" t="str">
        <f>VLOOKUP(D98,[6]Arvore!$N$8:$Q$6855,4,FALSE)</f>
        <v>5151511</v>
      </c>
      <c r="F98" s="19">
        <v>14749471.93</v>
      </c>
      <c r="G98" s="19">
        <v>6873390.0499999998</v>
      </c>
      <c r="H98" s="20">
        <v>7876081.8799999999</v>
      </c>
      <c r="I98" s="116"/>
      <c r="J98" s="117"/>
      <c r="K98" s="21"/>
      <c r="L98" s="22"/>
      <c r="M98" s="23"/>
      <c r="O98" s="19" t="str">
        <f>VLOOKUP(QUERY_FOR_TRNSTRANSPOSED_0008!A98,'[6]Fin vs NFin'!$A$4:$F$568,6,FALSE)</f>
        <v>Não Financeiras</v>
      </c>
      <c r="P98" s="24" t="str">
        <f t="shared" si="3"/>
        <v>82</v>
      </c>
      <c r="Q98" s="24"/>
      <c r="R98" s="24"/>
      <c r="S98" s="24"/>
      <c r="T98" s="24"/>
    </row>
    <row r="99" spans="1:20">
      <c r="A99" s="18" t="s">
        <v>152</v>
      </c>
      <c r="B99" s="18" t="str">
        <f>VLOOKUP(A99,'[6]Fin vs NFin'!$A$4:$B$568,2,FALSE)</f>
        <v>!Compras Cartões</v>
      </c>
      <c r="C99" s="18" t="s">
        <v>164</v>
      </c>
      <c r="D99" s="18" t="s">
        <v>156</v>
      </c>
      <c r="E99" s="18" t="str">
        <f>VLOOKUP(D99,[6]Arvore!$N$8:$Q$6855,4,FALSE)</f>
        <v>5151511</v>
      </c>
      <c r="F99" s="19">
        <v>51.02</v>
      </c>
      <c r="G99" s="19">
        <v>-33988.239999999998</v>
      </c>
      <c r="H99" s="20">
        <v>34039.26</v>
      </c>
      <c r="I99" s="116"/>
      <c r="J99" s="117"/>
      <c r="K99" s="21"/>
      <c r="L99" s="22"/>
      <c r="M99" s="23"/>
      <c r="O99" s="19" t="str">
        <f>VLOOKUP(QUERY_FOR_TRNSTRANSPOSED_0008!A99,'[6]Fin vs NFin'!$A$4:$F$568,6,FALSE)</f>
        <v>Não Financeiras</v>
      </c>
      <c r="P99" s="24" t="str">
        <f t="shared" si="3"/>
        <v>82</v>
      </c>
      <c r="Q99" s="24"/>
      <c r="R99" s="24"/>
      <c r="S99" s="24"/>
      <c r="T99" s="24"/>
    </row>
    <row r="100" spans="1:20">
      <c r="A100" s="18" t="s">
        <v>152</v>
      </c>
      <c r="B100" s="18" t="str">
        <f>VLOOKUP(A100,'[6]Fin vs NFin'!$A$4:$B$568,2,FALSE)</f>
        <v>!Compras Cartões</v>
      </c>
      <c r="C100" s="18" t="s">
        <v>165</v>
      </c>
      <c r="D100" s="18" t="s">
        <v>156</v>
      </c>
      <c r="E100" s="18" t="str">
        <f>VLOOKUP(D100,[6]Arvore!$N$8:$Q$6855,4,FALSE)</f>
        <v>5151511</v>
      </c>
      <c r="F100" s="19">
        <v>4093539.09</v>
      </c>
      <c r="G100" s="19">
        <v>12941108.300000001</v>
      </c>
      <c r="H100" s="20">
        <v>-8847569.2100000009</v>
      </c>
      <c r="I100" s="116"/>
      <c r="J100" s="117"/>
      <c r="K100" s="21"/>
      <c r="L100" s="22"/>
      <c r="M100" s="23"/>
      <c r="O100" s="19" t="str">
        <f>VLOOKUP(QUERY_FOR_TRNSTRANSPOSED_0008!A100,'[6]Fin vs NFin'!$A$4:$F$568,6,FALSE)</f>
        <v>Não Financeiras</v>
      </c>
      <c r="P100" s="24" t="str">
        <f t="shared" si="3"/>
        <v>82</v>
      </c>
      <c r="Q100" s="24"/>
      <c r="R100" s="24"/>
      <c r="S100" s="24"/>
      <c r="T100" s="24"/>
    </row>
    <row r="101" spans="1:20">
      <c r="A101" s="18" t="s">
        <v>152</v>
      </c>
      <c r="B101" s="18" t="str">
        <f>VLOOKUP(A101,'[6]Fin vs NFin'!$A$4:$B$568,2,FALSE)</f>
        <v>!Compras Cartões</v>
      </c>
      <c r="C101" s="18" t="s">
        <v>166</v>
      </c>
      <c r="D101" s="18" t="s">
        <v>156</v>
      </c>
      <c r="E101" s="18" t="str">
        <f>VLOOKUP(D101,[6]Arvore!$N$8:$Q$6855,4,FALSE)</f>
        <v>5151511</v>
      </c>
      <c r="F101" s="19">
        <v>52.98</v>
      </c>
      <c r="G101" s="19">
        <v>-36453.97</v>
      </c>
      <c r="H101" s="20">
        <v>36506.949999999997</v>
      </c>
      <c r="I101" s="116"/>
      <c r="J101" s="117"/>
      <c r="K101" s="21"/>
      <c r="L101" s="22"/>
      <c r="M101" s="23"/>
      <c r="O101" s="19" t="str">
        <f>VLOOKUP(QUERY_FOR_TRNSTRANSPOSED_0008!A101,'[6]Fin vs NFin'!$A$4:$F$568,6,FALSE)</f>
        <v>Não Financeiras</v>
      </c>
      <c r="P101" s="24" t="str">
        <f t="shared" si="3"/>
        <v>82</v>
      </c>
      <c r="Q101" s="24"/>
      <c r="R101" s="24"/>
      <c r="S101" s="24"/>
      <c r="T101" s="24"/>
    </row>
    <row r="102" spans="1:20">
      <c r="A102" s="18" t="s">
        <v>152</v>
      </c>
      <c r="B102" s="18" t="str">
        <f>VLOOKUP(A102,'[6]Fin vs NFin'!$A$4:$B$568,2,FALSE)</f>
        <v>!Compras Cartões</v>
      </c>
      <c r="C102" s="18" t="s">
        <v>167</v>
      </c>
      <c r="D102" s="18" t="s">
        <v>156</v>
      </c>
      <c r="E102" s="18" t="str">
        <f>VLOOKUP(D102,[6]Arvore!$N$8:$Q$6855,4,FALSE)</f>
        <v>5151511</v>
      </c>
      <c r="F102" s="19">
        <v>574550.15</v>
      </c>
      <c r="G102" s="19">
        <v>152744.91</v>
      </c>
      <c r="H102" s="20">
        <v>421805.24</v>
      </c>
      <c r="I102" s="116"/>
      <c r="J102" s="117"/>
      <c r="K102" s="21"/>
      <c r="L102" s="22"/>
      <c r="M102" s="23"/>
      <c r="O102" s="19" t="str">
        <f>VLOOKUP(QUERY_FOR_TRNSTRANSPOSED_0008!A102,'[6]Fin vs NFin'!$A$4:$F$568,6,FALSE)</f>
        <v>Não Financeiras</v>
      </c>
      <c r="P102" s="24" t="str">
        <f t="shared" si="3"/>
        <v>82</v>
      </c>
      <c r="Q102" s="24"/>
      <c r="R102" s="24"/>
      <c r="S102" s="24"/>
      <c r="T102" s="24"/>
    </row>
    <row r="103" spans="1:20" ht="15" thickBot="1">
      <c r="A103" s="18" t="s">
        <v>152</v>
      </c>
      <c r="B103" s="18" t="str">
        <f>VLOOKUP(A103,'[6]Fin vs NFin'!$A$4:$B$568,2,FALSE)</f>
        <v>!Compras Cartões</v>
      </c>
      <c r="C103" s="18" t="s">
        <v>168</v>
      </c>
      <c r="D103" s="18" t="s">
        <v>156</v>
      </c>
      <c r="E103" s="18" t="str">
        <f>VLOOKUP(D103,[6]Arvore!$N$8:$Q$6855,4,FALSE)</f>
        <v>5151511</v>
      </c>
      <c r="F103" s="19">
        <v>455540.27</v>
      </c>
      <c r="G103" s="19">
        <v>116355.58</v>
      </c>
      <c r="H103" s="20">
        <v>339184.69</v>
      </c>
      <c r="I103" s="116"/>
      <c r="J103" s="111"/>
      <c r="K103" s="21"/>
      <c r="L103" s="22"/>
      <c r="M103" s="23"/>
      <c r="O103" s="19" t="str">
        <f>VLOOKUP(QUERY_FOR_TRNSTRANSPOSED_0008!A103,'[6]Fin vs NFin'!$A$4:$F$568,6,FALSE)</f>
        <v>Não Financeiras</v>
      </c>
      <c r="P103" s="24" t="str">
        <f t="shared" si="3"/>
        <v>82</v>
      </c>
      <c r="Q103" s="24"/>
      <c r="R103" s="24"/>
      <c r="S103" s="24"/>
      <c r="T103" s="24"/>
    </row>
    <row r="104" spans="1:20">
      <c r="A104" s="38" t="s">
        <v>169</v>
      </c>
      <c r="B104" s="38" t="str">
        <f>VLOOKUP(A104,'[6]Fin vs NFin'!$A$4:$B$568,2,FALSE)</f>
        <v>!Canais</v>
      </c>
      <c r="C104" s="38" t="s">
        <v>170</v>
      </c>
      <c r="D104" s="38" t="s">
        <v>155</v>
      </c>
      <c r="E104" s="38" t="str">
        <f>VLOOKUP(D104,[6]Arvore!$N$8:$Q$6855,4,FALSE)</f>
        <v>5151511</v>
      </c>
      <c r="F104" s="39">
        <v>98459.56</v>
      </c>
      <c r="G104" s="39">
        <v>65230.11</v>
      </c>
      <c r="H104" s="40">
        <v>33229.449999999997</v>
      </c>
      <c r="I104" s="115">
        <f>SUM(H104:H108)</f>
        <v>-807460.46000000008</v>
      </c>
      <c r="J104" s="110">
        <f>I104+I830</f>
        <v>0</v>
      </c>
      <c r="K104" s="21"/>
      <c r="L104" s="41"/>
      <c r="M104" s="42"/>
      <c r="O104" s="39" t="str">
        <f>VLOOKUP(QUERY_FOR_TRNSTRANSPOSED_0008!A104,'[6]Fin vs NFin'!$A$4:$F$568,6,FALSE)</f>
        <v>Não Financeiras</v>
      </c>
      <c r="P104" s="43" t="str">
        <f t="shared" si="3"/>
        <v>82</v>
      </c>
      <c r="Q104" s="43"/>
      <c r="R104" s="43"/>
      <c r="S104" s="43"/>
      <c r="T104" s="43"/>
    </row>
    <row r="105" spans="1:20">
      <c r="A105" s="18" t="s">
        <v>169</v>
      </c>
      <c r="B105" s="18" t="str">
        <f>VLOOKUP(A105,'[6]Fin vs NFin'!$A$4:$B$568,2,FALSE)</f>
        <v>!Canais</v>
      </c>
      <c r="C105" s="18" t="s">
        <v>171</v>
      </c>
      <c r="D105" s="18" t="s">
        <v>155</v>
      </c>
      <c r="E105" s="18" t="str">
        <f>VLOOKUP(D105,[6]Arvore!$N$8:$Q$6855,4,FALSE)</f>
        <v>5151511</v>
      </c>
      <c r="F105" s="19">
        <v>1134287.42</v>
      </c>
      <c r="G105" s="19">
        <v>879775.39</v>
      </c>
      <c r="H105" s="20">
        <v>254512.03</v>
      </c>
      <c r="I105" s="116"/>
      <c r="J105" s="117"/>
      <c r="K105" s="21"/>
      <c r="L105" s="22"/>
      <c r="M105" s="23"/>
      <c r="O105" s="19" t="str">
        <f>VLOOKUP(QUERY_FOR_TRNSTRANSPOSED_0008!A105,'[6]Fin vs NFin'!$A$4:$F$568,6,FALSE)</f>
        <v>Não Financeiras</v>
      </c>
      <c r="P105" s="24" t="str">
        <f t="shared" si="3"/>
        <v>82</v>
      </c>
      <c r="Q105" s="24"/>
      <c r="R105" s="24"/>
      <c r="S105" s="24"/>
      <c r="T105" s="24"/>
    </row>
    <row r="106" spans="1:20">
      <c r="A106" s="18" t="s">
        <v>169</v>
      </c>
      <c r="B106" s="18" t="str">
        <f>VLOOKUP(A106,'[6]Fin vs NFin'!$A$4:$B$568,2,FALSE)</f>
        <v>!Canais</v>
      </c>
      <c r="C106" s="18" t="s">
        <v>172</v>
      </c>
      <c r="D106" s="18" t="s">
        <v>155</v>
      </c>
      <c r="E106" s="18" t="str">
        <f>VLOOKUP(D106,[6]Arvore!$N$8:$Q$6855,4,FALSE)</f>
        <v>5151511</v>
      </c>
      <c r="F106" s="19">
        <v>894732.01</v>
      </c>
      <c r="G106" s="19">
        <v>462724.84</v>
      </c>
      <c r="H106" s="20">
        <v>432007.17</v>
      </c>
      <c r="I106" s="116"/>
      <c r="J106" s="117"/>
      <c r="K106" s="21"/>
      <c r="L106" s="22"/>
      <c r="M106" s="23"/>
      <c r="O106" s="19" t="str">
        <f>VLOOKUP(QUERY_FOR_TRNSTRANSPOSED_0008!A106,'[6]Fin vs NFin'!$A$4:$F$568,6,FALSE)</f>
        <v>Não Financeiras</v>
      </c>
      <c r="P106" s="24" t="str">
        <f t="shared" si="3"/>
        <v>82</v>
      </c>
      <c r="Q106" s="24"/>
      <c r="R106" s="24"/>
      <c r="S106" s="24"/>
      <c r="T106" s="24"/>
    </row>
    <row r="107" spans="1:20">
      <c r="A107" s="18" t="s">
        <v>169</v>
      </c>
      <c r="B107" s="18" t="str">
        <f>VLOOKUP(A107,'[6]Fin vs NFin'!$A$4:$B$568,2,FALSE)</f>
        <v>!Canais</v>
      </c>
      <c r="C107" s="18" t="s">
        <v>173</v>
      </c>
      <c r="D107" s="18" t="s">
        <v>174</v>
      </c>
      <c r="E107" s="18" t="str">
        <f>VLOOKUP(D107,[6]Arvore!$N$8:$Q$6855,4,FALSE)</f>
        <v>5151512</v>
      </c>
      <c r="F107" s="19">
        <v>1638332.98</v>
      </c>
      <c r="G107" s="19">
        <v>3117481</v>
      </c>
      <c r="H107" s="20">
        <v>-1479148.02</v>
      </c>
      <c r="I107" s="116"/>
      <c r="J107" s="117"/>
      <c r="K107" s="21"/>
      <c r="L107" s="22"/>
      <c r="M107" s="23"/>
      <c r="O107" s="19" t="str">
        <f>VLOOKUP(QUERY_FOR_TRNSTRANSPOSED_0008!A107,'[6]Fin vs NFin'!$A$4:$F$568,6,FALSE)</f>
        <v>Não Financeiras</v>
      </c>
      <c r="P107" s="24" t="str">
        <f t="shared" si="3"/>
        <v>82</v>
      </c>
      <c r="Q107" s="24"/>
      <c r="R107" s="24"/>
      <c r="S107" s="24"/>
      <c r="T107" s="24"/>
    </row>
    <row r="108" spans="1:20" ht="15" thickBot="1">
      <c r="A108" s="18" t="s">
        <v>169</v>
      </c>
      <c r="B108" s="18" t="str">
        <f>VLOOKUP(A108,'[6]Fin vs NFin'!$A$4:$B$568,2,FALSE)</f>
        <v>!Canais</v>
      </c>
      <c r="C108" s="18" t="s">
        <v>175</v>
      </c>
      <c r="D108" s="18" t="s">
        <v>174</v>
      </c>
      <c r="E108" s="18" t="str">
        <f>VLOOKUP(D108,[6]Arvore!$N$8:$Q$6855,4,FALSE)</f>
        <v>5151512</v>
      </c>
      <c r="F108" s="19">
        <v>4218.25</v>
      </c>
      <c r="G108" s="19">
        <v>52279.34</v>
      </c>
      <c r="H108" s="20">
        <v>-48061.09</v>
      </c>
      <c r="I108" s="116"/>
      <c r="J108" s="111"/>
      <c r="K108" s="21"/>
      <c r="L108" s="22"/>
      <c r="M108" s="23"/>
      <c r="O108" s="19" t="str">
        <f>VLOOKUP(QUERY_FOR_TRNSTRANSPOSED_0008!A108,'[6]Fin vs NFin'!$A$4:$F$568,6,FALSE)</f>
        <v>Não Financeiras</v>
      </c>
      <c r="P108" s="24" t="str">
        <f t="shared" si="3"/>
        <v>82</v>
      </c>
      <c r="Q108" s="24"/>
      <c r="R108" s="24"/>
      <c r="S108" s="24"/>
      <c r="T108" s="24"/>
    </row>
    <row r="109" spans="1:20">
      <c r="A109" s="49" t="s">
        <v>176</v>
      </c>
      <c r="B109" s="49" t="str">
        <f>VLOOKUP(A109,'[6]Fin vs NFin'!$A$4:$B$568,2,FALSE)</f>
        <v>!Loja Digital/Compras Cart</v>
      </c>
      <c r="C109" s="49" t="s">
        <v>177</v>
      </c>
      <c r="D109" s="49" t="s">
        <v>178</v>
      </c>
      <c r="E109" s="49" t="str">
        <f>VLOOKUP(D109,[6]Arvore!$N$8:$Q$6855,4,FALSE)</f>
        <v>5151512</v>
      </c>
      <c r="F109" s="50">
        <v>-35654.089999999997</v>
      </c>
      <c r="G109" s="50">
        <v>-35654.089999999997</v>
      </c>
      <c r="H109" s="51">
        <v>0</v>
      </c>
      <c r="I109" s="108">
        <f>SUM(H109:H110)</f>
        <v>-1.16415321826935E-10</v>
      </c>
      <c r="J109" s="39"/>
      <c r="K109" s="21"/>
      <c r="L109" s="41"/>
      <c r="M109" s="42"/>
      <c r="O109" s="39" t="str">
        <f>VLOOKUP(QUERY_FOR_TRNSTRANSPOSED_0008!A109,'[6]Fin vs NFin'!$A$4:$F$568,6,FALSE)</f>
        <v>Não Financeiras</v>
      </c>
      <c r="P109" s="43" t="str">
        <f t="shared" si="3"/>
        <v>82</v>
      </c>
      <c r="Q109" s="43"/>
      <c r="R109" s="43"/>
      <c r="S109" s="43"/>
      <c r="T109" s="43"/>
    </row>
    <row r="110" spans="1:20" ht="15" thickBot="1">
      <c r="A110" s="35" t="s">
        <v>176</v>
      </c>
      <c r="B110" s="35" t="str">
        <f>VLOOKUP(A110,'[6]Fin vs NFin'!$A$4:$B$568,2,FALSE)</f>
        <v>!Loja Digital/Compras Cart</v>
      </c>
      <c r="C110" s="35" t="s">
        <v>179</v>
      </c>
      <c r="D110" s="35" t="s">
        <v>178</v>
      </c>
      <c r="E110" s="35" t="str">
        <f>VLOOKUP(D110,[6]Arvore!$N$8:$Q$6855,4,FALSE)</f>
        <v>5151512</v>
      </c>
      <c r="F110" s="36">
        <v>1029755.62</v>
      </c>
      <c r="G110" s="36">
        <v>1029755.62</v>
      </c>
      <c r="H110" s="37">
        <v>-1.16415321826935E-10</v>
      </c>
      <c r="I110" s="109"/>
      <c r="J110" s="12"/>
      <c r="K110" s="21"/>
      <c r="L110" s="15"/>
      <c r="M110" s="16"/>
      <c r="O110" s="12" t="str">
        <f>VLOOKUP(QUERY_FOR_TRNSTRANSPOSED_0008!A110,'[6]Fin vs NFin'!$A$4:$F$568,6,FALSE)</f>
        <v>Não Financeiras</v>
      </c>
      <c r="P110" s="17" t="str">
        <f t="shared" si="3"/>
        <v>82</v>
      </c>
      <c r="Q110" s="17"/>
      <c r="R110" s="17"/>
      <c r="S110" s="17"/>
      <c r="T110" s="17"/>
    </row>
    <row r="111" spans="1:20">
      <c r="A111" s="18" t="s">
        <v>180</v>
      </c>
      <c r="B111" s="18" t="str">
        <f>VLOOKUP(A111,'[6]Fin vs NFin'!$A$4:$B$568,2,FALSE)</f>
        <v>!Anuidades Cartões DB</v>
      </c>
      <c r="C111" s="18" t="s">
        <v>181</v>
      </c>
      <c r="D111" s="18" t="s">
        <v>182</v>
      </c>
      <c r="E111" s="18" t="str">
        <f>VLOOKUP(D111,[6]Arvore!$N$8:$Q$6855,4,FALSE)</f>
        <v>5151516</v>
      </c>
      <c r="F111" s="19">
        <v>-888.44</v>
      </c>
      <c r="G111" s="19">
        <v>-3608.17</v>
      </c>
      <c r="H111" s="20">
        <v>2719.73</v>
      </c>
      <c r="I111" s="114">
        <f>SUM(H111:H114)</f>
        <v>1.4915713109076023E-10</v>
      </c>
      <c r="J111" s="19"/>
      <c r="K111" s="21"/>
      <c r="L111" s="22"/>
      <c r="M111" s="23"/>
      <c r="O111" s="19" t="str">
        <f>VLOOKUP(QUERY_FOR_TRNSTRANSPOSED_0008!A111,'[6]Fin vs NFin'!$A$4:$F$568,6,FALSE)</f>
        <v>Não Financeiras</v>
      </c>
      <c r="P111" s="24" t="str">
        <f t="shared" si="3"/>
        <v>82</v>
      </c>
      <c r="Q111" s="24"/>
      <c r="R111" s="24"/>
      <c r="S111" s="24"/>
      <c r="T111" s="24"/>
    </row>
    <row r="112" spans="1:20">
      <c r="A112" s="18" t="s">
        <v>180</v>
      </c>
      <c r="B112" s="18" t="str">
        <f>VLOOKUP(A112,'[6]Fin vs NFin'!$A$4:$B$568,2,FALSE)</f>
        <v>!Anuidades Cartões DB</v>
      </c>
      <c r="C112" s="18" t="s">
        <v>183</v>
      </c>
      <c r="D112" s="18" t="s">
        <v>182</v>
      </c>
      <c r="E112" s="18" t="str">
        <f>VLOOKUP(D112,[6]Arvore!$N$8:$Q$6855,4,FALSE)</f>
        <v>5151516</v>
      </c>
      <c r="F112" s="19">
        <v>9619.01</v>
      </c>
      <c r="G112" s="19">
        <v>9600</v>
      </c>
      <c r="H112" s="20">
        <v>19.010000000000201</v>
      </c>
      <c r="I112" s="114"/>
      <c r="J112" s="19"/>
      <c r="K112" s="21"/>
      <c r="L112" s="22"/>
      <c r="M112" s="23"/>
      <c r="O112" s="19" t="str">
        <f>VLOOKUP(QUERY_FOR_TRNSTRANSPOSED_0008!A112,'[6]Fin vs NFin'!$A$4:$F$568,6,FALSE)</f>
        <v>Não Financeiras</v>
      </c>
      <c r="P112" s="24" t="str">
        <f t="shared" si="3"/>
        <v>82</v>
      </c>
      <c r="Q112" s="24"/>
      <c r="R112" s="24"/>
      <c r="S112" s="24"/>
      <c r="T112" s="24"/>
    </row>
    <row r="113" spans="1:20">
      <c r="A113" s="18" t="s">
        <v>180</v>
      </c>
      <c r="B113" s="18" t="str">
        <f>VLOOKUP(A113,'[6]Fin vs NFin'!$A$4:$B$568,2,FALSE)</f>
        <v>!Anuidades Cartões DB</v>
      </c>
      <c r="C113" s="18" t="s">
        <v>184</v>
      </c>
      <c r="D113" s="18" t="s">
        <v>185</v>
      </c>
      <c r="E113" s="18" t="str">
        <f>VLOOKUP(D113,[6]Arvore!$N$8:$Q$6855,4,FALSE)</f>
        <v>5151519</v>
      </c>
      <c r="F113" s="19">
        <v>58907.35</v>
      </c>
      <c r="G113" s="19">
        <v>59825</v>
      </c>
      <c r="H113" s="20">
        <v>-917.650000000001</v>
      </c>
      <c r="I113" s="114"/>
      <c r="J113" s="19"/>
      <c r="K113" s="21"/>
      <c r="L113" s="22"/>
      <c r="M113" s="23"/>
      <c r="O113" s="19" t="str">
        <f>VLOOKUP(QUERY_FOR_TRNSTRANSPOSED_0008!A113,'[6]Fin vs NFin'!$A$4:$F$568,6,FALSE)</f>
        <v>Não Financeiras</v>
      </c>
      <c r="P113" s="24" t="str">
        <f t="shared" si="3"/>
        <v>82</v>
      </c>
      <c r="Q113" s="24"/>
      <c r="R113" s="24"/>
      <c r="S113" s="24"/>
      <c r="T113" s="24"/>
    </row>
    <row r="114" spans="1:20" ht="15" thickBot="1">
      <c r="A114" s="11" t="s">
        <v>180</v>
      </c>
      <c r="B114" s="11" t="str">
        <f>VLOOKUP(A114,'[6]Fin vs NFin'!$A$4:$B$568,2,FALSE)</f>
        <v>!Anuidades Cartões DB</v>
      </c>
      <c r="C114" s="11" t="s">
        <v>186</v>
      </c>
      <c r="D114" s="11" t="s">
        <v>182</v>
      </c>
      <c r="E114" s="11" t="str">
        <f>VLOOKUP(D114,[6]Arvore!$N$8:$Q$6855,4,FALSE)</f>
        <v>5151516</v>
      </c>
      <c r="F114" s="12">
        <v>23456099.34</v>
      </c>
      <c r="G114" s="12">
        <v>23457920.43</v>
      </c>
      <c r="H114" s="13">
        <v>-1821.0899999998501</v>
      </c>
      <c r="I114" s="109"/>
      <c r="J114" s="12"/>
      <c r="K114" s="21"/>
      <c r="L114" s="15"/>
      <c r="M114" s="16"/>
      <c r="O114" s="12" t="str">
        <f>VLOOKUP(QUERY_FOR_TRNSTRANSPOSED_0008!A114,'[6]Fin vs NFin'!$A$4:$F$568,6,FALSE)</f>
        <v>Não Financeiras</v>
      </c>
      <c r="P114" s="17" t="str">
        <f t="shared" si="3"/>
        <v>82</v>
      </c>
      <c r="Q114" s="17"/>
      <c r="R114" s="17"/>
      <c r="S114" s="17"/>
      <c r="T114" s="17"/>
    </row>
    <row r="115" spans="1:20">
      <c r="A115" s="18" t="s">
        <v>187</v>
      </c>
      <c r="B115" s="18" t="str">
        <f>VLOOKUP(A115,'[6]Fin vs NFin'!$A$4:$B$568,2,FALSE)</f>
        <v>!V Proveitos</v>
      </c>
      <c r="C115" s="18" t="s">
        <v>154</v>
      </c>
      <c r="D115" s="18" t="s">
        <v>155</v>
      </c>
      <c r="E115" s="18" t="str">
        <f>VLOOKUP(D115,[6]Arvore!$N$8:$Q$6855,4,FALSE)</f>
        <v>5151511</v>
      </c>
      <c r="F115" s="19">
        <v>4769690.41</v>
      </c>
      <c r="G115" s="19" t="s">
        <v>84</v>
      </c>
      <c r="H115" s="20">
        <v>4769690.41</v>
      </c>
      <c r="I115" s="116">
        <f>SUM(H115:H117)</f>
        <v>6346418.2800000003</v>
      </c>
      <c r="J115" s="110">
        <f>I90+I115+I120</f>
        <v>0</v>
      </c>
      <c r="K115" s="21"/>
      <c r="L115" s="22"/>
      <c r="M115" s="23"/>
      <c r="O115" s="19" t="str">
        <f>VLOOKUP(QUERY_FOR_TRNSTRANSPOSED_0008!A115,'[6]Fin vs NFin'!$A$4:$F$568,6,FALSE)</f>
        <v>Não Financeiras</v>
      </c>
      <c r="P115" s="24" t="str">
        <f t="shared" si="3"/>
        <v>82</v>
      </c>
      <c r="Q115" s="24"/>
      <c r="R115" s="24"/>
      <c r="S115" s="24"/>
      <c r="T115" s="24"/>
    </row>
    <row r="116" spans="1:20">
      <c r="A116" s="32" t="s">
        <v>187</v>
      </c>
      <c r="B116" s="32" t="str">
        <f>VLOOKUP(A116,'[6]Fin vs NFin'!$A$4:$B$568,2,FALSE)</f>
        <v>!V Proveitos</v>
      </c>
      <c r="C116" s="32" t="s">
        <v>67</v>
      </c>
      <c r="D116" s="32" t="s">
        <v>155</v>
      </c>
      <c r="E116" s="32" t="str">
        <f>VLOOKUP(D116,[6]Arvore!$N$8:$Q$6855,4,FALSE)</f>
        <v>5151511</v>
      </c>
      <c r="F116" s="33">
        <v>-677001.36</v>
      </c>
      <c r="G116" s="33">
        <v>-677001.36</v>
      </c>
      <c r="H116" s="34">
        <v>0</v>
      </c>
      <c r="I116" s="116"/>
      <c r="J116" s="117"/>
      <c r="K116" s="21"/>
      <c r="L116" s="22"/>
      <c r="M116" s="23"/>
      <c r="O116" s="19" t="str">
        <f>VLOOKUP(QUERY_FOR_TRNSTRANSPOSED_0008!A116,'[6]Fin vs NFin'!$A$4:$F$568,6,FALSE)</f>
        <v>Não Financeiras</v>
      </c>
      <c r="P116" s="24" t="str">
        <f t="shared" si="3"/>
        <v>82</v>
      </c>
      <c r="Q116" s="24"/>
      <c r="R116" s="24"/>
      <c r="S116" s="24"/>
      <c r="T116" s="24"/>
    </row>
    <row r="117" spans="1:20" ht="15" thickBot="1">
      <c r="A117" s="18" t="s">
        <v>187</v>
      </c>
      <c r="B117" s="18" t="str">
        <f>VLOOKUP(A117,'[6]Fin vs NFin'!$A$4:$B$568,2,FALSE)</f>
        <v>!V Proveitos</v>
      </c>
      <c r="C117" s="18" t="s">
        <v>188</v>
      </c>
      <c r="D117" s="18" t="s">
        <v>155</v>
      </c>
      <c r="E117" s="18" t="str">
        <f>VLOOKUP(D117,[6]Arvore!$N$8:$Q$6855,4,FALSE)</f>
        <v>5151511</v>
      </c>
      <c r="F117" s="19">
        <v>1576756.96</v>
      </c>
      <c r="G117" s="19">
        <v>29.09</v>
      </c>
      <c r="H117" s="20">
        <v>1576727.87</v>
      </c>
      <c r="I117" s="116"/>
      <c r="J117" s="111"/>
      <c r="K117" s="21"/>
      <c r="L117" s="22"/>
      <c r="M117" s="23"/>
      <c r="O117" s="19" t="str">
        <f>VLOOKUP(QUERY_FOR_TRNSTRANSPOSED_0008!A117,'[6]Fin vs NFin'!$A$4:$F$568,6,FALSE)</f>
        <v>Não Financeiras</v>
      </c>
      <c r="P117" s="24" t="str">
        <f t="shared" si="3"/>
        <v>82</v>
      </c>
      <c r="Q117" s="24"/>
      <c r="R117" s="24"/>
      <c r="S117" s="24"/>
      <c r="T117" s="24"/>
    </row>
    <row r="118" spans="1:20">
      <c r="A118" s="38" t="s">
        <v>189</v>
      </c>
      <c r="B118" s="38" t="str">
        <f>VLOOKUP(A118,'[6]Fin vs NFin'!$A$4:$B$568,2,FALSE)</f>
        <v>!V Custos</v>
      </c>
      <c r="C118" s="38" t="s">
        <v>154</v>
      </c>
      <c r="D118" s="38" t="s">
        <v>158</v>
      </c>
      <c r="E118" s="38" t="str">
        <f>VLOOKUP(D118,[6]Arvore!$N$8:$Q$6855,4,FALSE)</f>
        <v>5151511</v>
      </c>
      <c r="F118" s="39">
        <v>-2074288.55</v>
      </c>
      <c r="G118" s="39">
        <v>-2217963.4700000002</v>
      </c>
      <c r="H118" s="40">
        <v>143674.92000000001</v>
      </c>
      <c r="I118" s="108">
        <f>SUM(H118:H119)</f>
        <v>0</v>
      </c>
      <c r="J118" s="39"/>
      <c r="K118" s="21"/>
      <c r="L118" s="41"/>
      <c r="M118" s="42"/>
      <c r="O118" s="39" t="str">
        <f>VLOOKUP(QUERY_FOR_TRNSTRANSPOSED_0008!A118,'[6]Fin vs NFin'!$A$4:$F$568,6,FALSE)</f>
        <v>Não Financeiras</v>
      </c>
      <c r="P118" s="43" t="str">
        <f t="shared" si="3"/>
        <v>71</v>
      </c>
      <c r="Q118" s="43"/>
      <c r="R118" s="43"/>
      <c r="S118" s="43"/>
      <c r="T118" s="43"/>
    </row>
    <row r="119" spans="1:20" ht="15" thickBot="1">
      <c r="A119" s="18" t="s">
        <v>189</v>
      </c>
      <c r="B119" s="18" t="str">
        <f>VLOOKUP(A119,'[6]Fin vs NFin'!$A$4:$B$568,2,FALSE)</f>
        <v>!V Custos</v>
      </c>
      <c r="C119" s="18" t="s">
        <v>190</v>
      </c>
      <c r="D119" s="18" t="s">
        <v>158</v>
      </c>
      <c r="E119" s="18" t="str">
        <f>VLOOKUP(D119,[6]Arvore!$N$8:$Q$6855,4,FALSE)</f>
        <v>5151511</v>
      </c>
      <c r="F119" s="19">
        <v>-143736.69</v>
      </c>
      <c r="G119" s="19">
        <v>-61.77</v>
      </c>
      <c r="H119" s="20">
        <v>-143674.92000000001</v>
      </c>
      <c r="I119" s="114"/>
      <c r="J119" s="19"/>
      <c r="K119" s="21"/>
      <c r="L119" s="22"/>
      <c r="M119" s="23"/>
      <c r="O119" s="19" t="str">
        <f>VLOOKUP(QUERY_FOR_TRNSTRANSPOSED_0008!A119,'[6]Fin vs NFin'!$A$4:$F$568,6,FALSE)</f>
        <v>Não Financeiras</v>
      </c>
      <c r="P119" s="24" t="str">
        <f t="shared" si="3"/>
        <v>71</v>
      </c>
      <c r="Q119" s="24"/>
      <c r="R119" s="24"/>
      <c r="S119" s="24"/>
      <c r="T119" s="24"/>
    </row>
    <row r="120" spans="1:20">
      <c r="A120" s="38" t="s">
        <v>191</v>
      </c>
      <c r="B120" s="38" t="str">
        <f>VLOOKUP(A120,'[6]Fin vs NFin'!$A$4:$B$568,2,FALSE)</f>
        <v>!M Proveitos</v>
      </c>
      <c r="C120" s="38" t="s">
        <v>192</v>
      </c>
      <c r="D120" s="38" t="s">
        <v>155</v>
      </c>
      <c r="E120" s="38" t="str">
        <f>VLOOKUP(D120,[6]Arvore!$N$8:$Q$6855,4,FALSE)</f>
        <v>5151511</v>
      </c>
      <c r="F120" s="39">
        <v>379991.56</v>
      </c>
      <c r="G120" s="39">
        <v>-1273.1400000000001</v>
      </c>
      <c r="H120" s="40">
        <v>381264.7</v>
      </c>
      <c r="I120" s="115">
        <f>SUM(H120:H123)</f>
        <v>6143402.6599999992</v>
      </c>
      <c r="J120" s="110">
        <f>I90+I115+I120</f>
        <v>0</v>
      </c>
      <c r="K120" s="21"/>
      <c r="L120" s="41"/>
      <c r="M120" s="42"/>
      <c r="O120" s="39" t="str">
        <f>VLOOKUP(QUERY_FOR_TRNSTRANSPOSED_0008!A120,'[6]Fin vs NFin'!$A$4:$F$568,6,FALSE)</f>
        <v>Não Financeiras</v>
      </c>
      <c r="P120" s="43" t="str">
        <f t="shared" si="3"/>
        <v>82</v>
      </c>
      <c r="Q120" s="43"/>
      <c r="R120" s="43"/>
      <c r="S120" s="43"/>
      <c r="T120" s="43"/>
    </row>
    <row r="121" spans="1:20">
      <c r="A121" s="18" t="s">
        <v>191</v>
      </c>
      <c r="B121" s="18" t="str">
        <f>VLOOKUP(A121,'[6]Fin vs NFin'!$A$4:$B$568,2,FALSE)</f>
        <v>!M Proveitos</v>
      </c>
      <c r="C121" s="18" t="s">
        <v>193</v>
      </c>
      <c r="D121" s="18" t="s">
        <v>155</v>
      </c>
      <c r="E121" s="18" t="str">
        <f>VLOOKUP(D121,[6]Arvore!$N$8:$Q$6855,4,FALSE)</f>
        <v>5151511</v>
      </c>
      <c r="F121" s="19">
        <v>1729617.54</v>
      </c>
      <c r="G121" s="19">
        <v>2110882.2400000002</v>
      </c>
      <c r="H121" s="20">
        <v>-381264.7</v>
      </c>
      <c r="I121" s="116"/>
      <c r="J121" s="117"/>
      <c r="K121" s="21"/>
      <c r="L121" s="22"/>
      <c r="M121" s="23"/>
      <c r="O121" s="19" t="str">
        <f>VLOOKUP(QUERY_FOR_TRNSTRANSPOSED_0008!A121,'[6]Fin vs NFin'!$A$4:$F$568,6,FALSE)</f>
        <v>Não Financeiras</v>
      </c>
      <c r="P121" s="24" t="str">
        <f t="shared" si="3"/>
        <v>82</v>
      </c>
      <c r="Q121" s="24"/>
      <c r="R121" s="24"/>
      <c r="S121" s="24"/>
      <c r="T121" s="24"/>
    </row>
    <row r="122" spans="1:20">
      <c r="A122" s="18" t="s">
        <v>191</v>
      </c>
      <c r="B122" s="18" t="str">
        <f>VLOOKUP(A122,'[6]Fin vs NFin'!$A$4:$B$568,2,FALSE)</f>
        <v>!M Proveitos</v>
      </c>
      <c r="C122" s="18" t="s">
        <v>161</v>
      </c>
      <c r="D122" s="18" t="s">
        <v>156</v>
      </c>
      <c r="E122" s="18" t="str">
        <f>VLOOKUP(D122,[6]Arvore!$N$8:$Q$6855,4,FALSE)</f>
        <v>5151511</v>
      </c>
      <c r="F122" s="19">
        <v>6145352.3499999996</v>
      </c>
      <c r="G122" s="19" t="s">
        <v>84</v>
      </c>
      <c r="H122" s="20">
        <v>6145352.3499999996</v>
      </c>
      <c r="I122" s="116"/>
      <c r="J122" s="117"/>
      <c r="K122" s="21"/>
      <c r="L122" s="22"/>
      <c r="M122" s="23"/>
      <c r="O122" s="19" t="str">
        <f>VLOOKUP(QUERY_FOR_TRNSTRANSPOSED_0008!A122,'[6]Fin vs NFin'!$A$4:$F$568,6,FALSE)</f>
        <v>Não Financeiras</v>
      </c>
      <c r="P122" s="24" t="str">
        <f t="shared" si="3"/>
        <v>82</v>
      </c>
      <c r="Q122" s="24"/>
      <c r="R122" s="24"/>
      <c r="S122" s="24"/>
      <c r="T122" s="24"/>
    </row>
    <row r="123" spans="1:20" ht="15" thickBot="1">
      <c r="A123" s="18" t="s">
        <v>191</v>
      </c>
      <c r="B123" s="18" t="str">
        <f>VLOOKUP(A123,'[6]Fin vs NFin'!$A$4:$B$568,2,FALSE)</f>
        <v>!M Proveitos</v>
      </c>
      <c r="C123" s="18" t="s">
        <v>194</v>
      </c>
      <c r="D123" s="18" t="s">
        <v>155</v>
      </c>
      <c r="E123" s="18" t="str">
        <f>VLOOKUP(D123,[6]Arvore!$N$8:$Q$6855,4,FALSE)</f>
        <v>5151511</v>
      </c>
      <c r="F123" s="19">
        <v>6290.2</v>
      </c>
      <c r="G123" s="19">
        <v>8239.89</v>
      </c>
      <c r="H123" s="20">
        <v>-1949.69</v>
      </c>
      <c r="I123" s="116"/>
      <c r="J123" s="111"/>
      <c r="K123" s="21"/>
      <c r="L123" s="22"/>
      <c r="M123" s="23"/>
      <c r="O123" s="19" t="str">
        <f>VLOOKUP(QUERY_FOR_TRNSTRANSPOSED_0008!A123,'[6]Fin vs NFin'!$A$4:$F$568,6,FALSE)</f>
        <v>Não Financeiras</v>
      </c>
      <c r="P123" s="24" t="str">
        <f t="shared" si="3"/>
        <v>82</v>
      </c>
      <c r="Q123" s="24"/>
      <c r="R123" s="24"/>
      <c r="S123" s="24"/>
      <c r="T123" s="24"/>
    </row>
    <row r="124" spans="1:20">
      <c r="A124" s="49" t="s">
        <v>195</v>
      </c>
      <c r="B124" s="49" t="str">
        <f>VLOOKUP(A124,'[6]Fin vs NFin'!$A$4:$B$568,2,FALSE)</f>
        <v>!M Custos</v>
      </c>
      <c r="C124" s="49" t="s">
        <v>196</v>
      </c>
      <c r="D124" s="49" t="s">
        <v>158</v>
      </c>
      <c r="E124" s="49" t="str">
        <f>VLOOKUP(D124,[6]Arvore!$N$8:$Q$6855,4,FALSE)</f>
        <v>5151511</v>
      </c>
      <c r="F124" s="50">
        <v>-5175653.37</v>
      </c>
      <c r="G124" s="50">
        <v>-5175653.37</v>
      </c>
      <c r="H124" s="51">
        <v>-9.3132257461547893E-10</v>
      </c>
      <c r="I124" s="108">
        <f>SUM(H124:H125)</f>
        <v>82.239999999059378</v>
      </c>
      <c r="J124" s="39"/>
      <c r="K124" s="21"/>
      <c r="L124" s="41"/>
      <c r="M124" s="42"/>
      <c r="O124" s="39" t="str">
        <f>VLOOKUP(QUERY_FOR_TRNSTRANSPOSED_0008!A124,'[6]Fin vs NFin'!$A$4:$F$568,6,FALSE)</f>
        <v>Não Financeiras</v>
      </c>
      <c r="P124" s="43" t="str">
        <f t="shared" si="3"/>
        <v>71</v>
      </c>
      <c r="Q124" s="43"/>
      <c r="R124" s="43"/>
      <c r="S124" s="43"/>
      <c r="T124" s="43"/>
    </row>
    <row r="125" spans="1:20" ht="15" thickBot="1">
      <c r="A125" s="11" t="s">
        <v>195</v>
      </c>
      <c r="B125" s="11" t="str">
        <f>VLOOKUP(A125,'[6]Fin vs NFin'!$A$4:$B$568,2,FALSE)</f>
        <v>!M Custos</v>
      </c>
      <c r="C125" s="11" t="s">
        <v>197</v>
      </c>
      <c r="D125" s="11" t="s">
        <v>158</v>
      </c>
      <c r="E125" s="11" t="str">
        <f>VLOOKUP(D125,[6]Arvore!$N$8:$Q$6855,4,FALSE)</f>
        <v>5151511</v>
      </c>
      <c r="F125" s="12">
        <v>209453.75</v>
      </c>
      <c r="G125" s="12">
        <v>209371.51</v>
      </c>
      <c r="H125" s="13">
        <v>82.239999999990701</v>
      </c>
      <c r="I125" s="114"/>
      <c r="J125" s="12"/>
      <c r="K125" s="21"/>
      <c r="L125" s="15"/>
      <c r="M125" s="16"/>
      <c r="O125" s="12" t="str">
        <f>VLOOKUP(QUERY_FOR_TRNSTRANSPOSED_0008!A125,'[6]Fin vs NFin'!$A$4:$F$568,6,FALSE)</f>
        <v>Não Financeiras</v>
      </c>
      <c r="P125" s="17" t="str">
        <f t="shared" si="3"/>
        <v>71</v>
      </c>
      <c r="Q125" s="17"/>
      <c r="R125" s="17"/>
      <c r="S125" s="17"/>
      <c r="T125" s="17"/>
    </row>
    <row r="126" spans="1:20" ht="15" thickBot="1">
      <c r="A126" s="32" t="s">
        <v>198</v>
      </c>
      <c r="B126" s="32" t="str">
        <f>VLOOKUP(A126,'[6]Fin vs NFin'!$A$4:$B$568,2,FALSE)</f>
        <v>!Outros</v>
      </c>
      <c r="C126" s="32" t="s">
        <v>199</v>
      </c>
      <c r="D126" s="32" t="s">
        <v>200</v>
      </c>
      <c r="E126" s="32" t="str">
        <f>VLOOKUP(D126,[6]Arvore!$N$8:$Q$6855,4,FALSE)</f>
        <v>5151512</v>
      </c>
      <c r="F126" s="33">
        <v>122.03</v>
      </c>
      <c r="G126" s="33">
        <v>122.03</v>
      </c>
      <c r="H126" s="34">
        <v>0</v>
      </c>
      <c r="I126" s="53">
        <v>0</v>
      </c>
      <c r="J126" s="19"/>
      <c r="K126" s="21"/>
      <c r="L126" s="22"/>
      <c r="M126" s="23"/>
      <c r="O126" s="19" t="str">
        <f>VLOOKUP(QUERY_FOR_TRNSTRANSPOSED_0008!A126,'[6]Fin vs NFin'!$A$4:$F$568,6,FALSE)</f>
        <v>Não Financeiras</v>
      </c>
      <c r="P126" s="24" t="str">
        <f t="shared" si="3"/>
        <v>82</v>
      </c>
      <c r="Q126" s="24"/>
      <c r="R126" s="24"/>
      <c r="S126" s="24"/>
      <c r="T126" s="24"/>
    </row>
    <row r="127" spans="1:20">
      <c r="A127" s="49" t="s">
        <v>201</v>
      </c>
      <c r="B127" s="49" t="str">
        <f>VLOOKUP(A127,'[6]Fin vs NFin'!$A$4:$B$568,2,FALSE)</f>
        <v>!Substituição</v>
      </c>
      <c r="C127" s="49" t="s">
        <v>202</v>
      </c>
      <c r="D127" s="49" t="s">
        <v>203</v>
      </c>
      <c r="E127" s="49" t="str">
        <f>VLOOKUP(D127,[6]Arvore!$N$8:$Q$6855,4,FALSE)</f>
        <v>5151506</v>
      </c>
      <c r="F127" s="50">
        <v>320260</v>
      </c>
      <c r="G127" s="50">
        <v>320260</v>
      </c>
      <c r="H127" s="51">
        <v>0</v>
      </c>
      <c r="I127" s="108">
        <v>0</v>
      </c>
      <c r="J127" s="39"/>
      <c r="K127" s="21"/>
      <c r="L127" s="41"/>
      <c r="M127" s="42"/>
      <c r="O127" s="39" t="str">
        <f>VLOOKUP(QUERY_FOR_TRNSTRANSPOSED_0008!A127,'[6]Fin vs NFin'!$A$4:$F$568,6,FALSE)</f>
        <v>Não Financeiras</v>
      </c>
      <c r="P127" s="43" t="str">
        <f t="shared" si="3"/>
        <v>82</v>
      </c>
      <c r="Q127" s="43"/>
      <c r="R127" s="43"/>
      <c r="S127" s="43"/>
      <c r="T127" s="43"/>
    </row>
    <row r="128" spans="1:20" ht="15" thickBot="1">
      <c r="A128" s="32" t="s">
        <v>201</v>
      </c>
      <c r="B128" s="32" t="str">
        <f>VLOOKUP(A128,'[6]Fin vs NFin'!$A$4:$B$568,2,FALSE)</f>
        <v>!Substituição</v>
      </c>
      <c r="C128" s="32" t="s">
        <v>204</v>
      </c>
      <c r="D128" s="32" t="s">
        <v>182</v>
      </c>
      <c r="E128" s="32" t="str">
        <f>VLOOKUP(D128,[6]Arvore!$N$8:$Q$6855,4,FALSE)</f>
        <v>5151516</v>
      </c>
      <c r="F128" s="33">
        <v>885944.25</v>
      </c>
      <c r="G128" s="33">
        <v>885944.25</v>
      </c>
      <c r="H128" s="34">
        <v>0</v>
      </c>
      <c r="I128" s="114"/>
      <c r="J128" s="19"/>
      <c r="K128" s="21"/>
      <c r="L128" s="22"/>
      <c r="M128" s="23"/>
      <c r="O128" s="19" t="str">
        <f>VLOOKUP(QUERY_FOR_TRNSTRANSPOSED_0008!A128,'[6]Fin vs NFin'!$A$4:$F$568,6,FALSE)</f>
        <v>Não Financeiras</v>
      </c>
      <c r="P128" s="24" t="str">
        <f t="shared" si="3"/>
        <v>82</v>
      </c>
      <c r="Q128" s="24"/>
      <c r="R128" s="24"/>
      <c r="S128" s="24"/>
      <c r="T128" s="24"/>
    </row>
    <row r="129" spans="1:20">
      <c r="A129" s="38" t="s">
        <v>205</v>
      </c>
      <c r="B129" s="38" t="str">
        <f>VLOOKUP(A129,'[6]Fin vs NFin'!$A$4:$B$568,2,FALSE)</f>
        <v>!Overlimit</v>
      </c>
      <c r="C129" s="38" t="s">
        <v>206</v>
      </c>
      <c r="D129" s="38" t="s">
        <v>147</v>
      </c>
      <c r="E129" s="38" t="str">
        <f>VLOOKUP(D129,[6]Arvore!$N$8:$Q$6855,4,FALSE)</f>
        <v>5151512</v>
      </c>
      <c r="F129" s="39">
        <v>690781.61</v>
      </c>
      <c r="G129" s="39">
        <v>691125.4</v>
      </c>
      <c r="H129" s="40">
        <v>-343.79000000003703</v>
      </c>
      <c r="I129" s="108">
        <f>SUM(H129:H130)</f>
        <v>-3.7005065678386018E-11</v>
      </c>
      <c r="J129" s="39"/>
      <c r="K129" s="21"/>
      <c r="L129" s="41"/>
      <c r="M129" s="42"/>
      <c r="O129" s="39" t="str">
        <f>VLOOKUP(QUERY_FOR_TRNSTRANSPOSED_0008!A129,'[6]Fin vs NFin'!$A$4:$F$568,6,FALSE)</f>
        <v>Não Financeiras</v>
      </c>
      <c r="P129" s="43" t="str">
        <f t="shared" si="3"/>
        <v>82</v>
      </c>
      <c r="Q129" s="43"/>
      <c r="R129" s="43"/>
      <c r="S129" s="43"/>
      <c r="T129" s="43"/>
    </row>
    <row r="130" spans="1:20" ht="15" thickBot="1">
      <c r="A130" s="11" t="s">
        <v>205</v>
      </c>
      <c r="B130" s="11" t="str">
        <f>VLOOKUP(A130,'[6]Fin vs NFin'!$A$4:$B$568,2,FALSE)</f>
        <v>!Overlimit</v>
      </c>
      <c r="C130" s="11" t="s">
        <v>207</v>
      </c>
      <c r="D130" s="11" t="s">
        <v>147</v>
      </c>
      <c r="E130" s="11" t="str">
        <f>VLOOKUP(D130,[6]Arvore!$N$8:$Q$6855,4,FALSE)</f>
        <v>5151512</v>
      </c>
      <c r="F130" s="12">
        <v>1018.79</v>
      </c>
      <c r="G130" s="12">
        <v>675</v>
      </c>
      <c r="H130" s="13">
        <v>343.79</v>
      </c>
      <c r="I130" s="114"/>
      <c r="J130" s="12"/>
      <c r="K130" s="21"/>
      <c r="L130" s="15"/>
      <c r="M130" s="16"/>
      <c r="O130" s="12" t="str">
        <f>VLOOKUP(QUERY_FOR_TRNSTRANSPOSED_0008!A130,'[6]Fin vs NFin'!$A$4:$F$568,6,FALSE)</f>
        <v>Não Financeiras</v>
      </c>
      <c r="P130" s="17" t="str">
        <f t="shared" si="3"/>
        <v>82</v>
      </c>
      <c r="Q130" s="17"/>
      <c r="R130" s="17"/>
      <c r="S130" s="17"/>
      <c r="T130" s="17"/>
    </row>
    <row r="131" spans="1:20">
      <c r="A131" s="18" t="s">
        <v>208</v>
      </c>
      <c r="B131" s="18" t="str">
        <f>VLOOKUP(A131,'[6]Fin vs NFin'!$A$4:$B$568,2,FALSE)</f>
        <v>!Carregamento Pré-Pagos</v>
      </c>
      <c r="C131" s="18" t="s">
        <v>209</v>
      </c>
      <c r="D131" s="18" t="s">
        <v>185</v>
      </c>
      <c r="E131" s="18" t="str">
        <f>VLOOKUP(D131,[6]Arvore!$N$8:$Q$6855,4,FALSE)</f>
        <v>5151519</v>
      </c>
      <c r="F131" s="19">
        <v>1599993.11</v>
      </c>
      <c r="G131" s="19">
        <v>1599953.06</v>
      </c>
      <c r="H131" s="20">
        <v>40.050000000046602</v>
      </c>
      <c r="I131" s="108">
        <f>SUM(H131:H133)</f>
        <v>4.6604498038504971E-11</v>
      </c>
      <c r="J131" s="19"/>
      <c r="K131" s="21"/>
      <c r="L131" s="22"/>
      <c r="M131" s="23"/>
      <c r="O131" s="19" t="str">
        <f>VLOOKUP(QUERY_FOR_TRNSTRANSPOSED_0008!A131,'[6]Fin vs NFin'!$A$4:$F$568,6,FALSE)</f>
        <v>Não Financeiras</v>
      </c>
      <c r="P131" s="24" t="str">
        <f t="shared" si="3"/>
        <v>82</v>
      </c>
      <c r="Q131" s="24"/>
      <c r="R131" s="24"/>
      <c r="S131" s="24"/>
      <c r="T131" s="24"/>
    </row>
    <row r="132" spans="1:20">
      <c r="A132" s="18" t="s">
        <v>208</v>
      </c>
      <c r="B132" s="18" t="str">
        <f>VLOOKUP(A132,'[6]Fin vs NFin'!$A$4:$B$568,2,FALSE)</f>
        <v>!Carregamento Pré-Pagos</v>
      </c>
      <c r="C132" s="18" t="s">
        <v>210</v>
      </c>
      <c r="D132" s="18" t="s">
        <v>185</v>
      </c>
      <c r="E132" s="18" t="str">
        <f>VLOOKUP(D132,[6]Arvore!$N$8:$Q$6855,4,FALSE)</f>
        <v>5151519</v>
      </c>
      <c r="F132" s="19">
        <v>22.05</v>
      </c>
      <c r="G132" s="19">
        <v>62.1</v>
      </c>
      <c r="H132" s="20">
        <v>-40.049999999999997</v>
      </c>
      <c r="I132" s="114"/>
      <c r="J132" s="19"/>
      <c r="K132" s="21"/>
      <c r="L132" s="22"/>
      <c r="M132" s="23"/>
      <c r="O132" s="19" t="str">
        <f>VLOOKUP(QUERY_FOR_TRNSTRANSPOSED_0008!A132,'[6]Fin vs NFin'!$A$4:$F$568,6,FALSE)</f>
        <v>Não Financeiras</v>
      </c>
      <c r="P132" s="24" t="str">
        <f t="shared" si="3"/>
        <v>82</v>
      </c>
      <c r="Q132" s="24"/>
      <c r="R132" s="24"/>
      <c r="S132" s="24"/>
      <c r="T132" s="24"/>
    </row>
    <row r="133" spans="1:20" ht="15" thickBot="1">
      <c r="A133" s="35" t="s">
        <v>208</v>
      </c>
      <c r="B133" s="35" t="str">
        <f>VLOOKUP(A133,'[6]Fin vs NFin'!$A$4:$B$568,2,FALSE)</f>
        <v>!Carregamento Pré-Pagos</v>
      </c>
      <c r="C133" s="35" t="s">
        <v>211</v>
      </c>
      <c r="D133" s="35" t="s">
        <v>185</v>
      </c>
      <c r="E133" s="35" t="str">
        <f>VLOOKUP(D133,[6]Arvore!$N$8:$Q$6855,4,FALSE)</f>
        <v>5151519</v>
      </c>
      <c r="F133" s="36">
        <v>14.93</v>
      </c>
      <c r="G133" s="36">
        <v>14.93</v>
      </c>
      <c r="H133" s="37">
        <v>0</v>
      </c>
      <c r="I133" s="109"/>
      <c r="J133" s="12"/>
      <c r="K133" s="21"/>
      <c r="L133" s="15"/>
      <c r="M133" s="16"/>
      <c r="O133" s="12" t="str">
        <f>VLOOKUP(QUERY_FOR_TRNSTRANSPOSED_0008!A133,'[6]Fin vs NFin'!$A$4:$F$568,6,FALSE)</f>
        <v>Não Financeiras</v>
      </c>
      <c r="P133" s="17" t="str">
        <f t="shared" si="3"/>
        <v>82</v>
      </c>
      <c r="Q133" s="17"/>
      <c r="R133" s="17"/>
      <c r="S133" s="17"/>
      <c r="T133" s="17"/>
    </row>
    <row r="134" spans="1:20">
      <c r="A134" s="32" t="s">
        <v>212</v>
      </c>
      <c r="B134" s="32" t="str">
        <f>VLOOKUP(A134,'[6]Fin vs NFin'!$A$4:$B$568,2,FALSE)</f>
        <v>!Lista Negra</v>
      </c>
      <c r="C134" s="32" t="s">
        <v>213</v>
      </c>
      <c r="D134" s="32" t="s">
        <v>214</v>
      </c>
      <c r="E134" s="32" t="str">
        <f>VLOOKUP(D134,[6]Arvore!$N$8:$Q$6855,4,FALSE)</f>
        <v>5151509</v>
      </c>
      <c r="F134" s="33">
        <v>-59</v>
      </c>
      <c r="G134" s="33">
        <v>-59</v>
      </c>
      <c r="H134" s="34">
        <v>0</v>
      </c>
      <c r="I134" s="108">
        <f>SUM(H134:H135)</f>
        <v>0</v>
      </c>
      <c r="J134" s="19"/>
      <c r="K134" s="21"/>
      <c r="L134" s="22"/>
      <c r="M134" s="23"/>
      <c r="O134" s="19" t="str">
        <f>VLOOKUP(QUERY_FOR_TRNSTRANSPOSED_0008!A134,'[6]Fin vs NFin'!$A$4:$F$568,6,FALSE)</f>
        <v>Não Financeiras</v>
      </c>
      <c r="P134" s="24" t="str">
        <f t="shared" ref="P134:P197" si="4">LEFT(D134,2)</f>
        <v>89</v>
      </c>
      <c r="Q134" s="24"/>
      <c r="R134" s="24"/>
      <c r="S134" s="24"/>
      <c r="T134" s="24"/>
    </row>
    <row r="135" spans="1:20" ht="15" thickBot="1">
      <c r="A135" s="32" t="s">
        <v>212</v>
      </c>
      <c r="B135" s="32" t="str">
        <f>VLOOKUP(A135,'[6]Fin vs NFin'!$A$4:$B$568,2,FALSE)</f>
        <v>!Lista Negra</v>
      </c>
      <c r="C135" s="32" t="s">
        <v>215</v>
      </c>
      <c r="D135" s="32" t="s">
        <v>214</v>
      </c>
      <c r="E135" s="32" t="str">
        <f>VLOOKUP(D135,[6]Arvore!$N$8:$Q$6855,4,FALSE)</f>
        <v>5151509</v>
      </c>
      <c r="F135" s="33">
        <v>123782.5</v>
      </c>
      <c r="G135" s="33">
        <v>123782.5</v>
      </c>
      <c r="H135" s="34">
        <v>0</v>
      </c>
      <c r="I135" s="114"/>
      <c r="J135" s="19"/>
      <c r="K135" s="21"/>
      <c r="L135" s="22"/>
      <c r="M135" s="23"/>
      <c r="O135" s="19" t="str">
        <f>VLOOKUP(QUERY_FOR_TRNSTRANSPOSED_0008!A135,'[6]Fin vs NFin'!$A$4:$F$568,6,FALSE)</f>
        <v>Não Financeiras</v>
      </c>
      <c r="P135" s="24" t="str">
        <f t="shared" si="4"/>
        <v>89</v>
      </c>
      <c r="Q135" s="24"/>
      <c r="R135" s="24"/>
      <c r="S135" s="24"/>
      <c r="T135" s="24"/>
    </row>
    <row r="136" spans="1:20">
      <c r="A136" s="38" t="s">
        <v>216</v>
      </c>
      <c r="B136" s="38" t="str">
        <f>VLOOKUP(A136,'[6]Fin vs NFin'!$A$4:$B$568,2,FALSE)</f>
        <v>!QuasiCash</v>
      </c>
      <c r="C136" s="38" t="s">
        <v>217</v>
      </c>
      <c r="D136" s="38" t="s">
        <v>147</v>
      </c>
      <c r="E136" s="38" t="str">
        <f>VLOOKUP(D136,[6]Arvore!$N$8:$Q$6855,4,FALSE)</f>
        <v>5151512</v>
      </c>
      <c r="F136" s="39">
        <v>1562949.39</v>
      </c>
      <c r="G136" s="39">
        <v>406667</v>
      </c>
      <c r="H136" s="40">
        <v>1156282.3899999999</v>
      </c>
      <c r="I136" s="108">
        <f>SUM(H136:H137)</f>
        <v>0</v>
      </c>
      <c r="J136" s="39"/>
      <c r="K136" s="21"/>
      <c r="L136" s="41"/>
      <c r="M136" s="42"/>
      <c r="O136" s="39" t="str">
        <f>VLOOKUP(QUERY_FOR_TRNSTRANSPOSED_0008!A136,'[6]Fin vs NFin'!$A$4:$F$568,6,FALSE)</f>
        <v>Não Financeiras</v>
      </c>
      <c r="P136" s="43" t="str">
        <f t="shared" si="4"/>
        <v>82</v>
      </c>
      <c r="Q136" s="43"/>
      <c r="R136" s="43"/>
      <c r="S136" s="43"/>
      <c r="T136" s="43"/>
    </row>
    <row r="137" spans="1:20" ht="15" thickBot="1">
      <c r="A137" s="11" t="s">
        <v>216</v>
      </c>
      <c r="B137" s="11" t="str">
        <f>VLOOKUP(A137,'[6]Fin vs NFin'!$A$4:$B$568,2,FALSE)</f>
        <v>!QuasiCash</v>
      </c>
      <c r="C137" s="11" t="s">
        <v>218</v>
      </c>
      <c r="D137" s="11" t="s">
        <v>147</v>
      </c>
      <c r="E137" s="11" t="str">
        <f>VLOOKUP(D137,[6]Arvore!$N$8:$Q$6855,4,FALSE)</f>
        <v>5151512</v>
      </c>
      <c r="F137" s="12">
        <v>462601.93</v>
      </c>
      <c r="G137" s="12">
        <v>1618884.32</v>
      </c>
      <c r="H137" s="13">
        <v>-1156282.3899999999</v>
      </c>
      <c r="I137" s="114"/>
      <c r="J137" s="12"/>
      <c r="K137" s="21"/>
      <c r="L137" s="15"/>
      <c r="M137" s="16"/>
      <c r="O137" s="12" t="str">
        <f>VLOOKUP(QUERY_FOR_TRNSTRANSPOSED_0008!A137,'[6]Fin vs NFin'!$A$4:$F$568,6,FALSE)</f>
        <v>Não Financeiras</v>
      </c>
      <c r="P137" s="17" t="str">
        <f t="shared" si="4"/>
        <v>82</v>
      </c>
      <c r="Q137" s="17"/>
      <c r="R137" s="17"/>
      <c r="S137" s="17"/>
      <c r="T137" s="17"/>
    </row>
    <row r="138" spans="1:20" ht="15" thickBot="1">
      <c r="A138" s="32" t="s">
        <v>219</v>
      </c>
      <c r="B138" s="32" t="str">
        <f>VLOOKUP(A138,'[6]Fin vs NFin'!$A$4:$B$568,2,FALSE)</f>
        <v>!Transfer. entre Contas</v>
      </c>
      <c r="C138" s="32" t="s">
        <v>220</v>
      </c>
      <c r="D138" s="32" t="s">
        <v>147</v>
      </c>
      <c r="E138" s="32" t="str">
        <f>VLOOKUP(D138,[6]Arvore!$N$8:$Q$6855,4,FALSE)</f>
        <v>5151512</v>
      </c>
      <c r="F138" s="33">
        <v>8609199.1899999995</v>
      </c>
      <c r="G138" s="33">
        <v>8609199.1899999995</v>
      </c>
      <c r="H138" s="34">
        <v>0</v>
      </c>
      <c r="I138" s="52">
        <v>0</v>
      </c>
      <c r="J138" s="19"/>
      <c r="K138" s="21"/>
      <c r="L138" s="22"/>
      <c r="M138" s="23"/>
      <c r="O138" s="19" t="str">
        <f>VLOOKUP(QUERY_FOR_TRNSTRANSPOSED_0008!A138,'[6]Fin vs NFin'!$A$4:$F$568,6,FALSE)</f>
        <v>Não Financeiras</v>
      </c>
      <c r="P138" s="24" t="str">
        <f t="shared" si="4"/>
        <v>82</v>
      </c>
      <c r="Q138" s="24"/>
      <c r="R138" s="24"/>
      <c r="S138" s="24"/>
      <c r="T138" s="24"/>
    </row>
    <row r="139" spans="1:20">
      <c r="A139" s="49" t="s">
        <v>221</v>
      </c>
      <c r="B139" s="49" t="str">
        <f>VLOOKUP(A139,'[6]Fin vs NFin'!$A$4:$B$568,2,FALSE)</f>
        <v>!Por Levantamentos</v>
      </c>
      <c r="C139" s="49" t="s">
        <v>222</v>
      </c>
      <c r="D139" s="49" t="s">
        <v>223</v>
      </c>
      <c r="E139" s="49" t="str">
        <f>VLOOKUP(D139,[6]Arvore!$N$8:$Q$6855,4,FALSE)</f>
        <v>51959</v>
      </c>
      <c r="F139" s="50">
        <v>-336900.87</v>
      </c>
      <c r="G139" s="50">
        <v>-336900.87</v>
      </c>
      <c r="H139" s="51">
        <v>5.8207660913467401E-11</v>
      </c>
      <c r="I139" s="108">
        <f>SUM(H139:H140)</f>
        <v>9.8953023552894634E-10</v>
      </c>
      <c r="J139" s="39"/>
      <c r="K139" s="21"/>
      <c r="L139" s="41"/>
      <c r="M139" s="42"/>
      <c r="O139" s="39" t="str">
        <f>VLOOKUP(QUERY_FOR_TRNSTRANSPOSED_0008!A139,'[6]Fin vs NFin'!$A$4:$F$568,6,FALSE)</f>
        <v>Não Financeiras</v>
      </c>
      <c r="P139" s="43" t="str">
        <f t="shared" si="4"/>
        <v>71</v>
      </c>
      <c r="Q139" s="43"/>
      <c r="R139" s="43"/>
      <c r="S139" s="43"/>
      <c r="T139" s="43"/>
    </row>
    <row r="140" spans="1:20" ht="15" thickBot="1">
      <c r="A140" s="35" t="s">
        <v>221</v>
      </c>
      <c r="B140" s="35" t="str">
        <f>VLOOKUP(A140,'[6]Fin vs NFin'!$A$4:$B$568,2,FALSE)</f>
        <v>!Por Levantamentos</v>
      </c>
      <c r="C140" s="35" t="s">
        <v>224</v>
      </c>
      <c r="D140" s="35" t="s">
        <v>223</v>
      </c>
      <c r="E140" s="35" t="str">
        <f>VLOOKUP(D140,[6]Arvore!$N$8:$Q$6855,4,FALSE)</f>
        <v>51959</v>
      </c>
      <c r="F140" s="36">
        <v>-7142820.2699999996</v>
      </c>
      <c r="G140" s="36">
        <v>-7142820.2699999996</v>
      </c>
      <c r="H140" s="37">
        <v>9.3132257461547893E-10</v>
      </c>
      <c r="I140" s="114"/>
      <c r="J140" s="12"/>
      <c r="K140" s="21"/>
      <c r="L140" s="15"/>
      <c r="M140" s="16"/>
      <c r="O140" s="12" t="str">
        <f>VLOOKUP(QUERY_FOR_TRNSTRANSPOSED_0008!A140,'[6]Fin vs NFin'!$A$4:$F$568,6,FALSE)</f>
        <v>Não Financeiras</v>
      </c>
      <c r="P140" s="17" t="str">
        <f t="shared" si="4"/>
        <v>71</v>
      </c>
      <c r="Q140" s="17"/>
      <c r="R140" s="17"/>
      <c r="S140" s="17"/>
      <c r="T140" s="17"/>
    </row>
    <row r="141" spans="1:20">
      <c r="A141" s="32" t="s">
        <v>225</v>
      </c>
      <c r="B141" s="32" t="str">
        <f>VLOOKUP(A141,'[6]Fin vs NFin'!$A$4:$B$568,2,FALSE)</f>
        <v>!Por Consultas</v>
      </c>
      <c r="C141" s="32" t="s">
        <v>226</v>
      </c>
      <c r="D141" s="32" t="s">
        <v>227</v>
      </c>
      <c r="E141" s="32" t="str">
        <f>VLOOKUP(D141,[6]Arvore!$N$8:$Q$6855,4,FALSE)</f>
        <v>51959</v>
      </c>
      <c r="F141" s="33">
        <v>-238026.23999999999</v>
      </c>
      <c r="G141" s="33">
        <v>-238026.23999999999</v>
      </c>
      <c r="H141" s="34">
        <v>2.91038304567337E-11</v>
      </c>
      <c r="I141" s="108">
        <f>SUM(H141:H144)</f>
        <v>3.2599700716673397E-11</v>
      </c>
      <c r="J141" s="19"/>
      <c r="K141" s="21"/>
      <c r="L141" s="22"/>
      <c r="M141" s="23"/>
      <c r="O141" s="19" t="str">
        <f>VLOOKUP(QUERY_FOR_TRNSTRANSPOSED_0008!A141,'[6]Fin vs NFin'!$A$4:$F$568,6,FALSE)</f>
        <v>Não Financeiras</v>
      </c>
      <c r="P141" s="24" t="str">
        <f t="shared" si="4"/>
        <v>71</v>
      </c>
      <c r="Q141" s="24"/>
      <c r="R141" s="24"/>
      <c r="S141" s="24"/>
      <c r="T141" s="24"/>
    </row>
    <row r="142" spans="1:20">
      <c r="A142" s="18" t="s">
        <v>225</v>
      </c>
      <c r="B142" s="18" t="str">
        <f>VLOOKUP(A142,'[6]Fin vs NFin'!$A$4:$B$568,2,FALSE)</f>
        <v>!Por Consultas</v>
      </c>
      <c r="C142" s="18" t="s">
        <v>228</v>
      </c>
      <c r="D142" s="18" t="s">
        <v>227</v>
      </c>
      <c r="E142" s="18" t="str">
        <f>VLOOKUP(D142,[6]Arvore!$N$8:$Q$6855,4,FALSE)</f>
        <v>51959</v>
      </c>
      <c r="F142" s="19">
        <v>-1169897.1200000001</v>
      </c>
      <c r="G142" s="19">
        <v>-549870.02</v>
      </c>
      <c r="H142" s="20">
        <v>-620027.1</v>
      </c>
      <c r="I142" s="114"/>
      <c r="J142" s="19"/>
      <c r="K142" s="21"/>
      <c r="L142" s="22"/>
      <c r="M142" s="23"/>
      <c r="O142" s="19" t="str">
        <f>VLOOKUP(QUERY_FOR_TRNSTRANSPOSED_0008!A142,'[6]Fin vs NFin'!$A$4:$F$568,6,FALSE)</f>
        <v>Não Financeiras</v>
      </c>
      <c r="P142" s="24" t="str">
        <f t="shared" si="4"/>
        <v>71</v>
      </c>
      <c r="Q142" s="24"/>
      <c r="R142" s="24"/>
      <c r="S142" s="24"/>
      <c r="T142" s="24"/>
    </row>
    <row r="143" spans="1:20">
      <c r="A143" s="18" t="s">
        <v>225</v>
      </c>
      <c r="B143" s="18" t="str">
        <f>VLOOKUP(A143,'[6]Fin vs NFin'!$A$4:$B$568,2,FALSE)</f>
        <v>!Por Consultas</v>
      </c>
      <c r="C143" s="18" t="s">
        <v>229</v>
      </c>
      <c r="D143" s="18" t="s">
        <v>227</v>
      </c>
      <c r="E143" s="18" t="str">
        <f>VLOOKUP(D143,[6]Arvore!$N$8:$Q$6855,4,FALSE)</f>
        <v>51959</v>
      </c>
      <c r="F143" s="19">
        <v>-1091502.02</v>
      </c>
      <c r="G143" s="19">
        <v>-1711769.78</v>
      </c>
      <c r="H143" s="20">
        <v>620267.76</v>
      </c>
      <c r="I143" s="114"/>
      <c r="J143" s="19"/>
      <c r="K143" s="21"/>
      <c r="L143" s="22"/>
      <c r="M143" s="23"/>
      <c r="O143" s="19" t="str">
        <f>VLOOKUP(QUERY_FOR_TRNSTRANSPOSED_0008!A143,'[6]Fin vs NFin'!$A$4:$F$568,6,FALSE)</f>
        <v>Não Financeiras</v>
      </c>
      <c r="P143" s="24" t="str">
        <f t="shared" si="4"/>
        <v>71</v>
      </c>
      <c r="Q143" s="24"/>
      <c r="R143" s="24"/>
      <c r="S143" s="24"/>
      <c r="T143" s="24"/>
    </row>
    <row r="144" spans="1:20" ht="15" thickBot="1">
      <c r="A144" s="18" t="s">
        <v>225</v>
      </c>
      <c r="B144" s="18" t="str">
        <f>VLOOKUP(A144,'[6]Fin vs NFin'!$A$4:$B$568,2,FALSE)</f>
        <v>!Por Consultas</v>
      </c>
      <c r="C144" s="18" t="s">
        <v>230</v>
      </c>
      <c r="D144" s="18" t="s">
        <v>227</v>
      </c>
      <c r="E144" s="18" t="str">
        <f>VLOOKUP(D144,[6]Arvore!$N$8:$Q$6855,4,FALSE)</f>
        <v>51959</v>
      </c>
      <c r="F144" s="19">
        <v>-2285.36</v>
      </c>
      <c r="G144" s="19">
        <v>-2044.7</v>
      </c>
      <c r="H144" s="20">
        <v>-240.66</v>
      </c>
      <c r="I144" s="109"/>
      <c r="J144" s="19"/>
      <c r="K144" s="21"/>
      <c r="L144" s="22"/>
      <c r="M144" s="23"/>
      <c r="O144" s="19" t="str">
        <f>VLOOKUP(QUERY_FOR_TRNSTRANSPOSED_0008!A144,'[6]Fin vs NFin'!$A$4:$F$568,6,FALSE)</f>
        <v>Não Financeiras</v>
      </c>
      <c r="P144" s="24" t="str">
        <f t="shared" si="4"/>
        <v>71</v>
      </c>
      <c r="Q144" s="24"/>
      <c r="R144" s="24"/>
      <c r="S144" s="24"/>
      <c r="T144" s="24"/>
    </row>
    <row r="145" spans="1:20">
      <c r="A145" s="38" t="s">
        <v>231</v>
      </c>
      <c r="B145" s="38" t="str">
        <f>VLOOKUP(A145,'[6]Fin vs NFin'!$A$4:$B$568,2,FALSE)</f>
        <v>!Diversos SIBS</v>
      </c>
      <c r="C145" s="38" t="s">
        <v>153</v>
      </c>
      <c r="D145" s="38" t="s">
        <v>158</v>
      </c>
      <c r="E145" s="38" t="str">
        <f>VLOOKUP(D145,[6]Arvore!$N$8:$Q$6855,4,FALSE)</f>
        <v>5151511</v>
      </c>
      <c r="F145" s="39">
        <v>-19857.78</v>
      </c>
      <c r="G145" s="39">
        <v>-46907.17</v>
      </c>
      <c r="H145" s="40">
        <v>27049.39</v>
      </c>
      <c r="I145" s="108">
        <v>-1.81898940354586E-11</v>
      </c>
      <c r="J145" s="39"/>
      <c r="K145" s="21"/>
      <c r="L145" s="41"/>
      <c r="M145" s="42"/>
      <c r="O145" s="39" t="str">
        <f>VLOOKUP(QUERY_FOR_TRNSTRANSPOSED_0008!A145,'[6]Fin vs NFin'!$A$4:$F$568,6,FALSE)</f>
        <v>Não Financeiras</v>
      </c>
      <c r="P145" s="43" t="str">
        <f t="shared" si="4"/>
        <v>71</v>
      </c>
      <c r="Q145" s="43"/>
      <c r="R145" s="43"/>
      <c r="S145" s="43"/>
      <c r="T145" s="43"/>
    </row>
    <row r="146" spans="1:20">
      <c r="A146" s="18" t="s">
        <v>231</v>
      </c>
      <c r="B146" s="18" t="str">
        <f>VLOOKUP(A146,'[6]Fin vs NFin'!$A$4:$B$568,2,FALSE)</f>
        <v>!Diversos SIBS</v>
      </c>
      <c r="C146" s="18" t="s">
        <v>153</v>
      </c>
      <c r="D146" s="18" t="s">
        <v>155</v>
      </c>
      <c r="E146" s="18" t="str">
        <f>VLOOKUP(D146,[6]Arvore!$N$8:$Q$6855,4,FALSE)</f>
        <v>5151511</v>
      </c>
      <c r="F146" s="19">
        <v>-16829.38</v>
      </c>
      <c r="G146" s="19">
        <v>10220.01</v>
      </c>
      <c r="H146" s="20">
        <v>-27049.39</v>
      </c>
      <c r="I146" s="114"/>
      <c r="J146" s="19"/>
      <c r="K146" s="21"/>
      <c r="L146" s="22"/>
      <c r="M146" s="23"/>
      <c r="O146" s="19" t="str">
        <f>VLOOKUP(QUERY_FOR_TRNSTRANSPOSED_0008!A146,'[6]Fin vs NFin'!$A$4:$F$568,6,FALSE)</f>
        <v>Não Financeiras</v>
      </c>
      <c r="P146" s="24" t="str">
        <f t="shared" si="4"/>
        <v>82</v>
      </c>
      <c r="Q146" s="24"/>
      <c r="R146" s="24"/>
      <c r="S146" s="24"/>
      <c r="T146" s="24"/>
    </row>
    <row r="147" spans="1:20">
      <c r="A147" s="18" t="s">
        <v>231</v>
      </c>
      <c r="B147" s="18" t="str">
        <f>VLOOKUP(A147,'[6]Fin vs NFin'!$A$4:$B$568,2,FALSE)</f>
        <v>!Diversos SIBS</v>
      </c>
      <c r="C147" s="18" t="s">
        <v>232</v>
      </c>
      <c r="D147" s="18" t="s">
        <v>155</v>
      </c>
      <c r="E147" s="18" t="str">
        <f>VLOOKUP(D147,[6]Arvore!$N$8:$Q$6855,4,FALSE)</f>
        <v>5151511</v>
      </c>
      <c r="F147" s="19">
        <v>56010.01</v>
      </c>
      <c r="G147" s="19">
        <v>85096.78</v>
      </c>
      <c r="H147" s="20">
        <v>-29086.77</v>
      </c>
      <c r="I147" s="114"/>
      <c r="J147" s="19"/>
      <c r="K147" s="21"/>
      <c r="L147" s="22"/>
      <c r="M147" s="23"/>
      <c r="O147" s="19" t="str">
        <f>VLOOKUP(QUERY_FOR_TRNSTRANSPOSED_0008!A147,'[6]Fin vs NFin'!$A$4:$F$568,6,FALSE)</f>
        <v>Não Financeiras</v>
      </c>
      <c r="P147" s="24" t="str">
        <f t="shared" si="4"/>
        <v>82</v>
      </c>
      <c r="Q147" s="24"/>
      <c r="R147" s="24"/>
      <c r="S147" s="24"/>
      <c r="T147" s="24"/>
    </row>
    <row r="148" spans="1:20">
      <c r="A148" s="18" t="s">
        <v>231</v>
      </c>
      <c r="B148" s="18" t="str">
        <f>VLOOKUP(A148,'[6]Fin vs NFin'!$A$4:$B$568,2,FALSE)</f>
        <v>!Diversos SIBS</v>
      </c>
      <c r="C148" s="18" t="s">
        <v>233</v>
      </c>
      <c r="D148" s="18" t="s">
        <v>158</v>
      </c>
      <c r="E148" s="18" t="str">
        <f>VLOOKUP(D148,[6]Arvore!$N$8:$Q$6855,4,FALSE)</f>
        <v>5151511</v>
      </c>
      <c r="F148" s="19">
        <v>-1264.9000000000001</v>
      </c>
      <c r="G148" s="19">
        <v>-926.52</v>
      </c>
      <c r="H148" s="20">
        <v>-338.38</v>
      </c>
      <c r="I148" s="114"/>
      <c r="J148" s="19"/>
      <c r="K148" s="21"/>
      <c r="L148" s="22"/>
      <c r="M148" s="23"/>
      <c r="O148" s="19" t="str">
        <f>VLOOKUP(QUERY_FOR_TRNSTRANSPOSED_0008!A148,'[6]Fin vs NFin'!$A$4:$F$568,6,FALSE)</f>
        <v>Não Financeiras</v>
      </c>
      <c r="P148" s="24" t="str">
        <f t="shared" si="4"/>
        <v>71</v>
      </c>
      <c r="Q148" s="24"/>
      <c r="R148" s="24"/>
      <c r="S148" s="24"/>
      <c r="T148" s="24"/>
    </row>
    <row r="149" spans="1:20">
      <c r="A149" s="18" t="s">
        <v>231</v>
      </c>
      <c r="B149" s="18" t="str">
        <f>VLOOKUP(A149,'[6]Fin vs NFin'!$A$4:$B$568,2,FALSE)</f>
        <v>!Diversos SIBS</v>
      </c>
      <c r="C149" s="18" t="s">
        <v>234</v>
      </c>
      <c r="D149" s="18" t="s">
        <v>158</v>
      </c>
      <c r="E149" s="18" t="str">
        <f>VLOOKUP(D149,[6]Arvore!$N$8:$Q$6855,4,FALSE)</f>
        <v>5151511</v>
      </c>
      <c r="F149" s="19">
        <v>-40195.82</v>
      </c>
      <c r="G149" s="19">
        <v>-34098.54</v>
      </c>
      <c r="H149" s="20">
        <v>-6097.2800000000097</v>
      </c>
      <c r="I149" s="114"/>
      <c r="J149" s="19"/>
      <c r="K149" s="21"/>
      <c r="L149" s="22"/>
      <c r="M149" s="23"/>
      <c r="O149" s="19" t="str">
        <f>VLOOKUP(QUERY_FOR_TRNSTRANSPOSED_0008!A149,'[6]Fin vs NFin'!$A$4:$F$568,6,FALSE)</f>
        <v>Não Financeiras</v>
      </c>
      <c r="P149" s="24" t="str">
        <f t="shared" si="4"/>
        <v>71</v>
      </c>
      <c r="Q149" s="24"/>
      <c r="R149" s="24"/>
      <c r="S149" s="24"/>
      <c r="T149" s="24"/>
    </row>
    <row r="150" spans="1:20">
      <c r="A150" s="18" t="s">
        <v>231</v>
      </c>
      <c r="B150" s="18" t="str">
        <f>VLOOKUP(A150,'[6]Fin vs NFin'!$A$4:$B$568,2,FALSE)</f>
        <v>!Diversos SIBS</v>
      </c>
      <c r="C150" s="18" t="s">
        <v>235</v>
      </c>
      <c r="D150" s="18" t="s">
        <v>158</v>
      </c>
      <c r="E150" s="18" t="str">
        <f>VLOOKUP(D150,[6]Arvore!$N$8:$Q$6855,4,FALSE)</f>
        <v>5151511</v>
      </c>
      <c r="F150" s="19">
        <v>-83635.58</v>
      </c>
      <c r="G150" s="19">
        <v>-90033.86</v>
      </c>
      <c r="H150" s="20">
        <v>6398.28</v>
      </c>
      <c r="I150" s="114"/>
      <c r="J150" s="19"/>
      <c r="K150" s="21"/>
      <c r="L150" s="22"/>
      <c r="M150" s="23"/>
      <c r="O150" s="19" t="str">
        <f>VLOOKUP(QUERY_FOR_TRNSTRANSPOSED_0008!A150,'[6]Fin vs NFin'!$A$4:$F$568,6,FALSE)</f>
        <v>Não Financeiras</v>
      </c>
      <c r="P150" s="24" t="str">
        <f t="shared" si="4"/>
        <v>71</v>
      </c>
      <c r="Q150" s="24"/>
      <c r="R150" s="24"/>
      <c r="S150" s="24"/>
      <c r="T150" s="24"/>
    </row>
    <row r="151" spans="1:20">
      <c r="A151" s="18" t="s">
        <v>231</v>
      </c>
      <c r="B151" s="18" t="str">
        <f>VLOOKUP(A151,'[6]Fin vs NFin'!$A$4:$B$568,2,FALSE)</f>
        <v>!Diversos SIBS</v>
      </c>
      <c r="C151" s="18" t="s">
        <v>236</v>
      </c>
      <c r="D151" s="18" t="s">
        <v>158</v>
      </c>
      <c r="E151" s="18" t="str">
        <f>VLOOKUP(D151,[6]Arvore!$N$8:$Q$6855,4,FALSE)</f>
        <v>5151511</v>
      </c>
      <c r="F151" s="19">
        <v>-95.76</v>
      </c>
      <c r="G151" s="19">
        <v>-133.13999999999999</v>
      </c>
      <c r="H151" s="20">
        <v>37.380000000000003</v>
      </c>
      <c r="I151" s="114"/>
      <c r="J151" s="19"/>
      <c r="K151" s="21"/>
      <c r="L151" s="22"/>
      <c r="M151" s="23"/>
      <c r="O151" s="19" t="str">
        <f>VLOOKUP(QUERY_FOR_TRNSTRANSPOSED_0008!A151,'[6]Fin vs NFin'!$A$4:$F$568,6,FALSE)</f>
        <v>Não Financeiras</v>
      </c>
      <c r="P151" s="24" t="str">
        <f t="shared" si="4"/>
        <v>71</v>
      </c>
      <c r="Q151" s="24"/>
      <c r="R151" s="24"/>
      <c r="S151" s="24"/>
      <c r="T151" s="24"/>
    </row>
    <row r="152" spans="1:20">
      <c r="A152" s="32" t="s">
        <v>231</v>
      </c>
      <c r="B152" s="32" t="str">
        <f>VLOOKUP(A152,'[6]Fin vs NFin'!$A$4:$B$568,2,FALSE)</f>
        <v>!Diversos SIBS</v>
      </c>
      <c r="C152" s="32" t="s">
        <v>237</v>
      </c>
      <c r="D152" s="32" t="s">
        <v>158</v>
      </c>
      <c r="E152" s="32" t="str">
        <f>VLOOKUP(D152,[6]Arvore!$N$8:$Q$6855,4,FALSE)</f>
        <v>5151511</v>
      </c>
      <c r="F152" s="33">
        <v>-2.94</v>
      </c>
      <c r="G152" s="33">
        <v>-2.94</v>
      </c>
      <c r="H152" s="34">
        <v>-1.33226762955019E-15</v>
      </c>
      <c r="I152" s="114"/>
      <c r="J152" s="19"/>
      <c r="K152" s="21"/>
      <c r="L152" s="22"/>
      <c r="M152" s="23"/>
      <c r="O152" s="19" t="str">
        <f>VLOOKUP(QUERY_FOR_TRNSTRANSPOSED_0008!A152,'[6]Fin vs NFin'!$A$4:$F$568,6,FALSE)</f>
        <v>Não Financeiras</v>
      </c>
      <c r="P152" s="24" t="str">
        <f t="shared" si="4"/>
        <v>71</v>
      </c>
      <c r="Q152" s="24"/>
      <c r="R152" s="24"/>
      <c r="S152" s="24"/>
      <c r="T152" s="24"/>
    </row>
    <row r="153" spans="1:20">
      <c r="A153" s="18" t="s">
        <v>231</v>
      </c>
      <c r="B153" s="18" t="str">
        <f>VLOOKUP(A153,'[6]Fin vs NFin'!$A$4:$B$568,2,FALSE)</f>
        <v>!Diversos SIBS</v>
      </c>
      <c r="C153" s="18" t="s">
        <v>238</v>
      </c>
      <c r="D153" s="18" t="s">
        <v>158</v>
      </c>
      <c r="E153" s="18" t="str">
        <f>VLOOKUP(D153,[6]Arvore!$N$8:$Q$6855,4,FALSE)</f>
        <v>5151511</v>
      </c>
      <c r="F153" s="19">
        <v>19917.39</v>
      </c>
      <c r="G153" s="19">
        <v>-35379.24</v>
      </c>
      <c r="H153" s="20">
        <v>55296.63</v>
      </c>
      <c r="I153" s="114"/>
      <c r="J153" s="19"/>
      <c r="K153" s="21"/>
      <c r="L153" s="22"/>
      <c r="M153" s="23"/>
      <c r="O153" s="19" t="str">
        <f>VLOOKUP(QUERY_FOR_TRNSTRANSPOSED_0008!A153,'[6]Fin vs NFin'!$A$4:$F$568,6,FALSE)</f>
        <v>Não Financeiras</v>
      </c>
      <c r="P153" s="24" t="str">
        <f t="shared" si="4"/>
        <v>71</v>
      </c>
      <c r="Q153" s="24"/>
      <c r="R153" s="24"/>
      <c r="S153" s="24"/>
      <c r="T153" s="24"/>
    </row>
    <row r="154" spans="1:20" ht="15" thickBot="1">
      <c r="A154" s="18" t="s">
        <v>231</v>
      </c>
      <c r="B154" s="18" t="str">
        <f>VLOOKUP(A154,'[6]Fin vs NFin'!$A$4:$B$568,2,FALSE)</f>
        <v>!Diversos SIBS</v>
      </c>
      <c r="C154" s="18" t="s">
        <v>238</v>
      </c>
      <c r="D154" s="18" t="s">
        <v>155</v>
      </c>
      <c r="E154" s="18" t="str">
        <f>VLOOKUP(D154,[6]Arvore!$N$8:$Q$6855,4,FALSE)</f>
        <v>5151511</v>
      </c>
      <c r="F154" s="19">
        <v>46234.99</v>
      </c>
      <c r="G154" s="19">
        <v>72444.850000000006</v>
      </c>
      <c r="H154" s="20">
        <v>-26209.86</v>
      </c>
      <c r="I154" s="114"/>
      <c r="J154" s="19"/>
      <c r="K154" s="21"/>
      <c r="L154" s="22"/>
      <c r="M154" s="23"/>
      <c r="O154" s="19" t="str">
        <f>VLOOKUP(QUERY_FOR_TRNSTRANSPOSED_0008!A154,'[6]Fin vs NFin'!$A$4:$F$568,6,FALSE)</f>
        <v>Não Financeiras</v>
      </c>
      <c r="P154" s="24" t="str">
        <f t="shared" si="4"/>
        <v>82</v>
      </c>
      <c r="Q154" s="24"/>
      <c r="R154" s="24"/>
      <c r="S154" s="24"/>
      <c r="T154" s="24"/>
    </row>
    <row r="155" spans="1:20">
      <c r="A155" s="38" t="s">
        <v>239</v>
      </c>
      <c r="B155" s="38" t="str">
        <f>VLOOKUP(A155,'[6]Fin vs NFin'!$A$4:$B$568,2,FALSE)</f>
        <v>!Factura SIBS</v>
      </c>
      <c r="C155" s="38" t="s">
        <v>82</v>
      </c>
      <c r="D155" s="38" t="s">
        <v>240</v>
      </c>
      <c r="E155" s="38" t="str">
        <f>VLOOKUP(D155,[6]Arvore!$N$8:$Q$6855,4,FALSE)</f>
        <v>4161599</v>
      </c>
      <c r="F155" s="39">
        <v>-7015105.4299999997</v>
      </c>
      <c r="G155" s="39">
        <v>-8681575.2699999996</v>
      </c>
      <c r="H155" s="40">
        <v>1666469.84</v>
      </c>
      <c r="I155" s="108">
        <v>0</v>
      </c>
      <c r="J155" s="39"/>
      <c r="K155" s="21"/>
      <c r="L155" s="41"/>
      <c r="M155" s="42"/>
      <c r="O155" s="39" t="str">
        <f>VLOOKUP(QUERY_FOR_TRNSTRANSPOSED_0008!A155,'[6]Fin vs NFin'!$A$4:$F$568,6,FALSE)</f>
        <v>Não Financeiras</v>
      </c>
      <c r="P155" s="43" t="str">
        <f t="shared" si="4"/>
        <v>71</v>
      </c>
      <c r="Q155" s="43"/>
      <c r="R155" s="43"/>
      <c r="S155" s="43"/>
      <c r="T155" s="43"/>
    </row>
    <row r="156" spans="1:20" ht="15" thickBot="1">
      <c r="A156" s="11" t="s">
        <v>239</v>
      </c>
      <c r="B156" s="11" t="str">
        <f>VLOOKUP(A156,'[6]Fin vs NFin'!$A$4:$B$568,2,FALSE)</f>
        <v>!Factura SIBS</v>
      </c>
      <c r="C156" s="11" t="s">
        <v>67</v>
      </c>
      <c r="D156" s="11" t="s">
        <v>240</v>
      </c>
      <c r="E156" s="11" t="str">
        <f>VLOOKUP(D156,[6]Arvore!$N$8:$Q$6855,4,FALSE)</f>
        <v>4161599</v>
      </c>
      <c r="F156" s="12">
        <v>-4166469.84</v>
      </c>
      <c r="G156" s="12">
        <v>-2500000</v>
      </c>
      <c r="H156" s="13">
        <v>-1666469.84</v>
      </c>
      <c r="I156" s="109"/>
      <c r="J156" s="12"/>
      <c r="K156" s="21"/>
      <c r="L156" s="15"/>
      <c r="M156" s="16"/>
      <c r="O156" s="12" t="str">
        <f>VLOOKUP(QUERY_FOR_TRNSTRANSPOSED_0008!A156,'[6]Fin vs NFin'!$A$4:$F$568,6,FALSE)</f>
        <v>Não Financeiras</v>
      </c>
      <c r="P156" s="17" t="str">
        <f t="shared" si="4"/>
        <v>71</v>
      </c>
      <c r="Q156" s="17"/>
      <c r="R156" s="17"/>
      <c r="S156" s="17"/>
      <c r="T156" s="17"/>
    </row>
    <row r="157" spans="1:20">
      <c r="A157" s="38" t="s">
        <v>241</v>
      </c>
      <c r="B157" s="38" t="str">
        <f>VLOOKUP(A157,'[6]Fin vs NFin'!$A$4:$B$568,2,FALSE)</f>
        <v>!CashBack Classic</v>
      </c>
      <c r="C157" s="38" t="s">
        <v>242</v>
      </c>
      <c r="D157" s="38" t="s">
        <v>243</v>
      </c>
      <c r="E157" s="38" t="str">
        <f>VLOOKUP(D157,[6]Arvore!$N$8:$Q$6855,4,FALSE)</f>
        <v>4161599</v>
      </c>
      <c r="F157" s="39">
        <v>-24775.73</v>
      </c>
      <c r="G157" s="39">
        <v>-4203.8599999999997</v>
      </c>
      <c r="H157" s="40">
        <v>-20571.87</v>
      </c>
      <c r="I157" s="108">
        <v>-3.6379788070917101E-12</v>
      </c>
      <c r="J157" s="39"/>
      <c r="K157" s="21"/>
      <c r="L157" s="41"/>
      <c r="M157" s="42"/>
      <c r="O157" s="39" t="str">
        <f>VLOOKUP(QUERY_FOR_TRNSTRANSPOSED_0008!A157,'[6]Fin vs NFin'!$A$4:$F$568,6,FALSE)</f>
        <v>Não Financeiras</v>
      </c>
      <c r="P157" s="43" t="str">
        <f t="shared" si="4"/>
        <v>71</v>
      </c>
      <c r="Q157" s="43"/>
      <c r="R157" s="43"/>
      <c r="S157" s="43"/>
      <c r="T157" s="43"/>
    </row>
    <row r="158" spans="1:20">
      <c r="A158" s="32" t="s">
        <v>241</v>
      </c>
      <c r="B158" s="32" t="str">
        <f>VLOOKUP(A158,'[6]Fin vs NFin'!$A$4:$B$568,2,FALSE)</f>
        <v>!CashBack Classic</v>
      </c>
      <c r="C158" s="32" t="s">
        <v>244</v>
      </c>
      <c r="D158" s="32" t="s">
        <v>65</v>
      </c>
      <c r="E158" s="32" t="str">
        <f>VLOOKUP(D158,[6]Arvore!$N$8:$Q$6855,4,FALSE)</f>
        <v>4161599</v>
      </c>
      <c r="F158" s="33">
        <v>-4203.8599999999997</v>
      </c>
      <c r="G158" s="33">
        <v>-4203.8599999999997</v>
      </c>
      <c r="H158" s="34">
        <v>0</v>
      </c>
      <c r="I158" s="114"/>
      <c r="J158" s="19"/>
      <c r="K158" s="21"/>
      <c r="L158" s="22"/>
      <c r="M158" s="23"/>
      <c r="O158" s="19" t="str">
        <f>VLOOKUP(QUERY_FOR_TRNSTRANSPOSED_0008!A158,'[6]Fin vs NFin'!$A$4:$F$568,6,FALSE)</f>
        <v>Não Financeiras</v>
      </c>
      <c r="P158" s="24" t="str">
        <f t="shared" si="4"/>
        <v>71</v>
      </c>
      <c r="Q158" s="24"/>
      <c r="R158" s="24"/>
      <c r="S158" s="24"/>
      <c r="T158" s="24"/>
    </row>
    <row r="159" spans="1:20" ht="15" thickBot="1">
      <c r="A159" s="11" t="s">
        <v>241</v>
      </c>
      <c r="B159" s="11" t="str">
        <f>VLOOKUP(A159,'[6]Fin vs NFin'!$A$4:$B$568,2,FALSE)</f>
        <v>!CashBack Classic</v>
      </c>
      <c r="C159" s="11" t="s">
        <v>245</v>
      </c>
      <c r="D159" s="11" t="s">
        <v>246</v>
      </c>
      <c r="E159" s="11" t="str">
        <f>VLOOKUP(D159,[6]Arvore!$N$8:$Q$6855,4,FALSE)</f>
        <v>4161599</v>
      </c>
      <c r="F159" s="12">
        <v>-90043.67</v>
      </c>
      <c r="G159" s="12">
        <v>-110615.54</v>
      </c>
      <c r="H159" s="13">
        <v>20571.87</v>
      </c>
      <c r="I159" s="109"/>
      <c r="J159" s="12"/>
      <c r="K159" s="21"/>
      <c r="L159" s="15"/>
      <c r="M159" s="16"/>
      <c r="O159" s="12" t="str">
        <f>VLOOKUP(QUERY_FOR_TRNSTRANSPOSED_0008!A159,'[6]Fin vs NFin'!$A$4:$F$568,6,FALSE)</f>
        <v>Não Financeiras</v>
      </c>
      <c r="P159" s="17" t="str">
        <f t="shared" si="4"/>
        <v>71</v>
      </c>
      <c r="Q159" s="17"/>
      <c r="R159" s="17"/>
      <c r="S159" s="17"/>
      <c r="T159" s="17"/>
    </row>
    <row r="160" spans="1:20">
      <c r="A160" s="32" t="s">
        <v>247</v>
      </c>
      <c r="B160" s="32" t="str">
        <f>VLOOKUP(A160,'[6]Fin vs NFin'!$A$4:$B$568,2,FALSE)</f>
        <v>!Incentivos/Campanhas</v>
      </c>
      <c r="C160" s="32" t="s">
        <v>82</v>
      </c>
      <c r="D160" s="32" t="s">
        <v>248</v>
      </c>
      <c r="E160" s="32" t="str">
        <f>VLOOKUP(D160,[6]Arvore!$N$8:$Q$6855,4,FALSE)</f>
        <v>4161599</v>
      </c>
      <c r="F160" s="33">
        <v>-893989.75</v>
      </c>
      <c r="G160" s="33">
        <v>-893989.75</v>
      </c>
      <c r="H160" s="34">
        <v>0</v>
      </c>
      <c r="I160" s="114">
        <f>SUM(H160:H162)</f>
        <v>0</v>
      </c>
      <c r="J160" s="19"/>
      <c r="K160" s="21"/>
      <c r="L160" s="22"/>
      <c r="M160" s="23"/>
      <c r="O160" s="19" t="str">
        <f>VLOOKUP(QUERY_FOR_TRNSTRANSPOSED_0008!A160,'[6]Fin vs NFin'!$A$4:$F$568,6,FALSE)</f>
        <v>Não Financeiras</v>
      </c>
      <c r="P160" s="24" t="str">
        <f t="shared" si="4"/>
        <v>71</v>
      </c>
      <c r="Q160" s="24"/>
      <c r="R160" s="24"/>
      <c r="S160" s="24"/>
      <c r="T160" s="24"/>
    </row>
    <row r="161" spans="1:20">
      <c r="A161" s="32" t="s">
        <v>247</v>
      </c>
      <c r="B161" s="32" t="str">
        <f>VLOOKUP(A161,'[6]Fin vs NFin'!$A$4:$B$568,2,FALSE)</f>
        <v>!Incentivos/Campanhas</v>
      </c>
      <c r="C161" s="32" t="s">
        <v>249</v>
      </c>
      <c r="D161" s="32" t="s">
        <v>174</v>
      </c>
      <c r="E161" s="32" t="str">
        <f>VLOOKUP(D161,[6]Arvore!$N$8:$Q$6855,4,FALSE)</f>
        <v>5151512</v>
      </c>
      <c r="F161" s="33">
        <v>-35.229999999999997</v>
      </c>
      <c r="G161" s="33">
        <v>-35.229999999999997</v>
      </c>
      <c r="H161" s="34">
        <v>0</v>
      </c>
      <c r="I161" s="114"/>
      <c r="J161" s="19"/>
      <c r="K161" s="21"/>
      <c r="L161" s="22"/>
      <c r="M161" s="23"/>
      <c r="O161" s="19" t="str">
        <f>VLOOKUP(QUERY_FOR_TRNSTRANSPOSED_0008!A161,'[6]Fin vs NFin'!$A$4:$F$568,6,FALSE)</f>
        <v>Não Financeiras</v>
      </c>
      <c r="P161" s="24" t="str">
        <f t="shared" si="4"/>
        <v>82</v>
      </c>
      <c r="Q161" s="24"/>
      <c r="R161" s="24"/>
      <c r="S161" s="24"/>
      <c r="T161" s="24"/>
    </row>
    <row r="162" spans="1:20" ht="15" thickBot="1">
      <c r="A162" s="35" t="s">
        <v>247</v>
      </c>
      <c r="B162" s="35" t="str">
        <f>VLOOKUP(A162,'[6]Fin vs NFin'!$A$4:$B$568,2,FALSE)</f>
        <v>!Incentivos/Campanhas</v>
      </c>
      <c r="C162" s="35" t="s">
        <v>250</v>
      </c>
      <c r="D162" s="35" t="s">
        <v>174</v>
      </c>
      <c r="E162" s="35" t="str">
        <f>VLOOKUP(D162,[6]Arvore!$N$8:$Q$6855,4,FALSE)</f>
        <v>5151512</v>
      </c>
      <c r="F162" s="36">
        <v>-8911.11</v>
      </c>
      <c r="G162" s="36">
        <v>-8911.11</v>
      </c>
      <c r="H162" s="37">
        <v>0</v>
      </c>
      <c r="I162" s="109"/>
      <c r="J162" s="12"/>
      <c r="K162" s="21"/>
      <c r="L162" s="15"/>
      <c r="M162" s="16"/>
      <c r="O162" s="12" t="str">
        <f>VLOOKUP(QUERY_FOR_TRNSTRANSPOSED_0008!A162,'[6]Fin vs NFin'!$A$4:$F$568,6,FALSE)</f>
        <v>Não Financeiras</v>
      </c>
      <c r="P162" s="17" t="str">
        <f t="shared" si="4"/>
        <v>82</v>
      </c>
      <c r="Q162" s="17"/>
      <c r="R162" s="17"/>
      <c r="S162" s="17"/>
      <c r="T162" s="17"/>
    </row>
    <row r="163" spans="1:20" ht="15" thickBot="1">
      <c r="A163" s="49" t="s">
        <v>251</v>
      </c>
      <c r="B163" s="49" t="str">
        <f>VLOOKUP(A163,'[6]Fin vs NFin'!$A$4:$B$568,2,FALSE)</f>
        <v>!Compras Cartões/Cash Back</v>
      </c>
      <c r="C163" s="49" t="s">
        <v>252</v>
      </c>
      <c r="D163" s="49" t="s">
        <v>253</v>
      </c>
      <c r="E163" s="49" t="str">
        <f>VLOOKUP(D163,[6]Arvore!$N$8:$Q$6855,4,FALSE)</f>
        <v>4161599</v>
      </c>
      <c r="F163" s="50">
        <v>-8748943.3900000006</v>
      </c>
      <c r="G163" s="50">
        <v>-8748943.3900000006</v>
      </c>
      <c r="H163" s="51">
        <v>0</v>
      </c>
      <c r="I163" s="52">
        <v>0</v>
      </c>
      <c r="J163" s="39"/>
      <c r="K163" s="21"/>
      <c r="L163" s="41"/>
      <c r="M163" s="42"/>
      <c r="O163" s="39" t="str">
        <f>VLOOKUP(QUERY_FOR_TRNSTRANSPOSED_0008!A163,'[6]Fin vs NFin'!$A$4:$F$568,6,FALSE)</f>
        <v>Não Financeiras</v>
      </c>
      <c r="P163" s="43" t="str">
        <f t="shared" si="4"/>
        <v>71</v>
      </c>
      <c r="Q163" s="43"/>
      <c r="R163" s="43"/>
      <c r="S163" s="43"/>
      <c r="T163" s="43"/>
    </row>
    <row r="164" spans="1:20" ht="15" thickBot="1">
      <c r="A164" s="44" t="s">
        <v>254</v>
      </c>
      <c r="B164" s="44" t="str">
        <f>VLOOKUP(A164,'[6]Fin vs NFin'!$A$4:$B$568,2,FALSE)</f>
        <v>!Via Verde/Cash Back</v>
      </c>
      <c r="C164" s="44" t="s">
        <v>255</v>
      </c>
      <c r="D164" s="44" t="s">
        <v>256</v>
      </c>
      <c r="E164" s="44" t="str">
        <f>VLOOKUP(D164,[6]Arvore!$N$8:$Q$6855,4,FALSE)</f>
        <v>4198</v>
      </c>
      <c r="F164" s="45">
        <v>-1006390.93</v>
      </c>
      <c r="G164" s="45">
        <v>-1006390.93</v>
      </c>
      <c r="H164" s="46">
        <v>0</v>
      </c>
      <c r="I164" s="28">
        <v>0</v>
      </c>
      <c r="J164" s="26"/>
      <c r="L164" s="29"/>
      <c r="M164" s="30"/>
      <c r="O164" s="26" t="str">
        <f>VLOOKUP(QUERY_FOR_TRNSTRANSPOSED_0008!A164,'[6]Fin vs NFin'!$A$4:$F$568,6,FALSE)</f>
        <v>Não Financeiras</v>
      </c>
      <c r="P164" s="31" t="str">
        <f t="shared" si="4"/>
        <v>71</v>
      </c>
      <c r="Q164" s="31"/>
      <c r="R164" s="31"/>
      <c r="S164" s="31"/>
      <c r="T164" s="31"/>
    </row>
    <row r="165" spans="1:20">
      <c r="A165" s="38" t="s">
        <v>257</v>
      </c>
      <c r="B165" s="38" t="str">
        <f>VLOOKUP(A165,'[6]Fin vs NFin'!$A$4:$B$568,2,FALSE)</f>
        <v>!Plásticos</v>
      </c>
      <c r="C165" s="38" t="s">
        <v>82</v>
      </c>
      <c r="D165" s="38" t="s">
        <v>258</v>
      </c>
      <c r="E165" s="38" t="str">
        <f>VLOOKUP(D165,[6]Arvore!$N$8:$Q$6855,4,FALSE)</f>
        <v>4161599</v>
      </c>
      <c r="F165" s="39">
        <v>-382392.48</v>
      </c>
      <c r="G165" s="39">
        <v>-1202913.08</v>
      </c>
      <c r="H165" s="40">
        <v>820520.6</v>
      </c>
      <c r="I165" s="108">
        <v>2.3283064365386999E-10</v>
      </c>
      <c r="J165" s="39"/>
      <c r="K165" s="21"/>
      <c r="L165" s="41"/>
      <c r="M165" s="42"/>
      <c r="O165" s="39" t="str">
        <f>VLOOKUP(QUERY_FOR_TRNSTRANSPOSED_0008!A165,'[6]Fin vs NFin'!$A$4:$F$568,6,FALSE)</f>
        <v>Não Financeiras</v>
      </c>
      <c r="P165" s="43" t="str">
        <f t="shared" si="4"/>
        <v>71</v>
      </c>
      <c r="Q165" s="43"/>
      <c r="R165" s="43"/>
      <c r="S165" s="43"/>
      <c r="T165" s="43"/>
    </row>
    <row r="166" spans="1:20" ht="15" thickBot="1">
      <c r="A166" s="11" t="s">
        <v>257</v>
      </c>
      <c r="B166" s="11" t="str">
        <f>VLOOKUP(A166,'[6]Fin vs NFin'!$A$4:$B$568,2,FALSE)</f>
        <v>!Plásticos</v>
      </c>
      <c r="C166" s="11" t="s">
        <v>67</v>
      </c>
      <c r="D166" s="11" t="s">
        <v>258</v>
      </c>
      <c r="E166" s="11" t="str">
        <f>VLOOKUP(D166,[6]Arvore!$N$8:$Q$6855,4,FALSE)</f>
        <v>4161599</v>
      </c>
      <c r="F166" s="12">
        <v>-820520.6</v>
      </c>
      <c r="G166" s="12">
        <v>1.45519152283669E-11</v>
      </c>
      <c r="H166" s="13">
        <v>-820520.6</v>
      </c>
      <c r="I166" s="109"/>
      <c r="J166" s="12"/>
      <c r="K166" s="21"/>
      <c r="L166" s="15"/>
      <c r="M166" s="16"/>
      <c r="O166" s="12" t="str">
        <f>VLOOKUP(QUERY_FOR_TRNSTRANSPOSED_0008!A166,'[6]Fin vs NFin'!$A$4:$F$568,6,FALSE)</f>
        <v>Não Financeiras</v>
      </c>
      <c r="P166" s="17" t="str">
        <f t="shared" si="4"/>
        <v>71</v>
      </c>
      <c r="Q166" s="17"/>
      <c r="R166" s="17"/>
      <c r="S166" s="17"/>
      <c r="T166" s="17"/>
    </row>
    <row r="167" spans="1:20">
      <c r="A167" s="38" t="s">
        <v>259</v>
      </c>
      <c r="B167" s="38" t="str">
        <f>VLOOKUP(A167,'[6]Fin vs NFin'!$A$4:$B$568,2,FALSE)</f>
        <v>!Personalizações</v>
      </c>
      <c r="C167" s="38" t="s">
        <v>82</v>
      </c>
      <c r="D167" s="38" t="s">
        <v>260</v>
      </c>
      <c r="E167" s="38" t="str">
        <f>VLOOKUP(D167,[6]Arvore!$N$8:$Q$6855,4,FALSE)</f>
        <v>4161599</v>
      </c>
      <c r="F167" s="39">
        <v>-394165.03</v>
      </c>
      <c r="G167" s="39">
        <v>-1007360.76</v>
      </c>
      <c r="H167" s="40">
        <v>613195.73</v>
      </c>
      <c r="I167" s="108">
        <v>0</v>
      </c>
      <c r="J167" s="39"/>
      <c r="K167" s="21"/>
      <c r="L167" s="41"/>
      <c r="M167" s="42"/>
      <c r="O167" s="39" t="str">
        <f>VLOOKUP(QUERY_FOR_TRNSTRANSPOSED_0008!A167,'[6]Fin vs NFin'!$A$4:$F$568,6,FALSE)</f>
        <v>Não Financeiras</v>
      </c>
      <c r="P167" s="43" t="str">
        <f t="shared" si="4"/>
        <v>71</v>
      </c>
      <c r="Q167" s="43"/>
      <c r="R167" s="43"/>
      <c r="S167" s="43"/>
      <c r="T167" s="43"/>
    </row>
    <row r="168" spans="1:20" ht="15" thickBot="1">
      <c r="A168" s="11" t="s">
        <v>259</v>
      </c>
      <c r="B168" s="11" t="str">
        <f>VLOOKUP(A168,'[6]Fin vs NFin'!$A$4:$B$568,2,FALSE)</f>
        <v>!Personalizações</v>
      </c>
      <c r="C168" s="11" t="s">
        <v>67</v>
      </c>
      <c r="D168" s="11" t="s">
        <v>260</v>
      </c>
      <c r="E168" s="11" t="str">
        <f>VLOOKUP(D168,[6]Arvore!$N$8:$Q$6855,4,FALSE)</f>
        <v>4161599</v>
      </c>
      <c r="F168" s="12">
        <v>-727915.19</v>
      </c>
      <c r="G168" s="12">
        <v>-114719.46</v>
      </c>
      <c r="H168" s="13">
        <v>-613195.73</v>
      </c>
      <c r="I168" s="109"/>
      <c r="J168" s="12"/>
      <c r="K168" s="21"/>
      <c r="L168" s="15"/>
      <c r="M168" s="16"/>
      <c r="O168" s="12" t="str">
        <f>VLOOKUP(QUERY_FOR_TRNSTRANSPOSED_0008!A168,'[6]Fin vs NFin'!$A$4:$F$568,6,FALSE)</f>
        <v>Não Financeiras</v>
      </c>
      <c r="P168" s="17" t="str">
        <f t="shared" si="4"/>
        <v>71</v>
      </c>
      <c r="Q168" s="17"/>
      <c r="R168" s="17"/>
      <c r="S168" s="17"/>
      <c r="T168" s="17"/>
    </row>
    <row r="169" spans="1:20">
      <c r="A169" s="49" t="s">
        <v>261</v>
      </c>
      <c r="B169" s="49" t="str">
        <f>VLOOKUP(A169,'[6]Fin vs NFin'!$A$4:$B$568,2,FALSE)</f>
        <v>!Milhas</v>
      </c>
      <c r="C169" s="49" t="s">
        <v>82</v>
      </c>
      <c r="D169" s="49" t="s">
        <v>262</v>
      </c>
      <c r="E169" s="49" t="str">
        <f>VLOOKUP(D169,[6]Arvore!$N$8:$Q$6855,4,FALSE)</f>
        <v>4198</v>
      </c>
      <c r="F169" s="50">
        <v>-450257.94</v>
      </c>
      <c r="G169" s="50">
        <v>-450257.94</v>
      </c>
      <c r="H169" s="51">
        <v>-5.8207660913467401E-11</v>
      </c>
      <c r="I169" s="108">
        <v>-5.8207660913467401E-11</v>
      </c>
      <c r="J169" s="39"/>
      <c r="K169" s="21"/>
      <c r="L169" s="41"/>
      <c r="M169" s="42"/>
      <c r="O169" s="39" t="str">
        <f>VLOOKUP(QUERY_FOR_TRNSTRANSPOSED_0008!A169,'[6]Fin vs NFin'!$A$4:$F$568,6,FALSE)</f>
        <v>Não Financeiras</v>
      </c>
      <c r="P169" s="43" t="str">
        <f t="shared" si="4"/>
        <v>71</v>
      </c>
      <c r="Q169" s="43"/>
      <c r="R169" s="43"/>
      <c r="S169" s="43"/>
      <c r="T169" s="43"/>
    </row>
    <row r="170" spans="1:20" ht="15" thickBot="1">
      <c r="A170" s="32" t="s">
        <v>261</v>
      </c>
      <c r="B170" s="32" t="str">
        <f>VLOOKUP(A170,'[6]Fin vs NFin'!$A$4:$B$568,2,FALSE)</f>
        <v>!Milhas</v>
      </c>
      <c r="C170" s="32" t="s">
        <v>263</v>
      </c>
      <c r="D170" s="32" t="s">
        <v>147</v>
      </c>
      <c r="E170" s="32" t="str">
        <f>VLOOKUP(D170,[6]Arvore!$N$8:$Q$6855,4,FALSE)</f>
        <v>5151512</v>
      </c>
      <c r="F170" s="33">
        <v>1351</v>
      </c>
      <c r="G170" s="33">
        <v>1351</v>
      </c>
      <c r="H170" s="34">
        <v>0</v>
      </c>
      <c r="I170" s="114"/>
      <c r="J170" s="19"/>
      <c r="K170" s="21"/>
      <c r="L170" s="22"/>
      <c r="M170" s="23"/>
      <c r="O170" s="19" t="str">
        <f>VLOOKUP(QUERY_FOR_TRNSTRANSPOSED_0008!A170,'[6]Fin vs NFin'!$A$4:$F$568,6,FALSE)</f>
        <v>Não Financeiras</v>
      </c>
      <c r="P170" s="24" t="str">
        <f t="shared" si="4"/>
        <v>82</v>
      </c>
      <c r="Q170" s="24"/>
      <c r="R170" s="24"/>
      <c r="S170" s="24"/>
      <c r="T170" s="24"/>
    </row>
    <row r="171" spans="1:20">
      <c r="A171" s="38" t="s">
        <v>264</v>
      </c>
      <c r="B171" s="38" t="str">
        <f>VLOOKUP(A171,'[6]Fin vs NFin'!$A$4:$B$568,2,FALSE)</f>
        <v>!Marketing Digital Cartões</v>
      </c>
      <c r="C171" s="38" t="s">
        <v>67</v>
      </c>
      <c r="D171" s="38" t="s">
        <v>265</v>
      </c>
      <c r="E171" s="38" t="str">
        <f>VLOOKUP(D171,[6]Arvore!$N$8:$Q$6855,4,FALSE)</f>
        <v>4198</v>
      </c>
      <c r="F171" s="39">
        <v>-43503.519999999997</v>
      </c>
      <c r="G171" s="39">
        <v>-229589.26</v>
      </c>
      <c r="H171" s="40">
        <v>186085.74</v>
      </c>
      <c r="I171" s="108">
        <v>-2.91038304567337E-11</v>
      </c>
      <c r="J171" s="39"/>
      <c r="K171" s="21"/>
      <c r="L171" s="41"/>
      <c r="M171" s="42"/>
      <c r="O171" s="39" t="str">
        <f>VLOOKUP(QUERY_FOR_TRNSTRANSPOSED_0008!A171,'[6]Fin vs NFin'!$A$4:$F$568,6,FALSE)</f>
        <v>Não Financeiras</v>
      </c>
      <c r="P171" s="43" t="str">
        <f t="shared" si="4"/>
        <v>71</v>
      </c>
      <c r="Q171" s="43"/>
      <c r="R171" s="43"/>
      <c r="S171" s="43"/>
      <c r="T171" s="43"/>
    </row>
    <row r="172" spans="1:20" ht="15" thickBot="1">
      <c r="A172" s="11" t="s">
        <v>264</v>
      </c>
      <c r="B172" s="11" t="str">
        <f>VLOOKUP(A172,'[6]Fin vs NFin'!$A$4:$B$568,2,FALSE)</f>
        <v>!Marketing Digital Cartões</v>
      </c>
      <c r="C172" s="11" t="s">
        <v>67</v>
      </c>
      <c r="D172" s="11" t="s">
        <v>266</v>
      </c>
      <c r="E172" s="11" t="str">
        <f>VLOOKUP(D172,[6]Arvore!$N$8:$Q$6855,4,FALSE)</f>
        <v>4198</v>
      </c>
      <c r="F172" s="12">
        <v>-29171.14</v>
      </c>
      <c r="G172" s="12">
        <v>156914.6</v>
      </c>
      <c r="H172" s="13">
        <v>-186085.74</v>
      </c>
      <c r="I172" s="109"/>
      <c r="J172" s="12"/>
      <c r="K172" s="21"/>
      <c r="L172" s="15"/>
      <c r="M172" s="16"/>
      <c r="O172" s="12" t="str">
        <f>VLOOKUP(QUERY_FOR_TRNSTRANSPOSED_0008!A172,'[6]Fin vs NFin'!$A$4:$F$568,6,FALSE)</f>
        <v>Não Financeiras</v>
      </c>
      <c r="P172" s="17" t="str">
        <f t="shared" si="4"/>
        <v>71</v>
      </c>
      <c r="Q172" s="17"/>
      <c r="R172" s="17"/>
      <c r="S172" s="17"/>
      <c r="T172" s="17"/>
    </row>
    <row r="173" spans="1:20">
      <c r="A173" s="49" t="s">
        <v>267</v>
      </c>
      <c r="B173" s="49" t="str">
        <f>VLOOKUP(A173,'[6]Fin vs NFin'!$A$4:$B$568,2,FALSE)</f>
        <v>!Custos de Expedição</v>
      </c>
      <c r="C173" s="49" t="s">
        <v>82</v>
      </c>
      <c r="D173" s="49" t="s">
        <v>268</v>
      </c>
      <c r="E173" s="49" t="str">
        <f>VLOOKUP(D173,[6]Arvore!$N$8:$Q$6855,4,FALSE)</f>
        <v>4161599</v>
      </c>
      <c r="F173" s="50">
        <v>-531441.28</v>
      </c>
      <c r="G173" s="50">
        <v>-531441.28</v>
      </c>
      <c r="H173" s="51">
        <v>0</v>
      </c>
      <c r="I173" s="115">
        <v>42172.43</v>
      </c>
      <c r="J173" s="110">
        <f>I173+I177</f>
        <v>0</v>
      </c>
      <c r="K173" s="21"/>
      <c r="L173" s="41"/>
      <c r="M173" s="42"/>
      <c r="O173" s="39" t="str">
        <f>VLOOKUP(QUERY_FOR_TRNSTRANSPOSED_0008!A173,'[6]Fin vs NFin'!$A$4:$F$568,6,FALSE)</f>
        <v>Não Financeiras</v>
      </c>
      <c r="P173" s="43" t="str">
        <f t="shared" si="4"/>
        <v>71</v>
      </c>
      <c r="Q173" s="43"/>
      <c r="R173" s="43"/>
      <c r="S173" s="43"/>
      <c r="T173" s="43"/>
    </row>
    <row r="174" spans="1:20" ht="15" thickBot="1">
      <c r="A174" s="11" t="s">
        <v>267</v>
      </c>
      <c r="B174" s="11" t="str">
        <f>VLOOKUP(A174,'[6]Fin vs NFin'!$A$4:$B$568,2,FALSE)</f>
        <v>!Custos de Expedição</v>
      </c>
      <c r="C174" s="11" t="s">
        <v>67</v>
      </c>
      <c r="D174" s="11" t="s">
        <v>268</v>
      </c>
      <c r="E174" s="11" t="str">
        <f>VLOOKUP(D174,[6]Arvore!$N$8:$Q$6855,4,FALSE)</f>
        <v>4161599</v>
      </c>
      <c r="F174" s="12">
        <v>0</v>
      </c>
      <c r="G174" s="12">
        <v>-42172.43</v>
      </c>
      <c r="H174" s="13">
        <v>42172.43</v>
      </c>
      <c r="I174" s="118"/>
      <c r="J174" s="111"/>
      <c r="K174" s="21"/>
      <c r="L174" s="15"/>
      <c r="M174" s="16"/>
      <c r="O174" s="12" t="str">
        <f>VLOOKUP(QUERY_FOR_TRNSTRANSPOSED_0008!A174,'[6]Fin vs NFin'!$A$4:$F$568,6,FALSE)</f>
        <v>Não Financeiras</v>
      </c>
      <c r="P174" s="17" t="str">
        <f t="shared" si="4"/>
        <v>71</v>
      </c>
      <c r="Q174" s="17"/>
      <c r="R174" s="17"/>
      <c r="S174" s="17"/>
      <c r="T174" s="17"/>
    </row>
    <row r="175" spans="1:20">
      <c r="A175" s="18" t="s">
        <v>269</v>
      </c>
      <c r="B175" s="18" t="str">
        <f>VLOOKUP(A175,'[6]Fin vs NFin'!$A$4:$B$568,2,FALSE)</f>
        <v>!Prémios de Seguros</v>
      </c>
      <c r="C175" s="18" t="s">
        <v>82</v>
      </c>
      <c r="D175" s="18" t="s">
        <v>270</v>
      </c>
      <c r="E175" s="18" t="str">
        <f>VLOOKUP(D175,[6]Arvore!$N$8:$Q$6855,4,FALSE)</f>
        <v>4161599</v>
      </c>
      <c r="F175" s="19">
        <v>-771734.59</v>
      </c>
      <c r="G175" s="19">
        <v>-1467678.42</v>
      </c>
      <c r="H175" s="20">
        <v>695943.83</v>
      </c>
      <c r="I175" s="114">
        <f>SUM(H175:H176)</f>
        <v>0</v>
      </c>
      <c r="J175" s="19"/>
      <c r="K175" s="21"/>
      <c r="L175" s="22"/>
      <c r="M175" s="23"/>
      <c r="O175" s="19" t="str">
        <f>VLOOKUP(QUERY_FOR_TRNSTRANSPOSED_0008!A175,'[6]Fin vs NFin'!$A$4:$F$568,6,FALSE)</f>
        <v>Não Financeiras</v>
      </c>
      <c r="P175" s="24" t="str">
        <f t="shared" si="4"/>
        <v>71</v>
      </c>
      <c r="Q175" s="24"/>
      <c r="R175" s="24"/>
      <c r="S175" s="24"/>
      <c r="T175" s="24"/>
    </row>
    <row r="176" spans="1:20" ht="15" thickBot="1">
      <c r="A176" s="11" t="s">
        <v>269</v>
      </c>
      <c r="B176" s="11" t="str">
        <f>VLOOKUP(A176,'[6]Fin vs NFin'!$A$4:$B$568,2,FALSE)</f>
        <v>!Prémios de Seguros</v>
      </c>
      <c r="C176" s="11" t="s">
        <v>67</v>
      </c>
      <c r="D176" s="11" t="s">
        <v>270</v>
      </c>
      <c r="E176" s="11" t="str">
        <f>VLOOKUP(D176,[6]Arvore!$N$8:$Q$6855,4,FALSE)</f>
        <v>4161599</v>
      </c>
      <c r="F176" s="12">
        <v>-695943.83</v>
      </c>
      <c r="G176" s="12">
        <v>0</v>
      </c>
      <c r="H176" s="13">
        <v>-695943.83</v>
      </c>
      <c r="I176" s="109"/>
      <c r="J176" s="12"/>
      <c r="K176" s="21"/>
      <c r="L176" s="15"/>
      <c r="M176" s="16"/>
      <c r="O176" s="12" t="str">
        <f>VLOOKUP(QUERY_FOR_TRNSTRANSPOSED_0008!A176,'[6]Fin vs NFin'!$A$4:$F$568,6,FALSE)</f>
        <v>Não Financeiras</v>
      </c>
      <c r="P176" s="17" t="str">
        <f t="shared" si="4"/>
        <v>71</v>
      </c>
      <c r="Q176" s="17"/>
      <c r="R176" s="17"/>
      <c r="S176" s="17"/>
      <c r="T176" s="17"/>
    </row>
    <row r="177" spans="1:20">
      <c r="A177" s="49" t="s">
        <v>271</v>
      </c>
      <c r="B177" s="49" t="str">
        <f>VLOOKUP(A177,'[6]Fin vs NFin'!$A$4:$B$568,2,FALSE)</f>
        <v>!ICV's Cartões</v>
      </c>
      <c r="C177" s="49" t="s">
        <v>82</v>
      </c>
      <c r="D177" s="49" t="s">
        <v>272</v>
      </c>
      <c r="E177" s="49" t="str">
        <f>VLOOKUP(D177,[6]Arvore!$N$8:$Q$6855,4,FALSE)</f>
        <v>4198</v>
      </c>
      <c r="F177" s="50">
        <v>512.04999999999995</v>
      </c>
      <c r="G177" s="50">
        <v>512.04999999999995</v>
      </c>
      <c r="H177" s="51">
        <v>0</v>
      </c>
      <c r="I177" s="115">
        <v>-42172.43</v>
      </c>
      <c r="J177" s="110">
        <f>I173+I177</f>
        <v>0</v>
      </c>
      <c r="K177" s="21"/>
      <c r="L177" s="41"/>
      <c r="M177" s="42"/>
      <c r="O177" s="39" t="str">
        <f>VLOOKUP(QUERY_FOR_TRNSTRANSPOSED_0008!A177,'[6]Fin vs NFin'!$A$4:$F$568,6,FALSE)</f>
        <v>Não Financeiras</v>
      </c>
      <c r="P177" s="43" t="str">
        <f t="shared" si="4"/>
        <v>71</v>
      </c>
      <c r="Q177" s="43"/>
      <c r="R177" s="43"/>
      <c r="S177" s="43"/>
      <c r="T177" s="43"/>
    </row>
    <row r="178" spans="1:20" ht="15" thickBot="1">
      <c r="A178" s="18" t="s">
        <v>271</v>
      </c>
      <c r="B178" s="18" t="str">
        <f>VLOOKUP(A178,'[6]Fin vs NFin'!$A$4:$B$568,2,FALSE)</f>
        <v>!ICV's Cartões</v>
      </c>
      <c r="C178" s="18" t="s">
        <v>67</v>
      </c>
      <c r="D178" s="18" t="s">
        <v>268</v>
      </c>
      <c r="E178" s="18" t="str">
        <f>VLOOKUP(D178,[6]Arvore!$N$8:$Q$6855,4,FALSE)</f>
        <v>4161599</v>
      </c>
      <c r="F178" s="19">
        <v>-42172.43</v>
      </c>
      <c r="G178" s="19" t="s">
        <v>84</v>
      </c>
      <c r="H178" s="20">
        <v>-42172.43</v>
      </c>
      <c r="I178" s="116"/>
      <c r="J178" s="111"/>
      <c r="K178" s="21"/>
      <c r="L178" s="22"/>
      <c r="M178" s="23"/>
      <c r="O178" s="19" t="str">
        <f>VLOOKUP(QUERY_FOR_TRNSTRANSPOSED_0008!A178,'[6]Fin vs NFin'!$A$4:$F$568,6,FALSE)</f>
        <v>Não Financeiras</v>
      </c>
      <c r="P178" s="24" t="str">
        <f t="shared" si="4"/>
        <v>71</v>
      </c>
      <c r="Q178" s="24"/>
      <c r="R178" s="24"/>
      <c r="S178" s="24"/>
      <c r="T178" s="24"/>
    </row>
    <row r="179" spans="1:20">
      <c r="A179" s="38" t="s">
        <v>273</v>
      </c>
      <c r="B179" s="38" t="str">
        <f>VLOOKUP(A179,'[6]Fin vs NFin'!$A$4:$B$568,2,FALSE)</f>
        <v>!Incidências/Fraude</v>
      </c>
      <c r="C179" s="38" t="s">
        <v>153</v>
      </c>
      <c r="D179" s="38" t="s">
        <v>274</v>
      </c>
      <c r="E179" s="38" t="str">
        <f>VLOOKUP(D179,[6]Arvore!$N$8:$Q$6855,4,FALSE)</f>
        <v>4508809111</v>
      </c>
      <c r="F179" s="39">
        <v>158407.89000000001</v>
      </c>
      <c r="G179" s="39">
        <v>-31378.18</v>
      </c>
      <c r="H179" s="40">
        <v>189786.07</v>
      </c>
      <c r="I179" s="108">
        <f>SUM(H179:H192)</f>
        <v>-57.380000000004657</v>
      </c>
      <c r="J179" s="39"/>
      <c r="K179" s="21"/>
      <c r="L179" s="41"/>
      <c r="M179" s="42"/>
      <c r="O179" s="39" t="str">
        <f>VLOOKUP(QUERY_FOR_TRNSTRANSPOSED_0008!A179,'[6]Fin vs NFin'!$A$4:$F$568,6,FALSE)</f>
        <v>Não Financeiras</v>
      </c>
      <c r="P179" s="43" t="str">
        <f t="shared" si="4"/>
        <v>77</v>
      </c>
      <c r="Q179" s="43"/>
      <c r="R179" s="43"/>
      <c r="S179" s="43" t="str">
        <f>VLOOKUP(D179,[6]Mapeamento!$A$38:$C$497,3,FALSE)</f>
        <v>RO</v>
      </c>
      <c r="T179" s="43"/>
    </row>
    <row r="180" spans="1:20">
      <c r="A180" s="18" t="s">
        <v>273</v>
      </c>
      <c r="B180" s="18" t="str">
        <f>VLOOKUP(A180,'[6]Fin vs NFin'!$A$4:$B$568,2,FALSE)</f>
        <v>!Incidências/Fraude</v>
      </c>
      <c r="C180" s="18" t="s">
        <v>153</v>
      </c>
      <c r="D180" s="18" t="s">
        <v>275</v>
      </c>
      <c r="E180" s="18" t="str">
        <f>VLOOKUP(D180,[6]Arvore!$N$8:$Q$6855,4,FALSE)</f>
        <v>550880921</v>
      </c>
      <c r="F180" s="19">
        <v>87048.82</v>
      </c>
      <c r="G180" s="19">
        <v>12551.95</v>
      </c>
      <c r="H180" s="20">
        <v>74496.87</v>
      </c>
      <c r="I180" s="114"/>
      <c r="J180" s="19"/>
      <c r="K180" s="21"/>
      <c r="L180" s="22"/>
      <c r="M180" s="23"/>
      <c r="O180" s="19" t="str">
        <f>VLOOKUP(QUERY_FOR_TRNSTRANSPOSED_0008!A180,'[6]Fin vs NFin'!$A$4:$F$568,6,FALSE)</f>
        <v>Não Financeiras</v>
      </c>
      <c r="P180" s="24" t="str">
        <f t="shared" si="4"/>
        <v>89</v>
      </c>
      <c r="Q180" s="24"/>
      <c r="R180" s="24"/>
      <c r="S180" s="24" t="str">
        <f>VLOOKUP(D180,[6]Mapeamento!$A$38:$C$497,3,FALSE)</f>
        <v>RO</v>
      </c>
      <c r="T180" s="24"/>
    </row>
    <row r="181" spans="1:20">
      <c r="A181" s="32" t="s">
        <v>273</v>
      </c>
      <c r="B181" s="32" t="str">
        <f>VLOOKUP(A181,'[6]Fin vs NFin'!$A$4:$B$568,2,FALSE)</f>
        <v>!Incidências/Fraude</v>
      </c>
      <c r="C181" s="32" t="s">
        <v>67</v>
      </c>
      <c r="D181" s="32" t="s">
        <v>275</v>
      </c>
      <c r="E181" s="32" t="str">
        <f>VLOOKUP(D181,[6]Arvore!$N$8:$Q$6855,4,FALSE)</f>
        <v>550880921</v>
      </c>
      <c r="F181" s="33">
        <v>-5329.75</v>
      </c>
      <c r="G181" s="33">
        <v>-5329.75</v>
      </c>
      <c r="H181" s="34">
        <v>0</v>
      </c>
      <c r="I181" s="114"/>
      <c r="J181" s="19"/>
      <c r="K181" s="21"/>
      <c r="L181" s="22"/>
      <c r="M181" s="23"/>
      <c r="O181" s="19" t="str">
        <f>VLOOKUP(QUERY_FOR_TRNSTRANSPOSED_0008!A181,'[6]Fin vs NFin'!$A$4:$F$568,6,FALSE)</f>
        <v>Não Financeiras</v>
      </c>
      <c r="P181" s="24" t="str">
        <f t="shared" si="4"/>
        <v>89</v>
      </c>
      <c r="Q181" s="24"/>
      <c r="R181" s="24"/>
      <c r="S181" s="24" t="str">
        <f>VLOOKUP(D181,[6]Mapeamento!$A$38:$C$497,3,FALSE)</f>
        <v>RO</v>
      </c>
      <c r="T181" s="24"/>
    </row>
    <row r="182" spans="1:20">
      <c r="A182" s="18" t="s">
        <v>273</v>
      </c>
      <c r="B182" s="18" t="str">
        <f>VLOOKUP(A182,'[6]Fin vs NFin'!$A$4:$B$568,2,FALSE)</f>
        <v>!Incidências/Fraude</v>
      </c>
      <c r="C182" s="18" t="s">
        <v>276</v>
      </c>
      <c r="D182" s="18" t="s">
        <v>275</v>
      </c>
      <c r="E182" s="18" t="str">
        <f>VLOOKUP(D182,[6]Arvore!$N$8:$Q$6855,4,FALSE)</f>
        <v>550880921</v>
      </c>
      <c r="F182" s="19">
        <v>-45035.55</v>
      </c>
      <c r="G182" s="19">
        <v>41221.19</v>
      </c>
      <c r="H182" s="20">
        <v>-86256.74</v>
      </c>
      <c r="I182" s="114"/>
      <c r="J182" s="19"/>
      <c r="K182" s="21"/>
      <c r="L182" s="22"/>
      <c r="M182" s="23"/>
      <c r="O182" s="19" t="str">
        <f>VLOOKUP(QUERY_FOR_TRNSTRANSPOSED_0008!A182,'[6]Fin vs NFin'!$A$4:$F$568,6,FALSE)</f>
        <v>Não Financeiras</v>
      </c>
      <c r="P182" s="24" t="str">
        <f t="shared" si="4"/>
        <v>89</v>
      </c>
      <c r="Q182" s="24"/>
      <c r="R182" s="24"/>
      <c r="S182" s="24" t="str">
        <f>VLOOKUP(D182,[6]Mapeamento!$A$38:$C$497,3,FALSE)</f>
        <v>RO</v>
      </c>
      <c r="T182" s="24"/>
    </row>
    <row r="183" spans="1:20">
      <c r="A183" s="18" t="s">
        <v>273</v>
      </c>
      <c r="B183" s="18" t="str">
        <f>VLOOKUP(A183,'[6]Fin vs NFin'!$A$4:$B$568,2,FALSE)</f>
        <v>!Incidências/Fraude</v>
      </c>
      <c r="C183" s="18" t="s">
        <v>277</v>
      </c>
      <c r="D183" s="18" t="s">
        <v>274</v>
      </c>
      <c r="E183" s="18" t="str">
        <f>VLOOKUP(D183,[6]Arvore!$N$8:$Q$6855,4,FALSE)</f>
        <v>4508809111</v>
      </c>
      <c r="F183" s="19">
        <v>-78942.11</v>
      </c>
      <c r="G183" s="19">
        <v>-224677.36</v>
      </c>
      <c r="H183" s="20">
        <v>145735.25</v>
      </c>
      <c r="I183" s="114"/>
      <c r="J183" s="19"/>
      <c r="K183" s="21"/>
      <c r="L183" s="22"/>
      <c r="M183" s="23"/>
      <c r="O183" s="19" t="str">
        <f>VLOOKUP(QUERY_FOR_TRNSTRANSPOSED_0008!A183,'[6]Fin vs NFin'!$A$4:$F$568,6,FALSE)</f>
        <v>Não Financeiras</v>
      </c>
      <c r="P183" s="24" t="str">
        <f t="shared" si="4"/>
        <v>77</v>
      </c>
      <c r="Q183" s="24"/>
      <c r="R183" s="24"/>
      <c r="S183" s="24" t="str">
        <f>VLOOKUP(D183,[6]Mapeamento!$A$38:$C$497,3,FALSE)</f>
        <v>RO</v>
      </c>
      <c r="T183" s="24"/>
    </row>
    <row r="184" spans="1:20">
      <c r="A184" s="18" t="s">
        <v>273</v>
      </c>
      <c r="B184" s="18" t="str">
        <f>VLOOKUP(A184,'[6]Fin vs NFin'!$A$4:$B$568,2,FALSE)</f>
        <v>!Incidências/Fraude</v>
      </c>
      <c r="C184" s="18" t="s">
        <v>278</v>
      </c>
      <c r="D184" s="18" t="s">
        <v>275</v>
      </c>
      <c r="E184" s="18" t="str">
        <f>VLOOKUP(D184,[6]Arvore!$N$8:$Q$6855,4,FALSE)</f>
        <v>550880921</v>
      </c>
      <c r="F184" s="19">
        <v>-10499.58</v>
      </c>
      <c r="G184" s="19">
        <v>179348.3</v>
      </c>
      <c r="H184" s="20">
        <v>-189847.88</v>
      </c>
      <c r="I184" s="114"/>
      <c r="J184" s="19"/>
      <c r="K184" s="21"/>
      <c r="L184" s="22"/>
      <c r="M184" s="23"/>
      <c r="O184" s="19" t="str">
        <f>VLOOKUP(QUERY_FOR_TRNSTRANSPOSED_0008!A184,'[6]Fin vs NFin'!$A$4:$F$568,6,FALSE)</f>
        <v>Não Financeiras</v>
      </c>
      <c r="P184" s="24" t="str">
        <f t="shared" si="4"/>
        <v>89</v>
      </c>
      <c r="Q184" s="24"/>
      <c r="R184" s="24"/>
      <c r="S184" s="24" t="str">
        <f>VLOOKUP(D184,[6]Mapeamento!$A$38:$C$497,3,FALSE)</f>
        <v>RO</v>
      </c>
      <c r="T184" s="24"/>
    </row>
    <row r="185" spans="1:20">
      <c r="A185" s="18" t="s">
        <v>273</v>
      </c>
      <c r="B185" s="18" t="str">
        <f>VLOOKUP(A185,'[6]Fin vs NFin'!$A$4:$B$568,2,FALSE)</f>
        <v>!Incidências/Fraude</v>
      </c>
      <c r="C185" s="18" t="s">
        <v>279</v>
      </c>
      <c r="D185" s="18" t="s">
        <v>274</v>
      </c>
      <c r="E185" s="18" t="str">
        <f>VLOOKUP(D185,[6]Arvore!$N$8:$Q$6855,4,FALSE)</f>
        <v>4508809111</v>
      </c>
      <c r="F185" s="19">
        <v>-285169.86</v>
      </c>
      <c r="G185" s="19">
        <v>-584934.13</v>
      </c>
      <c r="H185" s="20">
        <v>299764.27</v>
      </c>
      <c r="I185" s="114"/>
      <c r="J185" s="19"/>
      <c r="K185" s="21"/>
      <c r="L185" s="22"/>
      <c r="M185" s="23"/>
      <c r="O185" s="19" t="str">
        <f>VLOOKUP(QUERY_FOR_TRNSTRANSPOSED_0008!A185,'[6]Fin vs NFin'!$A$4:$F$568,6,FALSE)</f>
        <v>Não Financeiras</v>
      </c>
      <c r="P185" s="24" t="str">
        <f t="shared" si="4"/>
        <v>77</v>
      </c>
      <c r="Q185" s="24"/>
      <c r="R185" s="24"/>
      <c r="S185" s="24" t="str">
        <f>VLOOKUP(D185,[6]Mapeamento!$A$38:$C$497,3,FALSE)</f>
        <v>RO</v>
      </c>
      <c r="T185" s="24"/>
    </row>
    <row r="186" spans="1:20">
      <c r="A186" s="18" t="s">
        <v>273</v>
      </c>
      <c r="B186" s="18" t="str">
        <f>VLOOKUP(A186,'[6]Fin vs NFin'!$A$4:$B$568,2,FALSE)</f>
        <v>!Incidências/Fraude</v>
      </c>
      <c r="C186" s="18" t="s">
        <v>280</v>
      </c>
      <c r="D186" s="18" t="s">
        <v>275</v>
      </c>
      <c r="E186" s="18" t="str">
        <f>VLOOKUP(D186,[6]Arvore!$N$8:$Q$6855,4,FALSE)</f>
        <v>550880921</v>
      </c>
      <c r="F186" s="19">
        <v>189575.34</v>
      </c>
      <c r="G186" s="19">
        <v>453858.28</v>
      </c>
      <c r="H186" s="20">
        <v>-264282.94</v>
      </c>
      <c r="I186" s="114"/>
      <c r="J186" s="19"/>
      <c r="K186" s="21"/>
      <c r="L186" s="22"/>
      <c r="M186" s="23"/>
      <c r="O186" s="19" t="str">
        <f>VLOOKUP(QUERY_FOR_TRNSTRANSPOSED_0008!A186,'[6]Fin vs NFin'!$A$4:$F$568,6,FALSE)</f>
        <v>Não Financeiras</v>
      </c>
      <c r="P186" s="24" t="str">
        <f t="shared" si="4"/>
        <v>89</v>
      </c>
      <c r="Q186" s="24"/>
      <c r="R186" s="24"/>
      <c r="S186" s="24" t="str">
        <f>VLOOKUP(D186,[6]Mapeamento!$A$38:$C$497,3,FALSE)</f>
        <v>RO</v>
      </c>
      <c r="T186" s="24"/>
    </row>
    <row r="187" spans="1:20">
      <c r="A187" s="18" t="s">
        <v>273</v>
      </c>
      <c r="B187" s="18" t="str">
        <f>VLOOKUP(A187,'[6]Fin vs NFin'!$A$4:$B$568,2,FALSE)</f>
        <v>!Incidências/Fraude</v>
      </c>
      <c r="C187" s="18" t="s">
        <v>281</v>
      </c>
      <c r="D187" s="18" t="s">
        <v>275</v>
      </c>
      <c r="E187" s="18" t="str">
        <f>VLOOKUP(D187,[6]Arvore!$N$8:$Q$6855,4,FALSE)</f>
        <v>550880921</v>
      </c>
      <c r="F187" s="19">
        <v>-37201.81</v>
      </c>
      <c r="G187" s="19">
        <v>54248.42</v>
      </c>
      <c r="H187" s="20">
        <v>-91450.23</v>
      </c>
      <c r="I187" s="114"/>
      <c r="J187" s="19"/>
      <c r="K187" s="21"/>
      <c r="L187" s="22"/>
      <c r="M187" s="23"/>
      <c r="O187" s="19" t="str">
        <f>VLOOKUP(QUERY_FOR_TRNSTRANSPOSED_0008!A187,'[6]Fin vs NFin'!$A$4:$F$568,6,FALSE)</f>
        <v>Não Financeiras</v>
      </c>
      <c r="P187" s="24" t="str">
        <f t="shared" si="4"/>
        <v>89</v>
      </c>
      <c r="Q187" s="24"/>
      <c r="R187" s="24"/>
      <c r="S187" s="24" t="str">
        <f>VLOOKUP(D187,[6]Mapeamento!$A$38:$C$497,3,FALSE)</f>
        <v>RO</v>
      </c>
      <c r="T187" s="24"/>
    </row>
    <row r="188" spans="1:20">
      <c r="A188" s="18" t="s">
        <v>273</v>
      </c>
      <c r="B188" s="18" t="str">
        <f>VLOOKUP(A188,'[6]Fin vs NFin'!$A$4:$B$568,2,FALSE)</f>
        <v>!Incidências/Fraude</v>
      </c>
      <c r="C188" s="18" t="s">
        <v>282</v>
      </c>
      <c r="D188" s="18" t="s">
        <v>214</v>
      </c>
      <c r="E188" s="18" t="str">
        <f>VLOOKUP(D188,[6]Arvore!$N$8:$Q$6855,4,FALSE)</f>
        <v>5151509</v>
      </c>
      <c r="F188" s="19">
        <v>-418987.2</v>
      </c>
      <c r="G188" s="19">
        <v>19674.39</v>
      </c>
      <c r="H188" s="20">
        <v>-438661.59</v>
      </c>
      <c r="I188" s="114"/>
      <c r="J188" s="19"/>
      <c r="K188" s="21"/>
      <c r="L188" s="22"/>
      <c r="M188" s="23"/>
      <c r="O188" s="19" t="str">
        <f>VLOOKUP(QUERY_FOR_TRNSTRANSPOSED_0008!A188,'[6]Fin vs NFin'!$A$4:$F$568,6,FALSE)</f>
        <v>Não Financeiras</v>
      </c>
      <c r="P188" s="24" t="str">
        <f t="shared" si="4"/>
        <v>89</v>
      </c>
      <c r="Q188" s="24"/>
      <c r="R188" s="24"/>
      <c r="S188" s="24"/>
      <c r="T188" s="24"/>
    </row>
    <row r="189" spans="1:20">
      <c r="A189" s="18" t="s">
        <v>273</v>
      </c>
      <c r="B189" s="18" t="str">
        <f>VLOOKUP(A189,'[6]Fin vs NFin'!$A$4:$B$568,2,FALSE)</f>
        <v>!Incidências/Fraude</v>
      </c>
      <c r="C189" s="18" t="s">
        <v>283</v>
      </c>
      <c r="D189" s="18" t="s">
        <v>284</v>
      </c>
      <c r="E189" s="18" t="str">
        <f>VLOOKUP(D189,[6]Arvore!$N$8:$Q$6855,4,FALSE)</f>
        <v>4161599</v>
      </c>
      <c r="F189" s="19">
        <v>-4989.3100000000004</v>
      </c>
      <c r="G189" s="19">
        <v>-696.3</v>
      </c>
      <c r="H189" s="20">
        <v>-4293.01</v>
      </c>
      <c r="I189" s="114"/>
      <c r="J189" s="19"/>
      <c r="K189" s="21"/>
      <c r="L189" s="22"/>
      <c r="M189" s="23"/>
      <c r="O189" s="19" t="str">
        <f>VLOOKUP(QUERY_FOR_TRNSTRANSPOSED_0008!A189,'[6]Fin vs NFin'!$A$4:$F$568,6,FALSE)</f>
        <v>Não Financeiras</v>
      </c>
      <c r="P189" s="24" t="str">
        <f t="shared" si="4"/>
        <v>77</v>
      </c>
      <c r="Q189" s="24"/>
      <c r="R189" s="24"/>
      <c r="S189" s="24"/>
      <c r="T189" s="24"/>
    </row>
    <row r="190" spans="1:20">
      <c r="A190" s="18" t="s">
        <v>273</v>
      </c>
      <c r="B190" s="18" t="str">
        <f>VLOOKUP(A190,'[6]Fin vs NFin'!$A$4:$B$568,2,FALSE)</f>
        <v>!Incidências/Fraude</v>
      </c>
      <c r="C190" s="18" t="s">
        <v>285</v>
      </c>
      <c r="D190" s="18" t="s">
        <v>274</v>
      </c>
      <c r="E190" s="18" t="str">
        <f>VLOOKUP(D190,[6]Arvore!$N$8:$Q$6855,4,FALSE)</f>
        <v>4508809111</v>
      </c>
      <c r="F190" s="19">
        <v>-183808.79</v>
      </c>
      <c r="G190" s="19">
        <v>-324200.59999999998</v>
      </c>
      <c r="H190" s="20">
        <v>140391.81</v>
      </c>
      <c r="I190" s="114"/>
      <c r="J190" s="19"/>
      <c r="K190" s="21"/>
      <c r="L190" s="22"/>
      <c r="M190" s="23"/>
      <c r="O190" s="19" t="str">
        <f>VLOOKUP(QUERY_FOR_TRNSTRANSPOSED_0008!A190,'[6]Fin vs NFin'!$A$4:$F$568,6,FALSE)</f>
        <v>Não Financeiras</v>
      </c>
      <c r="P190" s="24" t="str">
        <f t="shared" si="4"/>
        <v>77</v>
      </c>
      <c r="Q190" s="24"/>
      <c r="R190" s="24"/>
      <c r="S190" s="24" t="str">
        <f>VLOOKUP(D190,[6]Mapeamento!$A$38:$C$497,3,FALSE)</f>
        <v>RO</v>
      </c>
      <c r="T190" s="24"/>
    </row>
    <row r="191" spans="1:20">
      <c r="A191" s="18" t="s">
        <v>273</v>
      </c>
      <c r="B191" s="18" t="str">
        <f>VLOOKUP(A191,'[6]Fin vs NFin'!$A$4:$B$568,2,FALSE)</f>
        <v>!Incidências/Fraude</v>
      </c>
      <c r="C191" s="18" t="s">
        <v>286</v>
      </c>
      <c r="D191" s="18" t="s">
        <v>275</v>
      </c>
      <c r="E191" s="18" t="str">
        <f>VLOOKUP(D191,[6]Arvore!$N$8:$Q$6855,4,FALSE)</f>
        <v>550880921</v>
      </c>
      <c r="F191" s="19">
        <v>13556.13</v>
      </c>
      <c r="G191" s="19">
        <v>483929.74</v>
      </c>
      <c r="H191" s="20">
        <v>-470373.61</v>
      </c>
      <c r="I191" s="114"/>
      <c r="J191" s="19"/>
      <c r="K191" s="21"/>
      <c r="L191" s="22"/>
      <c r="M191" s="23"/>
      <c r="O191" s="19" t="str">
        <f>VLOOKUP(QUERY_FOR_TRNSTRANSPOSED_0008!A191,'[6]Fin vs NFin'!$A$4:$F$568,6,FALSE)</f>
        <v>Não Financeiras</v>
      </c>
      <c r="P191" s="24" t="str">
        <f t="shared" si="4"/>
        <v>89</v>
      </c>
      <c r="Q191" s="24"/>
      <c r="R191" s="24"/>
      <c r="S191" s="24" t="str">
        <f>VLOOKUP(D191,[6]Mapeamento!$A$38:$C$497,3,FALSE)</f>
        <v>RO</v>
      </c>
      <c r="T191" s="24"/>
    </row>
    <row r="192" spans="1:20" ht="15" thickBot="1">
      <c r="A192" s="11" t="s">
        <v>273</v>
      </c>
      <c r="B192" s="11" t="str">
        <f>VLOOKUP(A192,'[6]Fin vs NFin'!$A$4:$B$568,2,FALSE)</f>
        <v>!Incidências/Fraude</v>
      </c>
      <c r="C192" s="11" t="s">
        <v>287</v>
      </c>
      <c r="D192" s="11" t="s">
        <v>274</v>
      </c>
      <c r="E192" s="11" t="str">
        <f>VLOOKUP(D192,[6]Arvore!$N$8:$Q$6855,4,FALSE)</f>
        <v>4508809111</v>
      </c>
      <c r="F192" s="12">
        <v>-557851.96</v>
      </c>
      <c r="G192" s="12">
        <v>-1252786.31</v>
      </c>
      <c r="H192" s="13">
        <v>694934.35</v>
      </c>
      <c r="I192" s="109"/>
      <c r="J192" s="12"/>
      <c r="K192" s="21"/>
      <c r="L192" s="15"/>
      <c r="M192" s="16"/>
      <c r="O192" s="12" t="str">
        <f>VLOOKUP(QUERY_FOR_TRNSTRANSPOSED_0008!A192,'[6]Fin vs NFin'!$A$4:$F$568,6,FALSE)</f>
        <v>Não Financeiras</v>
      </c>
      <c r="P192" s="17" t="str">
        <f t="shared" si="4"/>
        <v>77</v>
      </c>
      <c r="Q192" s="17"/>
      <c r="R192" s="17"/>
      <c r="S192" s="17" t="str">
        <f>VLOOKUP(D192,[6]Mapeamento!$A$38:$C$497,3,FALSE)</f>
        <v>RO</v>
      </c>
      <c r="T192" s="17"/>
    </row>
    <row r="193" spans="1:20" ht="15" thickBot="1">
      <c r="A193" s="32" t="s">
        <v>288</v>
      </c>
      <c r="B193" s="32" t="str">
        <f>VLOOKUP(A193,'[6]Fin vs NFin'!$A$4:$B$568,2,FALSE)</f>
        <v>!Recuperação de Dívida</v>
      </c>
      <c r="C193" s="32" t="s">
        <v>289</v>
      </c>
      <c r="D193" s="32" t="s">
        <v>147</v>
      </c>
      <c r="E193" s="32" t="str">
        <f>VLOOKUP(D193,[6]Arvore!$N$8:$Q$6855,4,FALSE)</f>
        <v>5151512</v>
      </c>
      <c r="F193" s="33">
        <v>12239865.539999999</v>
      </c>
      <c r="G193" s="33">
        <v>12239865.539999999</v>
      </c>
      <c r="H193" s="34">
        <v>0</v>
      </c>
      <c r="I193" s="54">
        <v>0</v>
      </c>
      <c r="J193" s="19"/>
      <c r="K193" s="21"/>
      <c r="L193" s="22"/>
      <c r="M193" s="23"/>
      <c r="O193" s="19" t="str">
        <f>VLOOKUP(QUERY_FOR_TRNSTRANSPOSED_0008!A193,'[6]Fin vs NFin'!$A$4:$F$568,6,FALSE)</f>
        <v>Não Financeiras</v>
      </c>
      <c r="P193" s="24" t="str">
        <f t="shared" si="4"/>
        <v>82</v>
      </c>
      <c r="Q193" s="24"/>
      <c r="R193" s="24"/>
      <c r="S193" s="24"/>
      <c r="T193" s="24"/>
    </row>
    <row r="194" spans="1:20">
      <c r="A194" s="38" t="s">
        <v>290</v>
      </c>
      <c r="B194" s="38" t="str">
        <f>VLOOKUP(A194,'[6]Fin vs NFin'!$A$4:$B$568,2,FALSE)</f>
        <v>!Outros Custos com Cartões</v>
      </c>
      <c r="C194" s="38" t="s">
        <v>153</v>
      </c>
      <c r="D194" s="38" t="s">
        <v>291</v>
      </c>
      <c r="E194" s="38" t="str">
        <f>VLOOKUP(D194,[6]Arvore!$N$8:$Q$6855,4,FALSE)</f>
        <v>4161599</v>
      </c>
      <c r="F194" s="39">
        <v>-211.65</v>
      </c>
      <c r="G194" s="39">
        <v>-220.22</v>
      </c>
      <c r="H194" s="40">
        <v>8.5699999999999896</v>
      </c>
      <c r="I194" s="108">
        <f>SUM(H194:H200)</f>
        <v>3.6379788070917101E-12</v>
      </c>
      <c r="J194" s="39"/>
      <c r="K194" s="21"/>
      <c r="L194" s="41"/>
      <c r="M194" s="42"/>
      <c r="O194" s="39" t="str">
        <f>VLOOKUP(QUERY_FOR_TRNSTRANSPOSED_0008!A194,'[6]Fin vs NFin'!$A$4:$F$568,6,FALSE)</f>
        <v>Não Financeiras</v>
      </c>
      <c r="P194" s="43" t="str">
        <f t="shared" si="4"/>
        <v>71</v>
      </c>
      <c r="Q194" s="43"/>
      <c r="R194" s="43"/>
      <c r="S194" s="43"/>
      <c r="T194" s="43"/>
    </row>
    <row r="195" spans="1:20">
      <c r="A195" s="18" t="s">
        <v>290</v>
      </c>
      <c r="B195" s="18" t="str">
        <f>VLOOKUP(A195,'[6]Fin vs NFin'!$A$4:$B$568,2,FALSE)</f>
        <v>!Outros Custos com Cartões</v>
      </c>
      <c r="C195" s="18" t="s">
        <v>153</v>
      </c>
      <c r="D195" s="18" t="s">
        <v>174</v>
      </c>
      <c r="E195" s="18" t="str">
        <f>VLOOKUP(D195,[6]Arvore!$N$8:$Q$6855,4,FALSE)</f>
        <v>5151512</v>
      </c>
      <c r="F195" s="19">
        <v>0</v>
      </c>
      <c r="G195" s="19">
        <v>8.57</v>
      </c>
      <c r="H195" s="20">
        <v>-8.57</v>
      </c>
      <c r="I195" s="114"/>
      <c r="J195" s="19"/>
      <c r="K195" s="21"/>
      <c r="L195" s="22"/>
      <c r="M195" s="23"/>
      <c r="O195" s="19" t="str">
        <f>VLOOKUP(QUERY_FOR_TRNSTRANSPOSED_0008!A195,'[6]Fin vs NFin'!$A$4:$F$568,6,FALSE)</f>
        <v>Não Financeiras</v>
      </c>
      <c r="P195" s="24" t="str">
        <f t="shared" si="4"/>
        <v>82</v>
      </c>
      <c r="Q195" s="24"/>
      <c r="R195" s="24"/>
      <c r="S195" s="24"/>
      <c r="T195" s="24"/>
    </row>
    <row r="196" spans="1:20">
      <c r="A196" s="18" t="s">
        <v>290</v>
      </c>
      <c r="B196" s="18" t="str">
        <f>VLOOKUP(A196,'[6]Fin vs NFin'!$A$4:$B$568,2,FALSE)</f>
        <v>!Outros Custos com Cartões</v>
      </c>
      <c r="C196" s="18" t="s">
        <v>82</v>
      </c>
      <c r="D196" s="18" t="s">
        <v>158</v>
      </c>
      <c r="E196" s="18" t="str">
        <f>VLOOKUP(D196,[6]Arvore!$N$8:$Q$6855,4,FALSE)</f>
        <v>5151511</v>
      </c>
      <c r="F196" s="19">
        <v>-242333.19</v>
      </c>
      <c r="G196" s="19">
        <v>-633032.71</v>
      </c>
      <c r="H196" s="20">
        <v>390699.52000000002</v>
      </c>
      <c r="I196" s="114"/>
      <c r="J196" s="19"/>
      <c r="K196" s="21"/>
      <c r="L196" s="22"/>
      <c r="M196" s="23"/>
      <c r="O196" s="19" t="str">
        <f>VLOOKUP(QUERY_FOR_TRNSTRANSPOSED_0008!A196,'[6]Fin vs NFin'!$A$4:$F$568,6,FALSE)</f>
        <v>Não Financeiras</v>
      </c>
      <c r="P196" s="24" t="str">
        <f t="shared" si="4"/>
        <v>71</v>
      </c>
      <c r="Q196" s="24"/>
      <c r="R196" s="24"/>
      <c r="S196" s="24"/>
      <c r="T196" s="24"/>
    </row>
    <row r="197" spans="1:20">
      <c r="A197" s="18" t="s">
        <v>290</v>
      </c>
      <c r="B197" s="18" t="str">
        <f>VLOOKUP(A197,'[6]Fin vs NFin'!$A$4:$B$568,2,FALSE)</f>
        <v>!Outros Custos com Cartões</v>
      </c>
      <c r="C197" s="18" t="s">
        <v>82</v>
      </c>
      <c r="D197" s="18" t="s">
        <v>292</v>
      </c>
      <c r="E197" s="18" t="str">
        <f>VLOOKUP(D197,[6]Arvore!$N$8:$Q$6855,4,FALSE)</f>
        <v>4161599</v>
      </c>
      <c r="F197" s="19">
        <v>-1003882.52</v>
      </c>
      <c r="G197" s="19">
        <v>-918737.11</v>
      </c>
      <c r="H197" s="20">
        <v>-85145.41</v>
      </c>
      <c r="I197" s="114"/>
      <c r="J197" s="19"/>
      <c r="K197" s="21"/>
      <c r="L197" s="22"/>
      <c r="M197" s="23"/>
      <c r="O197" s="19" t="str">
        <f>VLOOKUP(QUERY_FOR_TRNSTRANSPOSED_0008!A197,'[6]Fin vs NFin'!$A$4:$F$568,6,FALSE)</f>
        <v>Não Financeiras</v>
      </c>
      <c r="P197" s="24" t="str">
        <f t="shared" si="4"/>
        <v>71</v>
      </c>
      <c r="Q197" s="24"/>
      <c r="R197" s="24"/>
      <c r="S197" s="24"/>
      <c r="T197" s="24"/>
    </row>
    <row r="198" spans="1:20">
      <c r="A198" s="18" t="s">
        <v>290</v>
      </c>
      <c r="B198" s="18" t="str">
        <f>VLOOKUP(A198,'[6]Fin vs NFin'!$A$4:$B$568,2,FALSE)</f>
        <v>!Outros Custos com Cartões</v>
      </c>
      <c r="C198" s="18" t="s">
        <v>67</v>
      </c>
      <c r="D198" s="18" t="s">
        <v>292</v>
      </c>
      <c r="E198" s="18" t="str">
        <f>VLOOKUP(D198,[6]Arvore!$N$8:$Q$6855,4,FALSE)</f>
        <v>4161599</v>
      </c>
      <c r="F198" s="19">
        <v>-305554.11</v>
      </c>
      <c r="G198" s="19">
        <v>5.8207660913467401E-11</v>
      </c>
      <c r="H198" s="20">
        <v>-305554.11</v>
      </c>
      <c r="I198" s="114"/>
      <c r="J198" s="19"/>
      <c r="K198" s="21"/>
      <c r="L198" s="22"/>
      <c r="M198" s="23"/>
      <c r="O198" s="19" t="str">
        <f>VLOOKUP(QUERY_FOR_TRNSTRANSPOSED_0008!A198,'[6]Fin vs NFin'!$A$4:$F$568,6,FALSE)</f>
        <v>Não Financeiras</v>
      </c>
      <c r="P198" s="24" t="str">
        <f t="shared" ref="P198:P261" si="5">LEFT(D198,2)</f>
        <v>71</v>
      </c>
      <c r="Q198" s="24"/>
      <c r="R198" s="24"/>
      <c r="S198" s="24"/>
      <c r="T198" s="24"/>
    </row>
    <row r="199" spans="1:20">
      <c r="A199" s="32" t="s">
        <v>290</v>
      </c>
      <c r="B199" s="32" t="str">
        <f>VLOOKUP(A199,'[6]Fin vs NFin'!$A$4:$B$568,2,FALSE)</f>
        <v>!Outros Custos com Cartões</v>
      </c>
      <c r="C199" s="32" t="s">
        <v>293</v>
      </c>
      <c r="D199" s="32" t="s">
        <v>294</v>
      </c>
      <c r="E199" s="32" t="str">
        <f>VLOOKUP(D199,[6]Arvore!$N$8:$Q$6855,4,FALSE)</f>
        <v>55088091</v>
      </c>
      <c r="F199" s="33">
        <v>18050.3</v>
      </c>
      <c r="G199" s="33">
        <v>18050.3</v>
      </c>
      <c r="H199" s="34">
        <v>3.6379788070917101E-12</v>
      </c>
      <c r="I199" s="114"/>
      <c r="J199" s="19"/>
      <c r="K199" s="21"/>
      <c r="L199" s="22"/>
      <c r="M199" s="23"/>
      <c r="O199" s="19" t="str">
        <f>VLOOKUP(QUERY_FOR_TRNSTRANSPOSED_0008!A199,'[6]Fin vs NFin'!$A$4:$F$568,6,FALSE)</f>
        <v>Não Financeiras</v>
      </c>
      <c r="P199" s="24" t="str">
        <f t="shared" si="5"/>
        <v>89</v>
      </c>
      <c r="Q199" s="24" t="str">
        <f>VLOOKUP(D199,[6]Mapeamento!$A$38:$C$497,3,FALSE)</f>
        <v>OREX</v>
      </c>
      <c r="R199" s="24"/>
      <c r="S199" s="24"/>
      <c r="T199" s="24"/>
    </row>
    <row r="200" spans="1:20" ht="15" thickBot="1">
      <c r="A200" s="35" t="s">
        <v>290</v>
      </c>
      <c r="B200" s="35" t="str">
        <f>VLOOKUP(A200,'[6]Fin vs NFin'!$A$4:$B$568,2,FALSE)</f>
        <v>!Outros Custos com Cartões</v>
      </c>
      <c r="C200" s="35" t="s">
        <v>295</v>
      </c>
      <c r="D200" s="35" t="s">
        <v>223</v>
      </c>
      <c r="E200" s="35" t="str">
        <f>VLOOKUP(D200,[6]Arvore!$N$8:$Q$6855,4,FALSE)</f>
        <v>51959</v>
      </c>
      <c r="F200" s="36">
        <v>387.4</v>
      </c>
      <c r="G200" s="36">
        <v>387.4</v>
      </c>
      <c r="H200" s="37">
        <v>0</v>
      </c>
      <c r="I200" s="109"/>
      <c r="J200" s="12"/>
      <c r="K200" s="21"/>
      <c r="L200" s="15"/>
      <c r="M200" s="16"/>
      <c r="O200" s="12" t="str">
        <f>VLOOKUP(QUERY_FOR_TRNSTRANSPOSED_0008!A200,'[6]Fin vs NFin'!$A$4:$F$568,6,FALSE)</f>
        <v>Não Financeiras</v>
      </c>
      <c r="P200" s="17" t="str">
        <f t="shared" si="5"/>
        <v>71</v>
      </c>
      <c r="Q200" s="17"/>
      <c r="R200" s="17"/>
      <c r="S200" s="17"/>
      <c r="T200" s="17"/>
    </row>
    <row r="201" spans="1:20">
      <c r="A201" s="18" t="s">
        <v>296</v>
      </c>
      <c r="B201" s="18" t="str">
        <f>VLOOKUP(A201,'[6]Fin vs NFin'!$A$4:$B$568,2,FALSE)</f>
        <v>!Plano PagaSimples</v>
      </c>
      <c r="C201" s="18" t="s">
        <v>297</v>
      </c>
      <c r="D201" s="18" t="s">
        <v>147</v>
      </c>
      <c r="E201" s="18" t="str">
        <f>VLOOKUP(D201,[6]Arvore!$N$8:$Q$6855,4,FALSE)</f>
        <v>5151512</v>
      </c>
      <c r="F201" s="19">
        <v>2987.01</v>
      </c>
      <c r="G201" s="19">
        <v>2842.05</v>
      </c>
      <c r="H201" s="20">
        <v>144.96</v>
      </c>
      <c r="I201" s="114">
        <f>SUM(H201:H202)</f>
        <v>0</v>
      </c>
      <c r="J201" s="19"/>
      <c r="K201" s="21"/>
      <c r="L201" s="22"/>
      <c r="M201" s="23"/>
      <c r="O201" s="19" t="str">
        <f>VLOOKUP(QUERY_FOR_TRNSTRANSPOSED_0008!A201,'[6]Fin vs NFin'!$A$4:$F$568,6,FALSE)</f>
        <v>Não Financeiras</v>
      </c>
      <c r="P201" s="24" t="str">
        <f t="shared" si="5"/>
        <v>82</v>
      </c>
      <c r="Q201" s="24"/>
      <c r="R201" s="24"/>
      <c r="S201" s="24"/>
      <c r="T201" s="24"/>
    </row>
    <row r="202" spans="1:20" ht="15" thickBot="1">
      <c r="A202" s="18" t="s">
        <v>296</v>
      </c>
      <c r="B202" s="18" t="str">
        <f>VLOOKUP(A202,'[6]Fin vs NFin'!$A$4:$B$568,2,FALSE)</f>
        <v>!Plano PagaSimples</v>
      </c>
      <c r="C202" s="18" t="s">
        <v>298</v>
      </c>
      <c r="D202" s="18" t="s">
        <v>147</v>
      </c>
      <c r="E202" s="18" t="str">
        <f>VLOOKUP(D202,[6]Arvore!$N$8:$Q$6855,4,FALSE)</f>
        <v>5151512</v>
      </c>
      <c r="F202" s="19">
        <v>2967.27</v>
      </c>
      <c r="G202" s="19">
        <v>3112.23</v>
      </c>
      <c r="H202" s="20">
        <v>-144.96</v>
      </c>
      <c r="I202" s="114"/>
      <c r="J202" s="19"/>
      <c r="K202" s="21"/>
      <c r="L202" s="22"/>
      <c r="M202" s="23"/>
      <c r="O202" s="19" t="str">
        <f>VLOOKUP(QUERY_FOR_TRNSTRANSPOSED_0008!A202,'[6]Fin vs NFin'!$A$4:$F$568,6,FALSE)</f>
        <v>Não Financeiras</v>
      </c>
      <c r="P202" s="24" t="str">
        <f t="shared" si="5"/>
        <v>82</v>
      </c>
      <c r="Q202" s="24"/>
      <c r="R202" s="24"/>
      <c r="S202" s="24"/>
      <c r="T202" s="24"/>
    </row>
    <row r="203" spans="1:20">
      <c r="A203" s="38" t="s">
        <v>299</v>
      </c>
      <c r="B203" s="38" t="str">
        <f>VLOOKUP(A203,'[6]Fin vs NFin'!$A$4:$B$568,2,FALSE)</f>
        <v>!Outros Preçario Cartoes</v>
      </c>
      <c r="C203" s="38" t="s">
        <v>300</v>
      </c>
      <c r="D203" s="38" t="s">
        <v>301</v>
      </c>
      <c r="E203" s="38" t="str">
        <f>VLOOKUP(D203,[6]Arvore!$N$8:$Q$6855,4,FALSE)</f>
        <v>5151519</v>
      </c>
      <c r="F203" s="39">
        <v>107893.93</v>
      </c>
      <c r="G203" s="39">
        <v>111593.66</v>
      </c>
      <c r="H203" s="40">
        <v>-3699.73000000001</v>
      </c>
      <c r="I203" s="108">
        <v>0</v>
      </c>
      <c r="J203" s="39"/>
      <c r="K203" s="21"/>
      <c r="L203" s="41"/>
      <c r="M203" s="42"/>
      <c r="O203" s="39" t="str">
        <f>VLOOKUP(QUERY_FOR_TRNSTRANSPOSED_0008!A203,'[6]Fin vs NFin'!$A$4:$F$568,6,FALSE)</f>
        <v>Não Financeiras</v>
      </c>
      <c r="P203" s="43" t="str">
        <f t="shared" si="5"/>
        <v>82</v>
      </c>
      <c r="Q203" s="43"/>
      <c r="R203" s="43"/>
      <c r="S203" s="43"/>
      <c r="T203" s="43"/>
    </row>
    <row r="204" spans="1:20">
      <c r="A204" s="18" t="s">
        <v>299</v>
      </c>
      <c r="B204" s="18" t="str">
        <f>VLOOKUP(A204,'[6]Fin vs NFin'!$A$4:$B$568,2,FALSE)</f>
        <v>!Outros Preçario Cartoes</v>
      </c>
      <c r="C204" s="18" t="s">
        <v>302</v>
      </c>
      <c r="D204" s="18" t="s">
        <v>214</v>
      </c>
      <c r="E204" s="18" t="str">
        <f>VLOOKUP(D204,[6]Arvore!$N$8:$Q$6855,4,FALSE)</f>
        <v>5151509</v>
      </c>
      <c r="F204" s="19">
        <v>-60</v>
      </c>
      <c r="G204" s="19">
        <v>-85</v>
      </c>
      <c r="H204" s="20">
        <v>25</v>
      </c>
      <c r="I204" s="114"/>
      <c r="J204" s="19"/>
      <c r="K204" s="21"/>
      <c r="L204" s="22"/>
      <c r="M204" s="23"/>
      <c r="O204" s="19" t="str">
        <f>VLOOKUP(QUERY_FOR_TRNSTRANSPOSED_0008!A204,'[6]Fin vs NFin'!$A$4:$F$568,6,FALSE)</f>
        <v>Não Financeiras</v>
      </c>
      <c r="P204" s="24" t="str">
        <f t="shared" si="5"/>
        <v>89</v>
      </c>
      <c r="Q204" s="24"/>
      <c r="R204" s="24"/>
      <c r="S204" s="24"/>
      <c r="T204" s="24"/>
    </row>
    <row r="205" spans="1:20">
      <c r="A205" s="18" t="s">
        <v>299</v>
      </c>
      <c r="B205" s="18" t="str">
        <f>VLOOKUP(A205,'[6]Fin vs NFin'!$A$4:$B$568,2,FALSE)</f>
        <v>!Outros Preçario Cartoes</v>
      </c>
      <c r="C205" s="18" t="s">
        <v>303</v>
      </c>
      <c r="D205" s="18" t="s">
        <v>214</v>
      </c>
      <c r="E205" s="18" t="str">
        <f>VLOOKUP(D205,[6]Arvore!$N$8:$Q$6855,4,FALSE)</f>
        <v>5151509</v>
      </c>
      <c r="F205" s="19">
        <v>157756.23000000001</v>
      </c>
      <c r="G205" s="19">
        <v>153685</v>
      </c>
      <c r="H205" s="20">
        <v>4071.23000000001</v>
      </c>
      <c r="I205" s="114"/>
      <c r="J205" s="19"/>
      <c r="K205" s="21"/>
      <c r="L205" s="22"/>
      <c r="M205" s="23"/>
      <c r="O205" s="19" t="str">
        <f>VLOOKUP(QUERY_FOR_TRNSTRANSPOSED_0008!A205,'[6]Fin vs NFin'!$A$4:$F$568,6,FALSE)</f>
        <v>Não Financeiras</v>
      </c>
      <c r="P205" s="24" t="str">
        <f t="shared" si="5"/>
        <v>89</v>
      </c>
      <c r="Q205" s="24"/>
      <c r="R205" s="24"/>
      <c r="S205" s="24"/>
      <c r="T205" s="24"/>
    </row>
    <row r="206" spans="1:20">
      <c r="A206" s="32" t="s">
        <v>299</v>
      </c>
      <c r="B206" s="32" t="str">
        <f>VLOOKUP(A206,'[6]Fin vs NFin'!$A$4:$B$568,2,FALSE)</f>
        <v>!Outros Preçario Cartoes</v>
      </c>
      <c r="C206" s="32" t="s">
        <v>304</v>
      </c>
      <c r="D206" s="32" t="s">
        <v>214</v>
      </c>
      <c r="E206" s="32" t="str">
        <f>VLOOKUP(D206,[6]Arvore!$N$8:$Q$6855,4,FALSE)</f>
        <v>5151509</v>
      </c>
      <c r="F206" s="33">
        <v>10</v>
      </c>
      <c r="G206" s="33">
        <v>10</v>
      </c>
      <c r="H206" s="34">
        <v>0</v>
      </c>
      <c r="I206" s="114"/>
      <c r="J206" s="19"/>
      <c r="K206" s="21"/>
      <c r="L206" s="22"/>
      <c r="M206" s="23"/>
      <c r="O206" s="19" t="str">
        <f>VLOOKUP(QUERY_FOR_TRNSTRANSPOSED_0008!A206,'[6]Fin vs NFin'!$A$4:$F$568,6,FALSE)</f>
        <v>Não Financeiras</v>
      </c>
      <c r="P206" s="24" t="str">
        <f t="shared" si="5"/>
        <v>89</v>
      </c>
      <c r="Q206" s="24"/>
      <c r="R206" s="24"/>
      <c r="S206" s="24"/>
      <c r="T206" s="24"/>
    </row>
    <row r="207" spans="1:20" ht="15" thickBot="1">
      <c r="A207" s="18" t="s">
        <v>299</v>
      </c>
      <c r="B207" s="18" t="str">
        <f>VLOOKUP(A207,'[6]Fin vs NFin'!$A$4:$B$568,2,FALSE)</f>
        <v>!Outros Preçario Cartoes</v>
      </c>
      <c r="C207" s="18" t="s">
        <v>305</v>
      </c>
      <c r="D207" s="18" t="s">
        <v>214</v>
      </c>
      <c r="E207" s="18" t="str">
        <f>VLOOKUP(D207,[6]Arvore!$N$8:$Q$6855,4,FALSE)</f>
        <v>5151509</v>
      </c>
      <c r="F207" s="19">
        <v>8039.5</v>
      </c>
      <c r="G207" s="19">
        <v>8436</v>
      </c>
      <c r="H207" s="20">
        <v>-396.5</v>
      </c>
      <c r="I207" s="114"/>
      <c r="J207" s="19"/>
      <c r="K207" s="21"/>
      <c r="L207" s="22"/>
      <c r="M207" s="23"/>
      <c r="O207" s="19" t="str">
        <f>VLOOKUP(QUERY_FOR_TRNSTRANSPOSED_0008!A207,'[6]Fin vs NFin'!$A$4:$F$568,6,FALSE)</f>
        <v>Não Financeiras</v>
      </c>
      <c r="P207" s="24" t="str">
        <f t="shared" si="5"/>
        <v>89</v>
      </c>
      <c r="Q207" s="24"/>
      <c r="R207" s="24"/>
      <c r="S207" s="24"/>
      <c r="T207" s="24"/>
    </row>
    <row r="208" spans="1:20">
      <c r="A208" s="38" t="s">
        <v>306</v>
      </c>
      <c r="B208" s="38" t="str">
        <f>VLOOKUP(A208,'[6]Fin vs NFin'!$A$4:$B$568,2,FALSE)</f>
        <v>!Tarif. Interbancário ATM</v>
      </c>
      <c r="C208" s="38" t="s">
        <v>307</v>
      </c>
      <c r="D208" s="38" t="s">
        <v>308</v>
      </c>
      <c r="E208" s="38" t="str">
        <f>VLOOKUP(D208,[6]Arvore!$N$8:$Q$6855,4,FALSE)</f>
        <v>51959</v>
      </c>
      <c r="F208" s="39">
        <v>14456611.84</v>
      </c>
      <c r="G208" s="39">
        <v>508868.62</v>
      </c>
      <c r="H208" s="40">
        <v>13947743.220000001</v>
      </c>
      <c r="I208" s="108">
        <f>SUM(H208:H212)</f>
        <v>0</v>
      </c>
      <c r="J208" s="39"/>
      <c r="K208" s="21"/>
      <c r="L208" s="41"/>
      <c r="M208" s="42"/>
      <c r="O208" s="39" t="str">
        <f>VLOOKUP(QUERY_FOR_TRNSTRANSPOSED_0008!A208,'[6]Fin vs NFin'!$A$4:$F$568,6,FALSE)</f>
        <v>Não Financeiras</v>
      </c>
      <c r="P208" s="43" t="str">
        <f t="shared" si="5"/>
        <v>82</v>
      </c>
      <c r="Q208" s="43"/>
      <c r="R208" s="43"/>
      <c r="S208" s="43"/>
      <c r="T208" s="43"/>
    </row>
    <row r="209" spans="1:20">
      <c r="A209" s="18" t="s">
        <v>306</v>
      </c>
      <c r="B209" s="18" t="str">
        <f>VLOOKUP(A209,'[6]Fin vs NFin'!$A$4:$B$568,2,FALSE)</f>
        <v>!Tarif. Interbancário ATM</v>
      </c>
      <c r="C209" s="18" t="s">
        <v>309</v>
      </c>
      <c r="D209" s="18" t="s">
        <v>308</v>
      </c>
      <c r="E209" s="18" t="str">
        <f>VLOOKUP(D209,[6]Arvore!$N$8:$Q$6855,4,FALSE)</f>
        <v>51959</v>
      </c>
      <c r="F209" s="19">
        <v>1565122.72</v>
      </c>
      <c r="G209" s="19">
        <v>464810.77</v>
      </c>
      <c r="H209" s="20">
        <v>1100311.95</v>
      </c>
      <c r="I209" s="114"/>
      <c r="J209" s="19"/>
      <c r="K209" s="21"/>
      <c r="L209" s="22"/>
      <c r="M209" s="23"/>
      <c r="O209" s="19" t="str">
        <f>VLOOKUP(QUERY_FOR_TRNSTRANSPOSED_0008!A209,'[6]Fin vs NFin'!$A$4:$F$568,6,FALSE)</f>
        <v>Não Financeiras</v>
      </c>
      <c r="P209" s="24" t="str">
        <f t="shared" si="5"/>
        <v>82</v>
      </c>
      <c r="Q209" s="24"/>
      <c r="R209" s="24"/>
      <c r="S209" s="24"/>
      <c r="T209" s="24"/>
    </row>
    <row r="210" spans="1:20">
      <c r="A210" s="18" t="s">
        <v>306</v>
      </c>
      <c r="B210" s="18" t="str">
        <f>VLOOKUP(A210,'[6]Fin vs NFin'!$A$4:$B$568,2,FALSE)</f>
        <v>!Tarif. Interbancário ATM</v>
      </c>
      <c r="C210" s="18" t="s">
        <v>310</v>
      </c>
      <c r="D210" s="18" t="s">
        <v>308</v>
      </c>
      <c r="E210" s="18" t="str">
        <f>VLOOKUP(D210,[6]Arvore!$N$8:$Q$6855,4,FALSE)</f>
        <v>51959</v>
      </c>
      <c r="F210" s="19" t="s">
        <v>84</v>
      </c>
      <c r="G210" s="19">
        <v>10666616.560000001</v>
      </c>
      <c r="H210" s="20">
        <v>-10666616.560000001</v>
      </c>
      <c r="I210" s="114"/>
      <c r="J210" s="19"/>
      <c r="K210" s="21"/>
      <c r="L210" s="22"/>
      <c r="M210" s="23"/>
      <c r="O210" s="19" t="str">
        <f>VLOOKUP(QUERY_FOR_TRNSTRANSPOSED_0008!A210,'[6]Fin vs NFin'!$A$4:$F$568,6,FALSE)</f>
        <v>Não Financeiras</v>
      </c>
      <c r="P210" s="24" t="str">
        <f t="shared" si="5"/>
        <v>82</v>
      </c>
      <c r="Q210" s="24"/>
      <c r="R210" s="24"/>
      <c r="S210" s="24"/>
      <c r="T210" s="24"/>
    </row>
    <row r="211" spans="1:20">
      <c r="A211" s="18" t="s">
        <v>306</v>
      </c>
      <c r="B211" s="18" t="str">
        <f>VLOOKUP(A211,'[6]Fin vs NFin'!$A$4:$B$568,2,FALSE)</f>
        <v>!Tarif. Interbancário ATM</v>
      </c>
      <c r="C211" s="18" t="s">
        <v>311</v>
      </c>
      <c r="D211" s="18" t="s">
        <v>308</v>
      </c>
      <c r="E211" s="18" t="str">
        <f>VLOOKUP(D211,[6]Arvore!$N$8:$Q$6855,4,FALSE)</f>
        <v>51959</v>
      </c>
      <c r="F211" s="19" t="s">
        <v>84</v>
      </c>
      <c r="G211" s="19">
        <v>7423969.9900000002</v>
      </c>
      <c r="H211" s="20">
        <v>-7423969.9900000002</v>
      </c>
      <c r="I211" s="114"/>
      <c r="J211" s="19"/>
      <c r="K211" s="21"/>
      <c r="L211" s="22"/>
      <c r="M211" s="23"/>
      <c r="O211" s="19" t="str">
        <f>VLOOKUP(QUERY_FOR_TRNSTRANSPOSED_0008!A211,'[6]Fin vs NFin'!$A$4:$F$568,6,FALSE)</f>
        <v>Não Financeiras</v>
      </c>
      <c r="P211" s="24" t="str">
        <f t="shared" si="5"/>
        <v>82</v>
      </c>
      <c r="Q211" s="24"/>
      <c r="R211" s="24"/>
      <c r="S211" s="24"/>
      <c r="T211" s="24"/>
    </row>
    <row r="212" spans="1:20" ht="15" thickBot="1">
      <c r="A212" s="18" t="s">
        <v>306</v>
      </c>
      <c r="B212" s="18" t="str">
        <f>VLOOKUP(A212,'[6]Fin vs NFin'!$A$4:$B$568,2,FALSE)</f>
        <v>!Tarif. Interbancário ATM</v>
      </c>
      <c r="C212" s="18" t="s">
        <v>312</v>
      </c>
      <c r="D212" s="18" t="s">
        <v>308</v>
      </c>
      <c r="E212" s="18" t="str">
        <f>VLOOKUP(D212,[6]Arvore!$N$8:$Q$6855,4,FALSE)</f>
        <v>51959</v>
      </c>
      <c r="F212" s="19">
        <v>3048575.12</v>
      </c>
      <c r="G212" s="19">
        <v>6043.74</v>
      </c>
      <c r="H212" s="20">
        <v>3042531.38</v>
      </c>
      <c r="I212" s="114"/>
      <c r="J212" s="19"/>
      <c r="K212" s="21"/>
      <c r="L212" s="22"/>
      <c r="M212" s="23"/>
      <c r="O212" s="19" t="str">
        <f>VLOOKUP(QUERY_FOR_TRNSTRANSPOSED_0008!A212,'[6]Fin vs NFin'!$A$4:$F$568,6,FALSE)</f>
        <v>Não Financeiras</v>
      </c>
      <c r="P212" s="24" t="str">
        <f t="shared" si="5"/>
        <v>82</v>
      </c>
      <c r="Q212" s="24"/>
      <c r="R212" s="24"/>
      <c r="S212" s="24"/>
      <c r="T212" s="24"/>
    </row>
    <row r="213" spans="1:20">
      <c r="A213" s="49" t="s">
        <v>313</v>
      </c>
      <c r="B213" s="49" t="str">
        <f>VLOOKUP(A213,'[6]Fin vs NFin'!$A$4:$B$568,2,FALSE)</f>
        <v>!Proveitos Diversos ATM</v>
      </c>
      <c r="C213" s="49" t="s">
        <v>82</v>
      </c>
      <c r="D213" s="49" t="s">
        <v>314</v>
      </c>
      <c r="E213" s="49" t="str">
        <f>VLOOKUP(D213,[6]Arvore!$N$8:$Q$6855,4,FALSE)</f>
        <v>4311884</v>
      </c>
      <c r="F213" s="50">
        <v>32570</v>
      </c>
      <c r="G213" s="50">
        <v>32570</v>
      </c>
      <c r="H213" s="51">
        <v>0</v>
      </c>
      <c r="I213" s="108">
        <f>SUM(H213:H215)</f>
        <v>0</v>
      </c>
      <c r="J213" s="39"/>
      <c r="K213" s="21"/>
      <c r="L213" s="41"/>
      <c r="M213" s="42"/>
      <c r="O213" s="39" t="str">
        <f>VLOOKUP(QUERY_FOR_TRNSTRANSPOSED_0008!A213,'[6]Fin vs NFin'!$A$4:$F$568,6,FALSE)</f>
        <v>Não Financeiras</v>
      </c>
      <c r="P213" s="43" t="str">
        <f t="shared" si="5"/>
        <v>89</v>
      </c>
      <c r="Q213" s="43"/>
      <c r="R213" s="43" t="str">
        <f>VLOOKUP(D213,[6]Mapeamento!$A$38:$C$497,3,FALSE)</f>
        <v>GG</v>
      </c>
      <c r="S213" s="43"/>
      <c r="T213" s="43"/>
    </row>
    <row r="214" spans="1:20">
      <c r="A214" s="32" t="s">
        <v>313</v>
      </c>
      <c r="B214" s="32" t="str">
        <f>VLOOKUP(A214,'[6]Fin vs NFin'!$A$4:$B$568,2,FALSE)</f>
        <v>!Proveitos Diversos ATM</v>
      </c>
      <c r="C214" s="32" t="s">
        <v>315</v>
      </c>
      <c r="D214" s="32" t="s">
        <v>314</v>
      </c>
      <c r="E214" s="32" t="str">
        <f>VLOOKUP(D214,[6]Arvore!$N$8:$Q$6855,4,FALSE)</f>
        <v>4311884</v>
      </c>
      <c r="F214" s="33">
        <v>236643.20000000001</v>
      </c>
      <c r="G214" s="33">
        <v>236643.20000000001</v>
      </c>
      <c r="H214" s="34">
        <v>0</v>
      </c>
      <c r="I214" s="114"/>
      <c r="J214" s="19"/>
      <c r="K214" s="21"/>
      <c r="L214" s="22"/>
      <c r="M214" s="23"/>
      <c r="O214" s="19" t="str">
        <f>VLOOKUP(QUERY_FOR_TRNSTRANSPOSED_0008!A214,'[6]Fin vs NFin'!$A$4:$F$568,6,FALSE)</f>
        <v>Não Financeiras</v>
      </c>
      <c r="P214" s="24" t="str">
        <f t="shared" si="5"/>
        <v>89</v>
      </c>
      <c r="Q214" s="24"/>
      <c r="R214" s="24" t="str">
        <f>VLOOKUP(D214,[6]Mapeamento!$A$38:$C$497,3,FALSE)</f>
        <v>GG</v>
      </c>
      <c r="S214" s="24"/>
      <c r="T214" s="24"/>
    </row>
    <row r="215" spans="1:20" ht="15" thickBot="1">
      <c r="A215" s="35" t="s">
        <v>313</v>
      </c>
      <c r="B215" s="35" t="str">
        <f>VLOOKUP(A215,'[6]Fin vs NFin'!$A$4:$B$568,2,FALSE)</f>
        <v>!Proveitos Diversos ATM</v>
      </c>
      <c r="C215" s="35" t="s">
        <v>67</v>
      </c>
      <c r="D215" s="35" t="s">
        <v>314</v>
      </c>
      <c r="E215" s="35" t="str">
        <f>VLOOKUP(D215,[6]Arvore!$N$8:$Q$6855,4,FALSE)</f>
        <v>4311884</v>
      </c>
      <c r="F215" s="36">
        <v>-113</v>
      </c>
      <c r="G215" s="36">
        <v>-113</v>
      </c>
      <c r="H215" s="37">
        <v>0</v>
      </c>
      <c r="I215" s="109"/>
      <c r="J215" s="12"/>
      <c r="K215" s="21"/>
      <c r="L215" s="15"/>
      <c r="M215" s="16"/>
      <c r="O215" s="12" t="str">
        <f>VLOOKUP(QUERY_FOR_TRNSTRANSPOSED_0008!A215,'[6]Fin vs NFin'!$A$4:$F$568,6,FALSE)</f>
        <v>Não Financeiras</v>
      </c>
      <c r="P215" s="17" t="str">
        <f t="shared" si="5"/>
        <v>89</v>
      </c>
      <c r="Q215" s="17"/>
      <c r="R215" s="17" t="str">
        <f>VLOOKUP(D215,[6]Mapeamento!$A$38:$C$497,3,FALSE)</f>
        <v>GG</v>
      </c>
      <c r="S215" s="17"/>
      <c r="T215" s="17"/>
    </row>
    <row r="216" spans="1:20">
      <c r="A216" s="18" t="s">
        <v>316</v>
      </c>
      <c r="B216" s="18" t="str">
        <f>VLOOKUP(A216,'[6]Fin vs NFin'!$A$4:$B$568,2,FALSE)</f>
        <v>!Custos Diversos ATM</v>
      </c>
      <c r="C216" s="18" t="s">
        <v>82</v>
      </c>
      <c r="D216" s="18" t="s">
        <v>317</v>
      </c>
      <c r="E216" s="18" t="str">
        <f>VLOOKUP(D216,[6]Arvore!$N$8:$Q$6855,4,FALSE)</f>
        <v>4161599</v>
      </c>
      <c r="F216" s="19">
        <v>-950646</v>
      </c>
      <c r="G216" s="19">
        <v>-121042.83</v>
      </c>
      <c r="H216" s="20">
        <v>-829603.17</v>
      </c>
      <c r="I216" s="114">
        <f>SUM(H216:H219)</f>
        <v>-1.1647216524579562E-10</v>
      </c>
      <c r="J216" s="19"/>
      <c r="K216" s="21"/>
      <c r="L216" s="22"/>
      <c r="M216" s="23"/>
      <c r="O216" s="19" t="str">
        <f>VLOOKUP(QUERY_FOR_TRNSTRANSPOSED_0008!A216,'[6]Fin vs NFin'!$A$4:$F$568,6,FALSE)</f>
        <v>Não Financeiras</v>
      </c>
      <c r="P216" s="24" t="str">
        <f t="shared" si="5"/>
        <v>77</v>
      </c>
      <c r="Q216" s="24"/>
      <c r="R216" s="24"/>
      <c r="S216" s="24"/>
      <c r="T216" s="24"/>
    </row>
    <row r="217" spans="1:20">
      <c r="A217" s="18" t="s">
        <v>316</v>
      </c>
      <c r="B217" s="18" t="str">
        <f>VLOOKUP(A217,'[6]Fin vs NFin'!$A$4:$B$568,2,FALSE)</f>
        <v>!Custos Diversos ATM</v>
      </c>
      <c r="C217" s="18" t="s">
        <v>82</v>
      </c>
      <c r="D217" s="18" t="s">
        <v>318</v>
      </c>
      <c r="E217" s="18" t="str">
        <f>VLOOKUP(D217,[6]Arvore!$N$8:$Q$6855,4,FALSE)</f>
        <v>4161599</v>
      </c>
      <c r="F217" s="19">
        <v>-110384.35</v>
      </c>
      <c r="G217" s="19">
        <v>-1427870.55</v>
      </c>
      <c r="H217" s="20">
        <v>1317486.2</v>
      </c>
      <c r="I217" s="114"/>
      <c r="J217" s="19"/>
      <c r="K217" s="21"/>
      <c r="L217" s="22"/>
      <c r="M217" s="23"/>
      <c r="O217" s="19" t="str">
        <f>VLOOKUP(QUERY_FOR_TRNSTRANSPOSED_0008!A217,'[6]Fin vs NFin'!$A$4:$F$568,6,FALSE)</f>
        <v>Não Financeiras</v>
      </c>
      <c r="P217" s="24" t="str">
        <f t="shared" si="5"/>
        <v>77</v>
      </c>
      <c r="Q217" s="24"/>
      <c r="R217" s="24"/>
      <c r="S217" s="24"/>
      <c r="T217" s="24"/>
    </row>
    <row r="218" spans="1:20">
      <c r="A218" s="18" t="s">
        <v>316</v>
      </c>
      <c r="B218" s="18" t="str">
        <f>VLOOKUP(A218,'[6]Fin vs NFin'!$A$4:$B$568,2,FALSE)</f>
        <v>!Custos Diversos ATM</v>
      </c>
      <c r="C218" s="18" t="s">
        <v>67</v>
      </c>
      <c r="D218" s="18" t="s">
        <v>318</v>
      </c>
      <c r="E218" s="18" t="str">
        <f>VLOOKUP(D218,[6]Arvore!$N$8:$Q$6855,4,FALSE)</f>
        <v>4161599</v>
      </c>
      <c r="F218" s="19">
        <v>-487883.03</v>
      </c>
      <c r="G218" s="19">
        <v>-2.97859514830634E-11</v>
      </c>
      <c r="H218" s="20">
        <v>-487883.03</v>
      </c>
      <c r="I218" s="114"/>
      <c r="J218" s="19"/>
      <c r="K218" s="21"/>
      <c r="L218" s="22"/>
      <c r="M218" s="23"/>
      <c r="O218" s="19" t="str">
        <f>VLOOKUP(QUERY_FOR_TRNSTRANSPOSED_0008!A218,'[6]Fin vs NFin'!$A$4:$F$568,6,FALSE)</f>
        <v>Não Financeiras</v>
      </c>
      <c r="P218" s="24" t="str">
        <f t="shared" si="5"/>
        <v>77</v>
      </c>
      <c r="Q218" s="24"/>
      <c r="R218" s="24"/>
      <c r="S218" s="24"/>
      <c r="T218" s="24"/>
    </row>
    <row r="219" spans="1:20" ht="15" thickBot="1">
      <c r="A219" s="32" t="s">
        <v>316</v>
      </c>
      <c r="B219" s="32" t="str">
        <f>VLOOKUP(A219,'[6]Fin vs NFin'!$A$4:$B$568,2,FALSE)</f>
        <v>!Custos Diversos ATM</v>
      </c>
      <c r="C219" s="32" t="s">
        <v>319</v>
      </c>
      <c r="D219" s="32" t="s">
        <v>158</v>
      </c>
      <c r="E219" s="32" t="str">
        <f>VLOOKUP(D219,[6]Arvore!$N$8:$Q$6855,4,FALSE)</f>
        <v>5151511</v>
      </c>
      <c r="F219" s="33">
        <v>-497.84</v>
      </c>
      <c r="G219" s="33">
        <v>-497.84</v>
      </c>
      <c r="H219" s="34">
        <v>-5.6843418860808002E-14</v>
      </c>
      <c r="I219" s="114"/>
      <c r="J219" s="19"/>
      <c r="K219" s="21"/>
      <c r="L219" s="22"/>
      <c r="M219" s="23"/>
      <c r="O219" s="19" t="str">
        <f>VLOOKUP(QUERY_FOR_TRNSTRANSPOSED_0008!A219,'[6]Fin vs NFin'!$A$4:$F$568,6,FALSE)</f>
        <v>Não Financeiras</v>
      </c>
      <c r="P219" s="24" t="str">
        <f t="shared" si="5"/>
        <v>71</v>
      </c>
      <c r="Q219" s="24"/>
      <c r="R219" s="24"/>
      <c r="S219" s="24"/>
      <c r="T219" s="24"/>
    </row>
    <row r="220" spans="1:20">
      <c r="A220" s="38" t="s">
        <v>320</v>
      </c>
      <c r="B220" s="38" t="str">
        <f>VLOOKUP(A220,'[6]Fin vs NFin'!$A$4:$B$568,2,FALSE)</f>
        <v>!Custos Recorrentes ATM</v>
      </c>
      <c r="C220" s="38" t="s">
        <v>82</v>
      </c>
      <c r="D220" s="38" t="s">
        <v>321</v>
      </c>
      <c r="E220" s="38" t="str">
        <f>VLOOKUP(D220,[6]Arvore!$N$8:$Q$6855,4,FALSE)</f>
        <v>4161599</v>
      </c>
      <c r="F220" s="39">
        <v>-4159622.7</v>
      </c>
      <c r="G220" s="39">
        <v>-5520262.0999999996</v>
      </c>
      <c r="H220" s="40">
        <v>1360639.4</v>
      </c>
      <c r="I220" s="108">
        <f>SUM(H220:H224)</f>
        <v>0</v>
      </c>
      <c r="J220" s="39"/>
      <c r="K220" s="21"/>
      <c r="L220" s="41"/>
      <c r="M220" s="42"/>
      <c r="O220" s="39" t="str">
        <f>VLOOKUP(QUERY_FOR_TRNSTRANSPOSED_0008!A220,'[6]Fin vs NFin'!$A$4:$F$568,6,FALSE)</f>
        <v>Não Financeiras</v>
      </c>
      <c r="P220" s="43" t="str">
        <f t="shared" si="5"/>
        <v>77</v>
      </c>
      <c r="Q220" s="43"/>
      <c r="R220" s="43"/>
      <c r="S220" s="43"/>
      <c r="T220" s="43"/>
    </row>
    <row r="221" spans="1:20">
      <c r="A221" s="18" t="s">
        <v>320</v>
      </c>
      <c r="B221" s="18" t="str">
        <f>VLOOKUP(A221,'[6]Fin vs NFin'!$A$4:$B$568,2,FALSE)</f>
        <v>!Custos Recorrentes ATM</v>
      </c>
      <c r="C221" s="18" t="s">
        <v>82</v>
      </c>
      <c r="D221" s="18" t="s">
        <v>322</v>
      </c>
      <c r="E221" s="18" t="str">
        <f>VLOOKUP(D221,[6]Arvore!$N$8:$Q$6855,4,FALSE)</f>
        <v>4161599</v>
      </c>
      <c r="F221" s="19">
        <v>-908631.94</v>
      </c>
      <c r="G221" s="19">
        <v>-360375.97</v>
      </c>
      <c r="H221" s="20">
        <v>-548255.97</v>
      </c>
      <c r="I221" s="114"/>
      <c r="J221" s="19"/>
      <c r="K221" s="21"/>
      <c r="L221" s="22"/>
      <c r="M221" s="23"/>
      <c r="O221" s="19" t="str">
        <f>VLOOKUP(QUERY_FOR_TRNSTRANSPOSED_0008!A221,'[6]Fin vs NFin'!$A$4:$F$568,6,FALSE)</f>
        <v>Não Financeiras</v>
      </c>
      <c r="P221" s="24" t="str">
        <f t="shared" si="5"/>
        <v>77</v>
      </c>
      <c r="Q221" s="24"/>
      <c r="R221" s="24"/>
      <c r="S221" s="24"/>
      <c r="T221" s="24"/>
    </row>
    <row r="222" spans="1:20">
      <c r="A222" s="18" t="s">
        <v>320</v>
      </c>
      <c r="B222" s="18" t="str">
        <f>VLOOKUP(A222,'[6]Fin vs NFin'!$A$4:$B$568,2,FALSE)</f>
        <v>!Custos Recorrentes ATM</v>
      </c>
      <c r="C222" s="18" t="s">
        <v>82</v>
      </c>
      <c r="D222" s="18" t="s">
        <v>323</v>
      </c>
      <c r="E222" s="18" t="str">
        <f>VLOOKUP(D222,[6]Arvore!$N$8:$Q$6855,4,FALSE)</f>
        <v>4161599</v>
      </c>
      <c r="F222" s="19" t="s">
        <v>84</v>
      </c>
      <c r="G222" s="19">
        <v>-378125.27</v>
      </c>
      <c r="H222" s="20">
        <v>378125.27</v>
      </c>
      <c r="I222" s="114"/>
      <c r="J222" s="19"/>
      <c r="K222" s="21"/>
      <c r="L222" s="22"/>
      <c r="M222" s="23"/>
      <c r="O222" s="19" t="str">
        <f>VLOOKUP(QUERY_FOR_TRNSTRANSPOSED_0008!A222,'[6]Fin vs NFin'!$A$4:$F$568,6,FALSE)</f>
        <v>Não Financeiras</v>
      </c>
      <c r="P222" s="24" t="str">
        <f t="shared" si="5"/>
        <v>77</v>
      </c>
      <c r="Q222" s="24"/>
      <c r="R222" s="24"/>
      <c r="S222" s="24"/>
      <c r="T222" s="24"/>
    </row>
    <row r="223" spans="1:20">
      <c r="A223" s="18" t="s">
        <v>320</v>
      </c>
      <c r="B223" s="18" t="str">
        <f>VLOOKUP(A223,'[6]Fin vs NFin'!$A$4:$B$568,2,FALSE)</f>
        <v>!Custos Recorrentes ATM</v>
      </c>
      <c r="C223" s="18" t="s">
        <v>67</v>
      </c>
      <c r="D223" s="18" t="s">
        <v>321</v>
      </c>
      <c r="E223" s="18" t="str">
        <f>VLOOKUP(D223,[6]Arvore!$N$8:$Q$6855,4,FALSE)</f>
        <v>4161599</v>
      </c>
      <c r="F223" s="19">
        <v>-950185.69</v>
      </c>
      <c r="G223" s="19">
        <v>-2.18278728425503E-11</v>
      </c>
      <c r="H223" s="20">
        <v>-950185.69</v>
      </c>
      <c r="I223" s="114"/>
      <c r="J223" s="19"/>
      <c r="K223" s="21"/>
      <c r="L223" s="22"/>
      <c r="M223" s="23"/>
      <c r="O223" s="19" t="str">
        <f>VLOOKUP(QUERY_FOR_TRNSTRANSPOSED_0008!A223,'[6]Fin vs NFin'!$A$4:$F$568,6,FALSE)</f>
        <v>Não Financeiras</v>
      </c>
      <c r="P223" s="24" t="str">
        <f t="shared" si="5"/>
        <v>77</v>
      </c>
      <c r="Q223" s="24"/>
      <c r="R223" s="24"/>
      <c r="S223" s="24"/>
      <c r="T223" s="24"/>
    </row>
    <row r="224" spans="1:20" ht="15" thickBot="1">
      <c r="A224" s="11" t="s">
        <v>320</v>
      </c>
      <c r="B224" s="11" t="str">
        <f>VLOOKUP(A224,'[6]Fin vs NFin'!$A$4:$B$568,2,FALSE)</f>
        <v>!Custos Recorrentes ATM</v>
      </c>
      <c r="C224" s="11" t="s">
        <v>67</v>
      </c>
      <c r="D224" s="11" t="s">
        <v>323</v>
      </c>
      <c r="E224" s="11" t="str">
        <f>VLOOKUP(D224,[6]Arvore!$N$8:$Q$6855,4,FALSE)</f>
        <v>4161599</v>
      </c>
      <c r="F224" s="12">
        <v>-240323.01</v>
      </c>
      <c r="G224" s="12">
        <v>6.8212102632969602E-12</v>
      </c>
      <c r="H224" s="13">
        <v>-240323.01</v>
      </c>
      <c r="I224" s="109"/>
      <c r="J224" s="12"/>
      <c r="K224" s="21"/>
      <c r="L224" s="15"/>
      <c r="M224" s="16"/>
      <c r="O224" s="12" t="str">
        <f>VLOOKUP(QUERY_FOR_TRNSTRANSPOSED_0008!A224,'[6]Fin vs NFin'!$A$4:$F$568,6,FALSE)</f>
        <v>Não Financeiras</v>
      </c>
      <c r="P224" s="17" t="str">
        <f t="shared" si="5"/>
        <v>77</v>
      </c>
      <c r="Q224" s="17"/>
      <c r="R224" s="17"/>
      <c r="S224" s="17"/>
      <c r="T224" s="17"/>
    </row>
    <row r="225" spans="1:20">
      <c r="A225" s="32" t="s">
        <v>324</v>
      </c>
      <c r="B225" s="32" t="str">
        <f>VLOOKUP(A225,'[6]Fin vs NFin'!$A$4:$B$568,2,FALSE)</f>
        <v>!Taxa Mensal de Serviço</v>
      </c>
      <c r="C225" s="32" t="s">
        <v>325</v>
      </c>
      <c r="D225" s="32" t="s">
        <v>326</v>
      </c>
      <c r="E225" s="32" t="str">
        <f>VLOOKUP(D225,[6]Arvore!$N$8:$Q$6855,4,FALSE)</f>
        <v>5151594</v>
      </c>
      <c r="F225" s="33">
        <v>2646.74</v>
      </c>
      <c r="G225" s="33">
        <v>2646.74</v>
      </c>
      <c r="H225" s="34">
        <v>4.5474735088646402E-13</v>
      </c>
      <c r="I225" s="114">
        <f>SUM(H225:H234)</f>
        <v>2.3351276468019933E-10</v>
      </c>
      <c r="J225" s="19"/>
      <c r="K225" s="21"/>
      <c r="L225" s="22"/>
      <c r="M225" s="23"/>
      <c r="O225" s="19" t="str">
        <f>VLOOKUP(QUERY_FOR_TRNSTRANSPOSED_0008!A225,'[6]Fin vs NFin'!$A$4:$F$568,6,FALSE)</f>
        <v>Não Financeiras</v>
      </c>
      <c r="P225" s="24" t="str">
        <f t="shared" si="5"/>
        <v>89</v>
      </c>
      <c r="Q225" s="24"/>
      <c r="R225" s="24"/>
      <c r="S225" s="24"/>
      <c r="T225" s="24"/>
    </row>
    <row r="226" spans="1:20">
      <c r="A226" s="32" t="s">
        <v>324</v>
      </c>
      <c r="B226" s="32" t="str">
        <f>VLOOKUP(A226,'[6]Fin vs NFin'!$A$4:$B$568,2,FALSE)</f>
        <v>!Taxa Mensal de Serviço</v>
      </c>
      <c r="C226" s="32" t="s">
        <v>153</v>
      </c>
      <c r="D226" s="32" t="s">
        <v>327</v>
      </c>
      <c r="E226" s="32" t="str">
        <f>VLOOKUP(D226,[6]Arvore!$N$8:$Q$6855,4,FALSE)</f>
        <v>5151594</v>
      </c>
      <c r="F226" s="33">
        <v>-1315904</v>
      </c>
      <c r="G226" s="33">
        <v>-1315904</v>
      </c>
      <c r="H226" s="34">
        <v>0</v>
      </c>
      <c r="I226" s="114"/>
      <c r="J226" s="19"/>
      <c r="K226" s="21"/>
      <c r="L226" s="22"/>
      <c r="M226" s="23"/>
      <c r="O226" s="19" t="str">
        <f>VLOOKUP(QUERY_FOR_TRNSTRANSPOSED_0008!A226,'[6]Fin vs NFin'!$A$4:$F$568,6,FALSE)</f>
        <v>Não Financeiras</v>
      </c>
      <c r="P226" s="24" t="str">
        <f t="shared" si="5"/>
        <v>82</v>
      </c>
      <c r="Q226" s="24"/>
      <c r="R226" s="24"/>
      <c r="S226" s="24"/>
      <c r="T226" s="24"/>
    </row>
    <row r="227" spans="1:20">
      <c r="A227" s="32" t="s">
        <v>324</v>
      </c>
      <c r="B227" s="32" t="str">
        <f>VLOOKUP(A227,'[6]Fin vs NFin'!$A$4:$B$568,2,FALSE)</f>
        <v>!Taxa Mensal de Serviço</v>
      </c>
      <c r="C227" s="32" t="s">
        <v>328</v>
      </c>
      <c r="D227" s="32" t="s">
        <v>326</v>
      </c>
      <c r="E227" s="32" t="str">
        <f>VLOOKUP(D227,[6]Arvore!$N$8:$Q$6855,4,FALSE)</f>
        <v>5151594</v>
      </c>
      <c r="F227" s="33">
        <v>-2105.98</v>
      </c>
      <c r="G227" s="33">
        <v>-2105.98</v>
      </c>
      <c r="H227" s="34">
        <v>0</v>
      </c>
      <c r="I227" s="114"/>
      <c r="J227" s="19"/>
      <c r="K227" s="21"/>
      <c r="L227" s="22"/>
      <c r="M227" s="23"/>
      <c r="O227" s="19" t="str">
        <f>VLOOKUP(QUERY_FOR_TRNSTRANSPOSED_0008!A227,'[6]Fin vs NFin'!$A$4:$F$568,6,FALSE)</f>
        <v>Não Financeiras</v>
      </c>
      <c r="P227" s="24" t="str">
        <f t="shared" si="5"/>
        <v>89</v>
      </c>
      <c r="Q227" s="24"/>
      <c r="R227" s="24"/>
      <c r="S227" s="24"/>
      <c r="T227" s="24"/>
    </row>
    <row r="228" spans="1:20">
      <c r="A228" s="32" t="s">
        <v>324</v>
      </c>
      <c r="B228" s="32" t="str">
        <f>VLOOKUP(A228,'[6]Fin vs NFin'!$A$4:$B$568,2,FALSE)</f>
        <v>!Taxa Mensal de Serviço</v>
      </c>
      <c r="C228" s="32" t="s">
        <v>82</v>
      </c>
      <c r="D228" s="32" t="s">
        <v>327</v>
      </c>
      <c r="E228" s="32" t="str">
        <f>VLOOKUP(D228,[6]Arvore!$N$8:$Q$6855,4,FALSE)</f>
        <v>5151594</v>
      </c>
      <c r="F228" s="33">
        <v>3225499.09</v>
      </c>
      <c r="G228" s="33">
        <v>3225499.09</v>
      </c>
      <c r="H228" s="34">
        <v>0</v>
      </c>
      <c r="I228" s="114"/>
      <c r="J228" s="19"/>
      <c r="K228" s="21"/>
      <c r="L228" s="22"/>
      <c r="M228" s="23"/>
      <c r="O228" s="19" t="str">
        <f>VLOOKUP(QUERY_FOR_TRNSTRANSPOSED_0008!A228,'[6]Fin vs NFin'!$A$4:$F$568,6,FALSE)</f>
        <v>Não Financeiras</v>
      </c>
      <c r="P228" s="24" t="str">
        <f t="shared" si="5"/>
        <v>82</v>
      </c>
      <c r="Q228" s="24"/>
      <c r="R228" s="24"/>
      <c r="S228" s="24"/>
      <c r="T228" s="24"/>
    </row>
    <row r="229" spans="1:20">
      <c r="A229" s="32" t="s">
        <v>324</v>
      </c>
      <c r="B229" s="32" t="str">
        <f>VLOOKUP(A229,'[6]Fin vs NFin'!$A$4:$B$568,2,FALSE)</f>
        <v>!Taxa Mensal de Serviço</v>
      </c>
      <c r="C229" s="32" t="s">
        <v>67</v>
      </c>
      <c r="D229" s="32" t="s">
        <v>327</v>
      </c>
      <c r="E229" s="32" t="str">
        <f>VLOOKUP(D229,[6]Arvore!$N$8:$Q$6855,4,FALSE)</f>
        <v>5151594</v>
      </c>
      <c r="F229" s="33">
        <v>-1909595.09</v>
      </c>
      <c r="G229" s="33">
        <v>-1909595.09</v>
      </c>
      <c r="H229" s="34">
        <v>2.3283064365386999E-10</v>
      </c>
      <c r="I229" s="114"/>
      <c r="J229" s="19"/>
      <c r="K229" s="21"/>
      <c r="L229" s="22"/>
      <c r="M229" s="23"/>
      <c r="O229" s="19" t="str">
        <f>VLOOKUP(QUERY_FOR_TRNSTRANSPOSED_0008!A229,'[6]Fin vs NFin'!$A$4:$F$568,6,FALSE)</f>
        <v>Não Financeiras</v>
      </c>
      <c r="P229" s="24" t="str">
        <f t="shared" si="5"/>
        <v>82</v>
      </c>
      <c r="Q229" s="24"/>
      <c r="R229" s="24"/>
      <c r="S229" s="24"/>
      <c r="T229" s="24"/>
    </row>
    <row r="230" spans="1:20">
      <c r="A230" s="32" t="s">
        <v>324</v>
      </c>
      <c r="B230" s="32" t="str">
        <f>VLOOKUP(A230,'[6]Fin vs NFin'!$A$4:$B$568,2,FALSE)</f>
        <v>!Taxa Mensal de Serviço</v>
      </c>
      <c r="C230" s="32" t="s">
        <v>329</v>
      </c>
      <c r="D230" s="32" t="s">
        <v>326</v>
      </c>
      <c r="E230" s="32" t="str">
        <f>VLOOKUP(D230,[6]Arvore!$N$8:$Q$6855,4,FALSE)</f>
        <v>5151594</v>
      </c>
      <c r="F230" s="33">
        <v>13935.25</v>
      </c>
      <c r="G230" s="33">
        <v>13935.25</v>
      </c>
      <c r="H230" s="34">
        <v>0</v>
      </c>
      <c r="I230" s="114"/>
      <c r="J230" s="19"/>
      <c r="K230" s="21"/>
      <c r="L230" s="22"/>
      <c r="M230" s="23"/>
      <c r="O230" s="19" t="str">
        <f>VLOOKUP(QUERY_FOR_TRNSTRANSPOSED_0008!A230,'[6]Fin vs NFin'!$A$4:$F$568,6,FALSE)</f>
        <v>Não Financeiras</v>
      </c>
      <c r="P230" s="24" t="str">
        <f t="shared" si="5"/>
        <v>89</v>
      </c>
      <c r="Q230" s="24"/>
      <c r="R230" s="24"/>
      <c r="S230" s="24"/>
      <c r="T230" s="24"/>
    </row>
    <row r="231" spans="1:20">
      <c r="A231" s="32" t="s">
        <v>324</v>
      </c>
      <c r="B231" s="32" t="str">
        <f>VLOOKUP(A231,'[6]Fin vs NFin'!$A$4:$B$568,2,FALSE)</f>
        <v>!Taxa Mensal de Serviço</v>
      </c>
      <c r="C231" s="32" t="s">
        <v>330</v>
      </c>
      <c r="D231" s="32" t="s">
        <v>326</v>
      </c>
      <c r="E231" s="32" t="str">
        <f>VLOOKUP(D231,[6]Arvore!$N$8:$Q$6855,4,FALSE)</f>
        <v>5151594</v>
      </c>
      <c r="F231" s="33">
        <v>-1196.3900000000001</v>
      </c>
      <c r="G231" s="33">
        <v>-1196.3900000000001</v>
      </c>
      <c r="H231" s="34">
        <v>2.2737367544323201E-13</v>
      </c>
      <c r="I231" s="114"/>
      <c r="J231" s="19"/>
      <c r="K231" s="21"/>
      <c r="L231" s="22"/>
      <c r="M231" s="23"/>
      <c r="O231" s="19" t="str">
        <f>VLOOKUP(QUERY_FOR_TRNSTRANSPOSED_0008!A231,'[6]Fin vs NFin'!$A$4:$F$568,6,FALSE)</f>
        <v>Não Financeiras</v>
      </c>
      <c r="P231" s="24" t="str">
        <f t="shared" si="5"/>
        <v>89</v>
      </c>
      <c r="Q231" s="24"/>
      <c r="R231" s="24"/>
      <c r="S231" s="24"/>
      <c r="T231" s="24"/>
    </row>
    <row r="232" spans="1:20">
      <c r="A232" s="32" t="s">
        <v>324</v>
      </c>
      <c r="B232" s="32" t="str">
        <f>VLOOKUP(A232,'[6]Fin vs NFin'!$A$4:$B$568,2,FALSE)</f>
        <v>!Taxa Mensal de Serviço</v>
      </c>
      <c r="C232" s="32" t="s">
        <v>331</v>
      </c>
      <c r="D232" s="32" t="s">
        <v>326</v>
      </c>
      <c r="E232" s="32" t="str">
        <f>VLOOKUP(D232,[6]Arvore!$N$8:$Q$6855,4,FALSE)</f>
        <v>5151594</v>
      </c>
      <c r="F232" s="33">
        <v>15.22</v>
      </c>
      <c r="G232" s="33">
        <v>15.22</v>
      </c>
      <c r="H232" s="34">
        <v>0</v>
      </c>
      <c r="I232" s="114"/>
      <c r="J232" s="19"/>
      <c r="K232" s="21"/>
      <c r="L232" s="22"/>
      <c r="M232" s="23"/>
      <c r="O232" s="19" t="str">
        <f>VLOOKUP(QUERY_FOR_TRNSTRANSPOSED_0008!A232,'[6]Fin vs NFin'!$A$4:$F$568,6,FALSE)</f>
        <v>Não Financeiras</v>
      </c>
      <c r="P232" s="24" t="str">
        <f t="shared" si="5"/>
        <v>89</v>
      </c>
      <c r="Q232" s="24"/>
      <c r="R232" s="24"/>
      <c r="S232" s="24"/>
      <c r="T232" s="24"/>
    </row>
    <row r="233" spans="1:20">
      <c r="A233" s="18" t="s">
        <v>324</v>
      </c>
      <c r="B233" s="18" t="str">
        <f>VLOOKUP(A233,'[6]Fin vs NFin'!$A$4:$B$568,2,FALSE)</f>
        <v>!Taxa Mensal de Serviço</v>
      </c>
      <c r="C233" s="18" t="s">
        <v>332</v>
      </c>
      <c r="D233" s="18" t="s">
        <v>326</v>
      </c>
      <c r="E233" s="18" t="str">
        <f>VLOOKUP(D233,[6]Arvore!$N$8:$Q$6855,4,FALSE)</f>
        <v>5151594</v>
      </c>
      <c r="F233" s="19">
        <v>71.459999999999994</v>
      </c>
      <c r="G233" s="19">
        <v>51.46</v>
      </c>
      <c r="H233" s="20">
        <v>20</v>
      </c>
      <c r="I233" s="114"/>
      <c r="J233" s="19"/>
      <c r="K233" s="21"/>
      <c r="L233" s="22"/>
      <c r="M233" s="23"/>
      <c r="O233" s="19" t="str">
        <f>VLOOKUP(QUERY_FOR_TRNSTRANSPOSED_0008!A233,'[6]Fin vs NFin'!$A$4:$F$568,6,FALSE)</f>
        <v>Não Financeiras</v>
      </c>
      <c r="P233" s="24" t="str">
        <f t="shared" si="5"/>
        <v>89</v>
      </c>
      <c r="Q233" s="24"/>
      <c r="R233" s="24"/>
      <c r="S233" s="24"/>
      <c r="T233" s="24"/>
    </row>
    <row r="234" spans="1:20" ht="15" thickBot="1">
      <c r="A234" s="18" t="s">
        <v>324</v>
      </c>
      <c r="B234" s="18" t="str">
        <f>VLOOKUP(A234,'[6]Fin vs NFin'!$A$4:$B$568,2,FALSE)</f>
        <v>!Taxa Mensal de Serviço</v>
      </c>
      <c r="C234" s="18" t="s">
        <v>333</v>
      </c>
      <c r="D234" s="18" t="s">
        <v>326</v>
      </c>
      <c r="E234" s="18" t="str">
        <f>VLOOKUP(D234,[6]Arvore!$N$8:$Q$6855,4,FALSE)</f>
        <v>5151594</v>
      </c>
      <c r="F234" s="19">
        <v>170</v>
      </c>
      <c r="G234" s="19">
        <v>190</v>
      </c>
      <c r="H234" s="20">
        <v>-20</v>
      </c>
      <c r="I234" s="114"/>
      <c r="J234" s="19"/>
      <c r="K234" s="21"/>
      <c r="L234" s="22"/>
      <c r="M234" s="23"/>
      <c r="O234" s="19" t="str">
        <f>VLOOKUP(QUERY_FOR_TRNSTRANSPOSED_0008!A234,'[6]Fin vs NFin'!$A$4:$F$568,6,FALSE)</f>
        <v>Não Financeiras</v>
      </c>
      <c r="P234" s="24" t="str">
        <f t="shared" si="5"/>
        <v>89</v>
      </c>
      <c r="Q234" s="24"/>
      <c r="R234" s="24"/>
      <c r="S234" s="24"/>
      <c r="T234" s="24"/>
    </row>
    <row r="235" spans="1:20" ht="15" thickBot="1">
      <c r="A235" s="44" t="s">
        <v>334</v>
      </c>
      <c r="B235" s="44" t="str">
        <f>VLOOKUP(A235,'[6]Fin vs NFin'!$A$4:$B$568,2,FALSE)</f>
        <v>!Taxa Serviço Comerciante</v>
      </c>
      <c r="C235" s="44" t="s">
        <v>335</v>
      </c>
      <c r="D235" s="44" t="s">
        <v>294</v>
      </c>
      <c r="E235" s="44" t="str">
        <f>VLOOKUP(D235,[6]Arvore!$N$8:$Q$6855,4,FALSE)</f>
        <v>55088091</v>
      </c>
      <c r="F235" s="45">
        <v>13.73</v>
      </c>
      <c r="G235" s="45">
        <v>13.73</v>
      </c>
      <c r="H235" s="46">
        <v>0</v>
      </c>
      <c r="I235" s="53">
        <v>0</v>
      </c>
      <c r="J235" s="26"/>
      <c r="K235" s="21"/>
      <c r="L235" s="29"/>
      <c r="M235" s="30"/>
      <c r="O235" s="26" t="str">
        <f>VLOOKUP(QUERY_FOR_TRNSTRANSPOSED_0008!A235,'[6]Fin vs NFin'!$A$4:$F$568,6,FALSE)</f>
        <v>Não Financeiras</v>
      </c>
      <c r="P235" s="31" t="str">
        <f t="shared" si="5"/>
        <v>89</v>
      </c>
      <c r="Q235" s="31" t="str">
        <f>VLOOKUP(D235,[6]Mapeamento!$A$38:$C$497,3,FALSE)</f>
        <v>OREX</v>
      </c>
      <c r="R235" s="31"/>
      <c r="S235" s="31"/>
      <c r="T235" s="31"/>
    </row>
    <row r="236" spans="1:20">
      <c r="A236" s="32" t="s">
        <v>336</v>
      </c>
      <c r="B236" s="32" t="str">
        <f>VLOOKUP(A236,'[6]Fin vs NFin'!$A$4:$B$568,2,FALSE)</f>
        <v>!Cms Negociação Unicre</v>
      </c>
      <c r="C236" s="32" t="s">
        <v>82</v>
      </c>
      <c r="D236" s="32" t="s">
        <v>326</v>
      </c>
      <c r="E236" s="32" t="str">
        <f>VLOOKUP(D236,[6]Arvore!$N$8:$Q$6855,4,FALSE)</f>
        <v>5151594</v>
      </c>
      <c r="F236" s="33">
        <v>3225006.69</v>
      </c>
      <c r="G236" s="33">
        <v>3225006.69</v>
      </c>
      <c r="H236" s="34">
        <v>-4.65661287307739E-10</v>
      </c>
      <c r="I236" s="114">
        <f>SUM(H236:H237)</f>
        <v>-4.65661287307739E-10</v>
      </c>
      <c r="J236" s="19"/>
      <c r="K236" s="21"/>
      <c r="L236" s="22"/>
      <c r="M236" s="23"/>
      <c r="O236" s="19" t="str">
        <f>VLOOKUP(QUERY_FOR_TRNSTRANSPOSED_0008!A236,'[6]Fin vs NFin'!$A$4:$F$568,6,FALSE)</f>
        <v>Não Financeiras</v>
      </c>
      <c r="P236" s="24" t="str">
        <f t="shared" si="5"/>
        <v>89</v>
      </c>
      <c r="Q236" s="24"/>
      <c r="R236" s="24"/>
      <c r="S236" s="24"/>
      <c r="T236" s="24"/>
    </row>
    <row r="237" spans="1:20" ht="15" thickBot="1">
      <c r="A237" s="35" t="s">
        <v>336</v>
      </c>
      <c r="B237" s="35" t="str">
        <f>VLOOKUP(A237,'[6]Fin vs NFin'!$A$4:$B$568,2,FALSE)</f>
        <v>!Cms Negociação Unicre</v>
      </c>
      <c r="C237" s="35" t="s">
        <v>67</v>
      </c>
      <c r="D237" s="35" t="s">
        <v>326</v>
      </c>
      <c r="E237" s="35" t="str">
        <f>VLOOKUP(D237,[6]Arvore!$N$8:$Q$6855,4,FALSE)</f>
        <v>5151594</v>
      </c>
      <c r="F237" s="36">
        <v>-3220348.58</v>
      </c>
      <c r="G237" s="36">
        <v>-3220348.58</v>
      </c>
      <c r="H237" s="37">
        <v>0</v>
      </c>
      <c r="I237" s="109"/>
      <c r="J237" s="12"/>
      <c r="K237" s="21"/>
      <c r="L237" s="15"/>
      <c r="M237" s="16"/>
      <c r="O237" s="12" t="str">
        <f>VLOOKUP(QUERY_FOR_TRNSTRANSPOSED_0008!A237,'[6]Fin vs NFin'!$A$4:$F$568,6,FALSE)</f>
        <v>Não Financeiras</v>
      </c>
      <c r="P237" s="17" t="str">
        <f t="shared" si="5"/>
        <v>89</v>
      </c>
      <c r="Q237" s="17"/>
      <c r="R237" s="17"/>
      <c r="S237" s="17"/>
      <c r="T237" s="17"/>
    </row>
    <row r="238" spans="1:20" ht="15" thickBot="1">
      <c r="A238" s="49" t="s">
        <v>337</v>
      </c>
      <c r="B238" s="49" t="str">
        <f>VLOOKUP(A238,'[6]Fin vs NFin'!$A$4:$B$568,2,FALSE)</f>
        <v>!Processamento SIBS (POS)</v>
      </c>
      <c r="C238" s="49" t="s">
        <v>82</v>
      </c>
      <c r="D238" s="49" t="s">
        <v>338</v>
      </c>
      <c r="E238" s="49" t="str">
        <f>VLOOKUP(D238,[6]Arvore!$N$8:$Q$6855,4,FALSE)</f>
        <v>4161599</v>
      </c>
      <c r="F238" s="50">
        <v>5566.46</v>
      </c>
      <c r="G238" s="50">
        <v>5566.46</v>
      </c>
      <c r="H238" s="51">
        <v>0</v>
      </c>
      <c r="I238" s="52">
        <v>0</v>
      </c>
      <c r="J238" s="39"/>
      <c r="K238" s="21"/>
      <c r="L238" s="41"/>
      <c r="M238" s="42"/>
      <c r="O238" s="39" t="str">
        <f>VLOOKUP(QUERY_FOR_TRNSTRANSPOSED_0008!A238,'[6]Fin vs NFin'!$A$4:$F$568,6,FALSE)</f>
        <v>Não Financeiras</v>
      </c>
      <c r="P238" s="43" t="str">
        <f t="shared" si="5"/>
        <v>71</v>
      </c>
      <c r="Q238" s="43"/>
      <c r="R238" s="43"/>
      <c r="S238" s="43"/>
      <c r="T238" s="43"/>
    </row>
    <row r="239" spans="1:20" ht="15" thickBot="1">
      <c r="A239" s="44" t="s">
        <v>339</v>
      </c>
      <c r="B239" s="44" t="str">
        <f>VLOOKUP(A239,'[6]Fin vs NFin'!$A$4:$B$568,2,FALSE)</f>
        <v>!Getnet (10%)</v>
      </c>
      <c r="C239" s="44" t="s">
        <v>340</v>
      </c>
      <c r="D239" s="44" t="s">
        <v>341</v>
      </c>
      <c r="E239" s="44" t="str">
        <f>VLOOKUP(D239,[6]Arvore!$N$8:$Q$6855,4,FALSE)</f>
        <v>5151594</v>
      </c>
      <c r="F239" s="45">
        <v>2058966.73</v>
      </c>
      <c r="G239" s="45">
        <v>2058966.73</v>
      </c>
      <c r="H239" s="46">
        <v>0</v>
      </c>
      <c r="I239" s="28">
        <v>0</v>
      </c>
      <c r="J239" s="26"/>
      <c r="L239" s="29"/>
      <c r="M239" s="30"/>
      <c r="O239" s="26" t="str">
        <f>VLOOKUP(QUERY_FOR_TRNSTRANSPOSED_0008!A239,'[6]Fin vs NFin'!$A$4:$F$568,6,FALSE)</f>
        <v>Não Financeiras</v>
      </c>
      <c r="P239" s="31" t="str">
        <f t="shared" si="5"/>
        <v>89</v>
      </c>
      <c r="Q239" s="31"/>
      <c r="R239" s="31"/>
      <c r="S239" s="31"/>
      <c r="T239" s="31"/>
    </row>
    <row r="240" spans="1:20">
      <c r="A240" s="38" t="s">
        <v>342</v>
      </c>
      <c r="B240" s="38" t="str">
        <f>VLOOKUP(A240,'[6]Fin vs NFin'!$A$4:$B$568,2,FALSE)</f>
        <v>!Getnet (90%)</v>
      </c>
      <c r="C240" s="38" t="s">
        <v>343</v>
      </c>
      <c r="D240" s="38" t="s">
        <v>341</v>
      </c>
      <c r="E240" s="38" t="str">
        <f>VLOOKUP(D240,[6]Arvore!$N$8:$Q$6855,4,FALSE)</f>
        <v>5151594</v>
      </c>
      <c r="F240" s="39">
        <v>-18523016.539999999</v>
      </c>
      <c r="G240" s="39">
        <v>0</v>
      </c>
      <c r="H240" s="40">
        <v>-18523016.539999999</v>
      </c>
      <c r="I240" s="108">
        <v>0</v>
      </c>
      <c r="J240" s="39"/>
      <c r="K240" s="21"/>
      <c r="L240" s="41"/>
      <c r="M240" s="42"/>
      <c r="O240" s="39" t="str">
        <f>VLOOKUP(QUERY_FOR_TRNSTRANSPOSED_0008!A240,'[6]Fin vs NFin'!$A$4:$F$568,6,FALSE)</f>
        <v>Não Financeiras</v>
      </c>
      <c r="P240" s="43" t="str">
        <f t="shared" si="5"/>
        <v>89</v>
      </c>
      <c r="Q240" s="43"/>
      <c r="R240" s="43"/>
      <c r="S240" s="43"/>
      <c r="T240" s="43"/>
    </row>
    <row r="241" spans="1:20" ht="15" thickBot="1">
      <c r="A241" s="11" t="s">
        <v>342</v>
      </c>
      <c r="B241" s="11" t="str">
        <f>VLOOKUP(A241,'[6]Fin vs NFin'!$A$4:$B$568,2,FALSE)</f>
        <v>!Getnet (90%)</v>
      </c>
      <c r="C241" s="11" t="s">
        <v>344</v>
      </c>
      <c r="D241" s="11" t="s">
        <v>345</v>
      </c>
      <c r="E241" s="11" t="str">
        <f>VLOOKUP(D241,[6]Arvore!$N$8:$Q$6855,4,FALSE)</f>
        <v/>
      </c>
      <c r="F241" s="12">
        <v>18523016.539999999</v>
      </c>
      <c r="G241" s="12">
        <v>0</v>
      </c>
      <c r="H241" s="13">
        <v>18523016.539999999</v>
      </c>
      <c r="I241" s="109"/>
      <c r="J241" s="12"/>
      <c r="K241" s="21"/>
      <c r="L241" s="15" t="s">
        <v>346</v>
      </c>
      <c r="M241" s="16">
        <f>H241</f>
        <v>18523016.539999999</v>
      </c>
      <c r="N241" s="2"/>
      <c r="O241" s="12" t="str">
        <f>VLOOKUP(QUERY_FOR_TRNSTRANSPOSED_0008!A241,'[6]Fin vs NFin'!$A$4:$F$568,6,FALSE)</f>
        <v>Não Financeiras</v>
      </c>
      <c r="P241" s="17" t="str">
        <f t="shared" si="5"/>
        <v>GN</v>
      </c>
      <c r="Q241" s="17"/>
      <c r="R241" s="17"/>
      <c r="S241" s="17"/>
      <c r="T241" s="17"/>
    </row>
    <row r="242" spans="1:20" ht="15" thickBot="1">
      <c r="A242" s="32" t="s">
        <v>347</v>
      </c>
      <c r="B242" s="32" t="str">
        <f>VLOOKUP(A242,'[6]Fin vs NFin'!$A$4:$B$568,2,FALSE)</f>
        <v>!Custos Diversos POS</v>
      </c>
      <c r="C242" s="32" t="s">
        <v>67</v>
      </c>
      <c r="D242" s="32" t="s">
        <v>348</v>
      </c>
      <c r="E242" s="32" t="str">
        <f>VLOOKUP(D242,[6]Arvore!$N$8:$Q$6855,4,FALSE)</f>
        <v>4161599</v>
      </c>
      <c r="F242" s="33">
        <v>-16.36</v>
      </c>
      <c r="G242" s="33">
        <v>-16.36</v>
      </c>
      <c r="H242" s="34">
        <v>0</v>
      </c>
      <c r="I242" s="54">
        <v>0</v>
      </c>
      <c r="J242" s="19"/>
      <c r="K242" s="21"/>
      <c r="L242" s="22"/>
      <c r="M242" s="23"/>
      <c r="O242" s="19" t="str">
        <f>VLOOKUP(QUERY_FOR_TRNSTRANSPOSED_0008!A242,'[6]Fin vs NFin'!$A$4:$F$568,6,FALSE)</f>
        <v>Não Financeiras</v>
      </c>
      <c r="P242" s="24" t="str">
        <f t="shared" si="5"/>
        <v>71</v>
      </c>
      <c r="Q242" s="24"/>
      <c r="R242" s="24"/>
      <c r="S242" s="24"/>
      <c r="T242" s="24"/>
    </row>
    <row r="243" spans="1:20">
      <c r="A243" s="38" t="s">
        <v>349</v>
      </c>
      <c r="B243" s="38" t="str">
        <f>VLOOKUP(A243,'[6]Fin vs NFin'!$A$4:$B$568,2,FALSE)</f>
        <v>!Anuidades CR-Cash</v>
      </c>
      <c r="C243" s="38" t="s">
        <v>350</v>
      </c>
      <c r="D243" s="38" t="s">
        <v>203</v>
      </c>
      <c r="E243" s="38" t="str">
        <f>VLOOKUP(D243,[6]Arvore!$N$8:$Q$6855,4,FALSE)</f>
        <v>5151506</v>
      </c>
      <c r="F243" s="39">
        <v>-1000.99</v>
      </c>
      <c r="G243" s="39">
        <v>-11410.14</v>
      </c>
      <c r="H243" s="40">
        <v>10409.15</v>
      </c>
      <c r="I243" s="108">
        <f>SUM(H243:H245)</f>
        <v>1.2078089639544487E-9</v>
      </c>
      <c r="J243" s="39"/>
      <c r="K243" s="21"/>
      <c r="L243" s="41"/>
      <c r="M243" s="42"/>
      <c r="O243" s="39" t="str">
        <f>VLOOKUP(QUERY_FOR_TRNSTRANSPOSED_0008!A243,'[6]Fin vs NFin'!$A$4:$F$568,6,FALSE)</f>
        <v>Não Financeiras</v>
      </c>
      <c r="P243" s="43" t="str">
        <f t="shared" si="5"/>
        <v>82</v>
      </c>
      <c r="Q243" s="43"/>
      <c r="R243" s="43"/>
      <c r="S243" s="43"/>
      <c r="T243" s="43"/>
    </row>
    <row r="244" spans="1:20">
      <c r="A244" s="18" t="s">
        <v>349</v>
      </c>
      <c r="B244" s="18" t="str">
        <f>VLOOKUP(A244,'[6]Fin vs NFin'!$A$4:$B$568,2,FALSE)</f>
        <v>!Anuidades CR-Cash</v>
      </c>
      <c r="C244" s="18" t="s">
        <v>351</v>
      </c>
      <c r="D244" s="18" t="s">
        <v>203</v>
      </c>
      <c r="E244" s="18" t="str">
        <f>VLOOKUP(D244,[6]Arvore!$N$8:$Q$6855,4,FALSE)</f>
        <v>5151506</v>
      </c>
      <c r="F244" s="19">
        <v>136966.88</v>
      </c>
      <c r="G244" s="19">
        <v>65309.81</v>
      </c>
      <c r="H244" s="20">
        <v>71657.070000000007</v>
      </c>
      <c r="I244" s="114"/>
      <c r="J244" s="19"/>
      <c r="K244" s="21"/>
      <c r="L244" s="22"/>
      <c r="M244" s="23"/>
      <c r="O244" s="19" t="str">
        <f>VLOOKUP(QUERY_FOR_TRNSTRANSPOSED_0008!A244,'[6]Fin vs NFin'!$A$4:$F$568,6,FALSE)</f>
        <v>Não Financeiras</v>
      </c>
      <c r="P244" s="24" t="str">
        <f t="shared" si="5"/>
        <v>82</v>
      </c>
      <c r="Q244" s="24"/>
      <c r="R244" s="24"/>
      <c r="S244" s="24"/>
      <c r="T244" s="24"/>
    </row>
    <row r="245" spans="1:20" ht="15" thickBot="1">
      <c r="A245" s="11" t="s">
        <v>349</v>
      </c>
      <c r="B245" s="11" t="str">
        <f>VLOOKUP(A245,'[6]Fin vs NFin'!$A$4:$B$568,2,FALSE)</f>
        <v>!Anuidades CR-Cash</v>
      </c>
      <c r="C245" s="11" t="s">
        <v>352</v>
      </c>
      <c r="D245" s="11" t="s">
        <v>203</v>
      </c>
      <c r="E245" s="11" t="str">
        <f>VLOOKUP(D245,[6]Arvore!$N$8:$Q$6855,4,FALSE)</f>
        <v>5151506</v>
      </c>
      <c r="F245" s="12">
        <v>20839206.329999998</v>
      </c>
      <c r="G245" s="12">
        <v>20921272.550000001</v>
      </c>
      <c r="H245" s="13">
        <v>-82066.219999998793</v>
      </c>
      <c r="I245" s="109"/>
      <c r="J245" s="12"/>
      <c r="K245" s="21"/>
      <c r="L245" s="15"/>
      <c r="M245" s="16"/>
      <c r="O245" s="12" t="str">
        <f>VLOOKUP(QUERY_FOR_TRNSTRANSPOSED_0008!A245,'[6]Fin vs NFin'!$A$4:$F$568,6,FALSE)</f>
        <v>Não Financeiras</v>
      </c>
      <c r="P245" s="17" t="str">
        <f t="shared" si="5"/>
        <v>82</v>
      </c>
      <c r="Q245" s="17"/>
      <c r="R245" s="17"/>
      <c r="S245" s="17"/>
      <c r="T245" s="17"/>
    </row>
    <row r="246" spans="1:20" ht="15" thickBot="1">
      <c r="A246" s="25" t="s">
        <v>353</v>
      </c>
      <c r="B246" s="25" t="str">
        <f>VLOOKUP(A246,'[6]Fin vs NFin'!$A$4:$B$568,2,FALSE)</f>
        <v>!Anuidades CR-Periodif.</v>
      </c>
      <c r="C246" s="25" t="s">
        <v>354</v>
      </c>
      <c r="D246" s="25" t="s">
        <v>203</v>
      </c>
      <c r="E246" s="25" t="str">
        <f>VLOOKUP(D246,[6]Arvore!$N$8:$Q$6855,4,FALSE)</f>
        <v>5151506</v>
      </c>
      <c r="F246" s="26">
        <v>-2335.83</v>
      </c>
      <c r="G246" s="26">
        <v>-2337.7800000000002</v>
      </c>
      <c r="H246" s="27">
        <v>1.95000000000027</v>
      </c>
      <c r="I246" s="28">
        <v>1.95000000000027</v>
      </c>
      <c r="J246" s="26"/>
      <c r="L246" s="29"/>
      <c r="M246" s="30"/>
      <c r="O246" s="26" t="str">
        <f>VLOOKUP(QUERY_FOR_TRNSTRANSPOSED_0008!A246,'[6]Fin vs NFin'!$A$4:$F$568,6,FALSE)</f>
        <v>Não Financeiras</v>
      </c>
      <c r="P246" s="31" t="str">
        <f t="shared" si="5"/>
        <v>82</v>
      </c>
      <c r="Q246" s="31"/>
      <c r="R246" s="31"/>
      <c r="S246" s="31"/>
      <c r="T246" s="31"/>
    </row>
    <row r="247" spans="1:20">
      <c r="A247" s="18" t="s">
        <v>355</v>
      </c>
      <c r="B247" s="18" t="str">
        <f>VLOOKUP(A247,'[6]Fin vs NFin'!$A$4:$B$568,2,FALSE)</f>
        <v>!Abertura - Cash</v>
      </c>
      <c r="C247" s="18" t="s">
        <v>356</v>
      </c>
      <c r="D247" s="18" t="s">
        <v>357</v>
      </c>
      <c r="E247" s="18" t="str">
        <f>VLOOKUP(D247,[6]Arvore!$N$8:$Q$6855,4,FALSE)</f>
        <v>5015305700</v>
      </c>
      <c r="F247" s="19">
        <v>45880612.979999997</v>
      </c>
      <c r="G247" s="19">
        <v>45880613.128095597</v>
      </c>
      <c r="H247" s="20">
        <v>-0.148095592856407</v>
      </c>
      <c r="I247" s="114">
        <f>SUM(H247:H251)</f>
        <v>-0.14809559285458801</v>
      </c>
      <c r="J247" s="19"/>
      <c r="K247" s="21"/>
      <c r="L247" s="22"/>
      <c r="M247" s="23"/>
      <c r="O247" s="19" t="str">
        <f>VLOOKUP(QUERY_FOR_TRNSTRANSPOSED_0008!A247,'[6]Fin vs NFin'!$A$4:$F$568,6,FALSE)</f>
        <v>Financeiras</v>
      </c>
      <c r="P247" s="24" t="str">
        <f t="shared" si="5"/>
        <v>82</v>
      </c>
      <c r="Q247" s="24"/>
      <c r="R247" s="24"/>
      <c r="S247" s="24"/>
      <c r="T247" s="24" t="str">
        <f>VLOOKUP(D247,[6]Mapeamento!$A$38:$C$497,3,FALSE)</f>
        <v>REC_MF</v>
      </c>
    </row>
    <row r="248" spans="1:20">
      <c r="A248" s="32" t="s">
        <v>355</v>
      </c>
      <c r="B248" s="32" t="str">
        <f>VLOOKUP(A248,'[6]Fin vs NFin'!$A$4:$B$568,2,FALSE)</f>
        <v>!Abertura - Cash</v>
      </c>
      <c r="C248" s="32" t="s">
        <v>358</v>
      </c>
      <c r="D248" s="32" t="s">
        <v>357</v>
      </c>
      <c r="E248" s="32" t="str">
        <f>VLOOKUP(D248,[6]Arvore!$N$8:$Q$6855,4,FALSE)</f>
        <v>5015305700</v>
      </c>
      <c r="F248" s="33">
        <v>-80</v>
      </c>
      <c r="G248" s="33">
        <v>-80</v>
      </c>
      <c r="H248" s="34">
        <v>0</v>
      </c>
      <c r="I248" s="114"/>
      <c r="J248" s="19"/>
      <c r="K248" s="21"/>
      <c r="L248" s="22"/>
      <c r="M248" s="23"/>
      <c r="O248" s="19" t="str">
        <f>VLOOKUP(QUERY_FOR_TRNSTRANSPOSED_0008!A248,'[6]Fin vs NFin'!$A$4:$F$568,6,FALSE)</f>
        <v>Financeiras</v>
      </c>
      <c r="P248" s="24" t="str">
        <f t="shared" si="5"/>
        <v>82</v>
      </c>
      <c r="Q248" s="24"/>
      <c r="R248" s="24"/>
      <c r="S248" s="24"/>
      <c r="T248" s="24" t="str">
        <f>VLOOKUP(D248,[6]Mapeamento!$A$38:$C$497,3,FALSE)</f>
        <v>REC_MF</v>
      </c>
    </row>
    <row r="249" spans="1:20">
      <c r="A249" s="32" t="s">
        <v>355</v>
      </c>
      <c r="B249" s="32" t="str">
        <f>VLOOKUP(A249,'[6]Fin vs NFin'!$A$4:$B$568,2,FALSE)</f>
        <v>!Abertura - Cash</v>
      </c>
      <c r="C249" s="32" t="s">
        <v>359</v>
      </c>
      <c r="D249" s="32" t="s">
        <v>357</v>
      </c>
      <c r="E249" s="32" t="str">
        <f>VLOOKUP(D249,[6]Arvore!$N$8:$Q$6855,4,FALSE)</f>
        <v>5015305700</v>
      </c>
      <c r="F249" s="33">
        <v>332610.09000000003</v>
      </c>
      <c r="G249" s="33">
        <v>332610.09000000003</v>
      </c>
      <c r="H249" s="34">
        <v>0</v>
      </c>
      <c r="I249" s="114"/>
      <c r="J249" s="19"/>
      <c r="K249" s="21"/>
      <c r="L249" s="22"/>
      <c r="M249" s="23"/>
      <c r="O249" s="19" t="str">
        <f>VLOOKUP(QUERY_FOR_TRNSTRANSPOSED_0008!A249,'[6]Fin vs NFin'!$A$4:$F$568,6,FALSE)</f>
        <v>Financeiras</v>
      </c>
      <c r="P249" s="24" t="str">
        <f t="shared" si="5"/>
        <v>82</v>
      </c>
      <c r="Q249" s="24"/>
      <c r="R249" s="24"/>
      <c r="S249" s="24"/>
      <c r="T249" s="24" t="str">
        <f>VLOOKUP(D249,[6]Mapeamento!$A$38:$C$497,3,FALSE)</f>
        <v>REC_MF</v>
      </c>
    </row>
    <row r="250" spans="1:20">
      <c r="A250" s="32" t="s">
        <v>355</v>
      </c>
      <c r="B250" s="32" t="str">
        <f>VLOOKUP(A250,'[6]Fin vs NFin'!$A$4:$B$568,2,FALSE)</f>
        <v>!Abertura - Cash</v>
      </c>
      <c r="C250" s="32" t="s">
        <v>360</v>
      </c>
      <c r="D250" s="32" t="s">
        <v>357</v>
      </c>
      <c r="E250" s="32" t="str">
        <f>VLOOKUP(D250,[6]Arvore!$N$8:$Q$6855,4,FALSE)</f>
        <v>5015305700</v>
      </c>
      <c r="F250" s="33">
        <v>-12985.03</v>
      </c>
      <c r="G250" s="33">
        <v>-12985.03</v>
      </c>
      <c r="H250" s="34">
        <v>1.8189894035458601E-12</v>
      </c>
      <c r="I250" s="114"/>
      <c r="J250" s="19"/>
      <c r="K250" s="21"/>
      <c r="L250" s="22"/>
      <c r="M250" s="23"/>
      <c r="O250" s="19" t="str">
        <f>VLOOKUP(QUERY_FOR_TRNSTRANSPOSED_0008!A250,'[6]Fin vs NFin'!$A$4:$F$568,6,FALSE)</f>
        <v>Financeiras</v>
      </c>
      <c r="P250" s="24" t="str">
        <f t="shared" si="5"/>
        <v>82</v>
      </c>
      <c r="Q250" s="24"/>
      <c r="R250" s="24"/>
      <c r="S250" s="24"/>
      <c r="T250" s="24" t="str">
        <f>VLOOKUP(D250,[6]Mapeamento!$A$38:$C$497,3,FALSE)</f>
        <v>REC_MF</v>
      </c>
    </row>
    <row r="251" spans="1:20" ht="15" thickBot="1">
      <c r="A251" s="32" t="s">
        <v>355</v>
      </c>
      <c r="B251" s="32" t="str">
        <f>VLOOKUP(A251,'[6]Fin vs NFin'!$A$4:$B$568,2,FALSE)</f>
        <v>!Abertura - Cash</v>
      </c>
      <c r="C251" s="32" t="s">
        <v>67</v>
      </c>
      <c r="D251" s="32" t="s">
        <v>357</v>
      </c>
      <c r="E251" s="32" t="str">
        <f>VLOOKUP(D251,[6]Arvore!$N$8:$Q$6855,4,FALSE)</f>
        <v>5015305700</v>
      </c>
      <c r="F251" s="33">
        <v>2810</v>
      </c>
      <c r="G251" s="33">
        <v>2810</v>
      </c>
      <c r="H251" s="34">
        <v>0</v>
      </c>
      <c r="I251" s="114"/>
      <c r="J251" s="19"/>
      <c r="K251" s="21"/>
      <c r="L251" s="22"/>
      <c r="M251" s="23"/>
      <c r="O251" s="19" t="str">
        <f>VLOOKUP(QUERY_FOR_TRNSTRANSPOSED_0008!A251,'[6]Fin vs NFin'!$A$4:$F$568,6,FALSE)</f>
        <v>Financeiras</v>
      </c>
      <c r="P251" s="24" t="str">
        <f t="shared" si="5"/>
        <v>82</v>
      </c>
      <c r="Q251" s="24"/>
      <c r="R251" s="24"/>
      <c r="S251" s="24"/>
      <c r="T251" s="24" t="str">
        <f>VLOOKUP(D251,[6]Mapeamento!$A$38:$C$497,3,FALSE)</f>
        <v>REC_MF</v>
      </c>
    </row>
    <row r="252" spans="1:20">
      <c r="A252" s="38" t="s">
        <v>361</v>
      </c>
      <c r="B252" s="38" t="str">
        <f>VLOOKUP(A252,'[6]Fin vs NFin'!$A$4:$B$568,2,FALSE)</f>
        <v>!Abertura - Periodif.</v>
      </c>
      <c r="C252" s="38" t="s">
        <v>362</v>
      </c>
      <c r="D252" s="38" t="s">
        <v>357</v>
      </c>
      <c r="E252" s="38" t="str">
        <f>VLOOKUP(D252,[6]Arvore!$N$8:$Q$6855,4,FALSE)</f>
        <v>5015305700</v>
      </c>
      <c r="F252" s="39">
        <v>429523.18</v>
      </c>
      <c r="G252" s="39">
        <v>578490.09</v>
      </c>
      <c r="H252" s="40">
        <v>-148966.91</v>
      </c>
      <c r="I252" s="108">
        <v>4.2350100353360176E-2</v>
      </c>
      <c r="J252" s="39"/>
      <c r="K252" s="21"/>
      <c r="L252" s="41"/>
      <c r="M252" s="42"/>
      <c r="O252" s="39" t="str">
        <f>VLOOKUP(QUERY_FOR_TRNSTRANSPOSED_0008!A252,'[6]Fin vs NFin'!$A$4:$F$568,6,FALSE)</f>
        <v>Financeiras</v>
      </c>
      <c r="P252" s="43" t="str">
        <f t="shared" si="5"/>
        <v>82</v>
      </c>
      <c r="Q252" s="43"/>
      <c r="R252" s="43"/>
      <c r="S252" s="43"/>
      <c r="T252" s="43" t="str">
        <f>VLOOKUP(D252,[6]Mapeamento!$A$38:$C$497,3,FALSE)</f>
        <v>REC_MF</v>
      </c>
    </row>
    <row r="253" spans="1:20">
      <c r="A253" s="18" t="s">
        <v>361</v>
      </c>
      <c r="B253" s="18" t="str">
        <f>VLOOKUP(A253,'[6]Fin vs NFin'!$A$4:$B$568,2,FALSE)</f>
        <v>!Abertura - Periodif.</v>
      </c>
      <c r="C253" s="18" t="s">
        <v>363</v>
      </c>
      <c r="D253" s="18" t="s">
        <v>357</v>
      </c>
      <c r="E253" s="18" t="str">
        <f>VLOOKUP(D253,[6]Arvore!$N$8:$Q$6855,4,FALSE)</f>
        <v>5015305700</v>
      </c>
      <c r="F253" s="19">
        <v>-13544434.27</v>
      </c>
      <c r="G253" s="19">
        <v>-13544434.3123501</v>
      </c>
      <c r="H253" s="20">
        <v>4.2350100353360197E-2</v>
      </c>
      <c r="I253" s="114"/>
      <c r="J253" s="19"/>
      <c r="K253" s="21"/>
      <c r="L253" s="22"/>
      <c r="M253" s="23"/>
      <c r="O253" s="19" t="str">
        <f>VLOOKUP(QUERY_FOR_TRNSTRANSPOSED_0008!A253,'[6]Fin vs NFin'!$A$4:$F$568,6,FALSE)</f>
        <v>Financeiras</v>
      </c>
      <c r="P253" s="24" t="str">
        <f t="shared" si="5"/>
        <v>82</v>
      </c>
      <c r="Q253" s="24"/>
      <c r="R253" s="24"/>
      <c r="S253" s="24"/>
      <c r="T253" s="24" t="str">
        <f>VLOOKUP(D253,[6]Mapeamento!$A$38:$C$497,3,FALSE)</f>
        <v>REC_MF</v>
      </c>
    </row>
    <row r="254" spans="1:20">
      <c r="A254" s="32" t="s">
        <v>361</v>
      </c>
      <c r="B254" s="32" t="str">
        <f>VLOOKUP(A254,'[6]Fin vs NFin'!$A$4:$B$568,2,FALSE)</f>
        <v>!Abertura - Periodif.</v>
      </c>
      <c r="C254" s="32" t="s">
        <v>363</v>
      </c>
      <c r="D254" s="32" t="s">
        <v>364</v>
      </c>
      <c r="E254" s="32" t="str">
        <f>VLOOKUP(D254,[6]Arvore!$N$8:$Q$6855,4,FALSE)</f>
        <v>501530470</v>
      </c>
      <c r="F254" s="33">
        <v>265.5</v>
      </c>
      <c r="G254" s="33">
        <v>265.5</v>
      </c>
      <c r="H254" s="34">
        <v>0</v>
      </c>
      <c r="I254" s="114"/>
      <c r="J254" s="19"/>
      <c r="K254" s="21"/>
      <c r="L254" s="22"/>
      <c r="M254" s="23"/>
      <c r="O254" s="19" t="str">
        <f>VLOOKUP(QUERY_FOR_TRNSTRANSPOSED_0008!A254,'[6]Fin vs NFin'!$A$4:$F$568,6,FALSE)</f>
        <v>Financeiras</v>
      </c>
      <c r="P254" s="24" t="str">
        <f t="shared" si="5"/>
        <v>82</v>
      </c>
      <c r="Q254" s="24"/>
      <c r="R254" s="24"/>
      <c r="S254" s="24"/>
      <c r="T254" s="24" t="str">
        <f>VLOOKUP(D254,[6]Mapeamento!$A$38:$C$497,3,FALSE)</f>
        <v>REC_MF</v>
      </c>
    </row>
    <row r="255" spans="1:20">
      <c r="A255" s="32" t="s">
        <v>361</v>
      </c>
      <c r="B255" s="32" t="str">
        <f>VLOOKUP(A255,'[6]Fin vs NFin'!$A$4:$B$568,2,FALSE)</f>
        <v>!Abertura - Periodif.</v>
      </c>
      <c r="C255" s="32" t="s">
        <v>365</v>
      </c>
      <c r="D255" s="32" t="s">
        <v>357</v>
      </c>
      <c r="E255" s="32" t="str">
        <f>VLOOKUP(D255,[6]Arvore!$N$8:$Q$6855,4,FALSE)</f>
        <v>5015305700</v>
      </c>
      <c r="F255" s="33">
        <v>46207.1</v>
      </c>
      <c r="G255" s="33">
        <v>46207.1</v>
      </c>
      <c r="H255" s="34">
        <v>2.18278728425503E-11</v>
      </c>
      <c r="I255" s="114"/>
      <c r="J255" s="19"/>
      <c r="K255" s="21"/>
      <c r="L255" s="22"/>
      <c r="M255" s="23"/>
      <c r="O255" s="19" t="str">
        <f>VLOOKUP(QUERY_FOR_TRNSTRANSPOSED_0008!A255,'[6]Fin vs NFin'!$A$4:$F$568,6,FALSE)</f>
        <v>Financeiras</v>
      </c>
      <c r="P255" s="24" t="str">
        <f t="shared" si="5"/>
        <v>82</v>
      </c>
      <c r="Q255" s="24"/>
      <c r="R255" s="24"/>
      <c r="S255" s="24"/>
      <c r="T255" s="24" t="str">
        <f>VLOOKUP(D255,[6]Mapeamento!$A$38:$C$497,3,FALSE)</f>
        <v>REC_MF</v>
      </c>
    </row>
    <row r="256" spans="1:20">
      <c r="A256" s="32" t="s">
        <v>361</v>
      </c>
      <c r="B256" s="32" t="str">
        <f>VLOOKUP(A256,'[6]Fin vs NFin'!$A$4:$B$568,2,FALSE)</f>
        <v>!Abertura - Periodif.</v>
      </c>
      <c r="C256" s="32" t="s">
        <v>366</v>
      </c>
      <c r="D256" s="32" t="s">
        <v>364</v>
      </c>
      <c r="E256" s="32" t="str">
        <f>VLOOKUP(D256,[6]Arvore!$N$8:$Q$6855,4,FALSE)</f>
        <v>501530470</v>
      </c>
      <c r="F256" s="33">
        <v>77986.94</v>
      </c>
      <c r="G256" s="33">
        <v>77986.94</v>
      </c>
      <c r="H256" s="34">
        <v>-2.91038304567337E-11</v>
      </c>
      <c r="I256" s="114"/>
      <c r="J256" s="19"/>
      <c r="K256" s="21"/>
      <c r="L256" s="22"/>
      <c r="M256" s="23"/>
      <c r="O256" s="19" t="str">
        <f>VLOOKUP(QUERY_FOR_TRNSTRANSPOSED_0008!A256,'[6]Fin vs NFin'!$A$4:$F$568,6,FALSE)</f>
        <v>Financeiras</v>
      </c>
      <c r="P256" s="24" t="str">
        <f t="shared" si="5"/>
        <v>82</v>
      </c>
      <c r="Q256" s="24"/>
      <c r="R256" s="24"/>
      <c r="S256" s="24"/>
      <c r="T256" s="24" t="str">
        <f>VLOOKUP(D256,[6]Mapeamento!$A$38:$C$497,3,FALSE)</f>
        <v>REC_MF</v>
      </c>
    </row>
    <row r="257" spans="1:20">
      <c r="A257" s="18" t="s">
        <v>361</v>
      </c>
      <c r="B257" s="18" t="str">
        <f>VLOOKUP(A257,'[6]Fin vs NFin'!$A$4:$B$568,2,FALSE)</f>
        <v>!Abertura - Periodif.</v>
      </c>
      <c r="C257" s="18" t="s">
        <v>367</v>
      </c>
      <c r="D257" s="18" t="s">
        <v>357</v>
      </c>
      <c r="E257" s="18" t="str">
        <f>VLOOKUP(D257,[6]Arvore!$N$8:$Q$6855,4,FALSE)</f>
        <v>5015305700</v>
      </c>
      <c r="F257" s="19">
        <v>50504.73</v>
      </c>
      <c r="G257" s="19">
        <v>-578393.04</v>
      </c>
      <c r="H257" s="20">
        <v>628897.77</v>
      </c>
      <c r="I257" s="114"/>
      <c r="J257" s="19"/>
      <c r="K257" s="21"/>
      <c r="L257" s="22"/>
      <c r="M257" s="23"/>
      <c r="O257" s="19" t="str">
        <f>VLOOKUP(QUERY_FOR_TRNSTRANSPOSED_0008!A257,'[6]Fin vs NFin'!$A$4:$F$568,6,FALSE)</f>
        <v>Financeiras</v>
      </c>
      <c r="P257" s="24" t="str">
        <f t="shared" si="5"/>
        <v>82</v>
      </c>
      <c r="Q257" s="24"/>
      <c r="R257" s="24"/>
      <c r="S257" s="24"/>
      <c r="T257" s="24" t="str">
        <f>VLOOKUP(D257,[6]Mapeamento!$A$38:$C$497,3,FALSE)</f>
        <v>REC_MF</v>
      </c>
    </row>
    <row r="258" spans="1:20" ht="15" thickBot="1">
      <c r="A258" s="18" t="s">
        <v>361</v>
      </c>
      <c r="B258" s="18" t="str">
        <f>VLOOKUP(A258,'[6]Fin vs NFin'!$A$4:$B$568,2,FALSE)</f>
        <v>!Abertura - Periodif.</v>
      </c>
      <c r="C258" s="18" t="s">
        <v>368</v>
      </c>
      <c r="D258" s="18" t="s">
        <v>357</v>
      </c>
      <c r="E258" s="18" t="str">
        <f>VLOOKUP(D258,[6]Arvore!$N$8:$Q$6855,4,FALSE)</f>
        <v>5015305700</v>
      </c>
      <c r="F258" s="19">
        <v>60722.03</v>
      </c>
      <c r="G258" s="19">
        <v>540652.89</v>
      </c>
      <c r="H258" s="20">
        <v>-479930.86</v>
      </c>
      <c r="I258" s="109"/>
      <c r="J258" s="19"/>
      <c r="K258" s="21"/>
      <c r="L258" s="22"/>
      <c r="M258" s="23"/>
      <c r="O258" s="19" t="str">
        <f>VLOOKUP(QUERY_FOR_TRNSTRANSPOSED_0008!A258,'[6]Fin vs NFin'!$A$4:$F$568,6,FALSE)</f>
        <v>Financeiras</v>
      </c>
      <c r="P258" s="24" t="str">
        <f t="shared" si="5"/>
        <v>82</v>
      </c>
      <c r="Q258" s="24"/>
      <c r="R258" s="24"/>
      <c r="S258" s="24"/>
      <c r="T258" s="24" t="str">
        <f>VLOOKUP(D258,[6]Mapeamento!$A$38:$C$497,3,FALSE)</f>
        <v>REC_MF</v>
      </c>
    </row>
    <row r="259" spans="1:20" ht="15" thickBot="1">
      <c r="A259" s="44" t="s">
        <v>369</v>
      </c>
      <c r="B259" s="44" t="str">
        <f>VLOOKUP(A259,'[6]Fin vs NFin'!$A$4:$B$568,2,FALSE)</f>
        <v>!Loja Digital Sant-Cash</v>
      </c>
      <c r="C259" s="44" t="s">
        <v>370</v>
      </c>
      <c r="D259" s="44" t="s">
        <v>371</v>
      </c>
      <c r="E259" s="44" t="str">
        <f>VLOOKUP(D259,[6]Arvore!$N$8:$Q$6855,4,FALSE)</f>
        <v>5020310570</v>
      </c>
      <c r="F259" s="45">
        <v>61275.24</v>
      </c>
      <c r="G259" s="45">
        <v>61275.24</v>
      </c>
      <c r="H259" s="46">
        <v>7.2759576141834308E-12</v>
      </c>
      <c r="I259" s="55">
        <v>7.2759576141834308E-12</v>
      </c>
      <c r="J259" s="26"/>
      <c r="K259" s="56"/>
      <c r="L259" s="29"/>
      <c r="M259" s="30"/>
      <c r="O259" s="26" t="str">
        <f>VLOOKUP(QUERY_FOR_TRNSTRANSPOSED_0008!A259,'[6]Fin vs NFin'!$A$4:$F$568,6,FALSE)</f>
        <v>Financeiras</v>
      </c>
      <c r="P259" s="31" t="str">
        <f t="shared" si="5"/>
        <v>82</v>
      </c>
      <c r="Q259" s="31"/>
      <c r="R259" s="31"/>
      <c r="S259" s="31"/>
      <c r="T259" s="31" t="str">
        <f>VLOOKUP(D259,[6]Mapeamento!$A$38:$C$497,3,FALSE)</f>
        <v>REC_MF</v>
      </c>
    </row>
    <row r="260" spans="1:20" ht="15" thickBot="1">
      <c r="A260" s="44" t="s">
        <v>372</v>
      </c>
      <c r="B260" s="44" t="str">
        <f>VLOOKUP(A260,'[6]Fin vs NFin'!$A$4:$B$568,2,FALSE)</f>
        <v>!Loja Digital-Sant-Period</v>
      </c>
      <c r="C260" s="44" t="s">
        <v>373</v>
      </c>
      <c r="D260" s="44" t="s">
        <v>371</v>
      </c>
      <c r="E260" s="44" t="str">
        <f>VLOOKUP(D260,[6]Arvore!$N$8:$Q$6855,4,FALSE)</f>
        <v>5020310570</v>
      </c>
      <c r="F260" s="45">
        <v>-10466.459999999999</v>
      </c>
      <c r="G260" s="45">
        <v>-10466.459999999999</v>
      </c>
      <c r="H260" s="46">
        <v>-1.8189894035458601E-12</v>
      </c>
      <c r="I260" s="55">
        <v>7.2759576141834308E-12</v>
      </c>
      <c r="J260" s="26"/>
      <c r="K260" s="56"/>
      <c r="L260" s="29"/>
      <c r="M260" s="30"/>
      <c r="O260" s="26" t="str">
        <f>VLOOKUP(QUERY_FOR_TRNSTRANSPOSED_0008!A260,'[6]Fin vs NFin'!$A$4:$F$568,6,FALSE)</f>
        <v>Financeiras</v>
      </c>
      <c r="P260" s="31" t="str">
        <f t="shared" si="5"/>
        <v>82</v>
      </c>
      <c r="Q260" s="31"/>
      <c r="R260" s="31"/>
      <c r="S260" s="31"/>
      <c r="T260" s="31" t="str">
        <f>VLOOKUP(D260,[6]Mapeamento!$A$38:$C$497,3,FALSE)</f>
        <v>REC_MF</v>
      </c>
    </row>
    <row r="261" spans="1:20">
      <c r="A261" s="38" t="s">
        <v>374</v>
      </c>
      <c r="B261" s="38" t="str">
        <f>VLOOKUP(A261,'[6]Fin vs NFin'!$A$4:$B$568,2,FALSE)</f>
        <v>!Camp.Cash Back CH-Cash</v>
      </c>
      <c r="C261" s="38" t="s">
        <v>375</v>
      </c>
      <c r="D261" s="38" t="s">
        <v>376</v>
      </c>
      <c r="E261" s="38" t="str">
        <f>VLOOKUP(D261,[6]Arvore!$N$8:$Q$6855,4,FALSE)</f>
        <v>5015305700</v>
      </c>
      <c r="F261" s="39">
        <v>-16038671.5</v>
      </c>
      <c r="G261" s="39">
        <v>-16026875.52</v>
      </c>
      <c r="H261" s="40">
        <v>-11795.979999998601</v>
      </c>
      <c r="I261" s="125">
        <v>-11795.979999998601</v>
      </c>
      <c r="J261" s="39"/>
      <c r="K261" s="21"/>
      <c r="L261" s="41"/>
      <c r="M261" s="42"/>
      <c r="O261" s="39" t="str">
        <f>VLOOKUP(QUERY_FOR_TRNSTRANSPOSED_0008!A261,'[6]Fin vs NFin'!$A$4:$F$568,6,FALSE)</f>
        <v>Financeiras</v>
      </c>
      <c r="P261" s="43" t="str">
        <f t="shared" si="5"/>
        <v>71</v>
      </c>
      <c r="Q261" s="43"/>
      <c r="R261" s="43"/>
      <c r="S261" s="43"/>
      <c r="T261" s="43" t="str">
        <f>VLOOKUP(D261,[6]Mapeamento!$A$38:$C$497,3,FALSE)</f>
        <v>REC_MF</v>
      </c>
    </row>
    <row r="262" spans="1:20" ht="15" thickBot="1">
      <c r="A262" s="11" t="s">
        <v>374</v>
      </c>
      <c r="B262" s="11" t="str">
        <f>VLOOKUP(A262,'[6]Fin vs NFin'!$A$4:$B$568,2,FALSE)</f>
        <v>!Camp.Cash Back CH-Cash</v>
      </c>
      <c r="C262" s="11" t="s">
        <v>67</v>
      </c>
      <c r="D262" s="11" t="s">
        <v>376</v>
      </c>
      <c r="E262" s="11" t="str">
        <f>VLOOKUP(D262,[6]Arvore!$N$8:$Q$6855,4,FALSE)</f>
        <v>5015305700</v>
      </c>
      <c r="F262" s="12"/>
      <c r="G262" s="12">
        <v>0</v>
      </c>
      <c r="H262" s="13">
        <v>0</v>
      </c>
      <c r="I262" s="126"/>
      <c r="J262" s="12"/>
      <c r="K262" s="21"/>
      <c r="L262" s="15"/>
      <c r="M262" s="16"/>
      <c r="O262" s="12" t="str">
        <f>VLOOKUP(QUERY_FOR_TRNSTRANSPOSED_0008!A262,'[6]Fin vs NFin'!$A$4:$F$568,6,FALSE)</f>
        <v>Financeiras</v>
      </c>
      <c r="P262" s="17" t="str">
        <f t="shared" ref="P262:P325" si="6">LEFT(D262,2)</f>
        <v>71</v>
      </c>
      <c r="Q262" s="17"/>
      <c r="R262" s="17"/>
      <c r="S262" s="17"/>
      <c r="T262" s="17" t="str">
        <f>VLOOKUP(D262,[6]Mapeamento!$A$38:$C$497,3,FALSE)</f>
        <v>REC_MF</v>
      </c>
    </row>
    <row r="263" spans="1:20" ht="15" thickBot="1">
      <c r="A263" s="44" t="s">
        <v>377</v>
      </c>
      <c r="B263" s="44" t="str">
        <f>VLOOKUP(A263,'[6]Fin vs NFin'!$A$4:$B$568,2,FALSE)</f>
        <v>!Camp.Cash Back CH-Period</v>
      </c>
      <c r="C263" s="44" t="s">
        <v>378</v>
      </c>
      <c r="D263" s="44" t="s">
        <v>376</v>
      </c>
      <c r="E263" s="44" t="str">
        <f>VLOOKUP(D263,[6]Arvore!$N$8:$Q$6855,4,FALSE)</f>
        <v>5015305700</v>
      </c>
      <c r="F263" s="45">
        <v>14635157.779999999</v>
      </c>
      <c r="G263" s="45">
        <v>14635157.779999999</v>
      </c>
      <c r="H263" s="46">
        <v>0</v>
      </c>
      <c r="I263" s="28">
        <v>0</v>
      </c>
      <c r="J263" s="26"/>
      <c r="L263" s="29"/>
      <c r="M263" s="30"/>
      <c r="O263" s="26" t="str">
        <f>VLOOKUP(QUERY_FOR_TRNSTRANSPOSED_0008!A263,'[6]Fin vs NFin'!$A$4:$F$568,6,FALSE)</f>
        <v>Financeiras</v>
      </c>
      <c r="P263" s="31" t="str">
        <f t="shared" si="6"/>
        <v>71</v>
      </c>
      <c r="Q263" s="31"/>
      <c r="R263" s="31"/>
      <c r="S263" s="31"/>
      <c r="T263" s="31" t="str">
        <f>VLOOKUP(D263,[6]Mapeamento!$A$38:$C$497,3,FALSE)</f>
        <v>REC_MF</v>
      </c>
    </row>
    <row r="264" spans="1:20">
      <c r="A264" s="32" t="s">
        <v>379</v>
      </c>
      <c r="B264" s="32" t="str">
        <f>VLOOKUP(A264,'[6]Fin vs NFin'!$A$4:$B$568,2,FALSE)</f>
        <v>!Comissão Gestão CC</v>
      </c>
      <c r="C264" s="32" t="s">
        <v>53</v>
      </c>
      <c r="D264" s="32" t="s">
        <v>380</v>
      </c>
      <c r="E264" s="32" t="str">
        <f>VLOOKUP(D264,[6]Arvore!$N$8:$Q$6855,4,FALSE)</f>
        <v>512010</v>
      </c>
      <c r="F264" s="33">
        <v>1955358.34</v>
      </c>
      <c r="G264" s="33">
        <v>1955358.34</v>
      </c>
      <c r="H264" s="34">
        <v>0</v>
      </c>
      <c r="I264" s="114">
        <f>SUM(H264:H266)</f>
        <v>0</v>
      </c>
      <c r="J264" s="19"/>
      <c r="K264" s="21"/>
      <c r="L264" s="22"/>
      <c r="M264" s="23"/>
      <c r="O264" s="19" t="str">
        <f>VLOOKUP(QUERY_FOR_TRNSTRANSPOSED_0008!A264,'[6]Fin vs NFin'!$A$4:$F$568,6,FALSE)</f>
        <v>Mista (NFin)</v>
      </c>
      <c r="P264" s="24" t="str">
        <f t="shared" si="6"/>
        <v>82</v>
      </c>
      <c r="Q264" s="24"/>
      <c r="R264" s="24"/>
      <c r="S264" s="24"/>
      <c r="T264" s="24"/>
    </row>
    <row r="265" spans="1:20">
      <c r="A265" s="32" t="s">
        <v>379</v>
      </c>
      <c r="B265" s="32" t="str">
        <f>VLOOKUP(A265,'[6]Fin vs NFin'!$A$4:$B$568,2,FALSE)</f>
        <v>!Comissão Gestão CC</v>
      </c>
      <c r="C265" s="32" t="s">
        <v>381</v>
      </c>
      <c r="D265" s="32" t="s">
        <v>382</v>
      </c>
      <c r="E265" s="32" t="str">
        <f>VLOOKUP(D265,[6]Arvore!$N$8:$Q$6855,4,FALSE)</f>
        <v>501530400</v>
      </c>
      <c r="F265" s="33">
        <v>-13588.28</v>
      </c>
      <c r="G265" s="33">
        <v>-13588.28</v>
      </c>
      <c r="H265" s="34">
        <v>0</v>
      </c>
      <c r="I265" s="114"/>
      <c r="J265" s="19"/>
      <c r="K265" s="21"/>
      <c r="L265" s="22"/>
      <c r="M265" s="23"/>
      <c r="O265" s="19" t="str">
        <f>VLOOKUP(QUERY_FOR_TRNSTRANSPOSED_0008!A265,'[6]Fin vs NFin'!$A$4:$F$568,6,FALSE)</f>
        <v>Mista (NFin)</v>
      </c>
      <c r="P265" s="24" t="str">
        <f t="shared" si="6"/>
        <v>82</v>
      </c>
      <c r="Q265" s="24"/>
      <c r="R265" s="24"/>
      <c r="S265" s="24"/>
      <c r="T265" s="24" t="str">
        <f>VLOOKUP(D265,[6]Mapeamento!$A$38:$C$497,3,FALSE)</f>
        <v>REC_MF</v>
      </c>
    </row>
    <row r="266" spans="1:20" ht="15" thickBot="1">
      <c r="A266" s="32" t="s">
        <v>379</v>
      </c>
      <c r="B266" s="32" t="str">
        <f>VLOOKUP(A266,'[6]Fin vs NFin'!$A$4:$B$568,2,FALSE)</f>
        <v>!Comissão Gestão CC</v>
      </c>
      <c r="C266" s="32" t="s">
        <v>383</v>
      </c>
      <c r="D266" s="32" t="s">
        <v>382</v>
      </c>
      <c r="E266" s="32" t="str">
        <f>VLOOKUP(D266,[6]Arvore!$N$8:$Q$6855,4,FALSE)</f>
        <v>501530400</v>
      </c>
      <c r="F266" s="33">
        <v>85</v>
      </c>
      <c r="G266" s="33">
        <v>85</v>
      </c>
      <c r="H266" s="34">
        <v>0</v>
      </c>
      <c r="I266" s="114"/>
      <c r="J266" s="19"/>
      <c r="K266" s="21"/>
      <c r="L266" s="22"/>
      <c r="M266" s="23"/>
      <c r="O266" s="19" t="str">
        <f>VLOOKUP(QUERY_FOR_TRNSTRANSPOSED_0008!A266,'[6]Fin vs NFin'!$A$4:$F$568,6,FALSE)</f>
        <v>Mista (NFin)</v>
      </c>
      <c r="P266" s="24" t="str">
        <f t="shared" si="6"/>
        <v>82</v>
      </c>
      <c r="Q266" s="24"/>
      <c r="R266" s="24"/>
      <c r="S266" s="24"/>
      <c r="T266" s="24" t="str">
        <f>VLOOKUP(D266,[6]Mapeamento!$A$38:$C$497,3,FALSE)</f>
        <v>REC_MF</v>
      </c>
    </row>
    <row r="267" spans="1:20">
      <c r="A267" s="38" t="s">
        <v>384</v>
      </c>
      <c r="B267" s="38" t="str">
        <f>VLOOKUP(A267,'[6]Fin vs NFin'!$A$4:$B$568,2,FALSE)</f>
        <v>!CC-Abert.e Renovação-Cash</v>
      </c>
      <c r="C267" s="38" t="s">
        <v>134</v>
      </c>
      <c r="D267" s="38" t="s">
        <v>18</v>
      </c>
      <c r="E267" s="38" t="str">
        <f>VLOOKUP(D267,[6]Arvore!$N$8:$Q$6855,4,FALSE)</f>
        <v>51950</v>
      </c>
      <c r="F267" s="39">
        <v>54525</v>
      </c>
      <c r="G267" s="39">
        <v>0</v>
      </c>
      <c r="H267" s="40">
        <v>54525</v>
      </c>
      <c r="I267" s="115">
        <f>SUM(H267:H277)</f>
        <v>15735722.889567085</v>
      </c>
      <c r="J267" s="110">
        <f>SUM(I267+I280)</f>
        <v>-4.3291598558425903E-4</v>
      </c>
      <c r="K267" s="21"/>
      <c r="L267" s="41"/>
      <c r="M267" s="42"/>
      <c r="O267" s="39" t="str">
        <f>VLOOKUP(QUERY_FOR_TRNSTRANSPOSED_0008!A267,'[6]Fin vs NFin'!$A$4:$F$568,6,FALSE)</f>
        <v>Mista (Fin)</v>
      </c>
      <c r="P267" s="43" t="str">
        <f t="shared" si="6"/>
        <v>82</v>
      </c>
      <c r="Q267" s="43"/>
      <c r="R267" s="43"/>
      <c r="S267" s="43"/>
      <c r="T267" s="43"/>
    </row>
    <row r="268" spans="1:20">
      <c r="A268" s="18" t="s">
        <v>384</v>
      </c>
      <c r="B268" s="18" t="str">
        <f>VLOOKUP(A268,'[6]Fin vs NFin'!$A$4:$B$568,2,FALSE)</f>
        <v>!CC-Abert.e Renovação-Cash</v>
      </c>
      <c r="C268" s="18" t="s">
        <v>385</v>
      </c>
      <c r="D268" s="18" t="s">
        <v>386</v>
      </c>
      <c r="E268" s="18" t="str">
        <f>VLOOKUP(D268,[6]Arvore!$N$8:$Q$6855,4,FALSE)</f>
        <v>29939</v>
      </c>
      <c r="F268" s="19">
        <v>141262.5</v>
      </c>
      <c r="G268" s="19">
        <v>0</v>
      </c>
      <c r="H268" s="20">
        <v>141262.5</v>
      </c>
      <c r="I268" s="116"/>
      <c r="J268" s="117"/>
      <c r="K268" s="21"/>
      <c r="L268" s="22"/>
      <c r="M268" s="23"/>
      <c r="O268" s="19" t="str">
        <f>VLOOKUP(QUERY_FOR_TRNSTRANSPOSED_0008!A268,'[6]Fin vs NFin'!$A$4:$F$568,6,FALSE)</f>
        <v>Mista (Fin)</v>
      </c>
      <c r="P268" s="24" t="str">
        <f t="shared" si="6"/>
        <v>54</v>
      </c>
      <c r="Q268" s="24"/>
      <c r="R268" s="24"/>
      <c r="S268" s="24"/>
      <c r="T268" s="24"/>
    </row>
    <row r="269" spans="1:20">
      <c r="A269" s="18" t="s">
        <v>384</v>
      </c>
      <c r="B269" s="18" t="str">
        <f>VLOOKUP(A269,'[6]Fin vs NFin'!$A$4:$B$568,2,FALSE)</f>
        <v>!CC-Abert.e Renovação-Cash</v>
      </c>
      <c r="C269" s="18" t="s">
        <v>387</v>
      </c>
      <c r="D269" s="18" t="s">
        <v>388</v>
      </c>
      <c r="E269" s="18" t="str">
        <f>VLOOKUP(D269,[6]Arvore!$N$8:$Q$6855,4,FALSE)</f>
        <v>29939</v>
      </c>
      <c r="F269" s="19">
        <v>1444108.01</v>
      </c>
      <c r="G269" s="19">
        <v>0</v>
      </c>
      <c r="H269" s="20">
        <v>1444108.01</v>
      </c>
      <c r="I269" s="116"/>
      <c r="J269" s="117"/>
      <c r="K269" s="21"/>
      <c r="L269" s="22"/>
      <c r="M269" s="23"/>
      <c r="O269" s="19" t="str">
        <f>VLOOKUP(QUERY_FOR_TRNSTRANSPOSED_0008!A269,'[6]Fin vs NFin'!$A$4:$F$568,6,FALSE)</f>
        <v>Mista (Fin)</v>
      </c>
      <c r="P269" s="24" t="str">
        <f t="shared" si="6"/>
        <v>54</v>
      </c>
      <c r="Q269" s="24"/>
      <c r="R269" s="24"/>
      <c r="S269" s="24"/>
      <c r="T269" s="24"/>
    </row>
    <row r="270" spans="1:20">
      <c r="A270" s="18" t="s">
        <v>384</v>
      </c>
      <c r="B270" s="18" t="str">
        <f>VLOOKUP(A270,'[6]Fin vs NFin'!$A$4:$B$568,2,FALSE)</f>
        <v>!CC-Abert.e Renovação-Cash</v>
      </c>
      <c r="C270" s="18" t="s">
        <v>125</v>
      </c>
      <c r="D270" s="18" t="s">
        <v>388</v>
      </c>
      <c r="E270" s="18" t="str">
        <f>VLOOKUP(D270,[6]Arvore!$N$8:$Q$6855,4,FALSE)</f>
        <v>29939</v>
      </c>
      <c r="F270" s="19">
        <v>14161298.630000001</v>
      </c>
      <c r="G270" s="19">
        <v>0</v>
      </c>
      <c r="H270" s="20">
        <v>14161298.630000001</v>
      </c>
      <c r="I270" s="116"/>
      <c r="J270" s="117"/>
      <c r="K270" s="21"/>
      <c r="L270" s="22"/>
      <c r="M270" s="23"/>
      <c r="O270" s="19" t="str">
        <f>VLOOKUP(QUERY_FOR_TRNSTRANSPOSED_0008!A270,'[6]Fin vs NFin'!$A$4:$F$568,6,FALSE)</f>
        <v>Mista (Fin)</v>
      </c>
      <c r="P270" s="24" t="str">
        <f t="shared" si="6"/>
        <v>54</v>
      </c>
      <c r="Q270" s="24"/>
      <c r="R270" s="24"/>
      <c r="S270" s="24"/>
      <c r="T270" s="24"/>
    </row>
    <row r="271" spans="1:20">
      <c r="A271" s="18" t="s">
        <v>384</v>
      </c>
      <c r="B271" s="18" t="str">
        <f>VLOOKUP(A271,'[6]Fin vs NFin'!$A$4:$B$568,2,FALSE)</f>
        <v>!CC-Abert.e Renovação-Cash</v>
      </c>
      <c r="C271" s="18" t="s">
        <v>389</v>
      </c>
      <c r="D271" s="18" t="s">
        <v>388</v>
      </c>
      <c r="E271" s="18" t="str">
        <f>VLOOKUP(D271,[6]Arvore!$N$8:$Q$6855,4,FALSE)</f>
        <v>29939</v>
      </c>
      <c r="F271" s="19">
        <v>130316.25</v>
      </c>
      <c r="G271" s="19">
        <v>0</v>
      </c>
      <c r="H271" s="20">
        <v>130316.25</v>
      </c>
      <c r="I271" s="116"/>
      <c r="J271" s="117"/>
      <c r="K271" s="21"/>
      <c r="L271" s="22"/>
      <c r="M271" s="23"/>
      <c r="O271" s="19" t="str">
        <f>VLOOKUP(QUERY_FOR_TRNSTRANSPOSED_0008!A271,'[6]Fin vs NFin'!$A$4:$F$568,6,FALSE)</f>
        <v>Mista (Fin)</v>
      </c>
      <c r="P271" s="24" t="str">
        <f t="shared" si="6"/>
        <v>54</v>
      </c>
      <c r="Q271" s="24"/>
      <c r="R271" s="24"/>
      <c r="S271" s="24"/>
      <c r="T271" s="24"/>
    </row>
    <row r="272" spans="1:20">
      <c r="A272" s="18" t="s">
        <v>384</v>
      </c>
      <c r="B272" s="18" t="str">
        <f>VLOOKUP(A272,'[6]Fin vs NFin'!$A$4:$B$568,2,FALSE)</f>
        <v>!CC-Abert.e Renovação-Cash</v>
      </c>
      <c r="C272" s="18" t="s">
        <v>390</v>
      </c>
      <c r="D272" s="18" t="s">
        <v>382</v>
      </c>
      <c r="E272" s="18" t="str">
        <f>VLOOKUP(D272,[6]Arvore!$N$8:$Q$6855,4,FALSE)</f>
        <v>501530400</v>
      </c>
      <c r="F272" s="19">
        <v>-85487.35</v>
      </c>
      <c r="G272" s="19">
        <v>-85787.35</v>
      </c>
      <c r="H272" s="20">
        <v>300.00000000001501</v>
      </c>
      <c r="I272" s="116"/>
      <c r="J272" s="117"/>
      <c r="K272" s="21"/>
      <c r="L272" s="22"/>
      <c r="M272" s="23"/>
      <c r="O272" s="19" t="str">
        <f>VLOOKUP(QUERY_FOR_TRNSTRANSPOSED_0008!A272,'[6]Fin vs NFin'!$A$4:$F$568,6,FALSE)</f>
        <v>Mista (Fin)</v>
      </c>
      <c r="P272" s="24" t="str">
        <f t="shared" si="6"/>
        <v>82</v>
      </c>
      <c r="Q272" s="24"/>
      <c r="R272" s="24"/>
      <c r="S272" s="24"/>
      <c r="T272" s="24" t="str">
        <f>VLOOKUP(D272,[6]Mapeamento!$A$38:$C$497,3,FALSE)</f>
        <v>REC_MF</v>
      </c>
    </row>
    <row r="273" spans="1:20">
      <c r="A273" s="18" t="s">
        <v>384</v>
      </c>
      <c r="B273" s="18" t="str">
        <f>VLOOKUP(A273,'[6]Fin vs NFin'!$A$4:$B$568,2,FALSE)</f>
        <v>!CC-Abert.e Renovação-Cash</v>
      </c>
      <c r="C273" s="18" t="s">
        <v>391</v>
      </c>
      <c r="D273" s="18" t="s">
        <v>382</v>
      </c>
      <c r="E273" s="18" t="str">
        <f>VLOOKUP(D273,[6]Arvore!$N$8:$Q$6855,4,FALSE)</f>
        <v>501530400</v>
      </c>
      <c r="F273" s="19">
        <v>-9167.5</v>
      </c>
      <c r="G273" s="19">
        <v>-8867.5</v>
      </c>
      <c r="H273" s="20">
        <v>-300</v>
      </c>
      <c r="I273" s="116"/>
      <c r="J273" s="117"/>
      <c r="K273" s="21"/>
      <c r="L273" s="22"/>
      <c r="M273" s="23"/>
      <c r="O273" s="19" t="str">
        <f>VLOOKUP(QUERY_FOR_TRNSTRANSPOSED_0008!A273,'[6]Fin vs NFin'!$A$4:$F$568,6,FALSE)</f>
        <v>Mista (Fin)</v>
      </c>
      <c r="P273" s="24" t="str">
        <f t="shared" si="6"/>
        <v>82</v>
      </c>
      <c r="Q273" s="24"/>
      <c r="R273" s="24"/>
      <c r="S273" s="24"/>
      <c r="T273" s="24" t="str">
        <f>VLOOKUP(D273,[6]Mapeamento!$A$38:$C$497,3,FALSE)</f>
        <v>REC_MF</v>
      </c>
    </row>
    <row r="274" spans="1:20">
      <c r="A274" s="18" t="s">
        <v>384</v>
      </c>
      <c r="B274" s="18" t="str">
        <f>VLOOKUP(A274,'[6]Fin vs NFin'!$A$4:$B$568,2,FALSE)</f>
        <v>!CC-Abert.e Renovação-Cash</v>
      </c>
      <c r="C274" s="18" t="s">
        <v>392</v>
      </c>
      <c r="D274" s="18" t="s">
        <v>382</v>
      </c>
      <c r="E274" s="18" t="str">
        <f>VLOOKUP(D274,[6]Arvore!$N$8:$Q$6855,4,FALSE)</f>
        <v>501530400</v>
      </c>
      <c r="F274" s="19">
        <v>-6834.77</v>
      </c>
      <c r="G274" s="19">
        <v>-6834.7793978413201</v>
      </c>
      <c r="H274" s="20">
        <v>9.3978413196964504E-3</v>
      </c>
      <c r="I274" s="116"/>
      <c r="J274" s="117"/>
      <c r="K274" s="21"/>
      <c r="L274" s="22"/>
      <c r="M274" s="23"/>
      <c r="O274" s="19" t="str">
        <f>VLOOKUP(QUERY_FOR_TRNSTRANSPOSED_0008!A274,'[6]Fin vs NFin'!$A$4:$F$568,6,FALSE)</f>
        <v>Mista (Fin)</v>
      </c>
      <c r="P274" s="24" t="str">
        <f t="shared" si="6"/>
        <v>82</v>
      </c>
      <c r="Q274" s="24"/>
      <c r="R274" s="24"/>
      <c r="S274" s="24"/>
      <c r="T274" s="24" t="str">
        <f>VLOOKUP(D274,[6]Mapeamento!$A$38:$C$497,3,FALSE)</f>
        <v>REC_MF</v>
      </c>
    </row>
    <row r="275" spans="1:20">
      <c r="A275" s="32" t="s">
        <v>384</v>
      </c>
      <c r="B275" s="32" t="str">
        <f>VLOOKUP(A275,'[6]Fin vs NFin'!$A$4:$B$568,2,FALSE)</f>
        <v>!CC-Abert.e Renovação-Cash</v>
      </c>
      <c r="C275" s="32" t="s">
        <v>67</v>
      </c>
      <c r="D275" s="32" t="s">
        <v>382</v>
      </c>
      <c r="E275" s="32" t="str">
        <f>VLOOKUP(D275,[6]Arvore!$N$8:$Q$6855,4,FALSE)</f>
        <v>501530400</v>
      </c>
      <c r="F275" s="33">
        <v>-40749.57</v>
      </c>
      <c r="G275" s="33">
        <v>-40749.57</v>
      </c>
      <c r="H275" s="34">
        <v>0</v>
      </c>
      <c r="I275" s="116"/>
      <c r="J275" s="117"/>
      <c r="K275" s="21"/>
      <c r="L275" s="22"/>
      <c r="M275" s="23"/>
      <c r="O275" s="19" t="str">
        <f>VLOOKUP(QUERY_FOR_TRNSTRANSPOSED_0008!A275,'[6]Fin vs NFin'!$A$4:$F$568,6,FALSE)</f>
        <v>Mista (Fin)</v>
      </c>
      <c r="P275" s="24" t="str">
        <f t="shared" si="6"/>
        <v>82</v>
      </c>
      <c r="Q275" s="24"/>
      <c r="R275" s="24"/>
      <c r="S275" s="24"/>
      <c r="T275" s="24" t="str">
        <f>VLOOKUP(D275,[6]Mapeamento!$A$38:$C$497,3,FALSE)</f>
        <v>REC_MF</v>
      </c>
    </row>
    <row r="276" spans="1:20">
      <c r="A276" s="18" t="s">
        <v>384</v>
      </c>
      <c r="B276" s="18" t="str">
        <f>VLOOKUP(A276,'[6]Fin vs NFin'!$A$4:$B$568,2,FALSE)</f>
        <v>!CC-Abert.e Renovação-Cash</v>
      </c>
      <c r="C276" s="18" t="s">
        <v>393</v>
      </c>
      <c r="D276" s="18" t="s">
        <v>26</v>
      </c>
      <c r="E276" s="18" t="str">
        <f>VLOOKUP(D276,[6]Arvore!$N$8:$Q$6855,4,FALSE)</f>
        <v>512010</v>
      </c>
      <c r="F276" s="19">
        <v>378673.96</v>
      </c>
      <c r="G276" s="19">
        <v>574461.46983075805</v>
      </c>
      <c r="H276" s="20">
        <v>-195787.509830758</v>
      </c>
      <c r="I276" s="116"/>
      <c r="J276" s="117"/>
      <c r="K276" s="21"/>
      <c r="L276" s="22"/>
      <c r="M276" s="23"/>
      <c r="O276" s="19" t="str">
        <f>VLOOKUP(QUERY_FOR_TRNSTRANSPOSED_0008!A276,'[6]Fin vs NFin'!$A$4:$F$568,6,FALSE)</f>
        <v>Mista (Fin)</v>
      </c>
      <c r="P276" s="24" t="str">
        <f t="shared" si="6"/>
        <v>82</v>
      </c>
      <c r="Q276" s="24"/>
      <c r="R276" s="24"/>
      <c r="S276" s="24"/>
      <c r="T276" s="24"/>
    </row>
    <row r="277" spans="1:20" ht="15" thickBot="1">
      <c r="A277" s="35" t="s">
        <v>384</v>
      </c>
      <c r="B277" s="35" t="str">
        <f>VLOOKUP(A277,'[6]Fin vs NFin'!$A$4:$B$568,2,FALSE)</f>
        <v>!CC-Abert.e Renovação-Cash</v>
      </c>
      <c r="C277" s="35" t="s">
        <v>394</v>
      </c>
      <c r="D277" s="35" t="s">
        <v>26</v>
      </c>
      <c r="E277" s="35" t="str">
        <f>VLOOKUP(D277,[6]Arvore!$N$8:$Q$6855,4,FALSE)</f>
        <v>512010</v>
      </c>
      <c r="F277" s="36">
        <v>225</v>
      </c>
      <c r="G277" s="36">
        <v>225</v>
      </c>
      <c r="H277" s="37">
        <v>0</v>
      </c>
      <c r="I277" s="118"/>
      <c r="J277" s="111"/>
      <c r="K277" s="21"/>
      <c r="L277" s="15"/>
      <c r="M277" s="16"/>
      <c r="O277" s="12" t="str">
        <f>VLOOKUP(QUERY_FOR_TRNSTRANSPOSED_0008!A277,'[6]Fin vs NFin'!$A$4:$F$568,6,FALSE)</f>
        <v>Mista (Fin)</v>
      </c>
      <c r="P277" s="17" t="str">
        <f t="shared" si="6"/>
        <v>82</v>
      </c>
      <c r="Q277" s="17"/>
      <c r="R277" s="17"/>
      <c r="S277" s="17"/>
      <c r="T277" s="17"/>
    </row>
    <row r="278" spans="1:20">
      <c r="A278" s="32" t="s">
        <v>395</v>
      </c>
      <c r="B278" s="32" t="str">
        <f>VLOOKUP(A278,'[6]Fin vs NFin'!$A$4:$B$568,2,FALSE)</f>
        <v>!CC-Ab.e Renov-Cash-Vercon</v>
      </c>
      <c r="C278" s="32" t="s">
        <v>396</v>
      </c>
      <c r="D278" s="32" t="s">
        <v>382</v>
      </c>
      <c r="E278" s="32" t="str">
        <f>VLOOKUP(D278,[6]Arvore!$N$8:$Q$6855,4,FALSE)</f>
        <v>501530400</v>
      </c>
      <c r="F278" s="33">
        <v>642.5</v>
      </c>
      <c r="G278" s="33">
        <v>642.5</v>
      </c>
      <c r="H278" s="34">
        <v>0</v>
      </c>
      <c r="I278" s="108">
        <v>0</v>
      </c>
      <c r="J278" s="19"/>
      <c r="K278" s="21"/>
      <c r="L278" s="22"/>
      <c r="M278" s="23"/>
      <c r="O278" s="19" t="str">
        <f>VLOOKUP(QUERY_FOR_TRNSTRANSPOSED_0008!A278,'[6]Fin vs NFin'!$A$4:$F$568,6,FALSE)</f>
        <v>Financeiras</v>
      </c>
      <c r="P278" s="24" t="str">
        <f t="shared" si="6"/>
        <v>82</v>
      </c>
      <c r="Q278" s="24"/>
      <c r="R278" s="24"/>
      <c r="S278" s="24"/>
      <c r="T278" s="24" t="str">
        <f>VLOOKUP(D278,[6]Mapeamento!$A$38:$C$497,3,FALSE)</f>
        <v>REC_MF</v>
      </c>
    </row>
    <row r="279" spans="1:20" ht="15" thickBot="1">
      <c r="A279" s="35" t="s">
        <v>395</v>
      </c>
      <c r="B279" s="35" t="str">
        <f>VLOOKUP(A279,'[6]Fin vs NFin'!$A$4:$B$568,2,FALSE)</f>
        <v>!CC-Ab.e Renov-Cash-Vercon</v>
      </c>
      <c r="C279" s="35" t="s">
        <v>397</v>
      </c>
      <c r="D279" s="35" t="s">
        <v>382</v>
      </c>
      <c r="E279" s="35" t="str">
        <f>VLOOKUP(D279,[6]Arvore!$N$8:$Q$6855,4,FALSE)</f>
        <v>501530400</v>
      </c>
      <c r="F279" s="36">
        <v>-141918.64000000001</v>
      </c>
      <c r="G279" s="36">
        <v>-141918.64000000001</v>
      </c>
      <c r="H279" s="37">
        <v>0</v>
      </c>
      <c r="I279" s="109"/>
      <c r="J279" s="12"/>
      <c r="K279" s="21"/>
      <c r="L279" s="15"/>
      <c r="M279" s="16"/>
      <c r="O279" s="12" t="str">
        <f>VLOOKUP(QUERY_FOR_TRNSTRANSPOSED_0008!A279,'[6]Fin vs NFin'!$A$4:$F$568,6,FALSE)</f>
        <v>Financeiras</v>
      </c>
      <c r="P279" s="17" t="str">
        <f t="shared" si="6"/>
        <v>82</v>
      </c>
      <c r="Q279" s="17"/>
      <c r="R279" s="17"/>
      <c r="S279" s="17"/>
      <c r="T279" s="17" t="str">
        <f>VLOOKUP(D279,[6]Mapeamento!$A$38:$C$497,3,FALSE)</f>
        <v>REC_MF</v>
      </c>
    </row>
    <row r="280" spans="1:20">
      <c r="A280" s="18" t="s">
        <v>398</v>
      </c>
      <c r="B280" s="18" t="str">
        <f>VLOOKUP(A280,'[6]Fin vs NFin'!$A$4:$B$568,2,FALSE)</f>
        <v>!CC-Abert.e Renov-Period.</v>
      </c>
      <c r="C280" s="18" t="s">
        <v>362</v>
      </c>
      <c r="D280" s="18" t="s">
        <v>382</v>
      </c>
      <c r="E280" s="18" t="str">
        <f>VLOOKUP(D280,[6]Arvore!$N$8:$Q$6855,4,FALSE)</f>
        <v>501530400</v>
      </c>
      <c r="F280" s="19">
        <v>-348714.29</v>
      </c>
      <c r="G280" s="19">
        <v>1021693.16</v>
      </c>
      <c r="H280" s="20">
        <v>-1370407.45</v>
      </c>
      <c r="I280" s="115">
        <v>-15735722.890000001</v>
      </c>
      <c r="J280" s="110">
        <f>I267+I280</f>
        <v>-4.3291598558425903E-4</v>
      </c>
      <c r="K280" s="21"/>
      <c r="L280" s="22"/>
      <c r="M280" s="23"/>
      <c r="O280" s="19" t="str">
        <f>VLOOKUP(QUERY_FOR_TRNSTRANSPOSED_0008!A280,'[6]Fin vs NFin'!$A$4:$F$568,6,FALSE)</f>
        <v>Financeiras</v>
      </c>
      <c r="P280" s="24" t="str">
        <f t="shared" si="6"/>
        <v>82</v>
      </c>
      <c r="Q280" s="24"/>
      <c r="R280" s="24"/>
      <c r="S280" s="24"/>
      <c r="T280" s="24" t="str">
        <f>VLOOKUP(D280,[6]Mapeamento!$A$38:$C$497,3,FALSE)</f>
        <v>REC_MF</v>
      </c>
    </row>
    <row r="281" spans="1:20">
      <c r="A281" s="18" t="s">
        <v>398</v>
      </c>
      <c r="B281" s="18" t="str">
        <f>VLOOKUP(A281,'[6]Fin vs NFin'!$A$4:$B$568,2,FALSE)</f>
        <v>!CC-Abert.e Renov-Period.</v>
      </c>
      <c r="C281" s="18" t="s">
        <v>127</v>
      </c>
      <c r="D281" s="18" t="s">
        <v>382</v>
      </c>
      <c r="E281" s="18" t="str">
        <f>VLOOKUP(D281,[6]Arvore!$N$8:$Q$6855,4,FALSE)</f>
        <v>501530400</v>
      </c>
      <c r="F281" s="19">
        <v>390121.48</v>
      </c>
      <c r="G281" s="19">
        <v>14529556.67</v>
      </c>
      <c r="H281" s="20">
        <v>-14139435.189999999</v>
      </c>
      <c r="I281" s="116"/>
      <c r="J281" s="117"/>
      <c r="K281" s="21"/>
      <c r="L281" s="22"/>
      <c r="M281" s="23"/>
      <c r="O281" s="19" t="str">
        <f>VLOOKUP(QUERY_FOR_TRNSTRANSPOSED_0008!A281,'[6]Fin vs NFin'!$A$4:$F$568,6,FALSE)</f>
        <v>Financeiras</v>
      </c>
      <c r="P281" s="24" t="str">
        <f t="shared" si="6"/>
        <v>82</v>
      </c>
      <c r="Q281" s="24"/>
      <c r="R281" s="24"/>
      <c r="S281" s="24"/>
      <c r="T281" s="24" t="str">
        <f>VLOOKUP(D281,[6]Mapeamento!$A$38:$C$497,3,FALSE)</f>
        <v>REC_MF</v>
      </c>
    </row>
    <row r="282" spans="1:20" ht="15" thickBot="1">
      <c r="A282" s="18" t="s">
        <v>398</v>
      </c>
      <c r="B282" s="18" t="str">
        <f>VLOOKUP(A282,'[6]Fin vs NFin'!$A$4:$B$568,2,FALSE)</f>
        <v>!CC-Abert.e Renov-Period.</v>
      </c>
      <c r="C282" s="18" t="s">
        <v>399</v>
      </c>
      <c r="D282" s="18" t="s">
        <v>382</v>
      </c>
      <c r="E282" s="18" t="str">
        <f>VLOOKUP(D282,[6]Arvore!$N$8:$Q$6855,4,FALSE)</f>
        <v>501530400</v>
      </c>
      <c r="F282" s="19">
        <v>9838.84</v>
      </c>
      <c r="G282" s="19">
        <v>235719.09</v>
      </c>
      <c r="H282" s="20">
        <v>-225880.25</v>
      </c>
      <c r="I282" s="116"/>
      <c r="J282" s="111"/>
      <c r="K282" s="21"/>
      <c r="L282" s="22"/>
      <c r="M282" s="23"/>
      <c r="O282" s="19" t="str">
        <f>VLOOKUP(QUERY_FOR_TRNSTRANSPOSED_0008!A282,'[6]Fin vs NFin'!$A$4:$F$568,6,FALSE)</f>
        <v>Financeiras</v>
      </c>
      <c r="P282" s="24" t="str">
        <f t="shared" si="6"/>
        <v>82</v>
      </c>
      <c r="Q282" s="24"/>
      <c r="R282" s="24"/>
      <c r="S282" s="24"/>
      <c r="T282" s="24" t="str">
        <f>VLOOKUP(D282,[6]Mapeamento!$A$38:$C$497,3,FALSE)</f>
        <v>REC_MF</v>
      </c>
    </row>
    <row r="283" spans="1:20">
      <c r="A283" s="38" t="s">
        <v>400</v>
      </c>
      <c r="B283" s="38" t="str">
        <f>VLOOKUP(A283,'[6]Fin vs NFin'!$A$4:$B$568,2,FALSE)</f>
        <v>!CC-Ab.Renov-Period-Vercon</v>
      </c>
      <c r="C283" s="38" t="s">
        <v>401</v>
      </c>
      <c r="D283" s="38" t="s">
        <v>382</v>
      </c>
      <c r="E283" s="38" t="str">
        <f>VLOOKUP(D283,[6]Arvore!$N$8:$Q$6855,4,FALSE)</f>
        <v>501530400</v>
      </c>
      <c r="F283" s="39" t="s">
        <v>84</v>
      </c>
      <c r="G283" s="39">
        <v>0</v>
      </c>
      <c r="H283" s="40">
        <v>0</v>
      </c>
      <c r="I283" s="108">
        <v>-2.2737367544323201E-13</v>
      </c>
      <c r="J283" s="39"/>
      <c r="K283" s="21"/>
      <c r="L283" s="41"/>
      <c r="M283" s="42"/>
      <c r="O283" s="39" t="str">
        <f>VLOOKUP(QUERY_FOR_TRNSTRANSPOSED_0008!A283,'[6]Fin vs NFin'!$A$4:$F$568,6,FALSE)</f>
        <v>Financeiras</v>
      </c>
      <c r="P283" s="43" t="str">
        <f t="shared" si="6"/>
        <v>82</v>
      </c>
      <c r="Q283" s="43"/>
      <c r="R283" s="43"/>
      <c r="S283" s="43"/>
      <c r="T283" s="43" t="str">
        <f>VLOOKUP(D283,[6]Mapeamento!$A$38:$C$497,3,FALSE)</f>
        <v>REC_MF</v>
      </c>
    </row>
    <row r="284" spans="1:20" ht="15" thickBot="1">
      <c r="A284" s="35" t="s">
        <v>400</v>
      </c>
      <c r="B284" s="35" t="str">
        <f>VLOOKUP(A284,'[6]Fin vs NFin'!$A$4:$B$568,2,FALSE)</f>
        <v>!CC-Ab.Renov-Period-Vercon</v>
      </c>
      <c r="C284" s="35" t="s">
        <v>402</v>
      </c>
      <c r="D284" s="35" t="s">
        <v>382</v>
      </c>
      <c r="E284" s="35" t="str">
        <f>VLOOKUP(D284,[6]Arvore!$N$8:$Q$6855,4,FALSE)</f>
        <v>501530400</v>
      </c>
      <c r="F284" s="36">
        <v>-1151.25</v>
      </c>
      <c r="G284" s="36">
        <v>-1151.25</v>
      </c>
      <c r="H284" s="37">
        <v>-2.2737367544323201E-13</v>
      </c>
      <c r="I284" s="109"/>
      <c r="J284" s="12"/>
      <c r="K284" s="21"/>
      <c r="L284" s="15"/>
      <c r="M284" s="16"/>
      <c r="O284" s="12" t="str">
        <f>VLOOKUP(QUERY_FOR_TRNSTRANSPOSED_0008!A284,'[6]Fin vs NFin'!$A$4:$F$568,6,FALSE)</f>
        <v>Financeiras</v>
      </c>
      <c r="P284" s="17" t="str">
        <f t="shared" si="6"/>
        <v>82</v>
      </c>
      <c r="Q284" s="17"/>
      <c r="R284" s="17"/>
      <c r="S284" s="17"/>
      <c r="T284" s="17" t="str">
        <f>VLOOKUP(D284,[6]Mapeamento!$A$38:$C$497,3,FALSE)</f>
        <v>REC_MF</v>
      </c>
    </row>
    <row r="285" spans="1:20">
      <c r="A285" s="18" t="s">
        <v>403</v>
      </c>
      <c r="B285" s="18" t="str">
        <f>VLOOKUP(A285,'[6]Fin vs NFin'!$A$4:$B$568,2,FALSE)</f>
        <v>!Org.de Dossier-Cash</v>
      </c>
      <c r="C285" s="18" t="s">
        <v>404</v>
      </c>
      <c r="D285" s="18" t="s">
        <v>405</v>
      </c>
      <c r="E285" s="18" t="str">
        <f>VLOOKUP(D285,[6]Arvore!$N$8:$Q$6855,4,FALSE)</f>
        <v>29939</v>
      </c>
      <c r="F285" s="19">
        <v>190712.81</v>
      </c>
      <c r="G285" s="19">
        <v>0</v>
      </c>
      <c r="H285" s="20">
        <v>190712.81</v>
      </c>
      <c r="I285" s="116">
        <f>SUM(H285:H287)</f>
        <v>190712.81</v>
      </c>
      <c r="J285" s="110">
        <f>I285+I288</f>
        <v>0</v>
      </c>
      <c r="K285" s="21"/>
      <c r="L285" s="22"/>
      <c r="M285" s="23"/>
      <c r="O285" s="19" t="str">
        <f>VLOOKUP(QUERY_FOR_TRNSTRANSPOSED_0008!A285,'[6]Fin vs NFin'!$A$4:$F$568,6,FALSE)</f>
        <v>Financeiras</v>
      </c>
      <c r="P285" s="24" t="str">
        <f t="shared" si="6"/>
        <v>54</v>
      </c>
      <c r="Q285" s="24"/>
      <c r="R285" s="24"/>
      <c r="S285" s="24"/>
      <c r="T285" s="24"/>
    </row>
    <row r="286" spans="1:20">
      <c r="A286" s="32" t="s">
        <v>403</v>
      </c>
      <c r="B286" s="32" t="str">
        <f>VLOOKUP(A286,'[6]Fin vs NFin'!$A$4:$B$568,2,FALSE)</f>
        <v>!Org.de Dossier-Cash</v>
      </c>
      <c r="C286" s="32" t="s">
        <v>406</v>
      </c>
      <c r="D286" s="32" t="s">
        <v>407</v>
      </c>
      <c r="E286" s="32" t="str">
        <f>VLOOKUP(D286,[6]Arvore!$N$8:$Q$6855,4,FALSE)</f>
        <v>501530470</v>
      </c>
      <c r="F286" s="33">
        <v>550</v>
      </c>
      <c r="G286" s="33">
        <v>550</v>
      </c>
      <c r="H286" s="34">
        <v>0</v>
      </c>
      <c r="I286" s="116"/>
      <c r="J286" s="117"/>
      <c r="K286" s="21"/>
      <c r="L286" s="22"/>
      <c r="M286" s="23"/>
      <c r="O286" s="19" t="str">
        <f>VLOOKUP(QUERY_FOR_TRNSTRANSPOSED_0008!A286,'[6]Fin vs NFin'!$A$4:$F$568,6,FALSE)</f>
        <v>Financeiras</v>
      </c>
      <c r="P286" s="24" t="str">
        <f t="shared" si="6"/>
        <v>82</v>
      </c>
      <c r="Q286" s="24"/>
      <c r="R286" s="24"/>
      <c r="S286" s="24"/>
      <c r="T286" s="24" t="str">
        <f>VLOOKUP(D286,[6]Mapeamento!$A$38:$C$497,3,FALSE)</f>
        <v>REC_MF</v>
      </c>
    </row>
    <row r="287" spans="1:20" ht="15" thickBot="1">
      <c r="A287" s="32" t="s">
        <v>403</v>
      </c>
      <c r="B287" s="32" t="str">
        <f>VLOOKUP(A287,'[6]Fin vs NFin'!$A$4:$B$568,2,FALSE)</f>
        <v>!Org.de Dossier-Cash</v>
      </c>
      <c r="C287" s="32" t="s">
        <v>408</v>
      </c>
      <c r="D287" s="32" t="s">
        <v>407</v>
      </c>
      <c r="E287" s="32" t="str">
        <f>VLOOKUP(D287,[6]Arvore!$N$8:$Q$6855,4,FALSE)</f>
        <v>501530470</v>
      </c>
      <c r="F287" s="33">
        <v>-913.56</v>
      </c>
      <c r="G287" s="33">
        <v>-913.56</v>
      </c>
      <c r="H287" s="34">
        <v>0</v>
      </c>
      <c r="I287" s="116"/>
      <c r="J287" s="111"/>
      <c r="K287" s="21"/>
      <c r="L287" s="22"/>
      <c r="M287" s="23"/>
      <c r="O287" s="19" t="str">
        <f>VLOOKUP(QUERY_FOR_TRNSTRANSPOSED_0008!A287,'[6]Fin vs NFin'!$A$4:$F$568,6,FALSE)</f>
        <v>Financeiras</v>
      </c>
      <c r="P287" s="24" t="str">
        <f t="shared" si="6"/>
        <v>82</v>
      </c>
      <c r="Q287" s="24"/>
      <c r="R287" s="24"/>
      <c r="S287" s="24"/>
      <c r="T287" s="24" t="str">
        <f>VLOOKUP(D287,[6]Mapeamento!$A$38:$C$497,3,FALSE)</f>
        <v>REC_MF</v>
      </c>
    </row>
    <row r="288" spans="1:20" ht="15" thickBot="1">
      <c r="A288" s="38" t="s">
        <v>409</v>
      </c>
      <c r="B288" s="38" t="str">
        <f>VLOOKUP(A288,'[6]Fin vs NFin'!$A$4:$B$568,2,FALSE)</f>
        <v>!Org.de Dossier-Periodif.</v>
      </c>
      <c r="C288" s="38" t="s">
        <v>410</v>
      </c>
      <c r="D288" s="38" t="s">
        <v>407</v>
      </c>
      <c r="E288" s="38" t="str">
        <f>VLOOKUP(D288,[6]Arvore!$N$8:$Q$6855,4,FALSE)</f>
        <v>501530470</v>
      </c>
      <c r="F288" s="39">
        <v>-9542.34</v>
      </c>
      <c r="G288" s="39">
        <v>181170.47</v>
      </c>
      <c r="H288" s="40">
        <v>-190712.81</v>
      </c>
      <c r="I288" s="57">
        <f>H288</f>
        <v>-190712.81</v>
      </c>
      <c r="J288" s="39">
        <f>I285+I288</f>
        <v>0</v>
      </c>
      <c r="K288" s="21"/>
      <c r="L288" s="41"/>
      <c r="M288" s="42"/>
      <c r="O288" s="39" t="str">
        <f>VLOOKUP(QUERY_FOR_TRNSTRANSPOSED_0008!A288,'[6]Fin vs NFin'!$A$4:$F$568,6,FALSE)</f>
        <v>Financeiras</v>
      </c>
      <c r="P288" s="43" t="str">
        <f t="shared" si="6"/>
        <v>82</v>
      </c>
      <c r="Q288" s="43"/>
      <c r="R288" s="43"/>
      <c r="S288" s="43"/>
      <c r="T288" s="43" t="str">
        <f>VLOOKUP(D288,[6]Mapeamento!$A$38:$C$497,3,FALSE)</f>
        <v>REC_MF</v>
      </c>
    </row>
    <row r="289" spans="1:20">
      <c r="A289" s="38" t="s">
        <v>411</v>
      </c>
      <c r="B289" s="38" t="str">
        <f>VLOOKUP(A289,'[6]Fin vs NFin'!$A$4:$B$568,2,FALSE)</f>
        <v>!CC-Imobilização</v>
      </c>
      <c r="C289" s="38" t="s">
        <v>412</v>
      </c>
      <c r="D289" s="38" t="s">
        <v>413</v>
      </c>
      <c r="E289" s="38" t="str">
        <f>VLOOKUP(D289,[6]Arvore!$N$8:$Q$6855,4,FALSE)</f>
        <v>512018</v>
      </c>
      <c r="F289" s="39">
        <v>331622.68</v>
      </c>
      <c r="G289" s="39">
        <v>3304100.41</v>
      </c>
      <c r="H289" s="40">
        <v>-2972477.73</v>
      </c>
      <c r="I289" s="108">
        <v>-3.00133251585066E-11</v>
      </c>
      <c r="J289" s="39"/>
      <c r="K289" s="21"/>
      <c r="L289" s="41"/>
      <c r="M289" s="42"/>
      <c r="O289" s="39" t="str">
        <f>VLOOKUP(QUERY_FOR_TRNSTRANSPOSED_0008!A289,'[6]Fin vs NFin'!$A$4:$F$568,6,FALSE)</f>
        <v>Não Financeiras</v>
      </c>
      <c r="P289" s="43" t="str">
        <f t="shared" si="6"/>
        <v>82</v>
      </c>
      <c r="Q289" s="43"/>
      <c r="R289" s="43"/>
      <c r="S289" s="43"/>
      <c r="T289" s="43"/>
    </row>
    <row r="290" spans="1:20">
      <c r="A290" s="18" t="s">
        <v>411</v>
      </c>
      <c r="B290" s="18" t="str">
        <f>VLOOKUP(A290,'[6]Fin vs NFin'!$A$4:$B$568,2,FALSE)</f>
        <v>!CC-Imobilização</v>
      </c>
      <c r="C290" s="18" t="s">
        <v>414</v>
      </c>
      <c r="D290" s="18" t="s">
        <v>415</v>
      </c>
      <c r="E290" s="18" t="str">
        <f>VLOOKUP(D290,[6]Arvore!$N$8:$Q$6855,4,FALSE)</f>
        <v>2999</v>
      </c>
      <c r="F290" s="19">
        <v>2971395.19</v>
      </c>
      <c r="G290" s="19">
        <v>0</v>
      </c>
      <c r="H290" s="20">
        <v>2971395.19</v>
      </c>
      <c r="I290" s="114"/>
      <c r="J290" s="19"/>
      <c r="K290" s="21"/>
      <c r="L290" s="22"/>
      <c r="M290" s="23"/>
      <c r="O290" s="19" t="str">
        <f>VLOOKUP(QUERY_FOR_TRNSTRANSPOSED_0008!A290,'[6]Fin vs NFin'!$A$4:$F$568,6,FALSE)</f>
        <v>Não Financeiras</v>
      </c>
      <c r="P290" s="24" t="str">
        <f t="shared" si="6"/>
        <v>57</v>
      </c>
      <c r="Q290" s="24"/>
      <c r="R290" s="24"/>
      <c r="S290" s="24"/>
      <c r="T290" s="24"/>
    </row>
    <row r="291" spans="1:20">
      <c r="A291" s="32" t="s">
        <v>411</v>
      </c>
      <c r="B291" s="32" t="str">
        <f>VLOOKUP(A291,'[6]Fin vs NFin'!$A$4:$B$568,2,FALSE)</f>
        <v>!CC-Imobilização</v>
      </c>
      <c r="C291" s="32" t="s">
        <v>153</v>
      </c>
      <c r="D291" s="32" t="s">
        <v>413</v>
      </c>
      <c r="E291" s="32" t="str">
        <f>VLOOKUP(D291,[6]Arvore!$N$8:$Q$6855,4,FALSE)</f>
        <v>512018</v>
      </c>
      <c r="F291" s="33">
        <v>51150.74</v>
      </c>
      <c r="G291" s="33">
        <v>51150.74</v>
      </c>
      <c r="H291" s="34">
        <v>7.2759576141834308E-12</v>
      </c>
      <c r="I291" s="114"/>
      <c r="J291" s="19"/>
      <c r="K291" s="21"/>
      <c r="L291" s="22"/>
      <c r="M291" s="23"/>
      <c r="O291" s="19" t="str">
        <f>VLOOKUP(QUERY_FOR_TRNSTRANSPOSED_0008!A291,'[6]Fin vs NFin'!$A$4:$F$568,6,FALSE)</f>
        <v>Não Financeiras</v>
      </c>
      <c r="P291" s="24" t="str">
        <f t="shared" si="6"/>
        <v>82</v>
      </c>
      <c r="Q291" s="24"/>
      <c r="R291" s="24"/>
      <c r="S291" s="24"/>
      <c r="T291" s="24"/>
    </row>
    <row r="292" spans="1:20" ht="15" thickBot="1">
      <c r="A292" s="18" t="s">
        <v>411</v>
      </c>
      <c r="B292" s="18" t="str">
        <f>VLOOKUP(A292,'[6]Fin vs NFin'!$A$4:$B$568,2,FALSE)</f>
        <v>!CC-Imobilização</v>
      </c>
      <c r="C292" s="18" t="s">
        <v>416</v>
      </c>
      <c r="D292" s="18" t="s">
        <v>413</v>
      </c>
      <c r="E292" s="18" t="str">
        <f>VLOOKUP(D292,[6]Arvore!$N$8:$Q$6855,4,FALSE)</f>
        <v>512018</v>
      </c>
      <c r="F292" s="19">
        <v>-4129.13</v>
      </c>
      <c r="G292" s="19">
        <v>-5211.67</v>
      </c>
      <c r="H292" s="20">
        <v>1082.54</v>
      </c>
      <c r="I292" s="114"/>
      <c r="J292" s="19"/>
      <c r="K292" s="21"/>
      <c r="L292" s="22"/>
      <c r="M292" s="23"/>
      <c r="O292" s="19" t="str">
        <f>VLOOKUP(QUERY_FOR_TRNSTRANSPOSED_0008!A292,'[6]Fin vs NFin'!$A$4:$F$568,6,FALSE)</f>
        <v>Não Financeiras</v>
      </c>
      <c r="P292" s="24" t="str">
        <f t="shared" si="6"/>
        <v>82</v>
      </c>
      <c r="Q292" s="24"/>
      <c r="R292" s="24"/>
      <c r="S292" s="24"/>
      <c r="T292" s="24"/>
    </row>
    <row r="293" spans="1:20">
      <c r="A293" s="49" t="s">
        <v>417</v>
      </c>
      <c r="B293" s="49" t="str">
        <f>VLOOKUP(A293,'[6]Fin vs NFin'!$A$4:$B$568,2,FALSE)</f>
        <v>!CC-Imobilização-Vercon</v>
      </c>
      <c r="C293" s="49" t="s">
        <v>418</v>
      </c>
      <c r="D293" s="49" t="s">
        <v>413</v>
      </c>
      <c r="E293" s="49" t="str">
        <f>VLOOKUP(D293,[6]Arvore!$N$8:$Q$6855,4,FALSE)</f>
        <v>512018</v>
      </c>
      <c r="F293" s="50">
        <v>127.4</v>
      </c>
      <c r="G293" s="50">
        <v>127.4</v>
      </c>
      <c r="H293" s="51">
        <v>0</v>
      </c>
      <c r="I293" s="108">
        <v>0</v>
      </c>
      <c r="J293" s="39"/>
      <c r="K293" s="21"/>
      <c r="L293" s="41"/>
      <c r="M293" s="42"/>
      <c r="O293" s="39" t="str">
        <f>VLOOKUP(QUERY_FOR_TRNSTRANSPOSED_0008!A293,'[6]Fin vs NFin'!$A$4:$F$568,6,FALSE)</f>
        <v>Não Financeiras</v>
      </c>
      <c r="P293" s="43" t="str">
        <f t="shared" si="6"/>
        <v>82</v>
      </c>
      <c r="Q293" s="43"/>
      <c r="R293" s="43"/>
      <c r="S293" s="43"/>
      <c r="T293" s="43"/>
    </row>
    <row r="294" spans="1:20" ht="15" thickBot="1">
      <c r="A294" s="35" t="s">
        <v>417</v>
      </c>
      <c r="B294" s="35" t="str">
        <f>VLOOKUP(A294,'[6]Fin vs NFin'!$A$4:$B$568,2,FALSE)</f>
        <v>!CC-Imobilização-Vercon</v>
      </c>
      <c r="C294" s="35" t="s">
        <v>419</v>
      </c>
      <c r="D294" s="35" t="s">
        <v>413</v>
      </c>
      <c r="E294" s="35" t="str">
        <f>VLOOKUP(D294,[6]Arvore!$N$8:$Q$6855,4,FALSE)</f>
        <v>512018</v>
      </c>
      <c r="F294" s="36">
        <v>-9092.01</v>
      </c>
      <c r="G294" s="36">
        <v>-9092.01</v>
      </c>
      <c r="H294" s="37">
        <v>0</v>
      </c>
      <c r="I294" s="109"/>
      <c r="J294" s="12"/>
      <c r="K294" s="21"/>
      <c r="L294" s="15"/>
      <c r="M294" s="16"/>
      <c r="O294" s="12" t="str">
        <f>VLOOKUP(QUERY_FOR_TRNSTRANSPOSED_0008!A294,'[6]Fin vs NFin'!$A$4:$F$568,6,FALSE)</f>
        <v>Não Financeiras</v>
      </c>
      <c r="P294" s="17" t="str">
        <f t="shared" si="6"/>
        <v>82</v>
      </c>
      <c r="Q294" s="17"/>
      <c r="R294" s="17"/>
      <c r="S294" s="17"/>
      <c r="T294" s="17"/>
    </row>
    <row r="295" spans="1:20">
      <c r="A295" s="32" t="s">
        <v>420</v>
      </c>
      <c r="B295" s="32" t="str">
        <f>VLOOKUP(A295,'[6]Fin vs NFin'!$A$4:$B$568,2,FALSE)</f>
        <v>!CC Pós-Contratuais Outros</v>
      </c>
      <c r="C295" s="32" t="s">
        <v>153</v>
      </c>
      <c r="D295" s="32" t="s">
        <v>421</v>
      </c>
      <c r="E295" s="32" t="str">
        <f>VLOOKUP(D295,[6]Arvore!$N$8:$Q$6855,4,FALSE)</f>
        <v>41999</v>
      </c>
      <c r="F295" s="33">
        <v>-1253.58</v>
      </c>
      <c r="G295" s="33">
        <v>-1253.58</v>
      </c>
      <c r="H295" s="34">
        <v>-2.2737367544323201E-13</v>
      </c>
      <c r="I295" s="108">
        <v>-2.2737367544323201E-13</v>
      </c>
      <c r="J295" s="19"/>
      <c r="K295" s="21"/>
      <c r="L295" s="22"/>
      <c r="M295" s="23"/>
      <c r="O295" s="19" t="str">
        <f>VLOOKUP(QUERY_FOR_TRNSTRANSPOSED_0008!A295,'[6]Fin vs NFin'!$A$4:$F$568,6,FALSE)</f>
        <v>Financeiras</v>
      </c>
      <c r="P295" s="24" t="str">
        <f t="shared" si="6"/>
        <v>71</v>
      </c>
      <c r="Q295" s="24"/>
      <c r="R295" s="24"/>
      <c r="S295" s="24"/>
      <c r="T295" s="24"/>
    </row>
    <row r="296" spans="1:20">
      <c r="A296" s="32" t="s">
        <v>420</v>
      </c>
      <c r="B296" s="32" t="str">
        <f>VLOOKUP(A296,'[6]Fin vs NFin'!$A$4:$B$568,2,FALSE)</f>
        <v>!CC Pós-Contratuais Outros</v>
      </c>
      <c r="C296" s="32" t="s">
        <v>422</v>
      </c>
      <c r="D296" s="32" t="s">
        <v>382</v>
      </c>
      <c r="E296" s="32" t="str">
        <f>VLOOKUP(D296,[6]Arvore!$N$8:$Q$6855,4,FALSE)</f>
        <v>501530400</v>
      </c>
      <c r="F296" s="33">
        <v>74297.5</v>
      </c>
      <c r="G296" s="33">
        <v>74297.5</v>
      </c>
      <c r="H296" s="34">
        <v>0</v>
      </c>
      <c r="I296" s="114"/>
      <c r="J296" s="19"/>
      <c r="K296" s="21"/>
      <c r="L296" s="22"/>
      <c r="M296" s="23"/>
      <c r="O296" s="19" t="str">
        <f>VLOOKUP(QUERY_FOR_TRNSTRANSPOSED_0008!A296,'[6]Fin vs NFin'!$A$4:$F$568,6,FALSE)</f>
        <v>Financeiras</v>
      </c>
      <c r="P296" s="24" t="str">
        <f t="shared" si="6"/>
        <v>82</v>
      </c>
      <c r="Q296" s="24"/>
      <c r="R296" s="24"/>
      <c r="S296" s="24"/>
      <c r="T296" s="24" t="str">
        <f>VLOOKUP(D296,[6]Mapeamento!$A$38:$C$497,3,FALSE)</f>
        <v>REC_MF</v>
      </c>
    </row>
    <row r="297" spans="1:20" ht="15" thickBot="1">
      <c r="A297" s="35" t="s">
        <v>420</v>
      </c>
      <c r="B297" s="35" t="str">
        <f>VLOOKUP(A297,'[6]Fin vs NFin'!$A$4:$B$568,2,FALSE)</f>
        <v>!CC Pós-Contratuais Outros</v>
      </c>
      <c r="C297" s="35" t="s">
        <v>423</v>
      </c>
      <c r="D297" s="35" t="s">
        <v>382</v>
      </c>
      <c r="E297" s="35" t="str">
        <f>VLOOKUP(D297,[6]Arvore!$N$8:$Q$6855,4,FALSE)</f>
        <v>501530400</v>
      </c>
      <c r="F297" s="36">
        <v>-7536.64</v>
      </c>
      <c r="G297" s="36">
        <v>-7536.64</v>
      </c>
      <c r="H297" s="37">
        <v>0</v>
      </c>
      <c r="I297" s="109"/>
      <c r="J297" s="12"/>
      <c r="K297" s="21"/>
      <c r="L297" s="15"/>
      <c r="M297" s="16"/>
      <c r="O297" s="12" t="str">
        <f>VLOOKUP(QUERY_FOR_TRNSTRANSPOSED_0008!A297,'[6]Fin vs NFin'!$A$4:$F$568,6,FALSE)</f>
        <v>Financeiras</v>
      </c>
      <c r="P297" s="17" t="str">
        <f t="shared" si="6"/>
        <v>82</v>
      </c>
      <c r="Q297" s="17"/>
      <c r="R297" s="17"/>
      <c r="S297" s="17"/>
      <c r="T297" s="17" t="str">
        <f>VLOOKUP(D297,[6]Mapeamento!$A$38:$C$497,3,FALSE)</f>
        <v>REC_MF</v>
      </c>
    </row>
    <row r="298" spans="1:20">
      <c r="A298" s="32" t="s">
        <v>424</v>
      </c>
      <c r="B298" s="32" t="str">
        <f>VLOOKUP(A298,'[6]Fin vs NFin'!$A$4:$B$568,2,FALSE)</f>
        <v>!Cobr.Prest.Dívida Atraso</v>
      </c>
      <c r="C298" s="32" t="s">
        <v>425</v>
      </c>
      <c r="D298" s="32" t="s">
        <v>426</v>
      </c>
      <c r="E298" s="32" t="str">
        <f>VLOOKUP(D298,[6]Arvore!$N$8:$Q$6855,4,FALSE)</f>
        <v>519399</v>
      </c>
      <c r="F298" s="33">
        <v>602447.59</v>
      </c>
      <c r="G298" s="33">
        <v>602447.59</v>
      </c>
      <c r="H298" s="34">
        <v>0</v>
      </c>
      <c r="I298" s="114">
        <f>SUM(H298:H301)</f>
        <v>-6.0026650317013264E-10</v>
      </c>
      <c r="J298" s="19"/>
      <c r="K298" s="21"/>
      <c r="L298" s="22"/>
      <c r="M298" s="23"/>
      <c r="O298" s="19" t="str">
        <f>VLOOKUP(QUERY_FOR_TRNSTRANSPOSED_0008!A298,'[6]Fin vs NFin'!$A$4:$F$568,6,FALSE)</f>
        <v>Não Financeiras</v>
      </c>
      <c r="P298" s="24" t="str">
        <f t="shared" si="6"/>
        <v>82</v>
      </c>
      <c r="Q298" s="24"/>
      <c r="R298" s="24"/>
      <c r="S298" s="24"/>
      <c r="T298" s="24"/>
    </row>
    <row r="299" spans="1:20">
      <c r="A299" s="18" t="s">
        <v>424</v>
      </c>
      <c r="B299" s="18" t="str">
        <f>VLOOKUP(A299,'[6]Fin vs NFin'!$A$4:$B$568,2,FALSE)</f>
        <v>!Cobr.Prest.Dívida Atraso</v>
      </c>
      <c r="C299" s="18" t="s">
        <v>427</v>
      </c>
      <c r="D299" s="18" t="s">
        <v>426</v>
      </c>
      <c r="E299" s="18" t="str">
        <f>VLOOKUP(D299,[6]Arvore!$N$8:$Q$6855,4,FALSE)</f>
        <v>519399</v>
      </c>
      <c r="F299" s="19">
        <v>-2426.75</v>
      </c>
      <c r="G299" s="19">
        <v>-16824.68</v>
      </c>
      <c r="H299" s="20">
        <v>14397.93</v>
      </c>
      <c r="I299" s="114"/>
      <c r="J299" s="19"/>
      <c r="K299" s="21"/>
      <c r="L299" s="22"/>
      <c r="M299" s="23"/>
      <c r="O299" s="19" t="str">
        <f>VLOOKUP(QUERY_FOR_TRNSTRANSPOSED_0008!A299,'[6]Fin vs NFin'!$A$4:$F$568,6,FALSE)</f>
        <v>Não Financeiras</v>
      </c>
      <c r="P299" s="24" t="str">
        <f t="shared" si="6"/>
        <v>82</v>
      </c>
      <c r="Q299" s="24"/>
      <c r="R299" s="24"/>
      <c r="S299" s="24"/>
      <c r="T299" s="24"/>
    </row>
    <row r="300" spans="1:20">
      <c r="A300" s="18" t="s">
        <v>424</v>
      </c>
      <c r="B300" s="18" t="str">
        <f>VLOOKUP(A300,'[6]Fin vs NFin'!$A$4:$B$568,2,FALSE)</f>
        <v>!Cobr.Prest.Dívida Atraso</v>
      </c>
      <c r="C300" s="18" t="s">
        <v>428</v>
      </c>
      <c r="D300" s="18" t="s">
        <v>426</v>
      </c>
      <c r="E300" s="18" t="str">
        <f>VLOOKUP(D300,[6]Arvore!$N$8:$Q$6855,4,FALSE)</f>
        <v>519399</v>
      </c>
      <c r="F300" s="19">
        <v>7029805.9000000004</v>
      </c>
      <c r="G300" s="19">
        <v>7044203.8300000001</v>
      </c>
      <c r="H300" s="20">
        <v>-14397.930000000601</v>
      </c>
      <c r="I300" s="114"/>
      <c r="J300" s="19"/>
      <c r="K300" s="21"/>
      <c r="L300" s="22"/>
      <c r="M300" s="23"/>
      <c r="O300" s="19" t="str">
        <f>VLOOKUP(QUERY_FOR_TRNSTRANSPOSED_0008!A300,'[6]Fin vs NFin'!$A$4:$F$568,6,FALSE)</f>
        <v>Não Financeiras</v>
      </c>
      <c r="P300" s="24" t="str">
        <f t="shared" si="6"/>
        <v>82</v>
      </c>
      <c r="Q300" s="24"/>
      <c r="R300" s="24"/>
      <c r="S300" s="24"/>
      <c r="T300" s="24"/>
    </row>
    <row r="301" spans="1:20" ht="15" thickBot="1">
      <c r="A301" s="32" t="s">
        <v>424</v>
      </c>
      <c r="B301" s="32" t="str">
        <f>VLOOKUP(A301,'[6]Fin vs NFin'!$A$4:$B$568,2,FALSE)</f>
        <v>!Cobr.Prest.Dívida Atraso</v>
      </c>
      <c r="C301" s="32" t="s">
        <v>429</v>
      </c>
      <c r="D301" s="32" t="s">
        <v>426</v>
      </c>
      <c r="E301" s="32" t="str">
        <f>VLOOKUP(D301,[6]Arvore!$N$8:$Q$6855,4,FALSE)</f>
        <v>519399</v>
      </c>
      <c r="F301" s="33">
        <v>-514.04</v>
      </c>
      <c r="G301" s="33">
        <v>-514.04</v>
      </c>
      <c r="H301" s="34">
        <v>0</v>
      </c>
      <c r="I301" s="114"/>
      <c r="J301" s="19"/>
      <c r="K301" s="21"/>
      <c r="L301" s="22"/>
      <c r="M301" s="23"/>
      <c r="O301" s="19" t="str">
        <f>VLOOKUP(QUERY_FOR_TRNSTRANSPOSED_0008!A301,'[6]Fin vs NFin'!$A$4:$F$568,6,FALSE)</f>
        <v>Não Financeiras</v>
      </c>
      <c r="P301" s="24" t="str">
        <f t="shared" si="6"/>
        <v>82</v>
      </c>
      <c r="Q301" s="24"/>
      <c r="R301" s="24"/>
      <c r="S301" s="24"/>
      <c r="T301" s="24"/>
    </row>
    <row r="302" spans="1:20">
      <c r="A302" s="49" t="s">
        <v>430</v>
      </c>
      <c r="B302" s="49" t="str">
        <f>VLOOKUP(A302,'[6]Fin vs NFin'!$A$4:$B$568,2,FALSE)</f>
        <v>!Comissão de Gestão</v>
      </c>
      <c r="C302" s="49" t="s">
        <v>431</v>
      </c>
      <c r="D302" s="49" t="s">
        <v>432</v>
      </c>
      <c r="E302" s="49" t="str">
        <f>VLOOKUP(D302,[6]Arvore!$N$8:$Q$6855,4,FALSE)</f>
        <v>519399</v>
      </c>
      <c r="F302" s="50">
        <v>-327.60000000000002</v>
      </c>
      <c r="G302" s="50">
        <v>-327.60000000000002</v>
      </c>
      <c r="H302" s="51">
        <v>1.13686837721616E-13</v>
      </c>
      <c r="I302" s="108">
        <v>-0.118076220151011</v>
      </c>
      <c r="J302" s="39"/>
      <c r="K302" s="21"/>
      <c r="L302" s="41"/>
      <c r="M302" s="42"/>
      <c r="O302" s="39" t="str">
        <f>VLOOKUP(QUERY_FOR_TRNSTRANSPOSED_0008!A302,'[6]Fin vs NFin'!$A$4:$F$568,6,FALSE)</f>
        <v>Não Financeiras</v>
      </c>
      <c r="P302" s="43" t="str">
        <f t="shared" si="6"/>
        <v>82</v>
      </c>
      <c r="Q302" s="43"/>
      <c r="R302" s="43"/>
      <c r="S302" s="43"/>
      <c r="T302" s="43"/>
    </row>
    <row r="303" spans="1:20">
      <c r="A303" s="32" t="s">
        <v>430</v>
      </c>
      <c r="B303" s="32" t="str">
        <f>VLOOKUP(A303,'[6]Fin vs NFin'!$A$4:$B$568,2,FALSE)</f>
        <v>!Comissão de Gestão</v>
      </c>
      <c r="C303" s="32" t="s">
        <v>433</v>
      </c>
      <c r="D303" s="32" t="s">
        <v>432</v>
      </c>
      <c r="E303" s="32" t="str">
        <f>VLOOKUP(D303,[6]Arvore!$N$8:$Q$6855,4,FALSE)</f>
        <v>519399</v>
      </c>
      <c r="F303" s="33">
        <v>219107.04</v>
      </c>
      <c r="G303" s="33">
        <v>219107.04</v>
      </c>
      <c r="H303" s="34">
        <v>0</v>
      </c>
      <c r="I303" s="114"/>
      <c r="J303" s="19"/>
      <c r="K303" s="21"/>
      <c r="L303" s="22"/>
      <c r="M303" s="23"/>
      <c r="O303" s="19" t="str">
        <f>VLOOKUP(QUERY_FOR_TRNSTRANSPOSED_0008!A303,'[6]Fin vs NFin'!$A$4:$F$568,6,FALSE)</f>
        <v>Não Financeiras</v>
      </c>
      <c r="P303" s="24" t="str">
        <f t="shared" si="6"/>
        <v>82</v>
      </c>
      <c r="Q303" s="24"/>
      <c r="R303" s="24"/>
      <c r="S303" s="24"/>
      <c r="T303" s="24"/>
    </row>
    <row r="304" spans="1:20">
      <c r="A304" s="32" t="s">
        <v>430</v>
      </c>
      <c r="B304" s="32" t="str">
        <f>VLOOKUP(A304,'[6]Fin vs NFin'!$A$4:$B$568,2,FALSE)</f>
        <v>!Comissão de Gestão</v>
      </c>
      <c r="C304" s="32" t="s">
        <v>434</v>
      </c>
      <c r="D304" s="32" t="s">
        <v>435</v>
      </c>
      <c r="E304" s="32" t="str">
        <f>VLOOKUP(D304,[6]Arvore!$N$8:$Q$6855,4,FALSE)</f>
        <v>519399</v>
      </c>
      <c r="F304" s="33">
        <v>20214</v>
      </c>
      <c r="G304" s="33">
        <v>20214</v>
      </c>
      <c r="H304" s="34">
        <v>0</v>
      </c>
      <c r="I304" s="114"/>
      <c r="J304" s="19"/>
      <c r="K304" s="21"/>
      <c r="L304" s="22"/>
      <c r="M304" s="23"/>
      <c r="O304" s="19" t="str">
        <f>VLOOKUP(QUERY_FOR_TRNSTRANSPOSED_0008!A304,'[6]Fin vs NFin'!$A$4:$F$568,6,FALSE)</f>
        <v>Não Financeiras</v>
      </c>
      <c r="P304" s="24" t="str">
        <f t="shared" si="6"/>
        <v>82</v>
      </c>
      <c r="Q304" s="24"/>
      <c r="R304" s="24"/>
      <c r="S304" s="24"/>
      <c r="T304" s="24"/>
    </row>
    <row r="305" spans="1:20">
      <c r="A305" s="18" t="s">
        <v>430</v>
      </c>
      <c r="B305" s="18" t="str">
        <f>VLOOKUP(A305,'[6]Fin vs NFin'!$A$4:$B$568,2,FALSE)</f>
        <v>!Comissão de Gestão</v>
      </c>
      <c r="C305" s="18" t="s">
        <v>434</v>
      </c>
      <c r="D305" s="18" t="s">
        <v>432</v>
      </c>
      <c r="E305" s="18" t="str">
        <f>VLOOKUP(D305,[6]Arvore!$N$8:$Q$6855,4,FALSE)</f>
        <v>519399</v>
      </c>
      <c r="F305" s="19">
        <v>8594811.0800000001</v>
      </c>
      <c r="G305" s="19">
        <v>8594811.1980762202</v>
      </c>
      <c r="H305" s="20">
        <v>-0.118076220154762</v>
      </c>
      <c r="I305" s="114"/>
      <c r="J305" s="19"/>
      <c r="K305" s="21"/>
      <c r="L305" s="22"/>
      <c r="M305" s="23"/>
      <c r="O305" s="19" t="str">
        <f>VLOOKUP(QUERY_FOR_TRNSTRANSPOSED_0008!A305,'[6]Fin vs NFin'!$A$4:$F$568,6,FALSE)</f>
        <v>Não Financeiras</v>
      </c>
      <c r="P305" s="24" t="str">
        <f t="shared" si="6"/>
        <v>82</v>
      </c>
      <c r="Q305" s="24"/>
      <c r="R305" s="24"/>
      <c r="S305" s="24"/>
      <c r="T305" s="24"/>
    </row>
    <row r="306" spans="1:20">
      <c r="A306" s="32" t="s">
        <v>430</v>
      </c>
      <c r="B306" s="32" t="str">
        <f>VLOOKUP(A306,'[6]Fin vs NFin'!$A$4:$B$568,2,FALSE)</f>
        <v>!Comissão de Gestão</v>
      </c>
      <c r="C306" s="32" t="s">
        <v>436</v>
      </c>
      <c r="D306" s="32" t="s">
        <v>432</v>
      </c>
      <c r="E306" s="32" t="str">
        <f>VLOOKUP(D306,[6]Arvore!$N$8:$Q$6855,4,FALSE)</f>
        <v>519399</v>
      </c>
      <c r="F306" s="33">
        <v>-31.16</v>
      </c>
      <c r="G306" s="33">
        <v>-31.16</v>
      </c>
      <c r="H306" s="34">
        <v>0</v>
      </c>
      <c r="I306" s="114"/>
      <c r="J306" s="19"/>
      <c r="K306" s="21"/>
      <c r="L306" s="22"/>
      <c r="M306" s="23"/>
      <c r="O306" s="19" t="str">
        <f>VLOOKUP(QUERY_FOR_TRNSTRANSPOSED_0008!A306,'[6]Fin vs NFin'!$A$4:$F$568,6,FALSE)</f>
        <v>Não Financeiras</v>
      </c>
      <c r="P306" s="24" t="str">
        <f t="shared" si="6"/>
        <v>82</v>
      </c>
      <c r="Q306" s="24"/>
      <c r="R306" s="24"/>
      <c r="S306" s="24"/>
      <c r="T306" s="24"/>
    </row>
    <row r="307" spans="1:20">
      <c r="A307" s="32" t="s">
        <v>430</v>
      </c>
      <c r="B307" s="32" t="str">
        <f>VLOOKUP(A307,'[6]Fin vs NFin'!$A$4:$B$568,2,FALSE)</f>
        <v>!Comissão de Gestão</v>
      </c>
      <c r="C307" s="32" t="s">
        <v>437</v>
      </c>
      <c r="D307" s="32" t="s">
        <v>432</v>
      </c>
      <c r="E307" s="32" t="str">
        <f>VLOOKUP(D307,[6]Arvore!$N$8:$Q$6855,4,FALSE)</f>
        <v>519399</v>
      </c>
      <c r="F307" s="33">
        <v>-29143.65</v>
      </c>
      <c r="G307" s="33">
        <v>-29143.65</v>
      </c>
      <c r="H307" s="34">
        <v>3.6379788070917101E-12</v>
      </c>
      <c r="I307" s="114"/>
      <c r="J307" s="19"/>
      <c r="K307" s="21"/>
      <c r="L307" s="22"/>
      <c r="M307" s="23"/>
      <c r="O307" s="19" t="str">
        <f>VLOOKUP(QUERY_FOR_TRNSTRANSPOSED_0008!A307,'[6]Fin vs NFin'!$A$4:$F$568,6,FALSE)</f>
        <v>Não Financeiras</v>
      </c>
      <c r="P307" s="24" t="str">
        <f t="shared" si="6"/>
        <v>82</v>
      </c>
      <c r="Q307" s="24"/>
      <c r="R307" s="24"/>
      <c r="S307" s="24"/>
      <c r="T307" s="24"/>
    </row>
    <row r="308" spans="1:20" ht="15" thickBot="1">
      <c r="A308" s="32" t="s">
        <v>430</v>
      </c>
      <c r="B308" s="32" t="str">
        <f>VLOOKUP(A308,'[6]Fin vs NFin'!$A$4:$B$568,2,FALSE)</f>
        <v>!Comissão de Gestão</v>
      </c>
      <c r="C308" s="32" t="s">
        <v>438</v>
      </c>
      <c r="D308" s="32" t="s">
        <v>432</v>
      </c>
      <c r="E308" s="32" t="str">
        <f>VLOOKUP(D308,[6]Arvore!$N$8:$Q$6855,4,FALSE)</f>
        <v>519399</v>
      </c>
      <c r="F308" s="33">
        <v>20719.5</v>
      </c>
      <c r="G308" s="33">
        <v>20719.5</v>
      </c>
      <c r="H308" s="34">
        <v>0</v>
      </c>
      <c r="I308" s="114"/>
      <c r="J308" s="19"/>
      <c r="K308" s="21"/>
      <c r="L308" s="22"/>
      <c r="M308" s="23"/>
      <c r="O308" s="19" t="str">
        <f>VLOOKUP(QUERY_FOR_TRNSTRANSPOSED_0008!A308,'[6]Fin vs NFin'!$A$4:$F$568,6,FALSE)</f>
        <v>Não Financeiras</v>
      </c>
      <c r="P308" s="24" t="str">
        <f t="shared" si="6"/>
        <v>82</v>
      </c>
      <c r="Q308" s="24"/>
      <c r="R308" s="24"/>
      <c r="S308" s="24"/>
      <c r="T308" s="24"/>
    </row>
    <row r="309" spans="1:20">
      <c r="A309" s="38" t="s">
        <v>439</v>
      </c>
      <c r="B309" s="38" t="str">
        <f>VLOOKUP(A309,'[6]Fin vs NFin'!$A$4:$B$568,2,FALSE)</f>
        <v>!Letras Contr. Cash</v>
      </c>
      <c r="C309" s="38" t="s">
        <v>440</v>
      </c>
      <c r="D309" s="38" t="s">
        <v>441</v>
      </c>
      <c r="E309" s="38" t="str">
        <f>VLOOKUP(D309,[6]Arvore!$N$8:$Q$6855,4,FALSE)</f>
        <v>501530430</v>
      </c>
      <c r="F309" s="39">
        <v>17606.28</v>
      </c>
      <c r="G309" s="39">
        <v>50874</v>
      </c>
      <c r="H309" s="40">
        <v>-33267.72</v>
      </c>
      <c r="I309" s="108">
        <f>SUM(H309:H313)</f>
        <v>-4.0927261579781771E-12</v>
      </c>
      <c r="J309" s="39"/>
      <c r="K309" s="21"/>
      <c r="L309" s="41"/>
      <c r="M309" s="42"/>
      <c r="O309" s="39" t="str">
        <f>VLOOKUP(QUERY_FOR_TRNSTRANSPOSED_0008!A309,'[6]Fin vs NFin'!$A$4:$F$568,6,FALSE)</f>
        <v>Mista (Fin)</v>
      </c>
      <c r="P309" s="43" t="str">
        <f t="shared" si="6"/>
        <v>82</v>
      </c>
      <c r="Q309" s="43"/>
      <c r="R309" s="43"/>
      <c r="S309" s="43"/>
      <c r="T309" s="43" t="str">
        <f>VLOOKUP(D309,[6]Mapeamento!$A$38:$C$497,3,FALSE)</f>
        <v>REC_MF</v>
      </c>
    </row>
    <row r="310" spans="1:20">
      <c r="A310" s="18" t="s">
        <v>439</v>
      </c>
      <c r="B310" s="18" t="str">
        <f>VLOOKUP(A310,'[6]Fin vs NFin'!$A$4:$B$568,2,FALSE)</f>
        <v>!Letras Contr. Cash</v>
      </c>
      <c r="C310" s="18" t="s">
        <v>442</v>
      </c>
      <c r="D310" s="18" t="s">
        <v>441</v>
      </c>
      <c r="E310" s="18" t="str">
        <f>VLOOKUP(D310,[6]Arvore!$N$8:$Q$6855,4,FALSE)</f>
        <v>501530430</v>
      </c>
      <c r="F310" s="19">
        <v>256866.21</v>
      </c>
      <c r="G310" s="19">
        <v>226360.92</v>
      </c>
      <c r="H310" s="20">
        <v>30505.29</v>
      </c>
      <c r="I310" s="114"/>
      <c r="J310" s="19"/>
      <c r="K310" s="21"/>
      <c r="L310" s="22"/>
      <c r="M310" s="23"/>
      <c r="O310" s="19" t="str">
        <f>VLOOKUP(QUERY_FOR_TRNSTRANSPOSED_0008!A310,'[6]Fin vs NFin'!$A$4:$F$568,6,FALSE)</f>
        <v>Mista (Fin)</v>
      </c>
      <c r="P310" s="24" t="str">
        <f t="shared" si="6"/>
        <v>82</v>
      </c>
      <c r="Q310" s="24"/>
      <c r="R310" s="24"/>
      <c r="S310" s="24"/>
      <c r="T310" s="24" t="str">
        <f>VLOOKUP(D310,[6]Mapeamento!$A$38:$C$497,3,FALSE)</f>
        <v>REC_MF</v>
      </c>
    </row>
    <row r="311" spans="1:20">
      <c r="A311" s="32" t="s">
        <v>439</v>
      </c>
      <c r="B311" s="32" t="str">
        <f>VLOOKUP(A311,'[6]Fin vs NFin'!$A$4:$B$568,2,FALSE)</f>
        <v>!Letras Contr. Cash</v>
      </c>
      <c r="C311" s="32" t="s">
        <v>442</v>
      </c>
      <c r="D311" s="32" t="s">
        <v>443</v>
      </c>
      <c r="E311" s="32" t="str">
        <f>VLOOKUP(D311,[6]Arvore!$N$8:$Q$6855,4,FALSE)</f>
        <v>51510</v>
      </c>
      <c r="F311" s="33">
        <v>28413.52</v>
      </c>
      <c r="G311" s="33">
        <v>28413.52</v>
      </c>
      <c r="H311" s="34">
        <v>-3.6379788070917101E-12</v>
      </c>
      <c r="I311" s="114"/>
      <c r="J311" s="19"/>
      <c r="K311" s="21"/>
      <c r="L311" s="22"/>
      <c r="M311" s="23"/>
      <c r="O311" s="19" t="str">
        <f>VLOOKUP(QUERY_FOR_TRNSTRANSPOSED_0008!A311,'[6]Fin vs NFin'!$A$4:$F$568,6,FALSE)</f>
        <v>Mista (Fin)</v>
      </c>
      <c r="P311" s="24" t="str">
        <f t="shared" si="6"/>
        <v>82</v>
      </c>
      <c r="Q311" s="24"/>
      <c r="R311" s="24"/>
      <c r="S311" s="24"/>
      <c r="T311" s="24"/>
    </row>
    <row r="312" spans="1:20">
      <c r="A312" s="18" t="s">
        <v>439</v>
      </c>
      <c r="B312" s="18" t="str">
        <f>VLOOKUP(A312,'[6]Fin vs NFin'!$A$4:$B$568,2,FALSE)</f>
        <v>!Letras Contr. Cash</v>
      </c>
      <c r="C312" s="18" t="s">
        <v>444</v>
      </c>
      <c r="D312" s="18" t="s">
        <v>441</v>
      </c>
      <c r="E312" s="18" t="str">
        <f>VLOOKUP(D312,[6]Arvore!$N$8:$Q$6855,4,FALSE)</f>
        <v>501530430</v>
      </c>
      <c r="F312" s="19">
        <v>30391.42</v>
      </c>
      <c r="G312" s="19">
        <v>27628.99</v>
      </c>
      <c r="H312" s="20">
        <v>2762.43</v>
      </c>
      <c r="I312" s="114"/>
      <c r="J312" s="19"/>
      <c r="K312" s="21"/>
      <c r="L312" s="22"/>
      <c r="M312" s="23"/>
      <c r="O312" s="19" t="str">
        <f>VLOOKUP(QUERY_FOR_TRNSTRANSPOSED_0008!A312,'[6]Fin vs NFin'!$A$4:$F$568,6,FALSE)</f>
        <v>Mista (Fin)</v>
      </c>
      <c r="P312" s="24" t="str">
        <f t="shared" si="6"/>
        <v>82</v>
      </c>
      <c r="Q312" s="24"/>
      <c r="R312" s="24"/>
      <c r="S312" s="24"/>
      <c r="T312" s="24" t="str">
        <f>VLOOKUP(D312,[6]Mapeamento!$A$38:$C$497,3,FALSE)</f>
        <v>REC_MF</v>
      </c>
    </row>
    <row r="313" spans="1:20" ht="15" thickBot="1">
      <c r="A313" s="32" t="s">
        <v>439</v>
      </c>
      <c r="B313" s="32" t="str">
        <f>VLOOKUP(A313,'[6]Fin vs NFin'!$A$4:$B$568,2,FALSE)</f>
        <v>!Letras Contr. Cash</v>
      </c>
      <c r="C313" s="32" t="s">
        <v>444</v>
      </c>
      <c r="D313" s="32" t="s">
        <v>443</v>
      </c>
      <c r="E313" s="32" t="str">
        <f>VLOOKUP(D313,[6]Arvore!$N$8:$Q$6855,4,FALSE)</f>
        <v>51510</v>
      </c>
      <c r="F313" s="33">
        <v>273.86</v>
      </c>
      <c r="G313" s="33">
        <v>273.86</v>
      </c>
      <c r="H313" s="34">
        <v>0</v>
      </c>
      <c r="I313" s="114"/>
      <c r="J313" s="19"/>
      <c r="K313" s="21"/>
      <c r="L313" s="22"/>
      <c r="M313" s="23"/>
      <c r="O313" s="19" t="str">
        <f>VLOOKUP(QUERY_FOR_TRNSTRANSPOSED_0008!A313,'[6]Fin vs NFin'!$A$4:$F$568,6,FALSE)</f>
        <v>Mista (Fin)</v>
      </c>
      <c r="P313" s="24" t="str">
        <f t="shared" si="6"/>
        <v>82</v>
      </c>
      <c r="Q313" s="24"/>
      <c r="R313" s="24"/>
      <c r="S313" s="24"/>
      <c r="T313" s="24"/>
    </row>
    <row r="314" spans="1:20" ht="15" thickBot="1">
      <c r="A314" s="49" t="s">
        <v>445</v>
      </c>
      <c r="B314" s="49" t="str">
        <f>VLOOKUP(A314,'[6]Fin vs NFin'!$A$4:$B$568,2,FALSE)</f>
        <v>!Letras Contr. Periodif.</v>
      </c>
      <c r="C314" s="49" t="s">
        <v>446</v>
      </c>
      <c r="D314" s="49" t="s">
        <v>441</v>
      </c>
      <c r="E314" s="49" t="str">
        <f>VLOOKUP(D314,[6]Arvore!$N$8:$Q$6855,4,FALSE)</f>
        <v>501530430</v>
      </c>
      <c r="F314" s="50">
        <v>1879.87</v>
      </c>
      <c r="G314" s="50">
        <v>1879.87</v>
      </c>
      <c r="H314" s="51">
        <v>6.8212102632969598E-13</v>
      </c>
      <c r="I314" s="52">
        <f>H314</f>
        <v>6.8212102632969598E-13</v>
      </c>
      <c r="J314" s="39"/>
      <c r="K314" s="21"/>
      <c r="L314" s="41"/>
      <c r="M314" s="42"/>
      <c r="O314" s="39" t="str">
        <f>VLOOKUP(QUERY_FOR_TRNSTRANSPOSED_0008!A314,'[6]Fin vs NFin'!$A$4:$F$568,6,FALSE)</f>
        <v>Financeiras</v>
      </c>
      <c r="P314" s="43" t="str">
        <f t="shared" si="6"/>
        <v>82</v>
      </c>
      <c r="Q314" s="43"/>
      <c r="R314" s="43"/>
      <c r="S314" s="43"/>
      <c r="T314" s="43" t="str">
        <f>VLOOKUP(D314,[6]Mapeamento!$A$38:$C$497,3,FALSE)</f>
        <v>REC_MF</v>
      </c>
    </row>
    <row r="315" spans="1:20">
      <c r="A315" s="49" t="s">
        <v>447</v>
      </c>
      <c r="B315" s="49" t="str">
        <f>VLOOKUP(A315,'[6]Fin vs NFin'!$A$4:$B$568,2,FALSE)</f>
        <v>!Domicil.Não Concretizada</v>
      </c>
      <c r="C315" s="49" t="s">
        <v>448</v>
      </c>
      <c r="D315" s="49" t="s">
        <v>449</v>
      </c>
      <c r="E315" s="49" t="str">
        <f>VLOOKUP(D315,[6]Arvore!$N$8:$Q$6855,4,FALSE)</f>
        <v>51510</v>
      </c>
      <c r="F315" s="50">
        <v>114287.37</v>
      </c>
      <c r="G315" s="50">
        <v>114287.37</v>
      </c>
      <c r="H315" s="51">
        <v>0</v>
      </c>
      <c r="I315" s="108">
        <f>SUM(H315:H316)</f>
        <v>-9.0949470177292804E-13</v>
      </c>
      <c r="J315" s="39"/>
      <c r="K315" s="21"/>
      <c r="L315" s="41"/>
      <c r="M315" s="42"/>
      <c r="O315" s="39" t="str">
        <f>VLOOKUP(QUERY_FOR_TRNSTRANSPOSED_0008!A315,'[6]Fin vs NFin'!$A$4:$F$568,6,FALSE)</f>
        <v>Não Financeiras</v>
      </c>
      <c r="P315" s="43" t="str">
        <f t="shared" si="6"/>
        <v>82</v>
      </c>
      <c r="Q315" s="43"/>
      <c r="R315" s="43"/>
      <c r="S315" s="43"/>
      <c r="T315" s="43"/>
    </row>
    <row r="316" spans="1:20" ht="15" thickBot="1">
      <c r="A316" s="32" t="s">
        <v>447</v>
      </c>
      <c r="B316" s="32" t="str">
        <f>VLOOKUP(A316,'[6]Fin vs NFin'!$A$4:$B$568,2,FALSE)</f>
        <v>!Domicil.Não Concretizada</v>
      </c>
      <c r="C316" s="32" t="s">
        <v>448</v>
      </c>
      <c r="D316" s="32" t="s">
        <v>443</v>
      </c>
      <c r="E316" s="32" t="str">
        <f>VLOOKUP(D316,[6]Arvore!$N$8:$Q$6855,4,FALSE)</f>
        <v>51510</v>
      </c>
      <c r="F316" s="33">
        <v>7417.31</v>
      </c>
      <c r="G316" s="33">
        <v>7417.31</v>
      </c>
      <c r="H316" s="34">
        <v>-9.0949470177292804E-13</v>
      </c>
      <c r="I316" s="114"/>
      <c r="J316" s="19"/>
      <c r="K316" s="21"/>
      <c r="L316" s="22"/>
      <c r="M316" s="23"/>
      <c r="O316" s="19" t="str">
        <f>VLOOKUP(QUERY_FOR_TRNSTRANSPOSED_0008!A316,'[6]Fin vs NFin'!$A$4:$F$568,6,FALSE)</f>
        <v>Não Financeiras</v>
      </c>
      <c r="P316" s="24" t="str">
        <f t="shared" si="6"/>
        <v>82</v>
      </c>
      <c r="Q316" s="24"/>
      <c r="R316" s="24"/>
      <c r="S316" s="24"/>
      <c r="T316" s="24"/>
    </row>
    <row r="317" spans="1:20">
      <c r="A317" s="49" t="s">
        <v>450</v>
      </c>
      <c r="B317" s="49" t="str">
        <f>VLOOKUP(A317,'[6]Fin vs NFin'!$A$4:$B$568,2,FALSE)</f>
        <v>!Efeitos Outras</v>
      </c>
      <c r="C317" s="49" t="s">
        <v>451</v>
      </c>
      <c r="D317" s="49" t="s">
        <v>452</v>
      </c>
      <c r="E317" s="49" t="str">
        <f>VLOOKUP(D317,[6]Arvore!$N$8:$Q$6855,4,FALSE)</f>
        <v>519399</v>
      </c>
      <c r="F317" s="50">
        <v>-28</v>
      </c>
      <c r="G317" s="50">
        <v>-28</v>
      </c>
      <c r="H317" s="51">
        <v>0</v>
      </c>
      <c r="I317" s="108">
        <f>SUM(H317:H328)</f>
        <v>7.2759576141834259E-11</v>
      </c>
      <c r="J317" s="39"/>
      <c r="K317" s="21"/>
      <c r="L317" s="41"/>
      <c r="M317" s="42"/>
      <c r="O317" s="39" t="str">
        <f>VLOOKUP(QUERY_FOR_TRNSTRANSPOSED_0008!A317,'[6]Fin vs NFin'!$A$4:$F$568,6,FALSE)</f>
        <v>Não Financeiras</v>
      </c>
      <c r="P317" s="43" t="str">
        <f t="shared" si="6"/>
        <v>82</v>
      </c>
      <c r="Q317" s="43"/>
      <c r="R317" s="43"/>
      <c r="S317" s="43"/>
      <c r="T317" s="43"/>
    </row>
    <row r="318" spans="1:20">
      <c r="A318" s="18" t="s">
        <v>450</v>
      </c>
      <c r="B318" s="18" t="str">
        <f>VLOOKUP(A318,'[6]Fin vs NFin'!$A$4:$B$568,2,FALSE)</f>
        <v>!Efeitos Outras</v>
      </c>
      <c r="C318" s="18" t="s">
        <v>448</v>
      </c>
      <c r="D318" s="18" t="s">
        <v>453</v>
      </c>
      <c r="E318" s="18" t="str">
        <f>VLOOKUP(D318,[6]Arvore!$N$8:$Q$6855,4,FALSE)</f>
        <v>519399</v>
      </c>
      <c r="F318" s="19">
        <v>-3897.84</v>
      </c>
      <c r="G318" s="19">
        <v>-3953.2</v>
      </c>
      <c r="H318" s="20">
        <v>55.359999999999701</v>
      </c>
      <c r="I318" s="114"/>
      <c r="J318" s="19"/>
      <c r="K318" s="21"/>
      <c r="L318" s="22"/>
      <c r="M318" s="23"/>
      <c r="O318" s="19" t="str">
        <f>VLOOKUP(QUERY_FOR_TRNSTRANSPOSED_0008!A318,'[6]Fin vs NFin'!$A$4:$F$568,6,FALSE)</f>
        <v>Não Financeiras</v>
      </c>
      <c r="P318" s="24" t="str">
        <f t="shared" si="6"/>
        <v>82</v>
      </c>
      <c r="Q318" s="24"/>
      <c r="R318" s="24"/>
      <c r="S318" s="24"/>
      <c r="T318" s="24"/>
    </row>
    <row r="319" spans="1:20">
      <c r="A319" s="18" t="s">
        <v>450</v>
      </c>
      <c r="B319" s="18" t="str">
        <f>VLOOKUP(A319,'[6]Fin vs NFin'!$A$4:$B$568,2,FALSE)</f>
        <v>!Efeitos Outras</v>
      </c>
      <c r="C319" s="18" t="s">
        <v>454</v>
      </c>
      <c r="D319" s="18" t="s">
        <v>452</v>
      </c>
      <c r="E319" s="18" t="str">
        <f>VLOOKUP(D319,[6]Arvore!$N$8:$Q$6855,4,FALSE)</f>
        <v>519399</v>
      </c>
      <c r="F319" s="19">
        <v>204.3</v>
      </c>
      <c r="G319" s="19">
        <v>114.18</v>
      </c>
      <c r="H319" s="20">
        <v>90.12</v>
      </c>
      <c r="I319" s="114"/>
      <c r="J319" s="19"/>
      <c r="K319" s="21"/>
      <c r="L319" s="22"/>
      <c r="M319" s="23"/>
      <c r="O319" s="19" t="str">
        <f>VLOOKUP(QUERY_FOR_TRNSTRANSPOSED_0008!A319,'[6]Fin vs NFin'!$A$4:$F$568,6,FALSE)</f>
        <v>Não Financeiras</v>
      </c>
      <c r="P319" s="24" t="str">
        <f t="shared" si="6"/>
        <v>82</v>
      </c>
      <c r="Q319" s="24"/>
      <c r="R319" s="24"/>
      <c r="S319" s="24"/>
      <c r="T319" s="24"/>
    </row>
    <row r="320" spans="1:20">
      <c r="A320" s="18" t="s">
        <v>450</v>
      </c>
      <c r="B320" s="18" t="str">
        <f>VLOOKUP(A320,'[6]Fin vs NFin'!$A$4:$B$568,2,FALSE)</f>
        <v>!Efeitos Outras</v>
      </c>
      <c r="C320" s="18" t="s">
        <v>455</v>
      </c>
      <c r="D320" s="18" t="s">
        <v>452</v>
      </c>
      <c r="E320" s="18" t="str">
        <f>VLOOKUP(D320,[6]Arvore!$N$8:$Q$6855,4,FALSE)</f>
        <v>519399</v>
      </c>
      <c r="F320" s="19">
        <v>48044.17</v>
      </c>
      <c r="G320" s="19">
        <v>48189.65</v>
      </c>
      <c r="H320" s="20">
        <v>-145.48000000000999</v>
      </c>
      <c r="I320" s="114"/>
      <c r="J320" s="19"/>
      <c r="K320" s="21"/>
      <c r="L320" s="22"/>
      <c r="M320" s="23"/>
      <c r="O320" s="19" t="str">
        <f>VLOOKUP(QUERY_FOR_TRNSTRANSPOSED_0008!A320,'[6]Fin vs NFin'!$A$4:$F$568,6,FALSE)</f>
        <v>Não Financeiras</v>
      </c>
      <c r="P320" s="24" t="str">
        <f t="shared" si="6"/>
        <v>82</v>
      </c>
      <c r="Q320" s="24"/>
      <c r="R320" s="24"/>
      <c r="S320" s="24"/>
      <c r="T320" s="24"/>
    </row>
    <row r="321" spans="1:20">
      <c r="A321" s="32" t="s">
        <v>450</v>
      </c>
      <c r="B321" s="32" t="str">
        <f>VLOOKUP(A321,'[6]Fin vs NFin'!$A$4:$B$568,2,FALSE)</f>
        <v>!Efeitos Outras</v>
      </c>
      <c r="C321" s="32" t="s">
        <v>455</v>
      </c>
      <c r="D321" s="32" t="s">
        <v>453</v>
      </c>
      <c r="E321" s="32" t="str">
        <f>VLOOKUP(D321,[6]Arvore!$N$8:$Q$6855,4,FALSE)</f>
        <v>519399</v>
      </c>
      <c r="F321" s="33">
        <v>3638.22</v>
      </c>
      <c r="G321" s="33">
        <v>3638.22</v>
      </c>
      <c r="H321" s="34">
        <v>4.5474735088646402E-13</v>
      </c>
      <c r="I321" s="114"/>
      <c r="J321" s="19"/>
      <c r="K321" s="21"/>
      <c r="L321" s="22"/>
      <c r="M321" s="23"/>
      <c r="O321" s="19" t="str">
        <f>VLOOKUP(QUERY_FOR_TRNSTRANSPOSED_0008!A321,'[6]Fin vs NFin'!$A$4:$F$568,6,FALSE)</f>
        <v>Não Financeiras</v>
      </c>
      <c r="P321" s="24" t="str">
        <f t="shared" si="6"/>
        <v>82</v>
      </c>
      <c r="Q321" s="24"/>
      <c r="R321" s="24"/>
      <c r="S321" s="24"/>
      <c r="T321" s="24"/>
    </row>
    <row r="322" spans="1:20">
      <c r="A322" s="18" t="s">
        <v>450</v>
      </c>
      <c r="B322" s="18" t="str">
        <f>VLOOKUP(A322,'[6]Fin vs NFin'!$A$4:$B$568,2,FALSE)</f>
        <v>!Efeitos Outras</v>
      </c>
      <c r="C322" s="18" t="s">
        <v>82</v>
      </c>
      <c r="D322" s="18" t="s">
        <v>456</v>
      </c>
      <c r="E322" s="18" t="str">
        <f>VLOOKUP(D322,[6]Arvore!$N$8:$Q$6855,4,FALSE)</f>
        <v>41610</v>
      </c>
      <c r="F322" s="19">
        <v>-812373.97</v>
      </c>
      <c r="G322" s="19">
        <v>-1376823.39</v>
      </c>
      <c r="H322" s="20">
        <v>564449.42000000004</v>
      </c>
      <c r="I322" s="114"/>
      <c r="J322" s="19"/>
      <c r="K322" s="21"/>
      <c r="L322" s="22"/>
      <c r="M322" s="23"/>
      <c r="O322" s="19" t="str">
        <f>VLOOKUP(QUERY_FOR_TRNSTRANSPOSED_0008!A322,'[6]Fin vs NFin'!$A$4:$F$568,6,FALSE)</f>
        <v>Não Financeiras</v>
      </c>
      <c r="P322" s="24" t="str">
        <f t="shared" si="6"/>
        <v>71</v>
      </c>
      <c r="Q322" s="24"/>
      <c r="R322" s="24"/>
      <c r="S322" s="24"/>
      <c r="T322" s="24"/>
    </row>
    <row r="323" spans="1:20">
      <c r="A323" s="18" t="s">
        <v>450</v>
      </c>
      <c r="B323" s="18" t="str">
        <f>VLOOKUP(A323,'[6]Fin vs NFin'!$A$4:$B$568,2,FALSE)</f>
        <v>!Efeitos Outras</v>
      </c>
      <c r="C323" s="18" t="s">
        <v>82</v>
      </c>
      <c r="D323" s="18" t="s">
        <v>457</v>
      </c>
      <c r="E323" s="18" t="str">
        <f>VLOOKUP(D323,[6]Arvore!$N$8:$Q$6855,4,FALSE)</f>
        <v>4161599</v>
      </c>
      <c r="F323" s="19">
        <v>-795323.08</v>
      </c>
      <c r="G323" s="19">
        <v>0</v>
      </c>
      <c r="H323" s="20">
        <v>-795323.08</v>
      </c>
      <c r="I323" s="114"/>
      <c r="J323" s="19"/>
      <c r="K323" s="21"/>
      <c r="L323" s="22"/>
      <c r="M323" s="23"/>
      <c r="O323" s="19" t="str">
        <f>VLOOKUP(QUERY_FOR_TRNSTRANSPOSED_0008!A323,'[6]Fin vs NFin'!$A$4:$F$568,6,FALSE)</f>
        <v>Não Financeiras</v>
      </c>
      <c r="P323" s="24" t="str">
        <f t="shared" si="6"/>
        <v>77</v>
      </c>
      <c r="Q323" s="24"/>
      <c r="R323" s="24"/>
      <c r="S323" s="24"/>
      <c r="T323" s="24"/>
    </row>
    <row r="324" spans="1:20">
      <c r="A324" s="18" t="s">
        <v>450</v>
      </c>
      <c r="B324" s="18" t="str">
        <f>VLOOKUP(A324,'[6]Fin vs NFin'!$A$4:$B$568,2,FALSE)</f>
        <v>!Efeitos Outras</v>
      </c>
      <c r="C324" s="18" t="s">
        <v>82</v>
      </c>
      <c r="D324" s="18" t="s">
        <v>458</v>
      </c>
      <c r="E324" s="18" t="str">
        <f>VLOOKUP(D324,[6]Arvore!$N$8:$Q$6855,4,FALSE)</f>
        <v>4161599</v>
      </c>
      <c r="F324" s="19">
        <v>25042.36</v>
      </c>
      <c r="G324" s="19">
        <v>-327038.26</v>
      </c>
      <c r="H324" s="20">
        <v>352080.62</v>
      </c>
      <c r="I324" s="114"/>
      <c r="J324" s="19"/>
      <c r="K324" s="21"/>
      <c r="L324" s="22"/>
      <c r="M324" s="23"/>
      <c r="O324" s="19" t="str">
        <f>VLOOKUP(QUERY_FOR_TRNSTRANSPOSED_0008!A324,'[6]Fin vs NFin'!$A$4:$F$568,6,FALSE)</f>
        <v>Não Financeiras</v>
      </c>
      <c r="P324" s="24" t="str">
        <f t="shared" si="6"/>
        <v>77</v>
      </c>
      <c r="Q324" s="24"/>
      <c r="R324" s="24"/>
      <c r="S324" s="24"/>
      <c r="T324" s="24"/>
    </row>
    <row r="325" spans="1:20">
      <c r="A325" s="18" t="s">
        <v>450</v>
      </c>
      <c r="B325" s="18" t="str">
        <f>VLOOKUP(A325,'[6]Fin vs NFin'!$A$4:$B$568,2,FALSE)</f>
        <v>!Efeitos Outras</v>
      </c>
      <c r="C325" s="18" t="s">
        <v>67</v>
      </c>
      <c r="D325" s="18" t="s">
        <v>456</v>
      </c>
      <c r="E325" s="18" t="str">
        <f>VLOOKUP(D325,[6]Arvore!$N$8:$Q$6855,4,FALSE)</f>
        <v>41610</v>
      </c>
      <c r="F325" s="19">
        <v>-121206.96</v>
      </c>
      <c r="G325" s="19">
        <v>-5.8207660913467401E-11</v>
      </c>
      <c r="H325" s="20">
        <v>-121206.96</v>
      </c>
      <c r="I325" s="114"/>
      <c r="J325" s="19"/>
      <c r="K325" s="21"/>
      <c r="L325" s="22"/>
      <c r="M325" s="23"/>
      <c r="O325" s="19" t="str">
        <f>VLOOKUP(QUERY_FOR_TRNSTRANSPOSED_0008!A325,'[6]Fin vs NFin'!$A$4:$F$568,6,FALSE)</f>
        <v>Não Financeiras</v>
      </c>
      <c r="P325" s="24" t="str">
        <f t="shared" si="6"/>
        <v>71</v>
      </c>
      <c r="Q325" s="24"/>
      <c r="R325" s="24"/>
      <c r="S325" s="24"/>
      <c r="T325" s="24"/>
    </row>
    <row r="326" spans="1:20">
      <c r="A326" s="32" t="s">
        <v>450</v>
      </c>
      <c r="B326" s="32" t="str">
        <f>VLOOKUP(A326,'[6]Fin vs NFin'!$A$4:$B$568,2,FALSE)</f>
        <v>!Efeitos Outras</v>
      </c>
      <c r="C326" s="32" t="s">
        <v>177</v>
      </c>
      <c r="D326" s="32" t="s">
        <v>458</v>
      </c>
      <c r="E326" s="32" t="str">
        <f>VLOOKUP(D326,[6]Arvore!$N$8:$Q$6855,4,FALSE)</f>
        <v>4161599</v>
      </c>
      <c r="F326" s="33">
        <v>-30</v>
      </c>
      <c r="G326" s="33">
        <v>-30</v>
      </c>
      <c r="H326" s="34">
        <v>0</v>
      </c>
      <c r="I326" s="114"/>
      <c r="J326" s="19"/>
      <c r="K326" s="21"/>
      <c r="L326" s="22"/>
      <c r="M326" s="23"/>
      <c r="O326" s="19" t="str">
        <f>VLOOKUP(QUERY_FOR_TRNSTRANSPOSED_0008!A326,'[6]Fin vs NFin'!$A$4:$F$568,6,FALSE)</f>
        <v>Não Financeiras</v>
      </c>
      <c r="P326" s="24" t="str">
        <f t="shared" ref="P326:P389" si="7">LEFT(D326,2)</f>
        <v>77</v>
      </c>
      <c r="Q326" s="24"/>
      <c r="R326" s="24"/>
      <c r="S326" s="24"/>
      <c r="T326" s="24"/>
    </row>
    <row r="327" spans="1:20">
      <c r="A327" s="18" t="s">
        <v>450</v>
      </c>
      <c r="B327" s="18" t="str">
        <f>VLOOKUP(A327,'[6]Fin vs NFin'!$A$4:$B$568,2,FALSE)</f>
        <v>!Efeitos Outras</v>
      </c>
      <c r="C327" s="18" t="s">
        <v>459</v>
      </c>
      <c r="D327" s="18" t="s">
        <v>457</v>
      </c>
      <c r="E327" s="18" t="str">
        <f>VLOOKUP(D327,[6]Arvore!$N$8:$Q$6855,4,FALSE)</f>
        <v>4161599</v>
      </c>
      <c r="F327" s="19">
        <v>-63</v>
      </c>
      <c r="G327" s="19">
        <v>-3557.75</v>
      </c>
      <c r="H327" s="20">
        <v>3494.75</v>
      </c>
      <c r="I327" s="114"/>
      <c r="J327" s="19"/>
      <c r="K327" s="21"/>
      <c r="L327" s="22"/>
      <c r="M327" s="23"/>
      <c r="O327" s="19" t="str">
        <f>VLOOKUP(QUERY_FOR_TRNSTRANSPOSED_0008!A327,'[6]Fin vs NFin'!$A$4:$F$568,6,FALSE)</f>
        <v>Não Financeiras</v>
      </c>
      <c r="P327" s="24" t="str">
        <f t="shared" si="7"/>
        <v>77</v>
      </c>
      <c r="Q327" s="24"/>
      <c r="R327" s="24"/>
      <c r="S327" s="24"/>
      <c r="T327" s="24"/>
    </row>
    <row r="328" spans="1:20" ht="15" thickBot="1">
      <c r="A328" s="18" t="s">
        <v>450</v>
      </c>
      <c r="B328" s="18" t="str">
        <f>VLOOKUP(A328,'[6]Fin vs NFin'!$A$4:$B$568,2,FALSE)</f>
        <v>!Efeitos Outras</v>
      </c>
      <c r="C328" s="18" t="s">
        <v>460</v>
      </c>
      <c r="D328" s="18" t="s">
        <v>461</v>
      </c>
      <c r="E328" s="18" t="str">
        <f>VLOOKUP(D328,[6]Arvore!$N$8:$Q$6855,4,FALSE)</f>
        <v>431110</v>
      </c>
      <c r="F328" s="19">
        <v>-81.5</v>
      </c>
      <c r="G328" s="19">
        <v>3413.25</v>
      </c>
      <c r="H328" s="20">
        <v>-3494.75</v>
      </c>
      <c r="I328" s="114"/>
      <c r="J328" s="19"/>
      <c r="K328" s="21"/>
      <c r="L328" s="22"/>
      <c r="M328" s="23"/>
      <c r="O328" s="19" t="str">
        <f>VLOOKUP(QUERY_FOR_TRNSTRANSPOSED_0008!A328,'[6]Fin vs NFin'!$A$4:$F$568,6,FALSE)</f>
        <v>Não Financeiras</v>
      </c>
      <c r="P328" s="24" t="str">
        <f t="shared" si="7"/>
        <v>89</v>
      </c>
      <c r="Q328" s="24"/>
      <c r="R328" s="24" t="str">
        <f>VLOOKUP(D328,[6]Mapeamento!$A$38:$C$497,3,FALSE)</f>
        <v>GG</v>
      </c>
      <c r="S328" s="24"/>
      <c r="T328" s="24"/>
    </row>
    <row r="329" spans="1:20">
      <c r="A329" s="49" t="s">
        <v>462</v>
      </c>
      <c r="B329" s="49" t="str">
        <f>VLOOKUP(A329,'[6]Fin vs NFin'!$A$4:$B$568,2,FALSE)</f>
        <v>!Liv.Contratação-Cash</v>
      </c>
      <c r="C329" s="49" t="s">
        <v>463</v>
      </c>
      <c r="D329" s="49" t="s">
        <v>441</v>
      </c>
      <c r="E329" s="49" t="str">
        <f>VLOOKUP(D329,[6]Arvore!$N$8:$Q$6855,4,FALSE)</f>
        <v>501530430</v>
      </c>
      <c r="F329" s="50">
        <v>113.8</v>
      </c>
      <c r="G329" s="50">
        <v>113.8</v>
      </c>
      <c r="H329" s="51">
        <v>0</v>
      </c>
      <c r="I329" s="108">
        <f>SUM(H329:H332)</f>
        <v>0</v>
      </c>
      <c r="J329" s="39"/>
      <c r="K329" s="21"/>
      <c r="L329" s="41"/>
      <c r="M329" s="42"/>
      <c r="O329" s="39" t="str">
        <f>VLOOKUP(QUERY_FOR_TRNSTRANSPOSED_0008!A329,'[6]Fin vs NFin'!$A$4:$F$568,6,FALSE)</f>
        <v>Financeiras</v>
      </c>
      <c r="P329" s="43" t="str">
        <f t="shared" si="7"/>
        <v>82</v>
      </c>
      <c r="Q329" s="43"/>
      <c r="R329" s="43"/>
      <c r="S329" s="43"/>
      <c r="T329" s="43" t="str">
        <f>VLOOKUP(D329,[6]Mapeamento!$A$38:$C$497,3,FALSE)</f>
        <v>REC_MF</v>
      </c>
    </row>
    <row r="330" spans="1:20">
      <c r="A330" s="18" t="s">
        <v>462</v>
      </c>
      <c r="B330" s="18" t="str">
        <f>VLOOKUP(A330,'[6]Fin vs NFin'!$A$4:$B$568,2,FALSE)</f>
        <v>!Liv.Contratação-Cash</v>
      </c>
      <c r="C330" s="18" t="s">
        <v>463</v>
      </c>
      <c r="D330" s="18" t="s">
        <v>464</v>
      </c>
      <c r="E330" s="18" t="str">
        <f>VLOOKUP(D330,[6]Arvore!$N$8:$Q$6855,4,FALSE)</f>
        <v>501530430</v>
      </c>
      <c r="F330" s="19">
        <v>1058620.96</v>
      </c>
      <c r="G330" s="19">
        <v>981525.85</v>
      </c>
      <c r="H330" s="20">
        <v>77095.11</v>
      </c>
      <c r="I330" s="114"/>
      <c r="J330" s="19"/>
      <c r="K330" s="21"/>
      <c r="L330" s="22"/>
      <c r="M330" s="23"/>
      <c r="O330" s="19" t="str">
        <f>VLOOKUP(QUERY_FOR_TRNSTRANSPOSED_0008!A330,'[6]Fin vs NFin'!$A$4:$F$568,6,FALSE)</f>
        <v>Financeiras</v>
      </c>
      <c r="P330" s="24" t="str">
        <f t="shared" si="7"/>
        <v>82</v>
      </c>
      <c r="Q330" s="24"/>
      <c r="R330" s="24"/>
      <c r="S330" s="24"/>
      <c r="T330" s="24" t="str">
        <f>VLOOKUP(D330,[6]Mapeamento!$A$38:$C$497,3,FALSE)</f>
        <v>REC_MF</v>
      </c>
    </row>
    <row r="331" spans="1:20">
      <c r="A331" s="32" t="s">
        <v>462</v>
      </c>
      <c r="B331" s="32" t="str">
        <f>VLOOKUP(A331,'[6]Fin vs NFin'!$A$4:$B$568,2,FALSE)</f>
        <v>!Liv.Contratação-Cash</v>
      </c>
      <c r="C331" s="32" t="s">
        <v>465</v>
      </c>
      <c r="D331" s="32" t="s">
        <v>441</v>
      </c>
      <c r="E331" s="32" t="str">
        <f>VLOOKUP(D331,[6]Arvore!$N$8:$Q$6855,4,FALSE)</f>
        <v>501530430</v>
      </c>
      <c r="F331" s="33">
        <v>-42.5</v>
      </c>
      <c r="G331" s="33">
        <v>-42.5</v>
      </c>
      <c r="H331" s="34">
        <v>0</v>
      </c>
      <c r="I331" s="114"/>
      <c r="J331" s="19"/>
      <c r="K331" s="21"/>
      <c r="L331" s="22"/>
      <c r="M331" s="23"/>
      <c r="O331" s="19" t="str">
        <f>VLOOKUP(QUERY_FOR_TRNSTRANSPOSED_0008!A331,'[6]Fin vs NFin'!$A$4:$F$568,6,FALSE)</f>
        <v>Financeiras</v>
      </c>
      <c r="P331" s="24" t="str">
        <f t="shared" si="7"/>
        <v>82</v>
      </c>
      <c r="Q331" s="24"/>
      <c r="R331" s="24"/>
      <c r="S331" s="24"/>
      <c r="T331" s="24" t="str">
        <f>VLOOKUP(D331,[6]Mapeamento!$A$38:$C$497,3,FALSE)</f>
        <v>REC_MF</v>
      </c>
    </row>
    <row r="332" spans="1:20" ht="15" thickBot="1">
      <c r="A332" s="18" t="s">
        <v>462</v>
      </c>
      <c r="B332" s="18" t="str">
        <f>VLOOKUP(A332,'[6]Fin vs NFin'!$A$4:$B$568,2,FALSE)</f>
        <v>!Liv.Contratação-Cash</v>
      </c>
      <c r="C332" s="18" t="s">
        <v>465</v>
      </c>
      <c r="D332" s="18" t="s">
        <v>464</v>
      </c>
      <c r="E332" s="18" t="str">
        <f>VLOOKUP(D332,[6]Arvore!$N$8:$Q$6855,4,FALSE)</f>
        <v>501530430</v>
      </c>
      <c r="F332" s="19">
        <v>37176.89</v>
      </c>
      <c r="G332" s="19">
        <v>114272</v>
      </c>
      <c r="H332" s="20">
        <v>-77095.11</v>
      </c>
      <c r="I332" s="114"/>
      <c r="J332" s="19"/>
      <c r="K332" s="21"/>
      <c r="L332" s="22"/>
      <c r="M332" s="23"/>
      <c r="O332" s="19" t="str">
        <f>VLOOKUP(QUERY_FOR_TRNSTRANSPOSED_0008!A332,'[6]Fin vs NFin'!$A$4:$F$568,6,FALSE)</f>
        <v>Financeiras</v>
      </c>
      <c r="P332" s="24" t="str">
        <f t="shared" si="7"/>
        <v>82</v>
      </c>
      <c r="Q332" s="24"/>
      <c r="R332" s="24"/>
      <c r="S332" s="24"/>
      <c r="T332" s="24" t="str">
        <f>VLOOKUP(D332,[6]Mapeamento!$A$38:$C$497,3,FALSE)</f>
        <v>REC_MF</v>
      </c>
    </row>
    <row r="333" spans="1:20" ht="15" thickBot="1">
      <c r="A333" s="49" t="s">
        <v>466</v>
      </c>
      <c r="B333" s="49" t="str">
        <f>VLOOKUP(A333,'[6]Fin vs NFin'!$A$4:$B$568,2,FALSE)</f>
        <v>!Liv.Contratação-Periodif.</v>
      </c>
      <c r="C333" s="49" t="s">
        <v>446</v>
      </c>
      <c r="D333" s="49" t="s">
        <v>464</v>
      </c>
      <c r="E333" s="49" t="str">
        <f>VLOOKUP(D333,[6]Arvore!$N$8:$Q$6855,4,FALSE)</f>
        <v>501530430</v>
      </c>
      <c r="F333" s="50">
        <v>7283.45</v>
      </c>
      <c r="G333" s="50">
        <v>7283.45</v>
      </c>
      <c r="H333" s="51">
        <v>9.0949470177292804E-13</v>
      </c>
      <c r="I333" s="52">
        <v>9.0949470177292804E-13</v>
      </c>
      <c r="J333" s="39"/>
      <c r="K333" s="21"/>
      <c r="L333" s="41"/>
      <c r="M333" s="42"/>
      <c r="O333" s="39" t="str">
        <f>VLOOKUP(QUERY_FOR_TRNSTRANSPOSED_0008!A333,'[6]Fin vs NFin'!$A$4:$F$568,6,FALSE)</f>
        <v>Financeiras</v>
      </c>
      <c r="P333" s="43" t="str">
        <f t="shared" si="7"/>
        <v>82</v>
      </c>
      <c r="Q333" s="43"/>
      <c r="R333" s="43"/>
      <c r="S333" s="43"/>
      <c r="T333" s="43" t="str">
        <f>VLOOKUP(D333,[6]Mapeamento!$A$38:$C$497,3,FALSE)</f>
        <v>REC_MF</v>
      </c>
    </row>
    <row r="334" spans="1:20">
      <c r="A334" s="38" t="s">
        <v>467</v>
      </c>
      <c r="B334" s="38" t="str">
        <f>VLOOKUP(A334,'[6]Fin vs NFin'!$A$4:$B$568,2,FALSE)</f>
        <v>!Garant.Nacionais-Cash</v>
      </c>
      <c r="C334" s="38" t="s">
        <v>468</v>
      </c>
      <c r="D334" s="38" t="s">
        <v>469</v>
      </c>
      <c r="E334" s="38" t="str">
        <f>VLOOKUP(D334,[6]Arvore!$N$8:$Q$6855,4,FALSE)</f>
        <v>29929</v>
      </c>
      <c r="F334" s="39">
        <v>1231815.95</v>
      </c>
      <c r="G334" s="39">
        <v>0</v>
      </c>
      <c r="H334" s="40">
        <v>1231815.95</v>
      </c>
      <c r="I334" s="115">
        <f>SUM(H334:H335)</f>
        <v>9817036.5</v>
      </c>
      <c r="J334" s="110">
        <f>I334+I336</f>
        <v>0</v>
      </c>
      <c r="K334" s="21"/>
      <c r="L334" s="41"/>
      <c r="M334" s="42"/>
      <c r="O334" s="39" t="str">
        <f>VLOOKUP(QUERY_FOR_TRNSTRANSPOSED_0008!A334,'[6]Fin vs NFin'!$A$4:$F$568,6,FALSE)</f>
        <v>Não Financeiras</v>
      </c>
      <c r="P334" s="43" t="str">
        <f t="shared" si="7"/>
        <v>54</v>
      </c>
      <c r="Q334" s="43"/>
      <c r="R334" s="43"/>
      <c r="S334" s="43"/>
      <c r="T334" s="43"/>
    </row>
    <row r="335" spans="1:20" ht="15" thickBot="1">
      <c r="A335" s="18" t="s">
        <v>467</v>
      </c>
      <c r="B335" s="18" t="str">
        <f>VLOOKUP(A335,'[6]Fin vs NFin'!$A$4:$B$568,2,FALSE)</f>
        <v>!Garant.Nacionais-Cash</v>
      </c>
      <c r="C335" s="18" t="s">
        <v>468</v>
      </c>
      <c r="D335" s="18" t="s">
        <v>470</v>
      </c>
      <c r="E335" s="18" t="str">
        <f>VLOOKUP(D335,[6]Arvore!$N$8:$Q$6855,4,FALSE)</f>
        <v>29929</v>
      </c>
      <c r="F335" s="19">
        <v>8585220.5500000007</v>
      </c>
      <c r="G335" s="19">
        <v>0</v>
      </c>
      <c r="H335" s="20">
        <v>8585220.5500000007</v>
      </c>
      <c r="I335" s="116"/>
      <c r="J335" s="111"/>
      <c r="K335" s="21"/>
      <c r="L335" s="22"/>
      <c r="M335" s="23"/>
      <c r="O335" s="19" t="str">
        <f>VLOOKUP(QUERY_FOR_TRNSTRANSPOSED_0008!A335,'[6]Fin vs NFin'!$A$4:$F$568,6,FALSE)</f>
        <v>Não Financeiras</v>
      </c>
      <c r="P335" s="24" t="str">
        <f t="shared" si="7"/>
        <v>54</v>
      </c>
      <c r="Q335" s="24"/>
      <c r="R335" s="24"/>
      <c r="S335" s="24"/>
      <c r="T335" s="24"/>
    </row>
    <row r="336" spans="1:20">
      <c r="A336" s="38" t="s">
        <v>471</v>
      </c>
      <c r="B336" s="38" t="str">
        <f>VLOOKUP(A336,'[6]Fin vs NFin'!$A$4:$B$568,2,FALSE)</f>
        <v>!Garant.Nacionais-Periodif</v>
      </c>
      <c r="C336" s="38" t="s">
        <v>472</v>
      </c>
      <c r="D336" s="38" t="s">
        <v>473</v>
      </c>
      <c r="E336" s="38" t="str">
        <f>VLOOKUP(D336,[6]Arvore!$N$8:$Q$6855,4,FALSE)</f>
        <v>5100</v>
      </c>
      <c r="F336" s="39">
        <v>13841.97</v>
      </c>
      <c r="G336" s="39">
        <v>1244616.48</v>
      </c>
      <c r="H336" s="40">
        <v>-1230774.51</v>
      </c>
      <c r="I336" s="115">
        <f>SUM(H336:H338)</f>
        <v>-9817036.5</v>
      </c>
      <c r="J336" s="110">
        <f>I334+I336</f>
        <v>0</v>
      </c>
      <c r="K336" s="21"/>
      <c r="L336" s="41"/>
      <c r="M336" s="42"/>
      <c r="O336" s="39" t="str">
        <f>VLOOKUP(QUERY_FOR_TRNSTRANSPOSED_0008!A336,'[6]Fin vs NFin'!$A$4:$F$568,6,FALSE)</f>
        <v>Não Financeiras</v>
      </c>
      <c r="P336" s="43" t="str">
        <f t="shared" si="7"/>
        <v>82</v>
      </c>
      <c r="Q336" s="43"/>
      <c r="R336" s="43"/>
      <c r="S336" s="43"/>
      <c r="T336" s="43"/>
    </row>
    <row r="337" spans="1:20">
      <c r="A337" s="18" t="s">
        <v>471</v>
      </c>
      <c r="B337" s="18" t="str">
        <f>VLOOKUP(A337,'[6]Fin vs NFin'!$A$4:$B$568,2,FALSE)</f>
        <v>!Garant.Nacionais-Periodif</v>
      </c>
      <c r="C337" s="18" t="s">
        <v>472</v>
      </c>
      <c r="D337" s="18" t="s">
        <v>474</v>
      </c>
      <c r="E337" s="18" t="str">
        <f>VLOOKUP(D337,[6]Arvore!$N$8:$Q$6855,4,FALSE)</f>
        <v>51090</v>
      </c>
      <c r="F337" s="19">
        <v>-149221.32</v>
      </c>
      <c r="G337" s="19">
        <v>8436483.4199999999</v>
      </c>
      <c r="H337" s="20">
        <v>-8585704.7400000002</v>
      </c>
      <c r="I337" s="116"/>
      <c r="J337" s="117"/>
      <c r="K337" s="21"/>
      <c r="L337" s="22"/>
      <c r="M337" s="23"/>
      <c r="O337" s="19" t="str">
        <f>VLOOKUP(QUERY_FOR_TRNSTRANSPOSED_0008!A337,'[6]Fin vs NFin'!$A$4:$F$568,6,FALSE)</f>
        <v>Não Financeiras</v>
      </c>
      <c r="P337" s="24" t="str">
        <f t="shared" si="7"/>
        <v>82</v>
      </c>
      <c r="Q337" s="24"/>
      <c r="R337" s="24"/>
      <c r="S337" s="24"/>
      <c r="T337" s="24"/>
    </row>
    <row r="338" spans="1:20" ht="15" thickBot="1">
      <c r="A338" s="11" t="s">
        <v>471</v>
      </c>
      <c r="B338" s="11" t="str">
        <f>VLOOKUP(A338,'[6]Fin vs NFin'!$A$4:$B$568,2,FALSE)</f>
        <v>!Garant.Nacionais-Periodif</v>
      </c>
      <c r="C338" s="11" t="s">
        <v>472</v>
      </c>
      <c r="D338" s="11" t="s">
        <v>475</v>
      </c>
      <c r="E338" s="11" t="str">
        <f>VLOOKUP(D338,[6]Arvore!$N$8:$Q$6855,4,FALSE)</f>
        <v>5100</v>
      </c>
      <c r="F338" s="12">
        <v>2699451.89</v>
      </c>
      <c r="G338" s="12">
        <v>2700009.14</v>
      </c>
      <c r="H338" s="13">
        <v>-557.25</v>
      </c>
      <c r="I338" s="118"/>
      <c r="J338" s="111"/>
      <c r="K338" s="21"/>
      <c r="L338" s="15"/>
      <c r="M338" s="16"/>
      <c r="O338" s="12" t="str">
        <f>VLOOKUP(QUERY_FOR_TRNSTRANSPOSED_0008!A338,'[6]Fin vs NFin'!$A$4:$F$568,6,FALSE)</f>
        <v>Não Financeiras</v>
      </c>
      <c r="P338" s="17" t="str">
        <f t="shared" si="7"/>
        <v>82</v>
      </c>
      <c r="Q338" s="17"/>
      <c r="R338" s="17"/>
      <c r="S338" s="17"/>
      <c r="T338" s="17"/>
    </row>
    <row r="339" spans="1:20">
      <c r="A339" s="18" t="s">
        <v>476</v>
      </c>
      <c r="B339" s="18" t="str">
        <f>VLOOKUP(A339,'[6]Fin vs NFin'!$A$4:$B$568,2,FALSE)</f>
        <v>!Garantias Nacionais-Outra</v>
      </c>
      <c r="C339" s="18" t="s">
        <v>477</v>
      </c>
      <c r="D339" s="18" t="s">
        <v>473</v>
      </c>
      <c r="E339" s="18" t="str">
        <f>VLOOKUP(D339,[6]Arvore!$N$8:$Q$6855,4,FALSE)</f>
        <v>5100</v>
      </c>
      <c r="F339" s="19">
        <v>7857.86</v>
      </c>
      <c r="G339" s="19">
        <v>8009.86</v>
      </c>
      <c r="H339" s="20">
        <v>-152</v>
      </c>
      <c r="I339" s="108">
        <v>7.9183899797499197E-3</v>
      </c>
      <c r="J339" s="19"/>
      <c r="K339" s="21"/>
      <c r="L339" s="22"/>
      <c r="M339" s="23"/>
      <c r="O339" s="19" t="str">
        <f>VLOOKUP(QUERY_FOR_TRNSTRANSPOSED_0008!A339,'[6]Fin vs NFin'!$A$4:$F$568,6,FALSE)</f>
        <v>Não Financeiras</v>
      </c>
      <c r="P339" s="24" t="str">
        <f t="shared" si="7"/>
        <v>82</v>
      </c>
      <c r="Q339" s="24"/>
      <c r="R339" s="24"/>
      <c r="S339" s="24"/>
      <c r="T339" s="24"/>
    </row>
    <row r="340" spans="1:20">
      <c r="A340" s="18" t="s">
        <v>476</v>
      </c>
      <c r="B340" s="18" t="str">
        <f>VLOOKUP(A340,'[6]Fin vs NFin'!$A$4:$B$568,2,FALSE)</f>
        <v>!Garantias Nacionais-Outra</v>
      </c>
      <c r="C340" s="18" t="s">
        <v>477</v>
      </c>
      <c r="D340" s="18" t="s">
        <v>474</v>
      </c>
      <c r="E340" s="18" t="str">
        <f>VLOOKUP(D340,[6]Arvore!$N$8:$Q$6855,4,FALSE)</f>
        <v>51090</v>
      </c>
      <c r="F340" s="19">
        <v>78630.100000000006</v>
      </c>
      <c r="G340" s="19">
        <v>80959.149999999994</v>
      </c>
      <c r="H340" s="20">
        <v>-2329.0499999999902</v>
      </c>
      <c r="I340" s="114"/>
      <c r="J340" s="19"/>
      <c r="K340" s="21"/>
      <c r="L340" s="22"/>
      <c r="M340" s="23"/>
      <c r="O340" s="19" t="str">
        <f>VLOOKUP(QUERY_FOR_TRNSTRANSPOSED_0008!A340,'[6]Fin vs NFin'!$A$4:$F$568,6,FALSE)</f>
        <v>Não Financeiras</v>
      </c>
      <c r="P340" s="24" t="str">
        <f t="shared" si="7"/>
        <v>82</v>
      </c>
      <c r="Q340" s="24"/>
      <c r="R340" s="24"/>
      <c r="S340" s="24"/>
      <c r="T340" s="24"/>
    </row>
    <row r="341" spans="1:20">
      <c r="A341" s="18" t="s">
        <v>476</v>
      </c>
      <c r="B341" s="18" t="str">
        <f>VLOOKUP(A341,'[6]Fin vs NFin'!$A$4:$B$568,2,FALSE)</f>
        <v>!Garantias Nacionais-Outra</v>
      </c>
      <c r="C341" s="18" t="s">
        <v>477</v>
      </c>
      <c r="D341" s="18" t="s">
        <v>475</v>
      </c>
      <c r="E341" s="18" t="str">
        <f>VLOOKUP(D341,[6]Arvore!$N$8:$Q$6855,4,FALSE)</f>
        <v>5100</v>
      </c>
      <c r="F341" s="19">
        <v>5225.3999999999996</v>
      </c>
      <c r="G341" s="19">
        <v>5290.4</v>
      </c>
      <c r="H341" s="20">
        <v>-64.999999999999105</v>
      </c>
      <c r="I341" s="114"/>
      <c r="J341" s="19"/>
      <c r="K341" s="21"/>
      <c r="L341" s="22"/>
      <c r="M341" s="23"/>
      <c r="O341" s="19" t="str">
        <f>VLOOKUP(QUERY_FOR_TRNSTRANSPOSED_0008!A341,'[6]Fin vs NFin'!$A$4:$F$568,6,FALSE)</f>
        <v>Não Financeiras</v>
      </c>
      <c r="P341" s="24" t="str">
        <f t="shared" si="7"/>
        <v>82</v>
      </c>
      <c r="Q341" s="24"/>
      <c r="R341" s="24"/>
      <c r="S341" s="24"/>
      <c r="T341" s="24"/>
    </row>
    <row r="342" spans="1:20">
      <c r="A342" s="18" t="s">
        <v>476</v>
      </c>
      <c r="B342" s="18" t="str">
        <f>VLOOKUP(A342,'[6]Fin vs NFin'!$A$4:$B$568,2,FALSE)</f>
        <v>!Garantias Nacionais-Outra</v>
      </c>
      <c r="C342" s="18" t="s">
        <v>478</v>
      </c>
      <c r="D342" s="18" t="s">
        <v>479</v>
      </c>
      <c r="E342" s="18" t="str">
        <f>VLOOKUP(D342,[6]Arvore!$N$8:$Q$6855,4,FALSE)</f>
        <v>4311811</v>
      </c>
      <c r="F342" s="19">
        <v>59180.99</v>
      </c>
      <c r="G342" s="19">
        <v>60695.99</v>
      </c>
      <c r="H342" s="20">
        <v>-1515</v>
      </c>
      <c r="I342" s="114"/>
      <c r="J342" s="19"/>
      <c r="K342" s="21"/>
      <c r="L342" s="22"/>
      <c r="M342" s="23"/>
      <c r="O342" s="19" t="str">
        <f>VLOOKUP(QUERY_FOR_TRNSTRANSPOSED_0008!A342,'[6]Fin vs NFin'!$A$4:$F$568,6,FALSE)</f>
        <v>Não Financeiras</v>
      </c>
      <c r="P342" s="24" t="str">
        <f t="shared" si="7"/>
        <v>89</v>
      </c>
      <c r="Q342" s="24"/>
      <c r="R342" s="24" t="str">
        <f>VLOOKUP(D342,[6]Mapeamento!$A$38:$C$497,3,FALSE)</f>
        <v>GG</v>
      </c>
      <c r="S342" s="24"/>
      <c r="T342" s="24"/>
    </row>
    <row r="343" spans="1:20">
      <c r="A343" s="18" t="s">
        <v>476</v>
      </c>
      <c r="B343" s="18" t="str">
        <f>VLOOKUP(A343,'[6]Fin vs NFin'!$A$4:$B$568,2,FALSE)</f>
        <v>!Garantias Nacionais-Outra</v>
      </c>
      <c r="C343" s="18" t="s">
        <v>480</v>
      </c>
      <c r="D343" s="18" t="s">
        <v>473</v>
      </c>
      <c r="E343" s="18" t="str">
        <f>VLOOKUP(D343,[6]Arvore!$N$8:$Q$6855,4,FALSE)</f>
        <v>5100</v>
      </c>
      <c r="F343" s="19">
        <v>5354.82</v>
      </c>
      <c r="G343" s="19">
        <v>5563.86</v>
      </c>
      <c r="H343" s="20">
        <v>-209.04</v>
      </c>
      <c r="I343" s="114"/>
      <c r="J343" s="19"/>
      <c r="K343" s="21"/>
      <c r="L343" s="22"/>
      <c r="M343" s="23"/>
      <c r="O343" s="19" t="str">
        <f>VLOOKUP(QUERY_FOR_TRNSTRANSPOSED_0008!A343,'[6]Fin vs NFin'!$A$4:$F$568,6,FALSE)</f>
        <v>Não Financeiras</v>
      </c>
      <c r="P343" s="24" t="str">
        <f t="shared" si="7"/>
        <v>82</v>
      </c>
      <c r="Q343" s="24"/>
      <c r="R343" s="24"/>
      <c r="S343" s="24"/>
      <c r="T343" s="24"/>
    </row>
    <row r="344" spans="1:20">
      <c r="A344" s="18" t="s">
        <v>476</v>
      </c>
      <c r="B344" s="18" t="str">
        <f>VLOOKUP(A344,'[6]Fin vs NFin'!$A$4:$B$568,2,FALSE)</f>
        <v>!Garantias Nacionais-Outra</v>
      </c>
      <c r="C344" s="18" t="s">
        <v>480</v>
      </c>
      <c r="D344" s="18" t="s">
        <v>474</v>
      </c>
      <c r="E344" s="18" t="str">
        <f>VLOOKUP(D344,[6]Arvore!$N$8:$Q$6855,4,FALSE)</f>
        <v>51090</v>
      </c>
      <c r="F344" s="19">
        <v>96697.29</v>
      </c>
      <c r="G344" s="19">
        <v>96591.33</v>
      </c>
      <c r="H344" s="20">
        <v>105.960000000006</v>
      </c>
      <c r="I344" s="114"/>
      <c r="J344" s="19"/>
      <c r="K344" s="21"/>
      <c r="L344" s="22"/>
      <c r="M344" s="23"/>
      <c r="O344" s="19" t="str">
        <f>VLOOKUP(QUERY_FOR_TRNSTRANSPOSED_0008!A344,'[6]Fin vs NFin'!$A$4:$F$568,6,FALSE)</f>
        <v>Não Financeiras</v>
      </c>
      <c r="P344" s="24" t="str">
        <f t="shared" si="7"/>
        <v>82</v>
      </c>
      <c r="Q344" s="24"/>
      <c r="R344" s="24"/>
      <c r="S344" s="24"/>
      <c r="T344" s="24"/>
    </row>
    <row r="345" spans="1:20">
      <c r="A345" s="18" t="s">
        <v>476</v>
      </c>
      <c r="B345" s="18" t="str">
        <f>VLOOKUP(A345,'[6]Fin vs NFin'!$A$4:$B$568,2,FALSE)</f>
        <v>!Garantias Nacionais-Outra</v>
      </c>
      <c r="C345" s="18" t="s">
        <v>480</v>
      </c>
      <c r="D345" s="18" t="s">
        <v>475</v>
      </c>
      <c r="E345" s="18" t="str">
        <f>VLOOKUP(D345,[6]Arvore!$N$8:$Q$6855,4,FALSE)</f>
        <v>5100</v>
      </c>
      <c r="F345" s="19">
        <v>13810</v>
      </c>
      <c r="G345" s="19">
        <v>13870</v>
      </c>
      <c r="H345" s="20">
        <v>-60</v>
      </c>
      <c r="I345" s="114"/>
      <c r="J345" s="19"/>
      <c r="K345" s="21"/>
      <c r="L345" s="22"/>
      <c r="M345" s="23"/>
      <c r="O345" s="19" t="str">
        <f>VLOOKUP(QUERY_FOR_TRNSTRANSPOSED_0008!A345,'[6]Fin vs NFin'!$A$4:$F$568,6,FALSE)</f>
        <v>Não Financeiras</v>
      </c>
      <c r="P345" s="24" t="str">
        <f t="shared" si="7"/>
        <v>82</v>
      </c>
      <c r="Q345" s="24"/>
      <c r="R345" s="24"/>
      <c r="S345" s="24"/>
      <c r="T345" s="24"/>
    </row>
    <row r="346" spans="1:20">
      <c r="A346" s="32" t="s">
        <v>476</v>
      </c>
      <c r="B346" s="32" t="str">
        <f>VLOOKUP(A346,'[6]Fin vs NFin'!$A$4:$B$568,2,FALSE)</f>
        <v>!Garantias Nacionais-Outra</v>
      </c>
      <c r="C346" s="32" t="s">
        <v>481</v>
      </c>
      <c r="D346" s="32" t="s">
        <v>482</v>
      </c>
      <c r="E346" s="32" t="str">
        <f>VLOOKUP(D346,[6]Arvore!$N$8:$Q$6855,4,FALSE)</f>
        <v>51090</v>
      </c>
      <c r="F346" s="33">
        <v>222.5</v>
      </c>
      <c r="G346" s="33">
        <v>222.5</v>
      </c>
      <c r="H346" s="34">
        <v>0</v>
      </c>
      <c r="I346" s="114"/>
      <c r="J346" s="19"/>
      <c r="K346" s="21"/>
      <c r="L346" s="22"/>
      <c r="M346" s="23"/>
      <c r="O346" s="19" t="str">
        <f>VLOOKUP(QUERY_FOR_TRNSTRANSPOSED_0008!A346,'[6]Fin vs NFin'!$A$4:$F$568,6,FALSE)</f>
        <v>Não Financeiras</v>
      </c>
      <c r="P346" s="24" t="str">
        <f t="shared" si="7"/>
        <v>82</v>
      </c>
      <c r="Q346" s="24"/>
      <c r="R346" s="24"/>
      <c r="S346" s="24"/>
      <c r="T346" s="24"/>
    </row>
    <row r="347" spans="1:20">
      <c r="A347" s="18" t="s">
        <v>476</v>
      </c>
      <c r="B347" s="18" t="str">
        <f>VLOOKUP(A347,'[6]Fin vs NFin'!$A$4:$B$568,2,FALSE)</f>
        <v>!Garantias Nacionais-Outra</v>
      </c>
      <c r="C347" s="18" t="s">
        <v>481</v>
      </c>
      <c r="D347" s="18" t="s">
        <v>474</v>
      </c>
      <c r="E347" s="18" t="str">
        <f>VLOOKUP(D347,[6]Arvore!$N$8:$Q$6855,4,FALSE)</f>
        <v>51090</v>
      </c>
      <c r="F347" s="19">
        <v>3985</v>
      </c>
      <c r="G347" s="19">
        <v>3060</v>
      </c>
      <c r="H347" s="20">
        <v>925</v>
      </c>
      <c r="I347" s="114"/>
      <c r="J347" s="19"/>
      <c r="K347" s="21"/>
      <c r="L347" s="22"/>
      <c r="M347" s="23"/>
      <c r="O347" s="19" t="str">
        <f>VLOOKUP(QUERY_FOR_TRNSTRANSPOSED_0008!A347,'[6]Fin vs NFin'!$A$4:$F$568,6,FALSE)</f>
        <v>Não Financeiras</v>
      </c>
      <c r="P347" s="24" t="str">
        <f t="shared" si="7"/>
        <v>82</v>
      </c>
      <c r="Q347" s="24"/>
      <c r="R347" s="24"/>
      <c r="S347" s="24"/>
      <c r="T347" s="24"/>
    </row>
    <row r="348" spans="1:20">
      <c r="A348" s="32" t="s">
        <v>476</v>
      </c>
      <c r="B348" s="32" t="str">
        <f>VLOOKUP(A348,'[6]Fin vs NFin'!$A$4:$B$568,2,FALSE)</f>
        <v>!Garantias Nacionais-Outra</v>
      </c>
      <c r="C348" s="32" t="s">
        <v>481</v>
      </c>
      <c r="D348" s="32" t="s">
        <v>475</v>
      </c>
      <c r="E348" s="32" t="str">
        <f>VLOOKUP(D348,[6]Arvore!$N$8:$Q$6855,4,FALSE)</f>
        <v>5100</v>
      </c>
      <c r="F348" s="33">
        <v>160</v>
      </c>
      <c r="G348" s="33">
        <v>160</v>
      </c>
      <c r="H348" s="34">
        <v>0</v>
      </c>
      <c r="I348" s="114"/>
      <c r="J348" s="19"/>
      <c r="K348" s="21"/>
      <c r="L348" s="22"/>
      <c r="M348" s="23"/>
      <c r="O348" s="19" t="str">
        <f>VLOOKUP(QUERY_FOR_TRNSTRANSPOSED_0008!A348,'[6]Fin vs NFin'!$A$4:$F$568,6,FALSE)</f>
        <v>Não Financeiras</v>
      </c>
      <c r="P348" s="24" t="str">
        <f t="shared" si="7"/>
        <v>82</v>
      </c>
      <c r="Q348" s="24"/>
      <c r="R348" s="24"/>
      <c r="S348" s="24"/>
      <c r="T348" s="24"/>
    </row>
    <row r="349" spans="1:20">
      <c r="A349" s="18" t="s">
        <v>476</v>
      </c>
      <c r="B349" s="18" t="str">
        <f>VLOOKUP(A349,'[6]Fin vs NFin'!$A$4:$B$568,2,FALSE)</f>
        <v>!Garantias Nacionais-Outra</v>
      </c>
      <c r="C349" s="18" t="s">
        <v>483</v>
      </c>
      <c r="D349" s="18" t="s">
        <v>473</v>
      </c>
      <c r="E349" s="18" t="str">
        <f>VLOOKUP(D349,[6]Arvore!$N$8:$Q$6855,4,FALSE)</f>
        <v>5100</v>
      </c>
      <c r="F349" s="19">
        <v>2266.04</v>
      </c>
      <c r="G349" s="19">
        <v>1820</v>
      </c>
      <c r="H349" s="20">
        <v>446.04</v>
      </c>
      <c r="I349" s="114"/>
      <c r="J349" s="19"/>
      <c r="K349" s="21"/>
      <c r="L349" s="22"/>
      <c r="M349" s="23"/>
      <c r="O349" s="19" t="str">
        <f>VLOOKUP(QUERY_FOR_TRNSTRANSPOSED_0008!A349,'[6]Fin vs NFin'!$A$4:$F$568,6,FALSE)</f>
        <v>Não Financeiras</v>
      </c>
      <c r="P349" s="24" t="str">
        <f t="shared" si="7"/>
        <v>82</v>
      </c>
      <c r="Q349" s="24"/>
      <c r="R349" s="24"/>
      <c r="S349" s="24"/>
      <c r="T349" s="24"/>
    </row>
    <row r="350" spans="1:20">
      <c r="A350" s="18" t="s">
        <v>476</v>
      </c>
      <c r="B350" s="18" t="str">
        <f>VLOOKUP(A350,'[6]Fin vs NFin'!$A$4:$B$568,2,FALSE)</f>
        <v>!Garantias Nacionais-Outra</v>
      </c>
      <c r="C350" s="18" t="s">
        <v>483</v>
      </c>
      <c r="D350" s="18" t="s">
        <v>474</v>
      </c>
      <c r="E350" s="18" t="str">
        <f>VLOOKUP(D350,[6]Arvore!$N$8:$Q$6855,4,FALSE)</f>
        <v>51090</v>
      </c>
      <c r="F350" s="19">
        <v>6644.09</v>
      </c>
      <c r="G350" s="19">
        <v>4421</v>
      </c>
      <c r="H350" s="20">
        <v>2223.09</v>
      </c>
      <c r="I350" s="114"/>
      <c r="J350" s="19"/>
      <c r="K350" s="21"/>
      <c r="L350" s="22"/>
      <c r="M350" s="23"/>
      <c r="O350" s="19" t="str">
        <f>VLOOKUP(QUERY_FOR_TRNSTRANSPOSED_0008!A350,'[6]Fin vs NFin'!$A$4:$F$568,6,FALSE)</f>
        <v>Não Financeiras</v>
      </c>
      <c r="P350" s="24" t="str">
        <f t="shared" si="7"/>
        <v>82</v>
      </c>
      <c r="Q350" s="24"/>
      <c r="R350" s="24"/>
      <c r="S350" s="24"/>
      <c r="T350" s="24"/>
    </row>
    <row r="351" spans="1:20">
      <c r="A351" s="18" t="s">
        <v>476</v>
      </c>
      <c r="B351" s="18" t="str">
        <f>VLOOKUP(A351,'[6]Fin vs NFin'!$A$4:$B$568,2,FALSE)</f>
        <v>!Garantias Nacionais-Outra</v>
      </c>
      <c r="C351" s="18" t="s">
        <v>483</v>
      </c>
      <c r="D351" s="18" t="s">
        <v>475</v>
      </c>
      <c r="E351" s="18" t="str">
        <f>VLOOKUP(D351,[6]Arvore!$N$8:$Q$6855,4,FALSE)</f>
        <v>5100</v>
      </c>
      <c r="F351" s="19">
        <v>1150</v>
      </c>
      <c r="G351" s="19">
        <v>520</v>
      </c>
      <c r="H351" s="20">
        <v>630</v>
      </c>
      <c r="I351" s="114"/>
      <c r="J351" s="19"/>
      <c r="K351" s="21"/>
      <c r="L351" s="22"/>
      <c r="M351" s="23"/>
      <c r="O351" s="19" t="str">
        <f>VLOOKUP(QUERY_FOR_TRNSTRANSPOSED_0008!A351,'[6]Fin vs NFin'!$A$4:$F$568,6,FALSE)</f>
        <v>Não Financeiras</v>
      </c>
      <c r="P351" s="24" t="str">
        <f t="shared" si="7"/>
        <v>82</v>
      </c>
      <c r="Q351" s="24"/>
      <c r="R351" s="24"/>
      <c r="S351" s="24"/>
      <c r="T351" s="24"/>
    </row>
    <row r="352" spans="1:20">
      <c r="A352" s="18" t="s">
        <v>476</v>
      </c>
      <c r="B352" s="18" t="str">
        <f>VLOOKUP(A352,'[6]Fin vs NFin'!$A$4:$B$568,2,FALSE)</f>
        <v>!Garantias Nacionais-Outra</v>
      </c>
      <c r="C352" s="18" t="s">
        <v>484</v>
      </c>
      <c r="D352" s="18" t="s">
        <v>473</v>
      </c>
      <c r="E352" s="18" t="str">
        <f>VLOOKUP(D352,[6]Arvore!$N$8:$Q$6855,4,FALSE)</f>
        <v>5100</v>
      </c>
      <c r="F352" s="19">
        <v>-6080.74</v>
      </c>
      <c r="G352" s="19">
        <v>-5930.74</v>
      </c>
      <c r="H352" s="20">
        <v>-150</v>
      </c>
      <c r="I352" s="114"/>
      <c r="J352" s="19"/>
      <c r="K352" s="21"/>
      <c r="L352" s="22"/>
      <c r="M352" s="23"/>
      <c r="O352" s="19" t="str">
        <f>VLOOKUP(QUERY_FOR_TRNSTRANSPOSED_0008!A352,'[6]Fin vs NFin'!$A$4:$F$568,6,FALSE)</f>
        <v>Não Financeiras</v>
      </c>
      <c r="P352" s="24" t="str">
        <f t="shared" si="7"/>
        <v>82</v>
      </c>
      <c r="Q352" s="24"/>
      <c r="R352" s="24"/>
      <c r="S352" s="24"/>
      <c r="T352" s="24"/>
    </row>
    <row r="353" spans="1:20">
      <c r="A353" s="18" t="s">
        <v>476</v>
      </c>
      <c r="B353" s="18" t="str">
        <f>VLOOKUP(A353,'[6]Fin vs NFin'!$A$4:$B$568,2,FALSE)</f>
        <v>!Garantias Nacionais-Outra</v>
      </c>
      <c r="C353" s="18" t="s">
        <v>153</v>
      </c>
      <c r="D353" s="18" t="s">
        <v>485</v>
      </c>
      <c r="E353" s="18" t="str">
        <f>VLOOKUP(D353,[6]Arvore!$N$8:$Q$6855,4,FALSE)</f>
        <v>41100</v>
      </c>
      <c r="F353" s="19">
        <v>7196332.7300000004</v>
      </c>
      <c r="G353" s="19">
        <v>-3809247.8879183899</v>
      </c>
      <c r="H353" s="20">
        <v>11005580.6179184</v>
      </c>
      <c r="I353" s="114"/>
      <c r="J353" s="19"/>
      <c r="K353" s="21"/>
      <c r="L353" s="22"/>
      <c r="M353" s="23"/>
      <c r="O353" s="19" t="str">
        <f>VLOOKUP(QUERY_FOR_TRNSTRANSPOSED_0008!A353,'[6]Fin vs NFin'!$A$4:$F$568,6,FALSE)</f>
        <v>Não Financeiras</v>
      </c>
      <c r="P353" s="24" t="str">
        <f t="shared" si="7"/>
        <v>71</v>
      </c>
      <c r="Q353" s="24"/>
      <c r="R353" s="24"/>
      <c r="S353" s="24"/>
      <c r="T353" s="24"/>
    </row>
    <row r="354" spans="1:20">
      <c r="A354" s="18" t="s">
        <v>476</v>
      </c>
      <c r="B354" s="18" t="str">
        <f>VLOOKUP(A354,'[6]Fin vs NFin'!$A$4:$B$568,2,FALSE)</f>
        <v>!Garantias Nacionais-Outra</v>
      </c>
      <c r="C354" s="18" t="s">
        <v>153</v>
      </c>
      <c r="D354" s="18" t="s">
        <v>473</v>
      </c>
      <c r="E354" s="18" t="str">
        <f>VLOOKUP(D354,[6]Arvore!$N$8:$Q$6855,4,FALSE)</f>
        <v>5100</v>
      </c>
      <c r="F354" s="19">
        <v>78749.570000000007</v>
      </c>
      <c r="G354" s="19">
        <v>105231.03</v>
      </c>
      <c r="H354" s="20">
        <v>-26481.46</v>
      </c>
      <c r="I354" s="114"/>
      <c r="J354" s="19"/>
      <c r="K354" s="21"/>
      <c r="L354" s="22"/>
      <c r="M354" s="23"/>
      <c r="O354" s="19" t="str">
        <f>VLOOKUP(QUERY_FOR_TRNSTRANSPOSED_0008!A354,'[6]Fin vs NFin'!$A$4:$F$568,6,FALSE)</f>
        <v>Não Financeiras</v>
      </c>
      <c r="P354" s="24" t="str">
        <f t="shared" si="7"/>
        <v>82</v>
      </c>
      <c r="Q354" s="24"/>
      <c r="R354" s="24"/>
      <c r="S354" s="24"/>
      <c r="T354" s="24"/>
    </row>
    <row r="355" spans="1:20">
      <c r="A355" s="18" t="s">
        <v>476</v>
      </c>
      <c r="B355" s="18" t="str">
        <f>VLOOKUP(A355,'[6]Fin vs NFin'!$A$4:$B$568,2,FALSE)</f>
        <v>!Garantias Nacionais-Outra</v>
      </c>
      <c r="C355" s="18" t="s">
        <v>486</v>
      </c>
      <c r="D355" s="18" t="s">
        <v>473</v>
      </c>
      <c r="E355" s="18" t="str">
        <f>VLOOKUP(D355,[6]Arvore!$N$8:$Q$6855,4,FALSE)</f>
        <v>5100</v>
      </c>
      <c r="F355" s="19">
        <v>-39682.400000000001</v>
      </c>
      <c r="G355" s="19">
        <v>-39832.400000000001</v>
      </c>
      <c r="H355" s="20">
        <v>150</v>
      </c>
      <c r="I355" s="114"/>
      <c r="J355" s="19"/>
      <c r="K355" s="21"/>
      <c r="L355" s="22"/>
      <c r="M355" s="23"/>
      <c r="O355" s="19" t="str">
        <f>VLOOKUP(QUERY_FOR_TRNSTRANSPOSED_0008!A355,'[6]Fin vs NFin'!$A$4:$F$568,6,FALSE)</f>
        <v>Não Financeiras</v>
      </c>
      <c r="P355" s="24" t="str">
        <f t="shared" si="7"/>
        <v>82</v>
      </c>
      <c r="Q355" s="24"/>
      <c r="R355" s="24"/>
      <c r="S355" s="24"/>
      <c r="T355" s="24"/>
    </row>
    <row r="356" spans="1:20">
      <c r="A356" s="32" t="s">
        <v>476</v>
      </c>
      <c r="B356" s="32" t="str">
        <f>VLOOKUP(A356,'[6]Fin vs NFin'!$A$4:$B$568,2,FALSE)</f>
        <v>!Garantias Nacionais-Outra</v>
      </c>
      <c r="C356" s="32" t="s">
        <v>487</v>
      </c>
      <c r="D356" s="32" t="s">
        <v>479</v>
      </c>
      <c r="E356" s="32" t="str">
        <f>VLOOKUP(D356,[6]Arvore!$N$8:$Q$6855,4,FALSE)</f>
        <v>4311811</v>
      </c>
      <c r="F356" s="33">
        <v>-22</v>
      </c>
      <c r="G356" s="33">
        <v>-22</v>
      </c>
      <c r="H356" s="34">
        <v>0</v>
      </c>
      <c r="I356" s="114"/>
      <c r="J356" s="19"/>
      <c r="K356" s="21"/>
      <c r="L356" s="22"/>
      <c r="M356" s="23"/>
      <c r="O356" s="19" t="str">
        <f>VLOOKUP(QUERY_FOR_TRNSTRANSPOSED_0008!A356,'[6]Fin vs NFin'!$A$4:$F$568,6,FALSE)</f>
        <v>Não Financeiras</v>
      </c>
      <c r="P356" s="24" t="str">
        <f t="shared" si="7"/>
        <v>89</v>
      </c>
      <c r="Q356" s="24"/>
      <c r="R356" s="24" t="str">
        <f>VLOOKUP(D356,[6]Mapeamento!$A$38:$C$497,3,FALSE)</f>
        <v>GG</v>
      </c>
      <c r="S356" s="24"/>
      <c r="T356" s="24"/>
    </row>
    <row r="357" spans="1:20">
      <c r="A357" s="32" t="s">
        <v>476</v>
      </c>
      <c r="B357" s="32" t="str">
        <f>VLOOKUP(A357,'[6]Fin vs NFin'!$A$4:$B$568,2,FALSE)</f>
        <v>!Garantias Nacionais-Outra</v>
      </c>
      <c r="C357" s="32" t="s">
        <v>488</v>
      </c>
      <c r="D357" s="32" t="s">
        <v>473</v>
      </c>
      <c r="E357" s="32" t="str">
        <f>VLOOKUP(D357,[6]Arvore!$N$8:$Q$6855,4,FALSE)</f>
        <v>5100</v>
      </c>
      <c r="F357" s="33">
        <v>8325</v>
      </c>
      <c r="G357" s="33">
        <v>8325</v>
      </c>
      <c r="H357" s="34">
        <v>0</v>
      </c>
      <c r="I357" s="114"/>
      <c r="J357" s="19"/>
      <c r="K357" s="21"/>
      <c r="L357" s="22"/>
      <c r="M357" s="23"/>
      <c r="O357" s="19" t="str">
        <f>VLOOKUP(QUERY_FOR_TRNSTRANSPOSED_0008!A357,'[6]Fin vs NFin'!$A$4:$F$568,6,FALSE)</f>
        <v>Não Financeiras</v>
      </c>
      <c r="P357" s="24" t="str">
        <f t="shared" si="7"/>
        <v>82</v>
      </c>
      <c r="Q357" s="24"/>
      <c r="R357" s="24"/>
      <c r="S357" s="24"/>
      <c r="T357" s="24"/>
    </row>
    <row r="358" spans="1:20">
      <c r="A358" s="18" t="s">
        <v>476</v>
      </c>
      <c r="B358" s="18" t="str">
        <f>VLOOKUP(A358,'[6]Fin vs NFin'!$A$4:$B$568,2,FALSE)</f>
        <v>!Garantias Nacionais-Outra</v>
      </c>
      <c r="C358" s="18" t="s">
        <v>438</v>
      </c>
      <c r="D358" s="18" t="s">
        <v>485</v>
      </c>
      <c r="E358" s="18" t="str">
        <f>VLOOKUP(D358,[6]Arvore!$N$8:$Q$6855,4,FALSE)</f>
        <v>41100</v>
      </c>
      <c r="F358" s="19">
        <v>-11016898.09</v>
      </c>
      <c r="G358" s="19">
        <v>0</v>
      </c>
      <c r="H358" s="20">
        <v>-11016898.09</v>
      </c>
      <c r="I358" s="114"/>
      <c r="J358" s="19"/>
      <c r="K358" s="21"/>
      <c r="L358" s="22"/>
      <c r="M358" s="23"/>
      <c r="O358" s="19" t="str">
        <f>VLOOKUP(QUERY_FOR_TRNSTRANSPOSED_0008!A358,'[6]Fin vs NFin'!$A$4:$F$568,6,FALSE)</f>
        <v>Não Financeiras</v>
      </c>
      <c r="P358" s="24" t="str">
        <f t="shared" si="7"/>
        <v>71</v>
      </c>
      <c r="Q358" s="24"/>
      <c r="R358" s="24"/>
      <c r="S358" s="24"/>
      <c r="T358" s="24"/>
    </row>
    <row r="359" spans="1:20">
      <c r="A359" s="32" t="s">
        <v>476</v>
      </c>
      <c r="B359" s="32" t="str">
        <f>VLOOKUP(A359,'[6]Fin vs NFin'!$A$4:$B$568,2,FALSE)</f>
        <v>!Garantias Nacionais-Outra</v>
      </c>
      <c r="C359" s="32" t="s">
        <v>438</v>
      </c>
      <c r="D359" s="32" t="s">
        <v>473</v>
      </c>
      <c r="E359" s="32" t="str">
        <f>VLOOKUP(D359,[6]Arvore!$N$8:$Q$6855,4,FALSE)</f>
        <v>5100</v>
      </c>
      <c r="F359" s="33">
        <v>8804.5499999999993</v>
      </c>
      <c r="G359" s="33">
        <v>8804.5499999999993</v>
      </c>
      <c r="H359" s="34">
        <v>0</v>
      </c>
      <c r="I359" s="114"/>
      <c r="J359" s="19"/>
      <c r="K359" s="21"/>
      <c r="L359" s="22"/>
      <c r="M359" s="23"/>
      <c r="O359" s="19" t="str">
        <f>VLOOKUP(QUERY_FOR_TRNSTRANSPOSED_0008!A359,'[6]Fin vs NFin'!$A$4:$F$568,6,FALSE)</f>
        <v>Não Financeiras</v>
      </c>
      <c r="P359" s="24" t="str">
        <f t="shared" si="7"/>
        <v>82</v>
      </c>
      <c r="Q359" s="24"/>
      <c r="R359" s="24"/>
      <c r="S359" s="24"/>
      <c r="T359" s="24"/>
    </row>
    <row r="360" spans="1:20">
      <c r="A360" s="18" t="s">
        <v>476</v>
      </c>
      <c r="B360" s="18" t="str">
        <f>VLOOKUP(A360,'[6]Fin vs NFin'!$A$4:$B$568,2,FALSE)</f>
        <v>!Garantias Nacionais-Outra</v>
      </c>
      <c r="C360" s="18" t="s">
        <v>82</v>
      </c>
      <c r="D360" s="18" t="s">
        <v>485</v>
      </c>
      <c r="E360" s="18" t="str">
        <f>VLOOKUP(D360,[6]Arvore!$N$8:$Q$6855,4,FALSE)</f>
        <v>41100</v>
      </c>
      <c r="F360" s="19">
        <v>-570681.55000000005</v>
      </c>
      <c r="G360" s="19">
        <v>0</v>
      </c>
      <c r="H360" s="20">
        <v>-570681.55000000005</v>
      </c>
      <c r="I360" s="114"/>
      <c r="J360" s="19"/>
      <c r="K360" s="21"/>
      <c r="L360" s="22"/>
      <c r="M360" s="23"/>
      <c r="O360" s="19" t="str">
        <f>VLOOKUP(QUERY_FOR_TRNSTRANSPOSED_0008!A360,'[6]Fin vs NFin'!$A$4:$F$568,6,FALSE)</f>
        <v>Não Financeiras</v>
      </c>
      <c r="P360" s="24" t="str">
        <f t="shared" si="7"/>
        <v>71</v>
      </c>
      <c r="Q360" s="24"/>
      <c r="R360" s="24"/>
      <c r="S360" s="24"/>
      <c r="T360" s="24"/>
    </row>
    <row r="361" spans="1:20">
      <c r="A361" s="18" t="s">
        <v>476</v>
      </c>
      <c r="B361" s="18" t="str">
        <f>VLOOKUP(A361,'[6]Fin vs NFin'!$A$4:$B$568,2,FALSE)</f>
        <v>!Garantias Nacionais-Outra</v>
      </c>
      <c r="C361" s="18" t="s">
        <v>489</v>
      </c>
      <c r="D361" s="18" t="s">
        <v>485</v>
      </c>
      <c r="E361" s="18" t="str">
        <f>VLOOKUP(D361,[6]Arvore!$N$8:$Q$6855,4,FALSE)</f>
        <v>41100</v>
      </c>
      <c r="F361" s="19">
        <v>15163.98</v>
      </c>
      <c r="G361" s="19">
        <v>-22634.959999999999</v>
      </c>
      <c r="H361" s="20">
        <v>37798.94</v>
      </c>
      <c r="I361" s="114"/>
      <c r="J361" s="19"/>
      <c r="K361" s="21"/>
      <c r="L361" s="22"/>
      <c r="M361" s="23"/>
      <c r="O361" s="19" t="str">
        <f>VLOOKUP(QUERY_FOR_TRNSTRANSPOSED_0008!A361,'[6]Fin vs NFin'!$A$4:$F$568,6,FALSE)</f>
        <v>Não Financeiras</v>
      </c>
      <c r="P361" s="24" t="str">
        <f t="shared" si="7"/>
        <v>71</v>
      </c>
      <c r="Q361" s="24"/>
      <c r="R361" s="24"/>
      <c r="S361" s="24"/>
      <c r="T361" s="24"/>
    </row>
    <row r="362" spans="1:20" ht="15" thickBot="1">
      <c r="A362" s="18" t="s">
        <v>476</v>
      </c>
      <c r="B362" s="18" t="str">
        <f>VLOOKUP(A362,'[6]Fin vs NFin'!$A$4:$B$568,2,FALSE)</f>
        <v>!Garantias Nacionais-Outra</v>
      </c>
      <c r="C362" s="18" t="s">
        <v>67</v>
      </c>
      <c r="D362" s="18" t="s">
        <v>485</v>
      </c>
      <c r="E362" s="18" t="str">
        <f>VLOOKUP(D362,[6]Arvore!$N$8:$Q$6855,4,FALSE)</f>
        <v>41100</v>
      </c>
      <c r="F362" s="19">
        <v>0</v>
      </c>
      <c r="G362" s="19">
        <v>-570681.55000000005</v>
      </c>
      <c r="H362" s="20">
        <v>570681.55000000005</v>
      </c>
      <c r="I362" s="114"/>
      <c r="J362" s="19"/>
      <c r="K362" s="21"/>
      <c r="L362" s="22"/>
      <c r="M362" s="23"/>
      <c r="O362" s="19" t="str">
        <f>VLOOKUP(QUERY_FOR_TRNSTRANSPOSED_0008!A362,'[6]Fin vs NFin'!$A$4:$F$568,6,FALSE)</f>
        <v>Não Financeiras</v>
      </c>
      <c r="P362" s="24" t="str">
        <f t="shared" si="7"/>
        <v>71</v>
      </c>
      <c r="Q362" s="24"/>
      <c r="R362" s="24"/>
      <c r="S362" s="24"/>
      <c r="T362" s="24"/>
    </row>
    <row r="363" spans="1:20" ht="15" thickBot="1">
      <c r="A363" s="38" t="s">
        <v>490</v>
      </c>
      <c r="B363" s="38" t="str">
        <f>VLOOKUP(A363,'[6]Fin vs NFin'!$A$4:$B$568,2,FALSE)</f>
        <v>!CE-Receb-Abert/Formaliz.</v>
      </c>
      <c r="C363" s="38" t="s">
        <v>491</v>
      </c>
      <c r="D363" s="38" t="s">
        <v>492</v>
      </c>
      <c r="E363" s="38" t="str">
        <f>VLOOKUP(D363,[6]Arvore!$N$8:$Q$6855,4,FALSE)</f>
        <v/>
      </c>
      <c r="F363" s="39">
        <v>818880.65</v>
      </c>
      <c r="G363" s="39">
        <v>0</v>
      </c>
      <c r="H363" s="40">
        <v>818880.65</v>
      </c>
      <c r="I363" s="58">
        <v>818880.65</v>
      </c>
      <c r="J363" s="39"/>
      <c r="K363" s="21"/>
      <c r="L363" s="41" t="s">
        <v>493</v>
      </c>
      <c r="M363" s="42">
        <f>H363</f>
        <v>818880.65</v>
      </c>
      <c r="N363" s="2"/>
      <c r="O363" s="39" t="str">
        <f>VLOOKUP(QUERY_FOR_TRNSTRANSPOSED_0008!A363,'[6]Fin vs NFin'!$A$4:$F$568,6,FALSE)</f>
        <v>Financeiras</v>
      </c>
      <c r="P363" s="43" t="str">
        <f t="shared" si="7"/>
        <v>SC</v>
      </c>
      <c r="Q363" s="43"/>
      <c r="R363" s="43"/>
      <c r="S363" s="43"/>
      <c r="T363" s="43"/>
    </row>
    <row r="364" spans="1:20">
      <c r="A364" s="38" t="s">
        <v>494</v>
      </c>
      <c r="B364" s="38" t="str">
        <f>VLOOKUP(A364,'[6]Fin vs NFin'!$A$4:$B$568,2,FALSE)</f>
        <v>!CE-CGA</v>
      </c>
      <c r="C364" s="38" t="s">
        <v>495</v>
      </c>
      <c r="D364" s="38" t="s">
        <v>492</v>
      </c>
      <c r="E364" s="38" t="str">
        <f>VLOOKUP(D364,[6]Arvore!$N$8:$Q$6855,4,FALSE)</f>
        <v/>
      </c>
      <c r="F364" s="39">
        <v>23317.84</v>
      </c>
      <c r="G364" s="39">
        <v>0</v>
      </c>
      <c r="H364" s="40">
        <v>23317.84</v>
      </c>
      <c r="I364" s="122">
        <v>1144290.94</v>
      </c>
      <c r="J364" s="39"/>
      <c r="K364" s="21"/>
      <c r="L364" s="41" t="s">
        <v>493</v>
      </c>
      <c r="M364" s="42">
        <f t="shared" ref="M364:M414" si="8">H364</f>
        <v>23317.84</v>
      </c>
      <c r="N364" s="2"/>
      <c r="O364" s="39" t="str">
        <f>VLOOKUP(QUERY_FOR_TRNSTRANSPOSED_0008!A364,'[6]Fin vs NFin'!$A$4:$F$568,6,FALSE)</f>
        <v>Não Financeiras</v>
      </c>
      <c r="P364" s="43" t="str">
        <f t="shared" si="7"/>
        <v>SC</v>
      </c>
      <c r="Q364" s="43"/>
      <c r="R364" s="43"/>
      <c r="S364" s="43"/>
      <c r="T364" s="43"/>
    </row>
    <row r="365" spans="1:20" ht="15" thickBot="1">
      <c r="A365" s="11" t="s">
        <v>494</v>
      </c>
      <c r="B365" s="11" t="str">
        <f>VLOOKUP(A365,'[6]Fin vs NFin'!$A$4:$B$568,2,FALSE)</f>
        <v>!CE-CGA</v>
      </c>
      <c r="C365" s="11" t="s">
        <v>496</v>
      </c>
      <c r="D365" s="11" t="s">
        <v>492</v>
      </c>
      <c r="E365" s="11" t="str">
        <f>VLOOKUP(D365,[6]Arvore!$N$8:$Q$6855,4,FALSE)</f>
        <v/>
      </c>
      <c r="F365" s="12">
        <v>1120973.1000000001</v>
      </c>
      <c r="G365" s="12">
        <v>0</v>
      </c>
      <c r="H365" s="13">
        <v>1120973.1000000001</v>
      </c>
      <c r="I365" s="123"/>
      <c r="J365" s="12"/>
      <c r="K365" s="21"/>
      <c r="L365" s="15" t="s">
        <v>493</v>
      </c>
      <c r="M365" s="16">
        <f t="shared" si="8"/>
        <v>1120973.1000000001</v>
      </c>
      <c r="N365" s="2"/>
      <c r="O365" s="12" t="str">
        <f>VLOOKUP(QUERY_FOR_TRNSTRANSPOSED_0008!A365,'[6]Fin vs NFin'!$A$4:$F$568,6,FALSE)</f>
        <v>Não Financeiras</v>
      </c>
      <c r="P365" s="17" t="str">
        <f t="shared" si="7"/>
        <v>SC</v>
      </c>
      <c r="Q365" s="17"/>
      <c r="R365" s="17"/>
      <c r="S365" s="17"/>
      <c r="T365" s="17"/>
    </row>
    <row r="366" spans="1:20">
      <c r="A366" s="18" t="s">
        <v>497</v>
      </c>
      <c r="B366" s="18" t="str">
        <f>VLOOKUP(A366,'[6]Fin vs NFin'!$A$4:$B$568,2,FALSE)</f>
        <v>!CE-Portes</v>
      </c>
      <c r="C366" s="18" t="s">
        <v>498</v>
      </c>
      <c r="D366" s="18" t="s">
        <v>492</v>
      </c>
      <c r="E366" s="18" t="str">
        <f>VLOOKUP(D366,[6]Arvore!$N$8:$Q$6855,4,FALSE)</f>
        <v/>
      </c>
      <c r="F366" s="19">
        <v>17576.46</v>
      </c>
      <c r="G366" s="19">
        <v>0</v>
      </c>
      <c r="H366" s="20">
        <v>17576.46</v>
      </c>
      <c r="I366" s="122">
        <v>20308.18</v>
      </c>
      <c r="J366" s="19"/>
      <c r="K366" s="21"/>
      <c r="L366" s="22" t="s">
        <v>493</v>
      </c>
      <c r="M366" s="23">
        <f t="shared" si="8"/>
        <v>17576.46</v>
      </c>
      <c r="N366" s="2"/>
      <c r="O366" s="19" t="str">
        <f>VLOOKUP(QUERY_FOR_TRNSTRANSPOSED_0008!A366,'[6]Fin vs NFin'!$A$4:$F$568,6,FALSE)</f>
        <v>Não Financeiras</v>
      </c>
      <c r="P366" s="24" t="str">
        <f t="shared" si="7"/>
        <v>SC</v>
      </c>
      <c r="Q366" s="24"/>
      <c r="R366" s="24"/>
      <c r="S366" s="24"/>
      <c r="T366" s="24"/>
    </row>
    <row r="367" spans="1:20" ht="15" thickBot="1">
      <c r="A367" s="18" t="s">
        <v>497</v>
      </c>
      <c r="B367" s="18" t="str">
        <f>VLOOKUP(A367,'[6]Fin vs NFin'!$A$4:$B$568,2,FALSE)</f>
        <v>!CE-Portes</v>
      </c>
      <c r="C367" s="18" t="s">
        <v>499</v>
      </c>
      <c r="D367" s="18" t="s">
        <v>492</v>
      </c>
      <c r="E367" s="18" t="str">
        <f>VLOOKUP(D367,[6]Arvore!$N$8:$Q$6855,4,FALSE)</f>
        <v/>
      </c>
      <c r="F367" s="19">
        <v>2731.72</v>
      </c>
      <c r="G367" s="19">
        <v>0</v>
      </c>
      <c r="H367" s="20">
        <v>2731.72</v>
      </c>
      <c r="I367" s="124"/>
      <c r="J367" s="19"/>
      <c r="K367" s="21"/>
      <c r="L367" s="22" t="s">
        <v>493</v>
      </c>
      <c r="M367" s="23">
        <f t="shared" si="8"/>
        <v>2731.72</v>
      </c>
      <c r="N367" s="2"/>
      <c r="O367" s="19" t="str">
        <f>VLOOKUP(QUERY_FOR_TRNSTRANSPOSED_0008!A367,'[6]Fin vs NFin'!$A$4:$F$568,6,FALSE)</f>
        <v>Não Financeiras</v>
      </c>
      <c r="P367" s="24" t="str">
        <f t="shared" si="7"/>
        <v>SC</v>
      </c>
      <c r="Q367" s="24"/>
      <c r="R367" s="24"/>
      <c r="S367" s="24"/>
      <c r="T367" s="24"/>
    </row>
    <row r="368" spans="1:20">
      <c r="A368" s="38" t="s">
        <v>500</v>
      </c>
      <c r="B368" s="38" t="str">
        <f>VLOOKUP(A368,'[6]Fin vs NFin'!$A$4:$B$568,2,FALSE)</f>
        <v>!CE-Rescisão Antecipada</v>
      </c>
      <c r="C368" s="38" t="s">
        <v>501</v>
      </c>
      <c r="D368" s="38" t="s">
        <v>492</v>
      </c>
      <c r="E368" s="38" t="str">
        <f>VLOOKUP(D368,[6]Arvore!$N$8:$Q$6855,4,FALSE)</f>
        <v/>
      </c>
      <c r="F368" s="39">
        <v>100089.42</v>
      </c>
      <c r="G368" s="39">
        <v>0</v>
      </c>
      <c r="H368" s="40">
        <v>100089.42</v>
      </c>
      <c r="I368" s="122">
        <v>1428778.02</v>
      </c>
      <c r="J368" s="39"/>
      <c r="K368" s="21"/>
      <c r="L368" s="41" t="s">
        <v>493</v>
      </c>
      <c r="M368" s="42">
        <f t="shared" si="8"/>
        <v>100089.42</v>
      </c>
      <c r="N368" s="2"/>
      <c r="O368" s="39" t="str">
        <f>VLOOKUP(QUERY_FOR_TRNSTRANSPOSED_0008!A368,'[6]Fin vs NFin'!$A$4:$F$568,6,FALSE)</f>
        <v>Financeiras</v>
      </c>
      <c r="P368" s="43" t="str">
        <f t="shared" si="7"/>
        <v>SC</v>
      </c>
      <c r="Q368" s="43"/>
      <c r="R368" s="43"/>
      <c r="S368" s="43"/>
      <c r="T368" s="43"/>
    </row>
    <row r="369" spans="1:20">
      <c r="A369" s="18" t="s">
        <v>500</v>
      </c>
      <c r="B369" s="18" t="str">
        <f>VLOOKUP(A369,'[6]Fin vs NFin'!$A$4:$B$568,2,FALSE)</f>
        <v>!CE-Rescisão Antecipada</v>
      </c>
      <c r="C369" s="18" t="s">
        <v>502</v>
      </c>
      <c r="D369" s="18" t="s">
        <v>492</v>
      </c>
      <c r="E369" s="18" t="str">
        <f>VLOOKUP(D369,[6]Arvore!$N$8:$Q$6855,4,FALSE)</f>
        <v/>
      </c>
      <c r="F369" s="19">
        <v>80794.11</v>
      </c>
      <c r="G369" s="19">
        <v>0</v>
      </c>
      <c r="H369" s="20">
        <v>80794.11</v>
      </c>
      <c r="I369" s="124"/>
      <c r="J369" s="19"/>
      <c r="K369" s="21"/>
      <c r="L369" s="22" t="s">
        <v>493</v>
      </c>
      <c r="M369" s="23">
        <f t="shared" si="8"/>
        <v>80794.11</v>
      </c>
      <c r="N369" s="2"/>
      <c r="O369" s="19" t="str">
        <f>VLOOKUP(QUERY_FOR_TRNSTRANSPOSED_0008!A369,'[6]Fin vs NFin'!$A$4:$F$568,6,FALSE)</f>
        <v>Financeiras</v>
      </c>
      <c r="P369" s="24" t="str">
        <f t="shared" si="7"/>
        <v>SC</v>
      </c>
      <c r="Q369" s="24"/>
      <c r="R369" s="24"/>
      <c r="S369" s="24"/>
      <c r="T369" s="24"/>
    </row>
    <row r="370" spans="1:20">
      <c r="A370" s="18" t="s">
        <v>500</v>
      </c>
      <c r="B370" s="18" t="str">
        <f>VLOOKUP(A370,'[6]Fin vs NFin'!$A$4:$B$568,2,FALSE)</f>
        <v>!CE-Rescisão Antecipada</v>
      </c>
      <c r="C370" s="18" t="s">
        <v>503</v>
      </c>
      <c r="D370" s="18" t="s">
        <v>492</v>
      </c>
      <c r="E370" s="18" t="str">
        <f>VLOOKUP(D370,[6]Arvore!$N$8:$Q$6855,4,FALSE)</f>
        <v/>
      </c>
      <c r="F370" s="19">
        <v>678009.39</v>
      </c>
      <c r="G370" s="19">
        <v>0</v>
      </c>
      <c r="H370" s="20">
        <v>678009.39</v>
      </c>
      <c r="I370" s="124"/>
      <c r="J370" s="19"/>
      <c r="K370" s="21"/>
      <c r="L370" s="22" t="s">
        <v>493</v>
      </c>
      <c r="M370" s="23">
        <f t="shared" si="8"/>
        <v>678009.39</v>
      </c>
      <c r="N370" s="2"/>
      <c r="O370" s="19" t="str">
        <f>VLOOKUP(QUERY_FOR_TRNSTRANSPOSED_0008!A370,'[6]Fin vs NFin'!$A$4:$F$568,6,FALSE)</f>
        <v>Financeiras</v>
      </c>
      <c r="P370" s="24" t="str">
        <f t="shared" si="7"/>
        <v>SC</v>
      </c>
      <c r="Q370" s="24"/>
      <c r="R370" s="24"/>
      <c r="S370" s="24"/>
      <c r="T370" s="24"/>
    </row>
    <row r="371" spans="1:20">
      <c r="A371" s="18" t="s">
        <v>500</v>
      </c>
      <c r="B371" s="18" t="str">
        <f>VLOOKUP(A371,'[6]Fin vs NFin'!$A$4:$B$568,2,FALSE)</f>
        <v>!CE-Rescisão Antecipada</v>
      </c>
      <c r="C371" s="18" t="s">
        <v>504</v>
      </c>
      <c r="D371" s="18" t="s">
        <v>492</v>
      </c>
      <c r="E371" s="18" t="str">
        <f>VLOOKUP(D371,[6]Arvore!$N$8:$Q$6855,4,FALSE)</f>
        <v/>
      </c>
      <c r="F371" s="19">
        <v>379512.82</v>
      </c>
      <c r="G371" s="19">
        <v>0</v>
      </c>
      <c r="H371" s="20">
        <v>379512.82</v>
      </c>
      <c r="I371" s="124"/>
      <c r="J371" s="19"/>
      <c r="K371" s="21"/>
      <c r="L371" s="22" t="s">
        <v>493</v>
      </c>
      <c r="M371" s="23">
        <f t="shared" si="8"/>
        <v>379512.82</v>
      </c>
      <c r="N371" s="2"/>
      <c r="O371" s="19" t="str">
        <f>VLOOKUP(QUERY_FOR_TRNSTRANSPOSED_0008!A371,'[6]Fin vs NFin'!$A$4:$F$568,6,FALSE)</f>
        <v>Financeiras</v>
      </c>
      <c r="P371" s="24" t="str">
        <f t="shared" si="7"/>
        <v>SC</v>
      </c>
      <c r="Q371" s="24"/>
      <c r="R371" s="24"/>
      <c r="S371" s="24"/>
      <c r="T371" s="24"/>
    </row>
    <row r="372" spans="1:20" ht="15" thickBot="1">
      <c r="A372" s="11" t="s">
        <v>500</v>
      </c>
      <c r="B372" s="11" t="str">
        <f>VLOOKUP(A372,'[6]Fin vs NFin'!$A$4:$B$568,2,FALSE)</f>
        <v>!CE-Rescisão Antecipada</v>
      </c>
      <c r="C372" s="11" t="s">
        <v>505</v>
      </c>
      <c r="D372" s="11" t="s">
        <v>492</v>
      </c>
      <c r="E372" s="11" t="str">
        <f>VLOOKUP(D372,[6]Arvore!$N$8:$Q$6855,4,FALSE)</f>
        <v/>
      </c>
      <c r="F372" s="12">
        <v>190372.28</v>
      </c>
      <c r="G372" s="12">
        <v>0</v>
      </c>
      <c r="H372" s="13">
        <v>190372.28</v>
      </c>
      <c r="I372" s="123"/>
      <c r="J372" s="12"/>
      <c r="K372" s="21"/>
      <c r="L372" s="15" t="s">
        <v>493</v>
      </c>
      <c r="M372" s="16">
        <f t="shared" si="8"/>
        <v>190372.28</v>
      </c>
      <c r="N372" s="2"/>
      <c r="O372" s="12" t="str">
        <f>VLOOKUP(QUERY_FOR_TRNSTRANSPOSED_0008!A372,'[6]Fin vs NFin'!$A$4:$F$568,6,FALSE)</f>
        <v>Financeiras</v>
      </c>
      <c r="P372" s="17" t="str">
        <f t="shared" si="7"/>
        <v>SC</v>
      </c>
      <c r="Q372" s="17"/>
      <c r="R372" s="17"/>
      <c r="S372" s="17"/>
      <c r="T372" s="17"/>
    </row>
    <row r="373" spans="1:20">
      <c r="A373" s="18" t="s">
        <v>506</v>
      </c>
      <c r="B373" s="18" t="str">
        <f>VLOOKUP(A373,'[6]Fin vs NFin'!$A$4:$B$568,2,FALSE)</f>
        <v>!CE-Pós-Contratuais Outros</v>
      </c>
      <c r="C373" s="18" t="s">
        <v>507</v>
      </c>
      <c r="D373" s="18" t="s">
        <v>492</v>
      </c>
      <c r="E373" s="18" t="str">
        <f>VLOOKUP(D373,[6]Arvore!$N$8:$Q$6855,4,FALSE)</f>
        <v/>
      </c>
      <c r="F373" s="19">
        <v>-725</v>
      </c>
      <c r="G373" s="19">
        <v>0</v>
      </c>
      <c r="H373" s="20">
        <v>-725</v>
      </c>
      <c r="I373" s="122">
        <v>271510.27</v>
      </c>
      <c r="J373" s="19"/>
      <c r="K373" s="21"/>
      <c r="L373" s="22" t="s">
        <v>493</v>
      </c>
      <c r="M373" s="23">
        <f t="shared" si="8"/>
        <v>-725</v>
      </c>
      <c r="N373" s="2"/>
      <c r="O373" s="19" t="str">
        <f>VLOOKUP(QUERY_FOR_TRNSTRANSPOSED_0008!A373,'[6]Fin vs NFin'!$A$4:$F$568,6,FALSE)</f>
        <v>Financeiras</v>
      </c>
      <c r="P373" s="24" t="str">
        <f t="shared" si="7"/>
        <v>SC</v>
      </c>
      <c r="Q373" s="24"/>
      <c r="R373" s="24"/>
      <c r="S373" s="24"/>
      <c r="T373" s="24"/>
    </row>
    <row r="374" spans="1:20">
      <c r="A374" s="18" t="s">
        <v>506</v>
      </c>
      <c r="B374" s="18" t="str">
        <f>VLOOKUP(A374,'[6]Fin vs NFin'!$A$4:$B$568,2,FALSE)</f>
        <v>!CE-Pós-Contratuais Outros</v>
      </c>
      <c r="C374" s="18" t="s">
        <v>508</v>
      </c>
      <c r="D374" s="18" t="s">
        <v>492</v>
      </c>
      <c r="E374" s="18" t="str">
        <f>VLOOKUP(D374,[6]Arvore!$N$8:$Q$6855,4,FALSE)</f>
        <v/>
      </c>
      <c r="F374" s="19">
        <v>14558.74</v>
      </c>
      <c r="G374" s="19">
        <v>0</v>
      </c>
      <c r="H374" s="20">
        <v>14558.74</v>
      </c>
      <c r="I374" s="124"/>
      <c r="J374" s="19"/>
      <c r="K374" s="21"/>
      <c r="L374" s="22" t="s">
        <v>493</v>
      </c>
      <c r="M374" s="23">
        <f t="shared" si="8"/>
        <v>14558.74</v>
      </c>
      <c r="N374" s="2"/>
      <c r="O374" s="19" t="str">
        <f>VLOOKUP(QUERY_FOR_TRNSTRANSPOSED_0008!A374,'[6]Fin vs NFin'!$A$4:$F$568,6,FALSE)</f>
        <v>Financeiras</v>
      </c>
      <c r="P374" s="24" t="str">
        <f t="shared" si="7"/>
        <v>SC</v>
      </c>
      <c r="Q374" s="24"/>
      <c r="R374" s="24"/>
      <c r="S374" s="24"/>
      <c r="T374" s="24"/>
    </row>
    <row r="375" spans="1:20">
      <c r="A375" s="18" t="s">
        <v>506</v>
      </c>
      <c r="B375" s="18" t="str">
        <f>VLOOKUP(A375,'[6]Fin vs NFin'!$A$4:$B$568,2,FALSE)</f>
        <v>!CE-Pós-Contratuais Outros</v>
      </c>
      <c r="C375" s="18" t="s">
        <v>509</v>
      </c>
      <c r="D375" s="18" t="s">
        <v>492</v>
      </c>
      <c r="E375" s="18" t="str">
        <f>VLOOKUP(D375,[6]Arvore!$N$8:$Q$6855,4,FALSE)</f>
        <v/>
      </c>
      <c r="F375" s="19">
        <v>37117.17</v>
      </c>
      <c r="G375" s="19">
        <v>0</v>
      </c>
      <c r="H375" s="20">
        <v>37117.17</v>
      </c>
      <c r="I375" s="124"/>
      <c r="J375" s="19"/>
      <c r="K375" s="21"/>
      <c r="L375" s="22" t="s">
        <v>493</v>
      </c>
      <c r="M375" s="23">
        <f t="shared" si="8"/>
        <v>37117.17</v>
      </c>
      <c r="N375" s="2"/>
      <c r="O375" s="19" t="str">
        <f>VLOOKUP(QUERY_FOR_TRNSTRANSPOSED_0008!A375,'[6]Fin vs NFin'!$A$4:$F$568,6,FALSE)</f>
        <v>Financeiras</v>
      </c>
      <c r="P375" s="24" t="str">
        <f t="shared" si="7"/>
        <v>SC</v>
      </c>
      <c r="Q375" s="24"/>
      <c r="R375" s="24"/>
      <c r="S375" s="24"/>
      <c r="T375" s="24"/>
    </row>
    <row r="376" spans="1:20">
      <c r="A376" s="18" t="s">
        <v>506</v>
      </c>
      <c r="B376" s="18" t="str">
        <f>VLOOKUP(A376,'[6]Fin vs NFin'!$A$4:$B$568,2,FALSE)</f>
        <v>!CE-Pós-Contratuais Outros</v>
      </c>
      <c r="C376" s="18" t="s">
        <v>510</v>
      </c>
      <c r="D376" s="18" t="s">
        <v>492</v>
      </c>
      <c r="E376" s="18" t="str">
        <f>VLOOKUP(D376,[6]Arvore!$N$8:$Q$6855,4,FALSE)</f>
        <v/>
      </c>
      <c r="F376" s="19">
        <v>219909.36</v>
      </c>
      <c r="G376" s="19">
        <v>0</v>
      </c>
      <c r="H376" s="20">
        <v>219909.36</v>
      </c>
      <c r="I376" s="124"/>
      <c r="J376" s="19"/>
      <c r="K376" s="21"/>
      <c r="L376" s="22" t="s">
        <v>493</v>
      </c>
      <c r="M376" s="23">
        <f t="shared" si="8"/>
        <v>219909.36</v>
      </c>
      <c r="N376" s="2"/>
      <c r="O376" s="19" t="str">
        <f>VLOOKUP(QUERY_FOR_TRNSTRANSPOSED_0008!A376,'[6]Fin vs NFin'!$A$4:$F$568,6,FALSE)</f>
        <v>Financeiras</v>
      </c>
      <c r="P376" s="24" t="str">
        <f t="shared" si="7"/>
        <v>SC</v>
      </c>
      <c r="Q376" s="24"/>
      <c r="R376" s="24"/>
      <c r="S376" s="24"/>
      <c r="T376" s="24"/>
    </row>
    <row r="377" spans="1:20">
      <c r="A377" s="18" t="s">
        <v>506</v>
      </c>
      <c r="B377" s="18" t="str">
        <f>VLOOKUP(A377,'[6]Fin vs NFin'!$A$4:$B$568,2,FALSE)</f>
        <v>!CE-Pós-Contratuais Outros</v>
      </c>
      <c r="C377" s="18" t="s">
        <v>511</v>
      </c>
      <c r="D377" s="18" t="s">
        <v>492</v>
      </c>
      <c r="E377" s="18" t="str">
        <f>VLOOKUP(D377,[6]Arvore!$N$8:$Q$6855,4,FALSE)</f>
        <v/>
      </c>
      <c r="F377" s="19">
        <v>200</v>
      </c>
      <c r="G377" s="19">
        <v>0</v>
      </c>
      <c r="H377" s="20">
        <v>200</v>
      </c>
      <c r="I377" s="124"/>
      <c r="J377" s="19"/>
      <c r="K377" s="21"/>
      <c r="L377" s="22" t="s">
        <v>493</v>
      </c>
      <c r="M377" s="23">
        <f t="shared" si="8"/>
        <v>200</v>
      </c>
      <c r="N377" s="2"/>
      <c r="O377" s="19" t="str">
        <f>VLOOKUP(QUERY_FOR_TRNSTRANSPOSED_0008!A377,'[6]Fin vs NFin'!$A$4:$F$568,6,FALSE)</f>
        <v>Financeiras</v>
      </c>
      <c r="P377" s="24" t="str">
        <f t="shared" si="7"/>
        <v>SC</v>
      </c>
      <c r="Q377" s="24"/>
      <c r="R377" s="24"/>
      <c r="S377" s="24"/>
      <c r="T377" s="24"/>
    </row>
    <row r="378" spans="1:20" ht="15" thickBot="1">
      <c r="A378" s="18" t="s">
        <v>506</v>
      </c>
      <c r="B378" s="18" t="str">
        <f>VLOOKUP(A378,'[6]Fin vs NFin'!$A$4:$B$568,2,FALSE)</f>
        <v>!CE-Pós-Contratuais Outros</v>
      </c>
      <c r="C378" s="18" t="s">
        <v>512</v>
      </c>
      <c r="D378" s="18" t="s">
        <v>492</v>
      </c>
      <c r="E378" s="18" t="str">
        <f>VLOOKUP(D378,[6]Arvore!$N$8:$Q$6855,4,FALSE)</f>
        <v/>
      </c>
      <c r="F378" s="19">
        <v>450</v>
      </c>
      <c r="G378" s="19">
        <v>0</v>
      </c>
      <c r="H378" s="20">
        <v>450</v>
      </c>
      <c r="I378" s="124"/>
      <c r="J378" s="19"/>
      <c r="K378" s="21"/>
      <c r="L378" s="22" t="s">
        <v>493</v>
      </c>
      <c r="M378" s="23">
        <f t="shared" si="8"/>
        <v>450</v>
      </c>
      <c r="N378" s="2"/>
      <c r="O378" s="19" t="str">
        <f>VLOOKUP(QUERY_FOR_TRNSTRANSPOSED_0008!A378,'[6]Fin vs NFin'!$A$4:$F$568,6,FALSE)</f>
        <v>Financeiras</v>
      </c>
      <c r="P378" s="24" t="str">
        <f t="shared" si="7"/>
        <v>SC</v>
      </c>
      <c r="Q378" s="24"/>
      <c r="R378" s="24"/>
      <c r="S378" s="24"/>
      <c r="T378" s="24"/>
    </row>
    <row r="379" spans="1:20" ht="15" thickBot="1">
      <c r="A379" s="25" t="s">
        <v>513</v>
      </c>
      <c r="B379" s="25" t="str">
        <f>VLOOKUP(A379,'[6]Fin vs NFin'!$A$4:$B$568,2,FALSE)</f>
        <v>!CE-Incumprimento</v>
      </c>
      <c r="C379" s="25" t="s">
        <v>514</v>
      </c>
      <c r="D379" s="25" t="s">
        <v>492</v>
      </c>
      <c r="E379" s="25" t="str">
        <f>VLOOKUP(D379,[6]Arvore!$N$8:$Q$6855,4,FALSE)</f>
        <v/>
      </c>
      <c r="F379" s="26">
        <v>263542.59999999998</v>
      </c>
      <c r="G379" s="26">
        <v>0</v>
      </c>
      <c r="H379" s="27">
        <v>263542.59999999998</v>
      </c>
      <c r="I379" s="59">
        <f>H379</f>
        <v>263542.59999999998</v>
      </c>
      <c r="J379" s="26"/>
      <c r="K379" s="21"/>
      <c r="L379" s="29" t="s">
        <v>493</v>
      </c>
      <c r="M379" s="30">
        <f t="shared" si="8"/>
        <v>263542.59999999998</v>
      </c>
      <c r="N379" s="2"/>
      <c r="O379" s="26" t="str">
        <f>VLOOKUP(QUERY_FOR_TRNSTRANSPOSED_0008!A379,'[6]Fin vs NFin'!$A$4:$F$568,6,FALSE)</f>
        <v>Não Financeiras</v>
      </c>
      <c r="P379" s="31" t="str">
        <f t="shared" si="7"/>
        <v>SC</v>
      </c>
      <c r="Q379" s="31"/>
      <c r="R379" s="31"/>
      <c r="S379" s="31"/>
      <c r="T379" s="31"/>
    </row>
    <row r="380" spans="1:20">
      <c r="A380" s="18" t="s">
        <v>515</v>
      </c>
      <c r="B380" s="18" t="str">
        <f>VLOOKUP(A380,'[6]Fin vs NFin'!$A$4:$B$568,2,FALSE)</f>
        <v>!CE-Contencioso/Reestrut.</v>
      </c>
      <c r="C380" s="18" t="s">
        <v>516</v>
      </c>
      <c r="D380" s="18" t="s">
        <v>492</v>
      </c>
      <c r="E380" s="18" t="str">
        <f>VLOOKUP(D380,[6]Arvore!$N$8:$Q$6855,4,FALSE)</f>
        <v/>
      </c>
      <c r="F380" s="19">
        <v>227.15</v>
      </c>
      <c r="G380" s="19">
        <v>0</v>
      </c>
      <c r="H380" s="20">
        <v>227.15</v>
      </c>
      <c r="I380" s="124">
        <f>SUM(H380:H381)</f>
        <v>219488.21</v>
      </c>
      <c r="J380" s="19"/>
      <c r="K380" s="21"/>
      <c r="L380" s="22" t="s">
        <v>493</v>
      </c>
      <c r="M380" s="23">
        <f t="shared" si="8"/>
        <v>227.15</v>
      </c>
      <c r="N380" s="2"/>
      <c r="O380" s="19" t="str">
        <f>VLOOKUP(QUERY_FOR_TRNSTRANSPOSED_0008!A380,'[6]Fin vs NFin'!$A$4:$F$568,6,FALSE)</f>
        <v>Não Financeiras</v>
      </c>
      <c r="P380" s="24" t="str">
        <f t="shared" si="7"/>
        <v>SC</v>
      </c>
      <c r="Q380" s="24"/>
      <c r="R380" s="24"/>
      <c r="S380" s="24"/>
      <c r="T380" s="24"/>
    </row>
    <row r="381" spans="1:20" ht="15" thickBot="1">
      <c r="A381" s="18" t="s">
        <v>515</v>
      </c>
      <c r="B381" s="18" t="str">
        <f>VLOOKUP(A381,'[6]Fin vs NFin'!$A$4:$B$568,2,FALSE)</f>
        <v>!CE-Contencioso/Reestrut.</v>
      </c>
      <c r="C381" s="18" t="s">
        <v>517</v>
      </c>
      <c r="D381" s="18" t="s">
        <v>492</v>
      </c>
      <c r="E381" s="18" t="str">
        <f>VLOOKUP(D381,[6]Arvore!$N$8:$Q$6855,4,FALSE)</f>
        <v/>
      </c>
      <c r="F381" s="19">
        <v>219261.06</v>
      </c>
      <c r="G381" s="19">
        <v>0</v>
      </c>
      <c r="H381" s="20">
        <v>219261.06</v>
      </c>
      <c r="I381" s="124"/>
      <c r="J381" s="19"/>
      <c r="K381" s="21"/>
      <c r="L381" s="22" t="s">
        <v>493</v>
      </c>
      <c r="M381" s="23">
        <f t="shared" si="8"/>
        <v>219261.06</v>
      </c>
      <c r="N381" s="2"/>
      <c r="O381" s="19" t="str">
        <f>VLOOKUP(QUERY_FOR_TRNSTRANSPOSED_0008!A381,'[6]Fin vs NFin'!$A$4:$F$568,6,FALSE)</f>
        <v>Não Financeiras</v>
      </c>
      <c r="P381" s="24" t="str">
        <f t="shared" si="7"/>
        <v>SC</v>
      </c>
      <c r="Q381" s="24"/>
      <c r="R381" s="24"/>
      <c r="S381" s="24"/>
      <c r="T381" s="24"/>
    </row>
    <row r="382" spans="1:20" ht="15" thickBot="1">
      <c r="A382" s="25" t="s">
        <v>518</v>
      </c>
      <c r="B382" s="25" t="str">
        <f>VLOOKUP(A382,'[6]Fin vs NFin'!$A$4:$B$568,2,FALSE)</f>
        <v>!CE-Avaliações</v>
      </c>
      <c r="C382" s="25" t="s">
        <v>519</v>
      </c>
      <c r="D382" s="25" t="s">
        <v>492</v>
      </c>
      <c r="E382" s="25" t="str">
        <f>VLOOKUP(D382,[6]Arvore!$N$8:$Q$6855,4,FALSE)</f>
        <v/>
      </c>
      <c r="F382" s="26">
        <v>139170.84</v>
      </c>
      <c r="G382" s="26">
        <v>0</v>
      </c>
      <c r="H382" s="27">
        <v>139170.84</v>
      </c>
      <c r="I382" s="60">
        <v>139170.84</v>
      </c>
      <c r="J382" s="26"/>
      <c r="K382" s="56"/>
      <c r="L382" s="29" t="s">
        <v>493</v>
      </c>
      <c r="M382" s="30">
        <f t="shared" si="8"/>
        <v>139170.84</v>
      </c>
      <c r="N382" s="2"/>
      <c r="O382" s="26" t="str">
        <f>VLOOKUP(QUERY_FOR_TRNSTRANSPOSED_0008!A382,'[6]Fin vs NFin'!$A$4:$F$568,6,FALSE)</f>
        <v>Financeiras</v>
      </c>
      <c r="P382" s="31" t="str">
        <f t="shared" si="7"/>
        <v>SC</v>
      </c>
      <c r="Q382" s="31"/>
      <c r="R382" s="31"/>
      <c r="S382" s="31"/>
      <c r="T382" s="31"/>
    </row>
    <row r="383" spans="1:20">
      <c r="A383" s="18" t="s">
        <v>520</v>
      </c>
      <c r="B383" s="18" t="str">
        <f>VLOOKUP(A383,'[6]Fin vs NFin'!$A$4:$B$568,2,FALSE)</f>
        <v>!CE-Outras Seguros</v>
      </c>
      <c r="C383" s="18" t="s">
        <v>521</v>
      </c>
      <c r="D383" s="18" t="s">
        <v>492</v>
      </c>
      <c r="E383" s="18" t="str">
        <f>VLOOKUP(D383,[6]Arvore!$N$8:$Q$6855,4,FALSE)</f>
        <v/>
      </c>
      <c r="F383" s="19">
        <v>44169.01</v>
      </c>
      <c r="G383" s="19">
        <v>0</v>
      </c>
      <c r="H383" s="20">
        <v>44169.01</v>
      </c>
      <c r="I383" s="124">
        <f>SUM(H383:H387)</f>
        <v>215690.14</v>
      </c>
      <c r="J383" s="19"/>
      <c r="K383" s="21"/>
      <c r="L383" s="22" t="s">
        <v>493</v>
      </c>
      <c r="M383" s="23">
        <f t="shared" si="8"/>
        <v>44169.01</v>
      </c>
      <c r="N383" s="2"/>
      <c r="O383" s="19" t="str">
        <f>VLOOKUP(QUERY_FOR_TRNSTRANSPOSED_0008!A383,'[6]Fin vs NFin'!$A$4:$F$568,6,FALSE)</f>
        <v>Não Financeiras</v>
      </c>
      <c r="P383" s="24" t="str">
        <f t="shared" si="7"/>
        <v>SC</v>
      </c>
      <c r="Q383" s="24"/>
      <c r="R383" s="24"/>
      <c r="S383" s="24"/>
      <c r="T383" s="24"/>
    </row>
    <row r="384" spans="1:20">
      <c r="A384" s="18" t="s">
        <v>520</v>
      </c>
      <c r="B384" s="18" t="str">
        <f>VLOOKUP(A384,'[6]Fin vs NFin'!$A$4:$B$568,2,FALSE)</f>
        <v>!CE-Outras Seguros</v>
      </c>
      <c r="C384" s="18" t="s">
        <v>522</v>
      </c>
      <c r="D384" s="18" t="s">
        <v>492</v>
      </c>
      <c r="E384" s="18" t="str">
        <f>VLOOKUP(D384,[6]Arvore!$N$8:$Q$6855,4,FALSE)</f>
        <v/>
      </c>
      <c r="F384" s="19">
        <v>-173.5</v>
      </c>
      <c r="G384" s="19">
        <v>0</v>
      </c>
      <c r="H384" s="20">
        <v>-173.5</v>
      </c>
      <c r="I384" s="124"/>
      <c r="J384" s="19"/>
      <c r="K384" s="21"/>
      <c r="L384" s="22" t="s">
        <v>493</v>
      </c>
      <c r="M384" s="23">
        <f t="shared" si="8"/>
        <v>-173.5</v>
      </c>
      <c r="N384" s="2"/>
      <c r="O384" s="19" t="str">
        <f>VLOOKUP(QUERY_FOR_TRNSTRANSPOSED_0008!A384,'[6]Fin vs NFin'!$A$4:$F$568,6,FALSE)</f>
        <v>Não Financeiras</v>
      </c>
      <c r="P384" s="24" t="str">
        <f t="shared" si="7"/>
        <v>SC</v>
      </c>
      <c r="Q384" s="24"/>
      <c r="R384" s="24"/>
      <c r="S384" s="24"/>
      <c r="T384" s="24"/>
    </row>
    <row r="385" spans="1:20">
      <c r="A385" s="18" t="s">
        <v>520</v>
      </c>
      <c r="B385" s="18" t="str">
        <f>VLOOKUP(A385,'[6]Fin vs NFin'!$A$4:$B$568,2,FALSE)</f>
        <v>!CE-Outras Seguros</v>
      </c>
      <c r="C385" s="18" t="s">
        <v>523</v>
      </c>
      <c r="D385" s="18" t="s">
        <v>492</v>
      </c>
      <c r="E385" s="18" t="str">
        <f>VLOOKUP(D385,[6]Arvore!$N$8:$Q$6855,4,FALSE)</f>
        <v/>
      </c>
      <c r="F385" s="19">
        <v>364.21</v>
      </c>
      <c r="G385" s="19">
        <v>0</v>
      </c>
      <c r="H385" s="20">
        <v>364.21</v>
      </c>
      <c r="I385" s="124"/>
      <c r="J385" s="19"/>
      <c r="K385" s="21"/>
      <c r="L385" s="22" t="s">
        <v>493</v>
      </c>
      <c r="M385" s="23">
        <f t="shared" si="8"/>
        <v>364.21</v>
      </c>
      <c r="N385" s="2"/>
      <c r="O385" s="19" t="str">
        <f>VLOOKUP(QUERY_FOR_TRNSTRANSPOSED_0008!A385,'[6]Fin vs NFin'!$A$4:$F$568,6,FALSE)</f>
        <v>Não Financeiras</v>
      </c>
      <c r="P385" s="24" t="str">
        <f t="shared" si="7"/>
        <v>SC</v>
      </c>
      <c r="Q385" s="24"/>
      <c r="R385" s="24"/>
      <c r="S385" s="24"/>
      <c r="T385" s="24"/>
    </row>
    <row r="386" spans="1:20">
      <c r="A386" s="18" t="s">
        <v>520</v>
      </c>
      <c r="B386" s="18" t="str">
        <f>VLOOKUP(A386,'[6]Fin vs NFin'!$A$4:$B$568,2,FALSE)</f>
        <v>!CE-Outras Seguros</v>
      </c>
      <c r="C386" s="18" t="s">
        <v>524</v>
      </c>
      <c r="D386" s="18" t="s">
        <v>492</v>
      </c>
      <c r="E386" s="18" t="str">
        <f>VLOOKUP(D386,[6]Arvore!$N$8:$Q$6855,4,FALSE)</f>
        <v/>
      </c>
      <c r="F386" s="19">
        <v>90018.65</v>
      </c>
      <c r="G386" s="19">
        <v>0</v>
      </c>
      <c r="H386" s="20">
        <v>90018.65</v>
      </c>
      <c r="I386" s="124"/>
      <c r="J386" s="19"/>
      <c r="K386" s="21"/>
      <c r="L386" s="22" t="s">
        <v>493</v>
      </c>
      <c r="M386" s="23">
        <f t="shared" si="8"/>
        <v>90018.65</v>
      </c>
      <c r="N386" s="2"/>
      <c r="O386" s="19" t="str">
        <f>VLOOKUP(QUERY_FOR_TRNSTRANSPOSED_0008!A386,'[6]Fin vs NFin'!$A$4:$F$568,6,FALSE)</f>
        <v>Não Financeiras</v>
      </c>
      <c r="P386" s="24" t="str">
        <f t="shared" si="7"/>
        <v>SC</v>
      </c>
      <c r="Q386" s="24"/>
      <c r="R386" s="24"/>
      <c r="S386" s="24"/>
      <c r="T386" s="24"/>
    </row>
    <row r="387" spans="1:20" ht="15" thickBot="1">
      <c r="A387" s="18" t="s">
        <v>520</v>
      </c>
      <c r="B387" s="18" t="str">
        <f>VLOOKUP(A387,'[6]Fin vs NFin'!$A$4:$B$568,2,FALSE)</f>
        <v>!CE-Outras Seguros</v>
      </c>
      <c r="C387" s="18" t="s">
        <v>525</v>
      </c>
      <c r="D387" s="18" t="s">
        <v>492</v>
      </c>
      <c r="E387" s="18" t="str">
        <f>VLOOKUP(D387,[6]Arvore!$N$8:$Q$6855,4,FALSE)</f>
        <v/>
      </c>
      <c r="F387" s="19">
        <v>81311.77</v>
      </c>
      <c r="G387" s="19">
        <v>0</v>
      </c>
      <c r="H387" s="20">
        <v>81311.77</v>
      </c>
      <c r="I387" s="124"/>
      <c r="J387" s="19"/>
      <c r="K387" s="21"/>
      <c r="L387" s="22" t="s">
        <v>493</v>
      </c>
      <c r="M387" s="23">
        <f t="shared" si="8"/>
        <v>81311.77</v>
      </c>
      <c r="N387" s="2"/>
      <c r="O387" s="19" t="str">
        <f>VLOOKUP(QUERY_FOR_TRNSTRANSPOSED_0008!A387,'[6]Fin vs NFin'!$A$4:$F$568,6,FALSE)</f>
        <v>Não Financeiras</v>
      </c>
      <c r="P387" s="24" t="str">
        <f t="shared" si="7"/>
        <v>SC</v>
      </c>
      <c r="Q387" s="24"/>
      <c r="R387" s="24"/>
      <c r="S387" s="24"/>
      <c r="T387" s="24"/>
    </row>
    <row r="388" spans="1:20">
      <c r="A388" s="38" t="s">
        <v>526</v>
      </c>
      <c r="B388" s="38" t="str">
        <f>VLOOKUP(A388,'[6]Fin vs NFin'!$A$4:$B$568,2,FALSE)</f>
        <v>!CE-RO Outras</v>
      </c>
      <c r="C388" s="38" t="s">
        <v>527</v>
      </c>
      <c r="D388" s="38" t="s">
        <v>492</v>
      </c>
      <c r="E388" s="38" t="str">
        <f>VLOOKUP(D388,[6]Arvore!$N$8:$Q$6855,4,FALSE)</f>
        <v/>
      </c>
      <c r="F388" s="39">
        <v>397.5</v>
      </c>
      <c r="G388" s="39">
        <v>0</v>
      </c>
      <c r="H388" s="40">
        <v>397.5</v>
      </c>
      <c r="I388" s="122">
        <v>63801.61</v>
      </c>
      <c r="J388" s="39"/>
      <c r="K388" s="21"/>
      <c r="L388" s="41" t="s">
        <v>493</v>
      </c>
      <c r="M388" s="42">
        <f t="shared" si="8"/>
        <v>397.5</v>
      </c>
      <c r="N388" s="2"/>
      <c r="O388" s="39" t="str">
        <f>VLOOKUP(QUERY_FOR_TRNSTRANSPOSED_0008!A388,'[6]Fin vs NFin'!$A$4:$F$568,6,FALSE)</f>
        <v>Não Financeiras</v>
      </c>
      <c r="P388" s="43" t="str">
        <f t="shared" si="7"/>
        <v>SC</v>
      </c>
      <c r="Q388" s="43"/>
      <c r="R388" s="43"/>
      <c r="S388" s="43"/>
      <c r="T388" s="43"/>
    </row>
    <row r="389" spans="1:20">
      <c r="A389" s="18" t="s">
        <v>526</v>
      </c>
      <c r="B389" s="18" t="str">
        <f>VLOOKUP(A389,'[6]Fin vs NFin'!$A$4:$B$568,2,FALSE)</f>
        <v>!CE-RO Outras</v>
      </c>
      <c r="C389" s="18" t="s">
        <v>528</v>
      </c>
      <c r="D389" s="18" t="s">
        <v>492</v>
      </c>
      <c r="E389" s="18" t="str">
        <f>VLOOKUP(D389,[6]Arvore!$N$8:$Q$6855,4,FALSE)</f>
        <v/>
      </c>
      <c r="F389" s="19">
        <v>58878.47</v>
      </c>
      <c r="G389" s="19">
        <v>0</v>
      </c>
      <c r="H389" s="20">
        <v>58878.47</v>
      </c>
      <c r="I389" s="124"/>
      <c r="J389" s="19"/>
      <c r="K389" s="21"/>
      <c r="L389" s="22" t="s">
        <v>493</v>
      </c>
      <c r="M389" s="23">
        <f t="shared" si="8"/>
        <v>58878.47</v>
      </c>
      <c r="N389" s="2"/>
      <c r="O389" s="19" t="str">
        <f>VLOOKUP(QUERY_FOR_TRNSTRANSPOSED_0008!A389,'[6]Fin vs NFin'!$A$4:$F$568,6,FALSE)</f>
        <v>Não Financeiras</v>
      </c>
      <c r="P389" s="24" t="str">
        <f t="shared" si="7"/>
        <v>SC</v>
      </c>
      <c r="Q389" s="24"/>
      <c r="R389" s="24"/>
      <c r="S389" s="24"/>
      <c r="T389" s="24"/>
    </row>
    <row r="390" spans="1:20" ht="15" thickBot="1">
      <c r="A390" s="18" t="s">
        <v>526</v>
      </c>
      <c r="B390" s="18" t="str">
        <f>VLOOKUP(A390,'[6]Fin vs NFin'!$A$4:$B$568,2,FALSE)</f>
        <v>!CE-RO Outras</v>
      </c>
      <c r="C390" s="18" t="s">
        <v>529</v>
      </c>
      <c r="D390" s="18" t="s">
        <v>492</v>
      </c>
      <c r="E390" s="18" t="str">
        <f>VLOOKUP(D390,[6]Arvore!$N$8:$Q$6855,4,FALSE)</f>
        <v/>
      </c>
      <c r="F390" s="19">
        <v>4525.6400000000003</v>
      </c>
      <c r="G390" s="19">
        <v>0</v>
      </c>
      <c r="H390" s="20">
        <v>4525.6400000000003</v>
      </c>
      <c r="I390" s="124"/>
      <c r="J390" s="19"/>
      <c r="K390" s="21"/>
      <c r="L390" s="22" t="s">
        <v>493</v>
      </c>
      <c r="M390" s="23">
        <f t="shared" si="8"/>
        <v>4525.6400000000003</v>
      </c>
      <c r="N390" s="2"/>
      <c r="O390" s="19" t="str">
        <f>VLOOKUP(QUERY_FOR_TRNSTRANSPOSED_0008!A390,'[6]Fin vs NFin'!$A$4:$F$568,6,FALSE)</f>
        <v>Não Financeiras</v>
      </c>
      <c r="P390" s="24" t="str">
        <f t="shared" ref="P390:P453" si="9">LEFT(D390,2)</f>
        <v>SC</v>
      </c>
      <c r="Q390" s="24"/>
      <c r="R390" s="24"/>
      <c r="S390" s="24"/>
      <c r="T390" s="24"/>
    </row>
    <row r="391" spans="1:20" ht="15" thickBot="1">
      <c r="A391" s="38" t="s">
        <v>530</v>
      </c>
      <c r="B391" s="38" t="str">
        <f>VLOOKUP(A391,'[6]Fin vs NFin'!$A$4:$B$568,2,FALSE)</f>
        <v>!Fact Abert./Formalização</v>
      </c>
      <c r="C391" s="38" t="s">
        <v>531</v>
      </c>
      <c r="D391" s="38" t="s">
        <v>492</v>
      </c>
      <c r="E391" s="38" t="str">
        <f>VLOOKUP(D391,[6]Arvore!$N$8:$Q$6855,4,FALSE)</f>
        <v/>
      </c>
      <c r="F391" s="39">
        <v>110857.58</v>
      </c>
      <c r="G391" s="39">
        <v>0</v>
      </c>
      <c r="H391" s="40">
        <v>110857.58</v>
      </c>
      <c r="I391" s="58">
        <v>110857.58</v>
      </c>
      <c r="J391" s="39"/>
      <c r="K391" s="21"/>
      <c r="L391" s="41" t="s">
        <v>493</v>
      </c>
      <c r="M391" s="42">
        <f t="shared" si="8"/>
        <v>110857.58</v>
      </c>
      <c r="N391" s="2"/>
      <c r="O391" s="39" t="str">
        <f>VLOOKUP(QUERY_FOR_TRNSTRANSPOSED_0008!A391,'[6]Fin vs NFin'!$A$4:$F$568,6,FALSE)</f>
        <v>Financeiras</v>
      </c>
      <c r="P391" s="43" t="str">
        <f t="shared" si="9"/>
        <v>SC</v>
      </c>
      <c r="Q391" s="43"/>
      <c r="R391" s="43"/>
      <c r="S391" s="43"/>
      <c r="T391" s="43"/>
    </row>
    <row r="392" spans="1:20" ht="15" thickBot="1">
      <c r="A392" s="25" t="s">
        <v>532</v>
      </c>
      <c r="B392" s="25" t="str">
        <f>VLOOKUP(A392,'[6]Fin vs NFin'!$A$4:$B$568,2,FALSE)</f>
        <v>!Fact-Cms Imobilização</v>
      </c>
      <c r="C392" s="25" t="s">
        <v>533</v>
      </c>
      <c r="D392" s="25" t="s">
        <v>492</v>
      </c>
      <c r="E392" s="25" t="str">
        <f>VLOOKUP(D392,[6]Arvore!$N$8:$Q$6855,4,FALSE)</f>
        <v/>
      </c>
      <c r="F392" s="26">
        <v>771170.4</v>
      </c>
      <c r="G392" s="26">
        <v>0</v>
      </c>
      <c r="H392" s="27">
        <v>771170.4</v>
      </c>
      <c r="I392" s="58">
        <v>771170.4</v>
      </c>
      <c r="J392" s="26"/>
      <c r="K392" s="21"/>
      <c r="L392" s="29" t="s">
        <v>493</v>
      </c>
      <c r="M392" s="30">
        <f t="shared" si="8"/>
        <v>771170.4</v>
      </c>
      <c r="N392" s="2"/>
      <c r="O392" s="26" t="str">
        <f>VLOOKUP(QUERY_FOR_TRNSTRANSPOSED_0008!A392,'[6]Fin vs NFin'!$A$4:$F$568,6,FALSE)</f>
        <v>Não Financeiras</v>
      </c>
      <c r="P392" s="31" t="str">
        <f t="shared" si="9"/>
        <v>SC</v>
      </c>
      <c r="Q392" s="31"/>
      <c r="R392" s="31"/>
      <c r="S392" s="31"/>
      <c r="T392" s="31"/>
    </row>
    <row r="393" spans="1:20" ht="15" thickBot="1">
      <c r="A393" s="25" t="s">
        <v>534</v>
      </c>
      <c r="B393" s="25" t="str">
        <f>VLOOKUP(A393,'[6]Fin vs NFin'!$A$4:$B$568,2,FALSE)</f>
        <v>!Fact-Comissão Renovação</v>
      </c>
      <c r="C393" s="25" t="s">
        <v>535</v>
      </c>
      <c r="D393" s="25" t="s">
        <v>492</v>
      </c>
      <c r="E393" s="25" t="str">
        <f>VLOOKUP(D393,[6]Arvore!$N$8:$Q$6855,4,FALSE)</f>
        <v/>
      </c>
      <c r="F393" s="26">
        <v>100841.43</v>
      </c>
      <c r="G393" s="26">
        <v>0</v>
      </c>
      <c r="H393" s="27">
        <v>100841.43</v>
      </c>
      <c r="I393" s="60">
        <v>100841.43</v>
      </c>
      <c r="J393" s="26"/>
      <c r="K393" s="56"/>
      <c r="L393" s="29" t="s">
        <v>493</v>
      </c>
      <c r="M393" s="30">
        <f t="shared" si="8"/>
        <v>100841.43</v>
      </c>
      <c r="N393" s="2"/>
      <c r="O393" s="26" t="str">
        <f>VLOOKUP(QUERY_FOR_TRNSTRANSPOSED_0008!A393,'[6]Fin vs NFin'!$A$4:$F$568,6,FALSE)</f>
        <v>Financeiras</v>
      </c>
      <c r="P393" s="31" t="str">
        <f t="shared" si="9"/>
        <v>SC</v>
      </c>
      <c r="Q393" s="31"/>
      <c r="R393" s="31"/>
      <c r="S393" s="31"/>
      <c r="T393" s="31"/>
    </row>
    <row r="394" spans="1:20">
      <c r="A394" s="18" t="s">
        <v>536</v>
      </c>
      <c r="B394" s="18" t="str">
        <f>VLOOKUP(A394,'[6]Fin vs NFin'!$A$4:$B$568,2,FALSE)</f>
        <v>!Fact-Comissão Gestão</v>
      </c>
      <c r="C394" s="18" t="s">
        <v>206</v>
      </c>
      <c r="D394" s="18" t="s">
        <v>492</v>
      </c>
      <c r="E394" s="18" t="str">
        <f>VLOOKUP(D394,[6]Arvore!$N$8:$Q$6855,4,FALSE)</f>
        <v/>
      </c>
      <c r="F394" s="19">
        <v>18380.71</v>
      </c>
      <c r="G394" s="19">
        <v>0</v>
      </c>
      <c r="H394" s="20">
        <v>18380.71</v>
      </c>
      <c r="I394" s="122">
        <v>183116.64</v>
      </c>
      <c r="J394" s="19"/>
      <c r="K394" s="21"/>
      <c r="L394" s="22" t="s">
        <v>493</v>
      </c>
      <c r="M394" s="23">
        <f t="shared" si="8"/>
        <v>18380.71</v>
      </c>
      <c r="N394" s="2"/>
      <c r="O394" s="19" t="str">
        <f>VLOOKUP(QUERY_FOR_TRNSTRANSPOSED_0008!A394,'[6]Fin vs NFin'!$A$4:$F$568,6,FALSE)</f>
        <v>Financeiras</v>
      </c>
      <c r="P394" s="24" t="str">
        <f t="shared" si="9"/>
        <v>SC</v>
      </c>
      <c r="Q394" s="24"/>
      <c r="R394" s="24"/>
      <c r="S394" s="24"/>
      <c r="T394" s="24"/>
    </row>
    <row r="395" spans="1:20">
      <c r="A395" s="18" t="s">
        <v>536</v>
      </c>
      <c r="B395" s="18" t="str">
        <f>VLOOKUP(A395,'[6]Fin vs NFin'!$A$4:$B$568,2,FALSE)</f>
        <v>!Fact-Comissão Gestão</v>
      </c>
      <c r="C395" s="18" t="s">
        <v>537</v>
      </c>
      <c r="D395" s="18" t="s">
        <v>492</v>
      </c>
      <c r="E395" s="18" t="str">
        <f>VLOOKUP(D395,[6]Arvore!$N$8:$Q$6855,4,FALSE)</f>
        <v/>
      </c>
      <c r="F395" s="19">
        <v>51697.05</v>
      </c>
      <c r="G395" s="19">
        <v>0</v>
      </c>
      <c r="H395" s="20">
        <v>51697.05</v>
      </c>
      <c r="I395" s="124"/>
      <c r="J395" s="19"/>
      <c r="K395" s="21"/>
      <c r="L395" s="22" t="s">
        <v>493</v>
      </c>
      <c r="M395" s="23">
        <f t="shared" si="8"/>
        <v>51697.05</v>
      </c>
      <c r="N395" s="2"/>
      <c r="O395" s="19" t="str">
        <f>VLOOKUP(QUERY_FOR_TRNSTRANSPOSED_0008!A395,'[6]Fin vs NFin'!$A$4:$F$568,6,FALSE)</f>
        <v>Financeiras</v>
      </c>
      <c r="P395" s="24" t="str">
        <f t="shared" si="9"/>
        <v>SC</v>
      </c>
      <c r="Q395" s="24"/>
      <c r="R395" s="24"/>
      <c r="S395" s="24"/>
      <c r="T395" s="24"/>
    </row>
    <row r="396" spans="1:20" ht="15" thickBot="1">
      <c r="A396" s="11" t="s">
        <v>536</v>
      </c>
      <c r="B396" s="11" t="str">
        <f>VLOOKUP(A396,'[6]Fin vs NFin'!$A$4:$B$568,2,FALSE)</f>
        <v>!Fact-Comissão Gestão</v>
      </c>
      <c r="C396" s="11" t="s">
        <v>538</v>
      </c>
      <c r="D396" s="11" t="s">
        <v>492</v>
      </c>
      <c r="E396" s="11" t="str">
        <f>VLOOKUP(D396,[6]Arvore!$N$8:$Q$6855,4,FALSE)</f>
        <v/>
      </c>
      <c r="F396" s="12">
        <v>113038.88</v>
      </c>
      <c r="G396" s="12">
        <v>0</v>
      </c>
      <c r="H396" s="13">
        <v>113038.88</v>
      </c>
      <c r="I396" s="123"/>
      <c r="J396" s="12"/>
      <c r="K396" s="21"/>
      <c r="L396" s="15" t="s">
        <v>493</v>
      </c>
      <c r="M396" s="16">
        <f t="shared" si="8"/>
        <v>113038.88</v>
      </c>
      <c r="N396" s="2"/>
      <c r="O396" s="12" t="str">
        <f>VLOOKUP(QUERY_FOR_TRNSTRANSPOSED_0008!A396,'[6]Fin vs NFin'!$A$4:$F$568,6,FALSE)</f>
        <v>Financeiras</v>
      </c>
      <c r="P396" s="17" t="str">
        <f t="shared" si="9"/>
        <v>SC</v>
      </c>
      <c r="Q396" s="17"/>
      <c r="R396" s="17"/>
      <c r="S396" s="17"/>
      <c r="T396" s="17"/>
    </row>
    <row r="397" spans="1:20">
      <c r="A397" s="18" t="s">
        <v>539</v>
      </c>
      <c r="B397" s="18" t="str">
        <f>VLOOKUP(A397,'[6]Fin vs NFin'!$A$4:$B$568,2,FALSE)</f>
        <v>!Fact-Cms Rescisão Antecip</v>
      </c>
      <c r="C397" s="18" t="s">
        <v>540</v>
      </c>
      <c r="D397" s="18" t="s">
        <v>492</v>
      </c>
      <c r="E397" s="18" t="str">
        <f>VLOOKUP(D397,[6]Arvore!$N$8:$Q$6855,4,FALSE)</f>
        <v/>
      </c>
      <c r="F397" s="19">
        <v>7250</v>
      </c>
      <c r="G397" s="19">
        <v>0</v>
      </c>
      <c r="H397" s="20">
        <v>7250</v>
      </c>
      <c r="I397" s="122">
        <v>32625</v>
      </c>
      <c r="J397" s="19"/>
      <c r="K397" s="21"/>
      <c r="L397" s="22" t="s">
        <v>493</v>
      </c>
      <c r="M397" s="23">
        <f t="shared" si="8"/>
        <v>7250</v>
      </c>
      <c r="N397" s="2"/>
      <c r="O397" s="19" t="str">
        <f>VLOOKUP(QUERY_FOR_TRNSTRANSPOSED_0008!A397,'[6]Fin vs NFin'!$A$4:$F$568,6,FALSE)</f>
        <v>Financeiras</v>
      </c>
      <c r="P397" s="24" t="str">
        <f t="shared" si="9"/>
        <v>SC</v>
      </c>
      <c r="Q397" s="24"/>
      <c r="R397" s="24"/>
      <c r="S397" s="24"/>
      <c r="T397" s="24"/>
    </row>
    <row r="398" spans="1:20" ht="15" thickBot="1">
      <c r="A398" s="11" t="s">
        <v>539</v>
      </c>
      <c r="B398" s="11" t="str">
        <f>VLOOKUP(A398,'[6]Fin vs NFin'!$A$4:$B$568,2,FALSE)</f>
        <v>!Fact-Cms Rescisão Antecip</v>
      </c>
      <c r="C398" s="11" t="s">
        <v>541</v>
      </c>
      <c r="D398" s="11" t="s">
        <v>492</v>
      </c>
      <c r="E398" s="11" t="str">
        <f>VLOOKUP(D398,[6]Arvore!$N$8:$Q$6855,4,FALSE)</f>
        <v/>
      </c>
      <c r="F398" s="12">
        <v>25375</v>
      </c>
      <c r="G398" s="12">
        <v>0</v>
      </c>
      <c r="H398" s="13">
        <v>25375</v>
      </c>
      <c r="I398" s="123"/>
      <c r="J398" s="12"/>
      <c r="K398" s="21"/>
      <c r="L398" s="15" t="s">
        <v>493</v>
      </c>
      <c r="M398" s="16">
        <f t="shared" si="8"/>
        <v>25375</v>
      </c>
      <c r="N398" s="2"/>
      <c r="O398" s="12" t="str">
        <f>VLOOKUP(QUERY_FOR_TRNSTRANSPOSED_0008!A398,'[6]Fin vs NFin'!$A$4:$F$568,6,FALSE)</f>
        <v>Financeiras</v>
      </c>
      <c r="P398" s="17" t="str">
        <f t="shared" si="9"/>
        <v>SC</v>
      </c>
      <c r="Q398" s="17"/>
      <c r="R398" s="17"/>
      <c r="S398" s="17"/>
      <c r="T398" s="17"/>
    </row>
    <row r="399" spans="1:20">
      <c r="A399" s="18" t="s">
        <v>542</v>
      </c>
      <c r="B399" s="18" t="str">
        <f>VLOOKUP(A399,'[6]Fin vs NFin'!$A$4:$B$568,2,FALSE)</f>
        <v>!Fact-Com.Cessão Crédito</v>
      </c>
      <c r="C399" s="18" t="s">
        <v>543</v>
      </c>
      <c r="D399" s="18" t="s">
        <v>492</v>
      </c>
      <c r="E399" s="18" t="str">
        <f>VLOOKUP(D399,[6]Arvore!$N$8:$Q$6855,4,FALSE)</f>
        <v/>
      </c>
      <c r="F399" s="19">
        <v>112066.43</v>
      </c>
      <c r="G399" s="19">
        <v>0</v>
      </c>
      <c r="H399" s="20">
        <v>112066.43</v>
      </c>
      <c r="I399" s="124">
        <f>SUM(H399:H407)</f>
        <v>6739826.2299999995</v>
      </c>
      <c r="J399" s="19"/>
      <c r="K399" s="21"/>
      <c r="L399" s="22" t="s">
        <v>493</v>
      </c>
      <c r="M399" s="23">
        <f t="shared" si="8"/>
        <v>112066.43</v>
      </c>
      <c r="N399" s="2"/>
      <c r="O399" s="19" t="str">
        <f>VLOOKUP(QUERY_FOR_TRNSTRANSPOSED_0008!A399,'[6]Fin vs NFin'!$A$4:$F$568,6,FALSE)</f>
        <v>Financeiras</v>
      </c>
      <c r="P399" s="24" t="str">
        <f t="shared" si="9"/>
        <v>SC</v>
      </c>
      <c r="Q399" s="24"/>
      <c r="R399" s="24"/>
      <c r="S399" s="24"/>
      <c r="T399" s="24"/>
    </row>
    <row r="400" spans="1:20">
      <c r="A400" s="18" t="s">
        <v>542</v>
      </c>
      <c r="B400" s="18" t="str">
        <f>VLOOKUP(A400,'[6]Fin vs NFin'!$A$4:$B$568,2,FALSE)</f>
        <v>!Fact-Com.Cessão Crédito</v>
      </c>
      <c r="C400" s="18" t="s">
        <v>544</v>
      </c>
      <c r="D400" s="18" t="s">
        <v>492</v>
      </c>
      <c r="E400" s="18" t="str">
        <f>VLOOKUP(D400,[6]Arvore!$N$8:$Q$6855,4,FALSE)</f>
        <v/>
      </c>
      <c r="F400" s="19">
        <v>5216419.22</v>
      </c>
      <c r="G400" s="19">
        <v>0</v>
      </c>
      <c r="H400" s="20">
        <v>5216419.22</v>
      </c>
      <c r="I400" s="124"/>
      <c r="J400" s="19"/>
      <c r="K400" s="21"/>
      <c r="L400" s="22" t="s">
        <v>493</v>
      </c>
      <c r="M400" s="23">
        <f t="shared" si="8"/>
        <v>5216419.22</v>
      </c>
      <c r="N400" s="2"/>
      <c r="O400" s="19" t="str">
        <f>VLOOKUP(QUERY_FOR_TRNSTRANSPOSED_0008!A400,'[6]Fin vs NFin'!$A$4:$F$568,6,FALSE)</f>
        <v>Financeiras</v>
      </c>
      <c r="P400" s="24" t="str">
        <f t="shared" si="9"/>
        <v>SC</v>
      </c>
      <c r="Q400" s="24"/>
      <c r="R400" s="24"/>
      <c r="S400" s="24"/>
      <c r="T400" s="24"/>
    </row>
    <row r="401" spans="1:20">
      <c r="A401" s="18" t="s">
        <v>542</v>
      </c>
      <c r="B401" s="18" t="str">
        <f>VLOOKUP(A401,'[6]Fin vs NFin'!$A$4:$B$568,2,FALSE)</f>
        <v>!Fact-Com.Cessão Crédito</v>
      </c>
      <c r="C401" s="18" t="s">
        <v>545</v>
      </c>
      <c r="D401" s="18" t="s">
        <v>492</v>
      </c>
      <c r="E401" s="18" t="str">
        <f>VLOOKUP(D401,[6]Arvore!$N$8:$Q$6855,4,FALSE)</f>
        <v/>
      </c>
      <c r="F401" s="19">
        <v>14038.96</v>
      </c>
      <c r="G401" s="19">
        <v>0</v>
      </c>
      <c r="H401" s="20">
        <v>14038.96</v>
      </c>
      <c r="I401" s="124"/>
      <c r="J401" s="19"/>
      <c r="K401" s="21"/>
      <c r="L401" s="22" t="s">
        <v>493</v>
      </c>
      <c r="M401" s="23">
        <f t="shared" si="8"/>
        <v>14038.96</v>
      </c>
      <c r="N401" s="2"/>
      <c r="O401" s="19" t="str">
        <f>VLOOKUP(QUERY_FOR_TRNSTRANSPOSED_0008!A401,'[6]Fin vs NFin'!$A$4:$F$568,6,FALSE)</f>
        <v>Financeiras</v>
      </c>
      <c r="P401" s="24" t="str">
        <f t="shared" si="9"/>
        <v>SC</v>
      </c>
      <c r="Q401" s="24"/>
      <c r="R401" s="24"/>
      <c r="S401" s="24"/>
      <c r="T401" s="24"/>
    </row>
    <row r="402" spans="1:20">
      <c r="A402" s="18" t="s">
        <v>542</v>
      </c>
      <c r="B402" s="18" t="str">
        <f>VLOOKUP(A402,'[6]Fin vs NFin'!$A$4:$B$568,2,FALSE)</f>
        <v>!Fact-Com.Cessão Crédito</v>
      </c>
      <c r="C402" s="18" t="s">
        <v>546</v>
      </c>
      <c r="D402" s="18" t="s">
        <v>492</v>
      </c>
      <c r="E402" s="18" t="str">
        <f>VLOOKUP(D402,[6]Arvore!$N$8:$Q$6855,4,FALSE)</f>
        <v/>
      </c>
      <c r="F402" s="19">
        <v>494514.35</v>
      </c>
      <c r="G402" s="19">
        <v>0</v>
      </c>
      <c r="H402" s="20">
        <v>494514.35</v>
      </c>
      <c r="I402" s="124"/>
      <c r="J402" s="19"/>
      <c r="K402" s="21"/>
      <c r="L402" s="22" t="s">
        <v>493</v>
      </c>
      <c r="M402" s="23">
        <f t="shared" si="8"/>
        <v>494514.35</v>
      </c>
      <c r="N402" s="2"/>
      <c r="O402" s="19" t="str">
        <f>VLOOKUP(QUERY_FOR_TRNSTRANSPOSED_0008!A402,'[6]Fin vs NFin'!$A$4:$F$568,6,FALSE)</f>
        <v>Financeiras</v>
      </c>
      <c r="P402" s="24" t="str">
        <f t="shared" si="9"/>
        <v>SC</v>
      </c>
      <c r="Q402" s="24"/>
      <c r="R402" s="24"/>
      <c r="S402" s="24"/>
      <c r="T402" s="24"/>
    </row>
    <row r="403" spans="1:20">
      <c r="A403" s="18" t="s">
        <v>542</v>
      </c>
      <c r="B403" s="18" t="str">
        <f>VLOOKUP(A403,'[6]Fin vs NFin'!$A$4:$B$568,2,FALSE)</f>
        <v>!Fact-Com.Cessão Crédito</v>
      </c>
      <c r="C403" s="18" t="s">
        <v>547</v>
      </c>
      <c r="D403" s="18" t="s">
        <v>492</v>
      </c>
      <c r="E403" s="18" t="str">
        <f>VLOOKUP(D403,[6]Arvore!$N$8:$Q$6855,4,FALSE)</f>
        <v/>
      </c>
      <c r="F403" s="19">
        <v>730430.23</v>
      </c>
      <c r="G403" s="19">
        <v>0</v>
      </c>
      <c r="H403" s="20">
        <v>730430.23</v>
      </c>
      <c r="I403" s="124"/>
      <c r="J403" s="19"/>
      <c r="K403" s="21"/>
      <c r="L403" s="22" t="s">
        <v>493</v>
      </c>
      <c r="M403" s="23">
        <f t="shared" si="8"/>
        <v>730430.23</v>
      </c>
      <c r="N403" s="2"/>
      <c r="O403" s="19" t="str">
        <f>VLOOKUP(QUERY_FOR_TRNSTRANSPOSED_0008!A403,'[6]Fin vs NFin'!$A$4:$F$568,6,FALSE)</f>
        <v>Financeiras</v>
      </c>
      <c r="P403" s="24" t="str">
        <f t="shared" si="9"/>
        <v>SC</v>
      </c>
      <c r="Q403" s="24"/>
      <c r="R403" s="24"/>
      <c r="S403" s="24"/>
      <c r="T403" s="24"/>
    </row>
    <row r="404" spans="1:20">
      <c r="A404" s="18" t="s">
        <v>542</v>
      </c>
      <c r="B404" s="18" t="str">
        <f>VLOOKUP(A404,'[6]Fin vs NFin'!$A$4:$B$568,2,FALSE)</f>
        <v>!Fact-Com.Cessão Crédito</v>
      </c>
      <c r="C404" s="18" t="s">
        <v>548</v>
      </c>
      <c r="D404" s="18" t="s">
        <v>492</v>
      </c>
      <c r="E404" s="18" t="str">
        <f>VLOOKUP(D404,[6]Arvore!$N$8:$Q$6855,4,FALSE)</f>
        <v/>
      </c>
      <c r="F404" s="19">
        <v>48527.16</v>
      </c>
      <c r="G404" s="19">
        <v>0</v>
      </c>
      <c r="H404" s="20">
        <v>48527.16</v>
      </c>
      <c r="I404" s="124"/>
      <c r="J404" s="19"/>
      <c r="K404" s="21"/>
      <c r="L404" s="22" t="s">
        <v>493</v>
      </c>
      <c r="M404" s="23">
        <f t="shared" si="8"/>
        <v>48527.16</v>
      </c>
      <c r="N404" s="2"/>
      <c r="O404" s="19" t="str">
        <f>VLOOKUP(QUERY_FOR_TRNSTRANSPOSED_0008!A404,'[6]Fin vs NFin'!$A$4:$F$568,6,FALSE)</f>
        <v>Financeiras</v>
      </c>
      <c r="P404" s="24" t="str">
        <f t="shared" si="9"/>
        <v>SC</v>
      </c>
      <c r="Q404" s="24"/>
      <c r="R404" s="24"/>
      <c r="S404" s="24"/>
      <c r="T404" s="24"/>
    </row>
    <row r="405" spans="1:20">
      <c r="A405" s="18" t="s">
        <v>542</v>
      </c>
      <c r="B405" s="18" t="str">
        <f>VLOOKUP(A405,'[6]Fin vs NFin'!$A$4:$B$568,2,FALSE)</f>
        <v>!Fact-Com.Cessão Crédito</v>
      </c>
      <c r="C405" s="18" t="s">
        <v>549</v>
      </c>
      <c r="D405" s="18" t="s">
        <v>492</v>
      </c>
      <c r="E405" s="18" t="str">
        <f>VLOOKUP(D405,[6]Arvore!$N$8:$Q$6855,4,FALSE)</f>
        <v/>
      </c>
      <c r="F405" s="19">
        <v>2795.57</v>
      </c>
      <c r="G405" s="19">
        <v>0</v>
      </c>
      <c r="H405" s="20">
        <v>2795.57</v>
      </c>
      <c r="I405" s="124"/>
      <c r="J405" s="19"/>
      <c r="K405" s="21"/>
      <c r="L405" s="22" t="s">
        <v>493</v>
      </c>
      <c r="M405" s="23">
        <f t="shared" si="8"/>
        <v>2795.57</v>
      </c>
      <c r="N405" s="2"/>
      <c r="O405" s="19" t="str">
        <f>VLOOKUP(QUERY_FOR_TRNSTRANSPOSED_0008!A405,'[6]Fin vs NFin'!$A$4:$F$568,6,FALSE)</f>
        <v>Financeiras</v>
      </c>
      <c r="P405" s="24" t="str">
        <f t="shared" si="9"/>
        <v>SC</v>
      </c>
      <c r="Q405" s="24"/>
      <c r="R405" s="24"/>
      <c r="S405" s="24"/>
      <c r="T405" s="24"/>
    </row>
    <row r="406" spans="1:20">
      <c r="A406" s="18" t="s">
        <v>542</v>
      </c>
      <c r="B406" s="18" t="str">
        <f>VLOOKUP(A406,'[6]Fin vs NFin'!$A$4:$B$568,2,FALSE)</f>
        <v>!Fact-Com.Cessão Crédito</v>
      </c>
      <c r="C406" s="18" t="s">
        <v>550</v>
      </c>
      <c r="D406" s="18" t="s">
        <v>492</v>
      </c>
      <c r="E406" s="18" t="str">
        <f>VLOOKUP(D406,[6]Arvore!$N$8:$Q$6855,4,FALSE)</f>
        <v/>
      </c>
      <c r="F406" s="19">
        <v>118236.84</v>
      </c>
      <c r="G406" s="19">
        <v>0</v>
      </c>
      <c r="H406" s="20">
        <v>118236.84</v>
      </c>
      <c r="I406" s="124"/>
      <c r="J406" s="19"/>
      <c r="K406" s="21"/>
      <c r="L406" s="22" t="s">
        <v>493</v>
      </c>
      <c r="M406" s="23">
        <f t="shared" si="8"/>
        <v>118236.84</v>
      </c>
      <c r="N406" s="2"/>
      <c r="O406" s="19" t="str">
        <f>VLOOKUP(QUERY_FOR_TRNSTRANSPOSED_0008!A406,'[6]Fin vs NFin'!$A$4:$F$568,6,FALSE)</f>
        <v>Financeiras</v>
      </c>
      <c r="P406" s="24" t="str">
        <f t="shared" si="9"/>
        <v>SC</v>
      </c>
      <c r="Q406" s="24"/>
      <c r="R406" s="24"/>
      <c r="S406" s="24"/>
      <c r="T406" s="24"/>
    </row>
    <row r="407" spans="1:20" ht="15" thickBot="1">
      <c r="A407" s="11" t="s">
        <v>542</v>
      </c>
      <c r="B407" s="11" t="str">
        <f>VLOOKUP(A407,'[6]Fin vs NFin'!$A$4:$B$568,2,FALSE)</f>
        <v>!Fact-Com.Cessão Crédito</v>
      </c>
      <c r="C407" s="11" t="s">
        <v>551</v>
      </c>
      <c r="D407" s="11" t="s">
        <v>492</v>
      </c>
      <c r="E407" s="11" t="str">
        <f>VLOOKUP(D407,[6]Arvore!$N$8:$Q$6855,4,FALSE)</f>
        <v/>
      </c>
      <c r="F407" s="12">
        <v>2797.47</v>
      </c>
      <c r="G407" s="12">
        <v>0</v>
      </c>
      <c r="H407" s="13">
        <v>2797.47</v>
      </c>
      <c r="I407" s="123"/>
      <c r="J407" s="12"/>
      <c r="K407" s="21"/>
      <c r="L407" s="15" t="s">
        <v>493</v>
      </c>
      <c r="M407" s="16">
        <f t="shared" si="8"/>
        <v>2797.47</v>
      </c>
      <c r="N407" s="2"/>
      <c r="O407" s="12" t="str">
        <f>VLOOKUP(QUERY_FOR_TRNSTRANSPOSED_0008!A407,'[6]Fin vs NFin'!$A$4:$F$568,6,FALSE)</f>
        <v>Financeiras</v>
      </c>
      <c r="P407" s="17" t="str">
        <f t="shared" si="9"/>
        <v>SC</v>
      </c>
      <c r="Q407" s="17"/>
      <c r="R407" s="17"/>
      <c r="S407" s="17"/>
      <c r="T407" s="17"/>
    </row>
    <row r="408" spans="1:20">
      <c r="A408" s="18" t="s">
        <v>552</v>
      </c>
      <c r="B408" s="18" t="str">
        <f>VLOOKUP(A408,'[6]Fin vs NFin'!$A$4:$B$568,2,FALSE)</f>
        <v>!Fact-Outras Cms.Factoring</v>
      </c>
      <c r="C408" s="18" t="s">
        <v>553</v>
      </c>
      <c r="D408" s="18" t="s">
        <v>492</v>
      </c>
      <c r="E408" s="18" t="str">
        <f>VLOOKUP(D408,[6]Arvore!$N$8:$Q$6855,4,FALSE)</f>
        <v/>
      </c>
      <c r="F408" s="19">
        <v>3352568.1</v>
      </c>
      <c r="G408" s="19">
        <v>0</v>
      </c>
      <c r="H408" s="20">
        <v>3352568.1</v>
      </c>
      <c r="I408" s="122">
        <v>3436953.81</v>
      </c>
      <c r="J408" s="19"/>
      <c r="K408" s="21"/>
      <c r="L408" s="22" t="s">
        <v>493</v>
      </c>
      <c r="M408" s="23">
        <f t="shared" si="8"/>
        <v>3352568.1</v>
      </c>
      <c r="N408" s="2"/>
      <c r="O408" s="19" t="str">
        <f>VLOOKUP(QUERY_FOR_TRNSTRANSPOSED_0008!A408,'[6]Fin vs NFin'!$A$4:$F$568,6,FALSE)</f>
        <v>Financeiras</v>
      </c>
      <c r="P408" s="24" t="str">
        <f t="shared" si="9"/>
        <v>SC</v>
      </c>
      <c r="Q408" s="24"/>
      <c r="R408" s="24"/>
      <c r="S408" s="24"/>
      <c r="T408" s="24"/>
    </row>
    <row r="409" spans="1:20">
      <c r="A409" s="18" t="s">
        <v>552</v>
      </c>
      <c r="B409" s="18" t="str">
        <f>VLOOKUP(A409,'[6]Fin vs NFin'!$A$4:$B$568,2,FALSE)</f>
        <v>!Fact-Outras Cms.Factoring</v>
      </c>
      <c r="C409" s="18" t="s">
        <v>554</v>
      </c>
      <c r="D409" s="18" t="s">
        <v>492</v>
      </c>
      <c r="E409" s="18" t="str">
        <f>VLOOKUP(D409,[6]Arvore!$N$8:$Q$6855,4,FALSE)</f>
        <v/>
      </c>
      <c r="F409" s="19">
        <v>124.71</v>
      </c>
      <c r="G409" s="19">
        <v>0</v>
      </c>
      <c r="H409" s="20">
        <v>124.71</v>
      </c>
      <c r="I409" s="124"/>
      <c r="J409" s="19"/>
      <c r="K409" s="21"/>
      <c r="L409" s="22" t="s">
        <v>493</v>
      </c>
      <c r="M409" s="23">
        <f t="shared" si="8"/>
        <v>124.71</v>
      </c>
      <c r="N409" s="2"/>
      <c r="O409" s="19" t="str">
        <f>VLOOKUP(QUERY_FOR_TRNSTRANSPOSED_0008!A409,'[6]Fin vs NFin'!$A$4:$F$568,6,FALSE)</f>
        <v>Financeiras</v>
      </c>
      <c r="P409" s="24" t="str">
        <f t="shared" si="9"/>
        <v>SC</v>
      </c>
      <c r="Q409" s="24"/>
      <c r="R409" s="24"/>
      <c r="S409" s="24"/>
      <c r="T409" s="24"/>
    </row>
    <row r="410" spans="1:20">
      <c r="A410" s="18" t="s">
        <v>552</v>
      </c>
      <c r="B410" s="18" t="str">
        <f>VLOOKUP(A410,'[6]Fin vs NFin'!$A$4:$B$568,2,FALSE)</f>
        <v>!Fact-Outras Cms.Factoring</v>
      </c>
      <c r="C410" s="18" t="s">
        <v>555</v>
      </c>
      <c r="D410" s="18" t="s">
        <v>492</v>
      </c>
      <c r="E410" s="18" t="str">
        <f>VLOOKUP(D410,[6]Arvore!$N$8:$Q$6855,4,FALSE)</f>
        <v/>
      </c>
      <c r="F410" s="19">
        <v>14780.1</v>
      </c>
      <c r="G410" s="19">
        <v>0</v>
      </c>
      <c r="H410" s="20">
        <v>14780.1</v>
      </c>
      <c r="I410" s="124"/>
      <c r="J410" s="19"/>
      <c r="K410" s="21"/>
      <c r="L410" s="22" t="s">
        <v>493</v>
      </c>
      <c r="M410" s="23">
        <f t="shared" si="8"/>
        <v>14780.1</v>
      </c>
      <c r="N410" s="2"/>
      <c r="O410" s="19" t="str">
        <f>VLOOKUP(QUERY_FOR_TRNSTRANSPOSED_0008!A410,'[6]Fin vs NFin'!$A$4:$F$568,6,FALSE)</f>
        <v>Financeiras</v>
      </c>
      <c r="P410" s="24" t="str">
        <f t="shared" si="9"/>
        <v>SC</v>
      </c>
      <c r="Q410" s="24"/>
      <c r="R410" s="24"/>
      <c r="S410" s="24"/>
      <c r="T410" s="24"/>
    </row>
    <row r="411" spans="1:20">
      <c r="A411" s="18" t="s">
        <v>552</v>
      </c>
      <c r="B411" s="18" t="str">
        <f>VLOOKUP(A411,'[6]Fin vs NFin'!$A$4:$B$568,2,FALSE)</f>
        <v>!Fact-Outras Cms.Factoring</v>
      </c>
      <c r="C411" s="18" t="s">
        <v>556</v>
      </c>
      <c r="D411" s="18" t="s">
        <v>492</v>
      </c>
      <c r="E411" s="18" t="str">
        <f>VLOOKUP(D411,[6]Arvore!$N$8:$Q$6855,4,FALSE)</f>
        <v/>
      </c>
      <c r="F411" s="19">
        <v>47682.37</v>
      </c>
      <c r="G411" s="19">
        <v>0</v>
      </c>
      <c r="H411" s="20">
        <v>47682.37</v>
      </c>
      <c r="I411" s="124"/>
      <c r="J411" s="19"/>
      <c r="K411" s="21"/>
      <c r="L411" s="22" t="s">
        <v>493</v>
      </c>
      <c r="M411" s="23">
        <f t="shared" si="8"/>
        <v>47682.37</v>
      </c>
      <c r="N411" s="2"/>
      <c r="O411" s="19" t="str">
        <f>VLOOKUP(QUERY_FOR_TRNSTRANSPOSED_0008!A411,'[6]Fin vs NFin'!$A$4:$F$568,6,FALSE)</f>
        <v>Financeiras</v>
      </c>
      <c r="P411" s="24" t="str">
        <f t="shared" si="9"/>
        <v>SC</v>
      </c>
      <c r="Q411" s="24"/>
      <c r="R411" s="24"/>
      <c r="S411" s="24"/>
      <c r="T411" s="24"/>
    </row>
    <row r="412" spans="1:20">
      <c r="A412" s="18" t="s">
        <v>552</v>
      </c>
      <c r="B412" s="18" t="str">
        <f>VLOOKUP(A412,'[6]Fin vs NFin'!$A$4:$B$568,2,FALSE)</f>
        <v>!Fact-Outras Cms.Factoring</v>
      </c>
      <c r="C412" s="18" t="s">
        <v>557</v>
      </c>
      <c r="D412" s="18" t="s">
        <v>492</v>
      </c>
      <c r="E412" s="18" t="str">
        <f>VLOOKUP(D412,[6]Arvore!$N$8:$Q$6855,4,FALSE)</f>
        <v/>
      </c>
      <c r="F412" s="19">
        <v>1519.65</v>
      </c>
      <c r="G412" s="19">
        <v>0</v>
      </c>
      <c r="H412" s="20">
        <v>1519.65</v>
      </c>
      <c r="I412" s="124"/>
      <c r="J412" s="19"/>
      <c r="K412" s="21"/>
      <c r="L412" s="22" t="s">
        <v>493</v>
      </c>
      <c r="M412" s="23">
        <f t="shared" si="8"/>
        <v>1519.65</v>
      </c>
      <c r="N412" s="2"/>
      <c r="O412" s="19" t="str">
        <f>VLOOKUP(QUERY_FOR_TRNSTRANSPOSED_0008!A412,'[6]Fin vs NFin'!$A$4:$F$568,6,FALSE)</f>
        <v>Financeiras</v>
      </c>
      <c r="P412" s="24" t="str">
        <f t="shared" si="9"/>
        <v>SC</v>
      </c>
      <c r="Q412" s="24"/>
      <c r="R412" s="24"/>
      <c r="S412" s="24"/>
      <c r="T412" s="24"/>
    </row>
    <row r="413" spans="1:20">
      <c r="A413" s="18" t="s">
        <v>552</v>
      </c>
      <c r="B413" s="18" t="str">
        <f>VLOOKUP(A413,'[6]Fin vs NFin'!$A$4:$B$568,2,FALSE)</f>
        <v>!Fact-Outras Cms.Factoring</v>
      </c>
      <c r="C413" s="18" t="s">
        <v>148</v>
      </c>
      <c r="D413" s="18" t="s">
        <v>492</v>
      </c>
      <c r="E413" s="18" t="str">
        <f>VLOOKUP(D413,[6]Arvore!$N$8:$Q$6855,4,FALSE)</f>
        <v/>
      </c>
      <c r="F413" s="19">
        <v>6371.04</v>
      </c>
      <c r="G413" s="19">
        <v>0</v>
      </c>
      <c r="H413" s="20">
        <v>6371.04</v>
      </c>
      <c r="I413" s="124"/>
      <c r="J413" s="19"/>
      <c r="K413" s="21"/>
      <c r="L413" s="22" t="s">
        <v>493</v>
      </c>
      <c r="M413" s="23">
        <f t="shared" si="8"/>
        <v>6371.04</v>
      </c>
      <c r="N413" s="2"/>
      <c r="O413" s="19" t="str">
        <f>VLOOKUP(QUERY_FOR_TRNSTRANSPOSED_0008!A413,'[6]Fin vs NFin'!$A$4:$F$568,6,FALSE)</f>
        <v>Financeiras</v>
      </c>
      <c r="P413" s="24" t="str">
        <f t="shared" si="9"/>
        <v>SC</v>
      </c>
      <c r="Q413" s="24"/>
      <c r="R413" s="24"/>
      <c r="S413" s="24"/>
      <c r="T413" s="24"/>
    </row>
    <row r="414" spans="1:20" ht="15" thickBot="1">
      <c r="A414" s="18" t="s">
        <v>552</v>
      </c>
      <c r="B414" s="18" t="str">
        <f>VLOOKUP(A414,'[6]Fin vs NFin'!$A$4:$B$568,2,FALSE)</f>
        <v>!Fact-Outras Cms.Factoring</v>
      </c>
      <c r="C414" s="18" t="s">
        <v>558</v>
      </c>
      <c r="D414" s="18" t="s">
        <v>492</v>
      </c>
      <c r="E414" s="18" t="str">
        <f>VLOOKUP(D414,[6]Arvore!$N$8:$Q$6855,4,FALSE)</f>
        <v/>
      </c>
      <c r="F414" s="19">
        <v>13907.84</v>
      </c>
      <c r="G414" s="19">
        <v>0</v>
      </c>
      <c r="H414" s="20">
        <v>13907.84</v>
      </c>
      <c r="I414" s="124"/>
      <c r="J414" s="19"/>
      <c r="K414" s="21"/>
      <c r="L414" s="22" t="s">
        <v>493</v>
      </c>
      <c r="M414" s="23">
        <f t="shared" si="8"/>
        <v>13907.84</v>
      </c>
      <c r="N414" s="2"/>
      <c r="O414" s="19" t="str">
        <f>VLOOKUP(QUERY_FOR_TRNSTRANSPOSED_0008!A414,'[6]Fin vs NFin'!$A$4:$F$568,6,FALSE)</f>
        <v>Financeiras</v>
      </c>
      <c r="P414" s="24" t="str">
        <f t="shared" si="9"/>
        <v>SC</v>
      </c>
      <c r="Q414" s="24"/>
      <c r="R414" s="24"/>
      <c r="S414" s="24"/>
      <c r="T414" s="24"/>
    </row>
    <row r="415" spans="1:20">
      <c r="A415" s="49" t="s">
        <v>559</v>
      </c>
      <c r="B415" s="49" t="str">
        <f>VLOOKUP(A415,'[6]Fin vs NFin'!$A$4:$B$568,2,FALSE)</f>
        <v>!Conf-Processament Remessa</v>
      </c>
      <c r="C415" s="49" t="s">
        <v>560</v>
      </c>
      <c r="D415" s="49" t="s">
        <v>561</v>
      </c>
      <c r="E415" s="49" t="str">
        <f>VLOOKUP(D415,[6]Arvore!$N$8:$Q$6855,4,FALSE)</f>
        <v>5151216</v>
      </c>
      <c r="F415" s="50">
        <v>106286.78</v>
      </c>
      <c r="G415" s="50">
        <v>106286.78</v>
      </c>
      <c r="H415" s="51">
        <v>2.91038304567337E-11</v>
      </c>
      <c r="I415" s="108">
        <f>SUM(H415:H416)</f>
        <v>2.91038304567337E-11</v>
      </c>
      <c r="J415" s="39"/>
      <c r="K415" s="21"/>
      <c r="L415" s="41"/>
      <c r="M415" s="42"/>
      <c r="O415" s="39" t="str">
        <f>VLOOKUP(QUERY_FOR_TRNSTRANSPOSED_0008!A415,'[6]Fin vs NFin'!$A$4:$F$568,6,FALSE)</f>
        <v>Não Financeiras</v>
      </c>
      <c r="P415" s="43" t="str">
        <f t="shared" si="9"/>
        <v>82</v>
      </c>
      <c r="Q415" s="43"/>
      <c r="R415" s="43"/>
      <c r="S415" s="43"/>
      <c r="T415" s="43"/>
    </row>
    <row r="416" spans="1:20" ht="15" thickBot="1">
      <c r="A416" s="35" t="s">
        <v>559</v>
      </c>
      <c r="B416" s="35" t="str">
        <f>VLOOKUP(A416,'[6]Fin vs NFin'!$A$4:$B$568,2,FALSE)</f>
        <v>!Conf-Processament Remessa</v>
      </c>
      <c r="C416" s="35" t="s">
        <v>560</v>
      </c>
      <c r="D416" s="35" t="s">
        <v>562</v>
      </c>
      <c r="E416" s="35" t="str">
        <f>VLOOKUP(D416,[6]Arvore!$N$8:$Q$6855,4,FALSE)</f>
        <v>5151216</v>
      </c>
      <c r="F416" s="36">
        <v>19711.62</v>
      </c>
      <c r="G416" s="36">
        <v>19711.62</v>
      </c>
      <c r="H416" s="37">
        <v>0</v>
      </c>
      <c r="I416" s="109"/>
      <c r="J416" s="12"/>
      <c r="K416" s="21"/>
      <c r="L416" s="15"/>
      <c r="M416" s="16"/>
      <c r="O416" s="12" t="str">
        <f>VLOOKUP(QUERY_FOR_TRNSTRANSPOSED_0008!A416,'[6]Fin vs NFin'!$A$4:$F$568,6,FALSE)</f>
        <v>Não Financeiras</v>
      </c>
      <c r="P416" s="17" t="str">
        <f t="shared" si="9"/>
        <v>82</v>
      </c>
      <c r="Q416" s="17"/>
      <c r="R416" s="17"/>
      <c r="S416" s="17"/>
      <c r="T416" s="17"/>
    </row>
    <row r="417" spans="1:20">
      <c r="A417" s="32" t="s">
        <v>563</v>
      </c>
      <c r="B417" s="32" t="str">
        <f>VLOOKUP(A417,'[6]Fin vs NFin'!$A$4:$B$568,2,FALSE)</f>
        <v>!Conf-Outras Confirming</v>
      </c>
      <c r="C417" s="32" t="s">
        <v>564</v>
      </c>
      <c r="D417" s="32" t="s">
        <v>565</v>
      </c>
      <c r="E417" s="32" t="str">
        <f>VLOOKUP(D417,[6]Arvore!$N$8:$Q$6855,4,FALSE)</f>
        <v>51999</v>
      </c>
      <c r="F417" s="33">
        <v>-225</v>
      </c>
      <c r="G417" s="33">
        <v>-225</v>
      </c>
      <c r="H417" s="34">
        <v>0</v>
      </c>
      <c r="I417" s="124">
        <f>SUM(H417:H418)</f>
        <v>582.29</v>
      </c>
      <c r="J417" s="19"/>
      <c r="K417" s="21"/>
      <c r="L417" s="22"/>
      <c r="M417" s="23"/>
      <c r="O417" s="19" t="str">
        <f>VLOOKUP(QUERY_FOR_TRNSTRANSPOSED_0008!A417,'[6]Fin vs NFin'!$A$4:$F$568,6,FALSE)</f>
        <v>Não Financeiras</v>
      </c>
      <c r="P417" s="24" t="str">
        <f t="shared" si="9"/>
        <v>82</v>
      </c>
      <c r="Q417" s="24"/>
      <c r="R417" s="24"/>
      <c r="S417" s="24"/>
      <c r="T417" s="24"/>
    </row>
    <row r="418" spans="1:20" ht="15" thickBot="1">
      <c r="A418" s="18" t="s">
        <v>563</v>
      </c>
      <c r="B418" s="18" t="str">
        <f>VLOOKUP(A418,'[6]Fin vs NFin'!$A$4:$B$568,2,FALSE)</f>
        <v>!Conf-Outras Confirming</v>
      </c>
      <c r="C418" s="18" t="s">
        <v>566</v>
      </c>
      <c r="D418" s="18" t="s">
        <v>492</v>
      </c>
      <c r="E418" s="18" t="str">
        <f>VLOOKUP(D418,[6]Arvore!$N$8:$Q$6855,4,FALSE)</f>
        <v/>
      </c>
      <c r="F418" s="19">
        <v>582.29</v>
      </c>
      <c r="G418" s="19">
        <v>0</v>
      </c>
      <c r="H418" s="20">
        <v>582.29</v>
      </c>
      <c r="I418" s="124"/>
      <c r="J418" s="19"/>
      <c r="K418" s="21"/>
      <c r="L418" s="22" t="s">
        <v>493</v>
      </c>
      <c r="M418" s="23">
        <f>H418</f>
        <v>582.29</v>
      </c>
      <c r="N418" s="2"/>
      <c r="O418" s="19" t="str">
        <f>VLOOKUP(QUERY_FOR_TRNSTRANSPOSED_0008!A418,'[6]Fin vs NFin'!$A$4:$F$568,6,FALSE)</f>
        <v>Não Financeiras</v>
      </c>
      <c r="P418" s="24" t="str">
        <f t="shared" si="9"/>
        <v>SC</v>
      </c>
      <c r="Q418" s="24"/>
      <c r="R418" s="24"/>
      <c r="S418" s="24"/>
      <c r="T418" s="24"/>
    </row>
    <row r="419" spans="1:20">
      <c r="A419" s="49" t="s">
        <v>567</v>
      </c>
      <c r="B419" s="49" t="str">
        <f>VLOOKUP(A419,'[6]Fin vs NFin'!$A$4:$B$568,2,FALSE)</f>
        <v>!Conf-Cms Transfer. p/ OIC</v>
      </c>
      <c r="C419" s="49" t="s">
        <v>568</v>
      </c>
      <c r="D419" s="49" t="s">
        <v>561</v>
      </c>
      <c r="E419" s="49" t="str">
        <f>VLOOKUP(D419,[6]Arvore!$N$8:$Q$6855,4,FALSE)</f>
        <v>5151216</v>
      </c>
      <c r="F419" s="50">
        <v>198216.15</v>
      </c>
      <c r="G419" s="50">
        <v>198216.15</v>
      </c>
      <c r="H419" s="51">
        <v>0</v>
      </c>
      <c r="I419" s="122">
        <f>SUM(H419:H420)</f>
        <v>199044.17</v>
      </c>
      <c r="J419" s="39"/>
      <c r="K419" s="21"/>
      <c r="L419" s="41"/>
      <c r="M419" s="42"/>
      <c r="O419" s="39" t="str">
        <f>VLOOKUP(QUERY_FOR_TRNSTRANSPOSED_0008!A419,'[6]Fin vs NFin'!$A$4:$F$568,6,FALSE)</f>
        <v>Não Financeiras</v>
      </c>
      <c r="P419" s="43" t="str">
        <f t="shared" si="9"/>
        <v>82</v>
      </c>
      <c r="Q419" s="43"/>
      <c r="R419" s="43"/>
      <c r="S419" s="43"/>
      <c r="T419" s="43"/>
    </row>
    <row r="420" spans="1:20" ht="15" thickBot="1">
      <c r="A420" s="11" t="s">
        <v>567</v>
      </c>
      <c r="B420" s="11" t="str">
        <f>VLOOKUP(A420,'[6]Fin vs NFin'!$A$4:$B$568,2,FALSE)</f>
        <v>!Conf-Cms Transfer. p/ OIC</v>
      </c>
      <c r="C420" s="11" t="s">
        <v>568</v>
      </c>
      <c r="D420" s="11" t="s">
        <v>569</v>
      </c>
      <c r="E420" s="11" t="str">
        <f>VLOOKUP(D420,[6]Arvore!$N$8:$Q$6855,4,FALSE)</f>
        <v/>
      </c>
      <c r="F420" s="12">
        <v>199044.17</v>
      </c>
      <c r="G420" s="12">
        <v>0</v>
      </c>
      <c r="H420" s="13">
        <v>199044.17</v>
      </c>
      <c r="I420" s="123"/>
      <c r="J420" s="12"/>
      <c r="K420" s="21"/>
      <c r="L420" s="15" t="s">
        <v>570</v>
      </c>
      <c r="M420" s="16">
        <f>H420</f>
        <v>199044.17</v>
      </c>
      <c r="N420" s="2"/>
      <c r="O420" s="12" t="str">
        <f>VLOOKUP(QUERY_FOR_TRNSTRANSPOSED_0008!A420,'[6]Fin vs NFin'!$A$4:$F$568,6,FALSE)</f>
        <v>Não Financeiras</v>
      </c>
      <c r="P420" s="17" t="str">
        <f t="shared" si="9"/>
        <v>FC</v>
      </c>
      <c r="Q420" s="17"/>
      <c r="R420" s="17"/>
      <c r="S420" s="17"/>
      <c r="T420" s="17"/>
    </row>
    <row r="421" spans="1:20" ht="15" thickBot="1">
      <c r="A421" s="25" t="s">
        <v>571</v>
      </c>
      <c r="B421" s="25" t="str">
        <f>VLOOKUP(A421,'[6]Fin vs NFin'!$A$4:$B$568,2,FALSE)</f>
        <v>!Conf-Com. de Formalização</v>
      </c>
      <c r="C421" s="25" t="s">
        <v>572</v>
      </c>
      <c r="D421" s="25" t="s">
        <v>561</v>
      </c>
      <c r="E421" s="25" t="str">
        <f>VLOOKUP(D421,[6]Arvore!$N$8:$Q$6855,4,FALSE)</f>
        <v>5151216</v>
      </c>
      <c r="F421" s="26">
        <v>91573.27</v>
      </c>
      <c r="G421" s="26">
        <v>91573.294638649197</v>
      </c>
      <c r="H421" s="27">
        <v>-2.4638649192638699E-2</v>
      </c>
      <c r="I421" s="55">
        <v>-2.4638649192638699E-2</v>
      </c>
      <c r="J421" s="26"/>
      <c r="K421" s="56"/>
      <c r="L421" s="29"/>
      <c r="M421" s="30"/>
      <c r="O421" s="26" t="str">
        <f>VLOOKUP(QUERY_FOR_TRNSTRANSPOSED_0008!A421,'[6]Fin vs NFin'!$A$4:$F$568,6,FALSE)</f>
        <v>Não Financeiras</v>
      </c>
      <c r="P421" s="31" t="str">
        <f t="shared" si="9"/>
        <v>82</v>
      </c>
      <c r="Q421" s="31"/>
      <c r="R421" s="31"/>
      <c r="S421" s="31"/>
      <c r="T421" s="31"/>
    </row>
    <row r="422" spans="1:20">
      <c r="A422" s="18" t="s">
        <v>573</v>
      </c>
      <c r="B422" s="18" t="str">
        <f>VLOOKUP(A422,'[6]Fin vs NFin'!$A$4:$B$568,2,FALSE)</f>
        <v>!Conf-Com. de Renovação</v>
      </c>
      <c r="C422" s="18" t="s">
        <v>574</v>
      </c>
      <c r="D422" s="18" t="s">
        <v>561</v>
      </c>
      <c r="E422" s="18" t="str">
        <f>VLOOKUP(D422,[6]Arvore!$N$8:$Q$6855,4,FALSE)</f>
        <v>5151216</v>
      </c>
      <c r="F422" s="19">
        <v>405527.41</v>
      </c>
      <c r="G422" s="19">
        <v>405527.42869389302</v>
      </c>
      <c r="H422" s="20">
        <v>-1.8693893041927399E-2</v>
      </c>
      <c r="I422" s="114">
        <v>-1.8693893041927399E-2</v>
      </c>
      <c r="J422" s="19"/>
      <c r="K422" s="21"/>
      <c r="L422" s="22"/>
      <c r="M422" s="23"/>
      <c r="O422" s="19" t="str">
        <f>VLOOKUP(QUERY_FOR_TRNSTRANSPOSED_0008!A422,'[6]Fin vs NFin'!$A$4:$F$568,6,FALSE)</f>
        <v>Não Financeiras</v>
      </c>
      <c r="P422" s="24" t="str">
        <f t="shared" si="9"/>
        <v>82</v>
      </c>
      <c r="Q422" s="24"/>
      <c r="R422" s="24"/>
      <c r="S422" s="24"/>
      <c r="T422" s="24"/>
    </row>
    <row r="423" spans="1:20" ht="15" thickBot="1">
      <c r="A423" s="35" t="s">
        <v>573</v>
      </c>
      <c r="B423" s="35" t="str">
        <f>VLOOKUP(A423,'[6]Fin vs NFin'!$A$4:$B$568,2,FALSE)</f>
        <v>!Conf-Com. de Renovação</v>
      </c>
      <c r="C423" s="35" t="s">
        <v>575</v>
      </c>
      <c r="D423" s="35" t="s">
        <v>561</v>
      </c>
      <c r="E423" s="35" t="str">
        <f>VLOOKUP(D423,[6]Arvore!$N$8:$Q$6855,4,FALSE)</f>
        <v>5151216</v>
      </c>
      <c r="F423" s="36">
        <v>-5578.83</v>
      </c>
      <c r="G423" s="36">
        <v>-5578.83</v>
      </c>
      <c r="H423" s="37">
        <v>0</v>
      </c>
      <c r="I423" s="109"/>
      <c r="J423" s="12"/>
      <c r="K423" s="21"/>
      <c r="L423" s="15"/>
      <c r="M423" s="16"/>
      <c r="O423" s="12" t="str">
        <f>VLOOKUP(QUERY_FOR_TRNSTRANSPOSED_0008!A423,'[6]Fin vs NFin'!$A$4:$F$568,6,FALSE)</f>
        <v>Não Financeiras</v>
      </c>
      <c r="P423" s="17" t="str">
        <f t="shared" si="9"/>
        <v>82</v>
      </c>
      <c r="Q423" s="17"/>
      <c r="R423" s="17"/>
      <c r="S423" s="17"/>
      <c r="T423" s="17"/>
    </row>
    <row r="424" spans="1:20">
      <c r="A424" s="32" t="s">
        <v>576</v>
      </c>
      <c r="B424" s="32" t="str">
        <f>VLOOKUP(A424,'[6]Fin vs NFin'!$A$4:$B$568,2,FALSE)</f>
        <v>!Conf-Financ. Cash</v>
      </c>
      <c r="C424" s="32" t="s">
        <v>577</v>
      </c>
      <c r="D424" s="32" t="s">
        <v>561</v>
      </c>
      <c r="E424" s="32" t="str">
        <f>VLOOKUP(D424,[6]Arvore!$N$8:$Q$6855,4,FALSE)</f>
        <v>5151216</v>
      </c>
      <c r="F424" s="33">
        <v>-14819.19</v>
      </c>
      <c r="G424" s="33">
        <v>-14819.19</v>
      </c>
      <c r="H424" s="34">
        <v>0</v>
      </c>
      <c r="I424" s="122">
        <v>4293050.5606195303</v>
      </c>
      <c r="J424" s="19"/>
      <c r="K424" s="21"/>
      <c r="L424" s="22"/>
      <c r="M424" s="23"/>
      <c r="O424" s="19" t="str">
        <f>VLOOKUP(QUERY_FOR_TRNSTRANSPOSED_0008!A424,'[6]Fin vs NFin'!$A$4:$F$568,6,FALSE)</f>
        <v>Financeiras</v>
      </c>
      <c r="P424" s="24" t="str">
        <f t="shared" si="9"/>
        <v>82</v>
      </c>
      <c r="Q424" s="24"/>
      <c r="R424" s="24"/>
      <c r="S424" s="24"/>
      <c r="T424" s="24"/>
    </row>
    <row r="425" spans="1:20">
      <c r="A425" s="32" t="s">
        <v>576</v>
      </c>
      <c r="B425" s="32" t="str">
        <f>VLOOKUP(A425,'[6]Fin vs NFin'!$A$4:$B$568,2,FALSE)</f>
        <v>!Conf-Financ. Cash</v>
      </c>
      <c r="C425" s="32" t="s">
        <v>577</v>
      </c>
      <c r="D425" s="32" t="s">
        <v>578</v>
      </c>
      <c r="E425" s="32" t="str">
        <f>VLOOKUP(D425,[6]Arvore!$N$8:$Q$6855,4,FALSE)</f>
        <v>501530420</v>
      </c>
      <c r="F425" s="33">
        <v>3791845.06</v>
      </c>
      <c r="G425" s="33">
        <v>3791845.06</v>
      </c>
      <c r="H425" s="34">
        <v>0</v>
      </c>
      <c r="I425" s="124"/>
      <c r="J425" s="19"/>
      <c r="K425" s="21"/>
      <c r="L425" s="22"/>
      <c r="M425" s="23"/>
      <c r="O425" s="19" t="str">
        <f>VLOOKUP(QUERY_FOR_TRNSTRANSPOSED_0008!A425,'[6]Fin vs NFin'!$A$4:$F$568,6,FALSE)</f>
        <v>Financeiras</v>
      </c>
      <c r="P425" s="24" t="str">
        <f t="shared" si="9"/>
        <v>82</v>
      </c>
      <c r="Q425" s="24"/>
      <c r="R425" s="24"/>
      <c r="S425" s="24"/>
      <c r="T425" s="24" t="str">
        <f>VLOOKUP(D425,[6]Mapeamento!$A$38:$C$497,3,FALSE)</f>
        <v>REC_MF</v>
      </c>
    </row>
    <row r="426" spans="1:20">
      <c r="A426" s="18" t="s">
        <v>576</v>
      </c>
      <c r="B426" s="18" t="str">
        <f>VLOOKUP(A426,'[6]Fin vs NFin'!$A$4:$B$568,2,FALSE)</f>
        <v>!Conf-Financ. Cash</v>
      </c>
      <c r="C426" s="18" t="s">
        <v>577</v>
      </c>
      <c r="D426" s="18" t="s">
        <v>579</v>
      </c>
      <c r="E426" s="18" t="str">
        <f>VLOOKUP(D426,[6]Arvore!$N$8:$Q$6855,4,FALSE)</f>
        <v>501530420</v>
      </c>
      <c r="F426" s="19">
        <v>1161745.8500000001</v>
      </c>
      <c r="G426" s="19">
        <v>1161747.6593804699</v>
      </c>
      <c r="H426" s="20">
        <v>-1.8093804698437499</v>
      </c>
      <c r="I426" s="124"/>
      <c r="J426" s="19"/>
      <c r="K426" s="21"/>
      <c r="L426" s="22"/>
      <c r="M426" s="23"/>
      <c r="O426" s="19" t="str">
        <f>VLOOKUP(QUERY_FOR_TRNSTRANSPOSED_0008!A426,'[6]Fin vs NFin'!$A$4:$F$568,6,FALSE)</f>
        <v>Financeiras</v>
      </c>
      <c r="P426" s="24" t="str">
        <f t="shared" si="9"/>
        <v>82</v>
      </c>
      <c r="Q426" s="24"/>
      <c r="R426" s="24"/>
      <c r="S426" s="24"/>
      <c r="T426" s="24" t="str">
        <f>VLOOKUP(D426,[6]Mapeamento!$A$38:$C$497,3,FALSE)</f>
        <v>REC_MF</v>
      </c>
    </row>
    <row r="427" spans="1:20" ht="15" thickBot="1">
      <c r="A427" s="11" t="s">
        <v>576</v>
      </c>
      <c r="B427" s="11" t="str">
        <f>VLOOKUP(A427,'[6]Fin vs NFin'!$A$4:$B$568,2,FALSE)</f>
        <v>!Conf-Financ. Cash</v>
      </c>
      <c r="C427" s="11" t="s">
        <v>577</v>
      </c>
      <c r="D427" s="11" t="s">
        <v>569</v>
      </c>
      <c r="E427" s="11" t="str">
        <f>VLOOKUP(D427,[6]Arvore!$N$8:$Q$6855,4,FALSE)</f>
        <v/>
      </c>
      <c r="F427" s="12">
        <v>4293052.37</v>
      </c>
      <c r="G427" s="12">
        <v>0</v>
      </c>
      <c r="H427" s="13">
        <v>4293052.37</v>
      </c>
      <c r="I427" s="123"/>
      <c r="J427" s="12"/>
      <c r="K427" s="21"/>
      <c r="L427" s="15" t="s">
        <v>570</v>
      </c>
      <c r="M427" s="16">
        <f>H427</f>
        <v>4293052.37</v>
      </c>
      <c r="N427" s="2"/>
      <c r="O427" s="12" t="str">
        <f>VLOOKUP(QUERY_FOR_TRNSTRANSPOSED_0008!A427,'[6]Fin vs NFin'!$A$4:$F$568,6,FALSE)</f>
        <v>Financeiras</v>
      </c>
      <c r="P427" s="17" t="str">
        <f t="shared" si="9"/>
        <v>FC</v>
      </c>
      <c r="Q427" s="17"/>
      <c r="R427" s="17"/>
      <c r="S427" s="17"/>
      <c r="T427" s="17"/>
    </row>
    <row r="428" spans="1:20">
      <c r="A428" s="32" t="s">
        <v>580</v>
      </c>
      <c r="B428" s="32" t="str">
        <f>VLOOKUP(A428,'[6]Fin vs NFin'!$A$4:$B$568,2,FALSE)</f>
        <v>!Conf-Financ. Periodif.</v>
      </c>
      <c r="C428" s="32" t="s">
        <v>67</v>
      </c>
      <c r="D428" s="32" t="s">
        <v>578</v>
      </c>
      <c r="E428" s="32" t="str">
        <f>VLOOKUP(D428,[6]Arvore!$N$8:$Q$6855,4,FALSE)</f>
        <v>501530420</v>
      </c>
      <c r="F428" s="33">
        <v>7.0000000000000007E-2</v>
      </c>
      <c r="G428" s="33">
        <v>7.1035051946791897E-2</v>
      </c>
      <c r="H428" s="34">
        <v>-1.0350519467918901E-3</v>
      </c>
      <c r="I428" s="124">
        <f>SUM(H428:H431)</f>
        <v>-53087.376826419626</v>
      </c>
      <c r="J428" s="19"/>
      <c r="K428" s="21"/>
      <c r="L428" s="22"/>
      <c r="M428" s="23"/>
      <c r="O428" s="19" t="str">
        <f>VLOOKUP(QUERY_FOR_TRNSTRANSPOSED_0008!A428,'[6]Fin vs NFin'!$A$4:$F$568,6,FALSE)</f>
        <v>Financeiras</v>
      </c>
      <c r="P428" s="24" t="str">
        <f t="shared" si="9"/>
        <v>82</v>
      </c>
      <c r="Q428" s="24"/>
      <c r="R428" s="24"/>
      <c r="S428" s="24"/>
      <c r="T428" s="24" t="str">
        <f>VLOOKUP(D428,[6]Mapeamento!$A$38:$C$497,3,FALSE)</f>
        <v>REC_MF</v>
      </c>
    </row>
    <row r="429" spans="1:20">
      <c r="A429" s="32" t="s">
        <v>580</v>
      </c>
      <c r="B429" s="32" t="str">
        <f>VLOOKUP(A429,'[6]Fin vs NFin'!$A$4:$B$568,2,FALSE)</f>
        <v>!Conf-Financ. Periodif.</v>
      </c>
      <c r="C429" s="32" t="s">
        <v>581</v>
      </c>
      <c r="D429" s="32" t="s">
        <v>578</v>
      </c>
      <c r="E429" s="32" t="str">
        <f>VLOOKUP(D429,[6]Arvore!$N$8:$Q$6855,4,FALSE)</f>
        <v>501530420</v>
      </c>
      <c r="F429" s="33">
        <v>-72.059999999994005</v>
      </c>
      <c r="G429" s="33">
        <v>-72.060000000008998</v>
      </c>
      <c r="H429" s="34">
        <v>1.49640300151077E-11</v>
      </c>
      <c r="I429" s="124"/>
      <c r="J429" s="19"/>
      <c r="K429" s="21"/>
      <c r="L429" s="22"/>
      <c r="M429" s="23"/>
      <c r="O429" s="19" t="str">
        <f>VLOOKUP(QUERY_FOR_TRNSTRANSPOSED_0008!A429,'[6]Fin vs NFin'!$A$4:$F$568,6,FALSE)</f>
        <v>Financeiras</v>
      </c>
      <c r="P429" s="24" t="str">
        <f t="shared" si="9"/>
        <v>82</v>
      </c>
      <c r="Q429" s="24"/>
      <c r="R429" s="24"/>
      <c r="S429" s="24"/>
      <c r="T429" s="24" t="str">
        <f>VLOOKUP(D429,[6]Mapeamento!$A$38:$C$497,3,FALSE)</f>
        <v>REC_MF</v>
      </c>
    </row>
    <row r="430" spans="1:20">
      <c r="A430" s="18" t="s">
        <v>580</v>
      </c>
      <c r="B430" s="18" t="str">
        <f>VLOOKUP(A430,'[6]Fin vs NFin'!$A$4:$B$568,2,FALSE)</f>
        <v>!Conf-Financ. Periodif.</v>
      </c>
      <c r="C430" s="18" t="s">
        <v>581</v>
      </c>
      <c r="D430" s="18" t="s">
        <v>579</v>
      </c>
      <c r="E430" s="18" t="str">
        <f>VLOOKUP(D430,[6]Arvore!$N$8:$Q$6855,4,FALSE)</f>
        <v>501530420</v>
      </c>
      <c r="F430" s="19">
        <v>-33381.870000000003</v>
      </c>
      <c r="G430" s="19">
        <v>-33382.664208632297</v>
      </c>
      <c r="H430" s="20">
        <v>0.79420863230188798</v>
      </c>
      <c r="I430" s="124"/>
      <c r="J430" s="19"/>
      <c r="K430" s="21"/>
      <c r="L430" s="22"/>
      <c r="M430" s="23"/>
      <c r="O430" s="19" t="str">
        <f>VLOOKUP(QUERY_FOR_TRNSTRANSPOSED_0008!A430,'[6]Fin vs NFin'!$A$4:$F$568,6,FALSE)</f>
        <v>Financeiras</v>
      </c>
      <c r="P430" s="24" t="str">
        <f t="shared" si="9"/>
        <v>82</v>
      </c>
      <c r="Q430" s="24"/>
      <c r="R430" s="24"/>
      <c r="S430" s="24"/>
      <c r="T430" s="24" t="str">
        <f>VLOOKUP(D430,[6]Mapeamento!$A$38:$C$497,3,FALSE)</f>
        <v>REC_MF</v>
      </c>
    </row>
    <row r="431" spans="1:20" ht="15" thickBot="1">
      <c r="A431" s="18" t="s">
        <v>580</v>
      </c>
      <c r="B431" s="18" t="str">
        <f>VLOOKUP(A431,'[6]Fin vs NFin'!$A$4:$B$568,2,FALSE)</f>
        <v>!Conf-Financ. Periodif.</v>
      </c>
      <c r="C431" s="18" t="s">
        <v>581</v>
      </c>
      <c r="D431" s="18" t="s">
        <v>569</v>
      </c>
      <c r="E431" s="18" t="str">
        <f>VLOOKUP(D431,[6]Arvore!$N$8:$Q$6855,4,FALSE)</f>
        <v/>
      </c>
      <c r="F431" s="19">
        <v>-53088.17</v>
      </c>
      <c r="G431" s="19">
        <v>0</v>
      </c>
      <c r="H431" s="20">
        <v>-53088.17</v>
      </c>
      <c r="I431" s="124"/>
      <c r="J431" s="19"/>
      <c r="K431" s="21"/>
      <c r="L431" s="22" t="s">
        <v>570</v>
      </c>
      <c r="M431" s="23">
        <f>H431</f>
        <v>-53088.17</v>
      </c>
      <c r="N431" s="2"/>
      <c r="O431" s="19" t="str">
        <f>VLOOKUP(QUERY_FOR_TRNSTRANSPOSED_0008!A431,'[6]Fin vs NFin'!$A$4:$F$568,6,FALSE)</f>
        <v>Financeiras</v>
      </c>
      <c r="P431" s="24" t="str">
        <f t="shared" si="9"/>
        <v>FC</v>
      </c>
      <c r="Q431" s="24"/>
      <c r="R431" s="24"/>
      <c r="S431" s="24"/>
      <c r="T431" s="24"/>
    </row>
    <row r="432" spans="1:20">
      <c r="A432" s="38" t="s">
        <v>582</v>
      </c>
      <c r="B432" s="38" t="str">
        <f>VLOOKUP(A432,'[6]Fin vs NFin'!$A$4:$B$568,2,FALSE)</f>
        <v>!Conf-Partilha com Devedor</v>
      </c>
      <c r="C432" s="38" t="s">
        <v>583</v>
      </c>
      <c r="D432" s="38" t="s">
        <v>584</v>
      </c>
      <c r="E432" s="38" t="str">
        <f>VLOOKUP(D432,[6]Arvore!$N$8:$Q$6855,4,FALSE)</f>
        <v>4198</v>
      </c>
      <c r="F432" s="39">
        <v>-28872.02</v>
      </c>
      <c r="G432" s="39">
        <v>-121205.22</v>
      </c>
      <c r="H432" s="40">
        <v>92333.2</v>
      </c>
      <c r="I432" s="122">
        <f>SUM(H432:H437)</f>
        <v>-154513.55885916197</v>
      </c>
      <c r="J432" s="39"/>
      <c r="K432" s="21"/>
      <c r="L432" s="41"/>
      <c r="M432" s="42"/>
      <c r="O432" s="39" t="str">
        <f>VLOOKUP(QUERY_FOR_TRNSTRANSPOSED_0008!A432,'[6]Fin vs NFin'!$A$4:$F$568,6,FALSE)</f>
        <v>Não Financeiras</v>
      </c>
      <c r="P432" s="43" t="str">
        <f t="shared" si="9"/>
        <v>71</v>
      </c>
      <c r="Q432" s="43"/>
      <c r="R432" s="43"/>
      <c r="S432" s="43"/>
      <c r="T432" s="43"/>
    </row>
    <row r="433" spans="1:20">
      <c r="A433" s="18" t="s">
        <v>582</v>
      </c>
      <c r="B433" s="18" t="str">
        <f>VLOOKUP(A433,'[6]Fin vs NFin'!$A$4:$B$568,2,FALSE)</f>
        <v>!Conf-Partilha com Devedor</v>
      </c>
      <c r="C433" s="18" t="s">
        <v>583</v>
      </c>
      <c r="D433" s="18" t="s">
        <v>585</v>
      </c>
      <c r="E433" s="18" t="str">
        <f>VLOOKUP(D433,[6]Arvore!$N$8:$Q$6855,4,FALSE)</f>
        <v>4198</v>
      </c>
      <c r="F433" s="19">
        <v>-13156.02</v>
      </c>
      <c r="G433" s="19">
        <v>-36582.169716835801</v>
      </c>
      <c r="H433" s="20">
        <v>23426.1497168358</v>
      </c>
      <c r="I433" s="124"/>
      <c r="J433" s="19"/>
      <c r="K433" s="21"/>
      <c r="L433" s="22"/>
      <c r="M433" s="23"/>
      <c r="O433" s="19" t="str">
        <f>VLOOKUP(QUERY_FOR_TRNSTRANSPOSED_0008!A433,'[6]Fin vs NFin'!$A$4:$F$568,6,FALSE)</f>
        <v>Não Financeiras</v>
      </c>
      <c r="P433" s="24" t="str">
        <f t="shared" si="9"/>
        <v>71</v>
      </c>
      <c r="Q433" s="24"/>
      <c r="R433" s="24"/>
      <c r="S433" s="24"/>
      <c r="T433" s="24"/>
    </row>
    <row r="434" spans="1:20">
      <c r="A434" s="18" t="s">
        <v>582</v>
      </c>
      <c r="B434" s="18" t="str">
        <f>VLOOKUP(A434,'[6]Fin vs NFin'!$A$4:$B$568,2,FALSE)</f>
        <v>!Conf-Partilha com Devedor</v>
      </c>
      <c r="C434" s="18" t="s">
        <v>583</v>
      </c>
      <c r="D434" s="18" t="s">
        <v>569</v>
      </c>
      <c r="E434" s="18" t="str">
        <f>VLOOKUP(D434,[6]Arvore!$N$8:$Q$6855,4,FALSE)</f>
        <v/>
      </c>
      <c r="F434" s="19">
        <v>-47150.65</v>
      </c>
      <c r="G434" s="19">
        <v>0</v>
      </c>
      <c r="H434" s="20">
        <v>-47150.65</v>
      </c>
      <c r="I434" s="124"/>
      <c r="J434" s="19"/>
      <c r="K434" s="21"/>
      <c r="L434" s="22" t="s">
        <v>570</v>
      </c>
      <c r="M434" s="23">
        <f>H434</f>
        <v>-47150.65</v>
      </c>
      <c r="N434" s="2"/>
      <c r="O434" s="19" t="str">
        <f>VLOOKUP(QUERY_FOR_TRNSTRANSPOSED_0008!A434,'[6]Fin vs NFin'!$A$4:$F$568,6,FALSE)</f>
        <v>Não Financeiras</v>
      </c>
      <c r="P434" s="24" t="str">
        <f t="shared" si="9"/>
        <v>FC</v>
      </c>
      <c r="Q434" s="24"/>
      <c r="R434" s="24"/>
      <c r="S434" s="24"/>
      <c r="T434" s="24"/>
    </row>
    <row r="435" spans="1:20">
      <c r="A435" s="18" t="s">
        <v>582</v>
      </c>
      <c r="B435" s="18" t="str">
        <f>VLOOKUP(A435,'[6]Fin vs NFin'!$A$4:$B$568,2,FALSE)</f>
        <v>!Conf-Partilha com Devedor</v>
      </c>
      <c r="C435" s="18" t="s">
        <v>586</v>
      </c>
      <c r="D435" s="18" t="s">
        <v>584</v>
      </c>
      <c r="E435" s="18" t="str">
        <f>VLOOKUP(D435,[6]Arvore!$N$8:$Q$6855,4,FALSE)</f>
        <v>4198</v>
      </c>
      <c r="F435" s="19">
        <v>-85660.24</v>
      </c>
      <c r="G435" s="19">
        <v>6672.96</v>
      </c>
      <c r="H435" s="20">
        <v>-92333.2</v>
      </c>
      <c r="I435" s="124"/>
      <c r="J435" s="19"/>
      <c r="K435" s="21"/>
      <c r="L435" s="22"/>
      <c r="M435" s="23"/>
      <c r="O435" s="19" t="str">
        <f>VLOOKUP(QUERY_FOR_TRNSTRANSPOSED_0008!A435,'[6]Fin vs NFin'!$A$4:$F$568,6,FALSE)</f>
        <v>Não Financeiras</v>
      </c>
      <c r="P435" s="24" t="str">
        <f t="shared" si="9"/>
        <v>71</v>
      </c>
      <c r="Q435" s="24"/>
      <c r="R435" s="24"/>
      <c r="S435" s="24"/>
      <c r="T435" s="24"/>
    </row>
    <row r="436" spans="1:20">
      <c r="A436" s="18" t="s">
        <v>582</v>
      </c>
      <c r="B436" s="18" t="str">
        <f>VLOOKUP(A436,'[6]Fin vs NFin'!$A$4:$B$568,2,FALSE)</f>
        <v>!Conf-Partilha com Devedor</v>
      </c>
      <c r="C436" s="18" t="s">
        <v>586</v>
      </c>
      <c r="D436" s="18" t="s">
        <v>585</v>
      </c>
      <c r="E436" s="18" t="str">
        <f>VLOOKUP(D436,[6]Arvore!$N$8:$Q$6855,4,FALSE)</f>
        <v>4198</v>
      </c>
      <c r="F436" s="19">
        <v>-23065.01</v>
      </c>
      <c r="G436" s="19">
        <v>360.98857599779802</v>
      </c>
      <c r="H436" s="20">
        <v>-23425.998575997801</v>
      </c>
      <c r="I436" s="124"/>
      <c r="J436" s="19"/>
      <c r="K436" s="21"/>
      <c r="L436" s="22"/>
      <c r="M436" s="23"/>
      <c r="O436" s="19" t="str">
        <f>VLOOKUP(QUERY_FOR_TRNSTRANSPOSED_0008!A436,'[6]Fin vs NFin'!$A$4:$F$568,6,FALSE)</f>
        <v>Não Financeiras</v>
      </c>
      <c r="P436" s="24" t="str">
        <f t="shared" si="9"/>
        <v>71</v>
      </c>
      <c r="Q436" s="24"/>
      <c r="R436" s="24"/>
      <c r="S436" s="24"/>
      <c r="T436" s="24"/>
    </row>
    <row r="437" spans="1:20" ht="15" thickBot="1">
      <c r="A437" s="11" t="s">
        <v>582</v>
      </c>
      <c r="B437" s="11" t="str">
        <f>VLOOKUP(A437,'[6]Fin vs NFin'!$A$4:$B$568,2,FALSE)</f>
        <v>!Conf-Partilha com Devedor</v>
      </c>
      <c r="C437" s="11" t="s">
        <v>586</v>
      </c>
      <c r="D437" s="11" t="s">
        <v>569</v>
      </c>
      <c r="E437" s="11" t="str">
        <f>VLOOKUP(D437,[6]Arvore!$N$8:$Q$6855,4,FALSE)</f>
        <v/>
      </c>
      <c r="F437" s="12">
        <v>-107363.06</v>
      </c>
      <c r="G437" s="12">
        <v>0</v>
      </c>
      <c r="H437" s="13">
        <v>-107363.06</v>
      </c>
      <c r="I437" s="123"/>
      <c r="J437" s="12"/>
      <c r="K437" s="21"/>
      <c r="L437" s="15" t="s">
        <v>570</v>
      </c>
      <c r="M437" s="16">
        <f>H437</f>
        <v>-107363.06</v>
      </c>
      <c r="N437" s="2"/>
      <c r="O437" s="12" t="str">
        <f>VLOOKUP(QUERY_FOR_TRNSTRANSPOSED_0008!A437,'[6]Fin vs NFin'!$A$4:$F$568,6,FALSE)</f>
        <v>Não Financeiras</v>
      </c>
      <c r="P437" s="17" t="str">
        <f t="shared" si="9"/>
        <v>FC</v>
      </c>
      <c r="Q437" s="17"/>
      <c r="R437" s="17"/>
      <c r="S437" s="17"/>
      <c r="T437" s="17"/>
    </row>
    <row r="438" spans="1:20">
      <c r="A438" s="32" t="s">
        <v>587</v>
      </c>
      <c r="B438" s="32" t="str">
        <f>VLOOKUP(A438,'[6]Fin vs NFin'!$A$4:$B$568,2,FALSE)</f>
        <v>!Conf-Prorrogação-Cash</v>
      </c>
      <c r="C438" s="32" t="s">
        <v>588</v>
      </c>
      <c r="D438" s="32" t="s">
        <v>578</v>
      </c>
      <c r="E438" s="32" t="str">
        <f>VLOOKUP(D438,[6]Arvore!$N$8:$Q$6855,4,FALSE)</f>
        <v>501530420</v>
      </c>
      <c r="F438" s="33">
        <v>487.05</v>
      </c>
      <c r="G438" s="33">
        <v>487.05</v>
      </c>
      <c r="H438" s="34">
        <v>0</v>
      </c>
      <c r="I438" s="114">
        <f>SUM(H438:H439)</f>
        <v>0</v>
      </c>
      <c r="J438" s="19"/>
      <c r="K438" s="21"/>
      <c r="L438" s="22"/>
      <c r="M438" s="23"/>
      <c r="O438" s="19" t="str">
        <f>VLOOKUP(QUERY_FOR_TRNSTRANSPOSED_0008!A438,'[6]Fin vs NFin'!$A$4:$F$568,6,FALSE)</f>
        <v>Financeiras</v>
      </c>
      <c r="P438" s="24" t="str">
        <f t="shared" si="9"/>
        <v>82</v>
      </c>
      <c r="Q438" s="24"/>
      <c r="R438" s="24"/>
      <c r="S438" s="24"/>
      <c r="T438" s="24" t="str">
        <f>VLOOKUP(D438,[6]Mapeamento!$A$38:$C$497,3,FALSE)</f>
        <v>REC_MF</v>
      </c>
    </row>
    <row r="439" spans="1:20" ht="15" thickBot="1">
      <c r="A439" s="35" t="s">
        <v>587</v>
      </c>
      <c r="B439" s="35" t="str">
        <f>VLOOKUP(A439,'[6]Fin vs NFin'!$A$4:$B$568,2,FALSE)</f>
        <v>!Conf-Prorrogação-Cash</v>
      </c>
      <c r="C439" s="35" t="s">
        <v>588</v>
      </c>
      <c r="D439" s="35" t="s">
        <v>579</v>
      </c>
      <c r="E439" s="35" t="str">
        <f>VLOOKUP(D439,[6]Arvore!$N$8:$Q$6855,4,FALSE)</f>
        <v>501530420</v>
      </c>
      <c r="F439" s="36">
        <v>512.97</v>
      </c>
      <c r="G439" s="36">
        <v>512.97</v>
      </c>
      <c r="H439" s="37">
        <v>0</v>
      </c>
      <c r="I439" s="109"/>
      <c r="J439" s="12"/>
      <c r="K439" s="21"/>
      <c r="L439" s="15"/>
      <c r="M439" s="16"/>
      <c r="O439" s="12" t="str">
        <f>VLOOKUP(QUERY_FOR_TRNSTRANSPOSED_0008!A439,'[6]Fin vs NFin'!$A$4:$F$568,6,FALSE)</f>
        <v>Financeiras</v>
      </c>
      <c r="P439" s="17" t="str">
        <f t="shared" si="9"/>
        <v>82</v>
      </c>
      <c r="Q439" s="17"/>
      <c r="R439" s="17"/>
      <c r="S439" s="17"/>
      <c r="T439" s="17" t="str">
        <f>VLOOKUP(D439,[6]Mapeamento!$A$38:$C$497,3,FALSE)</f>
        <v>REC_MF</v>
      </c>
    </row>
    <row r="440" spans="1:20">
      <c r="A440" s="32" t="s">
        <v>589</v>
      </c>
      <c r="B440" s="32" t="str">
        <f>VLOOKUP(A440,'[6]Fin vs NFin'!$A$4:$B$568,2,FALSE)</f>
        <v>!Conf-Prorrogação-Periodif</v>
      </c>
      <c r="C440" s="32" t="s">
        <v>590</v>
      </c>
      <c r="D440" s="32" t="s">
        <v>578</v>
      </c>
      <c r="E440" s="32" t="str">
        <f>VLOOKUP(D440,[6]Arvore!$N$8:$Q$6855,4,FALSE)</f>
        <v>501530420</v>
      </c>
      <c r="F440" s="33">
        <v>-14.7</v>
      </c>
      <c r="G440" s="33">
        <v>-14.7</v>
      </c>
      <c r="H440" s="34">
        <v>3.0198066269804302E-14</v>
      </c>
      <c r="I440" s="114">
        <f>SUM(H440:H441)</f>
        <v>6.2172489379008804E-14</v>
      </c>
      <c r="J440" s="19"/>
      <c r="K440" s="21"/>
      <c r="L440" s="22"/>
      <c r="M440" s="23"/>
      <c r="O440" s="19" t="str">
        <f>VLOOKUP(QUERY_FOR_TRNSTRANSPOSED_0008!A440,'[6]Fin vs NFin'!$A$4:$F$568,6,FALSE)</f>
        <v>Financeiras</v>
      </c>
      <c r="P440" s="24" t="str">
        <f t="shared" si="9"/>
        <v>82</v>
      </c>
      <c r="Q440" s="24"/>
      <c r="R440" s="24"/>
      <c r="S440" s="24"/>
      <c r="T440" s="24" t="str">
        <f>VLOOKUP(D440,[6]Mapeamento!$A$38:$C$497,3,FALSE)</f>
        <v>REC_MF</v>
      </c>
    </row>
    <row r="441" spans="1:20" ht="15" thickBot="1">
      <c r="A441" s="35" t="s">
        <v>589</v>
      </c>
      <c r="B441" s="35" t="str">
        <f>VLOOKUP(A441,'[6]Fin vs NFin'!$A$4:$B$568,2,FALSE)</f>
        <v>!Conf-Prorrogação-Periodif</v>
      </c>
      <c r="C441" s="35" t="s">
        <v>590</v>
      </c>
      <c r="D441" s="35" t="s">
        <v>579</v>
      </c>
      <c r="E441" s="35" t="str">
        <f>VLOOKUP(D441,[6]Arvore!$N$8:$Q$6855,4,FALSE)</f>
        <v>501530420</v>
      </c>
      <c r="F441" s="36">
        <v>-6.53000000000001</v>
      </c>
      <c r="G441" s="36">
        <v>-6.5300000000000402</v>
      </c>
      <c r="H441" s="37">
        <v>3.1974423109204502E-14</v>
      </c>
      <c r="I441" s="109"/>
      <c r="J441" s="12"/>
      <c r="K441" s="21"/>
      <c r="L441" s="15"/>
      <c r="M441" s="16"/>
      <c r="O441" s="12" t="str">
        <f>VLOOKUP(QUERY_FOR_TRNSTRANSPOSED_0008!A441,'[6]Fin vs NFin'!$A$4:$F$568,6,FALSE)</f>
        <v>Financeiras</v>
      </c>
      <c r="P441" s="17" t="str">
        <f t="shared" si="9"/>
        <v>82</v>
      </c>
      <c r="Q441" s="17"/>
      <c r="R441" s="17"/>
      <c r="S441" s="17"/>
      <c r="T441" s="17" t="str">
        <f>VLOOKUP(D441,[6]Mapeamento!$A$38:$C$497,3,FALSE)</f>
        <v>REC_MF</v>
      </c>
    </row>
    <row r="442" spans="1:20" ht="15" thickBot="1">
      <c r="A442" s="32" t="s">
        <v>591</v>
      </c>
      <c r="B442" s="32" t="str">
        <f>VLOOKUP(A442,'[6]Fin vs NFin'!$A$4:$B$568,2,FALSE)</f>
        <v>!ICV's - Lease Mob. Cash</v>
      </c>
      <c r="C442" s="32" t="s">
        <v>82</v>
      </c>
      <c r="D442" s="32" t="s">
        <v>592</v>
      </c>
      <c r="E442" s="32" t="str">
        <f>VLOOKUP(D442,[6]Arvore!$N$8:$Q$6855,4,FALSE)</f>
        <v>403031355</v>
      </c>
      <c r="F442" s="33">
        <v>3465.5</v>
      </c>
      <c r="G442" s="33">
        <v>3465.5</v>
      </c>
      <c r="H442" s="34">
        <v>-4.5474735088646402E-13</v>
      </c>
      <c r="I442" s="52">
        <v>-4.5474735088646402E-13</v>
      </c>
      <c r="J442" s="19"/>
      <c r="K442" s="21"/>
      <c r="L442" s="22"/>
      <c r="M442" s="23"/>
      <c r="O442" s="19" t="str">
        <f>VLOOKUP(QUERY_FOR_TRNSTRANSPOSED_0008!A442,'[6]Fin vs NFin'!$A$4:$F$568,6,FALSE)</f>
        <v>Financeiras</v>
      </c>
      <c r="P442" s="24" t="str">
        <f t="shared" si="9"/>
        <v>71</v>
      </c>
      <c r="Q442" s="24"/>
      <c r="R442" s="24"/>
      <c r="S442" s="24"/>
      <c r="T442" s="24" t="str">
        <f>VLOOKUP(D442,[6]Mapeamento!$A$38:$C$497,3,FALSE)</f>
        <v>REC_MF</v>
      </c>
    </row>
    <row r="443" spans="1:20" ht="15" thickBot="1">
      <c r="A443" s="49" t="s">
        <v>593</v>
      </c>
      <c r="B443" s="49" t="str">
        <f>VLOOKUP(A443,'[6]Fin vs NFin'!$A$4:$B$568,2,FALSE)</f>
        <v>!ICV's - Lease Imob. Cash</v>
      </c>
      <c r="C443" s="49" t="s">
        <v>82</v>
      </c>
      <c r="D443" s="49" t="s">
        <v>594</v>
      </c>
      <c r="E443" s="49" t="str">
        <f>VLOOKUP(D443,[6]Arvore!$N$8:$Q$6855,4,FALSE)</f>
        <v>403031354</v>
      </c>
      <c r="F443" s="50">
        <v>-11153.39</v>
      </c>
      <c r="G443" s="50">
        <v>-11153.39</v>
      </c>
      <c r="H443" s="51">
        <v>0</v>
      </c>
      <c r="I443" s="52">
        <v>0</v>
      </c>
      <c r="J443" s="39"/>
      <c r="K443" s="21"/>
      <c r="L443" s="41"/>
      <c r="M443" s="42"/>
      <c r="O443" s="39" t="str">
        <f>VLOOKUP(QUERY_FOR_TRNSTRANSPOSED_0008!A443,'[6]Fin vs NFin'!$A$4:$F$568,6,FALSE)</f>
        <v>Financeiras</v>
      </c>
      <c r="P443" s="43" t="str">
        <f t="shared" si="9"/>
        <v>71</v>
      </c>
      <c r="Q443" s="43"/>
      <c r="R443" s="43"/>
      <c r="S443" s="43"/>
      <c r="T443" s="43" t="str">
        <f>VLOOKUP(D443,[6]Mapeamento!$A$38:$C$497,3,FALSE)</f>
        <v>REC_MF</v>
      </c>
    </row>
    <row r="444" spans="1:20">
      <c r="A444" s="38" t="s">
        <v>595</v>
      </c>
      <c r="B444" s="38" t="str">
        <f>VLOOKUP(A444,'[6]Fin vs NFin'!$A$4:$B$568,2,FALSE)</f>
        <v>!Crédito Diversas</v>
      </c>
      <c r="C444" s="38" t="s">
        <v>153</v>
      </c>
      <c r="D444" s="38" t="s">
        <v>596</v>
      </c>
      <c r="E444" s="38" t="str">
        <f>VLOOKUP(D444,[6]Arvore!$N$8:$Q$6855,4,FALSE)</f>
        <v>519399</v>
      </c>
      <c r="F444" s="39">
        <v>-287469.09000000003</v>
      </c>
      <c r="G444" s="39">
        <v>-340272.97</v>
      </c>
      <c r="H444" s="40">
        <v>52803.88</v>
      </c>
      <c r="I444" s="108">
        <f>SUM(H444:H457)</f>
        <v>-1.8417267710901797E-11</v>
      </c>
      <c r="J444" s="39"/>
      <c r="K444" s="21"/>
      <c r="L444" s="41"/>
      <c r="M444" s="42"/>
      <c r="O444" s="39" t="str">
        <f>VLOOKUP(QUERY_FOR_TRNSTRANSPOSED_0008!A444,'[6]Fin vs NFin'!$A$4:$F$568,6,FALSE)</f>
        <v>Não Financeiras</v>
      </c>
      <c r="P444" s="43" t="str">
        <f t="shared" si="9"/>
        <v>82</v>
      </c>
      <c r="Q444" s="43"/>
      <c r="R444" s="43"/>
      <c r="S444" s="43"/>
      <c r="T444" s="43"/>
    </row>
    <row r="445" spans="1:20">
      <c r="A445" s="32" t="s">
        <v>595</v>
      </c>
      <c r="B445" s="32" t="str">
        <f>VLOOKUP(A445,'[6]Fin vs NFin'!$A$4:$B$568,2,FALSE)</f>
        <v>!Crédito Diversas</v>
      </c>
      <c r="C445" s="32" t="s">
        <v>597</v>
      </c>
      <c r="D445" s="32" t="s">
        <v>432</v>
      </c>
      <c r="E445" s="32" t="str">
        <f>VLOOKUP(D445,[6]Arvore!$N$8:$Q$6855,4,FALSE)</f>
        <v>519399</v>
      </c>
      <c r="F445" s="33">
        <v>368829.49</v>
      </c>
      <c r="G445" s="33">
        <v>368829.49</v>
      </c>
      <c r="H445" s="34">
        <v>0</v>
      </c>
      <c r="I445" s="114"/>
      <c r="J445" s="19"/>
      <c r="K445" s="21"/>
      <c r="L445" s="22"/>
      <c r="M445" s="23"/>
      <c r="O445" s="19" t="str">
        <f>VLOOKUP(QUERY_FOR_TRNSTRANSPOSED_0008!A445,'[6]Fin vs NFin'!$A$4:$F$568,6,FALSE)</f>
        <v>Não Financeiras</v>
      </c>
      <c r="P445" s="24" t="str">
        <f t="shared" si="9"/>
        <v>82</v>
      </c>
      <c r="Q445" s="24"/>
      <c r="R445" s="24"/>
      <c r="S445" s="24"/>
      <c r="T445" s="24"/>
    </row>
    <row r="446" spans="1:20">
      <c r="A446" s="32" t="s">
        <v>595</v>
      </c>
      <c r="B446" s="32" t="str">
        <f>VLOOKUP(A446,'[6]Fin vs NFin'!$A$4:$B$568,2,FALSE)</f>
        <v>!Crédito Diversas</v>
      </c>
      <c r="C446" s="32" t="s">
        <v>598</v>
      </c>
      <c r="D446" s="32" t="s">
        <v>596</v>
      </c>
      <c r="E446" s="32" t="str">
        <f>VLOOKUP(D446,[6]Arvore!$N$8:$Q$6855,4,FALSE)</f>
        <v>519399</v>
      </c>
      <c r="F446" s="33">
        <v>488020.44</v>
      </c>
      <c r="G446" s="33">
        <v>488020.44</v>
      </c>
      <c r="H446" s="34">
        <v>0</v>
      </c>
      <c r="I446" s="114"/>
      <c r="J446" s="19"/>
      <c r="K446" s="21"/>
      <c r="L446" s="22"/>
      <c r="M446" s="23"/>
      <c r="O446" s="19" t="str">
        <f>VLOOKUP(QUERY_FOR_TRNSTRANSPOSED_0008!A446,'[6]Fin vs NFin'!$A$4:$F$568,6,FALSE)</f>
        <v>Não Financeiras</v>
      </c>
      <c r="P446" s="24" t="str">
        <f t="shared" si="9"/>
        <v>82</v>
      </c>
      <c r="Q446" s="24"/>
      <c r="R446" s="24"/>
      <c r="S446" s="24"/>
      <c r="T446" s="24"/>
    </row>
    <row r="447" spans="1:20">
      <c r="A447" s="32" t="s">
        <v>595</v>
      </c>
      <c r="B447" s="32" t="str">
        <f>VLOOKUP(A447,'[6]Fin vs NFin'!$A$4:$B$568,2,FALSE)</f>
        <v>!Crédito Diversas</v>
      </c>
      <c r="C447" s="32" t="s">
        <v>599</v>
      </c>
      <c r="D447" s="32" t="s">
        <v>596</v>
      </c>
      <c r="E447" s="32" t="str">
        <f>VLOOKUP(D447,[6]Arvore!$N$8:$Q$6855,4,FALSE)</f>
        <v>519399</v>
      </c>
      <c r="F447" s="33">
        <v>400789.75</v>
      </c>
      <c r="G447" s="33">
        <v>400789.75</v>
      </c>
      <c r="H447" s="34">
        <v>0</v>
      </c>
      <c r="I447" s="114"/>
      <c r="J447" s="19"/>
      <c r="K447" s="21"/>
      <c r="L447" s="22"/>
      <c r="M447" s="23"/>
      <c r="O447" s="19" t="str">
        <f>VLOOKUP(QUERY_FOR_TRNSTRANSPOSED_0008!A447,'[6]Fin vs NFin'!$A$4:$F$568,6,FALSE)</f>
        <v>Não Financeiras</v>
      </c>
      <c r="P447" s="24" t="str">
        <f t="shared" si="9"/>
        <v>82</v>
      </c>
      <c r="Q447" s="24"/>
      <c r="R447" s="24"/>
      <c r="S447" s="24"/>
      <c r="T447" s="24"/>
    </row>
    <row r="448" spans="1:20">
      <c r="A448" s="18" t="s">
        <v>595</v>
      </c>
      <c r="B448" s="18" t="str">
        <f>VLOOKUP(A448,'[6]Fin vs NFin'!$A$4:$B$568,2,FALSE)</f>
        <v>!Crédito Diversas</v>
      </c>
      <c r="C448" s="18" t="s">
        <v>438</v>
      </c>
      <c r="D448" s="18" t="s">
        <v>135</v>
      </c>
      <c r="E448" s="18" t="str">
        <f>VLOOKUP(D448,[6]Arvore!$N$8:$Q$6855,4,FALSE)</f>
        <v>512018</v>
      </c>
      <c r="F448" s="19">
        <v>332808.15000000002</v>
      </c>
      <c r="G448" s="19">
        <v>331828.71999999997</v>
      </c>
      <c r="H448" s="20">
        <v>979.42999999999302</v>
      </c>
      <c r="I448" s="114"/>
      <c r="J448" s="19"/>
      <c r="K448" s="21"/>
      <c r="L448" s="22"/>
      <c r="M448" s="23"/>
      <c r="O448" s="19" t="str">
        <f>VLOOKUP(QUERY_FOR_TRNSTRANSPOSED_0008!A448,'[6]Fin vs NFin'!$A$4:$F$568,6,FALSE)</f>
        <v>Não Financeiras</v>
      </c>
      <c r="P448" s="24" t="str">
        <f t="shared" si="9"/>
        <v>82</v>
      </c>
      <c r="Q448" s="24"/>
      <c r="R448" s="24"/>
      <c r="S448" s="24"/>
      <c r="T448" s="24"/>
    </row>
    <row r="449" spans="1:20">
      <c r="A449" s="32" t="s">
        <v>595</v>
      </c>
      <c r="B449" s="32" t="str">
        <f>VLOOKUP(A449,'[6]Fin vs NFin'!$A$4:$B$568,2,FALSE)</f>
        <v>!Crédito Diversas</v>
      </c>
      <c r="C449" s="32" t="s">
        <v>438</v>
      </c>
      <c r="D449" s="32" t="s">
        <v>596</v>
      </c>
      <c r="E449" s="32" t="str">
        <f>VLOOKUP(D449,[6]Arvore!$N$8:$Q$6855,4,FALSE)</f>
        <v>519399</v>
      </c>
      <c r="F449" s="33">
        <v>183770.95</v>
      </c>
      <c r="G449" s="33">
        <v>183770.95</v>
      </c>
      <c r="H449" s="34">
        <v>0</v>
      </c>
      <c r="I449" s="114"/>
      <c r="J449" s="19"/>
      <c r="K449" s="21"/>
      <c r="L449" s="22"/>
      <c r="M449" s="23"/>
      <c r="O449" s="19" t="str">
        <f>VLOOKUP(QUERY_FOR_TRNSTRANSPOSED_0008!A449,'[6]Fin vs NFin'!$A$4:$F$568,6,FALSE)</f>
        <v>Não Financeiras</v>
      </c>
      <c r="P449" s="24" t="str">
        <f t="shared" si="9"/>
        <v>82</v>
      </c>
      <c r="Q449" s="24"/>
      <c r="R449" s="24"/>
      <c r="S449" s="24"/>
      <c r="T449" s="24"/>
    </row>
    <row r="450" spans="1:20">
      <c r="A450" s="18" t="s">
        <v>595</v>
      </c>
      <c r="B450" s="18" t="str">
        <f>VLOOKUP(A450,'[6]Fin vs NFin'!$A$4:$B$568,2,FALSE)</f>
        <v>!Crédito Diversas</v>
      </c>
      <c r="C450" s="18" t="s">
        <v>438</v>
      </c>
      <c r="D450" s="18" t="s">
        <v>294</v>
      </c>
      <c r="E450" s="18" t="str">
        <f>VLOOKUP(D450,[6]Arvore!$N$8:$Q$6855,4,FALSE)</f>
        <v>55088091</v>
      </c>
      <c r="F450" s="19">
        <v>0</v>
      </c>
      <c r="G450" s="19">
        <v>979.43</v>
      </c>
      <c r="H450" s="20">
        <v>-979.43</v>
      </c>
      <c r="I450" s="114"/>
      <c r="J450" s="19"/>
      <c r="K450" s="21"/>
      <c r="L450" s="22"/>
      <c r="M450" s="23"/>
      <c r="O450" s="19" t="str">
        <f>VLOOKUP(QUERY_FOR_TRNSTRANSPOSED_0008!A450,'[6]Fin vs NFin'!$A$4:$F$568,6,FALSE)</f>
        <v>Não Financeiras</v>
      </c>
      <c r="P450" s="24" t="str">
        <f t="shared" si="9"/>
        <v>89</v>
      </c>
      <c r="Q450" s="24" t="str">
        <f>VLOOKUP(D450,[6]Mapeamento!$A$38:$C$497,3,FALSE)</f>
        <v>OREX</v>
      </c>
      <c r="R450" s="24"/>
      <c r="S450" s="24"/>
      <c r="T450" s="24"/>
    </row>
    <row r="451" spans="1:20">
      <c r="A451" s="18" t="s">
        <v>595</v>
      </c>
      <c r="B451" s="18" t="str">
        <f>VLOOKUP(A451,'[6]Fin vs NFin'!$A$4:$B$568,2,FALSE)</f>
        <v>!Crédito Diversas</v>
      </c>
      <c r="C451" s="18" t="s">
        <v>82</v>
      </c>
      <c r="D451" s="18" t="s">
        <v>596</v>
      </c>
      <c r="E451" s="18" t="str">
        <f>VLOOKUP(D451,[6]Arvore!$N$8:$Q$6855,4,FALSE)</f>
        <v>519399</v>
      </c>
      <c r="F451" s="19">
        <v>-403936.97</v>
      </c>
      <c r="G451" s="19">
        <v>801063.03</v>
      </c>
      <c r="H451" s="20">
        <v>-1205000</v>
      </c>
      <c r="I451" s="114"/>
      <c r="J451" s="19"/>
      <c r="K451" s="21"/>
      <c r="L451" s="22"/>
      <c r="M451" s="23"/>
      <c r="O451" s="19" t="str">
        <f>VLOOKUP(QUERY_FOR_TRNSTRANSPOSED_0008!A451,'[6]Fin vs NFin'!$A$4:$F$568,6,FALSE)</f>
        <v>Não Financeiras</v>
      </c>
      <c r="P451" s="24" t="str">
        <f t="shared" si="9"/>
        <v>82</v>
      </c>
      <c r="Q451" s="24"/>
      <c r="R451" s="24"/>
      <c r="S451" s="24"/>
      <c r="T451" s="24"/>
    </row>
    <row r="452" spans="1:20">
      <c r="A452" s="18" t="s">
        <v>595</v>
      </c>
      <c r="B452" s="18" t="str">
        <f>VLOOKUP(A452,'[6]Fin vs NFin'!$A$4:$B$568,2,FALSE)</f>
        <v>!Crédito Diversas</v>
      </c>
      <c r="C452" s="18" t="s">
        <v>600</v>
      </c>
      <c r="D452" s="18" t="s">
        <v>458</v>
      </c>
      <c r="E452" s="18" t="str">
        <f>VLOOKUP(D452,[6]Arvore!$N$8:$Q$6855,4,FALSE)</f>
        <v>4161599</v>
      </c>
      <c r="F452" s="19">
        <v>-269392.77</v>
      </c>
      <c r="G452" s="19">
        <v>-216588.89</v>
      </c>
      <c r="H452" s="20">
        <v>-52803.88</v>
      </c>
      <c r="I452" s="114"/>
      <c r="J452" s="19"/>
      <c r="K452" s="21"/>
      <c r="L452" s="22"/>
      <c r="M452" s="23"/>
      <c r="O452" s="19" t="str">
        <f>VLOOKUP(QUERY_FOR_TRNSTRANSPOSED_0008!A452,'[6]Fin vs NFin'!$A$4:$F$568,6,FALSE)</f>
        <v>Não Financeiras</v>
      </c>
      <c r="P452" s="24" t="str">
        <f t="shared" si="9"/>
        <v>77</v>
      </c>
      <c r="Q452" s="24"/>
      <c r="R452" s="24"/>
      <c r="S452" s="24"/>
      <c r="T452" s="24"/>
    </row>
    <row r="453" spans="1:20">
      <c r="A453" s="18" t="s">
        <v>595</v>
      </c>
      <c r="B453" s="18" t="str">
        <f>VLOOKUP(A453,'[6]Fin vs NFin'!$A$4:$B$568,2,FALSE)</f>
        <v>!Crédito Diversas</v>
      </c>
      <c r="C453" s="18" t="s">
        <v>67</v>
      </c>
      <c r="D453" s="18" t="s">
        <v>432</v>
      </c>
      <c r="E453" s="18" t="str">
        <f>VLOOKUP(D453,[6]Arvore!$N$8:$Q$6855,4,FALSE)</f>
        <v>519399</v>
      </c>
      <c r="F453" s="19">
        <v>-512527.7</v>
      </c>
      <c r="G453" s="19">
        <v>-1189095.49</v>
      </c>
      <c r="H453" s="20">
        <v>676567.79</v>
      </c>
      <c r="I453" s="114"/>
      <c r="J453" s="19"/>
      <c r="K453" s="21"/>
      <c r="L453" s="22"/>
      <c r="M453" s="23"/>
      <c r="O453" s="19" t="str">
        <f>VLOOKUP(QUERY_FOR_TRNSTRANSPOSED_0008!A453,'[6]Fin vs NFin'!$A$4:$F$568,6,FALSE)</f>
        <v>Não Financeiras</v>
      </c>
      <c r="P453" s="24" t="str">
        <f t="shared" si="9"/>
        <v>82</v>
      </c>
      <c r="Q453" s="24"/>
      <c r="R453" s="24"/>
      <c r="S453" s="24"/>
      <c r="T453" s="24"/>
    </row>
    <row r="454" spans="1:20">
      <c r="A454" s="18" t="s">
        <v>595</v>
      </c>
      <c r="B454" s="18" t="str">
        <f>VLOOKUP(A454,'[6]Fin vs NFin'!$A$4:$B$568,2,FALSE)</f>
        <v>!Crédito Diversas</v>
      </c>
      <c r="C454" s="18" t="s">
        <v>67</v>
      </c>
      <c r="D454" s="18" t="s">
        <v>596</v>
      </c>
      <c r="E454" s="18" t="str">
        <f>VLOOKUP(D454,[6]Arvore!$N$8:$Q$6855,4,FALSE)</f>
        <v>519399</v>
      </c>
      <c r="F454" s="19">
        <v>69411.42</v>
      </c>
      <c r="G454" s="19">
        <v>-459470.06</v>
      </c>
      <c r="H454" s="20">
        <v>528881.48</v>
      </c>
      <c r="I454" s="114"/>
      <c r="J454" s="19"/>
      <c r="K454" s="21"/>
      <c r="L454" s="22"/>
      <c r="M454" s="23"/>
      <c r="O454" s="19" t="str">
        <f>VLOOKUP(QUERY_FOR_TRNSTRANSPOSED_0008!A454,'[6]Fin vs NFin'!$A$4:$F$568,6,FALSE)</f>
        <v>Não Financeiras</v>
      </c>
      <c r="P454" s="24" t="str">
        <f t="shared" ref="P454:P517" si="10">LEFT(D454,2)</f>
        <v>82</v>
      </c>
      <c r="Q454" s="24"/>
      <c r="R454" s="24"/>
      <c r="S454" s="24"/>
      <c r="T454" s="24"/>
    </row>
    <row r="455" spans="1:20">
      <c r="A455" s="18" t="s">
        <v>595</v>
      </c>
      <c r="B455" s="18" t="str">
        <f>VLOOKUP(A455,'[6]Fin vs NFin'!$A$4:$B$568,2,FALSE)</f>
        <v>!Crédito Diversas</v>
      </c>
      <c r="C455" s="18" t="s">
        <v>423</v>
      </c>
      <c r="D455" s="18" t="s">
        <v>601</v>
      </c>
      <c r="E455" s="18" t="str">
        <f>VLOOKUP(D455,[6]Arvore!$N$8:$Q$6855,4,FALSE)</f>
        <v>450880910</v>
      </c>
      <c r="F455" s="19" t="s">
        <v>84</v>
      </c>
      <c r="G455" s="19">
        <v>-0.02</v>
      </c>
      <c r="H455" s="20">
        <v>0.02</v>
      </c>
      <c r="I455" s="114"/>
      <c r="J455" s="19"/>
      <c r="K455" s="21"/>
      <c r="L455" s="22"/>
      <c r="M455" s="23"/>
      <c r="O455" s="19" t="str">
        <f>VLOOKUP(QUERY_FOR_TRNSTRANSPOSED_0008!A455,'[6]Fin vs NFin'!$A$4:$F$568,6,FALSE)</f>
        <v>Não Financeiras</v>
      </c>
      <c r="P455" s="24" t="str">
        <f t="shared" si="10"/>
        <v>77</v>
      </c>
      <c r="Q455" s="24" t="str">
        <f>VLOOKUP(D455,[6]Mapeamento!$A$38:$C$497,3,FALSE)</f>
        <v>OREX</v>
      </c>
      <c r="R455" s="24"/>
      <c r="S455" s="24"/>
      <c r="T455" s="24"/>
    </row>
    <row r="456" spans="1:20" ht="15" thickBot="1">
      <c r="A456" s="18" t="s">
        <v>595</v>
      </c>
      <c r="B456" s="18" t="str">
        <f>VLOOKUP(A456,'[6]Fin vs NFin'!$A$4:$B$568,2,FALSE)</f>
        <v>!Crédito Diversas</v>
      </c>
      <c r="C456" s="18" t="s">
        <v>423</v>
      </c>
      <c r="D456" s="18" t="s">
        <v>432</v>
      </c>
      <c r="E456" s="18" t="str">
        <f>VLOOKUP(D456,[6]Arvore!$N$8:$Q$6855,4,FALSE)</f>
        <v>519399</v>
      </c>
      <c r="F456" s="19">
        <v>-2613584.9500000002</v>
      </c>
      <c r="G456" s="19">
        <v>-2613135.66</v>
      </c>
      <c r="H456" s="20">
        <v>-449.29000000003703</v>
      </c>
      <c r="I456" s="114"/>
      <c r="J456" s="19"/>
      <c r="K456" s="21"/>
      <c r="L456" s="22"/>
      <c r="M456" s="23"/>
      <c r="O456" s="19" t="str">
        <f>VLOOKUP(QUERY_FOR_TRNSTRANSPOSED_0008!A456,'[6]Fin vs NFin'!$A$4:$F$568,6,FALSE)</f>
        <v>Não Financeiras</v>
      </c>
      <c r="P456" s="24" t="str">
        <f t="shared" si="10"/>
        <v>82</v>
      </c>
      <c r="Q456" s="24"/>
      <c r="R456" s="24"/>
      <c r="S456" s="24"/>
      <c r="T456" s="24"/>
    </row>
    <row r="457" spans="1:20" ht="15" thickBot="1">
      <c r="A457" s="44" t="s">
        <v>602</v>
      </c>
      <c r="B457" s="44" t="str">
        <f>VLOOKUP(A457,'[6]Fin vs NFin'!$A$4:$B$568,2,FALSE)</f>
        <v>!Com.Formalização</v>
      </c>
      <c r="C457" s="44" t="s">
        <v>603</v>
      </c>
      <c r="D457" s="44" t="s">
        <v>357</v>
      </c>
      <c r="E457" s="44" t="str">
        <f>VLOOKUP(D457,[6]Arvore!$N$8:$Q$6855,4,FALSE)</f>
        <v>5015305700</v>
      </c>
      <c r="F457" s="45">
        <v>225000</v>
      </c>
      <c r="G457" s="45">
        <v>225000</v>
      </c>
      <c r="H457" s="46">
        <v>0</v>
      </c>
      <c r="I457" s="55">
        <f>H457</f>
        <v>0</v>
      </c>
      <c r="J457" s="26"/>
      <c r="K457" s="56"/>
      <c r="L457" s="29"/>
      <c r="M457" s="30"/>
      <c r="O457" s="26" t="str">
        <f>VLOOKUP(QUERY_FOR_TRNSTRANSPOSED_0008!A457,'[6]Fin vs NFin'!$A$4:$F$568,6,FALSE)</f>
        <v>Financeiras</v>
      </c>
      <c r="P457" s="31" t="str">
        <f t="shared" si="10"/>
        <v>82</v>
      </c>
      <c r="Q457" s="31"/>
      <c r="R457" s="31"/>
      <c r="S457" s="31"/>
      <c r="T457" s="31" t="str">
        <f>VLOOKUP(D457,[6]Mapeamento!$A$38:$C$497,3,FALSE)</f>
        <v>REC_MF</v>
      </c>
    </row>
    <row r="458" spans="1:20" ht="15" thickBot="1">
      <c r="A458" s="44" t="s">
        <v>604</v>
      </c>
      <c r="B458" s="44" t="str">
        <f>VLOOKUP(A458,'[6]Fin vs NFin'!$A$4:$B$568,2,FALSE)</f>
        <v>!Com.Banco Agente</v>
      </c>
      <c r="C458" s="44" t="s">
        <v>605</v>
      </c>
      <c r="D458" s="44" t="s">
        <v>596</v>
      </c>
      <c r="E458" s="44" t="str">
        <f>VLOOKUP(D458,[6]Arvore!$N$8:$Q$6855,4,FALSE)</f>
        <v>519399</v>
      </c>
      <c r="F458" s="45">
        <v>85000</v>
      </c>
      <c r="G458" s="45">
        <v>85000</v>
      </c>
      <c r="H458" s="46">
        <v>0</v>
      </c>
      <c r="I458" s="28">
        <v>0</v>
      </c>
      <c r="J458" s="26"/>
      <c r="L458" s="29"/>
      <c r="M458" s="30"/>
      <c r="O458" s="26" t="str">
        <f>VLOOKUP(QUERY_FOR_TRNSTRANSPOSED_0008!A458,'[6]Fin vs NFin'!$A$4:$F$568,6,FALSE)</f>
        <v>Não Financeiras</v>
      </c>
      <c r="P458" s="31" t="str">
        <f t="shared" si="10"/>
        <v>82</v>
      </c>
      <c r="Q458" s="31"/>
      <c r="R458" s="31"/>
      <c r="S458" s="31"/>
      <c r="T458" s="31"/>
    </row>
    <row r="459" spans="1:20">
      <c r="A459" s="32" t="s">
        <v>606</v>
      </c>
      <c r="B459" s="32" t="str">
        <f>VLOOKUP(A459,'[6]Fin vs NFin'!$A$4:$B$568,2,FALSE)</f>
        <v>!Avaliação-Cash</v>
      </c>
      <c r="C459" s="32" t="s">
        <v>607</v>
      </c>
      <c r="D459" s="32" t="s">
        <v>608</v>
      </c>
      <c r="E459" s="32" t="str">
        <f>VLOOKUP(D459,[6]Arvore!$N$8:$Q$6855,4,FALSE)</f>
        <v>501530500</v>
      </c>
      <c r="F459" s="33">
        <v>-25000</v>
      </c>
      <c r="G459" s="33">
        <v>-25000</v>
      </c>
      <c r="H459" s="34">
        <v>0</v>
      </c>
      <c r="I459" s="108">
        <v>-9.3132257461547893E-10</v>
      </c>
      <c r="J459" s="19"/>
      <c r="K459" s="21"/>
      <c r="L459" s="22"/>
      <c r="M459" s="23"/>
      <c r="O459" s="19" t="str">
        <f>VLOOKUP(QUERY_FOR_TRNSTRANSPOSED_0008!A459,'[6]Fin vs NFin'!$A$4:$F$568,6,FALSE)</f>
        <v>Financeiras</v>
      </c>
      <c r="P459" s="24" t="str">
        <f t="shared" si="10"/>
        <v>82</v>
      </c>
      <c r="Q459" s="24"/>
      <c r="R459" s="24"/>
      <c r="S459" s="24"/>
      <c r="T459" s="24" t="str">
        <f>VLOOKUP(D459,[6]Mapeamento!$A$38:$C$497,3,FALSE)</f>
        <v>REC_MF</v>
      </c>
    </row>
    <row r="460" spans="1:20">
      <c r="A460" s="18" t="s">
        <v>606</v>
      </c>
      <c r="B460" s="18" t="str">
        <f>VLOOKUP(A460,'[6]Fin vs NFin'!$A$4:$B$568,2,FALSE)</f>
        <v>!Avaliação-Cash</v>
      </c>
      <c r="C460" s="18" t="s">
        <v>609</v>
      </c>
      <c r="D460" s="18" t="s">
        <v>608</v>
      </c>
      <c r="E460" s="18" t="str">
        <f>VLOOKUP(D460,[6]Arvore!$N$8:$Q$6855,4,FALSE)</f>
        <v>501530500</v>
      </c>
      <c r="F460" s="19">
        <v>4514327.24</v>
      </c>
      <c r="G460" s="19">
        <v>4514557.24</v>
      </c>
      <c r="H460" s="20">
        <v>-230.00000000093101</v>
      </c>
      <c r="I460" s="114"/>
      <c r="J460" s="19"/>
      <c r="K460" s="21"/>
      <c r="L460" s="22"/>
      <c r="M460" s="23"/>
      <c r="O460" s="19" t="str">
        <f>VLOOKUP(QUERY_FOR_TRNSTRANSPOSED_0008!A460,'[6]Fin vs NFin'!$A$4:$F$568,6,FALSE)</f>
        <v>Financeiras</v>
      </c>
      <c r="P460" s="24" t="str">
        <f t="shared" si="10"/>
        <v>82</v>
      </c>
      <c r="Q460" s="24"/>
      <c r="R460" s="24"/>
      <c r="S460" s="24"/>
      <c r="T460" s="24" t="str">
        <f>VLOOKUP(D460,[6]Mapeamento!$A$38:$C$497,3,FALSE)</f>
        <v>REC_MF</v>
      </c>
    </row>
    <row r="461" spans="1:20" ht="15" thickBot="1">
      <c r="A461" s="18" t="s">
        <v>606</v>
      </c>
      <c r="B461" s="18" t="str">
        <f>VLOOKUP(A461,'[6]Fin vs NFin'!$A$4:$B$568,2,FALSE)</f>
        <v>!Avaliação-Cash</v>
      </c>
      <c r="C461" s="18" t="s">
        <v>610</v>
      </c>
      <c r="D461" s="18" t="s">
        <v>432</v>
      </c>
      <c r="E461" s="18" t="str">
        <f>VLOOKUP(D461,[6]Arvore!$N$8:$Q$6855,4,FALSE)</f>
        <v>519399</v>
      </c>
      <c r="F461" s="19">
        <v>453.14</v>
      </c>
      <c r="G461" s="19">
        <v>223.14</v>
      </c>
      <c r="H461" s="20">
        <v>230</v>
      </c>
      <c r="I461" s="114"/>
      <c r="J461" s="19"/>
      <c r="K461" s="21"/>
      <c r="L461" s="22"/>
      <c r="M461" s="23"/>
      <c r="O461" s="19" t="str">
        <f>VLOOKUP(QUERY_FOR_TRNSTRANSPOSED_0008!A461,'[6]Fin vs NFin'!$A$4:$F$568,6,FALSE)</f>
        <v>Financeiras</v>
      </c>
      <c r="P461" s="24" t="str">
        <f t="shared" si="10"/>
        <v>82</v>
      </c>
      <c r="Q461" s="24"/>
      <c r="R461" s="24"/>
      <c r="S461" s="24"/>
      <c r="T461" s="24"/>
    </row>
    <row r="462" spans="1:20">
      <c r="A462" s="49" t="s">
        <v>611</v>
      </c>
      <c r="B462" s="49" t="str">
        <f>VLOOKUP(A462,'[6]Fin vs NFin'!$A$4:$B$568,2,FALSE)</f>
        <v>!Avaliação-Periodif.</v>
      </c>
      <c r="C462" s="49" t="s">
        <v>612</v>
      </c>
      <c r="D462" s="49" t="s">
        <v>608</v>
      </c>
      <c r="E462" s="49" t="str">
        <f>VLOOKUP(D462,[6]Arvore!$N$8:$Q$6855,4,FALSE)</f>
        <v>501530500</v>
      </c>
      <c r="F462" s="50">
        <v>-312893.93</v>
      </c>
      <c r="G462" s="50">
        <v>-312893.93</v>
      </c>
      <c r="H462" s="51">
        <v>-5.8207660913467401E-11</v>
      </c>
      <c r="I462" s="108">
        <v>-5.8207660913467401E-11</v>
      </c>
      <c r="J462" s="39"/>
      <c r="K462" s="21"/>
      <c r="L462" s="41"/>
      <c r="M462" s="42"/>
      <c r="O462" s="39" t="str">
        <f>VLOOKUP(QUERY_FOR_TRNSTRANSPOSED_0008!A462,'[6]Fin vs NFin'!$A$4:$F$568,6,FALSE)</f>
        <v>Financeiras</v>
      </c>
      <c r="P462" s="43" t="str">
        <f t="shared" si="10"/>
        <v>82</v>
      </c>
      <c r="Q462" s="43"/>
      <c r="R462" s="43"/>
      <c r="S462" s="43"/>
      <c r="T462" s="43" t="str">
        <f>VLOOKUP(D462,[6]Mapeamento!$A$38:$C$497,3,FALSE)</f>
        <v>REC_MF</v>
      </c>
    </row>
    <row r="463" spans="1:20" ht="15" thickBot="1">
      <c r="A463" s="35" t="s">
        <v>611</v>
      </c>
      <c r="B463" s="35" t="str">
        <f>VLOOKUP(A463,'[6]Fin vs NFin'!$A$4:$B$568,2,FALSE)</f>
        <v>!Avaliação-Periodif.</v>
      </c>
      <c r="C463" s="35" t="s">
        <v>67</v>
      </c>
      <c r="D463" s="35" t="s">
        <v>608</v>
      </c>
      <c r="E463" s="35" t="str">
        <f>VLOOKUP(D463,[6]Arvore!$N$8:$Q$6855,4,FALSE)</f>
        <v>501530500</v>
      </c>
      <c r="F463" s="36">
        <v>194.47</v>
      </c>
      <c r="G463" s="36">
        <v>194.47</v>
      </c>
      <c r="H463" s="37">
        <v>0</v>
      </c>
      <c r="I463" s="109"/>
      <c r="J463" s="12"/>
      <c r="K463" s="21"/>
      <c r="L463" s="15"/>
      <c r="M463" s="16"/>
      <c r="O463" s="12" t="str">
        <f>VLOOKUP(QUERY_FOR_TRNSTRANSPOSED_0008!A463,'[6]Fin vs NFin'!$A$4:$F$568,6,FALSE)</f>
        <v>Financeiras</v>
      </c>
      <c r="P463" s="17" t="str">
        <f t="shared" si="10"/>
        <v>82</v>
      </c>
      <c r="Q463" s="17"/>
      <c r="R463" s="17"/>
      <c r="S463" s="17"/>
      <c r="T463" s="17" t="str">
        <f>VLOOKUP(D463,[6]Mapeamento!$A$38:$C$497,3,FALSE)</f>
        <v>REC_MF</v>
      </c>
    </row>
    <row r="464" spans="1:20">
      <c r="A464" s="32" t="s">
        <v>613</v>
      </c>
      <c r="B464" s="32" t="str">
        <f>VLOOKUP(A464,'[6]Fin vs NFin'!$A$4:$B$568,2,FALSE)</f>
        <v>!Dossier-Cash</v>
      </c>
      <c r="C464" s="32" t="s">
        <v>153</v>
      </c>
      <c r="D464" s="32" t="s">
        <v>614</v>
      </c>
      <c r="E464" s="32" t="str">
        <f>VLOOKUP(D464,[6]Arvore!$N$8:$Q$6855,4,FALSE)</f>
        <v>501530470</v>
      </c>
      <c r="F464" s="33">
        <v>17710</v>
      </c>
      <c r="G464" s="33">
        <v>17710</v>
      </c>
      <c r="H464" s="34">
        <v>0</v>
      </c>
      <c r="I464" s="114">
        <f>SUM(H464:H466)</f>
        <v>-5.7719760108739103E-2</v>
      </c>
      <c r="J464" s="19"/>
      <c r="K464" s="21"/>
      <c r="L464" s="22"/>
      <c r="M464" s="23"/>
      <c r="O464" s="19" t="str">
        <f>VLOOKUP(QUERY_FOR_TRNSTRANSPOSED_0008!A464,'[6]Fin vs NFin'!$A$4:$F$568,6,FALSE)</f>
        <v>Financeiras</v>
      </c>
      <c r="P464" s="24" t="str">
        <f t="shared" si="10"/>
        <v>82</v>
      </c>
      <c r="Q464" s="24"/>
      <c r="R464" s="24"/>
      <c r="S464" s="24"/>
      <c r="T464" s="24" t="str">
        <f>VLOOKUP(D464,[6]Mapeamento!$A$38:$C$497,3,FALSE)</f>
        <v>REC_MF</v>
      </c>
    </row>
    <row r="465" spans="1:20">
      <c r="A465" s="18" t="s">
        <v>613</v>
      </c>
      <c r="B465" s="18" t="str">
        <f>VLOOKUP(A465,'[6]Fin vs NFin'!$A$4:$B$568,2,FALSE)</f>
        <v>!Dossier-Cash</v>
      </c>
      <c r="C465" s="18" t="s">
        <v>615</v>
      </c>
      <c r="D465" s="18" t="s">
        <v>614</v>
      </c>
      <c r="E465" s="18" t="str">
        <f>VLOOKUP(D465,[6]Arvore!$N$8:$Q$6855,4,FALSE)</f>
        <v>501530470</v>
      </c>
      <c r="F465" s="19">
        <v>2725401.57</v>
      </c>
      <c r="G465" s="19">
        <v>2725401.6277197599</v>
      </c>
      <c r="H465" s="20">
        <v>-5.7719760108739103E-2</v>
      </c>
      <c r="I465" s="114"/>
      <c r="J465" s="19"/>
      <c r="K465" s="21"/>
      <c r="L465" s="22"/>
      <c r="M465" s="23"/>
      <c r="O465" s="19" t="str">
        <f>VLOOKUP(QUERY_FOR_TRNSTRANSPOSED_0008!A465,'[6]Fin vs NFin'!$A$4:$F$568,6,FALSE)</f>
        <v>Financeiras</v>
      </c>
      <c r="P465" s="24" t="str">
        <f t="shared" si="10"/>
        <v>82</v>
      </c>
      <c r="Q465" s="24"/>
      <c r="R465" s="24"/>
      <c r="S465" s="24"/>
      <c r="T465" s="24" t="str">
        <f>VLOOKUP(D465,[6]Mapeamento!$A$38:$C$497,3,FALSE)</f>
        <v>REC_MF</v>
      </c>
    </row>
    <row r="466" spans="1:20" ht="15" thickBot="1">
      <c r="A466" s="32" t="s">
        <v>613</v>
      </c>
      <c r="B466" s="32" t="str">
        <f>VLOOKUP(A466,'[6]Fin vs NFin'!$A$4:$B$568,2,FALSE)</f>
        <v>!Dossier-Cash</v>
      </c>
      <c r="C466" s="32" t="s">
        <v>616</v>
      </c>
      <c r="D466" s="32" t="s">
        <v>432</v>
      </c>
      <c r="E466" s="32" t="str">
        <f>VLOOKUP(D466,[6]Arvore!$N$8:$Q$6855,4,FALSE)</f>
        <v>519399</v>
      </c>
      <c r="F466" s="33">
        <v>-1138.9100000000001</v>
      </c>
      <c r="G466" s="33">
        <v>-1138.9100000000001</v>
      </c>
      <c r="H466" s="34">
        <v>0</v>
      </c>
      <c r="I466" s="114"/>
      <c r="J466" s="19"/>
      <c r="K466" s="21"/>
      <c r="L466" s="22"/>
      <c r="M466" s="23"/>
      <c r="O466" s="19" t="str">
        <f>VLOOKUP(QUERY_FOR_TRNSTRANSPOSED_0008!A466,'[6]Fin vs NFin'!$A$4:$F$568,6,FALSE)</f>
        <v>Financeiras</v>
      </c>
      <c r="P466" s="24" t="str">
        <f t="shared" si="10"/>
        <v>82</v>
      </c>
      <c r="Q466" s="24"/>
      <c r="R466" s="24"/>
      <c r="S466" s="24"/>
      <c r="T466" s="24"/>
    </row>
    <row r="467" spans="1:20">
      <c r="A467" s="38" t="s">
        <v>617</v>
      </c>
      <c r="B467" s="38" t="str">
        <f>VLOOKUP(A467,'[6]Fin vs NFin'!$A$4:$B$568,2,FALSE)</f>
        <v>!Dossier-Periodif.</v>
      </c>
      <c r="C467" s="38" t="s">
        <v>410</v>
      </c>
      <c r="D467" s="38" t="s">
        <v>614</v>
      </c>
      <c r="E467" s="38" t="str">
        <f>VLOOKUP(D467,[6]Arvore!$N$8:$Q$6855,4,FALSE)</f>
        <v>501530470</v>
      </c>
      <c r="F467" s="39">
        <v>38489.410000000003</v>
      </c>
      <c r="G467" s="39">
        <v>61411.61</v>
      </c>
      <c r="H467" s="40">
        <v>-22922.2</v>
      </c>
      <c r="I467" s="108">
        <v>-6.0288130320259398E-2</v>
      </c>
      <c r="J467" s="39"/>
      <c r="K467" s="21"/>
      <c r="L467" s="41"/>
      <c r="M467" s="42"/>
      <c r="O467" s="39" t="str">
        <f>VLOOKUP(QUERY_FOR_TRNSTRANSPOSED_0008!A467,'[6]Fin vs NFin'!$A$4:$F$568,6,FALSE)</f>
        <v>Financeiras</v>
      </c>
      <c r="P467" s="43" t="str">
        <f t="shared" si="10"/>
        <v>82</v>
      </c>
      <c r="Q467" s="43"/>
      <c r="R467" s="43"/>
      <c r="S467" s="43"/>
      <c r="T467" s="43" t="str">
        <f>VLOOKUP(D467,[6]Mapeamento!$A$38:$C$497,3,FALSE)</f>
        <v>REC_MF</v>
      </c>
    </row>
    <row r="468" spans="1:20">
      <c r="A468" s="18" t="s">
        <v>617</v>
      </c>
      <c r="B468" s="18" t="str">
        <f>VLOOKUP(A468,'[6]Fin vs NFin'!$A$4:$B$568,2,FALSE)</f>
        <v>!Dossier-Periodif.</v>
      </c>
      <c r="C468" s="18" t="s">
        <v>618</v>
      </c>
      <c r="D468" s="18" t="s">
        <v>614</v>
      </c>
      <c r="E468" s="18" t="str">
        <f>VLOOKUP(D468,[6]Arvore!$N$8:$Q$6855,4,FALSE)</f>
        <v>501530470</v>
      </c>
      <c r="F468" s="19">
        <v>5771636.5</v>
      </c>
      <c r="G468" s="19">
        <v>5771636.5602881303</v>
      </c>
      <c r="H468" s="20">
        <v>-6.0288130305707503E-2</v>
      </c>
      <c r="I468" s="114"/>
      <c r="J468" s="19"/>
      <c r="K468" s="21"/>
      <c r="L468" s="22"/>
      <c r="M468" s="23"/>
      <c r="O468" s="19" t="str">
        <f>VLOOKUP(QUERY_FOR_TRNSTRANSPOSED_0008!A468,'[6]Fin vs NFin'!$A$4:$F$568,6,FALSE)</f>
        <v>Financeiras</v>
      </c>
      <c r="P468" s="24" t="str">
        <f t="shared" si="10"/>
        <v>82</v>
      </c>
      <c r="Q468" s="24"/>
      <c r="R468" s="24"/>
      <c r="S468" s="24"/>
      <c r="T468" s="24" t="str">
        <f>VLOOKUP(D468,[6]Mapeamento!$A$38:$C$497,3,FALSE)</f>
        <v>REC_MF</v>
      </c>
    </row>
    <row r="469" spans="1:20">
      <c r="A469" s="32" t="s">
        <v>617</v>
      </c>
      <c r="B469" s="32" t="str">
        <f>VLOOKUP(A469,'[6]Fin vs NFin'!$A$4:$B$568,2,FALSE)</f>
        <v>!Dossier-Periodif.</v>
      </c>
      <c r="C469" s="32" t="s">
        <v>618</v>
      </c>
      <c r="D469" s="32" t="s">
        <v>364</v>
      </c>
      <c r="E469" s="32" t="str">
        <f>VLOOKUP(D469,[6]Arvore!$N$8:$Q$6855,4,FALSE)</f>
        <v>501530470</v>
      </c>
      <c r="F469" s="33">
        <v>9594.48</v>
      </c>
      <c r="G469" s="33">
        <v>9594.48</v>
      </c>
      <c r="H469" s="34">
        <v>0</v>
      </c>
      <c r="I469" s="114"/>
      <c r="J469" s="19"/>
      <c r="K469" s="21"/>
      <c r="L469" s="22"/>
      <c r="M469" s="23"/>
      <c r="O469" s="19" t="str">
        <f>VLOOKUP(QUERY_FOR_TRNSTRANSPOSED_0008!A469,'[6]Fin vs NFin'!$A$4:$F$568,6,FALSE)</f>
        <v>Financeiras</v>
      </c>
      <c r="P469" s="24" t="str">
        <f t="shared" si="10"/>
        <v>82</v>
      </c>
      <c r="Q469" s="24"/>
      <c r="R469" s="24"/>
      <c r="S469" s="24"/>
      <c r="T469" s="24" t="str">
        <f>VLOOKUP(D469,[6]Mapeamento!$A$38:$C$497,3,FALSE)</f>
        <v>REC_MF</v>
      </c>
    </row>
    <row r="470" spans="1:20">
      <c r="A470" s="18" t="s">
        <v>617</v>
      </c>
      <c r="B470" s="18" t="str">
        <f>VLOOKUP(A470,'[6]Fin vs NFin'!$A$4:$B$568,2,FALSE)</f>
        <v>!Dossier-Periodif.</v>
      </c>
      <c r="C470" s="18" t="s">
        <v>619</v>
      </c>
      <c r="D470" s="18" t="s">
        <v>614</v>
      </c>
      <c r="E470" s="18" t="str">
        <f>VLOOKUP(D470,[6]Arvore!$N$8:$Q$6855,4,FALSE)</f>
        <v>501530470</v>
      </c>
      <c r="F470" s="19">
        <v>5026.79</v>
      </c>
      <c r="G470" s="19">
        <v>-61403.21</v>
      </c>
      <c r="H470" s="20">
        <v>66430</v>
      </c>
      <c r="I470" s="114"/>
      <c r="J470" s="19"/>
      <c r="K470" s="21"/>
      <c r="L470" s="22"/>
      <c r="M470" s="23"/>
      <c r="O470" s="19" t="str">
        <f>VLOOKUP(QUERY_FOR_TRNSTRANSPOSED_0008!A470,'[6]Fin vs NFin'!$A$4:$F$568,6,FALSE)</f>
        <v>Financeiras</v>
      </c>
      <c r="P470" s="24" t="str">
        <f t="shared" si="10"/>
        <v>82</v>
      </c>
      <c r="Q470" s="24"/>
      <c r="R470" s="24"/>
      <c r="S470" s="24"/>
      <c r="T470" s="24" t="str">
        <f>VLOOKUP(D470,[6]Mapeamento!$A$38:$C$497,3,FALSE)</f>
        <v>REC_MF</v>
      </c>
    </row>
    <row r="471" spans="1:20" ht="15" thickBot="1">
      <c r="A471" s="18" t="s">
        <v>617</v>
      </c>
      <c r="B471" s="18" t="str">
        <f>VLOOKUP(A471,'[6]Fin vs NFin'!$A$4:$B$568,2,FALSE)</f>
        <v>!Dossier-Periodif.</v>
      </c>
      <c r="C471" s="18" t="s">
        <v>620</v>
      </c>
      <c r="D471" s="18" t="s">
        <v>614</v>
      </c>
      <c r="E471" s="18" t="str">
        <f>VLOOKUP(D471,[6]Arvore!$N$8:$Q$6855,4,FALSE)</f>
        <v>501530470</v>
      </c>
      <c r="F471" s="19">
        <v>13675.24</v>
      </c>
      <c r="G471" s="19">
        <v>57183.040000000001</v>
      </c>
      <c r="H471" s="20">
        <v>-43507.8</v>
      </c>
      <c r="I471" s="114"/>
      <c r="J471" s="19"/>
      <c r="K471" s="21"/>
      <c r="L471" s="22"/>
      <c r="M471" s="23"/>
      <c r="O471" s="19" t="str">
        <f>VLOOKUP(QUERY_FOR_TRNSTRANSPOSED_0008!A471,'[6]Fin vs NFin'!$A$4:$F$568,6,FALSE)</f>
        <v>Financeiras</v>
      </c>
      <c r="P471" s="24" t="str">
        <f t="shared" si="10"/>
        <v>82</v>
      </c>
      <c r="Q471" s="24"/>
      <c r="R471" s="24"/>
      <c r="S471" s="24"/>
      <c r="T471" s="24" t="str">
        <f>VLOOKUP(D471,[6]Mapeamento!$A$38:$C$497,3,FALSE)</f>
        <v>REC_MF</v>
      </c>
    </row>
    <row r="472" spans="1:20">
      <c r="A472" s="49" t="s">
        <v>621</v>
      </c>
      <c r="B472" s="49" t="str">
        <f>VLOOKUP(A472,'[6]Fin vs NFin'!$A$4:$B$568,2,FALSE)</f>
        <v>!Solicitadoria</v>
      </c>
      <c r="C472" s="49" t="s">
        <v>622</v>
      </c>
      <c r="D472" s="49" t="s">
        <v>623</v>
      </c>
      <c r="E472" s="49" t="str">
        <f>VLOOKUP(D472,[6]Arvore!$N$8:$Q$6855,4,FALSE)</f>
        <v>519399</v>
      </c>
      <c r="F472" s="50">
        <v>1100</v>
      </c>
      <c r="G472" s="50">
        <v>1100</v>
      </c>
      <c r="H472" s="51">
        <v>0</v>
      </c>
      <c r="I472" s="108">
        <f>SUM(H472:H473)</f>
        <v>0</v>
      </c>
      <c r="J472" s="39"/>
      <c r="K472" s="21"/>
      <c r="L472" s="41"/>
      <c r="M472" s="42"/>
      <c r="O472" s="39" t="str">
        <f>VLOOKUP(QUERY_FOR_TRNSTRANSPOSED_0008!A472,'[6]Fin vs NFin'!$A$4:$F$568,6,FALSE)</f>
        <v>Não Financeiras</v>
      </c>
      <c r="P472" s="43" t="str">
        <f t="shared" si="10"/>
        <v>82</v>
      </c>
      <c r="Q472" s="43"/>
      <c r="R472" s="43"/>
      <c r="S472" s="43"/>
      <c r="T472" s="43"/>
    </row>
    <row r="473" spans="1:20" ht="15" thickBot="1">
      <c r="A473" s="32" t="s">
        <v>621</v>
      </c>
      <c r="B473" s="32" t="str">
        <f>VLOOKUP(A473,'[6]Fin vs NFin'!$A$4:$B$568,2,FALSE)</f>
        <v>!Solicitadoria</v>
      </c>
      <c r="C473" s="32" t="s">
        <v>624</v>
      </c>
      <c r="D473" s="32" t="s">
        <v>623</v>
      </c>
      <c r="E473" s="32" t="str">
        <f>VLOOKUP(D473,[6]Arvore!$N$8:$Q$6855,4,FALSE)</f>
        <v>519399</v>
      </c>
      <c r="F473" s="33">
        <v>-632.6</v>
      </c>
      <c r="G473" s="33">
        <v>-632.6</v>
      </c>
      <c r="H473" s="34">
        <v>0</v>
      </c>
      <c r="I473" s="114"/>
      <c r="J473" s="19"/>
      <c r="K473" s="21"/>
      <c r="L473" s="22"/>
      <c r="M473" s="23"/>
      <c r="O473" s="19" t="str">
        <f>VLOOKUP(QUERY_FOR_TRNSTRANSPOSED_0008!A473,'[6]Fin vs NFin'!$A$4:$F$568,6,FALSE)</f>
        <v>Não Financeiras</v>
      </c>
      <c r="P473" s="24" t="str">
        <f t="shared" si="10"/>
        <v>82</v>
      </c>
      <c r="Q473" s="24"/>
      <c r="R473" s="24"/>
      <c r="S473" s="24"/>
      <c r="T473" s="24"/>
    </row>
    <row r="474" spans="1:20">
      <c r="A474" s="49" t="s">
        <v>625</v>
      </c>
      <c r="B474" s="49" t="str">
        <f>VLOOKUP(A474,'[6]Fin vs NFin'!$A$4:$B$568,2,FALSE)</f>
        <v>!Contrato Hipotecário</v>
      </c>
      <c r="C474" s="49" t="s">
        <v>626</v>
      </c>
      <c r="D474" s="49" t="s">
        <v>627</v>
      </c>
      <c r="E474" s="49" t="str">
        <f>VLOOKUP(D474,[6]Arvore!$N$8:$Q$6855,4,FALSE)</f>
        <v>519399</v>
      </c>
      <c r="F474" s="50">
        <v>14289461.76</v>
      </c>
      <c r="G474" s="50">
        <v>14289461.76</v>
      </c>
      <c r="H474" s="51">
        <v>0</v>
      </c>
      <c r="I474" s="108">
        <f>SUM(H474:H477)</f>
        <v>0</v>
      </c>
      <c r="J474" s="39"/>
      <c r="K474" s="21"/>
      <c r="L474" s="41"/>
      <c r="M474" s="42"/>
      <c r="O474" s="39" t="str">
        <f>VLOOKUP(QUERY_FOR_TRNSTRANSPOSED_0008!A474,'[6]Fin vs NFin'!$A$4:$F$568,6,FALSE)</f>
        <v>Não Financeiras</v>
      </c>
      <c r="P474" s="43" t="str">
        <f t="shared" si="10"/>
        <v>82</v>
      </c>
      <c r="Q474" s="43"/>
      <c r="R474" s="43"/>
      <c r="S474" s="43"/>
      <c r="T474" s="43"/>
    </row>
    <row r="475" spans="1:20">
      <c r="A475" s="32" t="s">
        <v>625</v>
      </c>
      <c r="B475" s="32" t="str">
        <f>VLOOKUP(A475,'[6]Fin vs NFin'!$A$4:$B$568,2,FALSE)</f>
        <v>!Contrato Hipotecário</v>
      </c>
      <c r="C475" s="32" t="s">
        <v>628</v>
      </c>
      <c r="D475" s="32" t="s">
        <v>629</v>
      </c>
      <c r="E475" s="32" t="str">
        <f>VLOOKUP(D475,[6]Arvore!$N$8:$Q$6855,4,FALSE)</f>
        <v>519399</v>
      </c>
      <c r="F475" s="33">
        <v>34480</v>
      </c>
      <c r="G475" s="33">
        <v>34480</v>
      </c>
      <c r="H475" s="34">
        <v>0</v>
      </c>
      <c r="I475" s="114"/>
      <c r="J475" s="19"/>
      <c r="K475" s="21"/>
      <c r="L475" s="22"/>
      <c r="M475" s="23"/>
      <c r="O475" s="19" t="str">
        <f>VLOOKUP(QUERY_FOR_TRNSTRANSPOSED_0008!A475,'[6]Fin vs NFin'!$A$4:$F$568,6,FALSE)</f>
        <v>Não Financeiras</v>
      </c>
      <c r="P475" s="24" t="str">
        <f t="shared" si="10"/>
        <v>82</v>
      </c>
      <c r="Q475" s="24"/>
      <c r="R475" s="24"/>
      <c r="S475" s="24"/>
      <c r="T475" s="24"/>
    </row>
    <row r="476" spans="1:20">
      <c r="A476" s="32" t="s">
        <v>625</v>
      </c>
      <c r="B476" s="32" t="str">
        <f>VLOOKUP(A476,'[6]Fin vs NFin'!$A$4:$B$568,2,FALSE)</f>
        <v>!Contrato Hipotecário</v>
      </c>
      <c r="C476" s="32" t="s">
        <v>630</v>
      </c>
      <c r="D476" s="32" t="s">
        <v>631</v>
      </c>
      <c r="E476" s="32" t="str">
        <f>VLOOKUP(D476,[6]Arvore!$N$8:$Q$6855,4,FALSE)</f>
        <v>519399</v>
      </c>
      <c r="F476" s="33">
        <v>1380</v>
      </c>
      <c r="G476" s="33">
        <v>1380</v>
      </c>
      <c r="H476" s="34">
        <v>0</v>
      </c>
      <c r="I476" s="114"/>
      <c r="J476" s="19"/>
      <c r="K476" s="21"/>
      <c r="L476" s="22"/>
      <c r="M476" s="23"/>
      <c r="O476" s="19" t="str">
        <f>VLOOKUP(QUERY_FOR_TRNSTRANSPOSED_0008!A476,'[6]Fin vs NFin'!$A$4:$F$568,6,FALSE)</f>
        <v>Não Financeiras</v>
      </c>
      <c r="P476" s="24" t="str">
        <f t="shared" si="10"/>
        <v>82</v>
      </c>
      <c r="Q476" s="24"/>
      <c r="R476" s="24"/>
      <c r="S476" s="24"/>
      <c r="T476" s="24"/>
    </row>
    <row r="477" spans="1:20" ht="15" thickBot="1">
      <c r="A477" s="32" t="s">
        <v>625</v>
      </c>
      <c r="B477" s="32" t="str">
        <f>VLOOKUP(A477,'[6]Fin vs NFin'!$A$4:$B$568,2,FALSE)</f>
        <v>!Contrato Hipotecário</v>
      </c>
      <c r="C477" s="32" t="s">
        <v>630</v>
      </c>
      <c r="D477" s="32" t="s">
        <v>435</v>
      </c>
      <c r="E477" s="32" t="str">
        <f>VLOOKUP(D477,[6]Arvore!$N$8:$Q$6855,4,FALSE)</f>
        <v>519399</v>
      </c>
      <c r="F477" s="33">
        <v>160</v>
      </c>
      <c r="G477" s="33">
        <v>160</v>
      </c>
      <c r="H477" s="34">
        <v>0</v>
      </c>
      <c r="I477" s="114"/>
      <c r="J477" s="19"/>
      <c r="K477" s="21"/>
      <c r="L477" s="22"/>
      <c r="M477" s="23"/>
      <c r="O477" s="19" t="str">
        <f>VLOOKUP(QUERY_FOR_TRNSTRANSPOSED_0008!A477,'[6]Fin vs NFin'!$A$4:$F$568,6,FALSE)</f>
        <v>Não Financeiras</v>
      </c>
      <c r="P477" s="24" t="str">
        <f t="shared" si="10"/>
        <v>82</v>
      </c>
      <c r="Q477" s="24"/>
      <c r="R477" s="24"/>
      <c r="S477" s="24"/>
      <c r="T477" s="24"/>
    </row>
    <row r="478" spans="1:20">
      <c r="A478" s="49" t="s">
        <v>632</v>
      </c>
      <c r="B478" s="49" t="str">
        <f>VLOOKUP(A478,'[6]Fin vs NFin'!$A$4:$B$568,2,FALSE)</f>
        <v>!Cancelamento de Hipoteca</v>
      </c>
      <c r="C478" s="49" t="s">
        <v>633</v>
      </c>
      <c r="D478" s="49" t="s">
        <v>432</v>
      </c>
      <c r="E478" s="49" t="str">
        <f>VLOOKUP(D478,[6]Arvore!$N$8:$Q$6855,4,FALSE)</f>
        <v>519399</v>
      </c>
      <c r="F478" s="50">
        <v>888</v>
      </c>
      <c r="G478" s="50">
        <v>888</v>
      </c>
      <c r="H478" s="51">
        <v>0</v>
      </c>
      <c r="I478" s="108">
        <f>SUM(H478:H479)</f>
        <v>0</v>
      </c>
      <c r="J478" s="39"/>
      <c r="K478" s="21"/>
      <c r="L478" s="41"/>
      <c r="M478" s="42"/>
      <c r="O478" s="39" t="str">
        <f>VLOOKUP(QUERY_FOR_TRNSTRANSPOSED_0008!A478,'[6]Fin vs NFin'!$A$4:$F$568,6,FALSE)</f>
        <v>Não Financeiras</v>
      </c>
      <c r="P478" s="43" t="str">
        <f t="shared" si="10"/>
        <v>82</v>
      </c>
      <c r="Q478" s="43"/>
      <c r="R478" s="43"/>
      <c r="S478" s="43"/>
      <c r="T478" s="43"/>
    </row>
    <row r="479" spans="1:20" ht="15" thickBot="1">
      <c r="A479" s="32" t="s">
        <v>632</v>
      </c>
      <c r="B479" s="32" t="str">
        <f>VLOOKUP(A479,'[6]Fin vs NFin'!$A$4:$B$568,2,FALSE)</f>
        <v>!Cancelamento de Hipoteca</v>
      </c>
      <c r="C479" s="32" t="s">
        <v>634</v>
      </c>
      <c r="D479" s="32" t="s">
        <v>635</v>
      </c>
      <c r="E479" s="32" t="str">
        <f>VLOOKUP(D479,[6]Arvore!$N$8:$Q$6855,4,FALSE)</f>
        <v>519399</v>
      </c>
      <c r="F479" s="33">
        <v>2050</v>
      </c>
      <c r="G479" s="33">
        <v>2050</v>
      </c>
      <c r="H479" s="34">
        <v>0</v>
      </c>
      <c r="I479" s="114"/>
      <c r="J479" s="19"/>
      <c r="K479" s="21"/>
      <c r="L479" s="22"/>
      <c r="M479" s="23"/>
      <c r="O479" s="19" t="str">
        <f>VLOOKUP(QUERY_FOR_TRNSTRANSPOSED_0008!A479,'[6]Fin vs NFin'!$A$4:$F$568,6,FALSE)</f>
        <v>Não Financeiras</v>
      </c>
      <c r="P479" s="24" t="str">
        <f t="shared" si="10"/>
        <v>82</v>
      </c>
      <c r="Q479" s="24"/>
      <c r="R479" s="24"/>
      <c r="S479" s="24"/>
      <c r="T479" s="24"/>
    </row>
    <row r="480" spans="1:20">
      <c r="A480" s="49" t="s">
        <v>636</v>
      </c>
      <c r="B480" s="49" t="str">
        <f>VLOOKUP(A480,'[6]Fin vs NFin'!$A$4:$B$568,2,FALSE)</f>
        <v>!Dispens.Regist.-Cash</v>
      </c>
      <c r="C480" s="49" t="s">
        <v>637</v>
      </c>
      <c r="D480" s="49" t="s">
        <v>638</v>
      </c>
      <c r="E480" s="49" t="str">
        <f>VLOOKUP(D480,[6]Arvore!$N$8:$Q$6855,4,FALSE)</f>
        <v>5015305700</v>
      </c>
      <c r="F480" s="50">
        <v>27650</v>
      </c>
      <c r="G480" s="50">
        <v>27650</v>
      </c>
      <c r="H480" s="51">
        <v>0</v>
      </c>
      <c r="I480" s="108">
        <f>SUM(H480:H481)</f>
        <v>0</v>
      </c>
      <c r="J480" s="39"/>
      <c r="K480" s="21"/>
      <c r="L480" s="41"/>
      <c r="M480" s="42"/>
      <c r="O480" s="39" t="str">
        <f>VLOOKUP(QUERY_FOR_TRNSTRANSPOSED_0008!A480,'[6]Fin vs NFin'!$A$4:$F$568,6,FALSE)</f>
        <v>Financeiras</v>
      </c>
      <c r="P480" s="43" t="str">
        <f t="shared" si="10"/>
        <v>82</v>
      </c>
      <c r="Q480" s="43"/>
      <c r="R480" s="43"/>
      <c r="S480" s="43"/>
      <c r="T480" s="43" t="str">
        <f>VLOOKUP(D480,[6]Mapeamento!$A$38:$C$497,3,FALSE)</f>
        <v>REC_MF</v>
      </c>
    </row>
    <row r="481" spans="1:20" ht="15" thickBot="1">
      <c r="A481" s="32" t="s">
        <v>636</v>
      </c>
      <c r="B481" s="32" t="str">
        <f>VLOOKUP(A481,'[6]Fin vs NFin'!$A$4:$B$568,2,FALSE)</f>
        <v>!Dispens.Regist.-Cash</v>
      </c>
      <c r="C481" s="32" t="s">
        <v>637</v>
      </c>
      <c r="D481" s="32" t="s">
        <v>364</v>
      </c>
      <c r="E481" s="32" t="str">
        <f>VLOOKUP(D481,[6]Arvore!$N$8:$Q$6855,4,FALSE)</f>
        <v>501530470</v>
      </c>
      <c r="F481" s="33">
        <v>100</v>
      </c>
      <c r="G481" s="33">
        <v>100</v>
      </c>
      <c r="H481" s="34">
        <v>0</v>
      </c>
      <c r="I481" s="114"/>
      <c r="J481" s="19"/>
      <c r="K481" s="21"/>
      <c r="L481" s="22"/>
      <c r="M481" s="23"/>
      <c r="O481" s="19" t="str">
        <f>VLOOKUP(QUERY_FOR_TRNSTRANSPOSED_0008!A481,'[6]Fin vs NFin'!$A$4:$F$568,6,FALSE)</f>
        <v>Financeiras</v>
      </c>
      <c r="P481" s="24" t="str">
        <f t="shared" si="10"/>
        <v>82</v>
      </c>
      <c r="Q481" s="24"/>
      <c r="R481" s="24"/>
      <c r="S481" s="24"/>
      <c r="T481" s="24" t="str">
        <f>VLOOKUP(D481,[6]Mapeamento!$A$38:$C$497,3,FALSE)</f>
        <v>REC_MF</v>
      </c>
    </row>
    <row r="482" spans="1:20" ht="15" thickBot="1">
      <c r="A482" s="44" t="s">
        <v>639</v>
      </c>
      <c r="B482" s="44" t="str">
        <f>VLOOKUP(A482,'[6]Fin vs NFin'!$A$4:$B$568,2,FALSE)</f>
        <v>!Convers.Regist.-Cash</v>
      </c>
      <c r="C482" s="44" t="s">
        <v>640</v>
      </c>
      <c r="D482" s="44" t="s">
        <v>638</v>
      </c>
      <c r="E482" s="44" t="str">
        <f>VLOOKUP(D482,[6]Arvore!$N$8:$Q$6855,4,FALSE)</f>
        <v>5015305700</v>
      </c>
      <c r="F482" s="45">
        <v>100</v>
      </c>
      <c r="G482" s="45">
        <v>100</v>
      </c>
      <c r="H482" s="46">
        <v>0</v>
      </c>
      <c r="I482" s="53">
        <f>H482</f>
        <v>0</v>
      </c>
      <c r="J482" s="26"/>
      <c r="K482" s="21"/>
      <c r="L482" s="29"/>
      <c r="M482" s="30"/>
      <c r="O482" s="26" t="str">
        <f>VLOOKUP(QUERY_FOR_TRNSTRANSPOSED_0008!A482,'[6]Fin vs NFin'!$A$4:$F$568,6,FALSE)</f>
        <v>Financeiras</v>
      </c>
      <c r="P482" s="31" t="str">
        <f t="shared" si="10"/>
        <v>82</v>
      </c>
      <c r="Q482" s="31"/>
      <c r="R482" s="31"/>
      <c r="S482" s="31"/>
      <c r="T482" s="31" t="str">
        <f>VLOOKUP(D482,[6]Mapeamento!$A$38:$C$497,3,FALSE)</f>
        <v>REC_MF</v>
      </c>
    </row>
    <row r="483" spans="1:20">
      <c r="A483" s="32" t="s">
        <v>641</v>
      </c>
      <c r="B483" s="32" t="str">
        <f>VLOOKUP(A483,'[6]Fin vs NFin'!$A$4:$B$568,2,FALSE)</f>
        <v>!Prep Doc Contr Cash</v>
      </c>
      <c r="C483" s="32" t="s">
        <v>642</v>
      </c>
      <c r="D483" s="32" t="s">
        <v>432</v>
      </c>
      <c r="E483" s="32" t="str">
        <f>VLOOKUP(D483,[6]Arvore!$N$8:$Q$6855,4,FALSE)</f>
        <v>519399</v>
      </c>
      <c r="F483" s="33">
        <v>2145</v>
      </c>
      <c r="G483" s="33">
        <v>2145</v>
      </c>
      <c r="H483" s="34">
        <v>0</v>
      </c>
      <c r="I483" s="114">
        <f>SUM(H483:H485)</f>
        <v>-1.45519152283669E-11</v>
      </c>
      <c r="J483" s="19"/>
      <c r="K483" s="21"/>
      <c r="L483" s="22"/>
      <c r="M483" s="23"/>
      <c r="O483" s="19" t="str">
        <f>VLOOKUP(QUERY_FOR_TRNSTRANSPOSED_0008!A483,'[6]Fin vs NFin'!$A$4:$F$568,6,FALSE)</f>
        <v>Não Financeiras</v>
      </c>
      <c r="P483" s="24" t="str">
        <f t="shared" si="10"/>
        <v>82</v>
      </c>
      <c r="Q483" s="24"/>
      <c r="R483" s="24"/>
      <c r="S483" s="24"/>
      <c r="T483" s="24"/>
    </row>
    <row r="484" spans="1:20">
      <c r="A484" s="32" t="s">
        <v>641</v>
      </c>
      <c r="B484" s="32" t="str">
        <f>VLOOKUP(A484,'[6]Fin vs NFin'!$A$4:$B$568,2,FALSE)</f>
        <v>!Prep Doc Contr Cash</v>
      </c>
      <c r="C484" s="32" t="s">
        <v>643</v>
      </c>
      <c r="D484" s="32" t="s">
        <v>638</v>
      </c>
      <c r="E484" s="32" t="str">
        <f>VLOOKUP(D484,[6]Arvore!$N$8:$Q$6855,4,FALSE)</f>
        <v>5015305700</v>
      </c>
      <c r="F484" s="33">
        <v>67797.460000000006</v>
      </c>
      <c r="G484" s="33">
        <v>67797.460000000006</v>
      </c>
      <c r="H484" s="34">
        <v>-1.45519152283669E-11</v>
      </c>
      <c r="I484" s="114"/>
      <c r="J484" s="19"/>
      <c r="K484" s="21"/>
      <c r="L484" s="22"/>
      <c r="M484" s="23"/>
      <c r="O484" s="19" t="str">
        <f>VLOOKUP(QUERY_FOR_TRNSTRANSPOSED_0008!A484,'[6]Fin vs NFin'!$A$4:$F$568,6,FALSE)</f>
        <v>Não Financeiras</v>
      </c>
      <c r="P484" s="24" t="str">
        <f t="shared" si="10"/>
        <v>82</v>
      </c>
      <c r="Q484" s="24"/>
      <c r="R484" s="24"/>
      <c r="S484" s="24"/>
      <c r="T484" s="24" t="str">
        <f>VLOOKUP(D484,[6]Mapeamento!$A$38:$C$497,3,FALSE)</f>
        <v>REC_MF</v>
      </c>
    </row>
    <row r="485" spans="1:20" ht="15" thickBot="1">
      <c r="A485" s="32" t="s">
        <v>641</v>
      </c>
      <c r="B485" s="32" t="str">
        <f>VLOOKUP(A485,'[6]Fin vs NFin'!$A$4:$B$568,2,FALSE)</f>
        <v>!Prep Doc Contr Cash</v>
      </c>
      <c r="C485" s="32" t="s">
        <v>643</v>
      </c>
      <c r="D485" s="32" t="s">
        <v>364</v>
      </c>
      <c r="E485" s="32" t="str">
        <f>VLOOKUP(D485,[6]Arvore!$N$8:$Q$6855,4,FALSE)</f>
        <v>501530470</v>
      </c>
      <c r="F485" s="33">
        <v>195</v>
      </c>
      <c r="G485" s="33">
        <v>195</v>
      </c>
      <c r="H485" s="34">
        <v>0</v>
      </c>
      <c r="I485" s="114"/>
      <c r="J485" s="19"/>
      <c r="K485" s="21"/>
      <c r="L485" s="22"/>
      <c r="M485" s="23"/>
      <c r="O485" s="19" t="str">
        <f>VLOOKUP(QUERY_FOR_TRNSTRANSPOSED_0008!A485,'[6]Fin vs NFin'!$A$4:$F$568,6,FALSE)</f>
        <v>Não Financeiras</v>
      </c>
      <c r="P485" s="24" t="str">
        <f t="shared" si="10"/>
        <v>82</v>
      </c>
      <c r="Q485" s="24"/>
      <c r="R485" s="24"/>
      <c r="S485" s="24"/>
      <c r="T485" s="24" t="str">
        <f>VLOOKUP(D485,[6]Mapeamento!$A$38:$C$497,3,FALSE)</f>
        <v>REC_MF</v>
      </c>
    </row>
    <row r="486" spans="1:20">
      <c r="A486" s="49" t="s">
        <v>644</v>
      </c>
      <c r="B486" s="49" t="str">
        <f>VLOOKUP(A486,'[6]Fin vs NFin'!$A$4:$B$568,2,FALSE)</f>
        <v>!Prep Doc Contr Periodif</v>
      </c>
      <c r="C486" s="49" t="s">
        <v>645</v>
      </c>
      <c r="D486" s="49" t="s">
        <v>638</v>
      </c>
      <c r="E486" s="49" t="str">
        <f>VLOOKUP(D486,[6]Arvore!$N$8:$Q$6855,4,FALSE)</f>
        <v>5015305700</v>
      </c>
      <c r="F486" s="50">
        <v>786820.65</v>
      </c>
      <c r="G486" s="50">
        <v>786820.65</v>
      </c>
      <c r="H486" s="51">
        <v>-1.16415321826935E-10</v>
      </c>
      <c r="I486" s="108">
        <v>-1.15505827125162E-10</v>
      </c>
      <c r="J486" s="39"/>
      <c r="K486" s="21"/>
      <c r="L486" s="41"/>
      <c r="M486" s="42"/>
      <c r="O486" s="39" t="str">
        <f>VLOOKUP(QUERY_FOR_TRNSTRANSPOSED_0008!A486,'[6]Fin vs NFin'!$A$4:$F$568,6,FALSE)</f>
        <v>Financeiras</v>
      </c>
      <c r="P486" s="43" t="str">
        <f t="shared" si="10"/>
        <v>82</v>
      </c>
      <c r="Q486" s="43"/>
      <c r="R486" s="43"/>
      <c r="S486" s="43"/>
      <c r="T486" s="43" t="str">
        <f>VLOOKUP(D486,[6]Mapeamento!$A$38:$C$497,3,FALSE)</f>
        <v>REC_MF</v>
      </c>
    </row>
    <row r="487" spans="1:20" ht="15" thickBot="1">
      <c r="A487" s="35" t="s">
        <v>644</v>
      </c>
      <c r="B487" s="35" t="str">
        <f>VLOOKUP(A487,'[6]Fin vs NFin'!$A$4:$B$568,2,FALSE)</f>
        <v>!Prep Doc Contr Periodif</v>
      </c>
      <c r="C487" s="35" t="s">
        <v>645</v>
      </c>
      <c r="D487" s="35" t="s">
        <v>364</v>
      </c>
      <c r="E487" s="35" t="str">
        <f>VLOOKUP(D487,[6]Arvore!$N$8:$Q$6855,4,FALSE)</f>
        <v>501530470</v>
      </c>
      <c r="F487" s="36">
        <v>5822.01</v>
      </c>
      <c r="G487" s="36">
        <v>5822.01</v>
      </c>
      <c r="H487" s="37">
        <v>9.0949470177292804E-13</v>
      </c>
      <c r="I487" s="109">
        <v>-1.15505827125162E-10</v>
      </c>
      <c r="J487" s="12"/>
      <c r="K487" s="21"/>
      <c r="L487" s="15"/>
      <c r="M487" s="16"/>
      <c r="O487" s="12" t="str">
        <f>VLOOKUP(QUERY_FOR_TRNSTRANSPOSED_0008!A487,'[6]Fin vs NFin'!$A$4:$F$568,6,FALSE)</f>
        <v>Financeiras</v>
      </c>
      <c r="P487" s="17" t="str">
        <f t="shared" si="10"/>
        <v>82</v>
      </c>
      <c r="Q487" s="17"/>
      <c r="R487" s="17"/>
      <c r="S487" s="17"/>
      <c r="T487" s="17" t="str">
        <f>VLOOKUP(D487,[6]Mapeamento!$A$38:$C$497,3,FALSE)</f>
        <v>REC_MF</v>
      </c>
    </row>
    <row r="488" spans="1:20" ht="15" thickBot="1">
      <c r="A488" s="32" t="s">
        <v>646</v>
      </c>
      <c r="B488" s="32" t="str">
        <f>VLOOKUP(A488,'[6]Fin vs NFin'!$A$4:$B$568,2,FALSE)</f>
        <v>!Fiança-Cash</v>
      </c>
      <c r="C488" s="32" t="s">
        <v>647</v>
      </c>
      <c r="D488" s="32" t="s">
        <v>638</v>
      </c>
      <c r="E488" s="32" t="str">
        <f>VLOOKUP(D488,[6]Arvore!$N$8:$Q$6855,4,FALSE)</f>
        <v>5015305700</v>
      </c>
      <c r="F488" s="33">
        <v>61620</v>
      </c>
      <c r="G488" s="33">
        <v>61620</v>
      </c>
      <c r="H488" s="34">
        <v>0</v>
      </c>
      <c r="I488" s="54">
        <v>0</v>
      </c>
      <c r="J488" s="19"/>
      <c r="K488" s="21"/>
      <c r="L488" s="22"/>
      <c r="M488" s="23"/>
      <c r="O488" s="19" t="str">
        <f>VLOOKUP(QUERY_FOR_TRNSTRANSPOSED_0008!A488,'[6]Fin vs NFin'!$A$4:$F$568,6,FALSE)</f>
        <v>Financeiras</v>
      </c>
      <c r="P488" s="24" t="str">
        <f t="shared" si="10"/>
        <v>82</v>
      </c>
      <c r="Q488" s="24"/>
      <c r="R488" s="24"/>
      <c r="S488" s="24"/>
      <c r="T488" s="24" t="str">
        <f>VLOOKUP(D488,[6]Mapeamento!$A$38:$C$497,3,FALSE)</f>
        <v>REC_MF</v>
      </c>
    </row>
    <row r="489" spans="1:20">
      <c r="A489" s="49" t="s">
        <v>648</v>
      </c>
      <c r="B489" s="49" t="str">
        <f>VLOOKUP(A489,'[6]Fin vs NFin'!$A$4:$B$568,2,FALSE)</f>
        <v>!Fiança-Periodif.</v>
      </c>
      <c r="C489" s="49" t="s">
        <v>649</v>
      </c>
      <c r="D489" s="49" t="s">
        <v>638</v>
      </c>
      <c r="E489" s="49" t="str">
        <f>VLOOKUP(D489,[6]Arvore!$N$8:$Q$6855,4,FALSE)</f>
        <v>5015305700</v>
      </c>
      <c r="F489" s="50">
        <v>367553.38</v>
      </c>
      <c r="G489" s="50">
        <v>367553.38</v>
      </c>
      <c r="H489" s="51">
        <v>5.8207660913467401E-11</v>
      </c>
      <c r="I489" s="108">
        <f>SUM(H489:H490)</f>
        <v>5.8207660913467401E-11</v>
      </c>
      <c r="J489" s="39"/>
      <c r="K489" s="21"/>
      <c r="L489" s="41"/>
      <c r="M489" s="42"/>
      <c r="O489" s="39" t="str">
        <f>VLOOKUP(QUERY_FOR_TRNSTRANSPOSED_0008!A489,'[6]Fin vs NFin'!$A$4:$F$568,6,FALSE)</f>
        <v>Financeiras</v>
      </c>
      <c r="P489" s="43" t="str">
        <f t="shared" si="10"/>
        <v>82</v>
      </c>
      <c r="Q489" s="43"/>
      <c r="R489" s="43"/>
      <c r="S489" s="43"/>
      <c r="T489" s="43" t="str">
        <f>VLOOKUP(D489,[6]Mapeamento!$A$38:$C$497,3,FALSE)</f>
        <v>REC_MF</v>
      </c>
    </row>
    <row r="490" spans="1:20" ht="15" thickBot="1">
      <c r="A490" s="35" t="s">
        <v>648</v>
      </c>
      <c r="B490" s="35" t="str">
        <f>VLOOKUP(A490,'[6]Fin vs NFin'!$A$4:$B$568,2,FALSE)</f>
        <v>!Fiança-Periodif.</v>
      </c>
      <c r="C490" s="35" t="s">
        <v>649</v>
      </c>
      <c r="D490" s="35" t="s">
        <v>364</v>
      </c>
      <c r="E490" s="35" t="str">
        <f>VLOOKUP(D490,[6]Arvore!$N$8:$Q$6855,4,FALSE)</f>
        <v>501530470</v>
      </c>
      <c r="F490" s="36">
        <v>531.73</v>
      </c>
      <c r="G490" s="36">
        <v>531.73</v>
      </c>
      <c r="H490" s="37">
        <v>0</v>
      </c>
      <c r="I490" s="109"/>
      <c r="J490" s="12"/>
      <c r="K490" s="21"/>
      <c r="L490" s="15"/>
      <c r="M490" s="16"/>
      <c r="O490" s="12" t="str">
        <f>VLOOKUP(QUERY_FOR_TRNSTRANSPOSED_0008!A490,'[6]Fin vs NFin'!$A$4:$F$568,6,FALSE)</f>
        <v>Financeiras</v>
      </c>
      <c r="P490" s="17" t="str">
        <f t="shared" si="10"/>
        <v>82</v>
      </c>
      <c r="Q490" s="17"/>
      <c r="R490" s="17"/>
      <c r="S490" s="17"/>
      <c r="T490" s="17" t="str">
        <f>VLOOKUP(D490,[6]Mapeamento!$A$38:$C$497,3,FALSE)</f>
        <v>REC_MF</v>
      </c>
    </row>
    <row r="491" spans="1:20" ht="15" thickBot="1">
      <c r="A491" s="32" t="s">
        <v>650</v>
      </c>
      <c r="B491" s="32" t="str">
        <f>VLOOKUP(A491,'[6]Fin vs NFin'!$A$4:$B$568,2,FALSE)</f>
        <v>!Outras IFRRU</v>
      </c>
      <c r="C491" s="32" t="s">
        <v>651</v>
      </c>
      <c r="D491" s="32" t="s">
        <v>435</v>
      </c>
      <c r="E491" s="32" t="str">
        <f>VLOOKUP(D491,[6]Arvore!$N$8:$Q$6855,4,FALSE)</f>
        <v>519399</v>
      </c>
      <c r="F491" s="33">
        <v>13032.65</v>
      </c>
      <c r="G491" s="33">
        <v>13032.65</v>
      </c>
      <c r="H491" s="34">
        <v>0</v>
      </c>
      <c r="I491" s="54">
        <v>0</v>
      </c>
      <c r="J491" s="19"/>
      <c r="K491" s="21"/>
      <c r="L491" s="22"/>
      <c r="M491" s="23"/>
      <c r="O491" s="19" t="str">
        <f>VLOOKUP(QUERY_FOR_TRNSTRANSPOSED_0008!A491,'[6]Fin vs NFin'!$A$4:$F$568,6,FALSE)</f>
        <v>Financeiras</v>
      </c>
      <c r="P491" s="24" t="str">
        <f t="shared" si="10"/>
        <v>82</v>
      </c>
      <c r="Q491" s="24"/>
      <c r="R491" s="24"/>
      <c r="S491" s="24"/>
      <c r="T491" s="24"/>
    </row>
    <row r="492" spans="1:20">
      <c r="A492" s="49" t="s">
        <v>652</v>
      </c>
      <c r="B492" s="49" t="str">
        <f>VLOOKUP(A492,'[6]Fin vs NFin'!$A$4:$B$568,2,FALSE)</f>
        <v>!Vistorias-Cash</v>
      </c>
      <c r="C492" s="49" t="s">
        <v>653</v>
      </c>
      <c r="D492" s="49" t="s">
        <v>654</v>
      </c>
      <c r="E492" s="49" t="str">
        <f>VLOOKUP(D492,[6]Arvore!$N$8:$Q$6855,4,FALSE)</f>
        <v>501530470</v>
      </c>
      <c r="F492" s="50">
        <v>1303896.5</v>
      </c>
      <c r="G492" s="50">
        <v>1303896.5</v>
      </c>
      <c r="H492" s="51">
        <v>0</v>
      </c>
      <c r="I492" s="108">
        <f>SUM(H492:H493)</f>
        <v>0</v>
      </c>
      <c r="J492" s="39"/>
      <c r="K492" s="21"/>
      <c r="L492" s="41"/>
      <c r="M492" s="42"/>
      <c r="O492" s="39" t="str">
        <f>VLOOKUP(QUERY_FOR_TRNSTRANSPOSED_0008!A492,'[6]Fin vs NFin'!$A$4:$F$568,6,FALSE)</f>
        <v>Financeiras</v>
      </c>
      <c r="P492" s="43" t="str">
        <f t="shared" si="10"/>
        <v>82</v>
      </c>
      <c r="Q492" s="43"/>
      <c r="R492" s="43"/>
      <c r="S492" s="43"/>
      <c r="T492" s="43" t="str">
        <f>VLOOKUP(D492,[6]Mapeamento!$A$38:$C$497,3,FALSE)</f>
        <v>REC_MF</v>
      </c>
    </row>
    <row r="493" spans="1:20" ht="15" thickBot="1">
      <c r="A493" s="32" t="s">
        <v>652</v>
      </c>
      <c r="B493" s="32" t="str">
        <f>VLOOKUP(A493,'[6]Fin vs NFin'!$A$4:$B$568,2,FALSE)</f>
        <v>!Vistorias-Cash</v>
      </c>
      <c r="C493" s="32" t="s">
        <v>653</v>
      </c>
      <c r="D493" s="32" t="s">
        <v>364</v>
      </c>
      <c r="E493" s="32" t="str">
        <f>VLOOKUP(D493,[6]Arvore!$N$8:$Q$6855,4,FALSE)</f>
        <v>501530470</v>
      </c>
      <c r="F493" s="33">
        <v>5799.09</v>
      </c>
      <c r="G493" s="33">
        <v>5799.09</v>
      </c>
      <c r="H493" s="34">
        <v>0</v>
      </c>
      <c r="I493" s="109"/>
      <c r="J493" s="19"/>
      <c r="K493" s="21"/>
      <c r="L493" s="22"/>
      <c r="M493" s="23"/>
      <c r="O493" s="19" t="str">
        <f>VLOOKUP(QUERY_FOR_TRNSTRANSPOSED_0008!A493,'[6]Fin vs NFin'!$A$4:$F$568,6,FALSE)</f>
        <v>Financeiras</v>
      </c>
      <c r="P493" s="24" t="str">
        <f t="shared" si="10"/>
        <v>82</v>
      </c>
      <c r="Q493" s="24"/>
      <c r="R493" s="24"/>
      <c r="S493" s="24"/>
      <c r="T493" s="24" t="str">
        <f>VLOOKUP(D493,[6]Mapeamento!$A$38:$C$497,3,FALSE)</f>
        <v>REC_MF</v>
      </c>
    </row>
    <row r="494" spans="1:20">
      <c r="A494" s="49" t="s">
        <v>655</v>
      </c>
      <c r="B494" s="49" t="str">
        <f>VLOOKUP(A494,'[6]Fin vs NFin'!$A$4:$B$568,2,FALSE)</f>
        <v>!Vistorias-Periodif.</v>
      </c>
      <c r="C494" s="49" t="s">
        <v>656</v>
      </c>
      <c r="D494" s="49" t="s">
        <v>654</v>
      </c>
      <c r="E494" s="49" t="str">
        <f>VLOOKUP(D494,[6]Arvore!$N$8:$Q$6855,4,FALSE)</f>
        <v>501530470</v>
      </c>
      <c r="F494" s="50">
        <v>-18132.53</v>
      </c>
      <c r="G494" s="50">
        <v>-18132.53</v>
      </c>
      <c r="H494" s="51">
        <v>0</v>
      </c>
      <c r="I494" s="108">
        <f>SUM(H494:H495)</f>
        <v>-1.45519152283669E-11</v>
      </c>
      <c r="J494" s="39"/>
      <c r="K494" s="21"/>
      <c r="L494" s="41"/>
      <c r="M494" s="42"/>
      <c r="O494" s="39" t="str">
        <f>VLOOKUP(QUERY_FOR_TRNSTRANSPOSED_0008!A494,'[6]Fin vs NFin'!$A$4:$F$568,6,FALSE)</f>
        <v>Financeiras</v>
      </c>
      <c r="P494" s="43" t="str">
        <f t="shared" si="10"/>
        <v>82</v>
      </c>
      <c r="Q494" s="43"/>
      <c r="R494" s="43"/>
      <c r="S494" s="43"/>
      <c r="T494" s="43" t="str">
        <f>VLOOKUP(D494,[6]Mapeamento!$A$38:$C$497,3,FALSE)</f>
        <v>REC_MF</v>
      </c>
    </row>
    <row r="495" spans="1:20" ht="15" thickBot="1">
      <c r="A495" s="32" t="s">
        <v>655</v>
      </c>
      <c r="B495" s="32" t="str">
        <f>VLOOKUP(A495,'[6]Fin vs NFin'!$A$4:$B$568,2,FALSE)</f>
        <v>!Vistorias-Periodif.</v>
      </c>
      <c r="C495" s="32" t="s">
        <v>656</v>
      </c>
      <c r="D495" s="32" t="s">
        <v>364</v>
      </c>
      <c r="E495" s="32" t="str">
        <f>VLOOKUP(D495,[6]Arvore!$N$8:$Q$6855,4,FALSE)</f>
        <v>501530470</v>
      </c>
      <c r="F495" s="33">
        <v>70980.52</v>
      </c>
      <c r="G495" s="33">
        <v>70980.52</v>
      </c>
      <c r="H495" s="34">
        <v>-1.45519152283669E-11</v>
      </c>
      <c r="I495" s="109"/>
      <c r="J495" s="19"/>
      <c r="K495" s="21"/>
      <c r="L495" s="22"/>
      <c r="M495" s="23"/>
      <c r="O495" s="19" t="str">
        <f>VLOOKUP(QUERY_FOR_TRNSTRANSPOSED_0008!A495,'[6]Fin vs NFin'!$A$4:$F$568,6,FALSE)</f>
        <v>Financeiras</v>
      </c>
      <c r="P495" s="24" t="str">
        <f t="shared" si="10"/>
        <v>82</v>
      </c>
      <c r="Q495" s="24"/>
      <c r="R495" s="24"/>
      <c r="S495" s="24"/>
      <c r="T495" s="24" t="str">
        <f>VLOOKUP(D495,[6]Mapeamento!$A$38:$C$497,3,FALSE)</f>
        <v>REC_MF</v>
      </c>
    </row>
    <row r="496" spans="1:20">
      <c r="A496" s="49" t="s">
        <v>657</v>
      </c>
      <c r="B496" s="49" t="str">
        <f>VLOOKUP(A496,'[6]Fin vs NFin'!$A$4:$B$568,2,FALSE)</f>
        <v>!Emissão de Declarações</v>
      </c>
      <c r="C496" s="49" t="s">
        <v>658</v>
      </c>
      <c r="D496" s="49" t="s">
        <v>432</v>
      </c>
      <c r="E496" s="49" t="str">
        <f>VLOOKUP(D496,[6]Arvore!$N$8:$Q$6855,4,FALSE)</f>
        <v>519399</v>
      </c>
      <c r="F496" s="50">
        <v>22112.5</v>
      </c>
      <c r="G496" s="50">
        <v>22112.5</v>
      </c>
      <c r="H496" s="51">
        <v>0</v>
      </c>
      <c r="I496" s="108">
        <f>SUM(H496:H497)</f>
        <v>0</v>
      </c>
      <c r="J496" s="39"/>
      <c r="K496" s="21"/>
      <c r="L496" s="41"/>
      <c r="M496" s="42"/>
      <c r="O496" s="39" t="str">
        <f>VLOOKUP(QUERY_FOR_TRNSTRANSPOSED_0008!A496,'[6]Fin vs NFin'!$A$4:$F$568,6,FALSE)</f>
        <v>Não Financeiras</v>
      </c>
      <c r="P496" s="43" t="str">
        <f t="shared" si="10"/>
        <v>82</v>
      </c>
      <c r="Q496" s="43"/>
      <c r="R496" s="43"/>
      <c r="S496" s="43"/>
      <c r="T496" s="43"/>
    </row>
    <row r="497" spans="1:20" ht="15" thickBot="1">
      <c r="A497" s="32" t="s">
        <v>657</v>
      </c>
      <c r="B497" s="32" t="str">
        <f>VLOOKUP(A497,'[6]Fin vs NFin'!$A$4:$B$568,2,FALSE)</f>
        <v>!Emissão de Declarações</v>
      </c>
      <c r="C497" s="32" t="s">
        <v>659</v>
      </c>
      <c r="D497" s="32" t="s">
        <v>432</v>
      </c>
      <c r="E497" s="32" t="str">
        <f>VLOOKUP(D497,[6]Arvore!$N$8:$Q$6855,4,FALSE)</f>
        <v>519399</v>
      </c>
      <c r="F497" s="33">
        <v>31962.5</v>
      </c>
      <c r="G497" s="33">
        <v>31962.5</v>
      </c>
      <c r="H497" s="34">
        <v>0</v>
      </c>
      <c r="I497" s="109"/>
      <c r="J497" s="19"/>
      <c r="K497" s="21"/>
      <c r="L497" s="22"/>
      <c r="M497" s="23"/>
      <c r="O497" s="19" t="str">
        <f>VLOOKUP(QUERY_FOR_TRNSTRANSPOSED_0008!A497,'[6]Fin vs NFin'!$A$4:$F$568,6,FALSE)</f>
        <v>Não Financeiras</v>
      </c>
      <c r="P497" s="24" t="str">
        <f t="shared" si="10"/>
        <v>82</v>
      </c>
      <c r="Q497" s="24"/>
      <c r="R497" s="24"/>
      <c r="S497" s="24"/>
      <c r="T497" s="24"/>
    </row>
    <row r="498" spans="1:20">
      <c r="A498" s="49" t="s">
        <v>660</v>
      </c>
      <c r="B498" s="49" t="str">
        <f>VLOOKUP(A498,'[6]Fin vs NFin'!$A$4:$B$568,2,FALSE)</f>
        <v>!Amortização Total</v>
      </c>
      <c r="C498" s="49" t="s">
        <v>477</v>
      </c>
      <c r="D498" s="49" t="s">
        <v>635</v>
      </c>
      <c r="E498" s="49" t="str">
        <f>VLOOKUP(D498,[6]Arvore!$N$8:$Q$6855,4,FALSE)</f>
        <v>519399</v>
      </c>
      <c r="F498" s="50">
        <v>79964.320000000007</v>
      </c>
      <c r="G498" s="50">
        <v>79964.320000000007</v>
      </c>
      <c r="H498" s="51">
        <v>-2.91038304567337E-11</v>
      </c>
      <c r="I498" s="108">
        <v>-6.3967397726969501E-3</v>
      </c>
      <c r="J498" s="39"/>
      <c r="K498" s="21"/>
      <c r="L498" s="41"/>
      <c r="M498" s="42"/>
      <c r="O498" s="39" t="str">
        <f>VLOOKUP(QUERY_FOR_TRNSTRANSPOSED_0008!A498,'[6]Fin vs NFin'!$A$4:$F$568,6,FALSE)</f>
        <v>Não Financeiras</v>
      </c>
      <c r="P498" s="43" t="str">
        <f t="shared" si="10"/>
        <v>82</v>
      </c>
      <c r="Q498" s="43"/>
      <c r="R498" s="43"/>
      <c r="S498" s="43"/>
      <c r="T498" s="43"/>
    </row>
    <row r="499" spans="1:20">
      <c r="A499" s="32" t="s">
        <v>660</v>
      </c>
      <c r="B499" s="32" t="str">
        <f>VLOOKUP(A499,'[6]Fin vs NFin'!$A$4:$B$568,2,FALSE)</f>
        <v>!Amortização Total</v>
      </c>
      <c r="C499" s="32" t="s">
        <v>153</v>
      </c>
      <c r="D499" s="32" t="s">
        <v>635</v>
      </c>
      <c r="E499" s="32" t="str">
        <f>VLOOKUP(D499,[6]Arvore!$N$8:$Q$6855,4,FALSE)</f>
        <v>519399</v>
      </c>
      <c r="F499" s="33">
        <v>2839.2</v>
      </c>
      <c r="G499" s="33">
        <v>2839.2</v>
      </c>
      <c r="H499" s="34">
        <v>0</v>
      </c>
      <c r="I499" s="114"/>
      <c r="J499" s="19"/>
      <c r="K499" s="21"/>
      <c r="L499" s="22"/>
      <c r="M499" s="23"/>
      <c r="O499" s="19" t="str">
        <f>VLOOKUP(QUERY_FOR_TRNSTRANSPOSED_0008!A499,'[6]Fin vs NFin'!$A$4:$F$568,6,FALSE)</f>
        <v>Não Financeiras</v>
      </c>
      <c r="P499" s="24" t="str">
        <f t="shared" si="10"/>
        <v>82</v>
      </c>
      <c r="Q499" s="24"/>
      <c r="R499" s="24"/>
      <c r="S499" s="24"/>
      <c r="T499" s="24"/>
    </row>
    <row r="500" spans="1:20">
      <c r="A500" s="18" t="s">
        <v>660</v>
      </c>
      <c r="B500" s="18" t="str">
        <f>VLOOKUP(A500,'[6]Fin vs NFin'!$A$4:$B$568,2,FALSE)</f>
        <v>!Amortização Total</v>
      </c>
      <c r="C500" s="18" t="s">
        <v>661</v>
      </c>
      <c r="D500" s="18" t="s">
        <v>635</v>
      </c>
      <c r="E500" s="18" t="str">
        <f>VLOOKUP(D500,[6]Arvore!$N$8:$Q$6855,4,FALSE)</f>
        <v>519399</v>
      </c>
      <c r="F500" s="19">
        <v>4735817.1900000004</v>
      </c>
      <c r="G500" s="19">
        <v>4735817.1963967402</v>
      </c>
      <c r="H500" s="20">
        <v>-6.3967397436499604E-3</v>
      </c>
      <c r="I500" s="114"/>
      <c r="J500" s="19"/>
      <c r="K500" s="21"/>
      <c r="L500" s="22"/>
      <c r="M500" s="23"/>
      <c r="O500" s="19" t="str">
        <f>VLOOKUP(QUERY_FOR_TRNSTRANSPOSED_0008!A500,'[6]Fin vs NFin'!$A$4:$F$568,6,FALSE)</f>
        <v>Não Financeiras</v>
      </c>
      <c r="P500" s="24" t="str">
        <f t="shared" si="10"/>
        <v>82</v>
      </c>
      <c r="Q500" s="24"/>
      <c r="R500" s="24"/>
      <c r="S500" s="24"/>
      <c r="T500" s="24"/>
    </row>
    <row r="501" spans="1:20">
      <c r="A501" s="32" t="s">
        <v>660</v>
      </c>
      <c r="B501" s="32" t="str">
        <f>VLOOKUP(A501,'[6]Fin vs NFin'!$A$4:$B$568,2,FALSE)</f>
        <v>!Amortização Total</v>
      </c>
      <c r="C501" s="32" t="s">
        <v>661</v>
      </c>
      <c r="D501" s="32" t="s">
        <v>364</v>
      </c>
      <c r="E501" s="32" t="str">
        <f>VLOOKUP(D501,[6]Arvore!$N$8:$Q$6855,4,FALSE)</f>
        <v>501530470</v>
      </c>
      <c r="F501" s="33">
        <v>1380.13</v>
      </c>
      <c r="G501" s="33">
        <v>1380.13</v>
      </c>
      <c r="H501" s="34">
        <v>0</v>
      </c>
      <c r="I501" s="114"/>
      <c r="J501" s="19"/>
      <c r="K501" s="21"/>
      <c r="L501" s="22"/>
      <c r="M501" s="23"/>
      <c r="O501" s="19" t="str">
        <f>VLOOKUP(QUERY_FOR_TRNSTRANSPOSED_0008!A501,'[6]Fin vs NFin'!$A$4:$F$568,6,FALSE)</f>
        <v>Não Financeiras</v>
      </c>
      <c r="P501" s="24" t="str">
        <f t="shared" si="10"/>
        <v>82</v>
      </c>
      <c r="Q501" s="24"/>
      <c r="R501" s="24"/>
      <c r="S501" s="24"/>
      <c r="T501" s="24" t="str">
        <f>VLOOKUP(D501,[6]Mapeamento!$A$38:$C$497,3,FALSE)</f>
        <v>REC_MF</v>
      </c>
    </row>
    <row r="502" spans="1:20">
      <c r="A502" s="32" t="s">
        <v>660</v>
      </c>
      <c r="B502" s="32" t="str">
        <f>VLOOKUP(A502,'[6]Fin vs NFin'!$A$4:$B$568,2,FALSE)</f>
        <v>!Amortização Total</v>
      </c>
      <c r="C502" s="32" t="s">
        <v>662</v>
      </c>
      <c r="D502" s="32" t="s">
        <v>635</v>
      </c>
      <c r="E502" s="32" t="str">
        <f>VLOOKUP(D502,[6]Arvore!$N$8:$Q$6855,4,FALSE)</f>
        <v>519399</v>
      </c>
      <c r="F502" s="33">
        <v>277082.86</v>
      </c>
      <c r="G502" s="33">
        <v>277082.86</v>
      </c>
      <c r="H502" s="34">
        <v>0</v>
      </c>
      <c r="I502" s="114"/>
      <c r="J502" s="19"/>
      <c r="K502" s="21"/>
      <c r="L502" s="22"/>
      <c r="M502" s="23"/>
      <c r="O502" s="19" t="str">
        <f>VLOOKUP(QUERY_FOR_TRNSTRANSPOSED_0008!A502,'[6]Fin vs NFin'!$A$4:$F$568,6,FALSE)</f>
        <v>Não Financeiras</v>
      </c>
      <c r="P502" s="24" t="str">
        <f t="shared" si="10"/>
        <v>82</v>
      </c>
      <c r="Q502" s="24"/>
      <c r="R502" s="24"/>
      <c r="S502" s="24"/>
      <c r="T502" s="24"/>
    </row>
    <row r="503" spans="1:20">
      <c r="A503" s="32" t="s">
        <v>660</v>
      </c>
      <c r="B503" s="32" t="str">
        <f>VLOOKUP(A503,'[6]Fin vs NFin'!$A$4:$B$568,2,FALSE)</f>
        <v>!Amortização Total</v>
      </c>
      <c r="C503" s="32" t="s">
        <v>663</v>
      </c>
      <c r="D503" s="32" t="s">
        <v>635</v>
      </c>
      <c r="E503" s="32" t="str">
        <f>VLOOKUP(D503,[6]Arvore!$N$8:$Q$6855,4,FALSE)</f>
        <v>519399</v>
      </c>
      <c r="F503" s="33">
        <v>-7211.23</v>
      </c>
      <c r="G503" s="33">
        <v>-7211.23</v>
      </c>
      <c r="H503" s="34">
        <v>0</v>
      </c>
      <c r="I503" s="114"/>
      <c r="J503" s="19"/>
      <c r="K503" s="21"/>
      <c r="L503" s="22"/>
      <c r="M503" s="23"/>
      <c r="O503" s="19" t="str">
        <f>VLOOKUP(QUERY_FOR_TRNSTRANSPOSED_0008!A503,'[6]Fin vs NFin'!$A$4:$F$568,6,FALSE)</f>
        <v>Não Financeiras</v>
      </c>
      <c r="P503" s="24" t="str">
        <f t="shared" si="10"/>
        <v>82</v>
      </c>
      <c r="Q503" s="24"/>
      <c r="R503" s="24"/>
      <c r="S503" s="24"/>
      <c r="T503" s="24"/>
    </row>
    <row r="504" spans="1:20">
      <c r="A504" s="32" t="s">
        <v>660</v>
      </c>
      <c r="B504" s="32" t="str">
        <f>VLOOKUP(A504,'[6]Fin vs NFin'!$A$4:$B$568,2,FALSE)</f>
        <v>!Amortização Total</v>
      </c>
      <c r="C504" s="32" t="s">
        <v>664</v>
      </c>
      <c r="D504" s="32" t="s">
        <v>635</v>
      </c>
      <c r="E504" s="32" t="str">
        <f>VLOOKUP(D504,[6]Arvore!$N$8:$Q$6855,4,FALSE)</f>
        <v>519399</v>
      </c>
      <c r="F504" s="33">
        <v>-450.17</v>
      </c>
      <c r="G504" s="33">
        <v>-450.17</v>
      </c>
      <c r="H504" s="34">
        <v>5.6843418860808002E-14</v>
      </c>
      <c r="I504" s="114"/>
      <c r="J504" s="19"/>
      <c r="K504" s="21"/>
      <c r="L504" s="22"/>
      <c r="M504" s="23"/>
      <c r="O504" s="19" t="str">
        <f>VLOOKUP(QUERY_FOR_TRNSTRANSPOSED_0008!A504,'[6]Fin vs NFin'!$A$4:$F$568,6,FALSE)</f>
        <v>Não Financeiras</v>
      </c>
      <c r="P504" s="24" t="str">
        <f t="shared" si="10"/>
        <v>82</v>
      </c>
      <c r="Q504" s="24"/>
      <c r="R504" s="24"/>
      <c r="S504" s="24"/>
      <c r="T504" s="24"/>
    </row>
    <row r="505" spans="1:20">
      <c r="A505" s="32" t="s">
        <v>660</v>
      </c>
      <c r="B505" s="32" t="str">
        <f>VLOOKUP(A505,'[6]Fin vs NFin'!$A$4:$B$568,2,FALSE)</f>
        <v>!Amortização Total</v>
      </c>
      <c r="C505" s="32" t="s">
        <v>665</v>
      </c>
      <c r="D505" s="32" t="s">
        <v>635</v>
      </c>
      <c r="E505" s="32" t="str">
        <f>VLOOKUP(D505,[6]Arvore!$N$8:$Q$6855,4,FALSE)</f>
        <v>519399</v>
      </c>
      <c r="F505" s="33">
        <v>6.9</v>
      </c>
      <c r="G505" s="33">
        <v>6.9</v>
      </c>
      <c r="H505" s="34">
        <v>0</v>
      </c>
      <c r="I505" s="114"/>
      <c r="J505" s="19"/>
      <c r="K505" s="21"/>
      <c r="L505" s="22"/>
      <c r="M505" s="23"/>
      <c r="O505" s="19" t="str">
        <f>VLOOKUP(QUERY_FOR_TRNSTRANSPOSED_0008!A505,'[6]Fin vs NFin'!$A$4:$F$568,6,FALSE)</f>
        <v>Não Financeiras</v>
      </c>
      <c r="P505" s="24" t="str">
        <f t="shared" si="10"/>
        <v>82</v>
      </c>
      <c r="Q505" s="24"/>
      <c r="R505" s="24"/>
      <c r="S505" s="24"/>
      <c r="T505" s="24"/>
    </row>
    <row r="506" spans="1:20" ht="15" thickBot="1">
      <c r="A506" s="32" t="s">
        <v>660</v>
      </c>
      <c r="B506" s="32" t="str">
        <f>VLOOKUP(A506,'[6]Fin vs NFin'!$A$4:$B$568,2,FALSE)</f>
        <v>!Amortização Total</v>
      </c>
      <c r="C506" s="32" t="s">
        <v>666</v>
      </c>
      <c r="D506" s="32" t="s">
        <v>635</v>
      </c>
      <c r="E506" s="32" t="str">
        <f>VLOOKUP(D506,[6]Arvore!$N$8:$Q$6855,4,FALSE)</f>
        <v>519399</v>
      </c>
      <c r="F506" s="33">
        <v>18368.39</v>
      </c>
      <c r="G506" s="33">
        <v>18368.39</v>
      </c>
      <c r="H506" s="34">
        <v>0</v>
      </c>
      <c r="I506" s="114"/>
      <c r="J506" s="19"/>
      <c r="K506" s="21"/>
      <c r="L506" s="22"/>
      <c r="M506" s="23"/>
      <c r="O506" s="19" t="str">
        <f>VLOOKUP(QUERY_FOR_TRNSTRANSPOSED_0008!A506,'[6]Fin vs NFin'!$A$4:$F$568,6,FALSE)</f>
        <v>Não Financeiras</v>
      </c>
      <c r="P506" s="24" t="str">
        <f t="shared" si="10"/>
        <v>82</v>
      </c>
      <c r="Q506" s="24"/>
      <c r="R506" s="24"/>
      <c r="S506" s="24"/>
      <c r="T506" s="24"/>
    </row>
    <row r="507" spans="1:20">
      <c r="A507" s="49" t="s">
        <v>667</v>
      </c>
      <c r="B507" s="49" t="str">
        <f>VLOOKUP(A507,'[6]Fin vs NFin'!$A$4:$B$568,2,FALSE)</f>
        <v>!Distrates</v>
      </c>
      <c r="C507" s="49" t="s">
        <v>668</v>
      </c>
      <c r="D507" s="49" t="s">
        <v>635</v>
      </c>
      <c r="E507" s="49" t="str">
        <f>VLOOKUP(D507,[6]Arvore!$N$8:$Q$6855,4,FALSE)</f>
        <v>519399</v>
      </c>
      <c r="F507" s="50">
        <v>363608.41</v>
      </c>
      <c r="G507" s="50">
        <v>363608.41</v>
      </c>
      <c r="H507" s="51">
        <v>0</v>
      </c>
      <c r="I507" s="108">
        <f>SUM(H507:H508)</f>
        <v>0</v>
      </c>
      <c r="J507" s="39"/>
      <c r="K507" s="21"/>
      <c r="L507" s="41"/>
      <c r="M507" s="42"/>
      <c r="O507" s="39" t="str">
        <f>VLOOKUP(QUERY_FOR_TRNSTRANSPOSED_0008!A507,'[6]Fin vs NFin'!$A$4:$F$568,6,FALSE)</f>
        <v>Não Financeiras</v>
      </c>
      <c r="P507" s="43" t="str">
        <f t="shared" si="10"/>
        <v>82</v>
      </c>
      <c r="Q507" s="43"/>
      <c r="R507" s="43"/>
      <c r="S507" s="43"/>
      <c r="T507" s="43"/>
    </row>
    <row r="508" spans="1:20" ht="15" thickBot="1">
      <c r="A508" s="32" t="s">
        <v>667</v>
      </c>
      <c r="B508" s="32" t="str">
        <f>VLOOKUP(A508,'[6]Fin vs NFin'!$A$4:$B$568,2,FALSE)</f>
        <v>!Distrates</v>
      </c>
      <c r="C508" s="32" t="s">
        <v>668</v>
      </c>
      <c r="D508" s="32" t="s">
        <v>435</v>
      </c>
      <c r="E508" s="32" t="str">
        <f>VLOOKUP(D508,[6]Arvore!$N$8:$Q$6855,4,FALSE)</f>
        <v>519399</v>
      </c>
      <c r="F508" s="33">
        <v>44674.57</v>
      </c>
      <c r="G508" s="33">
        <v>44674.57</v>
      </c>
      <c r="H508" s="34">
        <v>0</v>
      </c>
      <c r="I508" s="109"/>
      <c r="J508" s="19"/>
      <c r="K508" s="21"/>
      <c r="L508" s="22"/>
      <c r="M508" s="23"/>
      <c r="O508" s="19" t="str">
        <f>VLOOKUP(QUERY_FOR_TRNSTRANSPOSED_0008!A508,'[6]Fin vs NFin'!$A$4:$F$568,6,FALSE)</f>
        <v>Não Financeiras</v>
      </c>
      <c r="P508" s="24" t="str">
        <f t="shared" si="10"/>
        <v>82</v>
      </c>
      <c r="Q508" s="24"/>
      <c r="R508" s="24"/>
      <c r="S508" s="24"/>
      <c r="T508" s="24"/>
    </row>
    <row r="509" spans="1:20">
      <c r="A509" s="49" t="s">
        <v>669</v>
      </c>
      <c r="B509" s="49" t="str">
        <f>VLOOKUP(A509,'[6]Fin vs NFin'!$A$4:$B$568,2,FALSE)</f>
        <v>!Amortização Parcial-Cash</v>
      </c>
      <c r="C509" s="49" t="s">
        <v>670</v>
      </c>
      <c r="D509" s="49" t="s">
        <v>671</v>
      </c>
      <c r="E509" s="49" t="str">
        <f>VLOOKUP(D509,[6]Arvore!$N$8:$Q$6855,4,FALSE)</f>
        <v>501530470</v>
      </c>
      <c r="F509" s="50">
        <v>15666.79</v>
      </c>
      <c r="G509" s="50">
        <v>15666.79</v>
      </c>
      <c r="H509" s="51">
        <v>1.8189894035458601E-12</v>
      </c>
      <c r="I509" s="108">
        <v>-1.8189894035458601E-12</v>
      </c>
      <c r="J509" s="39"/>
      <c r="K509" s="21"/>
      <c r="L509" s="41"/>
      <c r="M509" s="42"/>
      <c r="O509" s="39" t="str">
        <f>VLOOKUP(QUERY_FOR_TRNSTRANSPOSED_0008!A509,'[6]Fin vs NFin'!$A$4:$F$568,6,FALSE)</f>
        <v>Não Financeiras</v>
      </c>
      <c r="P509" s="43" t="str">
        <f t="shared" si="10"/>
        <v>82</v>
      </c>
      <c r="Q509" s="43"/>
      <c r="R509" s="43"/>
      <c r="S509" s="43"/>
      <c r="T509" s="43" t="str">
        <f>VLOOKUP(D509,[6]Mapeamento!$A$38:$C$497,3,FALSE)</f>
        <v>REC_MF</v>
      </c>
    </row>
    <row r="510" spans="1:20" ht="15" thickBot="1">
      <c r="A510" s="32" t="s">
        <v>669</v>
      </c>
      <c r="B510" s="32" t="str">
        <f>VLOOKUP(A510,'[6]Fin vs NFin'!$A$4:$B$568,2,FALSE)</f>
        <v>!Amortização Parcial-Cash</v>
      </c>
      <c r="C510" s="32" t="s">
        <v>672</v>
      </c>
      <c r="D510" s="32" t="s">
        <v>635</v>
      </c>
      <c r="E510" s="32" t="str">
        <f>VLOOKUP(D510,[6]Arvore!$N$8:$Q$6855,4,FALSE)</f>
        <v>519399</v>
      </c>
      <c r="F510" s="33">
        <v>27843.99</v>
      </c>
      <c r="G510" s="33">
        <v>27843.99</v>
      </c>
      <c r="H510" s="34">
        <v>-3.6379788070917101E-12</v>
      </c>
      <c r="I510" s="114"/>
      <c r="J510" s="19"/>
      <c r="K510" s="21"/>
      <c r="L510" s="22"/>
      <c r="M510" s="23"/>
      <c r="O510" s="19" t="str">
        <f>VLOOKUP(QUERY_FOR_TRNSTRANSPOSED_0008!A510,'[6]Fin vs NFin'!$A$4:$F$568,6,FALSE)</f>
        <v>Não Financeiras</v>
      </c>
      <c r="P510" s="24" t="str">
        <f t="shared" si="10"/>
        <v>82</v>
      </c>
      <c r="Q510" s="24"/>
      <c r="R510" s="24"/>
      <c r="S510" s="24"/>
      <c r="T510" s="24"/>
    </row>
    <row r="511" spans="1:20">
      <c r="A511" s="49" t="s">
        <v>673</v>
      </c>
      <c r="B511" s="49" t="str">
        <f>VLOOKUP(A511,'[6]Fin vs NFin'!$A$4:$B$568,2,FALSE)</f>
        <v>!Alter.Cond.Contrat-Cash</v>
      </c>
      <c r="C511" s="49" t="s">
        <v>153</v>
      </c>
      <c r="D511" s="49" t="s">
        <v>674</v>
      </c>
      <c r="E511" s="49" t="str">
        <f>VLOOKUP(D511,[6]Arvore!$N$8:$Q$6855,4,FALSE)</f>
        <v>501530470</v>
      </c>
      <c r="F511" s="50">
        <v>7431.37</v>
      </c>
      <c r="G511" s="50">
        <v>7431.37</v>
      </c>
      <c r="H511" s="51">
        <v>0</v>
      </c>
      <c r="I511" s="108">
        <f>SUM(H511:H514)</f>
        <v>-1.45519152283669E-11</v>
      </c>
      <c r="J511" s="39"/>
      <c r="K511" s="21"/>
      <c r="L511" s="41"/>
      <c r="M511" s="42"/>
      <c r="O511" s="39" t="str">
        <f>VLOOKUP(QUERY_FOR_TRNSTRANSPOSED_0008!A511,'[6]Fin vs NFin'!$A$4:$F$568,6,FALSE)</f>
        <v>Financeiras</v>
      </c>
      <c r="P511" s="43" t="str">
        <f t="shared" si="10"/>
        <v>82</v>
      </c>
      <c r="Q511" s="43"/>
      <c r="R511" s="43"/>
      <c r="S511" s="43"/>
      <c r="T511" s="43" t="str">
        <f>VLOOKUP(D511,[6]Mapeamento!$A$38:$C$497,3,FALSE)</f>
        <v>REC_MF</v>
      </c>
    </row>
    <row r="512" spans="1:20">
      <c r="A512" s="32" t="s">
        <v>673</v>
      </c>
      <c r="B512" s="32" t="str">
        <f>VLOOKUP(A512,'[6]Fin vs NFin'!$A$4:$B$568,2,FALSE)</f>
        <v>!Alter.Cond.Contrat-Cash</v>
      </c>
      <c r="C512" s="32" t="s">
        <v>675</v>
      </c>
      <c r="D512" s="32" t="s">
        <v>674</v>
      </c>
      <c r="E512" s="32" t="str">
        <f>VLOOKUP(D512,[6]Arvore!$N$8:$Q$6855,4,FALSE)</f>
        <v>501530470</v>
      </c>
      <c r="F512" s="33">
        <v>84464.8</v>
      </c>
      <c r="G512" s="33">
        <v>84464.8</v>
      </c>
      <c r="H512" s="34">
        <v>-1.45519152283669E-11</v>
      </c>
      <c r="I512" s="114"/>
      <c r="J512" s="19"/>
      <c r="K512" s="21"/>
      <c r="L512" s="22"/>
      <c r="M512" s="23"/>
      <c r="O512" s="19" t="str">
        <f>VLOOKUP(QUERY_FOR_TRNSTRANSPOSED_0008!A512,'[6]Fin vs NFin'!$A$4:$F$568,6,FALSE)</f>
        <v>Financeiras</v>
      </c>
      <c r="P512" s="24" t="str">
        <f t="shared" si="10"/>
        <v>82</v>
      </c>
      <c r="Q512" s="24"/>
      <c r="R512" s="24"/>
      <c r="S512" s="24"/>
      <c r="T512" s="24" t="str">
        <f>VLOOKUP(D512,[6]Mapeamento!$A$38:$C$497,3,FALSE)</f>
        <v>REC_MF</v>
      </c>
    </row>
    <row r="513" spans="1:20">
      <c r="A513" s="32" t="s">
        <v>673</v>
      </c>
      <c r="B513" s="32" t="str">
        <f>VLOOKUP(A513,'[6]Fin vs NFin'!$A$4:$B$568,2,FALSE)</f>
        <v>!Alter.Cond.Contrat-Cash</v>
      </c>
      <c r="C513" s="32" t="s">
        <v>675</v>
      </c>
      <c r="D513" s="32" t="s">
        <v>364</v>
      </c>
      <c r="E513" s="32" t="str">
        <f>VLOOKUP(D513,[6]Arvore!$N$8:$Q$6855,4,FALSE)</f>
        <v>501530470</v>
      </c>
      <c r="F513" s="33">
        <v>20631.28</v>
      </c>
      <c r="G513" s="33">
        <v>20631.28</v>
      </c>
      <c r="H513" s="34">
        <v>0</v>
      </c>
      <c r="I513" s="114"/>
      <c r="J513" s="19"/>
      <c r="K513" s="21"/>
      <c r="L513" s="22"/>
      <c r="M513" s="23"/>
      <c r="O513" s="19" t="str">
        <f>VLOOKUP(QUERY_FOR_TRNSTRANSPOSED_0008!A513,'[6]Fin vs NFin'!$A$4:$F$568,6,FALSE)</f>
        <v>Financeiras</v>
      </c>
      <c r="P513" s="24" t="str">
        <f t="shared" si="10"/>
        <v>82</v>
      </c>
      <c r="Q513" s="24"/>
      <c r="R513" s="24"/>
      <c r="S513" s="24"/>
      <c r="T513" s="24" t="str">
        <f>VLOOKUP(D513,[6]Mapeamento!$A$38:$C$497,3,FALSE)</f>
        <v>REC_MF</v>
      </c>
    </row>
    <row r="514" spans="1:20" ht="15" thickBot="1">
      <c r="A514" s="32" t="s">
        <v>673</v>
      </c>
      <c r="B514" s="32" t="str">
        <f>VLOOKUP(A514,'[6]Fin vs NFin'!$A$4:$B$568,2,FALSE)</f>
        <v>!Alter.Cond.Contrat-Cash</v>
      </c>
      <c r="C514" s="32" t="s">
        <v>676</v>
      </c>
      <c r="D514" s="32" t="s">
        <v>674</v>
      </c>
      <c r="E514" s="32" t="str">
        <f>VLOOKUP(D514,[6]Arvore!$N$8:$Q$6855,4,FALSE)</f>
        <v>501530470</v>
      </c>
      <c r="F514" s="33">
        <v>94431.5</v>
      </c>
      <c r="G514" s="33">
        <v>94431.5</v>
      </c>
      <c r="H514" s="34">
        <v>0</v>
      </c>
      <c r="I514" s="114"/>
      <c r="J514" s="19"/>
      <c r="K514" s="21"/>
      <c r="L514" s="22"/>
      <c r="M514" s="23"/>
      <c r="O514" s="19" t="str">
        <f>VLOOKUP(QUERY_FOR_TRNSTRANSPOSED_0008!A514,'[6]Fin vs NFin'!$A$4:$F$568,6,FALSE)</f>
        <v>Financeiras</v>
      </c>
      <c r="P514" s="24" t="str">
        <f t="shared" si="10"/>
        <v>82</v>
      </c>
      <c r="Q514" s="24"/>
      <c r="R514" s="24"/>
      <c r="S514" s="24"/>
      <c r="T514" s="24" t="str">
        <f>VLOOKUP(D514,[6]Mapeamento!$A$38:$C$497,3,FALSE)</f>
        <v>REC_MF</v>
      </c>
    </row>
    <row r="515" spans="1:20">
      <c r="A515" s="49" t="s">
        <v>677</v>
      </c>
      <c r="B515" s="49" t="str">
        <f>VLOOKUP(A515,'[6]Fin vs NFin'!$A$4:$B$568,2,FALSE)</f>
        <v>!Alter.Cond.Contr-Periodif</v>
      </c>
      <c r="C515" s="49" t="s">
        <v>678</v>
      </c>
      <c r="D515" s="49" t="s">
        <v>674</v>
      </c>
      <c r="E515" s="49" t="str">
        <f>VLOOKUP(D515,[6]Arvore!$N$8:$Q$6855,4,FALSE)</f>
        <v>501530470</v>
      </c>
      <c r="F515" s="50">
        <v>58049.5</v>
      </c>
      <c r="G515" s="50">
        <v>58049.5</v>
      </c>
      <c r="H515" s="51">
        <v>0</v>
      </c>
      <c r="I515" s="108">
        <v>-9.0949470177292804E-13</v>
      </c>
      <c r="J515" s="39"/>
      <c r="K515" s="21"/>
      <c r="L515" s="41"/>
      <c r="M515" s="42"/>
      <c r="O515" s="39" t="str">
        <f>VLOOKUP(QUERY_FOR_TRNSTRANSPOSED_0008!A515,'[6]Fin vs NFin'!$A$4:$F$568,6,FALSE)</f>
        <v>Financeiras</v>
      </c>
      <c r="P515" s="43" t="str">
        <f t="shared" si="10"/>
        <v>82</v>
      </c>
      <c r="Q515" s="43"/>
      <c r="R515" s="43"/>
      <c r="S515" s="43"/>
      <c r="T515" s="43" t="str">
        <f>VLOOKUP(D515,[6]Mapeamento!$A$38:$C$497,3,FALSE)</f>
        <v>REC_MF</v>
      </c>
    </row>
    <row r="516" spans="1:20" ht="15" thickBot="1">
      <c r="A516" s="35" t="s">
        <v>677</v>
      </c>
      <c r="B516" s="35" t="str">
        <f>VLOOKUP(A516,'[6]Fin vs NFin'!$A$4:$B$568,2,FALSE)</f>
        <v>!Alter.Cond.Contr-Periodif</v>
      </c>
      <c r="C516" s="35" t="s">
        <v>678</v>
      </c>
      <c r="D516" s="35" t="s">
        <v>364</v>
      </c>
      <c r="E516" s="35" t="str">
        <f>VLOOKUP(D516,[6]Arvore!$N$8:$Q$6855,4,FALSE)</f>
        <v>501530470</v>
      </c>
      <c r="F516" s="36">
        <v>-4097.8599999999997</v>
      </c>
      <c r="G516" s="36">
        <v>-4097.8599999999997</v>
      </c>
      <c r="H516" s="37">
        <v>-9.0949470177292804E-13</v>
      </c>
      <c r="I516" s="109">
        <v>-9.0949470177292804E-13</v>
      </c>
      <c r="J516" s="12"/>
      <c r="K516" s="21"/>
      <c r="L516" s="15"/>
      <c r="M516" s="16"/>
      <c r="O516" s="12" t="str">
        <f>VLOOKUP(QUERY_FOR_TRNSTRANSPOSED_0008!A516,'[6]Fin vs NFin'!$A$4:$F$568,6,FALSE)</f>
        <v>Financeiras</v>
      </c>
      <c r="P516" s="17" t="str">
        <f t="shared" si="10"/>
        <v>82</v>
      </c>
      <c r="Q516" s="17"/>
      <c r="R516" s="17"/>
      <c r="S516" s="17"/>
      <c r="T516" s="17" t="str">
        <f>VLOOKUP(D516,[6]Mapeamento!$A$38:$C$497,3,FALSE)</f>
        <v>REC_MF</v>
      </c>
    </row>
    <row r="517" spans="1:20">
      <c r="A517" s="18" t="s">
        <v>679</v>
      </c>
      <c r="B517" s="18" t="str">
        <f>VLOOKUP(A517,'[6]Fin vs NFin'!$A$4:$B$568,2,FALSE)</f>
        <v>!Custos c/Avaliadores</v>
      </c>
      <c r="C517" s="18" t="s">
        <v>82</v>
      </c>
      <c r="D517" s="18" t="s">
        <v>680</v>
      </c>
      <c r="E517" s="18" t="str">
        <f>VLOOKUP(D517,[6]Arvore!$N$8:$Q$6855,4,FALSE)</f>
        <v>41499</v>
      </c>
      <c r="F517" s="19">
        <v>-2559667.58</v>
      </c>
      <c r="G517" s="19">
        <v>-7587713.75</v>
      </c>
      <c r="H517" s="20">
        <v>5028046.17</v>
      </c>
      <c r="I517" s="108">
        <v>-4.65661287307739E-10</v>
      </c>
      <c r="J517" s="19"/>
      <c r="K517" s="21"/>
      <c r="L517" s="22"/>
      <c r="M517" s="23"/>
      <c r="O517" s="19" t="str">
        <f>VLOOKUP(QUERY_FOR_TRNSTRANSPOSED_0008!A517,'[6]Fin vs NFin'!$A$4:$F$568,6,FALSE)</f>
        <v>Mista (Fin)</v>
      </c>
      <c r="P517" s="24" t="str">
        <f t="shared" si="10"/>
        <v>71</v>
      </c>
      <c r="Q517" s="24"/>
      <c r="R517" s="24"/>
      <c r="S517" s="24"/>
      <c r="T517" s="24"/>
    </row>
    <row r="518" spans="1:20">
      <c r="A518" s="18" t="s">
        <v>679</v>
      </c>
      <c r="B518" s="18" t="str">
        <f>VLOOKUP(A518,'[6]Fin vs NFin'!$A$4:$B$568,2,FALSE)</f>
        <v>!Custos c/Avaliadores</v>
      </c>
      <c r="C518" s="18" t="s">
        <v>67</v>
      </c>
      <c r="D518" s="18" t="s">
        <v>680</v>
      </c>
      <c r="E518" s="18" t="str">
        <f>VLOOKUP(D518,[6]Arvore!$N$8:$Q$6855,4,FALSE)</f>
        <v>41499</v>
      </c>
      <c r="F518" s="19">
        <v>-436001.46</v>
      </c>
      <c r="G518" s="19">
        <v>3234530.81</v>
      </c>
      <c r="H518" s="20">
        <v>-3670532.27</v>
      </c>
      <c r="I518" s="114"/>
      <c r="J518" s="19"/>
      <c r="K518" s="21"/>
      <c r="L518" s="22"/>
      <c r="M518" s="23"/>
      <c r="O518" s="19" t="str">
        <f>VLOOKUP(QUERY_FOR_TRNSTRANSPOSED_0008!A518,'[6]Fin vs NFin'!$A$4:$F$568,6,FALSE)</f>
        <v>Mista (Fin)</v>
      </c>
      <c r="P518" s="24" t="str">
        <f t="shared" ref="P518:P581" si="11">LEFT(D518,2)</f>
        <v>71</v>
      </c>
      <c r="Q518" s="24"/>
      <c r="R518" s="24"/>
      <c r="S518" s="24"/>
      <c r="T518" s="24"/>
    </row>
    <row r="519" spans="1:20">
      <c r="A519" s="18" t="s">
        <v>679</v>
      </c>
      <c r="B519" s="18" t="str">
        <f>VLOOKUP(A519,'[6]Fin vs NFin'!$A$4:$B$568,2,FALSE)</f>
        <v>!Custos c/Avaliadores</v>
      </c>
      <c r="C519" s="18" t="s">
        <v>67</v>
      </c>
      <c r="D519" s="18" t="s">
        <v>681</v>
      </c>
      <c r="E519" s="18" t="str">
        <f>VLOOKUP(D519,[6]Arvore!$N$8:$Q$6855,4,FALSE)</f>
        <v>41499</v>
      </c>
      <c r="F519" s="19">
        <v>235487.64</v>
      </c>
      <c r="G519" s="19">
        <v>4324122.37</v>
      </c>
      <c r="H519" s="20">
        <v>-4088634.73</v>
      </c>
      <c r="I519" s="114"/>
      <c r="J519" s="19"/>
      <c r="K519" s="21"/>
      <c r="L519" s="22"/>
      <c r="M519" s="23"/>
      <c r="O519" s="19" t="str">
        <f>VLOOKUP(QUERY_FOR_TRNSTRANSPOSED_0008!A519,'[6]Fin vs NFin'!$A$4:$F$568,6,FALSE)</f>
        <v>Mista (Fin)</v>
      </c>
      <c r="P519" s="24" t="str">
        <f t="shared" si="11"/>
        <v>71</v>
      </c>
      <c r="Q519" s="24"/>
      <c r="R519" s="24"/>
      <c r="S519" s="24"/>
      <c r="T519" s="24"/>
    </row>
    <row r="520" spans="1:20" ht="15" thickBot="1">
      <c r="A520" s="18" t="s">
        <v>679</v>
      </c>
      <c r="B520" s="18" t="str">
        <f>VLOOKUP(A520,'[6]Fin vs NFin'!$A$4:$B$568,2,FALSE)</f>
        <v>!Custos c/Avaliadores</v>
      </c>
      <c r="C520" s="18" t="s">
        <v>67</v>
      </c>
      <c r="D520" s="18" t="s">
        <v>682</v>
      </c>
      <c r="E520" s="18" t="str">
        <f>VLOOKUP(D520,[6]Arvore!$N$8:$Q$6855,4,FALSE)</f>
        <v>5015305700</v>
      </c>
      <c r="F520" s="19">
        <v>-2568682.0499999998</v>
      </c>
      <c r="G520" s="19">
        <v>-5299802.88</v>
      </c>
      <c r="H520" s="20">
        <v>2731120.83</v>
      </c>
      <c r="I520" s="114"/>
      <c r="J520" s="19"/>
      <c r="K520" s="21"/>
      <c r="L520" s="22"/>
      <c r="M520" s="23"/>
      <c r="O520" s="19" t="str">
        <f>VLOOKUP(QUERY_FOR_TRNSTRANSPOSED_0008!A520,'[6]Fin vs NFin'!$A$4:$F$568,6,FALSE)</f>
        <v>Mista (Fin)</v>
      </c>
      <c r="P520" s="24" t="str">
        <f t="shared" si="11"/>
        <v>71</v>
      </c>
      <c r="Q520" s="24"/>
      <c r="R520" s="24"/>
      <c r="S520" s="24"/>
      <c r="T520" s="24" t="str">
        <f>VLOOKUP(D520,[6]Mapeamento!$A$38:$C$497,3,FALSE)</f>
        <v>REC_MF</v>
      </c>
    </row>
    <row r="521" spans="1:20">
      <c r="A521" s="49" t="s">
        <v>683</v>
      </c>
      <c r="B521" s="49" t="str">
        <f>VLOOKUP(A521,'[6]Fin vs NFin'!$A$4:$B$568,2,FALSE)</f>
        <v>!Custos c/Solicitadores</v>
      </c>
      <c r="C521" s="49" t="s">
        <v>684</v>
      </c>
      <c r="D521" s="49" t="s">
        <v>685</v>
      </c>
      <c r="E521" s="49" t="str">
        <f>VLOOKUP(D521,[6]Arvore!$N$8:$Q$6855,4,FALSE)</f>
        <v>41499</v>
      </c>
      <c r="F521" s="50">
        <v>-152</v>
      </c>
      <c r="G521" s="50">
        <v>-152</v>
      </c>
      <c r="H521" s="51">
        <v>0</v>
      </c>
      <c r="I521" s="108">
        <f>SUM(H521:H526)</f>
        <v>-1.7462298274040222E-10</v>
      </c>
      <c r="J521" s="39"/>
      <c r="K521" s="21"/>
      <c r="L521" s="41"/>
      <c r="M521" s="42"/>
      <c r="O521" s="39" t="str">
        <f>VLOOKUP(QUERY_FOR_TRNSTRANSPOSED_0008!A521,'[6]Fin vs NFin'!$A$4:$F$568,6,FALSE)</f>
        <v>Não Financeiras</v>
      </c>
      <c r="P521" s="43" t="str">
        <f t="shared" si="11"/>
        <v>71</v>
      </c>
      <c r="Q521" s="43"/>
      <c r="R521" s="43"/>
      <c r="S521" s="43"/>
      <c r="T521" s="43"/>
    </row>
    <row r="522" spans="1:20">
      <c r="A522" s="18" t="s">
        <v>683</v>
      </c>
      <c r="B522" s="18" t="str">
        <f>VLOOKUP(A522,'[6]Fin vs NFin'!$A$4:$B$568,2,FALSE)</f>
        <v>!Custos c/Solicitadores</v>
      </c>
      <c r="C522" s="18" t="s">
        <v>686</v>
      </c>
      <c r="D522" s="18" t="s">
        <v>687</v>
      </c>
      <c r="E522" s="18" t="str">
        <f>VLOOKUP(D522,[6]Arvore!$N$8:$Q$6855,4,FALSE)</f>
        <v>41499</v>
      </c>
      <c r="F522" s="19">
        <v>-5419188.0300000003</v>
      </c>
      <c r="G522" s="19">
        <v>-5440039.5800000001</v>
      </c>
      <c r="H522" s="20">
        <v>20851.549999999799</v>
      </c>
      <c r="I522" s="114"/>
      <c r="J522" s="19"/>
      <c r="K522" s="21"/>
      <c r="L522" s="22"/>
      <c r="M522" s="23"/>
      <c r="O522" s="19" t="str">
        <f>VLOOKUP(QUERY_FOR_TRNSTRANSPOSED_0008!A522,'[6]Fin vs NFin'!$A$4:$F$568,6,FALSE)</f>
        <v>Não Financeiras</v>
      </c>
      <c r="P522" s="24" t="str">
        <f t="shared" si="11"/>
        <v>71</v>
      </c>
      <c r="Q522" s="24"/>
      <c r="R522" s="24"/>
      <c r="S522" s="24"/>
      <c r="T522" s="24"/>
    </row>
    <row r="523" spans="1:20">
      <c r="A523" s="18" t="s">
        <v>683</v>
      </c>
      <c r="B523" s="18" t="str">
        <f>VLOOKUP(A523,'[6]Fin vs NFin'!$A$4:$B$568,2,FALSE)</f>
        <v>!Custos c/Solicitadores</v>
      </c>
      <c r="C523" s="18" t="s">
        <v>688</v>
      </c>
      <c r="D523" s="18" t="s">
        <v>687</v>
      </c>
      <c r="E523" s="18" t="str">
        <f>VLOOKUP(D523,[6]Arvore!$N$8:$Q$6855,4,FALSE)</f>
        <v>41499</v>
      </c>
      <c r="F523" s="19" t="s">
        <v>84</v>
      </c>
      <c r="G523" s="19">
        <v>1084.75</v>
      </c>
      <c r="H523" s="20">
        <v>-1084.75</v>
      </c>
      <c r="I523" s="114"/>
      <c r="J523" s="19"/>
      <c r="K523" s="21"/>
      <c r="L523" s="22"/>
      <c r="M523" s="23"/>
      <c r="O523" s="19" t="str">
        <f>VLOOKUP(QUERY_FOR_TRNSTRANSPOSED_0008!A523,'[6]Fin vs NFin'!$A$4:$F$568,6,FALSE)</f>
        <v>Não Financeiras</v>
      </c>
      <c r="P523" s="24" t="str">
        <f t="shared" si="11"/>
        <v>71</v>
      </c>
      <c r="Q523" s="24"/>
      <c r="R523" s="24"/>
      <c r="S523" s="24"/>
      <c r="T523" s="24"/>
    </row>
    <row r="524" spans="1:20">
      <c r="A524" s="18" t="s">
        <v>683</v>
      </c>
      <c r="B524" s="18" t="str">
        <f>VLOOKUP(A524,'[6]Fin vs NFin'!$A$4:$B$568,2,FALSE)</f>
        <v>!Custos c/Solicitadores</v>
      </c>
      <c r="C524" s="18" t="s">
        <v>689</v>
      </c>
      <c r="D524" s="18" t="s">
        <v>687</v>
      </c>
      <c r="E524" s="18" t="str">
        <f>VLOOKUP(D524,[6]Arvore!$N$8:$Q$6855,4,FALSE)</f>
        <v>41499</v>
      </c>
      <c r="F524" s="19">
        <v>-1203127.1399999999</v>
      </c>
      <c r="G524" s="19">
        <v>-1244552.5900000001</v>
      </c>
      <c r="H524" s="20">
        <v>41425.449999999997</v>
      </c>
      <c r="I524" s="114"/>
      <c r="J524" s="19"/>
      <c r="K524" s="21"/>
      <c r="L524" s="22"/>
      <c r="M524" s="23"/>
      <c r="O524" s="19" t="str">
        <f>VLOOKUP(QUERY_FOR_TRNSTRANSPOSED_0008!A524,'[6]Fin vs NFin'!$A$4:$F$568,6,FALSE)</f>
        <v>Não Financeiras</v>
      </c>
      <c r="P524" s="24" t="str">
        <f t="shared" si="11"/>
        <v>71</v>
      </c>
      <c r="Q524" s="24"/>
      <c r="R524" s="24"/>
      <c r="S524" s="24"/>
      <c r="T524" s="24"/>
    </row>
    <row r="525" spans="1:20">
      <c r="A525" s="18" t="s">
        <v>683</v>
      </c>
      <c r="B525" s="18" t="str">
        <f>VLOOKUP(A525,'[6]Fin vs NFin'!$A$4:$B$568,2,FALSE)</f>
        <v>!Custos c/Solicitadores</v>
      </c>
      <c r="C525" s="18" t="s">
        <v>690</v>
      </c>
      <c r="D525" s="18" t="s">
        <v>687</v>
      </c>
      <c r="E525" s="18" t="str">
        <f>VLOOKUP(D525,[6]Arvore!$N$8:$Q$6855,4,FALSE)</f>
        <v>41499</v>
      </c>
      <c r="F525" s="19" t="s">
        <v>84</v>
      </c>
      <c r="G525" s="19">
        <v>61192.25</v>
      </c>
      <c r="H525" s="20">
        <v>-61192.25</v>
      </c>
      <c r="I525" s="114"/>
      <c r="J525" s="19"/>
      <c r="K525" s="21"/>
      <c r="L525" s="22"/>
      <c r="M525" s="23"/>
      <c r="O525" s="19" t="str">
        <f>VLOOKUP(QUERY_FOR_TRNSTRANSPOSED_0008!A525,'[6]Fin vs NFin'!$A$4:$F$568,6,FALSE)</f>
        <v>Não Financeiras</v>
      </c>
      <c r="P525" s="24" t="str">
        <f t="shared" si="11"/>
        <v>71</v>
      </c>
      <c r="Q525" s="24"/>
      <c r="R525" s="24"/>
      <c r="S525" s="24"/>
      <c r="T525" s="24"/>
    </row>
    <row r="526" spans="1:20" ht="15" thickBot="1">
      <c r="A526" s="32" t="s">
        <v>683</v>
      </c>
      <c r="B526" s="32" t="str">
        <f>VLOOKUP(A526,'[6]Fin vs NFin'!$A$4:$B$568,2,FALSE)</f>
        <v>!Custos c/Solicitadores</v>
      </c>
      <c r="C526" s="32" t="s">
        <v>82</v>
      </c>
      <c r="D526" s="32" t="s">
        <v>687</v>
      </c>
      <c r="E526" s="32" t="str">
        <f>VLOOKUP(D526,[6]Arvore!$N$8:$Q$6855,4,FALSE)</f>
        <v>41499</v>
      </c>
      <c r="F526" s="33">
        <v>-194835.20000000001</v>
      </c>
      <c r="G526" s="33">
        <v>-194835.20000000001</v>
      </c>
      <c r="H526" s="34">
        <v>2.91038304567337E-11</v>
      </c>
      <c r="I526" s="114"/>
      <c r="J526" s="19"/>
      <c r="K526" s="21"/>
      <c r="L526" s="22"/>
      <c r="M526" s="23"/>
      <c r="O526" s="19" t="str">
        <f>VLOOKUP(QUERY_FOR_TRNSTRANSPOSED_0008!A526,'[6]Fin vs NFin'!$A$4:$F$568,6,FALSE)</f>
        <v>Não Financeiras</v>
      </c>
      <c r="P526" s="24" t="str">
        <f t="shared" si="11"/>
        <v>71</v>
      </c>
      <c r="Q526" s="24"/>
      <c r="R526" s="24"/>
      <c r="S526" s="24"/>
      <c r="T526" s="24"/>
    </row>
    <row r="527" spans="1:20">
      <c r="A527" s="38" t="s">
        <v>691</v>
      </c>
      <c r="B527" s="38" t="str">
        <f>VLOOKUP(A527,'[6]Fin vs NFin'!$A$4:$B$568,2,FALSE)</f>
        <v>!ICV's Créd Hipot. Cash</v>
      </c>
      <c r="C527" s="38" t="s">
        <v>82</v>
      </c>
      <c r="D527" s="38" t="s">
        <v>692</v>
      </c>
      <c r="E527" s="38" t="str">
        <f>VLOOKUP(D527,[6]Arvore!$N$8:$Q$6855,4,FALSE)</f>
        <v>4198</v>
      </c>
      <c r="F527" s="39">
        <v>-4117855.6</v>
      </c>
      <c r="G527" s="39">
        <v>-10738845.619999999</v>
      </c>
      <c r="H527" s="40">
        <v>6620990.0199999996</v>
      </c>
      <c r="I527" s="108">
        <v>6.6356733441352803E-9</v>
      </c>
      <c r="J527" s="39"/>
      <c r="K527" s="21"/>
      <c r="L527" s="41"/>
      <c r="M527" s="42"/>
      <c r="O527" s="39" t="str">
        <f>VLOOKUP(QUERY_FOR_TRNSTRANSPOSED_0008!A527,'[6]Fin vs NFin'!$A$4:$F$568,6,FALSE)</f>
        <v>Mista (Fin)</v>
      </c>
      <c r="P527" s="43" t="str">
        <f t="shared" si="11"/>
        <v>71</v>
      </c>
      <c r="Q527" s="43"/>
      <c r="R527" s="43"/>
      <c r="S527" s="43"/>
      <c r="T527" s="43"/>
    </row>
    <row r="528" spans="1:20">
      <c r="A528" s="18" t="s">
        <v>691</v>
      </c>
      <c r="B528" s="18" t="str">
        <f>VLOOKUP(A528,'[6]Fin vs NFin'!$A$4:$B$568,2,FALSE)</f>
        <v>!ICV's Créd Hipot. Cash</v>
      </c>
      <c r="C528" s="18" t="s">
        <v>82</v>
      </c>
      <c r="D528" s="18" t="s">
        <v>693</v>
      </c>
      <c r="E528" s="18" t="str">
        <f>VLOOKUP(D528,[6]Arvore!$N$8:$Q$6855,4,FALSE)</f>
        <v>4198</v>
      </c>
      <c r="F528" s="19">
        <v>-4850865.6900000004</v>
      </c>
      <c r="G528" s="19">
        <v>-413981.62</v>
      </c>
      <c r="H528" s="20">
        <v>-4436884.07</v>
      </c>
      <c r="I528" s="114"/>
      <c r="J528" s="19"/>
      <c r="K528" s="21"/>
      <c r="L528" s="22"/>
      <c r="M528" s="23"/>
      <c r="O528" s="19" t="str">
        <f>VLOOKUP(QUERY_FOR_TRNSTRANSPOSED_0008!A528,'[6]Fin vs NFin'!$A$4:$F$568,6,FALSE)</f>
        <v>Mista (Fin)</v>
      </c>
      <c r="P528" s="24" t="str">
        <f t="shared" si="11"/>
        <v>71</v>
      </c>
      <c r="Q528" s="24"/>
      <c r="R528" s="24"/>
      <c r="S528" s="24"/>
      <c r="T528" s="24"/>
    </row>
    <row r="529" spans="1:20">
      <c r="A529" s="18" t="s">
        <v>691</v>
      </c>
      <c r="B529" s="18" t="str">
        <f>VLOOKUP(A529,'[6]Fin vs NFin'!$A$4:$B$568,2,FALSE)</f>
        <v>!ICV's Créd Hipot. Cash</v>
      </c>
      <c r="C529" s="18" t="s">
        <v>67</v>
      </c>
      <c r="D529" s="18" t="s">
        <v>692</v>
      </c>
      <c r="E529" s="18" t="str">
        <f>VLOOKUP(D529,[6]Arvore!$N$8:$Q$6855,4,FALSE)</f>
        <v>4198</v>
      </c>
      <c r="F529" s="19">
        <v>0</v>
      </c>
      <c r="G529" s="19">
        <v>8226320.0800000001</v>
      </c>
      <c r="H529" s="20">
        <v>-8226320.0800000001</v>
      </c>
      <c r="I529" s="114"/>
      <c r="J529" s="19"/>
      <c r="K529" s="21"/>
      <c r="L529" s="22"/>
      <c r="M529" s="23"/>
      <c r="O529" s="19" t="str">
        <f>VLOOKUP(QUERY_FOR_TRNSTRANSPOSED_0008!A529,'[6]Fin vs NFin'!$A$4:$F$568,6,FALSE)</f>
        <v>Mista (Fin)</v>
      </c>
      <c r="P529" s="24" t="str">
        <f t="shared" si="11"/>
        <v>71</v>
      </c>
      <c r="Q529" s="24"/>
      <c r="R529" s="24"/>
      <c r="S529" s="24"/>
      <c r="T529" s="24"/>
    </row>
    <row r="530" spans="1:20">
      <c r="A530" s="18" t="s">
        <v>691</v>
      </c>
      <c r="B530" s="18" t="str">
        <f>VLOOKUP(A530,'[6]Fin vs NFin'!$A$4:$B$568,2,FALSE)</f>
        <v>!ICV's Créd Hipot. Cash</v>
      </c>
      <c r="C530" s="18" t="s">
        <v>67</v>
      </c>
      <c r="D530" s="18" t="s">
        <v>694</v>
      </c>
      <c r="E530" s="18" t="str">
        <f>VLOOKUP(D530,[6]Arvore!$N$8:$Q$6855,4,FALSE)</f>
        <v>4030310570</v>
      </c>
      <c r="F530" s="19">
        <v>-5512548.3899999997</v>
      </c>
      <c r="G530" s="19">
        <v>-12290853.48</v>
      </c>
      <c r="H530" s="20">
        <v>6778305.0899999999</v>
      </c>
      <c r="I530" s="114"/>
      <c r="J530" s="19"/>
      <c r="K530" s="21"/>
      <c r="L530" s="22"/>
      <c r="M530" s="23"/>
      <c r="O530" s="19" t="str">
        <f>VLOOKUP(QUERY_FOR_TRNSTRANSPOSED_0008!A530,'[6]Fin vs NFin'!$A$4:$F$568,6,FALSE)</f>
        <v>Mista (Fin)</v>
      </c>
      <c r="P530" s="24" t="str">
        <f t="shared" si="11"/>
        <v>71</v>
      </c>
      <c r="Q530" s="24"/>
      <c r="R530" s="24"/>
      <c r="S530" s="24"/>
      <c r="T530" s="24" t="str">
        <f>VLOOKUP(D530,[6]Mapeamento!$A$38:$C$497,3,FALSE)</f>
        <v>REC_MF</v>
      </c>
    </row>
    <row r="531" spans="1:20">
      <c r="A531" s="18" t="s">
        <v>691</v>
      </c>
      <c r="B531" s="18" t="str">
        <f>VLOOKUP(A531,'[6]Fin vs NFin'!$A$4:$B$568,2,FALSE)</f>
        <v>!ICV's Créd Hipot. Cash</v>
      </c>
      <c r="C531" s="18" t="s">
        <v>695</v>
      </c>
      <c r="D531" s="18" t="s">
        <v>693</v>
      </c>
      <c r="E531" s="18" t="str">
        <f>VLOOKUP(D531,[6]Arvore!$N$8:$Q$6855,4,FALSE)</f>
        <v>4198</v>
      </c>
      <c r="F531" s="19">
        <v>-47164.44</v>
      </c>
      <c r="G531" s="19">
        <v>0</v>
      </c>
      <c r="H531" s="20">
        <v>-47164.44</v>
      </c>
      <c r="I531" s="114"/>
      <c r="J531" s="19"/>
      <c r="K531" s="21"/>
      <c r="L531" s="22"/>
      <c r="M531" s="23"/>
      <c r="O531" s="19" t="str">
        <f>VLOOKUP(QUERY_FOR_TRNSTRANSPOSED_0008!A531,'[6]Fin vs NFin'!$A$4:$F$568,6,FALSE)</f>
        <v>Mista (Fin)</v>
      </c>
      <c r="P531" s="24" t="str">
        <f t="shared" si="11"/>
        <v>71</v>
      </c>
      <c r="Q531" s="24"/>
      <c r="R531" s="24"/>
      <c r="S531" s="24"/>
      <c r="T531" s="24"/>
    </row>
    <row r="532" spans="1:20">
      <c r="A532" s="18" t="s">
        <v>691</v>
      </c>
      <c r="B532" s="18" t="str">
        <f>VLOOKUP(A532,'[6]Fin vs NFin'!$A$4:$B$568,2,FALSE)</f>
        <v>!ICV's Créd Hipot. Cash</v>
      </c>
      <c r="C532" s="18" t="s">
        <v>695</v>
      </c>
      <c r="D532" s="18" t="s">
        <v>694</v>
      </c>
      <c r="E532" s="18" t="str">
        <f>VLOOKUP(D532,[6]Arvore!$N$8:$Q$6855,4,FALSE)</f>
        <v>4030310570</v>
      </c>
      <c r="F532" s="19">
        <v>-324892.13</v>
      </c>
      <c r="G532" s="19">
        <v>-341668.45</v>
      </c>
      <c r="H532" s="20">
        <v>16776.32</v>
      </c>
      <c r="I532" s="114"/>
      <c r="J532" s="19"/>
      <c r="K532" s="21"/>
      <c r="L532" s="22"/>
      <c r="M532" s="23"/>
      <c r="O532" s="19" t="str">
        <f>VLOOKUP(QUERY_FOR_TRNSTRANSPOSED_0008!A532,'[6]Fin vs NFin'!$A$4:$F$568,6,FALSE)</f>
        <v>Mista (Fin)</v>
      </c>
      <c r="P532" s="24" t="str">
        <f t="shared" si="11"/>
        <v>71</v>
      </c>
      <c r="Q532" s="24"/>
      <c r="R532" s="24"/>
      <c r="S532" s="24"/>
      <c r="T532" s="24" t="str">
        <f>VLOOKUP(D532,[6]Mapeamento!$A$38:$C$497,3,FALSE)</f>
        <v>REC_MF</v>
      </c>
    </row>
    <row r="533" spans="1:20">
      <c r="A533" s="18" t="s">
        <v>691</v>
      </c>
      <c r="B533" s="18" t="str">
        <f>VLOOKUP(A533,'[6]Fin vs NFin'!$A$4:$B$568,2,FALSE)</f>
        <v>!ICV's Créd Hipot. Cash</v>
      </c>
      <c r="C533" s="18" t="s">
        <v>696</v>
      </c>
      <c r="D533" s="18" t="s">
        <v>693</v>
      </c>
      <c r="E533" s="18" t="str">
        <f>VLOOKUP(D533,[6]Arvore!$N$8:$Q$6855,4,FALSE)</f>
        <v>4198</v>
      </c>
      <c r="F533" s="19">
        <v>4177.83</v>
      </c>
      <c r="G533" s="19">
        <v>0</v>
      </c>
      <c r="H533" s="20">
        <v>4177.83</v>
      </c>
      <c r="I533" s="114"/>
      <c r="J533" s="19"/>
      <c r="K533" s="21"/>
      <c r="L533" s="22"/>
      <c r="M533" s="23"/>
      <c r="O533" s="19" t="str">
        <f>VLOOKUP(QUERY_FOR_TRNSTRANSPOSED_0008!A533,'[6]Fin vs NFin'!$A$4:$F$568,6,FALSE)</f>
        <v>Mista (Fin)</v>
      </c>
      <c r="P533" s="24" t="str">
        <f t="shared" si="11"/>
        <v>71</v>
      </c>
      <c r="Q533" s="24"/>
      <c r="R533" s="24"/>
      <c r="S533" s="24"/>
      <c r="T533" s="24"/>
    </row>
    <row r="534" spans="1:20">
      <c r="A534" s="18" t="s">
        <v>691</v>
      </c>
      <c r="B534" s="18" t="str">
        <f>VLOOKUP(A534,'[6]Fin vs NFin'!$A$4:$B$568,2,FALSE)</f>
        <v>!ICV's Créd Hipot. Cash</v>
      </c>
      <c r="C534" s="18" t="s">
        <v>696</v>
      </c>
      <c r="D534" s="18" t="s">
        <v>694</v>
      </c>
      <c r="E534" s="18" t="str">
        <f>VLOOKUP(D534,[6]Arvore!$N$8:$Q$6855,4,FALSE)</f>
        <v>4030310570</v>
      </c>
      <c r="F534" s="19">
        <v>-57164.9</v>
      </c>
      <c r="G534" s="19">
        <v>-82579.19</v>
      </c>
      <c r="H534" s="20">
        <v>25414.29</v>
      </c>
      <c r="I534" s="114"/>
      <c r="J534" s="19"/>
      <c r="K534" s="21"/>
      <c r="L534" s="22"/>
      <c r="M534" s="23"/>
      <c r="O534" s="19" t="str">
        <f>VLOOKUP(QUERY_FOR_TRNSTRANSPOSED_0008!A534,'[6]Fin vs NFin'!$A$4:$F$568,6,FALSE)</f>
        <v>Mista (Fin)</v>
      </c>
      <c r="P534" s="24" t="str">
        <f t="shared" si="11"/>
        <v>71</v>
      </c>
      <c r="Q534" s="24"/>
      <c r="R534" s="24"/>
      <c r="S534" s="24"/>
      <c r="T534" s="24" t="str">
        <f>VLOOKUP(D534,[6]Mapeamento!$A$38:$C$497,3,FALSE)</f>
        <v>REC_MF</v>
      </c>
    </row>
    <row r="535" spans="1:20">
      <c r="A535" s="18" t="s">
        <v>691</v>
      </c>
      <c r="B535" s="18" t="str">
        <f>VLOOKUP(A535,'[6]Fin vs NFin'!$A$4:$B$568,2,FALSE)</f>
        <v>!ICV's Créd Hipot. Cash</v>
      </c>
      <c r="C535" s="18" t="s">
        <v>697</v>
      </c>
      <c r="D535" s="18" t="s">
        <v>694</v>
      </c>
      <c r="E535" s="18" t="str">
        <f>VLOOKUP(D535,[6]Arvore!$N$8:$Q$6855,4,FALSE)</f>
        <v>4030310570</v>
      </c>
      <c r="F535" s="19">
        <v>-44292496.579999998</v>
      </c>
      <c r="G535" s="19">
        <v>-44223279.049999997</v>
      </c>
      <c r="H535" s="20">
        <v>-69217.530000001207</v>
      </c>
      <c r="I535" s="114"/>
      <c r="J535" s="19"/>
      <c r="K535" s="21"/>
      <c r="L535" s="22"/>
      <c r="M535" s="23"/>
      <c r="O535" s="19" t="str">
        <f>VLOOKUP(QUERY_FOR_TRNSTRANSPOSED_0008!A535,'[6]Fin vs NFin'!$A$4:$F$568,6,FALSE)</f>
        <v>Mista (Fin)</v>
      </c>
      <c r="P535" s="24" t="str">
        <f t="shared" si="11"/>
        <v>71</v>
      </c>
      <c r="Q535" s="24"/>
      <c r="R535" s="24"/>
      <c r="S535" s="24"/>
      <c r="T535" s="24" t="str">
        <f>VLOOKUP(D535,[6]Mapeamento!$A$38:$C$497,3,FALSE)</f>
        <v>REC_MF</v>
      </c>
    </row>
    <row r="536" spans="1:20" ht="15" thickBot="1">
      <c r="A536" s="11" t="s">
        <v>691</v>
      </c>
      <c r="B536" s="11" t="str">
        <f>VLOOKUP(A536,'[6]Fin vs NFin'!$A$4:$B$568,2,FALSE)</f>
        <v>!ICV's Créd Hipot. Cash</v>
      </c>
      <c r="C536" s="11" t="s">
        <v>698</v>
      </c>
      <c r="D536" s="11" t="s">
        <v>694</v>
      </c>
      <c r="E536" s="11" t="str">
        <f>VLOOKUP(D536,[6]Arvore!$N$8:$Q$6855,4,FALSE)</f>
        <v>4030310570</v>
      </c>
      <c r="F536" s="12">
        <v>-124378485.42</v>
      </c>
      <c r="G536" s="12">
        <v>-123712407.98999999</v>
      </c>
      <c r="H536" s="13">
        <v>-666077.42999999202</v>
      </c>
      <c r="I536" s="109"/>
      <c r="J536" s="12"/>
      <c r="K536" s="21"/>
      <c r="L536" s="15"/>
      <c r="M536" s="16"/>
      <c r="O536" s="12" t="str">
        <f>VLOOKUP(QUERY_FOR_TRNSTRANSPOSED_0008!A536,'[6]Fin vs NFin'!$A$4:$F$568,6,FALSE)</f>
        <v>Mista (Fin)</v>
      </c>
      <c r="P536" s="17" t="str">
        <f t="shared" si="11"/>
        <v>71</v>
      </c>
      <c r="Q536" s="17"/>
      <c r="R536" s="17"/>
      <c r="S536" s="17"/>
      <c r="T536" s="17" t="str">
        <f>VLOOKUP(D536,[6]Mapeamento!$A$38:$C$497,3,FALSE)</f>
        <v>REC_MF</v>
      </c>
    </row>
    <row r="537" spans="1:20">
      <c r="A537" s="18" t="s">
        <v>699</v>
      </c>
      <c r="B537" s="18" t="str">
        <f>VLOOKUP(A537,'[6]Fin vs NFin'!$A$4:$B$568,2,FALSE)</f>
        <v>!ICV's Créd Hipot. Period.</v>
      </c>
      <c r="C537" s="18" t="s">
        <v>67</v>
      </c>
      <c r="D537" s="18" t="s">
        <v>700</v>
      </c>
      <c r="E537" s="18" t="str">
        <f>VLOOKUP(D537,[6]Arvore!$N$8:$Q$6855,4,FALSE)</f>
        <v>4198</v>
      </c>
      <c r="F537" s="19">
        <v>-1409205.97</v>
      </c>
      <c r="G537" s="19">
        <v>10738845.619999999</v>
      </c>
      <c r="H537" s="20">
        <v>-12148051.59</v>
      </c>
      <c r="I537" s="108">
        <v>-3.7252902984619099E-9</v>
      </c>
      <c r="J537" s="19"/>
      <c r="K537" s="21"/>
      <c r="L537" s="22"/>
      <c r="M537" s="23"/>
      <c r="O537" s="19" t="str">
        <f>VLOOKUP(QUERY_FOR_TRNSTRANSPOSED_0008!A537,'[6]Fin vs NFin'!$A$4:$F$568,6,FALSE)</f>
        <v>Financeiras</v>
      </c>
      <c r="P537" s="24" t="str">
        <f t="shared" si="11"/>
        <v>71</v>
      </c>
      <c r="Q537" s="24"/>
      <c r="R537" s="24"/>
      <c r="S537" s="24"/>
      <c r="T537" s="24"/>
    </row>
    <row r="538" spans="1:20">
      <c r="A538" s="18" t="s">
        <v>699</v>
      </c>
      <c r="B538" s="18" t="str">
        <f>VLOOKUP(A538,'[6]Fin vs NFin'!$A$4:$B$568,2,FALSE)</f>
        <v>!ICV's Créd Hipot. Period.</v>
      </c>
      <c r="C538" s="18" t="s">
        <v>67</v>
      </c>
      <c r="D538" s="18" t="s">
        <v>701</v>
      </c>
      <c r="E538" s="18" t="str">
        <f>VLOOKUP(D538,[6]Arvore!$N$8:$Q$6855,4,FALSE)</f>
        <v>4030310570</v>
      </c>
      <c r="F538" s="19">
        <v>9436754.2599999998</v>
      </c>
      <c r="G538" s="19">
        <v>-2711297.33</v>
      </c>
      <c r="H538" s="20">
        <v>12148051.59</v>
      </c>
      <c r="I538" s="114"/>
      <c r="J538" s="19"/>
      <c r="K538" s="21"/>
      <c r="L538" s="22"/>
      <c r="M538" s="23"/>
      <c r="O538" s="19" t="str">
        <f>VLOOKUP(QUERY_FOR_TRNSTRANSPOSED_0008!A538,'[6]Fin vs NFin'!$A$4:$F$568,6,FALSE)</f>
        <v>Financeiras</v>
      </c>
      <c r="P538" s="24" t="str">
        <f t="shared" si="11"/>
        <v>71</v>
      </c>
      <c r="Q538" s="24"/>
      <c r="R538" s="24"/>
      <c r="S538" s="24"/>
      <c r="T538" s="24" t="str">
        <f>VLOOKUP(D538,[6]Mapeamento!$A$38:$C$497,3,FALSE)</f>
        <v>REC_MF</v>
      </c>
    </row>
    <row r="539" spans="1:20">
      <c r="A539" s="18" t="s">
        <v>699</v>
      </c>
      <c r="B539" s="18" t="str">
        <f>VLOOKUP(A539,'[6]Fin vs NFin'!$A$4:$B$568,2,FALSE)</f>
        <v>!ICV's Créd Hipot. Period.</v>
      </c>
      <c r="C539" s="18" t="s">
        <v>702</v>
      </c>
      <c r="D539" s="18" t="s">
        <v>693</v>
      </c>
      <c r="E539" s="18" t="str">
        <f>VLOOKUP(D539,[6]Arvore!$N$8:$Q$6855,4,FALSE)</f>
        <v>4198</v>
      </c>
      <c r="F539" s="19">
        <v>10001443.93</v>
      </c>
      <c r="G539" s="19">
        <v>0</v>
      </c>
      <c r="H539" s="20">
        <v>10001443.93</v>
      </c>
      <c r="I539" s="114"/>
      <c r="J539" s="19"/>
      <c r="K539" s="21"/>
      <c r="L539" s="22"/>
      <c r="M539" s="23"/>
      <c r="O539" s="19" t="str">
        <f>VLOOKUP(QUERY_FOR_TRNSTRANSPOSED_0008!A539,'[6]Fin vs NFin'!$A$4:$F$568,6,FALSE)</f>
        <v>Financeiras</v>
      </c>
      <c r="P539" s="24" t="str">
        <f t="shared" si="11"/>
        <v>71</v>
      </c>
      <c r="Q539" s="24"/>
      <c r="R539" s="24"/>
      <c r="S539" s="24"/>
      <c r="T539" s="24"/>
    </row>
    <row r="540" spans="1:20" ht="15" thickBot="1">
      <c r="A540" s="11" t="s">
        <v>699</v>
      </c>
      <c r="B540" s="11" t="str">
        <f>VLOOKUP(A540,'[6]Fin vs NFin'!$A$4:$B$568,2,FALSE)</f>
        <v>!ICV's Créd Hipot. Period.</v>
      </c>
      <c r="C540" s="11" t="s">
        <v>702</v>
      </c>
      <c r="D540" s="11" t="s">
        <v>694</v>
      </c>
      <c r="E540" s="11" t="str">
        <f>VLOOKUP(D540,[6]Arvore!$N$8:$Q$6855,4,FALSE)</f>
        <v>4030310570</v>
      </c>
      <c r="F540" s="12">
        <v>139532885.83000001</v>
      </c>
      <c r="G540" s="12">
        <v>149534329.75999999</v>
      </c>
      <c r="H540" s="13">
        <v>-10001443.93</v>
      </c>
      <c r="I540" s="109"/>
      <c r="J540" s="12"/>
      <c r="K540" s="21"/>
      <c r="L540" s="15"/>
      <c r="M540" s="16"/>
      <c r="O540" s="12" t="str">
        <f>VLOOKUP(QUERY_FOR_TRNSTRANSPOSED_0008!A540,'[6]Fin vs NFin'!$A$4:$F$568,6,FALSE)</f>
        <v>Financeiras</v>
      </c>
      <c r="P540" s="17" t="str">
        <f t="shared" si="11"/>
        <v>71</v>
      </c>
      <c r="Q540" s="17"/>
      <c r="R540" s="17"/>
      <c r="S540" s="17"/>
      <c r="T540" s="17" t="str">
        <f>VLOOKUP(D540,[6]Mapeamento!$A$38:$C$497,3,FALSE)</f>
        <v>REC_MF</v>
      </c>
    </row>
    <row r="541" spans="1:20" ht="15" thickBot="1">
      <c r="A541" s="32" t="s">
        <v>703</v>
      </c>
      <c r="B541" s="32" t="str">
        <f>VLOOKUP(A541,'[6]Fin vs NFin'!$A$4:$B$568,2,FALSE)</f>
        <v>!ICV's Créd Consumo Cash</v>
      </c>
      <c r="C541" s="32" t="s">
        <v>82</v>
      </c>
      <c r="D541" s="32" t="s">
        <v>704</v>
      </c>
      <c r="E541" s="32" t="str">
        <f>VLOOKUP(D541,[6]Arvore!$N$8:$Q$6855,4,FALSE)</f>
        <v>403031357</v>
      </c>
      <c r="F541" s="33">
        <v>-33547.69</v>
      </c>
      <c r="G541" s="33">
        <v>-33547.69</v>
      </c>
      <c r="H541" s="34">
        <v>1.45519152283669E-11</v>
      </c>
      <c r="I541" s="52">
        <v>1.45519152283669E-11</v>
      </c>
      <c r="J541" s="19"/>
      <c r="K541" s="21"/>
      <c r="L541" s="22"/>
      <c r="M541" s="23"/>
      <c r="O541" s="19" t="str">
        <f>VLOOKUP(QUERY_FOR_TRNSTRANSPOSED_0008!A541,'[6]Fin vs NFin'!$A$4:$F$568,6,FALSE)</f>
        <v>Financeiras</v>
      </c>
      <c r="P541" s="24" t="str">
        <f t="shared" si="11"/>
        <v>71</v>
      </c>
      <c r="Q541" s="24"/>
      <c r="R541" s="24"/>
      <c r="S541" s="24"/>
      <c r="T541" s="24" t="str">
        <f>VLOOKUP(D541,[6]Mapeamento!$A$38:$C$497,3,FALSE)</f>
        <v>REC_MF</v>
      </c>
    </row>
    <row r="542" spans="1:20" ht="15" thickBot="1">
      <c r="A542" s="49" t="s">
        <v>705</v>
      </c>
      <c r="B542" s="49" t="str">
        <f>VLOOKUP(A542,'[6]Fin vs NFin'!$A$4:$B$568,2,FALSE)</f>
        <v>!ICV's Créd Mútuos Cash</v>
      </c>
      <c r="C542" s="49" t="s">
        <v>82</v>
      </c>
      <c r="D542" s="49" t="s">
        <v>706</v>
      </c>
      <c r="E542" s="49" t="str">
        <f>VLOOKUP(D542,[6]Arvore!$N$8:$Q$6855,4,FALSE)</f>
        <v>403031347</v>
      </c>
      <c r="F542" s="50">
        <v>36.220000000000297</v>
      </c>
      <c r="G542" s="50">
        <v>36.220000000000098</v>
      </c>
      <c r="H542" s="51">
        <v>1.5631940186722199E-13</v>
      </c>
      <c r="I542" s="52">
        <v>1.5631940186722199E-13</v>
      </c>
      <c r="J542" s="39"/>
      <c r="K542" s="21"/>
      <c r="L542" s="41"/>
      <c r="M542" s="42"/>
      <c r="O542" s="39" t="str">
        <f>VLOOKUP(QUERY_FOR_TRNSTRANSPOSED_0008!A542,'[6]Fin vs NFin'!$A$4:$F$568,6,FALSE)</f>
        <v>Financeiras</v>
      </c>
      <c r="P542" s="43" t="str">
        <f t="shared" si="11"/>
        <v>71</v>
      </c>
      <c r="Q542" s="43"/>
      <c r="R542" s="43"/>
      <c r="S542" s="43"/>
      <c r="T542" s="43" t="str">
        <f>VLOOKUP(D542,[6]Mapeamento!$A$38:$C$497,3,FALSE)</f>
        <v>REC_MF</v>
      </c>
    </row>
    <row r="543" spans="1:20">
      <c r="A543" s="38" t="s">
        <v>707</v>
      </c>
      <c r="B543" s="38" t="str">
        <f>VLOOKUP(A543,'[6]Fin vs NFin'!$A$4:$B$568,2,FALSE)</f>
        <v>!Custos Transf.-Cash</v>
      </c>
      <c r="C543" s="38" t="s">
        <v>708</v>
      </c>
      <c r="D543" s="38" t="s">
        <v>709</v>
      </c>
      <c r="E543" s="38" t="str">
        <f>VLOOKUP(D543,[6]Arvore!$N$8:$Q$6855,4,FALSE)</f>
        <v>5015305700</v>
      </c>
      <c r="F543" s="39">
        <v>-7842.12</v>
      </c>
      <c r="G543" s="39">
        <v>-5030</v>
      </c>
      <c r="H543" s="40">
        <v>-2812.12</v>
      </c>
      <c r="I543" s="115">
        <v>45.0000000037235</v>
      </c>
      <c r="J543" s="110">
        <f>I543+H1233</f>
        <v>3.7234997307677986E-9</v>
      </c>
      <c r="K543" s="21"/>
      <c r="L543" s="41"/>
      <c r="M543" s="42"/>
      <c r="O543" s="39" t="str">
        <f>VLOOKUP(QUERY_FOR_TRNSTRANSPOSED_0008!A543,'[6]Fin vs NFin'!$A$4:$F$568,6,FALSE)</f>
        <v>Financeiras</v>
      </c>
      <c r="P543" s="43" t="str">
        <f t="shared" si="11"/>
        <v>71</v>
      </c>
      <c r="Q543" s="43"/>
      <c r="R543" s="43"/>
      <c r="S543" s="43"/>
      <c r="T543" s="43" t="str">
        <f>VLOOKUP(D543,[6]Mapeamento!$A$38:$C$497,3,FALSE)</f>
        <v>REC_MF</v>
      </c>
    </row>
    <row r="544" spans="1:20">
      <c r="A544" s="32" t="s">
        <v>707</v>
      </c>
      <c r="B544" s="32" t="str">
        <f>VLOOKUP(A544,'[6]Fin vs NFin'!$A$4:$B$568,2,FALSE)</f>
        <v>!Custos Transf.-Cash</v>
      </c>
      <c r="C544" s="32" t="s">
        <v>710</v>
      </c>
      <c r="D544" s="32" t="s">
        <v>294</v>
      </c>
      <c r="E544" s="32" t="str">
        <f>VLOOKUP(D544,[6]Arvore!$N$8:$Q$6855,4,FALSE)</f>
        <v>55088091</v>
      </c>
      <c r="F544" s="33">
        <v>-621.35</v>
      </c>
      <c r="G544" s="33">
        <v>-621.35</v>
      </c>
      <c r="H544" s="34">
        <v>0</v>
      </c>
      <c r="I544" s="116"/>
      <c r="J544" s="117"/>
      <c r="K544" s="21"/>
      <c r="L544" s="22"/>
      <c r="M544" s="23"/>
      <c r="O544" s="19" t="str">
        <f>VLOOKUP(QUERY_FOR_TRNSTRANSPOSED_0008!A544,'[6]Fin vs NFin'!$A$4:$F$568,6,FALSE)</f>
        <v>Financeiras</v>
      </c>
      <c r="P544" s="24" t="str">
        <f t="shared" si="11"/>
        <v>89</v>
      </c>
      <c r="Q544" s="24" t="str">
        <f>VLOOKUP(D544,[6]Mapeamento!$A$38:$C$497,3,FALSE)</f>
        <v>OREX</v>
      </c>
      <c r="R544" s="24"/>
      <c r="S544" s="24"/>
      <c r="T544" s="24"/>
    </row>
    <row r="545" spans="1:20">
      <c r="A545" s="32" t="s">
        <v>707</v>
      </c>
      <c r="B545" s="32" t="str">
        <f>VLOOKUP(A545,'[6]Fin vs NFin'!$A$4:$B$568,2,FALSE)</f>
        <v>!Custos Transf.-Cash</v>
      </c>
      <c r="C545" s="32" t="s">
        <v>711</v>
      </c>
      <c r="D545" s="32" t="s">
        <v>709</v>
      </c>
      <c r="E545" s="32" t="str">
        <f>VLOOKUP(D545,[6]Arvore!$N$8:$Q$6855,4,FALSE)</f>
        <v>5015305700</v>
      </c>
      <c r="F545" s="33">
        <v>14287.2</v>
      </c>
      <c r="G545" s="33">
        <v>14287.2</v>
      </c>
      <c r="H545" s="34">
        <v>0</v>
      </c>
      <c r="I545" s="116"/>
      <c r="J545" s="117"/>
      <c r="K545" s="21"/>
      <c r="L545" s="22"/>
      <c r="M545" s="23"/>
      <c r="O545" s="19" t="str">
        <f>VLOOKUP(QUERY_FOR_TRNSTRANSPOSED_0008!A545,'[6]Fin vs NFin'!$A$4:$F$568,6,FALSE)</f>
        <v>Financeiras</v>
      </c>
      <c r="P545" s="24" t="str">
        <f t="shared" si="11"/>
        <v>71</v>
      </c>
      <c r="Q545" s="24"/>
      <c r="R545" s="24"/>
      <c r="S545" s="24"/>
      <c r="T545" s="24" t="str">
        <f>VLOOKUP(D545,[6]Mapeamento!$A$38:$C$497,3,FALSE)</f>
        <v>REC_MF</v>
      </c>
    </row>
    <row r="546" spans="1:20">
      <c r="A546" s="32" t="s">
        <v>707</v>
      </c>
      <c r="B546" s="32" t="str">
        <f>VLOOKUP(A546,'[6]Fin vs NFin'!$A$4:$B$568,2,FALSE)</f>
        <v>!Custos Transf.-Cash</v>
      </c>
      <c r="C546" s="32" t="s">
        <v>712</v>
      </c>
      <c r="D546" s="32" t="s">
        <v>709</v>
      </c>
      <c r="E546" s="32" t="str">
        <f>VLOOKUP(D546,[6]Arvore!$N$8:$Q$6855,4,FALSE)</f>
        <v>5015305700</v>
      </c>
      <c r="F546" s="33">
        <v>-25488838.190000001</v>
      </c>
      <c r="G546" s="33">
        <v>-25488838.190000001</v>
      </c>
      <c r="H546" s="34">
        <v>3.7252902984619099E-9</v>
      </c>
      <c r="I546" s="116"/>
      <c r="J546" s="117"/>
      <c r="K546" s="21"/>
      <c r="L546" s="22"/>
      <c r="M546" s="23"/>
      <c r="O546" s="19" t="str">
        <f>VLOOKUP(QUERY_FOR_TRNSTRANSPOSED_0008!A546,'[6]Fin vs NFin'!$A$4:$F$568,6,FALSE)</f>
        <v>Financeiras</v>
      </c>
      <c r="P546" s="24" t="str">
        <f t="shared" si="11"/>
        <v>71</v>
      </c>
      <c r="Q546" s="24"/>
      <c r="R546" s="24"/>
      <c r="S546" s="24"/>
      <c r="T546" s="24" t="str">
        <f>VLOOKUP(D546,[6]Mapeamento!$A$38:$C$497,3,FALSE)</f>
        <v>REC_MF</v>
      </c>
    </row>
    <row r="547" spans="1:20">
      <c r="A547" s="32" t="s">
        <v>707</v>
      </c>
      <c r="B547" s="32" t="str">
        <f>VLOOKUP(A547,'[6]Fin vs NFin'!$A$4:$B$568,2,FALSE)</f>
        <v>!Custos Transf.-Cash</v>
      </c>
      <c r="C547" s="32" t="s">
        <v>713</v>
      </c>
      <c r="D547" s="32" t="s">
        <v>709</v>
      </c>
      <c r="E547" s="32" t="str">
        <f>VLOOKUP(D547,[6]Arvore!$N$8:$Q$6855,4,FALSE)</f>
        <v>5015305700</v>
      </c>
      <c r="F547" s="33">
        <v>-4955.37</v>
      </c>
      <c r="G547" s="33">
        <v>-4955.37</v>
      </c>
      <c r="H547" s="34">
        <v>-9.0949470177292804E-13</v>
      </c>
      <c r="I547" s="116"/>
      <c r="J547" s="117"/>
      <c r="K547" s="21"/>
      <c r="L547" s="22"/>
      <c r="M547" s="23"/>
      <c r="O547" s="19" t="str">
        <f>VLOOKUP(QUERY_FOR_TRNSTRANSPOSED_0008!A547,'[6]Fin vs NFin'!$A$4:$F$568,6,FALSE)</f>
        <v>Financeiras</v>
      </c>
      <c r="P547" s="24" t="str">
        <f t="shared" si="11"/>
        <v>71</v>
      </c>
      <c r="Q547" s="24"/>
      <c r="R547" s="24"/>
      <c r="S547" s="24"/>
      <c r="T547" s="24" t="str">
        <f>VLOOKUP(D547,[6]Mapeamento!$A$38:$C$497,3,FALSE)</f>
        <v>REC_MF</v>
      </c>
    </row>
    <row r="548" spans="1:20">
      <c r="A548" s="18" t="s">
        <v>707</v>
      </c>
      <c r="B548" s="18" t="str">
        <f>VLOOKUP(A548,'[6]Fin vs NFin'!$A$4:$B$568,2,FALSE)</f>
        <v>!Custos Transf.-Cash</v>
      </c>
      <c r="C548" s="18" t="s">
        <v>714</v>
      </c>
      <c r="D548" s="18" t="s">
        <v>709</v>
      </c>
      <c r="E548" s="18" t="str">
        <f>VLOOKUP(D548,[6]Arvore!$N$8:$Q$6855,4,FALSE)</f>
        <v>5015305700</v>
      </c>
      <c r="F548" s="61">
        <f>-600</f>
        <v>-600</v>
      </c>
      <c r="G548" s="19">
        <v>-645</v>
      </c>
      <c r="H548" s="20">
        <v>0</v>
      </c>
      <c r="I548" s="116"/>
      <c r="J548" s="117"/>
      <c r="K548" s="21"/>
      <c r="L548" s="22"/>
      <c r="M548" s="23"/>
      <c r="O548" s="19" t="str">
        <f>VLOOKUP(QUERY_FOR_TRNSTRANSPOSED_0008!A548,'[6]Fin vs NFin'!$A$4:$F$568,6,FALSE)</f>
        <v>Financeiras</v>
      </c>
      <c r="P548" s="24" t="str">
        <f t="shared" si="11"/>
        <v>71</v>
      </c>
      <c r="Q548" s="24"/>
      <c r="R548" s="24"/>
      <c r="S548" s="24"/>
      <c r="T548" s="24" t="str">
        <f>VLOOKUP(D548,[6]Mapeamento!$A$38:$C$497,3,FALSE)</f>
        <v>REC_MF</v>
      </c>
    </row>
    <row r="549" spans="1:20" ht="15" thickBot="1">
      <c r="A549" s="18" t="s">
        <v>707</v>
      </c>
      <c r="B549" s="18" t="str">
        <f>VLOOKUP(A549,'[6]Fin vs NFin'!$A$4:$B$568,2,FALSE)</f>
        <v>!Custos Transf.-Cash</v>
      </c>
      <c r="C549" s="18" t="s">
        <v>67</v>
      </c>
      <c r="D549" s="18" t="s">
        <v>709</v>
      </c>
      <c r="E549" s="18" t="str">
        <f>VLOOKUP(D549,[6]Arvore!$N$8:$Q$6855,4,FALSE)</f>
        <v>5015305700</v>
      </c>
      <c r="F549" s="19">
        <v>-2391.39</v>
      </c>
      <c r="G549" s="19">
        <v>-5203.51</v>
      </c>
      <c r="H549" s="20">
        <v>2812.12</v>
      </c>
      <c r="I549" s="116"/>
      <c r="J549" s="111"/>
      <c r="K549" s="21"/>
      <c r="L549" s="22"/>
      <c r="M549" s="23"/>
      <c r="O549" s="19" t="str">
        <f>VLOOKUP(QUERY_FOR_TRNSTRANSPOSED_0008!A549,'[6]Fin vs NFin'!$A$4:$F$568,6,FALSE)</f>
        <v>Financeiras</v>
      </c>
      <c r="P549" s="24" t="str">
        <f t="shared" si="11"/>
        <v>71</v>
      </c>
      <c r="Q549" s="24"/>
      <c r="R549" s="24"/>
      <c r="S549" s="24"/>
      <c r="T549" s="24" t="str">
        <f>VLOOKUP(D549,[6]Mapeamento!$A$38:$C$497,3,FALSE)</f>
        <v>REC_MF</v>
      </c>
    </row>
    <row r="550" spans="1:20">
      <c r="A550" s="49" t="s">
        <v>715</v>
      </c>
      <c r="B550" s="49" t="str">
        <f>VLOOKUP(A550,'[6]Fin vs NFin'!$A$4:$B$568,2,FALSE)</f>
        <v>!Custos Transf.-Periodif</v>
      </c>
      <c r="C550" s="49" t="s">
        <v>716</v>
      </c>
      <c r="D550" s="49" t="s">
        <v>717</v>
      </c>
      <c r="E550" s="49" t="str">
        <f>VLOOKUP(D550,[6]Arvore!$N$8:$Q$6855,4,FALSE)</f>
        <v>4198</v>
      </c>
      <c r="F550" s="50">
        <v>-18.829999999999998</v>
      </c>
      <c r="G550" s="50">
        <v>-18.829999999999998</v>
      </c>
      <c r="H550" s="51">
        <v>-3.5527136788005001E-15</v>
      </c>
      <c r="I550" s="108">
        <v>-3.5527136788005001E-15</v>
      </c>
      <c r="J550" s="39"/>
      <c r="K550" s="21"/>
      <c r="L550" s="41"/>
      <c r="M550" s="42"/>
      <c r="O550" s="39" t="str">
        <f>VLOOKUP(QUERY_FOR_TRNSTRANSPOSED_0008!A550,'[6]Fin vs NFin'!$A$4:$F$568,6,FALSE)</f>
        <v>Financeiras</v>
      </c>
      <c r="P550" s="43" t="str">
        <f t="shared" si="11"/>
        <v>71</v>
      </c>
      <c r="Q550" s="43"/>
      <c r="R550" s="43"/>
      <c r="S550" s="43"/>
      <c r="T550" s="43"/>
    </row>
    <row r="551" spans="1:20" ht="15" thickBot="1">
      <c r="A551" s="32" t="s">
        <v>715</v>
      </c>
      <c r="B551" s="32" t="str">
        <f>VLOOKUP(A551,'[6]Fin vs NFin'!$A$4:$B$568,2,FALSE)</f>
        <v>!Custos Transf.-Periodif</v>
      </c>
      <c r="C551" s="32" t="s">
        <v>718</v>
      </c>
      <c r="D551" s="32" t="s">
        <v>709</v>
      </c>
      <c r="E551" s="32" t="str">
        <f>VLOOKUP(D551,[6]Arvore!$N$8:$Q$6855,4,FALSE)</f>
        <v>5015305700</v>
      </c>
      <c r="F551" s="33">
        <v>10854054.58</v>
      </c>
      <c r="G551" s="33">
        <v>10854054.58</v>
      </c>
      <c r="H551" s="34">
        <v>0</v>
      </c>
      <c r="I551" s="114"/>
      <c r="J551" s="19"/>
      <c r="K551" s="21"/>
      <c r="L551" s="22"/>
      <c r="M551" s="23"/>
      <c r="O551" s="19" t="str">
        <f>VLOOKUP(QUERY_FOR_TRNSTRANSPOSED_0008!A551,'[6]Fin vs NFin'!$A$4:$F$568,6,FALSE)</f>
        <v>Financeiras</v>
      </c>
      <c r="P551" s="24" t="str">
        <f t="shared" si="11"/>
        <v>71</v>
      </c>
      <c r="Q551" s="24"/>
      <c r="R551" s="24"/>
      <c r="S551" s="24"/>
      <c r="T551" s="24" t="str">
        <f>VLOOKUP(D551,[6]Mapeamento!$A$38:$C$497,3,FALSE)</f>
        <v>REC_MF</v>
      </c>
    </row>
    <row r="552" spans="1:20">
      <c r="A552" s="49" t="s">
        <v>719</v>
      </c>
      <c r="B552" s="49" t="str">
        <f>VLOOKUP(A552,'[6]Fin vs NFin'!$A$4:$B$568,2,FALSE)</f>
        <v>!GH Outras</v>
      </c>
      <c r="C552" s="49" t="s">
        <v>720</v>
      </c>
      <c r="D552" s="49" t="s">
        <v>432</v>
      </c>
      <c r="E552" s="49" t="str">
        <f>VLOOKUP(D552,[6]Arvore!$N$8:$Q$6855,4,FALSE)</f>
        <v>519399</v>
      </c>
      <c r="F552" s="50">
        <v>1922.07</v>
      </c>
      <c r="G552" s="50">
        <v>1922.07</v>
      </c>
      <c r="H552" s="51">
        <v>0</v>
      </c>
      <c r="I552" s="108">
        <f>SUM(H552:H556)</f>
        <v>-106.37000000003556</v>
      </c>
      <c r="J552" s="39"/>
      <c r="K552" s="21"/>
      <c r="L552" s="41"/>
      <c r="M552" s="42"/>
      <c r="O552" s="39" t="str">
        <f>VLOOKUP(QUERY_FOR_TRNSTRANSPOSED_0008!A552,'[6]Fin vs NFin'!$A$4:$F$568,6,FALSE)</f>
        <v>Não Financeiras</v>
      </c>
      <c r="P552" s="43" t="str">
        <f t="shared" si="11"/>
        <v>82</v>
      </c>
      <c r="Q552" s="43"/>
      <c r="R552" s="43"/>
      <c r="S552" s="43"/>
      <c r="T552" s="43"/>
    </row>
    <row r="553" spans="1:20">
      <c r="A553" s="32" t="s">
        <v>719</v>
      </c>
      <c r="B553" s="32" t="str">
        <f>VLOOKUP(A553,'[6]Fin vs NFin'!$A$4:$B$568,2,FALSE)</f>
        <v>!GH Outras</v>
      </c>
      <c r="C553" s="32" t="s">
        <v>721</v>
      </c>
      <c r="D553" s="32" t="s">
        <v>722</v>
      </c>
      <c r="E553" s="32" t="str">
        <f>VLOOKUP(D553,[6]Arvore!$N$8:$Q$6855,4,FALSE)</f>
        <v>4311811</v>
      </c>
      <c r="F553" s="33">
        <v>-938.05</v>
      </c>
      <c r="G553" s="33">
        <v>-938.05</v>
      </c>
      <c r="H553" s="34">
        <v>0</v>
      </c>
      <c r="I553" s="114"/>
      <c r="J553" s="19"/>
      <c r="K553" s="21"/>
      <c r="L553" s="22"/>
      <c r="M553" s="23"/>
      <c r="O553" s="19" t="str">
        <f>VLOOKUP(QUERY_FOR_TRNSTRANSPOSED_0008!A553,'[6]Fin vs NFin'!$A$4:$F$568,6,FALSE)</f>
        <v>Não Financeiras</v>
      </c>
      <c r="P553" s="24" t="str">
        <f t="shared" si="11"/>
        <v>89</v>
      </c>
      <c r="Q553" s="24"/>
      <c r="R553" s="24" t="str">
        <f>VLOOKUP(D553,[6]Mapeamento!$A$38:$C$497,3,FALSE)</f>
        <v>GG</v>
      </c>
      <c r="S553" s="24"/>
      <c r="T553" s="24"/>
    </row>
    <row r="554" spans="1:20">
      <c r="A554" s="18" t="s">
        <v>719</v>
      </c>
      <c r="B554" s="18" t="str">
        <f>VLOOKUP(A554,'[6]Fin vs NFin'!$A$4:$B$568,2,FALSE)</f>
        <v>!GH Outras</v>
      </c>
      <c r="C554" s="18" t="s">
        <v>723</v>
      </c>
      <c r="D554" s="18" t="s">
        <v>724</v>
      </c>
      <c r="E554" s="18" t="str">
        <f>VLOOKUP(D554,[6]Arvore!$N$8:$Q$6855,4,FALSE)</f>
        <v>41499</v>
      </c>
      <c r="F554" s="19">
        <v>-139.61000000000001</v>
      </c>
      <c r="G554" s="19">
        <v>-33.239999999999398</v>
      </c>
      <c r="H554" s="20">
        <v>-106.370000000001</v>
      </c>
      <c r="I554" s="114"/>
      <c r="J554" s="19"/>
      <c r="K554" s="21"/>
      <c r="L554" s="22"/>
      <c r="M554" s="23"/>
      <c r="O554" s="19" t="str">
        <f>VLOOKUP(QUERY_FOR_TRNSTRANSPOSED_0008!A554,'[6]Fin vs NFin'!$A$4:$F$568,6,FALSE)</f>
        <v>Não Financeiras</v>
      </c>
      <c r="P554" s="24" t="str">
        <f t="shared" si="11"/>
        <v>77</v>
      </c>
      <c r="Q554" s="24"/>
      <c r="R554" s="24"/>
      <c r="S554" s="24"/>
      <c r="T554" s="24"/>
    </row>
    <row r="555" spans="1:20">
      <c r="A555" s="32" t="s">
        <v>719</v>
      </c>
      <c r="B555" s="32" t="str">
        <f>VLOOKUP(A555,'[6]Fin vs NFin'!$A$4:$B$568,2,FALSE)</f>
        <v>!GH Outras</v>
      </c>
      <c r="C555" s="32" t="s">
        <v>723</v>
      </c>
      <c r="D555" s="32" t="s">
        <v>432</v>
      </c>
      <c r="E555" s="32" t="str">
        <f>VLOOKUP(D555,[6]Arvore!$N$8:$Q$6855,4,FALSE)</f>
        <v>519399</v>
      </c>
      <c r="F555" s="33">
        <v>4079.04</v>
      </c>
      <c r="G555" s="33">
        <v>4079.03999999998</v>
      </c>
      <c r="H555" s="34">
        <v>2.3646862246096099E-11</v>
      </c>
      <c r="I555" s="114"/>
      <c r="J555" s="19"/>
      <c r="K555" s="21"/>
      <c r="L555" s="22"/>
      <c r="M555" s="23"/>
      <c r="O555" s="19" t="str">
        <f>VLOOKUP(QUERY_FOR_TRNSTRANSPOSED_0008!A555,'[6]Fin vs NFin'!$A$4:$F$568,6,FALSE)</f>
        <v>Não Financeiras</v>
      </c>
      <c r="P555" s="24" t="str">
        <f t="shared" si="11"/>
        <v>82</v>
      </c>
      <c r="Q555" s="24"/>
      <c r="R555" s="24"/>
      <c r="S555" s="24"/>
      <c r="T555" s="24"/>
    </row>
    <row r="556" spans="1:20" ht="15" thickBot="1">
      <c r="A556" s="35" t="s">
        <v>719</v>
      </c>
      <c r="B556" s="35" t="str">
        <f>VLOOKUP(A556,'[6]Fin vs NFin'!$A$4:$B$568,2,FALSE)</f>
        <v>!GH Outras</v>
      </c>
      <c r="C556" s="35" t="s">
        <v>725</v>
      </c>
      <c r="D556" s="35" t="s">
        <v>627</v>
      </c>
      <c r="E556" s="35" t="str">
        <f>VLOOKUP(D556,[6]Arvore!$N$8:$Q$6855,4,FALSE)</f>
        <v>519399</v>
      </c>
      <c r="F556" s="36">
        <v>-183646.58</v>
      </c>
      <c r="G556" s="36">
        <v>-183646.58</v>
      </c>
      <c r="H556" s="37">
        <v>-5.8207660913467401E-11</v>
      </c>
      <c r="I556" s="109"/>
      <c r="J556" s="12"/>
      <c r="K556" s="21"/>
      <c r="L556" s="15"/>
      <c r="M556" s="16"/>
      <c r="O556" s="12" t="str">
        <f>VLOOKUP(QUERY_FOR_TRNSTRANSPOSED_0008!A556,'[6]Fin vs NFin'!$A$4:$F$568,6,FALSE)</f>
        <v>Não Financeiras</v>
      </c>
      <c r="P556" s="17" t="str">
        <f t="shared" si="11"/>
        <v>82</v>
      </c>
      <c r="Q556" s="17"/>
      <c r="R556" s="17"/>
      <c r="S556" s="17"/>
      <c r="T556" s="17"/>
    </row>
    <row r="557" spans="1:20" ht="15" thickBot="1">
      <c r="A557" s="44" t="s">
        <v>726</v>
      </c>
      <c r="B557" s="44" t="str">
        <f>VLOOKUP(A557,'[6]Fin vs NFin'!$A$4:$B$568,2,FALSE)</f>
        <v>!Custos Projetos</v>
      </c>
      <c r="C557" s="44" t="s">
        <v>67</v>
      </c>
      <c r="D557" s="44" t="s">
        <v>364</v>
      </c>
      <c r="E557" s="44" t="str">
        <f>VLOOKUP(D557,[6]Arvore!$N$8:$Q$6855,4,FALSE)</f>
        <v>501530470</v>
      </c>
      <c r="F557" s="45">
        <v>-59523.72</v>
      </c>
      <c r="G557" s="45">
        <v>-59523.72</v>
      </c>
      <c r="H557" s="46">
        <v>0</v>
      </c>
      <c r="I557" s="28">
        <v>0</v>
      </c>
      <c r="J557" s="26"/>
      <c r="L557" s="29"/>
      <c r="M557" s="30"/>
      <c r="O557" s="26" t="str">
        <f>VLOOKUP(QUERY_FOR_TRNSTRANSPOSED_0008!A557,'[6]Fin vs NFin'!$A$4:$F$568,6,FALSE)</f>
        <v>Financeiras</v>
      </c>
      <c r="P557" s="31" t="str">
        <f t="shared" si="11"/>
        <v>82</v>
      </c>
      <c r="Q557" s="31"/>
      <c r="R557" s="31"/>
      <c r="S557" s="31"/>
      <c r="T557" s="31" t="str">
        <f>VLOOKUP(D557,[6]Mapeamento!$A$38:$C$497,3,FALSE)</f>
        <v>REC_MF</v>
      </c>
    </row>
    <row r="558" spans="1:20" ht="15" thickBot="1">
      <c r="A558" s="44" t="s">
        <v>727</v>
      </c>
      <c r="B558" s="44" t="str">
        <f>VLOOKUP(A558,'[6]Fin vs NFin'!$A$4:$B$568,2,FALSE)</f>
        <v>!Mark. Dig. Crédito Cash</v>
      </c>
      <c r="C558" s="44" t="s">
        <v>67</v>
      </c>
      <c r="D558" s="44" t="s">
        <v>728</v>
      </c>
      <c r="E558" s="44" t="str">
        <f>VLOOKUP(D558,[6]Arvore!$N$8:$Q$6855,4,FALSE)</f>
        <v>4198</v>
      </c>
      <c r="F558" s="45">
        <v>-2063783.79</v>
      </c>
      <c r="G558" s="45">
        <v>-2063783.79</v>
      </c>
      <c r="H558" s="46">
        <v>2.3283064365386999E-10</v>
      </c>
      <c r="I558" s="28">
        <v>2.3283064365386999E-10</v>
      </c>
      <c r="J558" s="26"/>
      <c r="L558" s="29"/>
      <c r="M558" s="30"/>
      <c r="O558" s="26" t="str">
        <f>VLOOKUP(QUERY_FOR_TRNSTRANSPOSED_0008!A558,'[6]Fin vs NFin'!$A$4:$F$568,6,FALSE)</f>
        <v>Não Financeiras</v>
      </c>
      <c r="P558" s="31" t="str">
        <f t="shared" si="11"/>
        <v>71</v>
      </c>
      <c r="Q558" s="31"/>
      <c r="R558" s="31"/>
      <c r="S558" s="31"/>
      <c r="T558" s="31"/>
    </row>
    <row r="559" spans="1:20" ht="15" thickBot="1">
      <c r="A559" s="44" t="s">
        <v>729</v>
      </c>
      <c r="B559" s="44" t="str">
        <f>VLOOKUP(A559,'[6]Fin vs NFin'!$A$4:$B$568,2,FALSE)</f>
        <v>!Mark. Dig. Crédito Period</v>
      </c>
      <c r="C559" s="44" t="s">
        <v>67</v>
      </c>
      <c r="D559" s="44" t="s">
        <v>730</v>
      </c>
      <c r="E559" s="44" t="str">
        <f>VLOOKUP(D559,[6]Arvore!$N$8:$Q$6855,4,FALSE)</f>
        <v>4198</v>
      </c>
      <c r="F559" s="45">
        <v>602962.5</v>
      </c>
      <c r="G559" s="45">
        <v>602962.5</v>
      </c>
      <c r="H559" s="46">
        <v>1.16415321826935E-10</v>
      </c>
      <c r="I559" s="28">
        <v>1.16415321826935E-10</v>
      </c>
      <c r="J559" s="26"/>
      <c r="L559" s="29"/>
      <c r="M559" s="30"/>
      <c r="O559" s="26" t="str">
        <f>VLOOKUP(QUERY_FOR_TRNSTRANSPOSED_0008!A559,'[6]Fin vs NFin'!$A$4:$F$568,6,FALSE)</f>
        <v>Não Financeiras</v>
      </c>
      <c r="P559" s="31" t="str">
        <f t="shared" si="11"/>
        <v>71</v>
      </c>
      <c r="Q559" s="31"/>
      <c r="R559" s="31"/>
      <c r="S559" s="31"/>
      <c r="T559" s="31"/>
    </row>
    <row r="560" spans="1:20" ht="15" thickBot="1">
      <c r="A560" s="44" t="s">
        <v>731</v>
      </c>
      <c r="B560" s="44" t="str">
        <f>VLOOKUP(A560,'[6]Fin vs NFin'!$A$4:$B$568,2,FALSE)</f>
        <v>!Mark.Dig.Créd.Hipotecário</v>
      </c>
      <c r="C560" s="44" t="s">
        <v>67</v>
      </c>
      <c r="D560" s="44" t="s">
        <v>732</v>
      </c>
      <c r="E560" s="44" t="str">
        <f>VLOOKUP(D560,[6]Arvore!$N$8:$Q$6855,4,FALSE)</f>
        <v>4030310570</v>
      </c>
      <c r="F560" s="45">
        <v>-341202.47</v>
      </c>
      <c r="G560" s="45">
        <v>-341202.47</v>
      </c>
      <c r="H560" s="46">
        <v>0</v>
      </c>
      <c r="I560" s="28">
        <v>0</v>
      </c>
      <c r="J560" s="26"/>
      <c r="L560" s="29"/>
      <c r="M560" s="30"/>
      <c r="O560" s="26" t="str">
        <f>VLOOKUP(QUERY_FOR_TRNSTRANSPOSED_0008!A560,'[6]Fin vs NFin'!$A$4:$F$568,6,FALSE)</f>
        <v>Não Financeiras</v>
      </c>
      <c r="P560" s="31" t="str">
        <f t="shared" si="11"/>
        <v>71</v>
      </c>
      <c r="Q560" s="31"/>
      <c r="R560" s="31"/>
      <c r="S560" s="31"/>
      <c r="T560" s="31"/>
    </row>
    <row r="561" spans="1:20">
      <c r="A561" s="18" t="s">
        <v>733</v>
      </c>
      <c r="B561" s="18" t="str">
        <f>VLOOKUP(A561,'[6]Fin vs NFin'!$A$4:$B$568,2,FALSE)</f>
        <v>!OP Emitidas</v>
      </c>
      <c r="C561" s="18" t="s">
        <v>734</v>
      </c>
      <c r="D561" s="18" t="s">
        <v>735</v>
      </c>
      <c r="E561" s="18" t="str">
        <f>VLOOKUP(D561,[6]Arvore!$N$8:$Q$6855,4,FALSE)</f>
        <v>431111</v>
      </c>
      <c r="F561" s="19">
        <v>1796782.16</v>
      </c>
      <c r="G561" s="19">
        <v>1387697.21</v>
      </c>
      <c r="H561" s="20">
        <v>409084.95</v>
      </c>
      <c r="I561" s="108">
        <v>-3.60436388680289</v>
      </c>
      <c r="J561" s="19"/>
      <c r="K561" s="21"/>
      <c r="L561" s="22"/>
      <c r="M561" s="23"/>
      <c r="O561" s="19" t="str">
        <f>VLOOKUP(QUERY_FOR_TRNSTRANSPOSED_0008!A561,'[6]Fin vs NFin'!$A$4:$F$568,6,FALSE)</f>
        <v>Não Financeiras</v>
      </c>
      <c r="P561" s="24" t="str">
        <f t="shared" si="11"/>
        <v>89</v>
      </c>
      <c r="Q561" s="24"/>
      <c r="R561" s="24" t="str">
        <f>VLOOKUP(D561,[6]Mapeamento!$A$38:$C$497,3,FALSE)</f>
        <v>GG</v>
      </c>
      <c r="S561" s="24"/>
      <c r="T561" s="24"/>
    </row>
    <row r="562" spans="1:20">
      <c r="A562" s="18" t="s">
        <v>733</v>
      </c>
      <c r="B562" s="18" t="str">
        <f>VLOOKUP(A562,'[6]Fin vs NFin'!$A$4:$B$568,2,FALSE)</f>
        <v>!OP Emitidas</v>
      </c>
      <c r="C562" s="18" t="s">
        <v>736</v>
      </c>
      <c r="D562" s="18" t="s">
        <v>737</v>
      </c>
      <c r="E562" s="18" t="str">
        <f>VLOOKUP(D562,[6]Arvore!$N$8:$Q$6855,4,FALSE)</f>
        <v>51516</v>
      </c>
      <c r="F562" s="19">
        <v>2140392.2400000002</v>
      </c>
      <c r="G562" s="19">
        <v>2553741.2000000002</v>
      </c>
      <c r="H562" s="20">
        <v>-413348.96</v>
      </c>
      <c r="I562" s="114"/>
      <c r="J562" s="19"/>
      <c r="K562" s="21"/>
      <c r="L562" s="22"/>
      <c r="M562" s="23"/>
      <c r="O562" s="19" t="str">
        <f>VLOOKUP(QUERY_FOR_TRNSTRANSPOSED_0008!A562,'[6]Fin vs NFin'!$A$4:$F$568,6,FALSE)</f>
        <v>Não Financeiras</v>
      </c>
      <c r="P562" s="24" t="str">
        <f t="shared" si="11"/>
        <v>82</v>
      </c>
      <c r="Q562" s="24"/>
      <c r="R562" s="24"/>
      <c r="S562" s="24"/>
      <c r="T562" s="24"/>
    </row>
    <row r="563" spans="1:20">
      <c r="A563" s="18" t="s">
        <v>733</v>
      </c>
      <c r="B563" s="18" t="str">
        <f>VLOOKUP(A563,'[6]Fin vs NFin'!$A$4:$B$568,2,FALSE)</f>
        <v>!OP Emitidas</v>
      </c>
      <c r="C563" s="18" t="s">
        <v>738</v>
      </c>
      <c r="D563" s="18" t="s">
        <v>737</v>
      </c>
      <c r="E563" s="18" t="str">
        <f>VLOOKUP(D563,[6]Arvore!$N$8:$Q$6855,4,FALSE)</f>
        <v>51516</v>
      </c>
      <c r="F563" s="19" t="s">
        <v>84</v>
      </c>
      <c r="G563" s="19">
        <v>75</v>
      </c>
      <c r="H563" s="20">
        <v>-75</v>
      </c>
      <c r="I563" s="114"/>
      <c r="J563" s="19"/>
      <c r="K563" s="21"/>
      <c r="L563" s="22"/>
      <c r="M563" s="23"/>
      <c r="O563" s="19" t="str">
        <f>VLOOKUP(QUERY_FOR_TRNSTRANSPOSED_0008!A563,'[6]Fin vs NFin'!$A$4:$F$568,6,FALSE)</f>
        <v>Não Financeiras</v>
      </c>
      <c r="P563" s="24" t="str">
        <f t="shared" si="11"/>
        <v>82</v>
      </c>
      <c r="Q563" s="24"/>
      <c r="R563" s="24"/>
      <c r="S563" s="24"/>
      <c r="T563" s="24"/>
    </row>
    <row r="564" spans="1:20">
      <c r="A564" s="18" t="s">
        <v>733</v>
      </c>
      <c r="B564" s="18" t="str">
        <f>VLOOKUP(A564,'[6]Fin vs NFin'!$A$4:$B$568,2,FALSE)</f>
        <v>!OP Emitidas</v>
      </c>
      <c r="C564" s="18" t="s">
        <v>739</v>
      </c>
      <c r="D564" s="18" t="s">
        <v>737</v>
      </c>
      <c r="E564" s="18" t="str">
        <f>VLOOKUP(D564,[6]Arvore!$N$8:$Q$6855,4,FALSE)</f>
        <v>51516</v>
      </c>
      <c r="F564" s="19">
        <v>-29</v>
      </c>
      <c r="G564" s="19">
        <v>-1354.16</v>
      </c>
      <c r="H564" s="20">
        <v>1325.16</v>
      </c>
      <c r="I564" s="114"/>
      <c r="J564" s="19"/>
      <c r="K564" s="21"/>
      <c r="L564" s="22"/>
      <c r="M564" s="23"/>
      <c r="O564" s="19" t="str">
        <f>VLOOKUP(QUERY_FOR_TRNSTRANSPOSED_0008!A564,'[6]Fin vs NFin'!$A$4:$F$568,6,FALSE)</f>
        <v>Não Financeiras</v>
      </c>
      <c r="P564" s="24" t="str">
        <f t="shared" si="11"/>
        <v>82</v>
      </c>
      <c r="Q564" s="24"/>
      <c r="R564" s="24"/>
      <c r="S564" s="24"/>
      <c r="T564" s="24"/>
    </row>
    <row r="565" spans="1:20">
      <c r="A565" s="18" t="s">
        <v>733</v>
      </c>
      <c r="B565" s="18" t="str">
        <f>VLOOKUP(A565,'[6]Fin vs NFin'!$A$4:$B$568,2,FALSE)</f>
        <v>!OP Emitidas</v>
      </c>
      <c r="C565" s="18" t="s">
        <v>740</v>
      </c>
      <c r="D565" s="18" t="s">
        <v>737</v>
      </c>
      <c r="E565" s="18" t="str">
        <f>VLOOKUP(D565,[6]Arvore!$N$8:$Q$6855,4,FALSE)</f>
        <v>51516</v>
      </c>
      <c r="F565" s="19">
        <v>-137.5</v>
      </c>
      <c r="G565" s="19">
        <v>-230</v>
      </c>
      <c r="H565" s="20">
        <v>92.5</v>
      </c>
      <c r="I565" s="114"/>
      <c r="J565" s="19"/>
      <c r="K565" s="21"/>
      <c r="L565" s="22"/>
      <c r="M565" s="23"/>
      <c r="O565" s="19" t="str">
        <f>VLOOKUP(QUERY_FOR_TRNSTRANSPOSED_0008!A565,'[6]Fin vs NFin'!$A$4:$F$568,6,FALSE)</f>
        <v>Não Financeiras</v>
      </c>
      <c r="P565" s="24" t="str">
        <f t="shared" si="11"/>
        <v>82</v>
      </c>
      <c r="Q565" s="24"/>
      <c r="R565" s="24"/>
      <c r="S565" s="24"/>
      <c r="T565" s="24"/>
    </row>
    <row r="566" spans="1:20">
      <c r="A566" s="18" t="s">
        <v>733</v>
      </c>
      <c r="B566" s="18" t="str">
        <f>VLOOKUP(A566,'[6]Fin vs NFin'!$A$4:$B$568,2,FALSE)</f>
        <v>!OP Emitidas</v>
      </c>
      <c r="C566" s="18" t="s">
        <v>741</v>
      </c>
      <c r="D566" s="18" t="s">
        <v>737</v>
      </c>
      <c r="E566" s="18" t="str">
        <f>VLOOKUP(D566,[6]Arvore!$N$8:$Q$6855,4,FALSE)</f>
        <v>51516</v>
      </c>
      <c r="F566" s="19">
        <v>-18</v>
      </c>
      <c r="G566" s="19">
        <v>-1321.25</v>
      </c>
      <c r="H566" s="20">
        <v>1303.25</v>
      </c>
      <c r="I566" s="114"/>
      <c r="J566" s="19"/>
      <c r="K566" s="21"/>
      <c r="L566" s="22"/>
      <c r="M566" s="23"/>
      <c r="O566" s="19" t="str">
        <f>VLOOKUP(QUERY_FOR_TRNSTRANSPOSED_0008!A566,'[6]Fin vs NFin'!$A$4:$F$568,6,FALSE)</f>
        <v>Não Financeiras</v>
      </c>
      <c r="P566" s="24" t="str">
        <f t="shared" si="11"/>
        <v>82</v>
      </c>
      <c r="Q566" s="24"/>
      <c r="R566" s="24"/>
      <c r="S566" s="24"/>
      <c r="T566" s="24"/>
    </row>
    <row r="567" spans="1:20">
      <c r="A567" s="18" t="s">
        <v>733</v>
      </c>
      <c r="B567" s="18" t="str">
        <f>VLOOKUP(A567,'[6]Fin vs NFin'!$A$4:$B$568,2,FALSE)</f>
        <v>!OP Emitidas</v>
      </c>
      <c r="C567" s="18" t="s">
        <v>742</v>
      </c>
      <c r="D567" s="18" t="s">
        <v>743</v>
      </c>
      <c r="E567" s="18" t="str">
        <f>VLOOKUP(D567,[6]Arvore!$N$8:$Q$6855,4,FALSE)</f>
        <v>431110</v>
      </c>
      <c r="F567" s="19">
        <v>1420.92</v>
      </c>
      <c r="G567" s="19">
        <v>651.29460200704102</v>
      </c>
      <c r="H567" s="20">
        <v>769.62539799295905</v>
      </c>
      <c r="I567" s="114"/>
      <c r="J567" s="19"/>
      <c r="K567" s="21"/>
      <c r="L567" s="22"/>
      <c r="M567" s="23"/>
      <c r="O567" s="19" t="str">
        <f>VLOOKUP(QUERY_FOR_TRNSTRANSPOSED_0008!A567,'[6]Fin vs NFin'!$A$4:$F$568,6,FALSE)</f>
        <v>Não Financeiras</v>
      </c>
      <c r="P567" s="24" t="str">
        <f t="shared" si="11"/>
        <v>89</v>
      </c>
      <c r="Q567" s="24"/>
      <c r="R567" s="24" t="str">
        <f>VLOOKUP(D567,[6]Mapeamento!$A$38:$C$497,3,FALSE)</f>
        <v>GG</v>
      </c>
      <c r="S567" s="24"/>
      <c r="T567" s="24"/>
    </row>
    <row r="568" spans="1:20">
      <c r="A568" s="18" t="s">
        <v>733</v>
      </c>
      <c r="B568" s="18" t="str">
        <f>VLOOKUP(A568,'[6]Fin vs NFin'!$A$4:$B$568,2,FALSE)</f>
        <v>!OP Emitidas</v>
      </c>
      <c r="C568" s="18" t="s">
        <v>744</v>
      </c>
      <c r="D568" s="18" t="s">
        <v>743</v>
      </c>
      <c r="E568" s="18" t="str">
        <f>VLOOKUP(D568,[6]Arvore!$N$8:$Q$6855,4,FALSE)</f>
        <v>431110</v>
      </c>
      <c r="F568" s="19">
        <v>11765.3</v>
      </c>
      <c r="G568" s="19">
        <v>11582.1596097205</v>
      </c>
      <c r="H568" s="20">
        <v>183.140390279499</v>
      </c>
      <c r="I568" s="114"/>
      <c r="J568" s="19"/>
      <c r="K568" s="21"/>
      <c r="L568" s="22"/>
      <c r="M568" s="23"/>
      <c r="O568" s="19" t="str">
        <f>VLOOKUP(QUERY_FOR_TRNSTRANSPOSED_0008!A568,'[6]Fin vs NFin'!$A$4:$F$568,6,FALSE)</f>
        <v>Não Financeiras</v>
      </c>
      <c r="P568" s="24" t="str">
        <f t="shared" si="11"/>
        <v>89</v>
      </c>
      <c r="Q568" s="24"/>
      <c r="R568" s="24" t="str">
        <f>VLOOKUP(D568,[6]Mapeamento!$A$38:$C$497,3,FALSE)</f>
        <v>GG</v>
      </c>
      <c r="S568" s="24"/>
      <c r="T568" s="24"/>
    </row>
    <row r="569" spans="1:20">
      <c r="A569" s="18" t="s">
        <v>733</v>
      </c>
      <c r="B569" s="18" t="str">
        <f>VLOOKUP(A569,'[6]Fin vs NFin'!$A$4:$B$568,2,FALSE)</f>
        <v>!OP Emitidas</v>
      </c>
      <c r="C569" s="18" t="s">
        <v>745</v>
      </c>
      <c r="D569" s="18" t="s">
        <v>743</v>
      </c>
      <c r="E569" s="18" t="str">
        <f>VLOOKUP(D569,[6]Arvore!$N$8:$Q$6855,4,FALSE)</f>
        <v>431110</v>
      </c>
      <c r="F569" s="19">
        <v>4158.47</v>
      </c>
      <c r="G569" s="19">
        <v>3542.5916237472302</v>
      </c>
      <c r="H569" s="20">
        <v>615.87837625276995</v>
      </c>
      <c r="I569" s="114"/>
      <c r="J569" s="19"/>
      <c r="K569" s="21"/>
      <c r="L569" s="22"/>
      <c r="M569" s="23"/>
      <c r="O569" s="19" t="str">
        <f>VLOOKUP(QUERY_FOR_TRNSTRANSPOSED_0008!A569,'[6]Fin vs NFin'!$A$4:$F$568,6,FALSE)</f>
        <v>Não Financeiras</v>
      </c>
      <c r="P569" s="24" t="str">
        <f t="shared" si="11"/>
        <v>89</v>
      </c>
      <c r="Q569" s="24"/>
      <c r="R569" s="24" t="str">
        <f>VLOOKUP(D569,[6]Mapeamento!$A$38:$C$497,3,FALSE)</f>
        <v>GG</v>
      </c>
      <c r="S569" s="24"/>
      <c r="T569" s="24"/>
    </row>
    <row r="570" spans="1:20">
      <c r="A570" s="18" t="s">
        <v>733</v>
      </c>
      <c r="B570" s="18" t="str">
        <f>VLOOKUP(A570,'[6]Fin vs NFin'!$A$4:$B$568,2,FALSE)</f>
        <v>!OP Emitidas</v>
      </c>
      <c r="C570" s="18" t="s">
        <v>746</v>
      </c>
      <c r="D570" s="18" t="s">
        <v>76</v>
      </c>
      <c r="E570" s="18" t="str">
        <f>VLOOKUP(D570,[6]Arvore!$N$8:$Q$6855,4,FALSE)</f>
        <v>5151212</v>
      </c>
      <c r="F570" s="19">
        <v>112734.93</v>
      </c>
      <c r="G570" s="19">
        <v>112737.245102947</v>
      </c>
      <c r="H570" s="20">
        <v>-2.3151029469881901</v>
      </c>
      <c r="I570" s="114"/>
      <c r="J570" s="19"/>
      <c r="K570" s="21"/>
      <c r="L570" s="22"/>
      <c r="M570" s="23"/>
      <c r="O570" s="19" t="str">
        <f>VLOOKUP(QUERY_FOR_TRNSTRANSPOSED_0008!A570,'[6]Fin vs NFin'!$A$4:$F$568,6,FALSE)</f>
        <v>Não Financeiras</v>
      </c>
      <c r="P570" s="24" t="str">
        <f t="shared" si="11"/>
        <v>82</v>
      </c>
      <c r="Q570" s="24"/>
      <c r="R570" s="24"/>
      <c r="S570" s="24"/>
      <c r="T570" s="24"/>
    </row>
    <row r="571" spans="1:20" ht="15" thickBot="1">
      <c r="A571" s="11" t="s">
        <v>733</v>
      </c>
      <c r="B571" s="11" t="str">
        <f>VLOOKUP(A571,'[6]Fin vs NFin'!$A$4:$B$568,2,FALSE)</f>
        <v>!OP Emitidas</v>
      </c>
      <c r="C571" s="11" t="s">
        <v>747</v>
      </c>
      <c r="D571" s="11" t="s">
        <v>737</v>
      </c>
      <c r="E571" s="11" t="str">
        <f>VLOOKUP(D571,[6]Arvore!$N$8:$Q$6855,4,FALSE)</f>
        <v>51516</v>
      </c>
      <c r="F571" s="12" t="s">
        <v>84</v>
      </c>
      <c r="G571" s="12">
        <v>-48.166574534733698</v>
      </c>
      <c r="H571" s="13">
        <v>48.166574534733698</v>
      </c>
      <c r="I571" s="109"/>
      <c r="J571" s="12"/>
      <c r="K571" s="21"/>
      <c r="L571" s="15"/>
      <c r="M571" s="16"/>
      <c r="O571" s="12" t="str">
        <f>VLOOKUP(QUERY_FOR_TRNSTRANSPOSED_0008!A571,'[6]Fin vs NFin'!$A$4:$F$568,6,FALSE)</f>
        <v>Não Financeiras</v>
      </c>
      <c r="P571" s="17" t="str">
        <f t="shared" si="11"/>
        <v>82</v>
      </c>
      <c r="Q571" s="17"/>
      <c r="R571" s="17"/>
      <c r="S571" s="17"/>
      <c r="T571" s="17"/>
    </row>
    <row r="572" spans="1:20">
      <c r="A572" s="18" t="s">
        <v>748</v>
      </c>
      <c r="B572" s="18" t="str">
        <f>VLOOKUP(A572,'[6]Fin vs NFin'!$A$4:$B$568,2,FALSE)</f>
        <v>!OP Recebidas</v>
      </c>
      <c r="C572" s="18" t="s">
        <v>749</v>
      </c>
      <c r="D572" s="18" t="s">
        <v>750</v>
      </c>
      <c r="E572" s="18" t="str">
        <f>VLOOKUP(D572,[6]Arvore!$N$8:$Q$6855,4,FALSE)</f>
        <v>5151202</v>
      </c>
      <c r="F572" s="19">
        <v>1418143.8</v>
      </c>
      <c r="G572" s="19">
        <v>1420282.28</v>
      </c>
      <c r="H572" s="20">
        <v>-2138.47999999998</v>
      </c>
      <c r="I572" s="108">
        <v>16.950057133132301</v>
      </c>
      <c r="J572" s="19"/>
      <c r="K572" s="21"/>
      <c r="L572" s="22"/>
      <c r="M572" s="23"/>
      <c r="O572" s="19" t="str">
        <f>VLOOKUP(QUERY_FOR_TRNSTRANSPOSED_0008!A572,'[6]Fin vs NFin'!$A$4:$F$568,6,FALSE)</f>
        <v>Não Financeiras</v>
      </c>
      <c r="P572" s="24" t="str">
        <f t="shared" si="11"/>
        <v>82</v>
      </c>
      <c r="Q572" s="24"/>
      <c r="R572" s="24"/>
      <c r="S572" s="24"/>
      <c r="T572" s="24"/>
    </row>
    <row r="573" spans="1:20">
      <c r="A573" s="18" t="s">
        <v>748</v>
      </c>
      <c r="B573" s="18" t="str">
        <f>VLOOKUP(A573,'[6]Fin vs NFin'!$A$4:$B$568,2,FALSE)</f>
        <v>!OP Recebidas</v>
      </c>
      <c r="C573" s="18" t="s">
        <v>751</v>
      </c>
      <c r="D573" s="18" t="s">
        <v>750</v>
      </c>
      <c r="E573" s="18" t="str">
        <f>VLOOKUP(D573,[6]Arvore!$N$8:$Q$6855,4,FALSE)</f>
        <v>5151202</v>
      </c>
      <c r="F573" s="19">
        <v>-5068.49</v>
      </c>
      <c r="G573" s="19">
        <v>-7206.97</v>
      </c>
      <c r="H573" s="20">
        <v>2138.48</v>
      </c>
      <c r="I573" s="114"/>
      <c r="J573" s="19"/>
      <c r="K573" s="21"/>
      <c r="L573" s="22"/>
      <c r="M573" s="23"/>
      <c r="O573" s="19" t="str">
        <f>VLOOKUP(QUERY_FOR_TRNSTRANSPOSED_0008!A573,'[6]Fin vs NFin'!$A$4:$F$568,6,FALSE)</f>
        <v>Não Financeiras</v>
      </c>
      <c r="P573" s="24" t="str">
        <f t="shared" si="11"/>
        <v>82</v>
      </c>
      <c r="Q573" s="24"/>
      <c r="R573" s="24"/>
      <c r="S573" s="24"/>
      <c r="T573" s="24"/>
    </row>
    <row r="574" spans="1:20">
      <c r="A574" s="32" t="s">
        <v>748</v>
      </c>
      <c r="B574" s="32" t="str">
        <f>VLOOKUP(A574,'[6]Fin vs NFin'!$A$4:$B$568,2,FALSE)</f>
        <v>!OP Recebidas</v>
      </c>
      <c r="C574" s="32" t="s">
        <v>67</v>
      </c>
      <c r="D574" s="32" t="s">
        <v>750</v>
      </c>
      <c r="E574" s="32" t="str">
        <f>VLOOKUP(D574,[6]Arvore!$N$8:$Q$6855,4,FALSE)</f>
        <v>5151202</v>
      </c>
      <c r="F574" s="33">
        <v>140</v>
      </c>
      <c r="G574" s="33">
        <v>140</v>
      </c>
      <c r="H574" s="34">
        <v>0</v>
      </c>
      <c r="I574" s="114"/>
      <c r="J574" s="19"/>
      <c r="K574" s="21"/>
      <c r="L574" s="22"/>
      <c r="M574" s="23"/>
      <c r="O574" s="19" t="str">
        <f>VLOOKUP(QUERY_FOR_TRNSTRANSPOSED_0008!A574,'[6]Fin vs NFin'!$A$4:$F$568,6,FALSE)</f>
        <v>Não Financeiras</v>
      </c>
      <c r="P574" s="24" t="str">
        <f t="shared" si="11"/>
        <v>82</v>
      </c>
      <c r="Q574" s="24"/>
      <c r="R574" s="24"/>
      <c r="S574" s="24"/>
      <c r="T574" s="24"/>
    </row>
    <row r="575" spans="1:20">
      <c r="A575" s="18" t="s">
        <v>748</v>
      </c>
      <c r="B575" s="18" t="str">
        <f>VLOOKUP(A575,'[6]Fin vs NFin'!$A$4:$B$568,2,FALSE)</f>
        <v>!OP Recebidas</v>
      </c>
      <c r="C575" s="18" t="s">
        <v>752</v>
      </c>
      <c r="D575" s="18" t="s">
        <v>753</v>
      </c>
      <c r="E575" s="18" t="str">
        <f>VLOOKUP(D575,[6]Arvore!$N$8:$Q$6855,4,FALSE)</f>
        <v>416190</v>
      </c>
      <c r="F575" s="19">
        <v>-2432914.89</v>
      </c>
      <c r="G575" s="19">
        <v>-2434208.7986705299</v>
      </c>
      <c r="H575" s="20">
        <v>1293.90867052972</v>
      </c>
      <c r="I575" s="114"/>
      <c r="J575" s="19"/>
      <c r="K575" s="21"/>
      <c r="L575" s="22"/>
      <c r="M575" s="23"/>
      <c r="O575" s="19" t="str">
        <f>VLOOKUP(QUERY_FOR_TRNSTRANSPOSED_0008!A575,'[6]Fin vs NFin'!$A$4:$F$568,6,FALSE)</f>
        <v>Não Financeiras</v>
      </c>
      <c r="P575" s="24" t="str">
        <f t="shared" si="11"/>
        <v>71</v>
      </c>
      <c r="Q575" s="24"/>
      <c r="R575" s="24"/>
      <c r="S575" s="24"/>
      <c r="T575" s="24"/>
    </row>
    <row r="576" spans="1:20">
      <c r="A576" s="18" t="s">
        <v>748</v>
      </c>
      <c r="B576" s="18" t="str">
        <f>VLOOKUP(A576,'[6]Fin vs NFin'!$A$4:$B$568,2,FALSE)</f>
        <v>!OP Recebidas</v>
      </c>
      <c r="C576" s="18" t="s">
        <v>754</v>
      </c>
      <c r="D576" s="18" t="s">
        <v>750</v>
      </c>
      <c r="E576" s="18" t="str">
        <f>VLOOKUP(D576,[6]Arvore!$N$8:$Q$6855,4,FALSE)</f>
        <v>5151202</v>
      </c>
      <c r="F576" s="19">
        <v>160030.07999999999</v>
      </c>
      <c r="G576" s="19">
        <v>1076939</v>
      </c>
      <c r="H576" s="20">
        <v>-916908.92</v>
      </c>
      <c r="I576" s="114"/>
      <c r="J576" s="19"/>
      <c r="K576" s="21"/>
      <c r="L576" s="22"/>
      <c r="M576" s="23"/>
      <c r="O576" s="19" t="str">
        <f>VLOOKUP(QUERY_FOR_TRNSTRANSPOSED_0008!A576,'[6]Fin vs NFin'!$A$4:$F$568,6,FALSE)</f>
        <v>Não Financeiras</v>
      </c>
      <c r="P576" s="24" t="str">
        <f t="shared" si="11"/>
        <v>82</v>
      </c>
      <c r="Q576" s="24"/>
      <c r="R576" s="24"/>
      <c r="S576" s="24"/>
      <c r="T576" s="24"/>
    </row>
    <row r="577" spans="1:20">
      <c r="A577" s="18" t="s">
        <v>748</v>
      </c>
      <c r="B577" s="18" t="str">
        <f>VLOOKUP(A577,'[6]Fin vs NFin'!$A$4:$B$568,2,FALSE)</f>
        <v>!OP Recebidas</v>
      </c>
      <c r="C577" s="18" t="s">
        <v>755</v>
      </c>
      <c r="D577" s="18" t="s">
        <v>756</v>
      </c>
      <c r="E577" s="18" t="str">
        <f>VLOOKUP(D577,[6]Arvore!$N$8:$Q$6855,4,FALSE)</f>
        <v>4311884</v>
      </c>
      <c r="F577" s="19">
        <v>4470</v>
      </c>
      <c r="G577" s="19">
        <v>37429</v>
      </c>
      <c r="H577" s="20">
        <v>-32959</v>
      </c>
      <c r="I577" s="114"/>
      <c r="J577" s="19"/>
      <c r="K577" s="21"/>
      <c r="L577" s="22"/>
      <c r="M577" s="23"/>
      <c r="O577" s="19" t="str">
        <f>VLOOKUP(QUERY_FOR_TRNSTRANSPOSED_0008!A577,'[6]Fin vs NFin'!$A$4:$F$568,6,FALSE)</f>
        <v>Não Financeiras</v>
      </c>
      <c r="P577" s="24" t="str">
        <f t="shared" si="11"/>
        <v>89</v>
      </c>
      <c r="Q577" s="24"/>
      <c r="R577" s="24" t="str">
        <f>VLOOKUP(D577,[6]Mapeamento!$A$38:$C$497,3,FALSE)</f>
        <v>GG</v>
      </c>
      <c r="S577" s="24"/>
      <c r="T577" s="24"/>
    </row>
    <row r="578" spans="1:20">
      <c r="A578" s="18" t="s">
        <v>748</v>
      </c>
      <c r="B578" s="18" t="str">
        <f>VLOOKUP(A578,'[6]Fin vs NFin'!$A$4:$B$568,2,FALSE)</f>
        <v>!OP Recebidas</v>
      </c>
      <c r="C578" s="18" t="s">
        <v>757</v>
      </c>
      <c r="D578" s="18" t="s">
        <v>756</v>
      </c>
      <c r="E578" s="18" t="str">
        <f>VLOOKUP(D578,[6]Arvore!$N$8:$Q$6855,4,FALSE)</f>
        <v>4311884</v>
      </c>
      <c r="F578" s="19">
        <v>-8090</v>
      </c>
      <c r="G578" s="19">
        <v>-41049</v>
      </c>
      <c r="H578" s="20">
        <v>32959</v>
      </c>
      <c r="I578" s="114"/>
      <c r="J578" s="19"/>
      <c r="K578" s="21"/>
      <c r="L578" s="22"/>
      <c r="M578" s="23"/>
      <c r="O578" s="19" t="str">
        <f>VLOOKUP(QUERY_FOR_TRNSTRANSPOSED_0008!A578,'[6]Fin vs NFin'!$A$4:$F$568,6,FALSE)</f>
        <v>Não Financeiras</v>
      </c>
      <c r="P578" s="24" t="str">
        <f t="shared" si="11"/>
        <v>89</v>
      </c>
      <c r="Q578" s="24"/>
      <c r="R578" s="24" t="str">
        <f>VLOOKUP(D578,[6]Mapeamento!$A$38:$C$497,3,FALSE)</f>
        <v>GG</v>
      </c>
      <c r="S578" s="24"/>
      <c r="T578" s="24"/>
    </row>
    <row r="579" spans="1:20">
      <c r="A579" s="18" t="s">
        <v>748</v>
      </c>
      <c r="B579" s="18" t="str">
        <f>VLOOKUP(A579,'[6]Fin vs NFin'!$A$4:$B$568,2,FALSE)</f>
        <v>!OP Recebidas</v>
      </c>
      <c r="C579" s="18" t="s">
        <v>758</v>
      </c>
      <c r="D579" s="18" t="s">
        <v>750</v>
      </c>
      <c r="E579" s="18" t="str">
        <f>VLOOKUP(D579,[6]Arvore!$N$8:$Q$6855,4,FALSE)</f>
        <v>5151202</v>
      </c>
      <c r="F579" s="19">
        <v>-289725</v>
      </c>
      <c r="G579" s="19">
        <v>-1205357</v>
      </c>
      <c r="H579" s="20">
        <v>915632</v>
      </c>
      <c r="I579" s="114"/>
      <c r="J579" s="19"/>
      <c r="K579" s="21"/>
      <c r="L579" s="22"/>
      <c r="M579" s="23"/>
      <c r="O579" s="19" t="str">
        <f>VLOOKUP(QUERY_FOR_TRNSTRANSPOSED_0008!A579,'[6]Fin vs NFin'!$A$4:$F$568,6,FALSE)</f>
        <v>Não Financeiras</v>
      </c>
      <c r="P579" s="24" t="str">
        <f t="shared" si="11"/>
        <v>82</v>
      </c>
      <c r="Q579" s="24"/>
      <c r="R579" s="24"/>
      <c r="S579" s="24"/>
      <c r="T579" s="24"/>
    </row>
    <row r="580" spans="1:20" ht="15" thickBot="1">
      <c r="A580" s="18" t="s">
        <v>748</v>
      </c>
      <c r="B580" s="18" t="str">
        <f>VLOOKUP(A580,'[6]Fin vs NFin'!$A$4:$B$568,2,FALSE)</f>
        <v>!OP Recebidas</v>
      </c>
      <c r="C580" s="18" t="s">
        <v>759</v>
      </c>
      <c r="D580" s="18" t="s">
        <v>735</v>
      </c>
      <c r="E580" s="18" t="str">
        <f>VLOOKUP(D580,[6]Arvore!$N$8:$Q$6855,4,FALSE)</f>
        <v>431111</v>
      </c>
      <c r="F580" s="19">
        <v>354.97</v>
      </c>
      <c r="G580" s="19">
        <v>355.00861339654898</v>
      </c>
      <c r="H580" s="20">
        <v>-3.8613396548953502E-2</v>
      </c>
      <c r="I580" s="114"/>
      <c r="J580" s="19"/>
      <c r="K580" s="21"/>
      <c r="L580" s="22"/>
      <c r="M580" s="23"/>
      <c r="O580" s="19" t="str">
        <f>VLOOKUP(QUERY_FOR_TRNSTRANSPOSED_0008!A580,'[6]Fin vs NFin'!$A$4:$F$568,6,FALSE)</f>
        <v>Não Financeiras</v>
      </c>
      <c r="P580" s="24" t="str">
        <f t="shared" si="11"/>
        <v>89</v>
      </c>
      <c r="Q580" s="24"/>
      <c r="R580" s="24" t="str">
        <f>VLOOKUP(D580,[6]Mapeamento!$A$38:$C$497,3,FALSE)</f>
        <v>GG</v>
      </c>
      <c r="S580" s="24"/>
      <c r="T580" s="24"/>
    </row>
    <row r="581" spans="1:20">
      <c r="A581" s="38" t="s">
        <v>760</v>
      </c>
      <c r="B581" s="38" t="str">
        <f>VLOOKUP(A581,'[6]Fin vs NFin'!$A$4:$B$568,2,FALSE)</f>
        <v>!IBOS</v>
      </c>
      <c r="C581" s="38" t="s">
        <v>761</v>
      </c>
      <c r="D581" s="38" t="s">
        <v>762</v>
      </c>
      <c r="E581" s="38" t="str">
        <f>VLOOKUP(D581,[6]Arvore!$N$8:$Q$6855,4,FALSE)</f>
        <v>5151203</v>
      </c>
      <c r="F581" s="39">
        <v>58513.86</v>
      </c>
      <c r="G581" s="39">
        <v>56158.993734403899</v>
      </c>
      <c r="H581" s="40">
        <v>2354.8662655961002</v>
      </c>
      <c r="I581" s="108">
        <f>SUM(H581:H586)</f>
        <v>-3.3930556508094014</v>
      </c>
      <c r="J581" s="39"/>
      <c r="K581" s="21"/>
      <c r="L581" s="41"/>
      <c r="M581" s="42"/>
      <c r="O581" s="39" t="str">
        <f>VLOOKUP(QUERY_FOR_TRNSTRANSPOSED_0008!A581,'[6]Fin vs NFin'!$A$4:$F$568,6,FALSE)</f>
        <v>Não Financeiras</v>
      </c>
      <c r="P581" s="43" t="str">
        <f t="shared" si="11"/>
        <v>82</v>
      </c>
      <c r="Q581" s="43"/>
      <c r="R581" s="43"/>
      <c r="S581" s="43"/>
      <c r="T581" s="43"/>
    </row>
    <row r="582" spans="1:20">
      <c r="A582" s="18" t="s">
        <v>760</v>
      </c>
      <c r="B582" s="18" t="str">
        <f>VLOOKUP(A582,'[6]Fin vs NFin'!$A$4:$B$568,2,FALSE)</f>
        <v>!IBOS</v>
      </c>
      <c r="C582" s="18" t="s">
        <v>763</v>
      </c>
      <c r="D582" s="18" t="s">
        <v>32</v>
      </c>
      <c r="E582" s="18" t="str">
        <f>VLOOKUP(D582,[6]Arvore!$N$8:$Q$6855,4,FALSE)</f>
        <v>55083</v>
      </c>
      <c r="F582" s="19">
        <v>567775.55000000005</v>
      </c>
      <c r="G582" s="19">
        <v>560034.96932124696</v>
      </c>
      <c r="H582" s="20">
        <v>7740.5806787530901</v>
      </c>
      <c r="I582" s="114"/>
      <c r="J582" s="19"/>
      <c r="K582" s="21"/>
      <c r="L582" s="22"/>
      <c r="M582" s="23"/>
      <c r="O582" s="19" t="str">
        <f>VLOOKUP(QUERY_FOR_TRNSTRANSPOSED_0008!A582,'[6]Fin vs NFin'!$A$4:$F$568,6,FALSE)</f>
        <v>Não Financeiras</v>
      </c>
      <c r="P582" s="24" t="str">
        <f t="shared" ref="P582:P645" si="12">LEFT(D582,2)</f>
        <v>89</v>
      </c>
      <c r="Q582" s="24" t="str">
        <f>VLOOKUP(D582,[6]Mapeamento!$A$38:$C$497,3,FALSE)</f>
        <v>OREX</v>
      </c>
      <c r="R582" s="24"/>
      <c r="S582" s="24"/>
      <c r="T582" s="24"/>
    </row>
    <row r="583" spans="1:20">
      <c r="A583" s="32" t="s">
        <v>760</v>
      </c>
      <c r="B583" s="32" t="str">
        <f>VLOOKUP(A583,'[6]Fin vs NFin'!$A$4:$B$568,2,FALSE)</f>
        <v>!IBOS</v>
      </c>
      <c r="C583" s="32" t="s">
        <v>764</v>
      </c>
      <c r="D583" s="32" t="s">
        <v>762</v>
      </c>
      <c r="E583" s="32" t="str">
        <f>VLOOKUP(D583,[6]Arvore!$N$8:$Q$6855,4,FALSE)</f>
        <v>5151203</v>
      </c>
      <c r="F583" s="33">
        <v>17158.77</v>
      </c>
      <c r="G583" s="33">
        <v>17158.77</v>
      </c>
      <c r="H583" s="34">
        <v>0</v>
      </c>
      <c r="I583" s="114"/>
      <c r="J583" s="19"/>
      <c r="K583" s="21"/>
      <c r="L583" s="22"/>
      <c r="M583" s="23"/>
      <c r="O583" s="19" t="str">
        <f>VLOOKUP(QUERY_FOR_TRNSTRANSPOSED_0008!A583,'[6]Fin vs NFin'!$A$4:$F$568,6,FALSE)</f>
        <v>Não Financeiras</v>
      </c>
      <c r="P583" s="24" t="str">
        <f t="shared" si="12"/>
        <v>82</v>
      </c>
      <c r="Q583" s="24"/>
      <c r="R583" s="24"/>
      <c r="S583" s="24"/>
      <c r="T583" s="24"/>
    </row>
    <row r="584" spans="1:20">
      <c r="A584" s="32" t="s">
        <v>760</v>
      </c>
      <c r="B584" s="32" t="str">
        <f>VLOOKUP(A584,'[6]Fin vs NFin'!$A$4:$B$568,2,FALSE)</f>
        <v>!IBOS</v>
      </c>
      <c r="C584" s="32" t="s">
        <v>765</v>
      </c>
      <c r="D584" s="32" t="s">
        <v>762</v>
      </c>
      <c r="E584" s="32" t="str">
        <f>VLOOKUP(D584,[6]Arvore!$N$8:$Q$6855,4,FALSE)</f>
        <v>5151203</v>
      </c>
      <c r="F584" s="33">
        <v>-363.47</v>
      </c>
      <c r="G584" s="33">
        <v>-363.47</v>
      </c>
      <c r="H584" s="34">
        <v>0</v>
      </c>
      <c r="I584" s="114"/>
      <c r="J584" s="19"/>
      <c r="K584" s="21"/>
      <c r="L584" s="22"/>
      <c r="M584" s="23"/>
      <c r="O584" s="19" t="str">
        <f>VLOOKUP(QUERY_FOR_TRNSTRANSPOSED_0008!A584,'[6]Fin vs NFin'!$A$4:$F$568,6,FALSE)</f>
        <v>Não Financeiras</v>
      </c>
      <c r="P584" s="24" t="str">
        <f t="shared" si="12"/>
        <v>82</v>
      </c>
      <c r="Q584" s="24"/>
      <c r="R584" s="24"/>
      <c r="S584" s="24"/>
      <c r="T584" s="24"/>
    </row>
    <row r="585" spans="1:20">
      <c r="A585" s="32" t="s">
        <v>760</v>
      </c>
      <c r="B585" s="32" t="str">
        <f>VLOOKUP(A585,'[6]Fin vs NFin'!$A$4:$B$568,2,FALSE)</f>
        <v>!IBOS</v>
      </c>
      <c r="C585" s="32" t="s">
        <v>766</v>
      </c>
      <c r="D585" s="32" t="s">
        <v>762</v>
      </c>
      <c r="E585" s="32" t="str">
        <f>VLOOKUP(D585,[6]Arvore!$N$8:$Q$6855,4,FALSE)</f>
        <v>5151203</v>
      </c>
      <c r="F585" s="33">
        <v>1469.82</v>
      </c>
      <c r="G585" s="33">
        <v>1469.82</v>
      </c>
      <c r="H585" s="34">
        <v>2.2737367544323201E-13</v>
      </c>
      <c r="I585" s="114"/>
      <c r="J585" s="19"/>
      <c r="K585" s="21"/>
      <c r="L585" s="22"/>
      <c r="M585" s="23"/>
      <c r="O585" s="19" t="str">
        <f>VLOOKUP(QUERY_FOR_TRNSTRANSPOSED_0008!A585,'[6]Fin vs NFin'!$A$4:$F$568,6,FALSE)</f>
        <v>Não Financeiras</v>
      </c>
      <c r="P585" s="24" t="str">
        <f t="shared" si="12"/>
        <v>82</v>
      </c>
      <c r="Q585" s="24"/>
      <c r="R585" s="24"/>
      <c r="S585" s="24"/>
      <c r="T585" s="24"/>
    </row>
    <row r="586" spans="1:20" ht="15" thickBot="1">
      <c r="A586" s="18" t="s">
        <v>760</v>
      </c>
      <c r="B586" s="18" t="str">
        <f>VLOOKUP(A586,'[6]Fin vs NFin'!$A$4:$B$568,2,FALSE)</f>
        <v>!IBOS</v>
      </c>
      <c r="C586" s="18" t="s">
        <v>767</v>
      </c>
      <c r="D586" s="18" t="s">
        <v>79</v>
      </c>
      <c r="E586" s="18" t="str">
        <f>VLOOKUP(D586,[6]Arvore!$N$8:$Q$6855,4,FALSE)</f>
        <v>51959</v>
      </c>
      <c r="F586" s="19">
        <v>23413.16</v>
      </c>
      <c r="G586" s="19">
        <v>33512</v>
      </c>
      <c r="H586" s="20">
        <v>-10098.84</v>
      </c>
      <c r="I586" s="114"/>
      <c r="J586" s="19"/>
      <c r="K586" s="21"/>
      <c r="L586" s="22"/>
      <c r="M586" s="23"/>
      <c r="O586" s="19" t="str">
        <f>VLOOKUP(QUERY_FOR_TRNSTRANSPOSED_0008!A586,'[6]Fin vs NFin'!$A$4:$F$568,6,FALSE)</f>
        <v>Não Financeiras</v>
      </c>
      <c r="P586" s="24" t="str">
        <f t="shared" si="12"/>
        <v>82</v>
      </c>
      <c r="Q586" s="24"/>
      <c r="R586" s="24"/>
      <c r="S586" s="24"/>
      <c r="T586" s="24"/>
    </row>
    <row r="587" spans="1:20">
      <c r="A587" s="38" t="s">
        <v>768</v>
      </c>
      <c r="B587" s="38" t="str">
        <f>VLOOKUP(A587,'[6]Fin vs NFin'!$A$4:$B$568,2,FALSE)</f>
        <v>!CL Emitidas</v>
      </c>
      <c r="C587" s="38" t="s">
        <v>769</v>
      </c>
      <c r="D587" s="38" t="s">
        <v>770</v>
      </c>
      <c r="E587" s="38" t="str">
        <f>VLOOKUP(D587,[6]Arvore!$N$8:$Q$6855,4,FALSE)</f>
        <v>51511</v>
      </c>
      <c r="F587" s="39">
        <v>60</v>
      </c>
      <c r="G587" s="39">
        <v>70</v>
      </c>
      <c r="H587" s="40">
        <v>-10</v>
      </c>
      <c r="I587" s="108">
        <f>SUM(H587:H591)</f>
        <v>-4.5474735088646402E-13</v>
      </c>
      <c r="J587" s="39"/>
      <c r="K587" s="21"/>
      <c r="L587" s="41"/>
      <c r="M587" s="42"/>
      <c r="O587" s="39" t="str">
        <f>VLOOKUP(QUERY_FOR_TRNSTRANSPOSED_0008!A587,'[6]Fin vs NFin'!$A$4:$F$568,6,FALSE)</f>
        <v>Não Financeiras</v>
      </c>
      <c r="P587" s="43" t="str">
        <f t="shared" si="12"/>
        <v>82</v>
      </c>
      <c r="Q587" s="43"/>
      <c r="R587" s="43"/>
      <c r="S587" s="43"/>
      <c r="T587" s="43"/>
    </row>
    <row r="588" spans="1:20">
      <c r="A588" s="32" t="s">
        <v>768</v>
      </c>
      <c r="B588" s="32" t="str">
        <f>VLOOKUP(A588,'[6]Fin vs NFin'!$A$4:$B$568,2,FALSE)</f>
        <v>!CL Emitidas</v>
      </c>
      <c r="C588" s="32" t="s">
        <v>771</v>
      </c>
      <c r="D588" s="32" t="s">
        <v>772</v>
      </c>
      <c r="E588" s="32" t="str">
        <f>VLOOKUP(D588,[6]Arvore!$N$8:$Q$6855,4,FALSE)</f>
        <v>51511</v>
      </c>
      <c r="F588" s="33">
        <v>160</v>
      </c>
      <c r="G588" s="33">
        <v>160</v>
      </c>
      <c r="H588" s="34">
        <v>0</v>
      </c>
      <c r="I588" s="114"/>
      <c r="J588" s="19"/>
      <c r="K588" s="21"/>
      <c r="L588" s="22"/>
      <c r="M588" s="23"/>
      <c r="O588" s="19" t="str">
        <f>VLOOKUP(QUERY_FOR_TRNSTRANSPOSED_0008!A588,'[6]Fin vs NFin'!$A$4:$F$568,6,FALSE)</f>
        <v>Não Financeiras</v>
      </c>
      <c r="P588" s="24" t="str">
        <f t="shared" si="12"/>
        <v>82</v>
      </c>
      <c r="Q588" s="24"/>
      <c r="R588" s="24"/>
      <c r="S588" s="24"/>
      <c r="T588" s="24"/>
    </row>
    <row r="589" spans="1:20">
      <c r="A589" s="18" t="s">
        <v>768</v>
      </c>
      <c r="B589" s="18" t="str">
        <f>VLOOKUP(A589,'[6]Fin vs NFin'!$A$4:$B$568,2,FALSE)</f>
        <v>!CL Emitidas</v>
      </c>
      <c r="C589" s="18" t="s">
        <v>773</v>
      </c>
      <c r="D589" s="18" t="s">
        <v>770</v>
      </c>
      <c r="E589" s="18" t="str">
        <f>VLOOKUP(D589,[6]Arvore!$N$8:$Q$6855,4,FALSE)</f>
        <v>51511</v>
      </c>
      <c r="F589" s="19">
        <v>190.68</v>
      </c>
      <c r="G589" s="19">
        <v>180.68</v>
      </c>
      <c r="H589" s="20">
        <v>10</v>
      </c>
      <c r="I589" s="114"/>
      <c r="J589" s="19"/>
      <c r="K589" s="21"/>
      <c r="L589" s="22"/>
      <c r="M589" s="23"/>
      <c r="O589" s="19" t="str">
        <f>VLOOKUP(QUERY_FOR_TRNSTRANSPOSED_0008!A589,'[6]Fin vs NFin'!$A$4:$F$568,6,FALSE)</f>
        <v>Não Financeiras</v>
      </c>
      <c r="P589" s="24" t="str">
        <f t="shared" si="12"/>
        <v>82</v>
      </c>
      <c r="Q589" s="24"/>
      <c r="R589" s="24"/>
      <c r="S589" s="24"/>
      <c r="T589" s="24"/>
    </row>
    <row r="590" spans="1:20">
      <c r="A590" s="32" t="s">
        <v>768</v>
      </c>
      <c r="B590" s="32" t="str">
        <f>VLOOKUP(A590,'[6]Fin vs NFin'!$A$4:$B$568,2,FALSE)</f>
        <v>!CL Emitidas</v>
      </c>
      <c r="C590" s="32" t="s">
        <v>774</v>
      </c>
      <c r="D590" s="32" t="s">
        <v>770</v>
      </c>
      <c r="E590" s="32" t="str">
        <f>VLOOKUP(D590,[6]Arvore!$N$8:$Q$6855,4,FALSE)</f>
        <v>51511</v>
      </c>
      <c r="F590" s="33">
        <v>3221.34</v>
      </c>
      <c r="G590" s="33">
        <v>3221.34</v>
      </c>
      <c r="H590" s="34">
        <v>-4.5474735088646402E-13</v>
      </c>
      <c r="I590" s="114"/>
      <c r="J590" s="19"/>
      <c r="K590" s="21"/>
      <c r="L590" s="22"/>
      <c r="M590" s="23"/>
      <c r="O590" s="19" t="str">
        <f>VLOOKUP(QUERY_FOR_TRNSTRANSPOSED_0008!A590,'[6]Fin vs NFin'!$A$4:$F$568,6,FALSE)</f>
        <v>Não Financeiras</v>
      </c>
      <c r="P590" s="24" t="str">
        <f t="shared" si="12"/>
        <v>82</v>
      </c>
      <c r="Q590" s="24"/>
      <c r="R590" s="24"/>
      <c r="S590" s="24"/>
      <c r="T590" s="24"/>
    </row>
    <row r="591" spans="1:20" ht="15" thickBot="1">
      <c r="A591" s="35" t="s">
        <v>768</v>
      </c>
      <c r="B591" s="35" t="str">
        <f>VLOOKUP(A591,'[6]Fin vs NFin'!$A$4:$B$568,2,FALSE)</f>
        <v>!CL Emitidas</v>
      </c>
      <c r="C591" s="35" t="s">
        <v>775</v>
      </c>
      <c r="D591" s="35" t="s">
        <v>770</v>
      </c>
      <c r="E591" s="35" t="str">
        <f>VLOOKUP(D591,[6]Arvore!$N$8:$Q$6855,4,FALSE)</f>
        <v>51511</v>
      </c>
      <c r="F591" s="36">
        <v>20</v>
      </c>
      <c r="G591" s="36">
        <v>20</v>
      </c>
      <c r="H591" s="37">
        <v>0</v>
      </c>
      <c r="I591" s="109"/>
      <c r="J591" s="12"/>
      <c r="K591" s="21"/>
      <c r="L591" s="15"/>
      <c r="M591" s="16"/>
      <c r="O591" s="12" t="str">
        <f>VLOOKUP(QUERY_FOR_TRNSTRANSPOSED_0008!A591,'[6]Fin vs NFin'!$A$4:$F$568,6,FALSE)</f>
        <v>Não Financeiras</v>
      </c>
      <c r="P591" s="17" t="str">
        <f t="shared" si="12"/>
        <v>82</v>
      </c>
      <c r="Q591" s="17"/>
      <c r="R591" s="17"/>
      <c r="S591" s="17"/>
      <c r="T591" s="17"/>
    </row>
    <row r="592" spans="1:20">
      <c r="A592" s="38" t="s">
        <v>776</v>
      </c>
      <c r="B592" s="38" t="str">
        <f>VLOOKUP(A592,'[6]Fin vs NFin'!$A$4:$B$568,2,FALSE)</f>
        <v>!CL Recebidas</v>
      </c>
      <c r="C592" s="38" t="s">
        <v>777</v>
      </c>
      <c r="D592" s="38" t="s">
        <v>778</v>
      </c>
      <c r="E592" s="38" t="str">
        <f>VLOOKUP(D592,[6]Arvore!$N$8:$Q$6855,4,FALSE)</f>
        <v>51511</v>
      </c>
      <c r="F592" s="39">
        <v>142111.09</v>
      </c>
      <c r="G592" s="39">
        <v>143333.14000000001</v>
      </c>
      <c r="H592" s="40">
        <v>-1222.04999999999</v>
      </c>
      <c r="I592" s="108">
        <v>2.9305881612344799E-2</v>
      </c>
      <c r="J592" s="39"/>
      <c r="K592" s="21"/>
      <c r="L592" s="41"/>
      <c r="M592" s="42"/>
      <c r="O592" s="39" t="str">
        <f>VLOOKUP(QUERY_FOR_TRNSTRANSPOSED_0008!A592,'[6]Fin vs NFin'!$A$4:$F$568,6,FALSE)</f>
        <v>Não Financeiras</v>
      </c>
      <c r="P592" s="43" t="str">
        <f t="shared" si="12"/>
        <v>82</v>
      </c>
      <c r="Q592" s="43"/>
      <c r="R592" s="43"/>
      <c r="S592" s="43"/>
      <c r="T592" s="43"/>
    </row>
    <row r="593" spans="1:20">
      <c r="A593" s="18" t="s">
        <v>776</v>
      </c>
      <c r="B593" s="18" t="str">
        <f>VLOOKUP(A593,'[6]Fin vs NFin'!$A$4:$B$568,2,FALSE)</f>
        <v>!CL Recebidas</v>
      </c>
      <c r="C593" s="18" t="s">
        <v>779</v>
      </c>
      <c r="D593" s="18" t="s">
        <v>735</v>
      </c>
      <c r="E593" s="18" t="str">
        <f>VLOOKUP(D593,[6]Arvore!$N$8:$Q$6855,4,FALSE)</f>
        <v>431111</v>
      </c>
      <c r="F593" s="19">
        <v>-4919.99</v>
      </c>
      <c r="G593" s="19">
        <v>-4934.7024196090897</v>
      </c>
      <c r="H593" s="20">
        <v>14.712419609089</v>
      </c>
      <c r="I593" s="114"/>
      <c r="J593" s="19"/>
      <c r="K593" s="21"/>
      <c r="L593" s="22"/>
      <c r="M593" s="23"/>
      <c r="O593" s="19" t="str">
        <f>VLOOKUP(QUERY_FOR_TRNSTRANSPOSED_0008!A593,'[6]Fin vs NFin'!$A$4:$F$568,6,FALSE)</f>
        <v>Não Financeiras</v>
      </c>
      <c r="P593" s="24" t="str">
        <f t="shared" si="12"/>
        <v>89</v>
      </c>
      <c r="Q593" s="24"/>
      <c r="R593" s="24" t="str">
        <f>VLOOKUP(D593,[6]Mapeamento!$A$38:$C$497,3,FALSE)</f>
        <v>GG</v>
      </c>
      <c r="S593" s="24"/>
      <c r="T593" s="24"/>
    </row>
    <row r="594" spans="1:20">
      <c r="A594" s="18" t="s">
        <v>776</v>
      </c>
      <c r="B594" s="18" t="str">
        <f>VLOOKUP(A594,'[6]Fin vs NFin'!$A$4:$B$568,2,FALSE)</f>
        <v>!CL Recebidas</v>
      </c>
      <c r="C594" s="18" t="s">
        <v>780</v>
      </c>
      <c r="D594" s="18" t="s">
        <v>118</v>
      </c>
      <c r="E594" s="18" t="str">
        <f>VLOOKUP(D594,[6]Arvore!$N$8:$Q$6855,4,FALSE)</f>
        <v>431110</v>
      </c>
      <c r="F594" s="19">
        <v>-351.98</v>
      </c>
      <c r="G594" s="19">
        <v>-465.5</v>
      </c>
      <c r="H594" s="20">
        <v>113.52</v>
      </c>
      <c r="I594" s="114"/>
      <c r="J594" s="19"/>
      <c r="K594" s="21"/>
      <c r="L594" s="22"/>
      <c r="M594" s="23"/>
      <c r="O594" s="19" t="str">
        <f>VLOOKUP(QUERY_FOR_TRNSTRANSPOSED_0008!A594,'[6]Fin vs NFin'!$A$4:$F$568,6,FALSE)</f>
        <v>Não Financeiras</v>
      </c>
      <c r="P594" s="24" t="str">
        <f t="shared" si="12"/>
        <v>89</v>
      </c>
      <c r="Q594" s="24"/>
      <c r="R594" s="24" t="str">
        <f>VLOOKUP(D594,[6]Mapeamento!$A$38:$C$497,3,FALSE)</f>
        <v>GG</v>
      </c>
      <c r="S594" s="24"/>
      <c r="T594" s="24"/>
    </row>
    <row r="595" spans="1:20">
      <c r="A595" s="18" t="s">
        <v>776</v>
      </c>
      <c r="B595" s="18" t="str">
        <f>VLOOKUP(A595,'[6]Fin vs NFin'!$A$4:$B$568,2,FALSE)</f>
        <v>!CL Recebidas</v>
      </c>
      <c r="C595" s="18" t="s">
        <v>781</v>
      </c>
      <c r="D595" s="18" t="s">
        <v>778</v>
      </c>
      <c r="E595" s="18" t="str">
        <f>VLOOKUP(D595,[6]Arvore!$N$8:$Q$6855,4,FALSE)</f>
        <v>51511</v>
      </c>
      <c r="F595" s="19">
        <v>-136.96</v>
      </c>
      <c r="G595" s="19">
        <v>-1231.3699999999999</v>
      </c>
      <c r="H595" s="20">
        <v>1094.4100000000001</v>
      </c>
      <c r="I595" s="114"/>
      <c r="J595" s="19"/>
      <c r="K595" s="21"/>
      <c r="L595" s="22"/>
      <c r="M595" s="23"/>
      <c r="O595" s="19" t="str">
        <f>VLOOKUP(QUERY_FOR_TRNSTRANSPOSED_0008!A595,'[6]Fin vs NFin'!$A$4:$F$568,6,FALSE)</f>
        <v>Não Financeiras</v>
      </c>
      <c r="P595" s="24" t="str">
        <f t="shared" si="12"/>
        <v>82</v>
      </c>
      <c r="Q595" s="24"/>
      <c r="R595" s="24"/>
      <c r="S595" s="24"/>
      <c r="T595" s="24"/>
    </row>
    <row r="596" spans="1:20">
      <c r="A596" s="18" t="s">
        <v>776</v>
      </c>
      <c r="B596" s="18" t="str">
        <f>VLOOKUP(A596,'[6]Fin vs NFin'!$A$4:$B$568,2,FALSE)</f>
        <v>!CL Recebidas</v>
      </c>
      <c r="C596" s="18" t="s">
        <v>489</v>
      </c>
      <c r="D596" s="18" t="s">
        <v>118</v>
      </c>
      <c r="E596" s="18" t="str">
        <f>VLOOKUP(D596,[6]Arvore!$N$8:$Q$6855,4,FALSE)</f>
        <v>431110</v>
      </c>
      <c r="F596" s="19">
        <v>147.5</v>
      </c>
      <c r="G596" s="19">
        <v>82.5</v>
      </c>
      <c r="H596" s="20">
        <v>65</v>
      </c>
      <c r="I596" s="114"/>
      <c r="J596" s="19"/>
      <c r="K596" s="21"/>
      <c r="L596" s="22"/>
      <c r="M596" s="23"/>
      <c r="O596" s="19" t="str">
        <f>VLOOKUP(QUERY_FOR_TRNSTRANSPOSED_0008!A596,'[6]Fin vs NFin'!$A$4:$F$568,6,FALSE)</f>
        <v>Não Financeiras</v>
      </c>
      <c r="P596" s="24" t="str">
        <f t="shared" si="12"/>
        <v>89</v>
      </c>
      <c r="Q596" s="24"/>
      <c r="R596" s="24" t="str">
        <f>VLOOKUP(D596,[6]Mapeamento!$A$38:$C$497,3,FALSE)</f>
        <v>GG</v>
      </c>
      <c r="S596" s="24"/>
      <c r="T596" s="24"/>
    </row>
    <row r="597" spans="1:20">
      <c r="A597" s="18" t="s">
        <v>776</v>
      </c>
      <c r="B597" s="18" t="str">
        <f>VLOOKUP(A597,'[6]Fin vs NFin'!$A$4:$B$568,2,FALSE)</f>
        <v>!CL Recebidas</v>
      </c>
      <c r="C597" s="18" t="s">
        <v>775</v>
      </c>
      <c r="D597" s="18" t="s">
        <v>782</v>
      </c>
      <c r="E597" s="18" t="str">
        <f>VLOOKUP(D597,[6]Arvore!$N$8:$Q$6855,4,FALSE)</f>
        <v>431110</v>
      </c>
      <c r="F597" s="19">
        <v>-87.49</v>
      </c>
      <c r="G597" s="19">
        <v>-22.496288047513001</v>
      </c>
      <c r="H597" s="20">
        <v>-64.993711952487004</v>
      </c>
      <c r="I597" s="114"/>
      <c r="J597" s="19"/>
      <c r="K597" s="21"/>
      <c r="L597" s="22"/>
      <c r="M597" s="23"/>
      <c r="O597" s="19" t="str">
        <f>VLOOKUP(QUERY_FOR_TRNSTRANSPOSED_0008!A597,'[6]Fin vs NFin'!$A$4:$F$568,6,FALSE)</f>
        <v>Não Financeiras</v>
      </c>
      <c r="P597" s="24" t="str">
        <f t="shared" si="12"/>
        <v>89</v>
      </c>
      <c r="Q597" s="24"/>
      <c r="R597" s="24" t="str">
        <f>VLOOKUP(D597,[6]Mapeamento!$A$38:$C$497,3,FALSE)</f>
        <v>GG</v>
      </c>
      <c r="S597" s="24"/>
      <c r="T597" s="24"/>
    </row>
    <row r="598" spans="1:20">
      <c r="A598" s="18" t="s">
        <v>776</v>
      </c>
      <c r="B598" s="18" t="str">
        <f>VLOOKUP(A598,'[6]Fin vs NFin'!$A$4:$B$568,2,FALSE)</f>
        <v>!CL Recebidas</v>
      </c>
      <c r="C598" s="18" t="s">
        <v>783</v>
      </c>
      <c r="D598" s="18" t="s">
        <v>778</v>
      </c>
      <c r="E598" s="18" t="str">
        <f>VLOOKUP(D598,[6]Arvore!$N$8:$Q$6855,4,FALSE)</f>
        <v>51511</v>
      </c>
      <c r="F598" s="19">
        <v>49874.97</v>
      </c>
      <c r="G598" s="19">
        <v>42376.853967983203</v>
      </c>
      <c r="H598" s="20">
        <v>7498.1160320168001</v>
      </c>
      <c r="I598" s="114"/>
      <c r="J598" s="19"/>
      <c r="K598" s="21"/>
      <c r="L598" s="22"/>
      <c r="M598" s="23"/>
      <c r="O598" s="19" t="str">
        <f>VLOOKUP(QUERY_FOR_TRNSTRANSPOSED_0008!A598,'[6]Fin vs NFin'!$A$4:$F$568,6,FALSE)</f>
        <v>Não Financeiras</v>
      </c>
      <c r="P598" s="24" t="str">
        <f t="shared" si="12"/>
        <v>82</v>
      </c>
      <c r="Q598" s="24"/>
      <c r="R598" s="24"/>
      <c r="S598" s="24"/>
      <c r="T598" s="24"/>
    </row>
    <row r="599" spans="1:20">
      <c r="A599" s="32" t="s">
        <v>776</v>
      </c>
      <c r="B599" s="32" t="str">
        <f>VLOOKUP(A599,'[6]Fin vs NFin'!$A$4:$B$568,2,FALSE)</f>
        <v>!CL Recebidas</v>
      </c>
      <c r="C599" s="32" t="s">
        <v>784</v>
      </c>
      <c r="D599" s="32" t="s">
        <v>461</v>
      </c>
      <c r="E599" s="32" t="str">
        <f>VLOOKUP(D599,[6]Arvore!$N$8:$Q$6855,4,FALSE)</f>
        <v>431110</v>
      </c>
      <c r="F599" s="33">
        <v>4.8600000000000003</v>
      </c>
      <c r="G599" s="33">
        <v>4.8600000000000003</v>
      </c>
      <c r="H599" s="34">
        <v>-8.8817841970012504E-16</v>
      </c>
      <c r="I599" s="114"/>
      <c r="J599" s="19"/>
      <c r="K599" s="21"/>
      <c r="L599" s="22"/>
      <c r="M599" s="23"/>
      <c r="O599" s="19" t="str">
        <f>VLOOKUP(QUERY_FOR_TRNSTRANSPOSED_0008!A599,'[6]Fin vs NFin'!$A$4:$F$568,6,FALSE)</f>
        <v>Não Financeiras</v>
      </c>
      <c r="P599" s="24" t="str">
        <f t="shared" si="12"/>
        <v>89</v>
      </c>
      <c r="Q599" s="24"/>
      <c r="R599" s="24" t="str">
        <f>VLOOKUP(D599,[6]Mapeamento!$A$38:$C$497,3,FALSE)</f>
        <v>GG</v>
      </c>
      <c r="S599" s="24"/>
      <c r="T599" s="24"/>
    </row>
    <row r="600" spans="1:20" ht="15" thickBot="1">
      <c r="A600" s="18" t="s">
        <v>776</v>
      </c>
      <c r="B600" s="18" t="str">
        <f>VLOOKUP(A600,'[6]Fin vs NFin'!$A$4:$B$568,2,FALSE)</f>
        <v>!CL Recebidas</v>
      </c>
      <c r="C600" s="18" t="s">
        <v>785</v>
      </c>
      <c r="D600" s="18" t="s">
        <v>118</v>
      </c>
      <c r="E600" s="18" t="str">
        <f>VLOOKUP(D600,[6]Arvore!$N$8:$Q$6855,4,FALSE)</f>
        <v>431110</v>
      </c>
      <c r="F600" s="19">
        <v>2386.9899999999998</v>
      </c>
      <c r="G600" s="19">
        <v>9885.6754337917992</v>
      </c>
      <c r="H600" s="20">
        <v>-7498.6854337918003</v>
      </c>
      <c r="I600" s="114"/>
      <c r="J600" s="19"/>
      <c r="K600" s="21"/>
      <c r="L600" s="22"/>
      <c r="M600" s="23"/>
      <c r="O600" s="19" t="str">
        <f>VLOOKUP(QUERY_FOR_TRNSTRANSPOSED_0008!A600,'[6]Fin vs NFin'!$A$4:$F$568,6,FALSE)</f>
        <v>Não Financeiras</v>
      </c>
      <c r="P600" s="24" t="str">
        <f t="shared" si="12"/>
        <v>89</v>
      </c>
      <c r="Q600" s="24"/>
      <c r="R600" s="24" t="str">
        <f>VLOOKUP(D600,[6]Mapeamento!$A$38:$C$497,3,FALSE)</f>
        <v>GG</v>
      </c>
      <c r="S600" s="24"/>
      <c r="T600" s="24"/>
    </row>
    <row r="601" spans="1:20">
      <c r="A601" s="38" t="s">
        <v>786</v>
      </c>
      <c r="B601" s="38" t="str">
        <f>VLOOKUP(A601,'[6]Fin vs NFin'!$A$4:$B$568,2,FALSE)</f>
        <v>!RD Importação</v>
      </c>
      <c r="C601" s="38" t="s">
        <v>489</v>
      </c>
      <c r="D601" s="38" t="s">
        <v>787</v>
      </c>
      <c r="E601" s="38" t="str">
        <f>VLOOKUP(D601,[6]Arvore!$N$8:$Q$6855,4,FALSE)</f>
        <v>5151200</v>
      </c>
      <c r="F601" s="39">
        <v>247.85</v>
      </c>
      <c r="G601" s="39">
        <v>247.857269400635</v>
      </c>
      <c r="H601" s="40">
        <v>-7.2694006350104701E-3</v>
      </c>
      <c r="I601" s="108">
        <f>SUM(H601:H608)</f>
        <v>-1.42102501538875</v>
      </c>
      <c r="J601" s="39"/>
      <c r="K601" s="21"/>
      <c r="L601" s="41"/>
      <c r="M601" s="42"/>
      <c r="O601" s="39" t="str">
        <f>VLOOKUP(QUERY_FOR_TRNSTRANSPOSED_0008!A601,'[6]Fin vs NFin'!$A$4:$F$568,6,FALSE)</f>
        <v>Não Financeiras</v>
      </c>
      <c r="P601" s="43" t="str">
        <f t="shared" si="12"/>
        <v>82</v>
      </c>
      <c r="Q601" s="43"/>
      <c r="R601" s="43"/>
      <c r="S601" s="43"/>
      <c r="T601" s="43"/>
    </row>
    <row r="602" spans="1:20">
      <c r="A602" s="18" t="s">
        <v>786</v>
      </c>
      <c r="B602" s="18" t="str">
        <f>VLOOKUP(A602,'[6]Fin vs NFin'!$A$4:$B$568,2,FALSE)</f>
        <v>!RD Importação</v>
      </c>
      <c r="C602" s="18" t="s">
        <v>788</v>
      </c>
      <c r="D602" s="18" t="s">
        <v>461</v>
      </c>
      <c r="E602" s="18" t="str">
        <f>VLOOKUP(D602,[6]Arvore!$N$8:$Q$6855,4,FALSE)</f>
        <v>431110</v>
      </c>
      <c r="F602" s="19">
        <v>0</v>
      </c>
      <c r="G602" s="19">
        <v>29.587455665484399</v>
      </c>
      <c r="H602" s="20">
        <v>-29.587455665484399</v>
      </c>
      <c r="I602" s="114"/>
      <c r="J602" s="19"/>
      <c r="K602" s="21"/>
      <c r="L602" s="22"/>
      <c r="M602" s="23"/>
      <c r="O602" s="19" t="str">
        <f>VLOOKUP(QUERY_FOR_TRNSTRANSPOSED_0008!A602,'[6]Fin vs NFin'!$A$4:$F$568,6,FALSE)</f>
        <v>Não Financeiras</v>
      </c>
      <c r="P602" s="24" t="str">
        <f t="shared" si="12"/>
        <v>89</v>
      </c>
      <c r="Q602" s="24"/>
      <c r="R602" s="24" t="str">
        <f>VLOOKUP(D602,[6]Mapeamento!$A$38:$C$497,3,FALSE)</f>
        <v>GG</v>
      </c>
      <c r="S602" s="24"/>
      <c r="T602" s="24"/>
    </row>
    <row r="603" spans="1:20">
      <c r="A603" s="18" t="s">
        <v>786</v>
      </c>
      <c r="B603" s="18" t="str">
        <f>VLOOKUP(A603,'[6]Fin vs NFin'!$A$4:$B$568,2,FALSE)</f>
        <v>!RD Importação</v>
      </c>
      <c r="C603" s="18" t="s">
        <v>789</v>
      </c>
      <c r="D603" s="18" t="s">
        <v>461</v>
      </c>
      <c r="E603" s="18" t="str">
        <f>VLOOKUP(D603,[6]Arvore!$N$8:$Q$6855,4,FALSE)</f>
        <v>431110</v>
      </c>
      <c r="F603" s="19">
        <v>80</v>
      </c>
      <c r="G603" s="19">
        <v>90</v>
      </c>
      <c r="H603" s="20">
        <v>-10</v>
      </c>
      <c r="I603" s="114"/>
      <c r="J603" s="19"/>
      <c r="K603" s="21"/>
      <c r="L603" s="22"/>
      <c r="M603" s="23"/>
      <c r="O603" s="19" t="str">
        <f>VLOOKUP(QUERY_FOR_TRNSTRANSPOSED_0008!A603,'[6]Fin vs NFin'!$A$4:$F$568,6,FALSE)</f>
        <v>Não Financeiras</v>
      </c>
      <c r="P603" s="24" t="str">
        <f t="shared" si="12"/>
        <v>89</v>
      </c>
      <c r="Q603" s="24"/>
      <c r="R603" s="24" t="str">
        <f>VLOOKUP(D603,[6]Mapeamento!$A$38:$C$497,3,FALSE)</f>
        <v>GG</v>
      </c>
      <c r="S603" s="24"/>
      <c r="T603" s="24"/>
    </row>
    <row r="604" spans="1:20">
      <c r="A604" s="18" t="s">
        <v>786</v>
      </c>
      <c r="B604" s="18" t="str">
        <f>VLOOKUP(A604,'[6]Fin vs NFin'!$A$4:$B$568,2,FALSE)</f>
        <v>!RD Importação</v>
      </c>
      <c r="C604" s="18" t="s">
        <v>790</v>
      </c>
      <c r="D604" s="18" t="s">
        <v>743</v>
      </c>
      <c r="E604" s="18" t="str">
        <f>VLOOKUP(D604,[6]Arvore!$N$8:$Q$6855,4,FALSE)</f>
        <v>431110</v>
      </c>
      <c r="F604" s="19">
        <v>31299.95</v>
      </c>
      <c r="G604" s="19">
        <v>26869.543805364799</v>
      </c>
      <c r="H604" s="20">
        <v>4430.4061946352003</v>
      </c>
      <c r="I604" s="114"/>
      <c r="J604" s="19"/>
      <c r="K604" s="21"/>
      <c r="L604" s="22"/>
      <c r="M604" s="23"/>
      <c r="O604" s="19" t="str">
        <f>VLOOKUP(QUERY_FOR_TRNSTRANSPOSED_0008!A604,'[6]Fin vs NFin'!$A$4:$F$568,6,FALSE)</f>
        <v>Não Financeiras</v>
      </c>
      <c r="P604" s="24" t="str">
        <f t="shared" si="12"/>
        <v>89</v>
      </c>
      <c r="Q604" s="24"/>
      <c r="R604" s="24" t="str">
        <f>VLOOKUP(D604,[6]Mapeamento!$A$38:$C$497,3,FALSE)</f>
        <v>GG</v>
      </c>
      <c r="S604" s="24"/>
      <c r="T604" s="24"/>
    </row>
    <row r="605" spans="1:20">
      <c r="A605" s="18" t="s">
        <v>786</v>
      </c>
      <c r="B605" s="18" t="str">
        <f>VLOOKUP(A605,'[6]Fin vs NFin'!$A$4:$B$568,2,FALSE)</f>
        <v>!RD Importação</v>
      </c>
      <c r="C605" s="18" t="s">
        <v>791</v>
      </c>
      <c r="D605" s="18" t="s">
        <v>118</v>
      </c>
      <c r="E605" s="18" t="str">
        <f>VLOOKUP(D605,[6]Arvore!$N$8:$Q$6855,4,FALSE)</f>
        <v>431110</v>
      </c>
      <c r="F605" s="19">
        <v>5107.8</v>
      </c>
      <c r="G605" s="19">
        <v>6194.2548967774701</v>
      </c>
      <c r="H605" s="20">
        <v>-1086.4548967774699</v>
      </c>
      <c r="I605" s="114"/>
      <c r="J605" s="19"/>
      <c r="K605" s="21"/>
      <c r="L605" s="22"/>
      <c r="M605" s="23"/>
      <c r="O605" s="19" t="str">
        <f>VLOOKUP(QUERY_FOR_TRNSTRANSPOSED_0008!A605,'[6]Fin vs NFin'!$A$4:$F$568,6,FALSE)</f>
        <v>Não Financeiras</v>
      </c>
      <c r="P605" s="24" t="str">
        <f t="shared" si="12"/>
        <v>89</v>
      </c>
      <c r="Q605" s="24"/>
      <c r="R605" s="24" t="str">
        <f>VLOOKUP(D605,[6]Mapeamento!$A$38:$C$497,3,FALSE)</f>
        <v>GG</v>
      </c>
      <c r="S605" s="24"/>
      <c r="T605" s="24"/>
    </row>
    <row r="606" spans="1:20">
      <c r="A606" s="18" t="s">
        <v>786</v>
      </c>
      <c r="B606" s="18" t="str">
        <f>VLOOKUP(A606,'[6]Fin vs NFin'!$A$4:$B$568,2,FALSE)</f>
        <v>!RD Importação</v>
      </c>
      <c r="C606" s="18" t="s">
        <v>792</v>
      </c>
      <c r="D606" s="18" t="s">
        <v>787</v>
      </c>
      <c r="E606" s="18" t="str">
        <f>VLOOKUP(D606,[6]Arvore!$N$8:$Q$6855,4,FALSE)</f>
        <v>5151200</v>
      </c>
      <c r="F606" s="19">
        <v>135469.59</v>
      </c>
      <c r="G606" s="19">
        <v>138991.367597807</v>
      </c>
      <c r="H606" s="20">
        <v>-3521.7775978069999</v>
      </c>
      <c r="I606" s="114"/>
      <c r="J606" s="19"/>
      <c r="K606" s="21"/>
      <c r="L606" s="22"/>
      <c r="M606" s="23"/>
      <c r="O606" s="19" t="str">
        <f>VLOOKUP(QUERY_FOR_TRNSTRANSPOSED_0008!A606,'[6]Fin vs NFin'!$A$4:$F$568,6,FALSE)</f>
        <v>Não Financeiras</v>
      </c>
      <c r="P606" s="24" t="str">
        <f t="shared" si="12"/>
        <v>82</v>
      </c>
      <c r="Q606" s="24"/>
      <c r="R606" s="24"/>
      <c r="S606" s="24"/>
      <c r="T606" s="24"/>
    </row>
    <row r="607" spans="1:20">
      <c r="A607" s="18" t="s">
        <v>786</v>
      </c>
      <c r="B607" s="18" t="str">
        <f>VLOOKUP(A607,'[6]Fin vs NFin'!$A$4:$B$568,2,FALSE)</f>
        <v>!RD Importação</v>
      </c>
      <c r="C607" s="18" t="s">
        <v>793</v>
      </c>
      <c r="D607" s="18" t="s">
        <v>461</v>
      </c>
      <c r="E607" s="18" t="str">
        <f>VLOOKUP(D607,[6]Arvore!$N$8:$Q$6855,4,FALSE)</f>
        <v>431110</v>
      </c>
      <c r="F607" s="19" t="s">
        <v>84</v>
      </c>
      <c r="G607" s="19">
        <v>34</v>
      </c>
      <c r="H607" s="20">
        <v>-34</v>
      </c>
      <c r="I607" s="114"/>
      <c r="J607" s="19"/>
      <c r="K607" s="21"/>
      <c r="L607" s="22"/>
      <c r="M607" s="23"/>
      <c r="O607" s="19" t="str">
        <f>VLOOKUP(QUERY_FOR_TRNSTRANSPOSED_0008!A607,'[6]Fin vs NFin'!$A$4:$F$568,6,FALSE)</f>
        <v>Não Financeiras</v>
      </c>
      <c r="P607" s="24" t="str">
        <f t="shared" si="12"/>
        <v>89</v>
      </c>
      <c r="Q607" s="24"/>
      <c r="R607" s="24" t="str">
        <f>VLOOKUP(D607,[6]Mapeamento!$A$38:$C$497,3,FALSE)</f>
        <v>GG</v>
      </c>
      <c r="S607" s="24"/>
      <c r="T607" s="24"/>
    </row>
    <row r="608" spans="1:20" ht="15" thickBot="1">
      <c r="A608" s="11" t="s">
        <v>786</v>
      </c>
      <c r="B608" s="11" t="str">
        <f>VLOOKUP(A608,'[6]Fin vs NFin'!$A$4:$B$568,2,FALSE)</f>
        <v>!RD Importação</v>
      </c>
      <c r="C608" s="11" t="s">
        <v>794</v>
      </c>
      <c r="D608" s="11" t="s">
        <v>787</v>
      </c>
      <c r="E608" s="11" t="str">
        <f>VLOOKUP(D608,[6]Arvore!$N$8:$Q$6855,4,FALSE)</f>
        <v>5151200</v>
      </c>
      <c r="F608" s="12" t="s">
        <v>84</v>
      </c>
      <c r="G608" s="12">
        <v>-250</v>
      </c>
      <c r="H608" s="13">
        <v>250</v>
      </c>
      <c r="I608" s="109"/>
      <c r="J608" s="12"/>
      <c r="K608" s="21"/>
      <c r="L608" s="15"/>
      <c r="M608" s="16"/>
      <c r="O608" s="12" t="str">
        <f>VLOOKUP(QUERY_FOR_TRNSTRANSPOSED_0008!A608,'[6]Fin vs NFin'!$A$4:$F$568,6,FALSE)</f>
        <v>Não Financeiras</v>
      </c>
      <c r="P608" s="17" t="str">
        <f t="shared" si="12"/>
        <v>82</v>
      </c>
      <c r="Q608" s="17"/>
      <c r="R608" s="17"/>
      <c r="S608" s="17"/>
      <c r="T608" s="17"/>
    </row>
    <row r="609" spans="1:20">
      <c r="A609" s="32" t="s">
        <v>795</v>
      </c>
      <c r="B609" s="32" t="str">
        <f>VLOOKUP(A609,'[6]Fin vs NFin'!$A$4:$B$568,2,FALSE)</f>
        <v>!RD Exportação-Cash</v>
      </c>
      <c r="C609" s="32" t="s">
        <v>489</v>
      </c>
      <c r="D609" s="32" t="s">
        <v>796</v>
      </c>
      <c r="E609" s="32" t="str">
        <f>VLOOKUP(D609,[6]Arvore!$N$8:$Q$6855,4,FALSE)</f>
        <v>501530430</v>
      </c>
      <c r="F609" s="33">
        <v>-84.75</v>
      </c>
      <c r="G609" s="33">
        <v>-84.75</v>
      </c>
      <c r="H609" s="34">
        <v>0</v>
      </c>
      <c r="I609" s="114">
        <f>SUM(H609:H611)</f>
        <v>-0.25022422004258299</v>
      </c>
      <c r="J609" s="19"/>
      <c r="K609" s="21"/>
      <c r="L609" s="22"/>
      <c r="M609" s="23"/>
      <c r="O609" s="19" t="str">
        <f>VLOOKUP(QUERY_FOR_TRNSTRANSPOSED_0008!A609,'[6]Fin vs NFin'!$A$4:$F$568,6,FALSE)</f>
        <v>Financeiras</v>
      </c>
      <c r="P609" s="24" t="str">
        <f t="shared" si="12"/>
        <v>82</v>
      </c>
      <c r="Q609" s="24"/>
      <c r="R609" s="24"/>
      <c r="S609" s="24"/>
      <c r="T609" s="24" t="str">
        <f>VLOOKUP(D609,[6]Mapeamento!$A$38:$C$497,3,FALSE)</f>
        <v>REC_MF</v>
      </c>
    </row>
    <row r="610" spans="1:20">
      <c r="A610" s="18" t="s">
        <v>795</v>
      </c>
      <c r="B610" s="18" t="str">
        <f>VLOOKUP(A610,'[6]Fin vs NFin'!$A$4:$B$568,2,FALSE)</f>
        <v>!RD Exportação-Cash</v>
      </c>
      <c r="C610" s="18" t="s">
        <v>797</v>
      </c>
      <c r="D610" s="18" t="s">
        <v>796</v>
      </c>
      <c r="E610" s="18" t="str">
        <f>VLOOKUP(D610,[6]Arvore!$N$8:$Q$6855,4,FALSE)</f>
        <v>501530430</v>
      </c>
      <c r="F610" s="19">
        <v>339848.02</v>
      </c>
      <c r="G610" s="19">
        <v>339848.27022422</v>
      </c>
      <c r="H610" s="20">
        <v>-0.25022422004258299</v>
      </c>
      <c r="I610" s="114"/>
      <c r="J610" s="19"/>
      <c r="K610" s="21"/>
      <c r="L610" s="22"/>
      <c r="M610" s="23"/>
      <c r="O610" s="19" t="str">
        <f>VLOOKUP(QUERY_FOR_TRNSTRANSPOSED_0008!A610,'[6]Fin vs NFin'!$A$4:$F$568,6,FALSE)</f>
        <v>Financeiras</v>
      </c>
      <c r="P610" s="24" t="str">
        <f t="shared" si="12"/>
        <v>82</v>
      </c>
      <c r="Q610" s="24"/>
      <c r="R610" s="24"/>
      <c r="S610" s="24"/>
      <c r="T610" s="24" t="str">
        <f>VLOOKUP(D610,[6]Mapeamento!$A$38:$C$497,3,FALSE)</f>
        <v>REC_MF</v>
      </c>
    </row>
    <row r="611" spans="1:20" ht="15" thickBot="1">
      <c r="A611" s="35" t="s">
        <v>795</v>
      </c>
      <c r="B611" s="35" t="str">
        <f>VLOOKUP(A611,'[6]Fin vs NFin'!$A$4:$B$568,2,FALSE)</f>
        <v>!RD Exportação-Cash</v>
      </c>
      <c r="C611" s="35" t="s">
        <v>798</v>
      </c>
      <c r="D611" s="35" t="s">
        <v>796</v>
      </c>
      <c r="E611" s="35" t="str">
        <f>VLOOKUP(D611,[6]Arvore!$N$8:$Q$6855,4,FALSE)</f>
        <v>501530430</v>
      </c>
      <c r="F611" s="36">
        <v>-740</v>
      </c>
      <c r="G611" s="36">
        <v>-740</v>
      </c>
      <c r="H611" s="37">
        <v>0</v>
      </c>
      <c r="I611" s="109"/>
      <c r="J611" s="12"/>
      <c r="K611" s="21"/>
      <c r="L611" s="15"/>
      <c r="M611" s="16"/>
      <c r="O611" s="12" t="str">
        <f>VLOOKUP(QUERY_FOR_TRNSTRANSPOSED_0008!A611,'[6]Fin vs NFin'!$A$4:$F$568,6,FALSE)</f>
        <v>Financeiras</v>
      </c>
      <c r="P611" s="17" t="str">
        <f t="shared" si="12"/>
        <v>82</v>
      </c>
      <c r="Q611" s="17"/>
      <c r="R611" s="17"/>
      <c r="S611" s="17"/>
      <c r="T611" s="17" t="str">
        <f>VLOOKUP(D611,[6]Mapeamento!$A$38:$C$497,3,FALSE)</f>
        <v>REC_MF</v>
      </c>
    </row>
    <row r="612" spans="1:20" ht="15" thickBot="1">
      <c r="A612" s="44" t="s">
        <v>799</v>
      </c>
      <c r="B612" s="44" t="str">
        <f>VLOOKUP(A612,'[6]Fin vs NFin'!$A$4:$B$568,2,FALSE)</f>
        <v>!RD Exportação-Periodif.</v>
      </c>
      <c r="C612" s="44" t="s">
        <v>800</v>
      </c>
      <c r="D612" s="44" t="s">
        <v>796</v>
      </c>
      <c r="E612" s="44" t="str">
        <f>VLOOKUP(D612,[6]Arvore!$N$8:$Q$6855,4,FALSE)</f>
        <v>501530430</v>
      </c>
      <c r="F612" s="45">
        <v>4838.9799999999996</v>
      </c>
      <c r="G612" s="45">
        <v>4838.9799999999996</v>
      </c>
      <c r="H612" s="46">
        <v>0</v>
      </c>
      <c r="I612" s="28">
        <v>0</v>
      </c>
      <c r="J612" s="26"/>
      <c r="L612" s="29"/>
      <c r="M612" s="30"/>
      <c r="O612" s="26" t="str">
        <f>VLOOKUP(QUERY_FOR_TRNSTRANSPOSED_0008!A612,'[6]Fin vs NFin'!$A$4:$F$568,6,FALSE)</f>
        <v>Financeiras</v>
      </c>
      <c r="P612" s="31" t="str">
        <f t="shared" si="12"/>
        <v>82</v>
      </c>
      <c r="Q612" s="31"/>
      <c r="R612" s="31"/>
      <c r="S612" s="31"/>
      <c r="T612" s="31" t="str">
        <f>VLOOKUP(D612,[6]Mapeamento!$A$38:$C$497,3,FALSE)</f>
        <v>REC_MF</v>
      </c>
    </row>
    <row r="613" spans="1:20">
      <c r="A613" s="18" t="s">
        <v>801</v>
      </c>
      <c r="B613" s="18" t="str">
        <f>VLOOKUP(A613,'[6]Fin vs NFin'!$A$4:$B$568,2,FALSE)</f>
        <v>!RD Exportação-Outras</v>
      </c>
      <c r="C613" s="18" t="s">
        <v>802</v>
      </c>
      <c r="D613" s="18" t="s">
        <v>743</v>
      </c>
      <c r="E613" s="18" t="str">
        <f>VLOOKUP(D613,[6]Arvore!$N$8:$Q$6855,4,FALSE)</f>
        <v>431110</v>
      </c>
      <c r="F613" s="19">
        <v>33020.019999999997</v>
      </c>
      <c r="G613" s="19">
        <v>37972.1446340763</v>
      </c>
      <c r="H613" s="20">
        <v>-4952.1246340763</v>
      </c>
      <c r="I613" s="114">
        <f>SUM(H613:H615)</f>
        <v>-0.50160454960041534</v>
      </c>
      <c r="J613" s="19"/>
      <c r="K613" s="21"/>
      <c r="L613" s="22"/>
      <c r="M613" s="23"/>
      <c r="O613" s="19" t="str">
        <f>VLOOKUP(QUERY_FOR_TRNSTRANSPOSED_0008!A613,'[6]Fin vs NFin'!$A$4:$F$568,6,FALSE)</f>
        <v>Mista (NFin)</v>
      </c>
      <c r="P613" s="24" t="str">
        <f t="shared" si="12"/>
        <v>89</v>
      </c>
      <c r="Q613" s="24"/>
      <c r="R613" s="24" t="str">
        <f>VLOOKUP(D613,[6]Mapeamento!$A$38:$C$497,3,FALSE)</f>
        <v>GG</v>
      </c>
      <c r="S613" s="24"/>
      <c r="T613" s="24"/>
    </row>
    <row r="614" spans="1:20">
      <c r="A614" s="18" t="s">
        <v>801</v>
      </c>
      <c r="B614" s="18" t="str">
        <f>VLOOKUP(A614,'[6]Fin vs NFin'!$A$4:$B$568,2,FALSE)</f>
        <v>!RD Exportação-Outras</v>
      </c>
      <c r="C614" s="18" t="s">
        <v>803</v>
      </c>
      <c r="D614" s="18" t="s">
        <v>118</v>
      </c>
      <c r="E614" s="18" t="str">
        <f>VLOOKUP(D614,[6]Arvore!$N$8:$Q$6855,4,FALSE)</f>
        <v>431110</v>
      </c>
      <c r="F614" s="19">
        <v>29041.55</v>
      </c>
      <c r="G614" s="19">
        <v>24366.426970473301</v>
      </c>
      <c r="H614" s="20">
        <v>4675.1230295266996</v>
      </c>
      <c r="I614" s="114"/>
      <c r="J614" s="19"/>
      <c r="K614" s="21"/>
      <c r="L614" s="22"/>
      <c r="M614" s="23"/>
      <c r="O614" s="19" t="str">
        <f>VLOOKUP(QUERY_FOR_TRNSTRANSPOSED_0008!A614,'[6]Fin vs NFin'!$A$4:$F$568,6,FALSE)</f>
        <v>Mista (NFin)</v>
      </c>
      <c r="P614" s="24" t="str">
        <f t="shared" si="12"/>
        <v>89</v>
      </c>
      <c r="Q614" s="24"/>
      <c r="R614" s="24" t="str">
        <f>VLOOKUP(D614,[6]Mapeamento!$A$38:$C$497,3,FALSE)</f>
        <v>GG</v>
      </c>
      <c r="S614" s="24"/>
      <c r="T614" s="24"/>
    </row>
    <row r="615" spans="1:20" ht="15" thickBot="1">
      <c r="A615" s="11" t="s">
        <v>801</v>
      </c>
      <c r="B615" s="11" t="str">
        <f>VLOOKUP(A615,'[6]Fin vs NFin'!$A$4:$B$568,2,FALSE)</f>
        <v>!RD Exportação-Outras</v>
      </c>
      <c r="C615" s="11" t="s">
        <v>804</v>
      </c>
      <c r="D615" s="11" t="s">
        <v>796</v>
      </c>
      <c r="E615" s="11" t="str">
        <f>VLOOKUP(D615,[6]Arvore!$N$8:$Q$6855,4,FALSE)</f>
        <v>501530430</v>
      </c>
      <c r="F615" s="12">
        <v>15074</v>
      </c>
      <c r="G615" s="12">
        <v>14797.5</v>
      </c>
      <c r="H615" s="13">
        <v>276.5</v>
      </c>
      <c r="I615" s="109"/>
      <c r="J615" s="12"/>
      <c r="K615" s="21"/>
      <c r="L615" s="15"/>
      <c r="M615" s="16"/>
      <c r="O615" s="12" t="str">
        <f>VLOOKUP(QUERY_FOR_TRNSTRANSPOSED_0008!A615,'[6]Fin vs NFin'!$A$4:$F$568,6,FALSE)</f>
        <v>Mista (NFin)</v>
      </c>
      <c r="P615" s="17" t="str">
        <f t="shared" si="12"/>
        <v>82</v>
      </c>
      <c r="Q615" s="17"/>
      <c r="R615" s="17"/>
      <c r="S615" s="17"/>
      <c r="T615" s="17" t="str">
        <f>VLOOKUP(D615,[6]Mapeamento!$A$38:$C$497,3,FALSE)</f>
        <v>REC_MF</v>
      </c>
    </row>
    <row r="616" spans="1:20">
      <c r="A616" s="18" t="s">
        <v>805</v>
      </c>
      <c r="B616" s="18" t="str">
        <f>VLOOKUP(A616,'[6]Fin vs NFin'!$A$4:$B$568,2,FALSE)</f>
        <v>!CD Importação</v>
      </c>
      <c r="C616" s="18" t="s">
        <v>806</v>
      </c>
      <c r="D616" s="18" t="s">
        <v>743</v>
      </c>
      <c r="E616" s="18" t="str">
        <f>VLOOKUP(D616,[6]Arvore!$N$8:$Q$6855,4,FALSE)</f>
        <v>431110</v>
      </c>
      <c r="F616" s="19">
        <v>-1040</v>
      </c>
      <c r="G616" s="19">
        <v>-1090</v>
      </c>
      <c r="H616" s="20">
        <v>50</v>
      </c>
      <c r="I616" s="114">
        <f>SUM(H616:H624)</f>
        <v>-7.9517016099416651</v>
      </c>
      <c r="J616" s="19"/>
      <c r="K616" s="21"/>
      <c r="L616" s="22"/>
      <c r="M616" s="23"/>
      <c r="O616" s="19" t="str">
        <f>VLOOKUP(QUERY_FOR_TRNSTRANSPOSED_0008!A616,'[6]Fin vs NFin'!$A$4:$F$568,6,FALSE)</f>
        <v>Não Financeiras</v>
      </c>
      <c r="P616" s="24" t="str">
        <f t="shared" si="12"/>
        <v>89</v>
      </c>
      <c r="Q616" s="24"/>
      <c r="R616" s="24" t="str">
        <f>VLOOKUP(D616,[6]Mapeamento!$A$38:$C$497,3,FALSE)</f>
        <v>GG</v>
      </c>
      <c r="S616" s="24"/>
      <c r="T616" s="24"/>
    </row>
    <row r="617" spans="1:20">
      <c r="A617" s="18" t="s">
        <v>805</v>
      </c>
      <c r="B617" s="18" t="str">
        <f>VLOOKUP(A617,'[6]Fin vs NFin'!$A$4:$B$568,2,FALSE)</f>
        <v>!CD Importação</v>
      </c>
      <c r="C617" s="18" t="s">
        <v>489</v>
      </c>
      <c r="D617" s="18" t="s">
        <v>807</v>
      </c>
      <c r="E617" s="18" t="str">
        <f>VLOOKUP(D617,[6]Arvore!$N$8:$Q$6855,4,FALSE)</f>
        <v>51091</v>
      </c>
      <c r="F617" s="19">
        <v>-143866.56</v>
      </c>
      <c r="G617" s="19">
        <v>-137691.667714296</v>
      </c>
      <c r="H617" s="20">
        <v>-6174.8922857039697</v>
      </c>
      <c r="I617" s="114"/>
      <c r="J617" s="19"/>
      <c r="K617" s="21"/>
      <c r="L617" s="22"/>
      <c r="M617" s="23"/>
      <c r="O617" s="19" t="str">
        <f>VLOOKUP(QUERY_FOR_TRNSTRANSPOSED_0008!A617,'[6]Fin vs NFin'!$A$4:$F$568,6,FALSE)</f>
        <v>Não Financeiras</v>
      </c>
      <c r="P617" s="24" t="str">
        <f t="shared" si="12"/>
        <v>82</v>
      </c>
      <c r="Q617" s="24"/>
      <c r="R617" s="24"/>
      <c r="S617" s="24"/>
      <c r="T617" s="24"/>
    </row>
    <row r="618" spans="1:20">
      <c r="A618" s="18" t="s">
        <v>805</v>
      </c>
      <c r="B618" s="18" t="str">
        <f>VLOOKUP(A618,'[6]Fin vs NFin'!$A$4:$B$568,2,FALSE)</f>
        <v>!CD Importação</v>
      </c>
      <c r="C618" s="18" t="s">
        <v>489</v>
      </c>
      <c r="D618" s="18" t="s">
        <v>743</v>
      </c>
      <c r="E618" s="18" t="str">
        <f>VLOOKUP(D618,[6]Arvore!$N$8:$Q$6855,4,FALSE)</f>
        <v>431110</v>
      </c>
      <c r="F618" s="19">
        <v>16187.43</v>
      </c>
      <c r="G618" s="19">
        <v>6587.2633042592197</v>
      </c>
      <c r="H618" s="20">
        <v>9600.1666957407797</v>
      </c>
      <c r="I618" s="114"/>
      <c r="J618" s="19"/>
      <c r="K618" s="21"/>
      <c r="L618" s="22"/>
      <c r="M618" s="23"/>
      <c r="O618" s="19" t="str">
        <f>VLOOKUP(QUERY_FOR_TRNSTRANSPOSED_0008!A618,'[6]Fin vs NFin'!$A$4:$F$568,6,FALSE)</f>
        <v>Não Financeiras</v>
      </c>
      <c r="P618" s="24" t="str">
        <f t="shared" si="12"/>
        <v>89</v>
      </c>
      <c r="Q618" s="24"/>
      <c r="R618" s="24" t="str">
        <f>VLOOKUP(D618,[6]Mapeamento!$A$38:$C$497,3,FALSE)</f>
        <v>GG</v>
      </c>
      <c r="S618" s="24"/>
      <c r="T618" s="24"/>
    </row>
    <row r="619" spans="1:20">
      <c r="A619" s="18" t="s">
        <v>805</v>
      </c>
      <c r="B619" s="18" t="str">
        <f>VLOOKUP(A619,'[6]Fin vs NFin'!$A$4:$B$568,2,FALSE)</f>
        <v>!CD Importação</v>
      </c>
      <c r="C619" s="18" t="s">
        <v>808</v>
      </c>
      <c r="D619" s="18" t="s">
        <v>807</v>
      </c>
      <c r="E619" s="18" t="str">
        <f>VLOOKUP(D619,[6]Arvore!$N$8:$Q$6855,4,FALSE)</f>
        <v>51091</v>
      </c>
      <c r="F619" s="19">
        <v>1179192.52</v>
      </c>
      <c r="G619" s="19">
        <v>1036110.18684723</v>
      </c>
      <c r="H619" s="20">
        <v>143082.33315277001</v>
      </c>
      <c r="I619" s="114"/>
      <c r="J619" s="19"/>
      <c r="K619" s="21"/>
      <c r="L619" s="22"/>
      <c r="M619" s="23"/>
      <c r="O619" s="19" t="str">
        <f>VLOOKUP(QUERY_FOR_TRNSTRANSPOSED_0008!A619,'[6]Fin vs NFin'!$A$4:$F$568,6,FALSE)</f>
        <v>Não Financeiras</v>
      </c>
      <c r="P619" s="24" t="str">
        <f t="shared" si="12"/>
        <v>82</v>
      </c>
      <c r="Q619" s="24"/>
      <c r="R619" s="24"/>
      <c r="S619" s="24"/>
      <c r="T619" s="24"/>
    </row>
    <row r="620" spans="1:20">
      <c r="A620" s="18" t="s">
        <v>805</v>
      </c>
      <c r="B620" s="18" t="str">
        <f>VLOOKUP(A620,'[6]Fin vs NFin'!$A$4:$B$568,2,FALSE)</f>
        <v>!CD Importação</v>
      </c>
      <c r="C620" s="18" t="s">
        <v>809</v>
      </c>
      <c r="D620" s="18" t="s">
        <v>743</v>
      </c>
      <c r="E620" s="18" t="str">
        <f>VLOOKUP(D620,[6]Arvore!$N$8:$Q$6855,4,FALSE)</f>
        <v>431110</v>
      </c>
      <c r="F620" s="19">
        <v>-86770.6</v>
      </c>
      <c r="G620" s="19">
        <v>33916.033545814498</v>
      </c>
      <c r="H620" s="20">
        <v>-120686.63354581399</v>
      </c>
      <c r="I620" s="114"/>
      <c r="J620" s="19"/>
      <c r="K620" s="21"/>
      <c r="L620" s="22"/>
      <c r="M620" s="23"/>
      <c r="O620" s="19" t="str">
        <f>VLOOKUP(QUERY_FOR_TRNSTRANSPOSED_0008!A620,'[6]Fin vs NFin'!$A$4:$F$568,6,FALSE)</f>
        <v>Não Financeiras</v>
      </c>
      <c r="P620" s="24" t="str">
        <f t="shared" si="12"/>
        <v>89</v>
      </c>
      <c r="Q620" s="24"/>
      <c r="R620" s="24" t="str">
        <f>VLOOKUP(D620,[6]Mapeamento!$A$38:$C$497,3,FALSE)</f>
        <v>GG</v>
      </c>
      <c r="S620" s="24"/>
      <c r="T620" s="24"/>
    </row>
    <row r="621" spans="1:20">
      <c r="A621" s="18" t="s">
        <v>805</v>
      </c>
      <c r="B621" s="18" t="str">
        <f>VLOOKUP(A621,'[6]Fin vs NFin'!$A$4:$B$568,2,FALSE)</f>
        <v>!CD Importação</v>
      </c>
      <c r="C621" s="18" t="s">
        <v>810</v>
      </c>
      <c r="D621" s="18" t="s">
        <v>461</v>
      </c>
      <c r="E621" s="18" t="str">
        <f>VLOOKUP(D621,[6]Arvore!$N$8:$Q$6855,4,FALSE)</f>
        <v>431110</v>
      </c>
      <c r="F621" s="19">
        <v>4266.68</v>
      </c>
      <c r="G621" s="19">
        <v>4511.5703975818496</v>
      </c>
      <c r="H621" s="20">
        <v>-244.89039758184899</v>
      </c>
      <c r="I621" s="114"/>
      <c r="J621" s="19"/>
      <c r="K621" s="21"/>
      <c r="L621" s="22"/>
      <c r="M621" s="23"/>
      <c r="O621" s="19" t="str">
        <f>VLOOKUP(QUERY_FOR_TRNSTRANSPOSED_0008!A621,'[6]Fin vs NFin'!$A$4:$F$568,6,FALSE)</f>
        <v>Não Financeiras</v>
      </c>
      <c r="P621" s="24" t="str">
        <f t="shared" si="12"/>
        <v>89</v>
      </c>
      <c r="Q621" s="24"/>
      <c r="R621" s="24" t="str">
        <f>VLOOKUP(D621,[6]Mapeamento!$A$38:$C$497,3,FALSE)</f>
        <v>GG</v>
      </c>
      <c r="S621" s="24"/>
      <c r="T621" s="24"/>
    </row>
    <row r="622" spans="1:20">
      <c r="A622" s="18" t="s">
        <v>805</v>
      </c>
      <c r="B622" s="18" t="str">
        <f>VLOOKUP(A622,'[6]Fin vs NFin'!$A$4:$B$568,2,FALSE)</f>
        <v>!CD Importação</v>
      </c>
      <c r="C622" s="18" t="s">
        <v>811</v>
      </c>
      <c r="D622" s="18" t="s">
        <v>807</v>
      </c>
      <c r="E622" s="18" t="str">
        <f>VLOOKUP(D622,[6]Arvore!$N$8:$Q$6855,4,FALSE)</f>
        <v>51091</v>
      </c>
      <c r="F622" s="19">
        <v>1456.75000000001</v>
      </c>
      <c r="G622" s="19">
        <v>87538.808319469899</v>
      </c>
      <c r="H622" s="20">
        <v>-86082.058319469899</v>
      </c>
      <c r="I622" s="114"/>
      <c r="J622" s="19"/>
      <c r="K622" s="21"/>
      <c r="L622" s="22"/>
      <c r="M622" s="23"/>
      <c r="O622" s="19" t="str">
        <f>VLOOKUP(QUERY_FOR_TRNSTRANSPOSED_0008!A622,'[6]Fin vs NFin'!$A$4:$F$568,6,FALSE)</f>
        <v>Não Financeiras</v>
      </c>
      <c r="P622" s="24" t="str">
        <f t="shared" si="12"/>
        <v>82</v>
      </c>
      <c r="Q622" s="24"/>
      <c r="R622" s="24"/>
      <c r="S622" s="24"/>
      <c r="T622" s="24"/>
    </row>
    <row r="623" spans="1:20">
      <c r="A623" s="18" t="s">
        <v>805</v>
      </c>
      <c r="B623" s="18" t="str">
        <f>VLOOKUP(A623,'[6]Fin vs NFin'!$A$4:$B$568,2,FALSE)</f>
        <v>!CD Importação</v>
      </c>
      <c r="C623" s="18" t="s">
        <v>812</v>
      </c>
      <c r="D623" s="18" t="s">
        <v>813</v>
      </c>
      <c r="E623" s="18" t="str">
        <f>VLOOKUP(D623,[6]Arvore!$N$8:$Q$6855,4,FALSE)</f>
        <v>4311884</v>
      </c>
      <c r="F623" s="19">
        <v>45758.18</v>
      </c>
      <c r="G623" s="19">
        <v>131552.12891285299</v>
      </c>
      <c r="H623" s="20">
        <v>-85793.948912852997</v>
      </c>
      <c r="I623" s="114"/>
      <c r="J623" s="19"/>
      <c r="K623" s="21"/>
      <c r="L623" s="22"/>
      <c r="M623" s="23"/>
      <c r="O623" s="19" t="str">
        <f>VLOOKUP(QUERY_FOR_TRNSTRANSPOSED_0008!A623,'[6]Fin vs NFin'!$A$4:$F$568,6,FALSE)</f>
        <v>Não Financeiras</v>
      </c>
      <c r="P623" s="24" t="str">
        <f t="shared" si="12"/>
        <v>89</v>
      </c>
      <c r="Q623" s="24"/>
      <c r="R623" s="24" t="str">
        <f>VLOOKUP(D623,[6]Mapeamento!$A$38:$C$497,3,FALSE)</f>
        <v>GG</v>
      </c>
      <c r="S623" s="24"/>
      <c r="T623" s="24"/>
    </row>
    <row r="624" spans="1:20" ht="15" thickBot="1">
      <c r="A624" s="11" t="s">
        <v>805</v>
      </c>
      <c r="B624" s="11" t="str">
        <f>VLOOKUP(A624,'[6]Fin vs NFin'!$A$4:$B$568,2,FALSE)</f>
        <v>!CD Importação</v>
      </c>
      <c r="C624" s="11" t="s">
        <v>814</v>
      </c>
      <c r="D624" s="11" t="s">
        <v>807</v>
      </c>
      <c r="E624" s="11" t="str">
        <f>VLOOKUP(D624,[6]Arvore!$N$8:$Q$6855,4,FALSE)</f>
        <v>51091</v>
      </c>
      <c r="F624" s="12">
        <v>-164915.70000000001</v>
      </c>
      <c r="G624" s="12">
        <v>-311157.67191130202</v>
      </c>
      <c r="H624" s="13">
        <v>146241.97191130201</v>
      </c>
      <c r="I624" s="109"/>
      <c r="J624" s="12"/>
      <c r="K624" s="21"/>
      <c r="L624" s="15"/>
      <c r="M624" s="16"/>
      <c r="O624" s="12" t="str">
        <f>VLOOKUP(QUERY_FOR_TRNSTRANSPOSED_0008!A624,'[6]Fin vs NFin'!$A$4:$F$568,6,FALSE)</f>
        <v>Não Financeiras</v>
      </c>
      <c r="P624" s="17" t="str">
        <f t="shared" si="12"/>
        <v>82</v>
      </c>
      <c r="Q624" s="17"/>
      <c r="R624" s="17"/>
      <c r="S624" s="17"/>
      <c r="T624" s="17"/>
    </row>
    <row r="625" spans="1:20">
      <c r="A625" s="18" t="s">
        <v>815</v>
      </c>
      <c r="B625" s="18" t="str">
        <f>VLOOKUP(A625,'[6]Fin vs NFin'!$A$4:$B$568,2,FALSE)</f>
        <v>!CD Exportação</v>
      </c>
      <c r="C625" s="18" t="s">
        <v>489</v>
      </c>
      <c r="D625" s="18" t="s">
        <v>816</v>
      </c>
      <c r="E625" s="18" t="str">
        <f>VLOOKUP(D625,[6]Arvore!$N$8:$Q$6855,4,FALSE)</f>
        <v>51091</v>
      </c>
      <c r="F625" s="19">
        <v>-9513.18</v>
      </c>
      <c r="G625" s="19">
        <v>-9513.1575761395798</v>
      </c>
      <c r="H625" s="20">
        <v>-2.24238604187121E-2</v>
      </c>
      <c r="I625" s="114">
        <f>SUM(H625:H634)</f>
        <v>-1.1101737876042534</v>
      </c>
      <c r="J625" s="19"/>
      <c r="K625" s="21"/>
      <c r="L625" s="22"/>
      <c r="M625" s="23"/>
      <c r="O625" s="19" t="str">
        <f>VLOOKUP(QUERY_FOR_TRNSTRANSPOSED_0008!A625,'[6]Fin vs NFin'!$A$4:$F$568,6,FALSE)</f>
        <v>Não Financeiras</v>
      </c>
      <c r="P625" s="24" t="str">
        <f t="shared" si="12"/>
        <v>82</v>
      </c>
      <c r="Q625" s="24"/>
      <c r="R625" s="24"/>
      <c r="S625" s="24"/>
      <c r="T625" s="24"/>
    </row>
    <row r="626" spans="1:20">
      <c r="A626" s="32" t="s">
        <v>815</v>
      </c>
      <c r="B626" s="32" t="str">
        <f>VLOOKUP(A626,'[6]Fin vs NFin'!$A$4:$B$568,2,FALSE)</f>
        <v>!CD Exportação</v>
      </c>
      <c r="C626" s="32" t="s">
        <v>817</v>
      </c>
      <c r="D626" s="32" t="s">
        <v>753</v>
      </c>
      <c r="E626" s="32" t="str">
        <f>VLOOKUP(D626,[6]Arvore!$N$8:$Q$6855,4,FALSE)</f>
        <v>416190</v>
      </c>
      <c r="F626" s="33">
        <v>60</v>
      </c>
      <c r="G626" s="33">
        <v>60</v>
      </c>
      <c r="H626" s="34">
        <v>0</v>
      </c>
      <c r="I626" s="114"/>
      <c r="J626" s="19"/>
      <c r="K626" s="21"/>
      <c r="L626" s="22"/>
      <c r="M626" s="23"/>
      <c r="O626" s="19" t="str">
        <f>VLOOKUP(QUERY_FOR_TRNSTRANSPOSED_0008!A626,'[6]Fin vs NFin'!$A$4:$F$568,6,FALSE)</f>
        <v>Não Financeiras</v>
      </c>
      <c r="P626" s="24" t="str">
        <f t="shared" si="12"/>
        <v>71</v>
      </c>
      <c r="Q626" s="24"/>
      <c r="R626" s="24"/>
      <c r="S626" s="24"/>
      <c r="T626" s="24"/>
    </row>
    <row r="627" spans="1:20">
      <c r="A627" s="18" t="s">
        <v>815</v>
      </c>
      <c r="B627" s="18" t="str">
        <f>VLOOKUP(A627,'[6]Fin vs NFin'!$A$4:$B$568,2,FALSE)</f>
        <v>!CD Exportação</v>
      </c>
      <c r="C627" s="18" t="s">
        <v>818</v>
      </c>
      <c r="D627" s="18" t="s">
        <v>816</v>
      </c>
      <c r="E627" s="18" t="str">
        <f>VLOOKUP(D627,[6]Arvore!$N$8:$Q$6855,4,FALSE)</f>
        <v>51091</v>
      </c>
      <c r="F627" s="19">
        <v>19069.71</v>
      </c>
      <c r="G627" s="19">
        <v>11494.7989883758</v>
      </c>
      <c r="H627" s="20">
        <v>7574.9110116242</v>
      </c>
      <c r="I627" s="114"/>
      <c r="J627" s="19"/>
      <c r="K627" s="21"/>
      <c r="L627" s="22"/>
      <c r="M627" s="23"/>
      <c r="O627" s="19" t="str">
        <f>VLOOKUP(QUERY_FOR_TRNSTRANSPOSED_0008!A627,'[6]Fin vs NFin'!$A$4:$F$568,6,FALSE)</f>
        <v>Não Financeiras</v>
      </c>
      <c r="P627" s="24" t="str">
        <f t="shared" si="12"/>
        <v>82</v>
      </c>
      <c r="Q627" s="24"/>
      <c r="R627" s="24"/>
      <c r="S627" s="24"/>
      <c r="T627" s="24"/>
    </row>
    <row r="628" spans="1:20">
      <c r="A628" s="18" t="s">
        <v>815</v>
      </c>
      <c r="B628" s="18" t="str">
        <f>VLOOKUP(A628,'[6]Fin vs NFin'!$A$4:$B$568,2,FALSE)</f>
        <v>!CD Exportação</v>
      </c>
      <c r="C628" s="18" t="s">
        <v>819</v>
      </c>
      <c r="D628" s="18" t="s">
        <v>816</v>
      </c>
      <c r="E628" s="18" t="str">
        <f>VLOOKUP(D628,[6]Arvore!$N$8:$Q$6855,4,FALSE)</f>
        <v>51091</v>
      </c>
      <c r="F628" s="19">
        <v>290.10000000000002</v>
      </c>
      <c r="G628" s="19">
        <v>170.13047530288901</v>
      </c>
      <c r="H628" s="20">
        <v>119.969524697111</v>
      </c>
      <c r="I628" s="114"/>
      <c r="J628" s="19"/>
      <c r="K628" s="21"/>
      <c r="L628" s="22"/>
      <c r="M628" s="23"/>
      <c r="O628" s="19" t="str">
        <f>VLOOKUP(QUERY_FOR_TRNSTRANSPOSED_0008!A628,'[6]Fin vs NFin'!$A$4:$F$568,6,FALSE)</f>
        <v>Não Financeiras</v>
      </c>
      <c r="P628" s="24" t="str">
        <f t="shared" si="12"/>
        <v>82</v>
      </c>
      <c r="Q628" s="24"/>
      <c r="R628" s="24"/>
      <c r="S628" s="24"/>
      <c r="T628" s="24"/>
    </row>
    <row r="629" spans="1:20">
      <c r="A629" s="18" t="s">
        <v>815</v>
      </c>
      <c r="B629" s="18" t="str">
        <f>VLOOKUP(A629,'[6]Fin vs NFin'!$A$4:$B$568,2,FALSE)</f>
        <v>!CD Exportação</v>
      </c>
      <c r="C629" s="18" t="s">
        <v>820</v>
      </c>
      <c r="D629" s="18" t="s">
        <v>816</v>
      </c>
      <c r="E629" s="18" t="str">
        <f>VLOOKUP(D629,[6]Arvore!$N$8:$Q$6855,4,FALSE)</f>
        <v>51091</v>
      </c>
      <c r="F629" s="19">
        <v>12157.21</v>
      </c>
      <c r="G629" s="19">
        <v>14471.368661480201</v>
      </c>
      <c r="H629" s="20">
        <v>-2314.1586614802</v>
      </c>
      <c r="I629" s="114"/>
      <c r="J629" s="19"/>
      <c r="K629" s="21"/>
      <c r="L629" s="22"/>
      <c r="M629" s="23"/>
      <c r="O629" s="19" t="str">
        <f>VLOOKUP(QUERY_FOR_TRNSTRANSPOSED_0008!A629,'[6]Fin vs NFin'!$A$4:$F$568,6,FALSE)</f>
        <v>Não Financeiras</v>
      </c>
      <c r="P629" s="24" t="str">
        <f t="shared" si="12"/>
        <v>82</v>
      </c>
      <c r="Q629" s="24"/>
      <c r="R629" s="24"/>
      <c r="S629" s="24"/>
      <c r="T629" s="24"/>
    </row>
    <row r="630" spans="1:20">
      <c r="A630" s="18" t="s">
        <v>815</v>
      </c>
      <c r="B630" s="18" t="str">
        <f>VLOOKUP(A630,'[6]Fin vs NFin'!$A$4:$B$568,2,FALSE)</f>
        <v>!CD Exportação</v>
      </c>
      <c r="C630" s="18" t="s">
        <v>821</v>
      </c>
      <c r="D630" s="18" t="s">
        <v>743</v>
      </c>
      <c r="E630" s="18" t="str">
        <f>VLOOKUP(D630,[6]Arvore!$N$8:$Q$6855,4,FALSE)</f>
        <v>431110</v>
      </c>
      <c r="F630" s="19">
        <v>24514.68</v>
      </c>
      <c r="G630" s="19">
        <v>6205.3489696816996</v>
      </c>
      <c r="H630" s="20">
        <v>18309.331030318299</v>
      </c>
      <c r="I630" s="114"/>
      <c r="J630" s="19"/>
      <c r="K630" s="21"/>
      <c r="L630" s="22"/>
      <c r="M630" s="23"/>
      <c r="O630" s="19" t="str">
        <f>VLOOKUP(QUERY_FOR_TRNSTRANSPOSED_0008!A630,'[6]Fin vs NFin'!$A$4:$F$568,6,FALSE)</f>
        <v>Não Financeiras</v>
      </c>
      <c r="P630" s="24" t="str">
        <f t="shared" si="12"/>
        <v>89</v>
      </c>
      <c r="Q630" s="24"/>
      <c r="R630" s="24" t="str">
        <f>VLOOKUP(D630,[6]Mapeamento!$A$38:$C$497,3,FALSE)</f>
        <v>GG</v>
      </c>
      <c r="S630" s="24"/>
      <c r="T630" s="24"/>
    </row>
    <row r="631" spans="1:20">
      <c r="A631" s="18" t="s">
        <v>815</v>
      </c>
      <c r="B631" s="18" t="str">
        <f>VLOOKUP(A631,'[6]Fin vs NFin'!$A$4:$B$568,2,FALSE)</f>
        <v>!CD Exportação</v>
      </c>
      <c r="C631" s="18" t="s">
        <v>822</v>
      </c>
      <c r="D631" s="18" t="s">
        <v>118</v>
      </c>
      <c r="E631" s="18" t="str">
        <f>VLOOKUP(D631,[6]Arvore!$N$8:$Q$6855,4,FALSE)</f>
        <v>431110</v>
      </c>
      <c r="F631" s="19">
        <v>22613.64</v>
      </c>
      <c r="G631" s="19">
        <v>36990.794933792298</v>
      </c>
      <c r="H631" s="20">
        <v>-14377.154933792301</v>
      </c>
      <c r="I631" s="114"/>
      <c r="J631" s="19"/>
      <c r="K631" s="21"/>
      <c r="L631" s="22"/>
      <c r="M631" s="23"/>
      <c r="O631" s="19" t="str">
        <f>VLOOKUP(QUERY_FOR_TRNSTRANSPOSED_0008!A631,'[6]Fin vs NFin'!$A$4:$F$568,6,FALSE)</f>
        <v>Não Financeiras</v>
      </c>
      <c r="P631" s="24" t="str">
        <f t="shared" si="12"/>
        <v>89</v>
      </c>
      <c r="Q631" s="24"/>
      <c r="R631" s="24" t="str">
        <f>VLOOKUP(D631,[6]Mapeamento!$A$38:$C$497,3,FALSE)</f>
        <v>GG</v>
      </c>
      <c r="S631" s="24"/>
      <c r="T631" s="24"/>
    </row>
    <row r="632" spans="1:20">
      <c r="A632" s="18" t="s">
        <v>815</v>
      </c>
      <c r="B632" s="18" t="str">
        <f>VLOOKUP(A632,'[6]Fin vs NFin'!$A$4:$B$568,2,FALSE)</f>
        <v>!CD Exportação</v>
      </c>
      <c r="C632" s="18" t="s">
        <v>823</v>
      </c>
      <c r="D632" s="18" t="s">
        <v>816</v>
      </c>
      <c r="E632" s="18" t="str">
        <f>VLOOKUP(D632,[6]Arvore!$N$8:$Q$6855,4,FALSE)</f>
        <v>51091</v>
      </c>
      <c r="F632" s="19">
        <v>195453.05</v>
      </c>
      <c r="G632" s="19">
        <v>162428.17749604699</v>
      </c>
      <c r="H632" s="20">
        <v>33024.872503953004</v>
      </c>
      <c r="I632" s="114"/>
      <c r="J632" s="19"/>
      <c r="K632" s="21"/>
      <c r="L632" s="22"/>
      <c r="M632" s="23"/>
      <c r="O632" s="19" t="str">
        <f>VLOOKUP(QUERY_FOR_TRNSTRANSPOSED_0008!A632,'[6]Fin vs NFin'!$A$4:$F$568,6,FALSE)</f>
        <v>Não Financeiras</v>
      </c>
      <c r="P632" s="24" t="str">
        <f t="shared" si="12"/>
        <v>82</v>
      </c>
      <c r="Q632" s="24"/>
      <c r="R632" s="24"/>
      <c r="S632" s="24"/>
      <c r="T632" s="24"/>
    </row>
    <row r="633" spans="1:20">
      <c r="A633" s="18" t="s">
        <v>815</v>
      </c>
      <c r="B633" s="18" t="str">
        <f>VLOOKUP(A633,'[6]Fin vs NFin'!$A$4:$B$568,2,FALSE)</f>
        <v>!CD Exportação</v>
      </c>
      <c r="C633" s="18" t="s">
        <v>824</v>
      </c>
      <c r="D633" s="18" t="s">
        <v>816</v>
      </c>
      <c r="E633" s="18" t="str">
        <f>VLOOKUP(D633,[6]Arvore!$N$8:$Q$6855,4,FALSE)</f>
        <v>51091</v>
      </c>
      <c r="F633" s="19">
        <v>46705.9</v>
      </c>
      <c r="G633" s="19">
        <v>81578.922318983095</v>
      </c>
      <c r="H633" s="20">
        <v>-34873.022318983101</v>
      </c>
      <c r="I633" s="114"/>
      <c r="J633" s="19"/>
      <c r="K633" s="21"/>
      <c r="L633" s="22"/>
      <c r="M633" s="23"/>
      <c r="O633" s="19" t="str">
        <f>VLOOKUP(QUERY_FOR_TRNSTRANSPOSED_0008!A633,'[6]Fin vs NFin'!$A$4:$F$568,6,FALSE)</f>
        <v>Não Financeiras</v>
      </c>
      <c r="P633" s="24" t="str">
        <f t="shared" si="12"/>
        <v>82</v>
      </c>
      <c r="Q633" s="24"/>
      <c r="R633" s="24"/>
      <c r="S633" s="24"/>
      <c r="T633" s="24"/>
    </row>
    <row r="634" spans="1:20" ht="15" thickBot="1">
      <c r="A634" s="18" t="s">
        <v>815</v>
      </c>
      <c r="B634" s="18" t="str">
        <f>VLOOKUP(A634,'[6]Fin vs NFin'!$A$4:$B$568,2,FALSE)</f>
        <v>!CD Exportação</v>
      </c>
      <c r="C634" s="18" t="s">
        <v>825</v>
      </c>
      <c r="D634" s="18" t="s">
        <v>816</v>
      </c>
      <c r="E634" s="18" t="str">
        <f>VLOOKUP(D634,[6]Arvore!$N$8:$Q$6855,4,FALSE)</f>
        <v>51091</v>
      </c>
      <c r="F634" s="19">
        <v>5428.07</v>
      </c>
      <c r="G634" s="19">
        <v>12893.905906264201</v>
      </c>
      <c r="H634" s="20">
        <v>-7465.8359062642003</v>
      </c>
      <c r="I634" s="114"/>
      <c r="J634" s="19"/>
      <c r="K634" s="21"/>
      <c r="L634" s="22"/>
      <c r="M634" s="23"/>
      <c r="O634" s="19" t="str">
        <f>VLOOKUP(QUERY_FOR_TRNSTRANSPOSED_0008!A634,'[6]Fin vs NFin'!$A$4:$F$568,6,FALSE)</f>
        <v>Não Financeiras</v>
      </c>
      <c r="P634" s="24" t="str">
        <f t="shared" si="12"/>
        <v>82</v>
      </c>
      <c r="Q634" s="24"/>
      <c r="R634" s="24"/>
      <c r="S634" s="24"/>
      <c r="T634" s="24"/>
    </row>
    <row r="635" spans="1:20">
      <c r="A635" s="38" t="s">
        <v>826</v>
      </c>
      <c r="B635" s="38" t="str">
        <f>VLOOKUP(A635,'[6]Fin vs NFin'!$A$4:$B$568,2,FALSE)</f>
        <v>!Standby Letters</v>
      </c>
      <c r="C635" s="38" t="s">
        <v>827</v>
      </c>
      <c r="D635" s="38" t="s">
        <v>807</v>
      </c>
      <c r="E635" s="38" t="str">
        <f>VLOOKUP(D635,[6]Arvore!$N$8:$Q$6855,4,FALSE)</f>
        <v>51091</v>
      </c>
      <c r="F635" s="39">
        <v>842995.99</v>
      </c>
      <c r="G635" s="39">
        <v>928874.57449396898</v>
      </c>
      <c r="H635" s="40">
        <v>-85878.584493969101</v>
      </c>
      <c r="I635" s="108">
        <v>-0.13692084642480001</v>
      </c>
      <c r="J635" s="39"/>
      <c r="K635" s="21"/>
      <c r="L635" s="41"/>
      <c r="M635" s="42"/>
      <c r="O635" s="39" t="str">
        <f>VLOOKUP(QUERY_FOR_TRNSTRANSPOSED_0008!A635,'[6]Fin vs NFin'!$A$4:$F$568,6,FALSE)</f>
        <v>Não Financeiras</v>
      </c>
      <c r="P635" s="43" t="str">
        <f t="shared" si="12"/>
        <v>82</v>
      </c>
      <c r="Q635" s="43"/>
      <c r="R635" s="43"/>
      <c r="S635" s="43"/>
      <c r="T635" s="43"/>
    </row>
    <row r="636" spans="1:20">
      <c r="A636" s="18" t="s">
        <v>826</v>
      </c>
      <c r="B636" s="18" t="str">
        <f>VLOOKUP(A636,'[6]Fin vs NFin'!$A$4:$B$568,2,FALSE)</f>
        <v>!Standby Letters</v>
      </c>
      <c r="C636" s="18" t="s">
        <v>828</v>
      </c>
      <c r="D636" s="18" t="s">
        <v>743</v>
      </c>
      <c r="E636" s="18" t="str">
        <f>VLOOKUP(D636,[6]Arvore!$N$8:$Q$6855,4,FALSE)</f>
        <v>431110</v>
      </c>
      <c r="F636" s="19">
        <v>81026.64</v>
      </c>
      <c r="G636" s="19">
        <v>3000.6944774788399</v>
      </c>
      <c r="H636" s="20">
        <v>78025.9455225212</v>
      </c>
      <c r="I636" s="114"/>
      <c r="J636" s="19"/>
      <c r="K636" s="21"/>
      <c r="L636" s="22"/>
      <c r="M636" s="23"/>
      <c r="O636" s="19" t="str">
        <f>VLOOKUP(QUERY_FOR_TRNSTRANSPOSED_0008!A636,'[6]Fin vs NFin'!$A$4:$F$568,6,FALSE)</f>
        <v>Não Financeiras</v>
      </c>
      <c r="P636" s="24" t="str">
        <f t="shared" si="12"/>
        <v>89</v>
      </c>
      <c r="Q636" s="24"/>
      <c r="R636" s="24" t="str">
        <f>VLOOKUP(D636,[6]Mapeamento!$A$38:$C$497,3,FALSE)</f>
        <v>GG</v>
      </c>
      <c r="S636" s="24"/>
      <c r="T636" s="24"/>
    </row>
    <row r="637" spans="1:20" ht="15" thickBot="1">
      <c r="A637" s="11" t="s">
        <v>826</v>
      </c>
      <c r="B637" s="11" t="str">
        <f>VLOOKUP(A637,'[6]Fin vs NFin'!$A$4:$B$568,2,FALSE)</f>
        <v>!Standby Letters</v>
      </c>
      <c r="C637" s="11" t="s">
        <v>829</v>
      </c>
      <c r="D637" s="11" t="s">
        <v>461</v>
      </c>
      <c r="E637" s="11" t="str">
        <f>VLOOKUP(D637,[6]Arvore!$N$8:$Q$6855,4,FALSE)</f>
        <v>431110</v>
      </c>
      <c r="F637" s="12">
        <v>10735.66</v>
      </c>
      <c r="G637" s="12">
        <v>2883.15794939848</v>
      </c>
      <c r="H637" s="13">
        <v>7852.5020506015198</v>
      </c>
      <c r="I637" s="109"/>
      <c r="J637" s="12"/>
      <c r="K637" s="21"/>
      <c r="L637" s="15"/>
      <c r="M637" s="16"/>
      <c r="O637" s="12" t="str">
        <f>VLOOKUP(QUERY_FOR_TRNSTRANSPOSED_0008!A637,'[6]Fin vs NFin'!$A$4:$F$568,6,FALSE)</f>
        <v>Não Financeiras</v>
      </c>
      <c r="P637" s="17" t="str">
        <f t="shared" si="12"/>
        <v>89</v>
      </c>
      <c r="Q637" s="17"/>
      <c r="R637" s="17" t="str">
        <f>VLOOKUP(D637,[6]Mapeamento!$A$38:$C$497,3,FALSE)</f>
        <v>GG</v>
      </c>
      <c r="S637" s="17"/>
      <c r="T637" s="17"/>
    </row>
    <row r="638" spans="1:20" ht="15" thickBot="1">
      <c r="A638" s="18" t="s">
        <v>830</v>
      </c>
      <c r="B638" s="18" t="str">
        <f>VLOOKUP(A638,'[6]Fin vs NFin'!$A$4:$B$568,2,FALSE)</f>
        <v>!Gar.S/Estr-Cash</v>
      </c>
      <c r="C638" s="18" t="s">
        <v>468</v>
      </c>
      <c r="D638" s="18" t="s">
        <v>831</v>
      </c>
      <c r="E638" s="18" t="str">
        <f>VLOOKUP(D638,[6]Arvore!$N$8:$Q$6855,4,FALSE)</f>
        <v>29929</v>
      </c>
      <c r="F638" s="19">
        <v>1660136.97</v>
      </c>
      <c r="G638" s="19">
        <v>0</v>
      </c>
      <c r="H638" s="20">
        <v>1660136.97</v>
      </c>
      <c r="I638" s="62">
        <f>H638</f>
        <v>1660136.97</v>
      </c>
      <c r="J638" s="63">
        <f>I638+I652</f>
        <v>0</v>
      </c>
      <c r="K638" s="21"/>
      <c r="L638" s="22"/>
      <c r="M638" s="23"/>
      <c r="O638" s="19" t="str">
        <f>VLOOKUP(QUERY_FOR_TRNSTRANSPOSED_0008!A638,'[6]Fin vs NFin'!$A$4:$F$568,6,FALSE)</f>
        <v>Não Financeiras</v>
      </c>
      <c r="P638" s="24" t="str">
        <f t="shared" si="12"/>
        <v>54</v>
      </c>
      <c r="Q638" s="24"/>
      <c r="R638" s="24"/>
      <c r="S638" s="24"/>
      <c r="T638" s="24"/>
    </row>
    <row r="639" spans="1:20">
      <c r="A639" s="49" t="s">
        <v>832</v>
      </c>
      <c r="B639" s="49" t="str">
        <f>VLOOKUP(A639,'[6]Fin vs NFin'!$A$4:$B$568,2,FALSE)</f>
        <v>!Outras Garant.S/Estrang.</v>
      </c>
      <c r="C639" s="49" t="s">
        <v>477</v>
      </c>
      <c r="D639" s="49" t="s">
        <v>833</v>
      </c>
      <c r="E639" s="49" t="str">
        <f>VLOOKUP(D639,[6]Arvore!$N$8:$Q$6855,4,FALSE)</f>
        <v>5100</v>
      </c>
      <c r="F639" s="50">
        <v>200</v>
      </c>
      <c r="G639" s="50">
        <v>200</v>
      </c>
      <c r="H639" s="51">
        <v>0</v>
      </c>
      <c r="I639" s="108">
        <f>SUM(H639:H651)</f>
        <v>-3.2360354962293059E-2</v>
      </c>
      <c r="J639" s="39"/>
      <c r="K639" s="21"/>
      <c r="L639" s="41"/>
      <c r="M639" s="42"/>
      <c r="O639" s="39" t="str">
        <f>VLOOKUP(QUERY_FOR_TRNSTRANSPOSED_0008!A639,'[6]Fin vs NFin'!$A$4:$F$568,6,FALSE)</f>
        <v>Não Financeiras</v>
      </c>
      <c r="P639" s="43" t="str">
        <f t="shared" si="12"/>
        <v>82</v>
      </c>
      <c r="Q639" s="43"/>
      <c r="R639" s="43"/>
      <c r="S639" s="43"/>
      <c r="T639" s="43"/>
    </row>
    <row r="640" spans="1:20">
      <c r="A640" s="18" t="s">
        <v>832</v>
      </c>
      <c r="B640" s="18" t="str">
        <f>VLOOKUP(A640,'[6]Fin vs NFin'!$A$4:$B$568,2,FALSE)</f>
        <v>!Outras Garant.S/Estrang.</v>
      </c>
      <c r="C640" s="18" t="s">
        <v>477</v>
      </c>
      <c r="D640" s="18" t="s">
        <v>482</v>
      </c>
      <c r="E640" s="18" t="str">
        <f>VLOOKUP(D640,[6]Arvore!$N$8:$Q$6855,4,FALSE)</f>
        <v>51090</v>
      </c>
      <c r="F640" s="19">
        <v>3885.08</v>
      </c>
      <c r="G640" s="19">
        <v>4010.08</v>
      </c>
      <c r="H640" s="20">
        <v>-125</v>
      </c>
      <c r="I640" s="114"/>
      <c r="J640" s="19"/>
      <c r="K640" s="21"/>
      <c r="L640" s="22"/>
      <c r="M640" s="23"/>
      <c r="O640" s="19" t="str">
        <f>VLOOKUP(QUERY_FOR_TRNSTRANSPOSED_0008!A640,'[6]Fin vs NFin'!$A$4:$F$568,6,FALSE)</f>
        <v>Não Financeiras</v>
      </c>
      <c r="P640" s="24" t="str">
        <f t="shared" si="12"/>
        <v>82</v>
      </c>
      <c r="Q640" s="24"/>
      <c r="R640" s="24"/>
      <c r="S640" s="24"/>
      <c r="T640" s="24"/>
    </row>
    <row r="641" spans="1:20">
      <c r="A641" s="32" t="s">
        <v>832</v>
      </c>
      <c r="B641" s="32" t="str">
        <f>VLOOKUP(A641,'[6]Fin vs NFin'!$A$4:$B$568,2,FALSE)</f>
        <v>!Outras Garant.S/Estrang.</v>
      </c>
      <c r="C641" s="32" t="s">
        <v>734</v>
      </c>
      <c r="D641" s="32" t="s">
        <v>782</v>
      </c>
      <c r="E641" s="32" t="str">
        <f>VLOOKUP(D641,[6]Arvore!$N$8:$Q$6855,4,FALSE)</f>
        <v>431110</v>
      </c>
      <c r="F641" s="33">
        <v>160</v>
      </c>
      <c r="G641" s="33">
        <v>160</v>
      </c>
      <c r="H641" s="34">
        <v>0</v>
      </c>
      <c r="I641" s="114"/>
      <c r="J641" s="19"/>
      <c r="K641" s="21"/>
      <c r="L641" s="22"/>
      <c r="M641" s="23"/>
      <c r="O641" s="19" t="str">
        <f>VLOOKUP(QUERY_FOR_TRNSTRANSPOSED_0008!A641,'[6]Fin vs NFin'!$A$4:$F$568,6,FALSE)</f>
        <v>Não Financeiras</v>
      </c>
      <c r="P641" s="24" t="str">
        <f t="shared" si="12"/>
        <v>89</v>
      </c>
      <c r="Q641" s="24"/>
      <c r="R641" s="24" t="str">
        <f>VLOOKUP(D641,[6]Mapeamento!$A$38:$C$497,3,FALSE)</f>
        <v>GG</v>
      </c>
      <c r="S641" s="24"/>
      <c r="T641" s="24"/>
    </row>
    <row r="642" spans="1:20">
      <c r="A642" s="32" t="s">
        <v>832</v>
      </c>
      <c r="B642" s="32" t="str">
        <f>VLOOKUP(A642,'[6]Fin vs NFin'!$A$4:$B$568,2,FALSE)</f>
        <v>!Outras Garant.S/Estrang.</v>
      </c>
      <c r="C642" s="32" t="s">
        <v>480</v>
      </c>
      <c r="D642" s="32" t="s">
        <v>833</v>
      </c>
      <c r="E642" s="32" t="str">
        <f>VLOOKUP(D642,[6]Arvore!$N$8:$Q$6855,4,FALSE)</f>
        <v>5100</v>
      </c>
      <c r="F642" s="33">
        <v>840</v>
      </c>
      <c r="G642" s="33">
        <v>840</v>
      </c>
      <c r="H642" s="34">
        <v>0</v>
      </c>
      <c r="I642" s="114"/>
      <c r="J642" s="19"/>
      <c r="K642" s="21"/>
      <c r="L642" s="22"/>
      <c r="M642" s="23"/>
      <c r="O642" s="19" t="str">
        <f>VLOOKUP(QUERY_FOR_TRNSTRANSPOSED_0008!A642,'[6]Fin vs NFin'!$A$4:$F$568,6,FALSE)</f>
        <v>Não Financeiras</v>
      </c>
      <c r="P642" s="24" t="str">
        <f t="shared" si="12"/>
        <v>82</v>
      </c>
      <c r="Q642" s="24"/>
      <c r="R642" s="24"/>
      <c r="S642" s="24"/>
      <c r="T642" s="24"/>
    </row>
    <row r="643" spans="1:20">
      <c r="A643" s="18" t="s">
        <v>832</v>
      </c>
      <c r="B643" s="18" t="str">
        <f>VLOOKUP(A643,'[6]Fin vs NFin'!$A$4:$B$568,2,FALSE)</f>
        <v>!Outras Garant.S/Estrang.</v>
      </c>
      <c r="C643" s="18" t="s">
        <v>480</v>
      </c>
      <c r="D643" s="18" t="s">
        <v>482</v>
      </c>
      <c r="E643" s="18" t="str">
        <f>VLOOKUP(D643,[6]Arvore!$N$8:$Q$6855,4,FALSE)</f>
        <v>51090</v>
      </c>
      <c r="F643" s="19">
        <v>8947.5</v>
      </c>
      <c r="G643" s="19">
        <v>9152.5</v>
      </c>
      <c r="H643" s="20">
        <v>-205</v>
      </c>
      <c r="I643" s="114"/>
      <c r="J643" s="19"/>
      <c r="K643" s="21"/>
      <c r="L643" s="22"/>
      <c r="M643" s="23"/>
      <c r="O643" s="19" t="str">
        <f>VLOOKUP(QUERY_FOR_TRNSTRANSPOSED_0008!A643,'[6]Fin vs NFin'!$A$4:$F$568,6,FALSE)</f>
        <v>Não Financeiras</v>
      </c>
      <c r="P643" s="24" t="str">
        <f t="shared" si="12"/>
        <v>82</v>
      </c>
      <c r="Q643" s="24"/>
      <c r="R643" s="24"/>
      <c r="S643" s="24"/>
      <c r="T643" s="24"/>
    </row>
    <row r="644" spans="1:20">
      <c r="A644" s="32" t="s">
        <v>832</v>
      </c>
      <c r="B644" s="32" t="str">
        <f>VLOOKUP(A644,'[6]Fin vs NFin'!$A$4:$B$568,2,FALSE)</f>
        <v>!Outras Garant.S/Estrang.</v>
      </c>
      <c r="C644" s="32" t="s">
        <v>483</v>
      </c>
      <c r="D644" s="32" t="s">
        <v>482</v>
      </c>
      <c r="E644" s="32" t="str">
        <f>VLOOKUP(D644,[6]Arvore!$N$8:$Q$6855,4,FALSE)</f>
        <v>51090</v>
      </c>
      <c r="F644" s="33">
        <v>696</v>
      </c>
      <c r="G644" s="33">
        <v>696</v>
      </c>
      <c r="H644" s="34">
        <v>0</v>
      </c>
      <c r="I644" s="114"/>
      <c r="J644" s="19"/>
      <c r="K644" s="21"/>
      <c r="L644" s="22"/>
      <c r="M644" s="23"/>
      <c r="O644" s="19" t="str">
        <f>VLOOKUP(QUERY_FOR_TRNSTRANSPOSED_0008!A644,'[6]Fin vs NFin'!$A$4:$F$568,6,FALSE)</f>
        <v>Não Financeiras</v>
      </c>
      <c r="P644" s="24" t="str">
        <f t="shared" si="12"/>
        <v>82</v>
      </c>
      <c r="Q644" s="24"/>
      <c r="R644" s="24"/>
      <c r="S644" s="24"/>
      <c r="T644" s="24"/>
    </row>
    <row r="645" spans="1:20">
      <c r="A645" s="18" t="s">
        <v>832</v>
      </c>
      <c r="B645" s="18" t="str">
        <f>VLOOKUP(A645,'[6]Fin vs NFin'!$A$4:$B$568,2,FALSE)</f>
        <v>!Outras Garant.S/Estrang.</v>
      </c>
      <c r="C645" s="18" t="s">
        <v>834</v>
      </c>
      <c r="D645" s="18" t="s">
        <v>743</v>
      </c>
      <c r="E645" s="18" t="str">
        <f>VLOOKUP(D645,[6]Arvore!$N$8:$Q$6855,4,FALSE)</f>
        <v>431110</v>
      </c>
      <c r="F645" s="19">
        <v>8519.5499999999993</v>
      </c>
      <c r="G645" s="19">
        <v>8189.55</v>
      </c>
      <c r="H645" s="20">
        <v>329.99999999999898</v>
      </c>
      <c r="I645" s="114"/>
      <c r="J645" s="19"/>
      <c r="K645" s="21"/>
      <c r="L645" s="22"/>
      <c r="M645" s="23"/>
      <c r="O645" s="19" t="str">
        <f>VLOOKUP(QUERY_FOR_TRNSTRANSPOSED_0008!A645,'[6]Fin vs NFin'!$A$4:$F$568,6,FALSE)</f>
        <v>Não Financeiras</v>
      </c>
      <c r="P645" s="24" t="str">
        <f t="shared" si="12"/>
        <v>89</v>
      </c>
      <c r="Q645" s="24"/>
      <c r="R645" s="24" t="str">
        <f>VLOOKUP(D645,[6]Mapeamento!$A$38:$C$497,3,FALSE)</f>
        <v>GG</v>
      </c>
      <c r="S645" s="24"/>
      <c r="T645" s="24"/>
    </row>
    <row r="646" spans="1:20">
      <c r="A646" s="32" t="s">
        <v>832</v>
      </c>
      <c r="B646" s="32" t="str">
        <f>VLOOKUP(A646,'[6]Fin vs NFin'!$A$4:$B$568,2,FALSE)</f>
        <v>!Outras Garant.S/Estrang.</v>
      </c>
      <c r="C646" s="32" t="s">
        <v>438</v>
      </c>
      <c r="D646" s="32" t="s">
        <v>482</v>
      </c>
      <c r="E646" s="32" t="str">
        <f>VLOOKUP(D646,[6]Arvore!$N$8:$Q$6855,4,FALSE)</f>
        <v>51090</v>
      </c>
      <c r="F646" s="33">
        <v>132178.01</v>
      </c>
      <c r="G646" s="33">
        <v>132178.01</v>
      </c>
      <c r="H646" s="34">
        <v>0</v>
      </c>
      <c r="I646" s="114"/>
      <c r="J646" s="19"/>
      <c r="K646" s="21"/>
      <c r="L646" s="22"/>
      <c r="M646" s="23"/>
      <c r="O646" s="19" t="str">
        <f>VLOOKUP(QUERY_FOR_TRNSTRANSPOSED_0008!A646,'[6]Fin vs NFin'!$A$4:$F$568,6,FALSE)</f>
        <v>Não Financeiras</v>
      </c>
      <c r="P646" s="24" t="str">
        <f t="shared" ref="P646:P709" si="13">LEFT(D646,2)</f>
        <v>82</v>
      </c>
      <c r="Q646" s="24"/>
      <c r="R646" s="24"/>
      <c r="S646" s="24"/>
      <c r="T646" s="24"/>
    </row>
    <row r="647" spans="1:20">
      <c r="A647" s="18" t="s">
        <v>832</v>
      </c>
      <c r="B647" s="18" t="str">
        <f>VLOOKUP(A647,'[6]Fin vs NFin'!$A$4:$B$568,2,FALSE)</f>
        <v>!Outras Garant.S/Estrang.</v>
      </c>
      <c r="C647" s="18" t="s">
        <v>489</v>
      </c>
      <c r="D647" s="18" t="s">
        <v>833</v>
      </c>
      <c r="E647" s="18" t="str">
        <f>VLOOKUP(D647,[6]Arvore!$N$8:$Q$6855,4,FALSE)</f>
        <v>5100</v>
      </c>
      <c r="F647" s="19">
        <v>152615.10999999999</v>
      </c>
      <c r="G647" s="19">
        <v>32312.22</v>
      </c>
      <c r="H647" s="20">
        <v>120302.89</v>
      </c>
      <c r="I647" s="114"/>
      <c r="J647" s="19"/>
      <c r="K647" s="21"/>
      <c r="L647" s="22"/>
      <c r="M647" s="23"/>
      <c r="O647" s="19" t="str">
        <f>VLOOKUP(QUERY_FOR_TRNSTRANSPOSED_0008!A647,'[6]Fin vs NFin'!$A$4:$F$568,6,FALSE)</f>
        <v>Não Financeiras</v>
      </c>
      <c r="P647" s="24" t="str">
        <f t="shared" si="13"/>
        <v>82</v>
      </c>
      <c r="Q647" s="24"/>
      <c r="R647" s="24"/>
      <c r="S647" s="24"/>
      <c r="T647" s="24"/>
    </row>
    <row r="648" spans="1:20">
      <c r="A648" s="18" t="s">
        <v>832</v>
      </c>
      <c r="B648" s="18" t="str">
        <f>VLOOKUP(A648,'[6]Fin vs NFin'!$A$4:$B$568,2,FALSE)</f>
        <v>!Outras Garant.S/Estrang.</v>
      </c>
      <c r="C648" s="18" t="s">
        <v>489</v>
      </c>
      <c r="D648" s="18" t="s">
        <v>482</v>
      </c>
      <c r="E648" s="18" t="str">
        <f>VLOOKUP(D648,[6]Arvore!$N$8:$Q$6855,4,FALSE)</f>
        <v>51090</v>
      </c>
      <c r="F648" s="19">
        <v>11795.76</v>
      </c>
      <c r="G648" s="19">
        <v>402275.18236035499</v>
      </c>
      <c r="H648" s="20">
        <v>-390479.42236035498</v>
      </c>
      <c r="I648" s="114"/>
      <c r="J648" s="19"/>
      <c r="K648" s="21"/>
      <c r="L648" s="22"/>
      <c r="M648" s="23"/>
      <c r="O648" s="19" t="str">
        <f>VLOOKUP(QUERY_FOR_TRNSTRANSPOSED_0008!A648,'[6]Fin vs NFin'!$A$4:$F$568,6,FALSE)</f>
        <v>Não Financeiras</v>
      </c>
      <c r="P648" s="24" t="str">
        <f t="shared" si="13"/>
        <v>82</v>
      </c>
      <c r="Q648" s="24"/>
      <c r="R648" s="24"/>
      <c r="S648" s="24"/>
      <c r="T648" s="24"/>
    </row>
    <row r="649" spans="1:20">
      <c r="A649" s="18" t="s">
        <v>832</v>
      </c>
      <c r="B649" s="18" t="str">
        <f>VLOOKUP(A649,'[6]Fin vs NFin'!$A$4:$B$568,2,FALSE)</f>
        <v>!Outras Garant.S/Estrang.</v>
      </c>
      <c r="C649" s="18" t="s">
        <v>489</v>
      </c>
      <c r="D649" s="18" t="s">
        <v>835</v>
      </c>
      <c r="E649" s="18" t="str">
        <f>VLOOKUP(D649,[6]Arvore!$N$8:$Q$6855,4,FALSE)</f>
        <v>5100</v>
      </c>
      <c r="F649" s="19">
        <v>168478.06</v>
      </c>
      <c r="G649" s="19">
        <v>26331.68</v>
      </c>
      <c r="H649" s="20">
        <v>142146.38</v>
      </c>
      <c r="I649" s="114"/>
      <c r="J649" s="19"/>
      <c r="K649" s="21"/>
      <c r="L649" s="22"/>
      <c r="M649" s="23"/>
      <c r="O649" s="19" t="str">
        <f>VLOOKUP(QUERY_FOR_TRNSTRANSPOSED_0008!A649,'[6]Fin vs NFin'!$A$4:$F$568,6,FALSE)</f>
        <v>Não Financeiras</v>
      </c>
      <c r="P649" s="24" t="str">
        <f t="shared" si="13"/>
        <v>82</v>
      </c>
      <c r="Q649" s="24"/>
      <c r="R649" s="24"/>
      <c r="S649" s="24"/>
      <c r="T649" s="24"/>
    </row>
    <row r="650" spans="1:20">
      <c r="A650" s="18" t="s">
        <v>832</v>
      </c>
      <c r="B650" s="18" t="str">
        <f>VLOOKUP(A650,'[6]Fin vs NFin'!$A$4:$B$568,2,FALSE)</f>
        <v>!Outras Garant.S/Estrang.</v>
      </c>
      <c r="C650" s="18" t="s">
        <v>489</v>
      </c>
      <c r="D650" s="18" t="s">
        <v>479</v>
      </c>
      <c r="E650" s="18" t="str">
        <f>VLOOKUP(D650,[6]Arvore!$N$8:$Q$6855,4,FALSE)</f>
        <v>4311811</v>
      </c>
      <c r="F650" s="19">
        <v>130548.39</v>
      </c>
      <c r="G650" s="19">
        <v>2518.27</v>
      </c>
      <c r="H650" s="20">
        <v>128030.12</v>
      </c>
      <c r="I650" s="114"/>
      <c r="J650" s="19"/>
      <c r="K650" s="21"/>
      <c r="L650" s="22"/>
      <c r="M650" s="23"/>
      <c r="O650" s="19" t="str">
        <f>VLOOKUP(QUERY_FOR_TRNSTRANSPOSED_0008!A650,'[6]Fin vs NFin'!$A$4:$F$568,6,FALSE)</f>
        <v>Não Financeiras</v>
      </c>
      <c r="P650" s="24" t="str">
        <f t="shared" si="13"/>
        <v>89</v>
      </c>
      <c r="Q650" s="24"/>
      <c r="R650" s="24" t="str">
        <f>VLOOKUP(D650,[6]Mapeamento!$A$38:$C$497,3,FALSE)</f>
        <v>GG</v>
      </c>
      <c r="S650" s="24"/>
      <c r="T650" s="24"/>
    </row>
    <row r="651" spans="1:20" ht="15" thickBot="1">
      <c r="A651" s="32" t="s">
        <v>832</v>
      </c>
      <c r="B651" s="32" t="str">
        <f>VLOOKUP(A651,'[6]Fin vs NFin'!$A$4:$B$568,2,FALSE)</f>
        <v>!Outras Garant.S/Estrang.</v>
      </c>
      <c r="C651" s="32" t="s">
        <v>836</v>
      </c>
      <c r="D651" s="32" t="s">
        <v>743</v>
      </c>
      <c r="E651" s="32" t="str">
        <f>VLOOKUP(D651,[6]Arvore!$N$8:$Q$6855,4,FALSE)</f>
        <v>431110</v>
      </c>
      <c r="F651" s="33">
        <v>50</v>
      </c>
      <c r="G651" s="33">
        <v>50</v>
      </c>
      <c r="H651" s="34">
        <v>0</v>
      </c>
      <c r="I651" s="114"/>
      <c r="J651" s="19"/>
      <c r="K651" s="21"/>
      <c r="L651" s="22"/>
      <c r="M651" s="23"/>
      <c r="O651" s="19" t="str">
        <f>VLOOKUP(QUERY_FOR_TRNSTRANSPOSED_0008!A651,'[6]Fin vs NFin'!$A$4:$F$568,6,FALSE)</f>
        <v>Não Financeiras</v>
      </c>
      <c r="P651" s="24" t="str">
        <f t="shared" si="13"/>
        <v>89</v>
      </c>
      <c r="Q651" s="24"/>
      <c r="R651" s="24" t="str">
        <f>VLOOKUP(D651,[6]Mapeamento!$A$38:$C$497,3,FALSE)</f>
        <v>GG</v>
      </c>
      <c r="S651" s="24"/>
      <c r="T651" s="24"/>
    </row>
    <row r="652" spans="1:20">
      <c r="A652" s="38" t="s">
        <v>837</v>
      </c>
      <c r="B652" s="38" t="str">
        <f>VLOOKUP(A652,'[6]Fin vs NFin'!$A$4:$B$568,2,FALSE)</f>
        <v>!Gar.S/Estr-Periodif.</v>
      </c>
      <c r="C652" s="38" t="s">
        <v>477</v>
      </c>
      <c r="D652" s="38" t="s">
        <v>835</v>
      </c>
      <c r="E652" s="38" t="str">
        <f>VLOOKUP(D652,[6]Arvore!$N$8:$Q$6855,4,FALSE)</f>
        <v>5100</v>
      </c>
      <c r="F652" s="39">
        <v>816</v>
      </c>
      <c r="G652" s="39">
        <v>1539.41</v>
      </c>
      <c r="H652" s="40">
        <v>-723.41</v>
      </c>
      <c r="I652" s="115">
        <f>SUM(H652:H656)</f>
        <v>-1660136.97</v>
      </c>
      <c r="J652" s="110">
        <f>I638+I652</f>
        <v>0</v>
      </c>
      <c r="K652" s="21"/>
      <c r="L652" s="41"/>
      <c r="M652" s="42"/>
      <c r="O652" s="39" t="str">
        <f>VLOOKUP(QUERY_FOR_TRNSTRANSPOSED_0008!A652,'[6]Fin vs NFin'!$A$4:$F$568,6,FALSE)</f>
        <v>Não Financeiras</v>
      </c>
      <c r="P652" s="43" t="str">
        <f t="shared" si="13"/>
        <v>82</v>
      </c>
      <c r="Q652" s="43"/>
      <c r="R652" s="43"/>
      <c r="S652" s="43"/>
      <c r="T652" s="43"/>
    </row>
    <row r="653" spans="1:20">
      <c r="A653" s="32" t="s">
        <v>837</v>
      </c>
      <c r="B653" s="32" t="str">
        <f>VLOOKUP(A653,'[6]Fin vs NFin'!$A$4:$B$568,2,FALSE)</f>
        <v>!Gar.S/Estr-Periodif.</v>
      </c>
      <c r="C653" s="32" t="s">
        <v>472</v>
      </c>
      <c r="D653" s="32" t="s">
        <v>833</v>
      </c>
      <c r="E653" s="32" t="str">
        <f>VLOOKUP(D653,[6]Arvore!$N$8:$Q$6855,4,FALSE)</f>
        <v>5100</v>
      </c>
      <c r="F653" s="33">
        <v>91434.27</v>
      </c>
      <c r="G653" s="33">
        <v>91434.27</v>
      </c>
      <c r="H653" s="34">
        <v>-1.45519152283669E-11</v>
      </c>
      <c r="I653" s="116"/>
      <c r="J653" s="117"/>
      <c r="K653" s="21"/>
      <c r="L653" s="22"/>
      <c r="M653" s="23"/>
      <c r="O653" s="19" t="str">
        <f>VLOOKUP(QUERY_FOR_TRNSTRANSPOSED_0008!A653,'[6]Fin vs NFin'!$A$4:$F$568,6,FALSE)</f>
        <v>Não Financeiras</v>
      </c>
      <c r="P653" s="24" t="str">
        <f t="shared" si="13"/>
        <v>82</v>
      </c>
      <c r="Q653" s="24"/>
      <c r="R653" s="24"/>
      <c r="S653" s="24"/>
      <c r="T653" s="24"/>
    </row>
    <row r="654" spans="1:20">
      <c r="A654" s="18" t="s">
        <v>837</v>
      </c>
      <c r="B654" s="18" t="str">
        <f>VLOOKUP(A654,'[6]Fin vs NFin'!$A$4:$B$568,2,FALSE)</f>
        <v>!Gar.S/Estr-Periodif.</v>
      </c>
      <c r="C654" s="18" t="s">
        <v>472</v>
      </c>
      <c r="D654" s="18" t="s">
        <v>482</v>
      </c>
      <c r="E654" s="18" t="str">
        <f>VLOOKUP(D654,[6]Arvore!$N$8:$Q$6855,4,FALSE)</f>
        <v>51090</v>
      </c>
      <c r="F654" s="19">
        <v>-13625.56</v>
      </c>
      <c r="G654" s="19">
        <v>1646511.41</v>
      </c>
      <c r="H654" s="20">
        <v>-1660136.97</v>
      </c>
      <c r="I654" s="116"/>
      <c r="J654" s="117"/>
      <c r="K654" s="21"/>
      <c r="L654" s="22"/>
      <c r="M654" s="23"/>
      <c r="O654" s="19" t="str">
        <f>VLOOKUP(QUERY_FOR_TRNSTRANSPOSED_0008!A654,'[6]Fin vs NFin'!$A$4:$F$568,6,FALSE)</f>
        <v>Não Financeiras</v>
      </c>
      <c r="P654" s="24" t="str">
        <f t="shared" si="13"/>
        <v>82</v>
      </c>
      <c r="Q654" s="24"/>
      <c r="R654" s="24"/>
      <c r="S654" s="24"/>
      <c r="T654" s="24"/>
    </row>
    <row r="655" spans="1:20">
      <c r="A655" s="18" t="s">
        <v>837</v>
      </c>
      <c r="B655" s="18" t="str">
        <f>VLOOKUP(A655,'[6]Fin vs NFin'!$A$4:$B$568,2,FALSE)</f>
        <v>!Gar.S/Estr-Periodif.</v>
      </c>
      <c r="C655" s="18" t="s">
        <v>472</v>
      </c>
      <c r="D655" s="18" t="s">
        <v>835</v>
      </c>
      <c r="E655" s="18" t="str">
        <f>VLOOKUP(D655,[6]Arvore!$N$8:$Q$6855,4,FALSE)</f>
        <v>5100</v>
      </c>
      <c r="F655" s="19">
        <v>425158.11</v>
      </c>
      <c r="G655" s="19">
        <v>425946.88</v>
      </c>
      <c r="H655" s="20">
        <v>-788.77000000007695</v>
      </c>
      <c r="I655" s="116"/>
      <c r="J655" s="117"/>
      <c r="K655" s="21"/>
      <c r="L655" s="22"/>
      <c r="M655" s="23"/>
      <c r="O655" s="19" t="str">
        <f>VLOOKUP(QUERY_FOR_TRNSTRANSPOSED_0008!A655,'[6]Fin vs NFin'!$A$4:$F$568,6,FALSE)</f>
        <v>Não Financeiras</v>
      </c>
      <c r="P655" s="24" t="str">
        <f t="shared" si="13"/>
        <v>82</v>
      </c>
      <c r="Q655" s="24"/>
      <c r="R655" s="24"/>
      <c r="S655" s="24"/>
      <c r="T655" s="24"/>
    </row>
    <row r="656" spans="1:20" ht="15" thickBot="1">
      <c r="A656" s="18" t="s">
        <v>837</v>
      </c>
      <c r="B656" s="18" t="str">
        <f>VLOOKUP(A656,'[6]Fin vs NFin'!$A$4:$B$568,2,FALSE)</f>
        <v>!Gar.S/Estr-Periodif.</v>
      </c>
      <c r="C656" s="18" t="s">
        <v>480</v>
      </c>
      <c r="D656" s="18" t="s">
        <v>835</v>
      </c>
      <c r="E656" s="18" t="str">
        <f>VLOOKUP(D656,[6]Arvore!$N$8:$Q$6855,4,FALSE)</f>
        <v>5100</v>
      </c>
      <c r="F656" s="19">
        <v>5189.68</v>
      </c>
      <c r="G656" s="19">
        <v>3677.5</v>
      </c>
      <c r="H656" s="20">
        <v>1512.18</v>
      </c>
      <c r="I656" s="116"/>
      <c r="J656" s="121"/>
      <c r="K656" s="21"/>
      <c r="L656" s="22"/>
      <c r="M656" s="23"/>
      <c r="O656" s="19" t="str">
        <f>VLOOKUP(QUERY_FOR_TRNSTRANSPOSED_0008!A656,'[6]Fin vs NFin'!$A$4:$F$568,6,FALSE)</f>
        <v>Não Financeiras</v>
      </c>
      <c r="P656" s="24" t="str">
        <f t="shared" si="13"/>
        <v>82</v>
      </c>
      <c r="Q656" s="24"/>
      <c r="R656" s="24"/>
      <c r="S656" s="24"/>
      <c r="T656" s="24"/>
    </row>
    <row r="657" spans="1:20" ht="15.6" thickTop="1" thickBot="1">
      <c r="A657" s="64" t="s">
        <v>838</v>
      </c>
      <c r="B657" s="64" t="str">
        <f>VLOOKUP(A657,'[6]Fin vs NFin'!$A$4:$B$568,2,FALSE)</f>
        <v>!Cheques Emitidos</v>
      </c>
      <c r="C657" s="64" t="s">
        <v>839</v>
      </c>
      <c r="D657" s="64" t="s">
        <v>840</v>
      </c>
      <c r="E657" s="64" t="str">
        <f>VLOOKUP(D657,[6]Arvore!$N$8:$Q$6855,4,FALSE)</f>
        <v>5151204</v>
      </c>
      <c r="F657" s="65">
        <v>650</v>
      </c>
      <c r="G657" s="65">
        <v>650</v>
      </c>
      <c r="H657" s="66">
        <v>0</v>
      </c>
      <c r="I657" s="52">
        <v>0</v>
      </c>
      <c r="J657" s="67"/>
      <c r="K657" s="21"/>
      <c r="L657" s="68"/>
      <c r="M657" s="69"/>
      <c r="O657" s="67" t="str">
        <f>VLOOKUP(QUERY_FOR_TRNSTRANSPOSED_0008!A657,'[6]Fin vs NFin'!$A$4:$F$568,6,FALSE)</f>
        <v>Não Financeiras</v>
      </c>
      <c r="P657" s="70" t="str">
        <f t="shared" si="13"/>
        <v>82</v>
      </c>
      <c r="Q657" s="70"/>
      <c r="R657" s="70"/>
      <c r="S657" s="70"/>
      <c r="T657" s="70"/>
    </row>
    <row r="658" spans="1:20">
      <c r="A658" s="38" t="s">
        <v>841</v>
      </c>
      <c r="B658" s="38" t="str">
        <f>VLOOKUP(A658,'[6]Fin vs NFin'!$A$4:$B$568,2,FALSE)</f>
        <v>!Compra/Venda de ME</v>
      </c>
      <c r="C658" s="38" t="s">
        <v>842</v>
      </c>
      <c r="D658" s="38" t="s">
        <v>843</v>
      </c>
      <c r="E658" s="38" t="str">
        <f>VLOOKUP(D658,[6]Arvore!$N$8:$Q$6855,4,FALSE)</f>
        <v>5148</v>
      </c>
      <c r="F658" s="39">
        <v>84490.36</v>
      </c>
      <c r="G658" s="39">
        <v>84569.34</v>
      </c>
      <c r="H658" s="40">
        <v>-78.979999999995897</v>
      </c>
      <c r="I658" s="108">
        <v>1.46199269284786E-2</v>
      </c>
      <c r="J658" s="39"/>
      <c r="K658" s="21"/>
      <c r="L658" s="41"/>
      <c r="M658" s="42"/>
      <c r="O658" s="39" t="str">
        <f>VLOOKUP(QUERY_FOR_TRNSTRANSPOSED_0008!A658,'[6]Fin vs NFin'!$A$4:$F$568,6,FALSE)</f>
        <v>Não Financeiras</v>
      </c>
      <c r="P658" s="43" t="str">
        <f t="shared" si="13"/>
        <v>82</v>
      </c>
      <c r="Q658" s="43"/>
      <c r="R658" s="43"/>
      <c r="S658" s="43"/>
      <c r="T658" s="43"/>
    </row>
    <row r="659" spans="1:20">
      <c r="A659" s="18" t="s">
        <v>841</v>
      </c>
      <c r="B659" s="18" t="str">
        <f>VLOOKUP(A659,'[6]Fin vs NFin'!$A$4:$B$568,2,FALSE)</f>
        <v>!Compra/Venda de ME</v>
      </c>
      <c r="C659" s="18" t="s">
        <v>844</v>
      </c>
      <c r="D659" s="18" t="s">
        <v>843</v>
      </c>
      <c r="E659" s="18" t="str">
        <f>VLOOKUP(D659,[6]Arvore!$N$8:$Q$6855,4,FALSE)</f>
        <v>5148</v>
      </c>
      <c r="F659" s="19" t="s">
        <v>84</v>
      </c>
      <c r="G659" s="19">
        <v>-78.9946199269244</v>
      </c>
      <c r="H659" s="20">
        <v>78.9946199269244</v>
      </c>
      <c r="I659" s="114"/>
      <c r="J659" s="19"/>
      <c r="K659" s="21"/>
      <c r="L659" s="22"/>
      <c r="M659" s="23"/>
      <c r="O659" s="19" t="str">
        <f>VLOOKUP(QUERY_FOR_TRNSTRANSPOSED_0008!A659,'[6]Fin vs NFin'!$A$4:$F$568,6,FALSE)</f>
        <v>Não Financeiras</v>
      </c>
      <c r="P659" s="24" t="str">
        <f t="shared" si="13"/>
        <v>82</v>
      </c>
      <c r="Q659" s="24"/>
      <c r="R659" s="24"/>
      <c r="S659" s="24"/>
      <c r="T659" s="24"/>
    </row>
    <row r="660" spans="1:20">
      <c r="A660" s="18" t="s">
        <v>841</v>
      </c>
      <c r="B660" s="18" t="str">
        <f>VLOOKUP(A660,'[6]Fin vs NFin'!$A$4:$B$568,2,FALSE)</f>
        <v>!Compra/Venda de ME</v>
      </c>
      <c r="C660" s="18" t="s">
        <v>845</v>
      </c>
      <c r="D660" s="18" t="s">
        <v>601</v>
      </c>
      <c r="E660" s="18" t="str">
        <f>VLOOKUP(D660,[6]Arvore!$N$8:$Q$6855,4,FALSE)</f>
        <v>450880910</v>
      </c>
      <c r="F660" s="19" t="s">
        <v>84</v>
      </c>
      <c r="G660" s="19">
        <v>10.7</v>
      </c>
      <c r="H660" s="20">
        <v>-10.7</v>
      </c>
      <c r="I660" s="114"/>
      <c r="J660" s="19"/>
      <c r="K660" s="21"/>
      <c r="L660" s="22"/>
      <c r="M660" s="23"/>
      <c r="O660" s="19" t="str">
        <f>VLOOKUP(QUERY_FOR_TRNSTRANSPOSED_0008!A660,'[6]Fin vs NFin'!$A$4:$F$568,6,FALSE)</f>
        <v>Não Financeiras</v>
      </c>
      <c r="P660" s="24" t="str">
        <f t="shared" si="13"/>
        <v>77</v>
      </c>
      <c r="Q660" s="24" t="str">
        <f>VLOOKUP(D660,[6]Mapeamento!$A$38:$C$497,3,FALSE)</f>
        <v>OREX</v>
      </c>
      <c r="R660" s="24"/>
      <c r="S660" s="24"/>
      <c r="T660" s="24"/>
    </row>
    <row r="661" spans="1:20">
      <c r="A661" s="18" t="s">
        <v>841</v>
      </c>
      <c r="B661" s="18" t="str">
        <f>VLOOKUP(A661,'[6]Fin vs NFin'!$A$4:$B$568,2,FALSE)</f>
        <v>!Compra/Venda de ME</v>
      </c>
      <c r="C661" s="18" t="s">
        <v>846</v>
      </c>
      <c r="D661" s="18" t="s">
        <v>601</v>
      </c>
      <c r="E661" s="18" t="str">
        <f>VLOOKUP(D661,[6]Arvore!$N$8:$Q$6855,4,FALSE)</f>
        <v>450880910</v>
      </c>
      <c r="F661" s="19">
        <v>0.32</v>
      </c>
      <c r="G661" s="19">
        <v>-6.12</v>
      </c>
      <c r="H661" s="20">
        <v>6.44</v>
      </c>
      <c r="I661" s="114"/>
      <c r="J661" s="19"/>
      <c r="K661" s="21"/>
      <c r="L661" s="22"/>
      <c r="M661" s="23"/>
      <c r="O661" s="19" t="str">
        <f>VLOOKUP(QUERY_FOR_TRNSTRANSPOSED_0008!A661,'[6]Fin vs NFin'!$A$4:$F$568,6,FALSE)</f>
        <v>Não Financeiras</v>
      </c>
      <c r="P661" s="24" t="str">
        <f t="shared" si="13"/>
        <v>77</v>
      </c>
      <c r="Q661" s="24" t="str">
        <f>VLOOKUP(D661,[6]Mapeamento!$A$38:$C$497,3,FALSE)</f>
        <v>OREX</v>
      </c>
      <c r="R661" s="24"/>
      <c r="S661" s="24"/>
      <c r="T661" s="24"/>
    </row>
    <row r="662" spans="1:20">
      <c r="A662" s="18" t="s">
        <v>841</v>
      </c>
      <c r="B662" s="18" t="str">
        <f>VLOOKUP(A662,'[6]Fin vs NFin'!$A$4:$B$568,2,FALSE)</f>
        <v>!Compra/Venda de ME</v>
      </c>
      <c r="C662" s="18" t="s">
        <v>847</v>
      </c>
      <c r="D662" s="18" t="s">
        <v>294</v>
      </c>
      <c r="E662" s="18" t="str">
        <f>VLOOKUP(D662,[6]Arvore!$N$8:$Q$6855,4,FALSE)</f>
        <v>55088091</v>
      </c>
      <c r="F662" s="19">
        <v>2.1</v>
      </c>
      <c r="G662" s="19">
        <v>13.54</v>
      </c>
      <c r="H662" s="20">
        <v>-11.44</v>
      </c>
      <c r="I662" s="114"/>
      <c r="J662" s="19"/>
      <c r="K662" s="21"/>
      <c r="L662" s="22"/>
      <c r="M662" s="23"/>
      <c r="O662" s="19" t="str">
        <f>VLOOKUP(QUERY_FOR_TRNSTRANSPOSED_0008!A662,'[6]Fin vs NFin'!$A$4:$F$568,6,FALSE)</f>
        <v>Não Financeiras</v>
      </c>
      <c r="P662" s="24" t="str">
        <f t="shared" si="13"/>
        <v>89</v>
      </c>
      <c r="Q662" s="24" t="str">
        <f>VLOOKUP(D662,[6]Mapeamento!$A$38:$C$497,3,FALSE)</f>
        <v>OREX</v>
      </c>
      <c r="R662" s="24"/>
      <c r="S662" s="24"/>
      <c r="T662" s="24"/>
    </row>
    <row r="663" spans="1:20" ht="15" thickBot="1">
      <c r="A663" s="18" t="s">
        <v>841</v>
      </c>
      <c r="B663" s="18" t="str">
        <f>VLOOKUP(A663,'[6]Fin vs NFin'!$A$4:$B$568,2,FALSE)</f>
        <v>!Compra/Venda de ME</v>
      </c>
      <c r="C663" s="18" t="s">
        <v>848</v>
      </c>
      <c r="D663" s="18" t="s">
        <v>601</v>
      </c>
      <c r="E663" s="18" t="str">
        <f>VLOOKUP(D663,[6]Arvore!$N$8:$Q$6855,4,FALSE)</f>
        <v>450880910</v>
      </c>
      <c r="F663" s="19">
        <v>3.29</v>
      </c>
      <c r="G663" s="19">
        <v>-12.41</v>
      </c>
      <c r="H663" s="20">
        <v>15.7</v>
      </c>
      <c r="I663" s="114"/>
      <c r="J663" s="19"/>
      <c r="K663" s="21"/>
      <c r="L663" s="22"/>
      <c r="M663" s="23"/>
      <c r="O663" s="19" t="str">
        <f>VLOOKUP(QUERY_FOR_TRNSTRANSPOSED_0008!A663,'[6]Fin vs NFin'!$A$4:$F$568,6,FALSE)</f>
        <v>Não Financeiras</v>
      </c>
      <c r="P663" s="24" t="str">
        <f t="shared" si="13"/>
        <v>77</v>
      </c>
      <c r="Q663" s="24" t="str">
        <f>VLOOKUP(D663,[6]Mapeamento!$A$38:$C$497,3,FALSE)</f>
        <v>OREX</v>
      </c>
      <c r="R663" s="24"/>
      <c r="S663" s="24"/>
      <c r="T663" s="24"/>
    </row>
    <row r="664" spans="1:20">
      <c r="A664" s="49" t="s">
        <v>849</v>
      </c>
      <c r="B664" s="49" t="str">
        <f>VLOOKUP(A664,'[6]Fin vs NFin'!$A$4:$B$568,2,FALSE)</f>
        <v>!Outras Estrangeiro</v>
      </c>
      <c r="C664" s="49" t="s">
        <v>850</v>
      </c>
      <c r="D664" s="49" t="s">
        <v>735</v>
      </c>
      <c r="E664" s="49" t="str">
        <f>VLOOKUP(D664,[6]Arvore!$N$8:$Q$6855,4,FALSE)</f>
        <v>431111</v>
      </c>
      <c r="F664" s="50">
        <v>-2571.8200000000002</v>
      </c>
      <c r="G664" s="50">
        <v>-2571.8200000000002</v>
      </c>
      <c r="H664" s="51">
        <v>0</v>
      </c>
      <c r="I664" s="108">
        <f>SUM(H664:H681)</f>
        <v>-1.1414726487471825</v>
      </c>
      <c r="J664" s="39"/>
      <c r="K664" s="21"/>
      <c r="L664" s="41"/>
      <c r="M664" s="42"/>
      <c r="O664" s="39" t="str">
        <f>VLOOKUP(QUERY_FOR_TRNSTRANSPOSED_0008!A664,'[6]Fin vs NFin'!$A$4:$F$568,6,FALSE)</f>
        <v>Não Financeiras</v>
      </c>
      <c r="P664" s="43" t="str">
        <f t="shared" si="13"/>
        <v>89</v>
      </c>
      <c r="Q664" s="43"/>
      <c r="R664" s="43" t="str">
        <f>VLOOKUP(D664,[6]Mapeamento!$A$38:$C$497,3,FALSE)</f>
        <v>GG</v>
      </c>
      <c r="S664" s="43"/>
      <c r="T664" s="43"/>
    </row>
    <row r="665" spans="1:20">
      <c r="A665" s="18" t="s">
        <v>849</v>
      </c>
      <c r="B665" s="18" t="str">
        <f>VLOOKUP(A665,'[6]Fin vs NFin'!$A$4:$B$568,2,FALSE)</f>
        <v>!Outras Estrangeiro</v>
      </c>
      <c r="C665" s="18" t="s">
        <v>82</v>
      </c>
      <c r="D665" s="18" t="s">
        <v>851</v>
      </c>
      <c r="E665" s="18" t="str">
        <f>VLOOKUP(D665,[6]Arvore!$N$8:$Q$6855,4,FALSE)</f>
        <v>416190</v>
      </c>
      <c r="F665" s="19">
        <v>-405792</v>
      </c>
      <c r="G665" s="19">
        <v>-540207.81999999995</v>
      </c>
      <c r="H665" s="20">
        <v>134415.82</v>
      </c>
      <c r="I665" s="114"/>
      <c r="J665" s="19"/>
      <c r="K665" s="21"/>
      <c r="L665" s="22"/>
      <c r="M665" s="23"/>
      <c r="O665" s="19" t="str">
        <f>VLOOKUP(QUERY_FOR_TRNSTRANSPOSED_0008!A665,'[6]Fin vs NFin'!$A$4:$F$568,6,FALSE)</f>
        <v>Não Financeiras</v>
      </c>
      <c r="P665" s="24" t="str">
        <f t="shared" si="13"/>
        <v>71</v>
      </c>
      <c r="Q665" s="24"/>
      <c r="R665" s="24"/>
      <c r="S665" s="24"/>
      <c r="T665" s="24"/>
    </row>
    <row r="666" spans="1:20">
      <c r="A666" s="18" t="s">
        <v>849</v>
      </c>
      <c r="B666" s="18" t="str">
        <f>VLOOKUP(A666,'[6]Fin vs NFin'!$A$4:$B$568,2,FALSE)</f>
        <v>!Outras Estrangeiro</v>
      </c>
      <c r="C666" s="18" t="s">
        <v>82</v>
      </c>
      <c r="D666" s="18" t="s">
        <v>852</v>
      </c>
      <c r="E666" s="18" t="str">
        <f>VLOOKUP(D666,[6]Arvore!$N$8:$Q$6855,4,FALSE)</f>
        <v>4161599</v>
      </c>
      <c r="F666" s="19">
        <v>-246915.62</v>
      </c>
      <c r="G666" s="19">
        <v>-36483.22</v>
      </c>
      <c r="H666" s="20">
        <v>-210432.4</v>
      </c>
      <c r="I666" s="114"/>
      <c r="J666" s="19"/>
      <c r="K666" s="21"/>
      <c r="L666" s="22"/>
      <c r="M666" s="23"/>
      <c r="O666" s="19" t="str">
        <f>VLOOKUP(QUERY_FOR_TRNSTRANSPOSED_0008!A666,'[6]Fin vs NFin'!$A$4:$F$568,6,FALSE)</f>
        <v>Não Financeiras</v>
      </c>
      <c r="P666" s="24" t="str">
        <f t="shared" si="13"/>
        <v>77</v>
      </c>
      <c r="Q666" s="24"/>
      <c r="R666" s="24"/>
      <c r="S666" s="24"/>
      <c r="T666" s="24"/>
    </row>
    <row r="667" spans="1:20">
      <c r="A667" s="18" t="s">
        <v>849</v>
      </c>
      <c r="B667" s="18" t="str">
        <f>VLOOKUP(A667,'[6]Fin vs NFin'!$A$4:$B$568,2,FALSE)</f>
        <v>!Outras Estrangeiro</v>
      </c>
      <c r="C667" s="18" t="s">
        <v>489</v>
      </c>
      <c r="D667" s="18" t="s">
        <v>601</v>
      </c>
      <c r="E667" s="18" t="str">
        <f>VLOOKUP(D667,[6]Arvore!$N$8:$Q$6855,4,FALSE)</f>
        <v>450880910</v>
      </c>
      <c r="F667" s="19">
        <v>5324.51</v>
      </c>
      <c r="G667" s="19">
        <v>-1107.3037664016599</v>
      </c>
      <c r="H667" s="20">
        <v>6431.8137664016604</v>
      </c>
      <c r="I667" s="114"/>
      <c r="J667" s="19"/>
      <c r="K667" s="21"/>
      <c r="L667" s="22"/>
      <c r="M667" s="23"/>
      <c r="O667" s="19" t="str">
        <f>VLOOKUP(QUERY_FOR_TRNSTRANSPOSED_0008!A667,'[6]Fin vs NFin'!$A$4:$F$568,6,FALSE)</f>
        <v>Não Financeiras</v>
      </c>
      <c r="P667" s="24" t="str">
        <f t="shared" si="13"/>
        <v>77</v>
      </c>
      <c r="Q667" s="24" t="str">
        <f>VLOOKUP(D667,[6]Mapeamento!$A$38:$C$497,3,FALSE)</f>
        <v>OREX</v>
      </c>
      <c r="R667" s="24"/>
      <c r="S667" s="24"/>
      <c r="T667" s="24"/>
    </row>
    <row r="668" spans="1:20">
      <c r="A668" s="18" t="s">
        <v>849</v>
      </c>
      <c r="B668" s="18" t="str">
        <f>VLOOKUP(A668,'[6]Fin vs NFin'!$A$4:$B$568,2,FALSE)</f>
        <v>!Outras Estrangeiro</v>
      </c>
      <c r="C668" s="18" t="s">
        <v>489</v>
      </c>
      <c r="D668" s="18" t="s">
        <v>853</v>
      </c>
      <c r="E668" s="18" t="str">
        <f>VLOOKUP(D668,[6]Arvore!$N$8:$Q$6855,4,FALSE)</f>
        <v>55088091</v>
      </c>
      <c r="F668" s="19">
        <v>-41096.980000000003</v>
      </c>
      <c r="G668" s="19">
        <v>77.989999999999995</v>
      </c>
      <c r="H668" s="20">
        <v>-41174.97</v>
      </c>
      <c r="I668" s="114"/>
      <c r="J668" s="19"/>
      <c r="K668" s="21"/>
      <c r="L668" s="22"/>
      <c r="M668" s="23"/>
      <c r="O668" s="19" t="str">
        <f>VLOOKUP(QUERY_FOR_TRNSTRANSPOSED_0008!A668,'[6]Fin vs NFin'!$A$4:$F$568,6,FALSE)</f>
        <v>Não Financeiras</v>
      </c>
      <c r="P668" s="24" t="str">
        <f t="shared" si="13"/>
        <v>89</v>
      </c>
      <c r="Q668" s="24" t="str">
        <f>VLOOKUP(D668,[6]Mapeamento!$A$38:$C$497,3,FALSE)</f>
        <v>OREX</v>
      </c>
      <c r="R668" s="24"/>
      <c r="S668" s="24"/>
      <c r="T668" s="24"/>
    </row>
    <row r="669" spans="1:20">
      <c r="A669" s="18" t="s">
        <v>849</v>
      </c>
      <c r="B669" s="18" t="str">
        <f>VLOOKUP(A669,'[6]Fin vs NFin'!$A$4:$B$568,2,FALSE)</f>
        <v>!Outras Estrangeiro</v>
      </c>
      <c r="C669" s="18" t="s">
        <v>489</v>
      </c>
      <c r="D669" s="18" t="s">
        <v>294</v>
      </c>
      <c r="E669" s="18" t="str">
        <f>VLOOKUP(D669,[6]Arvore!$N$8:$Q$6855,4,FALSE)</f>
        <v>55088091</v>
      </c>
      <c r="F669" s="19" t="s">
        <v>84</v>
      </c>
      <c r="G669" s="19">
        <v>37638.050000000003</v>
      </c>
      <c r="H669" s="20">
        <v>-37638.050000000003</v>
      </c>
      <c r="I669" s="114"/>
      <c r="J669" s="19"/>
      <c r="K669" s="21"/>
      <c r="L669" s="22"/>
      <c r="M669" s="23"/>
      <c r="O669" s="19" t="str">
        <f>VLOOKUP(QUERY_FOR_TRNSTRANSPOSED_0008!A669,'[6]Fin vs NFin'!$A$4:$F$568,6,FALSE)</f>
        <v>Não Financeiras</v>
      </c>
      <c r="P669" s="24" t="str">
        <f t="shared" si="13"/>
        <v>89</v>
      </c>
      <c r="Q669" s="24" t="str">
        <f>VLOOKUP(D669,[6]Mapeamento!$A$38:$C$497,3,FALSE)</f>
        <v>OREX</v>
      </c>
      <c r="R669" s="24"/>
      <c r="S669" s="24"/>
      <c r="T669" s="24"/>
    </row>
    <row r="670" spans="1:20">
      <c r="A670" s="18" t="s">
        <v>849</v>
      </c>
      <c r="B670" s="18" t="str">
        <f>VLOOKUP(A670,'[6]Fin vs NFin'!$A$4:$B$568,2,FALSE)</f>
        <v>!Outras Estrangeiro</v>
      </c>
      <c r="C670" s="18" t="s">
        <v>775</v>
      </c>
      <c r="D670" s="18" t="s">
        <v>854</v>
      </c>
      <c r="E670" s="18" t="str">
        <f>VLOOKUP(D670,[6]Arvore!$N$8:$Q$6855,4,FALSE)</f>
        <v>4508809115</v>
      </c>
      <c r="F670" s="19">
        <v>2541998.0800000001</v>
      </c>
      <c r="G670" s="19">
        <v>-55943.656677868501</v>
      </c>
      <c r="H670" s="20">
        <v>2597941.7366778702</v>
      </c>
      <c r="I670" s="114"/>
      <c r="J670" s="19"/>
      <c r="K670" s="21"/>
      <c r="L670" s="22"/>
      <c r="M670" s="23"/>
      <c r="O670" s="19" t="str">
        <f>VLOOKUP(QUERY_FOR_TRNSTRANSPOSED_0008!A670,'[6]Fin vs NFin'!$A$4:$F$568,6,FALSE)</f>
        <v>Não Financeiras</v>
      </c>
      <c r="P670" s="24" t="str">
        <f t="shared" si="13"/>
        <v>77</v>
      </c>
      <c r="Q670" s="24"/>
      <c r="R670" s="24"/>
      <c r="S670" s="24" t="str">
        <f>VLOOKUP(D670,[6]Mapeamento!$A$38:$C$497,3,FALSE)</f>
        <v>RO</v>
      </c>
      <c r="T670" s="24"/>
    </row>
    <row r="671" spans="1:20">
      <c r="A671" s="18" t="s">
        <v>849</v>
      </c>
      <c r="B671" s="18" t="str">
        <f>VLOOKUP(A671,'[6]Fin vs NFin'!$A$4:$B$568,2,FALSE)</f>
        <v>!Outras Estrangeiro</v>
      </c>
      <c r="C671" s="18" t="s">
        <v>775</v>
      </c>
      <c r="D671" s="18" t="s">
        <v>855</v>
      </c>
      <c r="E671" s="18" t="str">
        <f>VLOOKUP(D671,[6]Arvore!$N$8:$Q$6855,4,FALSE)</f>
        <v>4508809116</v>
      </c>
      <c r="F671" s="19" t="s">
        <v>84</v>
      </c>
      <c r="G671" s="19">
        <v>-1796.5480486286999</v>
      </c>
      <c r="H671" s="20">
        <v>1796.5480486286999</v>
      </c>
      <c r="I671" s="114"/>
      <c r="J671" s="19"/>
      <c r="K671" s="21"/>
      <c r="L671" s="22"/>
      <c r="M671" s="23"/>
      <c r="O671" s="19" t="str">
        <f>VLOOKUP(QUERY_FOR_TRNSTRANSPOSED_0008!A671,'[6]Fin vs NFin'!$A$4:$F$568,6,FALSE)</f>
        <v>Não Financeiras</v>
      </c>
      <c r="P671" s="24" t="str">
        <f t="shared" si="13"/>
        <v>77</v>
      </c>
      <c r="Q671" s="24"/>
      <c r="R671" s="24"/>
      <c r="S671" s="24" t="str">
        <f>VLOOKUP(D671,[6]Mapeamento!$A$38:$C$497,3,FALSE)</f>
        <v>RO</v>
      </c>
      <c r="T671" s="24"/>
    </row>
    <row r="672" spans="1:20">
      <c r="A672" s="18" t="s">
        <v>849</v>
      </c>
      <c r="B672" s="18" t="str">
        <f>VLOOKUP(A672,'[6]Fin vs NFin'!$A$4:$B$568,2,FALSE)</f>
        <v>!Outras Estrangeiro</v>
      </c>
      <c r="C672" s="18" t="s">
        <v>775</v>
      </c>
      <c r="D672" s="18" t="s">
        <v>601</v>
      </c>
      <c r="E672" s="18" t="str">
        <f>VLOOKUP(D672,[6]Arvore!$N$8:$Q$6855,4,FALSE)</f>
        <v>450880910</v>
      </c>
      <c r="F672" s="19" t="s">
        <v>84</v>
      </c>
      <c r="G672" s="19">
        <v>-79.33</v>
      </c>
      <c r="H672" s="20">
        <v>79.33</v>
      </c>
      <c r="I672" s="114"/>
      <c r="J672" s="19"/>
      <c r="K672" s="21"/>
      <c r="L672" s="22"/>
      <c r="M672" s="23"/>
      <c r="O672" s="19" t="str">
        <f>VLOOKUP(QUERY_FOR_TRNSTRANSPOSED_0008!A672,'[6]Fin vs NFin'!$A$4:$F$568,6,FALSE)</f>
        <v>Não Financeiras</v>
      </c>
      <c r="P672" s="24" t="str">
        <f t="shared" si="13"/>
        <v>77</v>
      </c>
      <c r="Q672" s="24" t="str">
        <f>VLOOKUP(D672,[6]Mapeamento!$A$38:$C$497,3,FALSE)</f>
        <v>OREX</v>
      </c>
      <c r="R672" s="24"/>
      <c r="S672" s="24"/>
      <c r="T672" s="24"/>
    </row>
    <row r="673" spans="1:20">
      <c r="A673" s="18" t="s">
        <v>849</v>
      </c>
      <c r="B673" s="18" t="str">
        <f>VLOOKUP(A673,'[6]Fin vs NFin'!$A$4:$B$568,2,FALSE)</f>
        <v>!Outras Estrangeiro</v>
      </c>
      <c r="C673" s="18" t="s">
        <v>775</v>
      </c>
      <c r="D673" s="18" t="s">
        <v>756</v>
      </c>
      <c r="E673" s="18" t="str">
        <f>VLOOKUP(D673,[6]Arvore!$N$8:$Q$6855,4,FALSE)</f>
        <v>4311884</v>
      </c>
      <c r="F673" s="19">
        <v>68928.23</v>
      </c>
      <c r="G673" s="19">
        <v>2528365.3677358399</v>
      </c>
      <c r="H673" s="20">
        <v>-2459437.1377358399</v>
      </c>
      <c r="I673" s="114"/>
      <c r="J673" s="19"/>
      <c r="K673" s="21"/>
      <c r="L673" s="22"/>
      <c r="M673" s="23"/>
      <c r="O673" s="19" t="str">
        <f>VLOOKUP(QUERY_FOR_TRNSTRANSPOSED_0008!A673,'[6]Fin vs NFin'!$A$4:$F$568,6,FALSE)</f>
        <v>Não Financeiras</v>
      </c>
      <c r="P673" s="24" t="str">
        <f t="shared" si="13"/>
        <v>89</v>
      </c>
      <c r="Q673" s="24"/>
      <c r="R673" s="24" t="str">
        <f>VLOOKUP(D673,[6]Mapeamento!$A$38:$C$497,3,FALSE)</f>
        <v>GG</v>
      </c>
      <c r="S673" s="24"/>
      <c r="T673" s="24"/>
    </row>
    <row r="674" spans="1:20">
      <c r="A674" s="18" t="s">
        <v>849</v>
      </c>
      <c r="B674" s="18" t="str">
        <f>VLOOKUP(A674,'[6]Fin vs NFin'!$A$4:$B$568,2,FALSE)</f>
        <v>!Outras Estrangeiro</v>
      </c>
      <c r="C674" s="18" t="s">
        <v>775</v>
      </c>
      <c r="D674" s="18" t="s">
        <v>735</v>
      </c>
      <c r="E674" s="18" t="str">
        <f>VLOOKUP(D674,[6]Arvore!$N$8:$Q$6855,4,FALSE)</f>
        <v>431111</v>
      </c>
      <c r="F674" s="19">
        <v>35487.870000000003</v>
      </c>
      <c r="G674" s="19">
        <v>101261.100176993</v>
      </c>
      <c r="H674" s="20">
        <v>-65773.230176993005</v>
      </c>
      <c r="I674" s="114"/>
      <c r="J674" s="19"/>
      <c r="K674" s="21"/>
      <c r="L674" s="22"/>
      <c r="M674" s="23"/>
      <c r="O674" s="19" t="str">
        <f>VLOOKUP(QUERY_FOR_TRNSTRANSPOSED_0008!A674,'[6]Fin vs NFin'!$A$4:$F$568,6,FALSE)</f>
        <v>Não Financeiras</v>
      </c>
      <c r="P674" s="24" t="str">
        <f t="shared" si="13"/>
        <v>89</v>
      </c>
      <c r="Q674" s="24"/>
      <c r="R674" s="24" t="str">
        <f>VLOOKUP(D674,[6]Mapeamento!$A$38:$C$497,3,FALSE)</f>
        <v>GG</v>
      </c>
      <c r="S674" s="24"/>
      <c r="T674" s="24"/>
    </row>
    <row r="675" spans="1:20">
      <c r="A675" s="18" t="s">
        <v>849</v>
      </c>
      <c r="B675" s="18" t="str">
        <f>VLOOKUP(A675,'[6]Fin vs NFin'!$A$4:$B$568,2,FALSE)</f>
        <v>!Outras Estrangeiro</v>
      </c>
      <c r="C675" s="18" t="s">
        <v>775</v>
      </c>
      <c r="D675" s="18" t="s">
        <v>294</v>
      </c>
      <c r="E675" s="18" t="str">
        <f>VLOOKUP(D675,[6]Arvore!$N$8:$Q$6855,4,FALSE)</f>
        <v>55088091</v>
      </c>
      <c r="F675" s="19" t="s">
        <v>84</v>
      </c>
      <c r="G675" s="19">
        <v>2226.15</v>
      </c>
      <c r="H675" s="20">
        <v>-2226.15</v>
      </c>
      <c r="I675" s="114"/>
      <c r="J675" s="19"/>
      <c r="K675" s="21"/>
      <c r="L675" s="22"/>
      <c r="M675" s="23"/>
      <c r="O675" s="19" t="str">
        <f>VLOOKUP(QUERY_FOR_TRNSTRANSPOSED_0008!A675,'[6]Fin vs NFin'!$A$4:$F$568,6,FALSE)</f>
        <v>Não Financeiras</v>
      </c>
      <c r="P675" s="24" t="str">
        <f t="shared" si="13"/>
        <v>89</v>
      </c>
      <c r="Q675" s="24" t="str">
        <f>VLOOKUP(D675,[6]Mapeamento!$A$38:$C$497,3,FALSE)</f>
        <v>OREX</v>
      </c>
      <c r="R675" s="24"/>
      <c r="S675" s="24"/>
      <c r="T675" s="24"/>
    </row>
    <row r="676" spans="1:20">
      <c r="A676" s="18" t="s">
        <v>849</v>
      </c>
      <c r="B676" s="18" t="str">
        <f>VLOOKUP(A676,'[6]Fin vs NFin'!$A$4:$B$568,2,FALSE)</f>
        <v>!Outras Estrangeiro</v>
      </c>
      <c r="C676" s="18" t="s">
        <v>67</v>
      </c>
      <c r="D676" s="18" t="s">
        <v>851</v>
      </c>
      <c r="E676" s="18" t="str">
        <f>VLOOKUP(D676,[6]Arvore!$N$8:$Q$6855,4,FALSE)</f>
        <v>416190</v>
      </c>
      <c r="F676" s="19">
        <v>-37604.86</v>
      </c>
      <c r="G676" s="19">
        <v>-113621.44</v>
      </c>
      <c r="H676" s="20">
        <v>76016.58</v>
      </c>
      <c r="I676" s="114"/>
      <c r="J676" s="19"/>
      <c r="K676" s="21"/>
      <c r="L676" s="22"/>
      <c r="M676" s="23"/>
      <c r="O676" s="19" t="str">
        <f>VLOOKUP(QUERY_FOR_TRNSTRANSPOSED_0008!A676,'[6]Fin vs NFin'!$A$4:$F$568,6,FALSE)</f>
        <v>Não Financeiras</v>
      </c>
      <c r="P676" s="24" t="str">
        <f t="shared" si="13"/>
        <v>71</v>
      </c>
      <c r="Q676" s="24"/>
      <c r="R676" s="24"/>
      <c r="S676" s="24"/>
      <c r="T676" s="24"/>
    </row>
    <row r="677" spans="1:20">
      <c r="A677" s="32" t="s">
        <v>849</v>
      </c>
      <c r="B677" s="32" t="str">
        <f>VLOOKUP(A677,'[6]Fin vs NFin'!$A$4:$B$568,2,FALSE)</f>
        <v>!Outras Estrangeiro</v>
      </c>
      <c r="C677" s="32" t="s">
        <v>67</v>
      </c>
      <c r="D677" s="32" t="s">
        <v>756</v>
      </c>
      <c r="E677" s="32" t="str">
        <f>VLOOKUP(D677,[6]Arvore!$N$8:$Q$6855,4,FALSE)</f>
        <v>4311884</v>
      </c>
      <c r="F677" s="33">
        <v>-2540123.2000000002</v>
      </c>
      <c r="G677" s="33">
        <v>-2540123.2000000002</v>
      </c>
      <c r="H677" s="34">
        <v>0</v>
      </c>
      <c r="I677" s="114"/>
      <c r="J677" s="19"/>
      <c r="K677" s="21"/>
      <c r="L677" s="22"/>
      <c r="M677" s="23"/>
      <c r="O677" s="19" t="str">
        <f>VLOOKUP(QUERY_FOR_TRNSTRANSPOSED_0008!A677,'[6]Fin vs NFin'!$A$4:$F$568,6,FALSE)</f>
        <v>Não Financeiras</v>
      </c>
      <c r="P677" s="24" t="str">
        <f t="shared" si="13"/>
        <v>89</v>
      </c>
      <c r="Q677" s="24"/>
      <c r="R677" s="24" t="str">
        <f>VLOOKUP(D677,[6]Mapeamento!$A$38:$C$497,3,FALSE)</f>
        <v>GG</v>
      </c>
      <c r="S677" s="24"/>
      <c r="T677" s="24"/>
    </row>
    <row r="678" spans="1:20">
      <c r="A678" s="18" t="s">
        <v>849</v>
      </c>
      <c r="B678" s="18" t="str">
        <f>VLOOKUP(A678,'[6]Fin vs NFin'!$A$4:$B$568,2,FALSE)</f>
        <v>!Outras Estrangeiro</v>
      </c>
      <c r="C678" s="18" t="s">
        <v>856</v>
      </c>
      <c r="D678" s="18" t="s">
        <v>735</v>
      </c>
      <c r="E678" s="18" t="str">
        <f>VLOOKUP(D678,[6]Arvore!$N$8:$Q$6855,4,FALSE)</f>
        <v>431111</v>
      </c>
      <c r="F678" s="19">
        <v>76482.039999999994</v>
      </c>
      <c r="G678" s="19">
        <v>76469.700563075894</v>
      </c>
      <c r="H678" s="20">
        <v>12.3394369240996</v>
      </c>
      <c r="I678" s="114"/>
      <c r="J678" s="19"/>
      <c r="K678" s="21"/>
      <c r="L678" s="22"/>
      <c r="M678" s="23"/>
      <c r="O678" s="19" t="str">
        <f>VLOOKUP(QUERY_FOR_TRNSTRANSPOSED_0008!A678,'[6]Fin vs NFin'!$A$4:$F$568,6,FALSE)</f>
        <v>Não Financeiras</v>
      </c>
      <c r="P678" s="24" t="str">
        <f t="shared" si="13"/>
        <v>89</v>
      </c>
      <c r="Q678" s="24"/>
      <c r="R678" s="24" t="str">
        <f>VLOOKUP(D678,[6]Mapeamento!$A$38:$C$497,3,FALSE)</f>
        <v>GG</v>
      </c>
      <c r="S678" s="24"/>
      <c r="T678" s="24"/>
    </row>
    <row r="679" spans="1:20">
      <c r="A679" s="18" t="s">
        <v>849</v>
      </c>
      <c r="B679" s="18" t="str">
        <f>VLOOKUP(A679,'[6]Fin vs NFin'!$A$4:$B$568,2,FALSE)</f>
        <v>!Outras Estrangeiro</v>
      </c>
      <c r="C679" s="18" t="s">
        <v>857</v>
      </c>
      <c r="D679" s="18" t="s">
        <v>782</v>
      </c>
      <c r="E679" s="18" t="str">
        <f>VLOOKUP(D679,[6]Arvore!$N$8:$Q$6855,4,FALSE)</f>
        <v>431110</v>
      </c>
      <c r="F679" s="19">
        <v>0</v>
      </c>
      <c r="G679" s="19">
        <v>13.31</v>
      </c>
      <c r="H679" s="20">
        <v>-13.31</v>
      </c>
      <c r="I679" s="114"/>
      <c r="J679" s="19"/>
      <c r="K679" s="21"/>
      <c r="L679" s="22"/>
      <c r="M679" s="23"/>
      <c r="O679" s="19" t="str">
        <f>VLOOKUP(QUERY_FOR_TRNSTRANSPOSED_0008!A679,'[6]Fin vs NFin'!$A$4:$F$568,6,FALSE)</f>
        <v>Não Financeiras</v>
      </c>
      <c r="P679" s="24" t="str">
        <f t="shared" si="13"/>
        <v>89</v>
      </c>
      <c r="Q679" s="24"/>
      <c r="R679" s="24" t="str">
        <f>VLOOKUP(D679,[6]Mapeamento!$A$38:$C$497,3,FALSE)</f>
        <v>GG</v>
      </c>
      <c r="S679" s="24"/>
      <c r="T679" s="24"/>
    </row>
    <row r="680" spans="1:20">
      <c r="A680" s="18" t="s">
        <v>849</v>
      </c>
      <c r="B680" s="18" t="str">
        <f>VLOOKUP(A680,'[6]Fin vs NFin'!$A$4:$B$568,2,FALSE)</f>
        <v>!Outras Estrangeiro</v>
      </c>
      <c r="C680" s="18" t="s">
        <v>858</v>
      </c>
      <c r="D680" s="18" t="s">
        <v>601</v>
      </c>
      <c r="E680" s="18" t="str">
        <f>VLOOKUP(D680,[6]Arvore!$N$8:$Q$6855,4,FALSE)</f>
        <v>450880910</v>
      </c>
      <c r="F680" s="19">
        <v>-77.62</v>
      </c>
      <c r="G680" s="19">
        <v>-116.828335816945</v>
      </c>
      <c r="H680" s="20">
        <v>39.208335816945002</v>
      </c>
      <c r="I680" s="114"/>
      <c r="J680" s="19"/>
      <c r="K680" s="21"/>
      <c r="L680" s="22"/>
      <c r="M680" s="23"/>
      <c r="O680" s="19" t="str">
        <f>VLOOKUP(QUERY_FOR_TRNSTRANSPOSED_0008!A680,'[6]Fin vs NFin'!$A$4:$F$568,6,FALSE)</f>
        <v>Não Financeiras</v>
      </c>
      <c r="P680" s="24" t="str">
        <f t="shared" si="13"/>
        <v>77</v>
      </c>
      <c r="Q680" s="24" t="str">
        <f>VLOOKUP(D680,[6]Mapeamento!$A$38:$C$497,3,FALSE)</f>
        <v>OREX</v>
      </c>
      <c r="R680" s="24"/>
      <c r="S680" s="24"/>
      <c r="T680" s="24"/>
    </row>
    <row r="681" spans="1:20" ht="15" thickBot="1">
      <c r="A681" s="18" t="s">
        <v>849</v>
      </c>
      <c r="B681" s="18" t="str">
        <f>VLOOKUP(A681,'[6]Fin vs NFin'!$A$4:$B$568,2,FALSE)</f>
        <v>!Outras Estrangeiro</v>
      </c>
      <c r="C681" s="18" t="s">
        <v>859</v>
      </c>
      <c r="D681" s="18" t="s">
        <v>294</v>
      </c>
      <c r="E681" s="18" t="str">
        <f>VLOOKUP(D681,[6]Arvore!$N$8:$Q$6855,4,FALSE)</f>
        <v>55088091</v>
      </c>
      <c r="F681" s="19">
        <v>10.26</v>
      </c>
      <c r="G681" s="19">
        <v>49.529825457217399</v>
      </c>
      <c r="H681" s="20">
        <v>-39.269825457217401</v>
      </c>
      <c r="I681" s="114"/>
      <c r="J681" s="19"/>
      <c r="K681" s="21"/>
      <c r="L681" s="22"/>
      <c r="M681" s="23"/>
      <c r="O681" s="19" t="str">
        <f>VLOOKUP(QUERY_FOR_TRNSTRANSPOSED_0008!A681,'[6]Fin vs NFin'!$A$4:$F$568,6,FALSE)</f>
        <v>Não Financeiras</v>
      </c>
      <c r="P681" s="24" t="str">
        <f t="shared" si="13"/>
        <v>89</v>
      </c>
      <c r="Q681" s="24" t="str">
        <f>VLOOKUP(D681,[6]Mapeamento!$A$38:$C$497,3,FALSE)</f>
        <v>OREX</v>
      </c>
      <c r="R681" s="24"/>
      <c r="S681" s="24"/>
      <c r="T681" s="24"/>
    </row>
    <row r="682" spans="1:20">
      <c r="A682" s="49" t="s">
        <v>860</v>
      </c>
      <c r="B682" s="49" t="str">
        <f>VLOOKUP(A682,'[6]Fin vs NFin'!$A$4:$B$568,2,FALSE)</f>
        <v>!Guarda de Valores</v>
      </c>
      <c r="C682" s="49" t="s">
        <v>861</v>
      </c>
      <c r="D682" s="49" t="s">
        <v>862</v>
      </c>
      <c r="E682" s="49" t="str">
        <f>VLOOKUP(D682,[6]Arvore!$N$8:$Q$6855,4,FALSE)</f>
        <v>51509</v>
      </c>
      <c r="F682" s="50">
        <v>1032723.69</v>
      </c>
      <c r="G682" s="50">
        <v>1032723.69</v>
      </c>
      <c r="H682" s="51">
        <v>2.3283064365386999E-10</v>
      </c>
      <c r="I682" s="108">
        <f>SUM(H682:H692)</f>
        <v>-0.67442583965021186</v>
      </c>
      <c r="J682" s="39"/>
      <c r="K682" s="21"/>
      <c r="L682" s="41"/>
      <c r="M682" s="42"/>
      <c r="O682" s="39" t="str">
        <f>VLOOKUP(QUERY_FOR_TRNSTRANSPOSED_0008!A682,'[6]Fin vs NFin'!$A$4:$F$568,6,FALSE)</f>
        <v>Mista (NFin)</v>
      </c>
      <c r="P682" s="43" t="str">
        <f t="shared" si="13"/>
        <v>82</v>
      </c>
      <c r="Q682" s="43"/>
      <c r="R682" s="43"/>
      <c r="S682" s="43"/>
      <c r="T682" s="43"/>
    </row>
    <row r="683" spans="1:20">
      <c r="A683" s="18" t="s">
        <v>860</v>
      </c>
      <c r="B683" s="18" t="str">
        <f>VLOOKUP(A683,'[6]Fin vs NFin'!$A$4:$B$568,2,FALSE)</f>
        <v>!Guarda de Valores</v>
      </c>
      <c r="C683" s="18" t="s">
        <v>863</v>
      </c>
      <c r="D683" s="18" t="s">
        <v>862</v>
      </c>
      <c r="E683" s="18" t="str">
        <f>VLOOKUP(D683,[6]Arvore!$N$8:$Q$6855,4,FALSE)</f>
        <v>51509</v>
      </c>
      <c r="F683" s="19">
        <v>542914.05000000005</v>
      </c>
      <c r="G683" s="19">
        <v>8202.2900000000009</v>
      </c>
      <c r="H683" s="20">
        <v>534711.76</v>
      </c>
      <c r="I683" s="114"/>
      <c r="J683" s="19"/>
      <c r="K683" s="21"/>
      <c r="L683" s="22"/>
      <c r="M683" s="23"/>
      <c r="O683" s="19" t="str">
        <f>VLOOKUP(QUERY_FOR_TRNSTRANSPOSED_0008!A683,'[6]Fin vs NFin'!$A$4:$F$568,6,FALSE)</f>
        <v>Mista (NFin)</v>
      </c>
      <c r="P683" s="24" t="str">
        <f t="shared" si="13"/>
        <v>82</v>
      </c>
      <c r="Q683" s="24"/>
      <c r="R683" s="24"/>
      <c r="S683" s="24"/>
      <c r="T683" s="24"/>
    </row>
    <row r="684" spans="1:20">
      <c r="A684" s="18" t="s">
        <v>860</v>
      </c>
      <c r="B684" s="18" t="str">
        <f>VLOOKUP(A684,'[6]Fin vs NFin'!$A$4:$B$568,2,FALSE)</f>
        <v>!Guarda de Valores</v>
      </c>
      <c r="C684" s="18" t="s">
        <v>864</v>
      </c>
      <c r="D684" s="18" t="s">
        <v>862</v>
      </c>
      <c r="E684" s="18" t="str">
        <f>VLOOKUP(D684,[6]Arvore!$N$8:$Q$6855,4,FALSE)</f>
        <v>51509</v>
      </c>
      <c r="F684" s="19">
        <v>264607.5</v>
      </c>
      <c r="G684" s="19">
        <v>71610.956069808701</v>
      </c>
      <c r="H684" s="20">
        <v>192996.54393019099</v>
      </c>
      <c r="I684" s="114"/>
      <c r="J684" s="19"/>
      <c r="K684" s="21"/>
      <c r="L684" s="22"/>
      <c r="M684" s="23"/>
      <c r="O684" s="19" t="str">
        <f>VLOOKUP(QUERY_FOR_TRNSTRANSPOSED_0008!A684,'[6]Fin vs NFin'!$A$4:$F$568,6,FALSE)</f>
        <v>Mista (NFin)</v>
      </c>
      <c r="P684" s="24" t="str">
        <f t="shared" si="13"/>
        <v>82</v>
      </c>
      <c r="Q684" s="24"/>
      <c r="R684" s="24"/>
      <c r="S684" s="24"/>
      <c r="T684" s="24"/>
    </row>
    <row r="685" spans="1:20">
      <c r="A685" s="18" t="s">
        <v>860</v>
      </c>
      <c r="B685" s="18" t="str">
        <f>VLOOKUP(A685,'[6]Fin vs NFin'!$A$4:$B$568,2,FALSE)</f>
        <v>!Guarda de Valores</v>
      </c>
      <c r="C685" s="18" t="s">
        <v>153</v>
      </c>
      <c r="D685" s="18" t="s">
        <v>865</v>
      </c>
      <c r="E685" s="18" t="str">
        <f>VLOOKUP(D685,[6]Arvore!$N$8:$Q$6855,4,FALSE)</f>
        <v>51509</v>
      </c>
      <c r="F685" s="19">
        <v>-893.95</v>
      </c>
      <c r="G685" s="19">
        <v>0</v>
      </c>
      <c r="H685" s="20">
        <v>-893.95</v>
      </c>
      <c r="I685" s="114"/>
      <c r="J685" s="19"/>
      <c r="K685" s="21"/>
      <c r="L685" s="22"/>
      <c r="M685" s="23"/>
      <c r="O685" s="19" t="str">
        <f>VLOOKUP(QUERY_FOR_TRNSTRANSPOSED_0008!A685,'[6]Fin vs NFin'!$A$4:$F$568,6,FALSE)</f>
        <v>Mista (NFin)</v>
      </c>
      <c r="P685" s="24" t="str">
        <f t="shared" si="13"/>
        <v>82</v>
      </c>
      <c r="Q685" s="24"/>
      <c r="R685" s="24"/>
      <c r="S685" s="24"/>
      <c r="T685" s="24"/>
    </row>
    <row r="686" spans="1:20">
      <c r="A686" s="18" t="s">
        <v>860</v>
      </c>
      <c r="B686" s="18" t="str">
        <f>VLOOKUP(A686,'[6]Fin vs NFin'!$A$4:$B$568,2,FALSE)</f>
        <v>!Guarda de Valores</v>
      </c>
      <c r="C686" s="18" t="s">
        <v>866</v>
      </c>
      <c r="D686" s="18" t="s">
        <v>862</v>
      </c>
      <c r="E686" s="18" t="str">
        <f>VLOOKUP(D686,[6]Arvore!$N$8:$Q$6855,4,FALSE)</f>
        <v>51509</v>
      </c>
      <c r="F686" s="19">
        <v>240402.58</v>
      </c>
      <c r="G686" s="19">
        <v>245919.76</v>
      </c>
      <c r="H686" s="20">
        <v>-5517.1800000000203</v>
      </c>
      <c r="I686" s="114"/>
      <c r="J686" s="19"/>
      <c r="K686" s="21"/>
      <c r="L686" s="22"/>
      <c r="M686" s="23"/>
      <c r="O686" s="19" t="str">
        <f>VLOOKUP(QUERY_FOR_TRNSTRANSPOSED_0008!A686,'[6]Fin vs NFin'!$A$4:$F$568,6,FALSE)</f>
        <v>Mista (NFin)</v>
      </c>
      <c r="P686" s="24" t="str">
        <f t="shared" si="13"/>
        <v>82</v>
      </c>
      <c r="Q686" s="24"/>
      <c r="R686" s="24"/>
      <c r="S686" s="24"/>
      <c r="T686" s="24"/>
    </row>
    <row r="687" spans="1:20">
      <c r="A687" s="18" t="s">
        <v>860</v>
      </c>
      <c r="B687" s="18" t="str">
        <f>VLOOKUP(A687,'[6]Fin vs NFin'!$A$4:$B$568,2,FALSE)</f>
        <v>!Guarda de Valores</v>
      </c>
      <c r="C687" s="18" t="s">
        <v>867</v>
      </c>
      <c r="D687" s="18" t="s">
        <v>862</v>
      </c>
      <c r="E687" s="18" t="str">
        <f>VLOOKUP(D687,[6]Arvore!$N$8:$Q$6855,4,FALSE)</f>
        <v>51509</v>
      </c>
      <c r="F687" s="19">
        <v>14228.46</v>
      </c>
      <c r="G687" s="19">
        <v>8711.2800000000007</v>
      </c>
      <c r="H687" s="20">
        <v>5517.18</v>
      </c>
      <c r="I687" s="114"/>
      <c r="J687" s="19"/>
      <c r="K687" s="21"/>
      <c r="L687" s="22"/>
      <c r="M687" s="23"/>
      <c r="O687" s="19" t="str">
        <f>VLOOKUP(QUERY_FOR_TRNSTRANSPOSED_0008!A687,'[6]Fin vs NFin'!$A$4:$F$568,6,FALSE)</f>
        <v>Mista (NFin)</v>
      </c>
      <c r="P687" s="24" t="str">
        <f t="shared" si="13"/>
        <v>82</v>
      </c>
      <c r="Q687" s="24"/>
      <c r="R687" s="24"/>
      <c r="S687" s="24"/>
      <c r="T687" s="24"/>
    </row>
    <row r="688" spans="1:20">
      <c r="A688" s="18" t="s">
        <v>860</v>
      </c>
      <c r="B688" s="18" t="str">
        <f>VLOOKUP(A688,'[6]Fin vs NFin'!$A$4:$B$568,2,FALSE)</f>
        <v>!Guarda de Valores</v>
      </c>
      <c r="C688" s="18" t="s">
        <v>67</v>
      </c>
      <c r="D688" s="18" t="s">
        <v>862</v>
      </c>
      <c r="E688" s="18" t="str">
        <f>VLOOKUP(D688,[6]Arvore!$N$8:$Q$6855,4,FALSE)</f>
        <v>51509</v>
      </c>
      <c r="F688" s="19">
        <v>94501.120000000097</v>
      </c>
      <c r="G688" s="19">
        <v>29766.3</v>
      </c>
      <c r="H688" s="20">
        <v>64734.820000000102</v>
      </c>
      <c r="I688" s="114"/>
      <c r="J688" s="19"/>
      <c r="K688" s="21"/>
      <c r="L688" s="22"/>
      <c r="M688" s="23"/>
      <c r="O688" s="19" t="str">
        <f>VLOOKUP(QUERY_FOR_TRNSTRANSPOSED_0008!A688,'[6]Fin vs NFin'!$A$4:$F$568,6,FALSE)</f>
        <v>Mista (NFin)</v>
      </c>
      <c r="P688" s="24" t="str">
        <f t="shared" si="13"/>
        <v>82</v>
      </c>
      <c r="Q688" s="24"/>
      <c r="R688" s="24"/>
      <c r="S688" s="24"/>
      <c r="T688" s="24"/>
    </row>
    <row r="689" spans="1:20">
      <c r="A689" s="18" t="s">
        <v>860</v>
      </c>
      <c r="B689" s="18" t="str">
        <f>VLOOKUP(A689,'[6]Fin vs NFin'!$A$4:$B$568,2,FALSE)</f>
        <v>!Guarda de Valores</v>
      </c>
      <c r="C689" s="18" t="s">
        <v>67</v>
      </c>
      <c r="D689" s="18" t="s">
        <v>868</v>
      </c>
      <c r="E689" s="18" t="str">
        <f>VLOOKUP(D689,[6]Arvore!$N$8:$Q$6855,4,FALSE)</f>
        <v>501530370</v>
      </c>
      <c r="F689" s="19">
        <v>54403.13</v>
      </c>
      <c r="G689" s="19">
        <v>119137.95</v>
      </c>
      <c r="H689" s="20">
        <v>-64734.82</v>
      </c>
      <c r="I689" s="114"/>
      <c r="J689" s="19"/>
      <c r="K689" s="21"/>
      <c r="L689" s="22"/>
      <c r="M689" s="23"/>
      <c r="O689" s="19" t="str">
        <f>VLOOKUP(QUERY_FOR_TRNSTRANSPOSED_0008!A689,'[6]Fin vs NFin'!$A$4:$F$568,6,FALSE)</f>
        <v>Mista (NFin)</v>
      </c>
      <c r="P689" s="24" t="str">
        <f t="shared" si="13"/>
        <v>82</v>
      </c>
      <c r="Q689" s="24"/>
      <c r="R689" s="24"/>
      <c r="S689" s="24"/>
      <c r="T689" s="24" t="str">
        <f>VLOOKUP(D689,[6]Mapeamento!$A$38:$C$497,3,FALSE)</f>
        <v>REC_MF</v>
      </c>
    </row>
    <row r="690" spans="1:20">
      <c r="A690" s="18" t="s">
        <v>860</v>
      </c>
      <c r="B690" s="18" t="str">
        <f>VLOOKUP(A690,'[6]Fin vs NFin'!$A$4:$B$568,2,FALSE)</f>
        <v>!Guarda de Valores</v>
      </c>
      <c r="C690" s="18" t="s">
        <v>869</v>
      </c>
      <c r="D690" s="18" t="s">
        <v>862</v>
      </c>
      <c r="E690" s="18" t="str">
        <f>VLOOKUP(D690,[6]Arvore!$N$8:$Q$6855,4,FALSE)</f>
        <v>51509</v>
      </c>
      <c r="F690" s="19">
        <v>44227.14</v>
      </c>
      <c r="G690" s="19">
        <v>43333.198356030996</v>
      </c>
      <c r="H690" s="20">
        <v>893.94164396900305</v>
      </c>
      <c r="I690" s="114"/>
      <c r="J690" s="19"/>
      <c r="K690" s="21"/>
      <c r="L690" s="22"/>
      <c r="M690" s="23"/>
      <c r="O690" s="19" t="str">
        <f>VLOOKUP(QUERY_FOR_TRNSTRANSPOSED_0008!A690,'[6]Fin vs NFin'!$A$4:$F$568,6,FALSE)</f>
        <v>Mista (NFin)</v>
      </c>
      <c r="P690" s="24" t="str">
        <f t="shared" si="13"/>
        <v>82</v>
      </c>
      <c r="Q690" s="24"/>
      <c r="R690" s="24"/>
      <c r="S690" s="24"/>
      <c r="T690" s="24"/>
    </row>
    <row r="691" spans="1:20">
      <c r="A691" s="18" t="s">
        <v>860</v>
      </c>
      <c r="B691" s="18" t="str">
        <f>VLOOKUP(A691,'[6]Fin vs NFin'!$A$4:$B$568,2,FALSE)</f>
        <v>!Guarda de Valores</v>
      </c>
      <c r="C691" s="18" t="s">
        <v>870</v>
      </c>
      <c r="D691" s="18" t="s">
        <v>862</v>
      </c>
      <c r="E691" s="18" t="str">
        <f>VLOOKUP(D691,[6]Arvore!$N$8:$Q$6855,4,FALSE)</f>
        <v>51509</v>
      </c>
      <c r="F691" s="19">
        <v>2071598.1</v>
      </c>
      <c r="G691" s="19">
        <v>2984402.16</v>
      </c>
      <c r="H691" s="20">
        <v>-912804.06</v>
      </c>
      <c r="I691" s="114"/>
      <c r="J691" s="19"/>
      <c r="K691" s="21"/>
      <c r="L691" s="22"/>
      <c r="M691" s="23"/>
      <c r="O691" s="19" t="str">
        <f>VLOOKUP(QUERY_FOR_TRNSTRANSPOSED_0008!A691,'[6]Fin vs NFin'!$A$4:$F$568,6,FALSE)</f>
        <v>Mista (NFin)</v>
      </c>
      <c r="P691" s="24" t="str">
        <f t="shared" si="13"/>
        <v>82</v>
      </c>
      <c r="Q691" s="24"/>
      <c r="R691" s="24"/>
      <c r="S691" s="24"/>
      <c r="T691" s="24"/>
    </row>
    <row r="692" spans="1:20" ht="15" thickBot="1">
      <c r="A692" s="11" t="s">
        <v>860</v>
      </c>
      <c r="B692" s="11" t="str">
        <f>VLOOKUP(A692,'[6]Fin vs NFin'!$A$4:$B$568,2,FALSE)</f>
        <v>!Guarda de Valores</v>
      </c>
      <c r="C692" s="11" t="s">
        <v>871</v>
      </c>
      <c r="D692" s="11" t="s">
        <v>865</v>
      </c>
      <c r="E692" s="11" t="str">
        <f>VLOOKUP(D692,[6]Arvore!$N$8:$Q$6855,4,FALSE)</f>
        <v>51509</v>
      </c>
      <c r="F692" s="12">
        <v>273590.8</v>
      </c>
      <c r="G692" s="12">
        <v>88495.71</v>
      </c>
      <c r="H692" s="13">
        <v>185095.09</v>
      </c>
      <c r="I692" s="109"/>
      <c r="J692" s="12"/>
      <c r="K692" s="21"/>
      <c r="L692" s="15"/>
      <c r="M692" s="16"/>
      <c r="O692" s="12" t="str">
        <f>VLOOKUP(QUERY_FOR_TRNSTRANSPOSED_0008!A692,'[6]Fin vs NFin'!$A$4:$F$568,6,FALSE)</f>
        <v>Mista (NFin)</v>
      </c>
      <c r="P692" s="17" t="str">
        <f t="shared" si="13"/>
        <v>82</v>
      </c>
      <c r="Q692" s="17"/>
      <c r="R692" s="17"/>
      <c r="S692" s="17"/>
      <c r="T692" s="17"/>
    </row>
    <row r="693" spans="1:20" ht="15" thickBot="1">
      <c r="A693" s="32" t="s">
        <v>872</v>
      </c>
      <c r="B693" s="32" t="str">
        <f>VLOOKUP(A693,'[6]Fin vs NFin'!$A$4:$B$568,2,FALSE)</f>
        <v>!Banco Depositario</v>
      </c>
      <c r="C693" s="32" t="s">
        <v>873</v>
      </c>
      <c r="D693" s="32" t="s">
        <v>865</v>
      </c>
      <c r="E693" s="32" t="str">
        <f>VLOOKUP(D693,[6]Arvore!$N$8:$Q$6855,4,FALSE)</f>
        <v>51509</v>
      </c>
      <c r="F693" s="33">
        <v>1308950.75</v>
      </c>
      <c r="G693" s="33">
        <v>1308950.75</v>
      </c>
      <c r="H693" s="34">
        <v>0</v>
      </c>
      <c r="I693" s="54">
        <f>H693</f>
        <v>0</v>
      </c>
      <c r="J693" s="19"/>
      <c r="K693" s="21"/>
      <c r="L693" s="22"/>
      <c r="M693" s="23"/>
      <c r="O693" s="19" t="str">
        <f>VLOOKUP(QUERY_FOR_TRNSTRANSPOSED_0008!A693,'[6]Fin vs NFin'!$A$4:$F$568,6,FALSE)</f>
        <v>Não Financeiras</v>
      </c>
      <c r="P693" s="24" t="str">
        <f t="shared" si="13"/>
        <v>82</v>
      </c>
      <c r="Q693" s="24"/>
      <c r="R693" s="24"/>
      <c r="S693" s="24"/>
      <c r="T693" s="24"/>
    </row>
    <row r="694" spans="1:20">
      <c r="A694" s="38" t="s">
        <v>874</v>
      </c>
      <c r="B694" s="38" t="str">
        <f>VLOOKUP(A694,'[6]Fin vs NFin'!$A$4:$B$568,2,FALSE)</f>
        <v>!Dividend e o.Rend/Event</v>
      </c>
      <c r="C694" s="38" t="s">
        <v>875</v>
      </c>
      <c r="D694" s="38" t="s">
        <v>876</v>
      </c>
      <c r="E694" s="38" t="str">
        <f>VLOOKUP(D694,[6]Arvore!$N$8:$Q$6855,4,FALSE)</f>
        <v>51401</v>
      </c>
      <c r="F694" s="39">
        <v>881519.6</v>
      </c>
      <c r="G694" s="39">
        <v>719456.71330904204</v>
      </c>
      <c r="H694" s="40">
        <v>162062.886690958</v>
      </c>
      <c r="I694" s="108">
        <f>SUM(H694:H697)</f>
        <v>-21.861256885007606</v>
      </c>
      <c r="J694" s="39"/>
      <c r="K694" s="21"/>
      <c r="L694" s="41"/>
      <c r="M694" s="42"/>
      <c r="O694" s="39" t="str">
        <f>VLOOKUP(QUERY_FOR_TRNSTRANSPOSED_0008!A694,'[6]Fin vs NFin'!$A$4:$F$568,6,FALSE)</f>
        <v>Não Financeiras</v>
      </c>
      <c r="P694" s="43" t="str">
        <f t="shared" si="13"/>
        <v>82</v>
      </c>
      <c r="Q694" s="43"/>
      <c r="R694" s="43"/>
      <c r="S694" s="43"/>
      <c r="T694" s="43"/>
    </row>
    <row r="695" spans="1:20">
      <c r="A695" s="18" t="s">
        <v>874</v>
      </c>
      <c r="B695" s="18" t="str">
        <f>VLOOKUP(A695,'[6]Fin vs NFin'!$A$4:$B$568,2,FALSE)</f>
        <v>!Dividend e o.Rend/Event</v>
      </c>
      <c r="C695" s="18" t="s">
        <v>877</v>
      </c>
      <c r="D695" s="18" t="s">
        <v>876</v>
      </c>
      <c r="E695" s="18" t="str">
        <f>VLOOKUP(D695,[6]Arvore!$N$8:$Q$6855,4,FALSE)</f>
        <v>51401</v>
      </c>
      <c r="F695" s="19">
        <v>100241</v>
      </c>
      <c r="G695" s="19">
        <v>380331.332384868</v>
      </c>
      <c r="H695" s="20">
        <v>-280090.332384868</v>
      </c>
      <c r="I695" s="114"/>
      <c r="J695" s="19"/>
      <c r="K695" s="21"/>
      <c r="L695" s="22"/>
      <c r="M695" s="23"/>
      <c r="O695" s="19" t="str">
        <f>VLOOKUP(QUERY_FOR_TRNSTRANSPOSED_0008!A695,'[6]Fin vs NFin'!$A$4:$F$568,6,FALSE)</f>
        <v>Não Financeiras</v>
      </c>
      <c r="P695" s="24" t="str">
        <f t="shared" si="13"/>
        <v>82</v>
      </c>
      <c r="Q695" s="24"/>
      <c r="R695" s="24"/>
      <c r="S695" s="24"/>
      <c r="T695" s="24"/>
    </row>
    <row r="696" spans="1:20">
      <c r="A696" s="32" t="s">
        <v>874</v>
      </c>
      <c r="B696" s="32" t="str">
        <f>VLOOKUP(A696,'[6]Fin vs NFin'!$A$4:$B$568,2,FALSE)</f>
        <v>!Dividend e o.Rend/Event</v>
      </c>
      <c r="C696" s="32" t="s">
        <v>878</v>
      </c>
      <c r="D696" s="32" t="s">
        <v>876</v>
      </c>
      <c r="E696" s="32" t="str">
        <f>VLOOKUP(D696,[6]Arvore!$N$8:$Q$6855,4,FALSE)</f>
        <v>51401</v>
      </c>
      <c r="F696" s="33">
        <v>-229.51</v>
      </c>
      <c r="G696" s="33">
        <v>-229.513056681986</v>
      </c>
      <c r="H696" s="34">
        <v>3.0566819860098301E-3</v>
      </c>
      <c r="I696" s="114"/>
      <c r="J696" s="19"/>
      <c r="K696" s="21"/>
      <c r="L696" s="22"/>
      <c r="M696" s="23"/>
      <c r="O696" s="19" t="str">
        <f>VLOOKUP(QUERY_FOR_TRNSTRANSPOSED_0008!A696,'[6]Fin vs NFin'!$A$4:$F$568,6,FALSE)</f>
        <v>Não Financeiras</v>
      </c>
      <c r="P696" s="24" t="str">
        <f t="shared" si="13"/>
        <v>82</v>
      </c>
      <c r="Q696" s="24"/>
      <c r="R696" s="24"/>
      <c r="S696" s="24"/>
      <c r="T696" s="24"/>
    </row>
    <row r="697" spans="1:20" ht="15" thickBot="1">
      <c r="A697" s="11" t="s">
        <v>874</v>
      </c>
      <c r="B697" s="11" t="str">
        <f>VLOOKUP(A697,'[6]Fin vs NFin'!$A$4:$B$568,2,FALSE)</f>
        <v>!Dividend e o.Rend/Event</v>
      </c>
      <c r="C697" s="11" t="s">
        <v>879</v>
      </c>
      <c r="D697" s="11" t="s">
        <v>876</v>
      </c>
      <c r="E697" s="11" t="str">
        <f>VLOOKUP(D697,[6]Arvore!$N$8:$Q$6855,4,FALSE)</f>
        <v>51401</v>
      </c>
      <c r="F697" s="12">
        <v>161707.06</v>
      </c>
      <c r="G697" s="12">
        <v>43701.478619656598</v>
      </c>
      <c r="H697" s="13">
        <v>118005.58138034301</v>
      </c>
      <c r="I697" s="109"/>
      <c r="J697" s="12"/>
      <c r="K697" s="21"/>
      <c r="L697" s="15"/>
      <c r="M697" s="16"/>
      <c r="O697" s="12" t="str">
        <f>VLOOKUP(QUERY_FOR_TRNSTRANSPOSED_0008!A697,'[6]Fin vs NFin'!$A$4:$F$568,6,FALSE)</f>
        <v>Não Financeiras</v>
      </c>
      <c r="P697" s="17" t="str">
        <f t="shared" si="13"/>
        <v>82</v>
      </c>
      <c r="Q697" s="17"/>
      <c r="R697" s="17"/>
      <c r="S697" s="17"/>
      <c r="T697" s="17"/>
    </row>
    <row r="698" spans="1:20">
      <c r="A698" s="18" t="s">
        <v>880</v>
      </c>
      <c r="B698" s="18" t="str">
        <f>VLOOKUP(A698,'[6]Fin vs NFin'!$A$4:$B$568,2,FALSE)</f>
        <v>!Operações Fora de Bolsa</v>
      </c>
      <c r="C698" s="18" t="s">
        <v>881</v>
      </c>
      <c r="D698" s="18" t="s">
        <v>882</v>
      </c>
      <c r="E698" s="18" t="str">
        <f>VLOOKUP(D698,[6]Arvore!$N$8:$Q$6855,4,FALSE)</f>
        <v>51401</v>
      </c>
      <c r="F698" s="19">
        <v>28135.07</v>
      </c>
      <c r="G698" s="19">
        <v>28137.269222002898</v>
      </c>
      <c r="H698" s="20">
        <v>-2.1992220029023901</v>
      </c>
      <c r="I698" s="108">
        <f>SUM(H698:H701)</f>
        <v>-2.1820439289076594</v>
      </c>
      <c r="J698" s="19"/>
      <c r="K698" s="21"/>
      <c r="L698" s="22"/>
      <c r="M698" s="23"/>
      <c r="O698" s="19" t="str">
        <f>VLOOKUP(QUERY_FOR_TRNSTRANSPOSED_0008!A698,'[6]Fin vs NFin'!$A$4:$F$568,6,FALSE)</f>
        <v>Não Financeiras</v>
      </c>
      <c r="P698" s="24" t="str">
        <f t="shared" si="13"/>
        <v>82</v>
      </c>
      <c r="Q698" s="24"/>
      <c r="R698" s="24"/>
      <c r="S698" s="24"/>
      <c r="T698" s="24"/>
    </row>
    <row r="699" spans="1:20">
      <c r="A699" s="18" t="s">
        <v>880</v>
      </c>
      <c r="B699" s="18" t="str">
        <f>VLOOKUP(A699,'[6]Fin vs NFin'!$A$4:$B$568,2,FALSE)</f>
        <v>!Operações Fora de Bolsa</v>
      </c>
      <c r="C699" s="18" t="s">
        <v>883</v>
      </c>
      <c r="D699" s="18" t="s">
        <v>882</v>
      </c>
      <c r="E699" s="18" t="str">
        <f>VLOOKUP(D699,[6]Arvore!$N$8:$Q$6855,4,FALSE)</f>
        <v>51401</v>
      </c>
      <c r="F699" s="19">
        <v>31995.91</v>
      </c>
      <c r="G699" s="19">
        <v>32001.75</v>
      </c>
      <c r="H699" s="20">
        <v>-5.8399999999965102</v>
      </c>
      <c r="I699" s="114"/>
      <c r="J699" s="19"/>
      <c r="K699" s="21"/>
      <c r="L699" s="22"/>
      <c r="M699" s="23"/>
      <c r="O699" s="19" t="str">
        <f>VLOOKUP(QUERY_FOR_TRNSTRANSPOSED_0008!A699,'[6]Fin vs NFin'!$A$4:$F$568,6,FALSE)</f>
        <v>Não Financeiras</v>
      </c>
      <c r="P699" s="24" t="str">
        <f t="shared" si="13"/>
        <v>82</v>
      </c>
      <c r="Q699" s="24"/>
      <c r="R699" s="24"/>
      <c r="S699" s="24"/>
      <c r="T699" s="24"/>
    </row>
    <row r="700" spans="1:20">
      <c r="A700" s="18" t="s">
        <v>880</v>
      </c>
      <c r="B700" s="18" t="str">
        <f>VLOOKUP(A700,'[6]Fin vs NFin'!$A$4:$B$568,2,FALSE)</f>
        <v>!Operações Fora de Bolsa</v>
      </c>
      <c r="C700" s="18" t="s">
        <v>869</v>
      </c>
      <c r="D700" s="18" t="s">
        <v>882</v>
      </c>
      <c r="E700" s="18" t="str">
        <f>VLOOKUP(D700,[6]Arvore!$N$8:$Q$6855,4,FALSE)</f>
        <v>51401</v>
      </c>
      <c r="F700" s="19">
        <v>-134421.84</v>
      </c>
      <c r="G700" s="19">
        <v>-134421.85717807399</v>
      </c>
      <c r="H700" s="20">
        <v>1.7178073991090101E-2</v>
      </c>
      <c r="I700" s="114"/>
      <c r="J700" s="19"/>
      <c r="K700" s="21"/>
      <c r="L700" s="22"/>
      <c r="M700" s="23"/>
      <c r="O700" s="19" t="str">
        <f>VLOOKUP(QUERY_FOR_TRNSTRANSPOSED_0008!A700,'[6]Fin vs NFin'!$A$4:$F$568,6,FALSE)</f>
        <v>Não Financeiras</v>
      </c>
      <c r="P700" s="24" t="str">
        <f t="shared" si="13"/>
        <v>82</v>
      </c>
      <c r="Q700" s="24"/>
      <c r="R700" s="24"/>
      <c r="S700" s="24"/>
      <c r="T700" s="24"/>
    </row>
    <row r="701" spans="1:20" ht="15" thickBot="1">
      <c r="A701" s="11" t="s">
        <v>880</v>
      </c>
      <c r="B701" s="11" t="str">
        <f>VLOOKUP(A701,'[6]Fin vs NFin'!$A$4:$B$568,2,FALSE)</f>
        <v>!Operações Fora de Bolsa</v>
      </c>
      <c r="C701" s="11" t="s">
        <v>884</v>
      </c>
      <c r="D701" s="11" t="s">
        <v>876</v>
      </c>
      <c r="E701" s="11" t="str">
        <f>VLOOKUP(D701,[6]Arvore!$N$8:$Q$6855,4,FALSE)</f>
        <v>51401</v>
      </c>
      <c r="F701" s="12">
        <v>1946.15</v>
      </c>
      <c r="G701" s="12">
        <v>1940.31</v>
      </c>
      <c r="H701" s="13">
        <v>5.84000000000015</v>
      </c>
      <c r="I701" s="109"/>
      <c r="J701" s="12"/>
      <c r="K701" s="21"/>
      <c r="L701" s="15"/>
      <c r="M701" s="16"/>
      <c r="O701" s="12" t="str">
        <f>VLOOKUP(QUERY_FOR_TRNSTRANSPOSED_0008!A701,'[6]Fin vs NFin'!$A$4:$F$568,6,FALSE)</f>
        <v>Não Financeiras</v>
      </c>
      <c r="P701" s="17" t="str">
        <f t="shared" si="13"/>
        <v>82</v>
      </c>
      <c r="Q701" s="17"/>
      <c r="R701" s="17"/>
      <c r="S701" s="17"/>
      <c r="T701" s="17"/>
    </row>
    <row r="702" spans="1:20">
      <c r="A702" s="18" t="s">
        <v>885</v>
      </c>
      <c r="B702" s="18" t="str">
        <f>VLOOKUP(A702,'[6]Fin vs NFin'!$A$4:$B$568,2,FALSE)</f>
        <v>!Oper. Bolsa-Doméstico</v>
      </c>
      <c r="C702" s="18" t="s">
        <v>886</v>
      </c>
      <c r="D702" s="18" t="s">
        <v>887</v>
      </c>
      <c r="E702" s="18" t="str">
        <f>VLOOKUP(D702,[6]Arvore!$N$8:$Q$6855,4,FALSE)</f>
        <v>41401</v>
      </c>
      <c r="F702" s="19">
        <v>-73.45</v>
      </c>
      <c r="G702" s="19">
        <v>-67086.2</v>
      </c>
      <c r="H702" s="20">
        <v>67012.75</v>
      </c>
      <c r="I702" s="114">
        <f>SUM(H702:H708)</f>
        <v>0.10005360443756217</v>
      </c>
      <c r="J702" s="19"/>
      <c r="K702" s="21"/>
      <c r="L702" s="22"/>
      <c r="M702" s="23"/>
      <c r="O702" s="19" t="str">
        <f>VLOOKUP(QUERY_FOR_TRNSTRANSPOSED_0008!A702,'[6]Fin vs NFin'!$A$4:$F$568,6,FALSE)</f>
        <v>Não Financeiras</v>
      </c>
      <c r="P702" s="24" t="str">
        <f t="shared" si="13"/>
        <v>71</v>
      </c>
      <c r="Q702" s="24"/>
      <c r="R702" s="24"/>
      <c r="S702" s="24"/>
      <c r="T702" s="24"/>
    </row>
    <row r="703" spans="1:20">
      <c r="A703" s="18" t="s">
        <v>885</v>
      </c>
      <c r="B703" s="18" t="str">
        <f>VLOOKUP(A703,'[6]Fin vs NFin'!$A$4:$B$568,2,FALSE)</f>
        <v>!Oper. Bolsa-Doméstico</v>
      </c>
      <c r="C703" s="18" t="s">
        <v>888</v>
      </c>
      <c r="D703" s="18" t="s">
        <v>887</v>
      </c>
      <c r="E703" s="18" t="str">
        <f>VLOOKUP(D703,[6]Arvore!$N$8:$Q$6855,4,FALSE)</f>
        <v>41401</v>
      </c>
      <c r="F703" s="19">
        <v>17.61</v>
      </c>
      <c r="G703" s="19">
        <v>-2.5270353726380499</v>
      </c>
      <c r="H703" s="20">
        <v>20.137035372638</v>
      </c>
      <c r="I703" s="114"/>
      <c r="J703" s="19"/>
      <c r="K703" s="21"/>
      <c r="L703" s="22"/>
      <c r="M703" s="23"/>
      <c r="O703" s="19" t="str">
        <f>VLOOKUP(QUERY_FOR_TRNSTRANSPOSED_0008!A703,'[6]Fin vs NFin'!$A$4:$F$568,6,FALSE)</f>
        <v>Não Financeiras</v>
      </c>
      <c r="P703" s="24" t="str">
        <f t="shared" si="13"/>
        <v>71</v>
      </c>
      <c r="Q703" s="24"/>
      <c r="R703" s="24"/>
      <c r="S703" s="24"/>
      <c r="T703" s="24"/>
    </row>
    <row r="704" spans="1:20">
      <c r="A704" s="18" t="s">
        <v>885</v>
      </c>
      <c r="B704" s="18" t="str">
        <f>VLOOKUP(A704,'[6]Fin vs NFin'!$A$4:$B$568,2,FALSE)</f>
        <v>!Oper. Bolsa-Doméstico</v>
      </c>
      <c r="C704" s="18" t="s">
        <v>889</v>
      </c>
      <c r="D704" s="18" t="s">
        <v>876</v>
      </c>
      <c r="E704" s="18" t="str">
        <f>VLOOKUP(D704,[6]Arvore!$N$8:$Q$6855,4,FALSE)</f>
        <v>51401</v>
      </c>
      <c r="F704" s="19">
        <v>343992.29</v>
      </c>
      <c r="G704" s="19">
        <v>343985.42</v>
      </c>
      <c r="H704" s="20">
        <v>6.8700000000535502</v>
      </c>
      <c r="I704" s="114"/>
      <c r="J704" s="19"/>
      <c r="K704" s="21"/>
      <c r="L704" s="22"/>
      <c r="M704" s="23"/>
      <c r="O704" s="19" t="str">
        <f>VLOOKUP(QUERY_FOR_TRNSTRANSPOSED_0008!A704,'[6]Fin vs NFin'!$A$4:$F$568,6,FALSE)</f>
        <v>Não Financeiras</v>
      </c>
      <c r="P704" s="24" t="str">
        <f t="shared" si="13"/>
        <v>82</v>
      </c>
      <c r="Q704" s="24"/>
      <c r="R704" s="24"/>
      <c r="S704" s="24"/>
      <c r="T704" s="24"/>
    </row>
    <row r="705" spans="1:20">
      <c r="A705" s="18" t="s">
        <v>885</v>
      </c>
      <c r="B705" s="18" t="str">
        <f>VLOOKUP(A705,'[6]Fin vs NFin'!$A$4:$B$568,2,FALSE)</f>
        <v>!Oper. Bolsa-Doméstico</v>
      </c>
      <c r="C705" s="18" t="s">
        <v>890</v>
      </c>
      <c r="D705" s="18" t="s">
        <v>887</v>
      </c>
      <c r="E705" s="18" t="str">
        <f>VLOOKUP(D705,[6]Arvore!$N$8:$Q$6855,4,FALSE)</f>
        <v>41401</v>
      </c>
      <c r="F705" s="19">
        <v>-309.98</v>
      </c>
      <c r="G705" s="19">
        <v>-5.7530182317409402</v>
      </c>
      <c r="H705" s="20">
        <v>-304.22698176825901</v>
      </c>
      <c r="I705" s="114"/>
      <c r="J705" s="19"/>
      <c r="K705" s="21"/>
      <c r="L705" s="22"/>
      <c r="M705" s="23"/>
      <c r="O705" s="19" t="str">
        <f>VLOOKUP(QUERY_FOR_TRNSTRANSPOSED_0008!A705,'[6]Fin vs NFin'!$A$4:$F$568,6,FALSE)</f>
        <v>Não Financeiras</v>
      </c>
      <c r="P705" s="24" t="str">
        <f t="shared" si="13"/>
        <v>71</v>
      </c>
      <c r="Q705" s="24"/>
      <c r="R705" s="24"/>
      <c r="S705" s="24"/>
      <c r="T705" s="24"/>
    </row>
    <row r="706" spans="1:20">
      <c r="A706" s="18" t="s">
        <v>885</v>
      </c>
      <c r="B706" s="18" t="str">
        <f>VLOOKUP(A706,'[6]Fin vs NFin'!$A$4:$B$568,2,FALSE)</f>
        <v>!Oper. Bolsa-Doméstico</v>
      </c>
      <c r="C706" s="18" t="s">
        <v>891</v>
      </c>
      <c r="D706" s="18" t="s">
        <v>876</v>
      </c>
      <c r="E706" s="18" t="str">
        <f>VLOOKUP(D706,[6]Arvore!$N$8:$Q$6855,4,FALSE)</f>
        <v>51401</v>
      </c>
      <c r="F706" s="19">
        <v>-388.05</v>
      </c>
      <c r="G706" s="19">
        <v>547.14</v>
      </c>
      <c r="H706" s="20">
        <v>-935.19</v>
      </c>
      <c r="I706" s="114"/>
      <c r="J706" s="19"/>
      <c r="K706" s="21"/>
      <c r="L706" s="22"/>
      <c r="M706" s="23"/>
      <c r="O706" s="19" t="str">
        <f>VLOOKUP(QUERY_FOR_TRNSTRANSPOSED_0008!A706,'[6]Fin vs NFin'!$A$4:$F$568,6,FALSE)</f>
        <v>Não Financeiras</v>
      </c>
      <c r="P706" s="24" t="str">
        <f t="shared" si="13"/>
        <v>82</v>
      </c>
      <c r="Q706" s="24"/>
      <c r="R706" s="24"/>
      <c r="S706" s="24"/>
      <c r="T706" s="24"/>
    </row>
    <row r="707" spans="1:20">
      <c r="A707" s="18" t="s">
        <v>885</v>
      </c>
      <c r="B707" s="18" t="str">
        <f>VLOOKUP(A707,'[6]Fin vs NFin'!$A$4:$B$568,2,FALSE)</f>
        <v>!Oper. Bolsa-Doméstico</v>
      </c>
      <c r="C707" s="18" t="s">
        <v>892</v>
      </c>
      <c r="D707" s="18" t="s">
        <v>887</v>
      </c>
      <c r="E707" s="18" t="str">
        <f>VLOOKUP(D707,[6]Arvore!$N$8:$Q$6855,4,FALSE)</f>
        <v>41401</v>
      </c>
      <c r="F707" s="19" t="s">
        <v>84</v>
      </c>
      <c r="G707" s="19">
        <v>65800.240000000005</v>
      </c>
      <c r="H707" s="20">
        <v>-65800.240000000005</v>
      </c>
      <c r="I707" s="114"/>
      <c r="J707" s="19"/>
      <c r="K707" s="21"/>
      <c r="L707" s="22"/>
      <c r="M707" s="23"/>
      <c r="O707" s="19" t="str">
        <f>VLOOKUP(QUERY_FOR_TRNSTRANSPOSED_0008!A707,'[6]Fin vs NFin'!$A$4:$F$568,6,FALSE)</f>
        <v>Não Financeiras</v>
      </c>
      <c r="P707" s="24" t="str">
        <f t="shared" si="13"/>
        <v>71</v>
      </c>
      <c r="Q707" s="24"/>
      <c r="R707" s="24"/>
      <c r="S707" s="24"/>
      <c r="T707" s="24"/>
    </row>
    <row r="708" spans="1:20" ht="15" thickBot="1">
      <c r="A708" s="32" t="s">
        <v>885</v>
      </c>
      <c r="B708" s="32" t="str">
        <f>VLOOKUP(A708,'[6]Fin vs NFin'!$A$4:$B$568,2,FALSE)</f>
        <v>!Oper. Bolsa-Doméstico</v>
      </c>
      <c r="C708" s="32" t="s">
        <v>893</v>
      </c>
      <c r="D708" s="32" t="s">
        <v>876</v>
      </c>
      <c r="E708" s="32" t="str">
        <f>VLOOKUP(D708,[6]Arvore!$N$8:$Q$6855,4,FALSE)</f>
        <v>51401</v>
      </c>
      <c r="F708" s="33">
        <v>-36379.68</v>
      </c>
      <c r="G708" s="33">
        <v>-36379.68</v>
      </c>
      <c r="H708" s="34">
        <v>7.2759576141834308E-12</v>
      </c>
      <c r="I708" s="114"/>
      <c r="J708" s="19"/>
      <c r="K708" s="21"/>
      <c r="L708" s="22"/>
      <c r="M708" s="23"/>
      <c r="O708" s="19" t="str">
        <f>VLOOKUP(QUERY_FOR_TRNSTRANSPOSED_0008!A708,'[6]Fin vs NFin'!$A$4:$F$568,6,FALSE)</f>
        <v>Não Financeiras</v>
      </c>
      <c r="P708" s="24" t="str">
        <f t="shared" si="13"/>
        <v>82</v>
      </c>
      <c r="Q708" s="24"/>
      <c r="R708" s="24"/>
      <c r="S708" s="24"/>
      <c r="T708" s="24"/>
    </row>
    <row r="709" spans="1:20">
      <c r="A709" s="38" t="s">
        <v>894</v>
      </c>
      <c r="B709" s="38" t="str">
        <f>VLOOKUP(A709,'[6]Fin vs NFin'!$A$4:$B$568,2,FALSE)</f>
        <v>!Oper. Bolsa-Internacional</v>
      </c>
      <c r="C709" s="38" t="s">
        <v>895</v>
      </c>
      <c r="D709" s="38" t="s">
        <v>882</v>
      </c>
      <c r="E709" s="38" t="str">
        <f>VLOOKUP(D709,[6]Arvore!$N$8:$Q$6855,4,FALSE)</f>
        <v>51401</v>
      </c>
      <c r="F709" s="39">
        <v>343870.88</v>
      </c>
      <c r="G709" s="39">
        <v>305655.02784018801</v>
      </c>
      <c r="H709" s="40">
        <v>38215.852159811999</v>
      </c>
      <c r="I709" s="108">
        <v>-35.633911550044999</v>
      </c>
      <c r="J709" s="39"/>
      <c r="K709" s="21"/>
      <c r="L709" s="41"/>
      <c r="M709" s="42"/>
      <c r="O709" s="39" t="str">
        <f>VLOOKUP(QUERY_FOR_TRNSTRANSPOSED_0008!A709,'[6]Fin vs NFin'!$A$4:$F$568,6,FALSE)</f>
        <v>Não Financeiras</v>
      </c>
      <c r="P709" s="43" t="str">
        <f t="shared" si="13"/>
        <v>82</v>
      </c>
      <c r="Q709" s="43"/>
      <c r="R709" s="43"/>
      <c r="S709" s="43"/>
      <c r="T709" s="43"/>
    </row>
    <row r="710" spans="1:20">
      <c r="A710" s="18" t="s">
        <v>894</v>
      </c>
      <c r="B710" s="18" t="str">
        <f>VLOOKUP(A710,'[6]Fin vs NFin'!$A$4:$B$568,2,FALSE)</f>
        <v>!Oper. Bolsa-Internacional</v>
      </c>
      <c r="C710" s="18" t="s">
        <v>896</v>
      </c>
      <c r="D710" s="18" t="s">
        <v>882</v>
      </c>
      <c r="E710" s="18" t="str">
        <f>VLOOKUP(D710,[6]Arvore!$N$8:$Q$6855,4,FALSE)</f>
        <v>51401</v>
      </c>
      <c r="F710" s="19">
        <v>209412.3</v>
      </c>
      <c r="G710" s="19">
        <v>234318.80822075901</v>
      </c>
      <c r="H710" s="20">
        <v>-24906.508220758999</v>
      </c>
      <c r="I710" s="114"/>
      <c r="J710" s="19"/>
      <c r="K710" s="21"/>
      <c r="L710" s="22"/>
      <c r="M710" s="23"/>
      <c r="O710" s="19" t="str">
        <f>VLOOKUP(QUERY_FOR_TRNSTRANSPOSED_0008!A710,'[6]Fin vs NFin'!$A$4:$F$568,6,FALSE)</f>
        <v>Não Financeiras</v>
      </c>
      <c r="P710" s="24" t="str">
        <f t="shared" ref="P710:P773" si="14">LEFT(D710,2)</f>
        <v>82</v>
      </c>
      <c r="Q710" s="24"/>
      <c r="R710" s="24"/>
      <c r="S710" s="24"/>
      <c r="T710" s="24"/>
    </row>
    <row r="711" spans="1:20">
      <c r="A711" s="18" t="s">
        <v>894</v>
      </c>
      <c r="B711" s="18" t="str">
        <f>VLOOKUP(A711,'[6]Fin vs NFin'!$A$4:$B$568,2,FALSE)</f>
        <v>!Oper. Bolsa-Internacional</v>
      </c>
      <c r="C711" s="18" t="s">
        <v>897</v>
      </c>
      <c r="D711" s="18" t="s">
        <v>882</v>
      </c>
      <c r="E711" s="18" t="str">
        <f>VLOOKUP(D711,[6]Arvore!$N$8:$Q$6855,4,FALSE)</f>
        <v>51401</v>
      </c>
      <c r="F711" s="19">
        <v>406063.37</v>
      </c>
      <c r="G711" s="19">
        <v>289824.37337357202</v>
      </c>
      <c r="H711" s="20">
        <v>116238.99662642799</v>
      </c>
      <c r="I711" s="114"/>
      <c r="J711" s="19"/>
      <c r="K711" s="21"/>
      <c r="L711" s="22"/>
      <c r="M711" s="23"/>
      <c r="O711" s="19" t="str">
        <f>VLOOKUP(QUERY_FOR_TRNSTRANSPOSED_0008!A711,'[6]Fin vs NFin'!$A$4:$F$568,6,FALSE)</f>
        <v>Não Financeiras</v>
      </c>
      <c r="P711" s="24" t="str">
        <f t="shared" si="14"/>
        <v>82</v>
      </c>
      <c r="Q711" s="24"/>
      <c r="R711" s="24"/>
      <c r="S711" s="24"/>
      <c r="T711" s="24"/>
    </row>
    <row r="712" spans="1:20">
      <c r="A712" s="18" t="s">
        <v>894</v>
      </c>
      <c r="B712" s="18" t="str">
        <f>VLOOKUP(A712,'[6]Fin vs NFin'!$A$4:$B$568,2,FALSE)</f>
        <v>!Oper. Bolsa-Internacional</v>
      </c>
      <c r="C712" s="18" t="s">
        <v>898</v>
      </c>
      <c r="D712" s="18" t="s">
        <v>882</v>
      </c>
      <c r="E712" s="18" t="str">
        <f>VLOOKUP(D712,[6]Arvore!$N$8:$Q$6855,4,FALSE)</f>
        <v>51401</v>
      </c>
      <c r="F712" s="19">
        <v>95258.66</v>
      </c>
      <c r="G712" s="19">
        <v>224836.27488305399</v>
      </c>
      <c r="H712" s="20">
        <v>-129577.614883054</v>
      </c>
      <c r="I712" s="114"/>
      <c r="J712" s="19"/>
      <c r="K712" s="21"/>
      <c r="L712" s="22"/>
      <c r="M712" s="23"/>
      <c r="O712" s="19" t="str">
        <f>VLOOKUP(QUERY_FOR_TRNSTRANSPOSED_0008!A712,'[6]Fin vs NFin'!$A$4:$F$568,6,FALSE)</f>
        <v>Não Financeiras</v>
      </c>
      <c r="P712" s="24" t="str">
        <f t="shared" si="14"/>
        <v>82</v>
      </c>
      <c r="Q712" s="24"/>
      <c r="R712" s="24"/>
      <c r="S712" s="24"/>
      <c r="T712" s="24"/>
    </row>
    <row r="713" spans="1:20">
      <c r="A713" s="18" t="s">
        <v>894</v>
      </c>
      <c r="B713" s="18" t="str">
        <f>VLOOKUP(A713,'[6]Fin vs NFin'!$A$4:$B$568,2,FALSE)</f>
        <v>!Oper. Bolsa-Internacional</v>
      </c>
      <c r="C713" s="18" t="s">
        <v>899</v>
      </c>
      <c r="D713" s="18" t="s">
        <v>882</v>
      </c>
      <c r="E713" s="18" t="str">
        <f>VLOOKUP(D713,[6]Arvore!$N$8:$Q$6855,4,FALSE)</f>
        <v>51401</v>
      </c>
      <c r="F713" s="19">
        <v>218357.78</v>
      </c>
      <c r="G713" s="19">
        <v>272526.46178564097</v>
      </c>
      <c r="H713" s="20">
        <v>-54168.681785640998</v>
      </c>
      <c r="I713" s="114"/>
      <c r="J713" s="19"/>
      <c r="K713" s="21"/>
      <c r="L713" s="22"/>
      <c r="M713" s="23"/>
      <c r="O713" s="19" t="str">
        <f>VLOOKUP(QUERY_FOR_TRNSTRANSPOSED_0008!A713,'[6]Fin vs NFin'!$A$4:$F$568,6,FALSE)</f>
        <v>Não Financeiras</v>
      </c>
      <c r="P713" s="24" t="str">
        <f t="shared" si="14"/>
        <v>82</v>
      </c>
      <c r="Q713" s="24"/>
      <c r="R713" s="24"/>
      <c r="S713" s="24"/>
      <c r="T713" s="24"/>
    </row>
    <row r="714" spans="1:20">
      <c r="A714" s="18" t="s">
        <v>894</v>
      </c>
      <c r="B714" s="18" t="str">
        <f>VLOOKUP(A714,'[6]Fin vs NFin'!$A$4:$B$568,2,FALSE)</f>
        <v>!Oper. Bolsa-Internacional</v>
      </c>
      <c r="C714" s="18" t="s">
        <v>900</v>
      </c>
      <c r="D714" s="18" t="s">
        <v>882</v>
      </c>
      <c r="E714" s="18" t="str">
        <f>VLOOKUP(D714,[6]Arvore!$N$8:$Q$6855,4,FALSE)</f>
        <v>51401</v>
      </c>
      <c r="F714" s="19">
        <v>142634.07999999999</v>
      </c>
      <c r="G714" s="19">
        <v>220126.40780833599</v>
      </c>
      <c r="H714" s="20">
        <v>-77492.327808336006</v>
      </c>
      <c r="I714" s="114"/>
      <c r="J714" s="19"/>
      <c r="K714" s="21"/>
      <c r="L714" s="22"/>
      <c r="M714" s="23"/>
      <c r="O714" s="19" t="str">
        <f>VLOOKUP(QUERY_FOR_TRNSTRANSPOSED_0008!A714,'[6]Fin vs NFin'!$A$4:$F$568,6,FALSE)</f>
        <v>Não Financeiras</v>
      </c>
      <c r="P714" s="24" t="str">
        <f t="shared" si="14"/>
        <v>82</v>
      </c>
      <c r="Q714" s="24"/>
      <c r="R714" s="24"/>
      <c r="S714" s="24"/>
      <c r="T714" s="24"/>
    </row>
    <row r="715" spans="1:20">
      <c r="A715" s="18" t="s">
        <v>894</v>
      </c>
      <c r="B715" s="18" t="str">
        <f>VLOOKUP(A715,'[6]Fin vs NFin'!$A$4:$B$568,2,FALSE)</f>
        <v>!Oper. Bolsa-Internacional</v>
      </c>
      <c r="C715" s="18" t="s">
        <v>901</v>
      </c>
      <c r="D715" s="18" t="s">
        <v>882</v>
      </c>
      <c r="E715" s="18" t="str">
        <f>VLOOKUP(D715,[6]Arvore!$N$8:$Q$6855,4,FALSE)</f>
        <v>51401</v>
      </c>
      <c r="F715" s="19">
        <v>161875.65</v>
      </c>
      <c r="G715" s="19">
        <v>30221</v>
      </c>
      <c r="H715" s="20">
        <v>131654.65</v>
      </c>
      <c r="I715" s="114"/>
      <c r="J715" s="19"/>
      <c r="K715" s="21"/>
      <c r="L715" s="22"/>
      <c r="M715" s="23"/>
      <c r="O715" s="19" t="str">
        <f>VLOOKUP(QUERY_FOR_TRNSTRANSPOSED_0008!A715,'[6]Fin vs NFin'!$A$4:$F$568,6,FALSE)</f>
        <v>Não Financeiras</v>
      </c>
      <c r="P715" s="24" t="str">
        <f t="shared" si="14"/>
        <v>82</v>
      </c>
      <c r="Q715" s="24"/>
      <c r="R715" s="24"/>
      <c r="S715" s="24"/>
      <c r="T715" s="24"/>
    </row>
    <row r="716" spans="1:20">
      <c r="A716" s="18" t="s">
        <v>902</v>
      </c>
      <c r="B716" s="18" t="str">
        <f>VLOOKUP(A716,'[6]Fin vs NFin'!$A$4:$B$568,2,FALSE)</f>
        <v>!Notas Estruturadas Ufront</v>
      </c>
      <c r="C716" s="18" t="s">
        <v>903</v>
      </c>
      <c r="D716" s="18" t="s">
        <v>904</v>
      </c>
      <c r="E716" s="18" t="str">
        <f>VLOOKUP(D716,[6]Arvore!$N$8:$Q$6855,4,FALSE)</f>
        <v>51400</v>
      </c>
      <c r="F716" s="19">
        <v>1756045.83</v>
      </c>
      <c r="G716" s="19">
        <v>1482800</v>
      </c>
      <c r="H716" s="20">
        <v>273245.83</v>
      </c>
      <c r="I716" s="114"/>
      <c r="J716" s="19"/>
      <c r="K716" s="21"/>
      <c r="L716" s="22"/>
      <c r="M716" s="23"/>
      <c r="O716" s="19" t="str">
        <f>VLOOKUP(QUERY_FOR_TRNSTRANSPOSED_0008!A716,'[6]Fin vs NFin'!$A$4:$F$568,6,FALSE)</f>
        <v>Não Financeiras</v>
      </c>
      <c r="P716" s="24" t="str">
        <f t="shared" si="14"/>
        <v>82</v>
      </c>
      <c r="Q716" s="24"/>
      <c r="R716" s="24"/>
      <c r="S716" s="24"/>
      <c r="T716" s="24"/>
    </row>
    <row r="717" spans="1:20" ht="15" thickBot="1">
      <c r="A717" s="11" t="s">
        <v>902</v>
      </c>
      <c r="B717" s="11" t="str">
        <f>VLOOKUP(A717,'[6]Fin vs NFin'!$A$4:$B$568,2,FALSE)</f>
        <v>!Notas Estruturadas Ufront</v>
      </c>
      <c r="C717" s="11" t="s">
        <v>905</v>
      </c>
      <c r="D717" s="11" t="s">
        <v>904</v>
      </c>
      <c r="E717" s="11" t="str">
        <f>VLOOKUP(D717,[6]Arvore!$N$8:$Q$6855,4,FALSE)</f>
        <v>51400</v>
      </c>
      <c r="F717" s="12" t="s">
        <v>84</v>
      </c>
      <c r="G717" s="12">
        <v>273245.83</v>
      </c>
      <c r="H717" s="13">
        <v>-273245.83</v>
      </c>
      <c r="I717" s="109"/>
      <c r="J717" s="12"/>
      <c r="K717" s="21"/>
      <c r="L717" s="15"/>
      <c r="M717" s="16"/>
      <c r="O717" s="12" t="str">
        <f>VLOOKUP(QUERY_FOR_TRNSTRANSPOSED_0008!A717,'[6]Fin vs NFin'!$A$4:$F$568,6,FALSE)</f>
        <v>Não Financeiras</v>
      </c>
      <c r="P717" s="17" t="str">
        <f t="shared" si="14"/>
        <v>82</v>
      </c>
      <c r="Q717" s="17"/>
      <c r="R717" s="17"/>
      <c r="S717" s="17"/>
      <c r="T717" s="17"/>
    </row>
    <row r="718" spans="1:20">
      <c r="A718" s="32" t="s">
        <v>906</v>
      </c>
      <c r="B718" s="32" t="str">
        <f>VLOOKUP(A718,'[6]Fin vs NFin'!$A$4:$B$568,2,FALSE)</f>
        <v>!PPC Agente Cash</v>
      </c>
      <c r="C718" s="32" t="s">
        <v>907</v>
      </c>
      <c r="D718" s="32" t="s">
        <v>908</v>
      </c>
      <c r="E718" s="32" t="str">
        <f>VLOOKUP(D718,[6]Arvore!$N$8:$Q$6855,4,FALSE)</f>
        <v>51400</v>
      </c>
      <c r="F718" s="33">
        <v>138751.93</v>
      </c>
      <c r="G718" s="33">
        <v>138751.93</v>
      </c>
      <c r="H718" s="34">
        <v>0</v>
      </c>
      <c r="I718" s="116">
        <f>SUM(H718:H720)</f>
        <v>1717970.8800000001</v>
      </c>
      <c r="J718" s="110">
        <f>I718+I721</f>
        <v>-4.4983286999631673</v>
      </c>
      <c r="K718" s="21"/>
      <c r="L718" s="22"/>
      <c r="M718" s="23"/>
      <c r="O718" s="19" t="str">
        <f>VLOOKUP(QUERY_FOR_TRNSTRANSPOSED_0008!A718,'[6]Fin vs NFin'!$A$4:$F$568,6,FALSE)</f>
        <v>Não Financeiras</v>
      </c>
      <c r="P718" s="24" t="str">
        <f t="shared" si="14"/>
        <v>82</v>
      </c>
      <c r="Q718" s="24"/>
      <c r="R718" s="24"/>
      <c r="S718" s="24"/>
      <c r="T718" s="24"/>
    </row>
    <row r="719" spans="1:20">
      <c r="A719" s="18" t="s">
        <v>906</v>
      </c>
      <c r="B719" s="18" t="str">
        <f>VLOOKUP(A719,'[6]Fin vs NFin'!$A$4:$B$568,2,FALSE)</f>
        <v>!PPC Agente Cash</v>
      </c>
      <c r="C719" s="18" t="s">
        <v>909</v>
      </c>
      <c r="D719" s="18" t="s">
        <v>910</v>
      </c>
      <c r="E719" s="18" t="str">
        <f>VLOOKUP(D719,[6]Arvore!$N$8:$Q$6855,4,FALSE)</f>
        <v/>
      </c>
      <c r="F719" s="19">
        <v>635331.51</v>
      </c>
      <c r="G719" s="19">
        <v>0</v>
      </c>
      <c r="H719" s="20">
        <v>635331.51</v>
      </c>
      <c r="I719" s="116"/>
      <c r="J719" s="117"/>
      <c r="K719" s="21"/>
      <c r="L719" s="22"/>
      <c r="M719" s="23"/>
      <c r="O719" s="19" t="str">
        <f>VLOOKUP(QUERY_FOR_TRNSTRANSPOSED_0008!A719,'[6]Fin vs NFin'!$A$4:$F$568,6,FALSE)</f>
        <v>Não Financeiras</v>
      </c>
      <c r="P719" s="24" t="str">
        <f t="shared" si="14"/>
        <v>58</v>
      </c>
      <c r="Q719" s="24"/>
      <c r="R719" s="24"/>
      <c r="S719" s="24"/>
      <c r="T719" s="24"/>
    </row>
    <row r="720" spans="1:20" ht="15" thickBot="1">
      <c r="A720" s="18" t="s">
        <v>906</v>
      </c>
      <c r="B720" s="18" t="str">
        <f>VLOOKUP(A720,'[6]Fin vs NFin'!$A$4:$B$568,2,FALSE)</f>
        <v>!PPC Agente Cash</v>
      </c>
      <c r="C720" s="18" t="s">
        <v>909</v>
      </c>
      <c r="D720" s="18" t="s">
        <v>911</v>
      </c>
      <c r="E720" s="18" t="str">
        <f>VLOOKUP(D720,[6]Arvore!$N$8:$Q$6855,4,FALSE)</f>
        <v>2999</v>
      </c>
      <c r="F720" s="19">
        <v>1082639.3700000001</v>
      </c>
      <c r="G720" s="19">
        <v>0</v>
      </c>
      <c r="H720" s="20">
        <v>1082639.3700000001</v>
      </c>
      <c r="I720" s="116"/>
      <c r="J720" s="111"/>
      <c r="K720" s="21"/>
      <c r="L720" s="22"/>
      <c r="M720" s="23"/>
      <c r="O720" s="19" t="str">
        <f>VLOOKUP(QUERY_FOR_TRNSTRANSPOSED_0008!A720,'[6]Fin vs NFin'!$A$4:$F$568,6,FALSE)</f>
        <v>Não Financeiras</v>
      </c>
      <c r="P720" s="24" t="str">
        <f t="shared" si="14"/>
        <v>58</v>
      </c>
      <c r="Q720" s="24"/>
      <c r="R720" s="24"/>
      <c r="S720" s="24"/>
      <c r="T720" s="24"/>
    </row>
    <row r="721" spans="1:20" ht="15" thickBot="1">
      <c r="A721" s="25" t="s">
        <v>912</v>
      </c>
      <c r="B721" s="25" t="str">
        <f>VLOOKUP(A721,'[6]Fin vs NFin'!$A$4:$B$568,2,FALSE)</f>
        <v>!PPC Agente Periodif.</v>
      </c>
      <c r="C721" s="25" t="s">
        <v>913</v>
      </c>
      <c r="D721" s="25" t="s">
        <v>908</v>
      </c>
      <c r="E721" s="25" t="str">
        <f>VLOOKUP(D721,[6]Arvore!$N$8:$Q$6855,4,FALSE)</f>
        <v>51400</v>
      </c>
      <c r="F721" s="26">
        <v>-143481.14000000001</v>
      </c>
      <c r="G721" s="26">
        <v>1574494.2383287</v>
      </c>
      <c r="H721" s="27">
        <v>-1717975.3783287001</v>
      </c>
      <c r="I721" s="71">
        <f>H721</f>
        <v>-1717975.3783287001</v>
      </c>
      <c r="J721" s="72">
        <f>I718+I721</f>
        <v>-4.4983286999631673</v>
      </c>
      <c r="K721" s="21"/>
      <c r="L721" s="29"/>
      <c r="M721" s="30"/>
      <c r="O721" s="26" t="str">
        <f>VLOOKUP(QUERY_FOR_TRNSTRANSPOSED_0008!A721,'[6]Fin vs NFin'!$A$4:$F$568,6,FALSE)</f>
        <v>Não Financeiras</v>
      </c>
      <c r="P721" s="31" t="str">
        <f t="shared" si="14"/>
        <v>82</v>
      </c>
      <c r="Q721" s="31"/>
      <c r="R721" s="31"/>
      <c r="S721" s="31"/>
      <c r="T721" s="31"/>
    </row>
    <row r="722" spans="1:20">
      <c r="A722" s="32" t="s">
        <v>914</v>
      </c>
      <c r="B722" s="32" t="str">
        <f>VLOOKUP(A722,'[6]Fin vs NFin'!$A$4:$B$568,2,FALSE)</f>
        <v>!PPC Organização Cash</v>
      </c>
      <c r="C722" s="32" t="s">
        <v>915</v>
      </c>
      <c r="D722" s="32" t="s">
        <v>916</v>
      </c>
      <c r="E722" s="32" t="str">
        <f>VLOOKUP(D722,[6]Arvore!$N$8:$Q$6855,4,FALSE)</f>
        <v>51400</v>
      </c>
      <c r="F722" s="33">
        <v>210750</v>
      </c>
      <c r="G722" s="33">
        <v>210750</v>
      </c>
      <c r="H722" s="34">
        <v>0</v>
      </c>
      <c r="I722" s="115">
        <v>17150</v>
      </c>
      <c r="J722" s="110">
        <f>I722+I726</f>
        <v>0</v>
      </c>
      <c r="K722" s="21"/>
      <c r="L722" s="22"/>
      <c r="M722" s="23"/>
      <c r="O722" s="19" t="str">
        <f>VLOOKUP(QUERY_FOR_TRNSTRANSPOSED_0008!A722,'[6]Fin vs NFin'!$A$4:$F$568,6,FALSE)</f>
        <v>Não Financeiras</v>
      </c>
      <c r="P722" s="24" t="str">
        <f t="shared" si="14"/>
        <v>82</v>
      </c>
      <c r="Q722" s="24"/>
      <c r="R722" s="24"/>
      <c r="S722" s="24"/>
      <c r="T722" s="24"/>
    </row>
    <row r="723" spans="1:20">
      <c r="A723" s="18" t="s">
        <v>914</v>
      </c>
      <c r="B723" s="18" t="str">
        <f>VLOOKUP(A723,'[6]Fin vs NFin'!$A$4:$B$568,2,FALSE)</f>
        <v>!PPC Organização Cash</v>
      </c>
      <c r="C723" s="18" t="s">
        <v>917</v>
      </c>
      <c r="D723" s="18" t="s">
        <v>910</v>
      </c>
      <c r="E723" s="18" t="str">
        <f>VLOOKUP(D723,[6]Arvore!$N$8:$Q$6855,4,FALSE)</f>
        <v/>
      </c>
      <c r="F723" s="19">
        <v>-4500</v>
      </c>
      <c r="G723" s="19">
        <v>0</v>
      </c>
      <c r="H723" s="20">
        <v>-4500</v>
      </c>
      <c r="I723" s="116"/>
      <c r="J723" s="117"/>
      <c r="K723" s="21"/>
      <c r="L723" s="22"/>
      <c r="M723" s="23"/>
      <c r="O723" s="19" t="str">
        <f>VLOOKUP(QUERY_FOR_TRNSTRANSPOSED_0008!A723,'[6]Fin vs NFin'!$A$4:$F$568,6,FALSE)</f>
        <v>Não Financeiras</v>
      </c>
      <c r="P723" s="24" t="str">
        <f t="shared" si="14"/>
        <v>58</v>
      </c>
      <c r="Q723" s="24"/>
      <c r="R723" s="24"/>
      <c r="S723" s="24"/>
      <c r="T723" s="24"/>
    </row>
    <row r="724" spans="1:20">
      <c r="A724" s="18" t="s">
        <v>914</v>
      </c>
      <c r="B724" s="18" t="str">
        <f>VLOOKUP(A724,'[6]Fin vs NFin'!$A$4:$B$568,2,FALSE)</f>
        <v>!PPC Organização Cash</v>
      </c>
      <c r="C724" s="18" t="s">
        <v>917</v>
      </c>
      <c r="D724" s="18" t="s">
        <v>911</v>
      </c>
      <c r="E724" s="18" t="str">
        <f>VLOOKUP(D724,[6]Arvore!$N$8:$Q$6855,4,FALSE)</f>
        <v>2999</v>
      </c>
      <c r="F724" s="19">
        <v>21650</v>
      </c>
      <c r="G724" s="19">
        <v>0</v>
      </c>
      <c r="H724" s="20">
        <v>21650</v>
      </c>
      <c r="I724" s="116"/>
      <c r="J724" s="117"/>
      <c r="K724" s="21"/>
      <c r="L724" s="22"/>
      <c r="M724" s="23"/>
      <c r="O724" s="19" t="str">
        <f>VLOOKUP(QUERY_FOR_TRNSTRANSPOSED_0008!A724,'[6]Fin vs NFin'!$A$4:$F$568,6,FALSE)</f>
        <v>Não Financeiras</v>
      </c>
      <c r="P724" s="24" t="str">
        <f t="shared" si="14"/>
        <v>58</v>
      </c>
      <c r="Q724" s="24"/>
      <c r="R724" s="24"/>
      <c r="S724" s="24"/>
      <c r="T724" s="24"/>
    </row>
    <row r="725" spans="1:20" ht="15" thickBot="1">
      <c r="A725" s="32" t="s">
        <v>914</v>
      </c>
      <c r="B725" s="32" t="str">
        <f>VLOOKUP(A725,'[6]Fin vs NFin'!$A$4:$B$568,2,FALSE)</f>
        <v>!PPC Organização Cash</v>
      </c>
      <c r="C725" s="32" t="s">
        <v>67</v>
      </c>
      <c r="D725" s="32" t="s">
        <v>916</v>
      </c>
      <c r="E725" s="32" t="str">
        <f>VLOOKUP(D725,[6]Arvore!$N$8:$Q$6855,4,FALSE)</f>
        <v>51400</v>
      </c>
      <c r="F725" s="33">
        <v>178990.63</v>
      </c>
      <c r="G725" s="33">
        <v>178990.63</v>
      </c>
      <c r="H725" s="34">
        <v>2.91038304567337E-11</v>
      </c>
      <c r="I725" s="118"/>
      <c r="J725" s="111"/>
      <c r="K725" s="21"/>
      <c r="L725" s="22"/>
      <c r="M725" s="23"/>
      <c r="O725" s="19" t="str">
        <f>VLOOKUP(QUERY_FOR_TRNSTRANSPOSED_0008!A725,'[6]Fin vs NFin'!$A$4:$F$568,6,FALSE)</f>
        <v>Não Financeiras</v>
      </c>
      <c r="P725" s="24" t="str">
        <f t="shared" si="14"/>
        <v>82</v>
      </c>
      <c r="Q725" s="24"/>
      <c r="R725" s="24"/>
      <c r="S725" s="24"/>
      <c r="T725" s="24"/>
    </row>
    <row r="726" spans="1:20" ht="15" thickBot="1">
      <c r="A726" s="25" t="s">
        <v>918</v>
      </c>
      <c r="B726" s="25" t="str">
        <f>VLOOKUP(A726,'[6]Fin vs NFin'!$A$4:$B$568,2,FALSE)</f>
        <v>!PPC Organização Periodif.</v>
      </c>
      <c r="C726" s="25" t="s">
        <v>919</v>
      </c>
      <c r="D726" s="25" t="s">
        <v>916</v>
      </c>
      <c r="E726" s="25" t="str">
        <f>VLOOKUP(D726,[6]Arvore!$N$8:$Q$6855,4,FALSE)</f>
        <v>51400</v>
      </c>
      <c r="F726" s="26">
        <v>-13119.31</v>
      </c>
      <c r="G726" s="26">
        <v>4030.69</v>
      </c>
      <c r="H726" s="27">
        <v>-17150</v>
      </c>
      <c r="I726" s="73">
        <f>H726</f>
        <v>-17150</v>
      </c>
      <c r="J726" s="72">
        <f>I722+I726</f>
        <v>0</v>
      </c>
      <c r="K726" s="21"/>
      <c r="L726" s="29"/>
      <c r="M726" s="30"/>
      <c r="O726" s="26" t="str">
        <f>VLOOKUP(QUERY_FOR_TRNSTRANSPOSED_0008!A726,'[6]Fin vs NFin'!$A$4:$F$568,6,FALSE)</f>
        <v>Não Financeiras</v>
      </c>
      <c r="P726" s="31" t="str">
        <f t="shared" si="14"/>
        <v>82</v>
      </c>
      <c r="Q726" s="31"/>
      <c r="R726" s="31"/>
      <c r="S726" s="31"/>
      <c r="T726" s="31"/>
    </row>
    <row r="727" spans="1:20">
      <c r="A727" s="32" t="s">
        <v>920</v>
      </c>
      <c r="B727" s="32" t="str">
        <f>VLOOKUP(A727,'[6]Fin vs NFin'!$A$4:$B$568,2,FALSE)</f>
        <v>!PPC Subscrição Cash</v>
      </c>
      <c r="C727" s="32" t="s">
        <v>153</v>
      </c>
      <c r="D727" s="32" t="s">
        <v>921</v>
      </c>
      <c r="E727" s="32" t="str">
        <f>VLOOKUP(D727,[6]Arvore!$N$8:$Q$6855,4,FALSE)</f>
        <v>51400</v>
      </c>
      <c r="F727" s="33">
        <v>437500</v>
      </c>
      <c r="G727" s="33">
        <v>437500</v>
      </c>
      <c r="H727" s="34">
        <v>0</v>
      </c>
      <c r="I727" s="115">
        <v>7740056</v>
      </c>
      <c r="J727" s="110">
        <f>I727+I732</f>
        <v>97334.161447269842</v>
      </c>
      <c r="K727" s="21"/>
      <c r="L727" s="74"/>
      <c r="M727" s="23"/>
      <c r="O727" s="19" t="str">
        <f>VLOOKUP(QUERY_FOR_TRNSTRANSPOSED_0008!A727,'[6]Fin vs NFin'!$A$4:$F$568,6,FALSE)</f>
        <v>Não Financeiras</v>
      </c>
      <c r="P727" s="24" t="str">
        <f t="shared" si="14"/>
        <v>82</v>
      </c>
      <c r="Q727" s="24"/>
      <c r="R727" s="24"/>
      <c r="S727" s="24"/>
      <c r="T727" s="24"/>
    </row>
    <row r="728" spans="1:20">
      <c r="A728" s="32" t="s">
        <v>920</v>
      </c>
      <c r="B728" s="32" t="str">
        <f>VLOOKUP(A728,'[6]Fin vs NFin'!$A$4:$B$568,2,FALSE)</f>
        <v>!PPC Subscrição Cash</v>
      </c>
      <c r="C728" s="32" t="s">
        <v>922</v>
      </c>
      <c r="D728" s="32" t="s">
        <v>921</v>
      </c>
      <c r="E728" s="32" t="str">
        <f>VLOOKUP(D728,[6]Arvore!$N$8:$Q$6855,4,FALSE)</f>
        <v>51400</v>
      </c>
      <c r="F728" s="33">
        <v>200844.11</v>
      </c>
      <c r="G728" s="33">
        <v>200844.11</v>
      </c>
      <c r="H728" s="34">
        <v>2.91038304567337E-11</v>
      </c>
      <c r="I728" s="116"/>
      <c r="J728" s="117"/>
      <c r="K728" s="21"/>
      <c r="L728" s="22"/>
      <c r="M728" s="23"/>
      <c r="O728" s="19" t="str">
        <f>VLOOKUP(QUERY_FOR_TRNSTRANSPOSED_0008!A728,'[6]Fin vs NFin'!$A$4:$F$568,6,FALSE)</f>
        <v>Não Financeiras</v>
      </c>
      <c r="P728" s="24" t="str">
        <f t="shared" si="14"/>
        <v>82</v>
      </c>
      <c r="Q728" s="24"/>
      <c r="R728" s="24"/>
      <c r="S728" s="24"/>
      <c r="T728" s="24"/>
    </row>
    <row r="729" spans="1:20">
      <c r="A729" s="18" t="s">
        <v>920</v>
      </c>
      <c r="B729" s="18" t="str">
        <f>VLOOKUP(A729,'[6]Fin vs NFin'!$A$4:$B$568,2,FALSE)</f>
        <v>!PPC Subscrição Cash</v>
      </c>
      <c r="C729" s="18" t="s">
        <v>923</v>
      </c>
      <c r="D729" s="18" t="s">
        <v>910</v>
      </c>
      <c r="E729" s="18" t="str">
        <f>VLOOKUP(D729,[6]Arvore!$N$8:$Q$6855,4,FALSE)</f>
        <v/>
      </c>
      <c r="F729" s="19">
        <v>2337744.35</v>
      </c>
      <c r="G729" s="19">
        <v>0</v>
      </c>
      <c r="H729" s="20">
        <v>2337744.35</v>
      </c>
      <c r="I729" s="116"/>
      <c r="J729" s="117"/>
      <c r="K729" s="21"/>
      <c r="L729" s="74" t="s">
        <v>924</v>
      </c>
      <c r="M729" s="23">
        <v>71986.11</v>
      </c>
      <c r="O729" s="19" t="str">
        <f>VLOOKUP(QUERY_FOR_TRNSTRANSPOSED_0008!A729,'[6]Fin vs NFin'!$A$4:$F$568,6,FALSE)</f>
        <v>Não Financeiras</v>
      </c>
      <c r="P729" s="24" t="str">
        <f t="shared" si="14"/>
        <v>58</v>
      </c>
      <c r="Q729" s="24"/>
      <c r="R729" s="24"/>
      <c r="S729" s="24"/>
      <c r="T729" s="24"/>
    </row>
    <row r="730" spans="1:20">
      <c r="A730" s="18" t="s">
        <v>920</v>
      </c>
      <c r="B730" s="18" t="str">
        <f>VLOOKUP(A730,'[6]Fin vs NFin'!$A$4:$B$568,2,FALSE)</f>
        <v>!PPC Subscrição Cash</v>
      </c>
      <c r="C730" s="18" t="s">
        <v>923</v>
      </c>
      <c r="D730" s="18" t="s">
        <v>911</v>
      </c>
      <c r="E730" s="18" t="str">
        <f>VLOOKUP(D730,[6]Arvore!$N$8:$Q$6855,4,FALSE)</f>
        <v>2999</v>
      </c>
      <c r="F730" s="19">
        <v>5402311.6500000004</v>
      </c>
      <c r="G730" s="19">
        <v>0</v>
      </c>
      <c r="H730" s="20">
        <v>5402311.6500000004</v>
      </c>
      <c r="I730" s="116"/>
      <c r="J730" s="117"/>
      <c r="K730" s="21"/>
      <c r="L730" s="22"/>
      <c r="M730" s="23"/>
      <c r="O730" s="19" t="str">
        <f>VLOOKUP(QUERY_FOR_TRNSTRANSPOSED_0008!A730,'[6]Fin vs NFin'!$A$4:$F$568,6,FALSE)</f>
        <v>Não Financeiras</v>
      </c>
      <c r="P730" s="24" t="str">
        <f t="shared" si="14"/>
        <v>58</v>
      </c>
      <c r="Q730" s="24"/>
      <c r="R730" s="24"/>
      <c r="S730" s="24"/>
      <c r="T730" s="24"/>
    </row>
    <row r="731" spans="1:20" ht="15" thickBot="1">
      <c r="A731" s="32" t="s">
        <v>920</v>
      </c>
      <c r="B731" s="32" t="str">
        <f>VLOOKUP(A731,'[6]Fin vs NFin'!$A$4:$B$568,2,FALSE)</f>
        <v>!PPC Subscrição Cash</v>
      </c>
      <c r="C731" s="32" t="s">
        <v>67</v>
      </c>
      <c r="D731" s="32" t="s">
        <v>921</v>
      </c>
      <c r="E731" s="32" t="str">
        <f>VLOOKUP(D731,[6]Arvore!$N$8:$Q$6855,4,FALSE)</f>
        <v>51400</v>
      </c>
      <c r="F731" s="33">
        <v>71986.11</v>
      </c>
      <c r="G731" s="33">
        <v>71986.11</v>
      </c>
      <c r="H731" s="34">
        <v>0</v>
      </c>
      <c r="I731" s="116"/>
      <c r="J731" s="111"/>
      <c r="K731" s="21"/>
      <c r="L731" s="22"/>
      <c r="M731" s="23"/>
      <c r="O731" s="19" t="str">
        <f>VLOOKUP(QUERY_FOR_TRNSTRANSPOSED_0008!A731,'[6]Fin vs NFin'!$A$4:$F$568,6,FALSE)</f>
        <v>Não Financeiras</v>
      </c>
      <c r="P731" s="24" t="str">
        <f t="shared" si="14"/>
        <v>82</v>
      </c>
      <c r="Q731" s="24"/>
      <c r="R731" s="24"/>
      <c r="S731" s="24"/>
      <c r="T731" s="24"/>
    </row>
    <row r="732" spans="1:20" ht="15" thickBot="1">
      <c r="A732" s="38" t="s">
        <v>925</v>
      </c>
      <c r="B732" s="38" t="str">
        <f>VLOOKUP(A732,'[6]Fin vs NFin'!$A$4:$B$568,2,FALSE)</f>
        <v>!PPC Subscrição Periodif.</v>
      </c>
      <c r="C732" s="38" t="s">
        <v>926</v>
      </c>
      <c r="D732" s="38" t="s">
        <v>921</v>
      </c>
      <c r="E732" s="38" t="str">
        <f>VLOOKUP(D732,[6]Arvore!$N$8:$Q$6855,4,FALSE)</f>
        <v>51400</v>
      </c>
      <c r="F732" s="39">
        <v>-467389.81</v>
      </c>
      <c r="G732" s="39">
        <v>7175332.0285527296</v>
      </c>
      <c r="H732" s="40">
        <v>-7642721.8385527302</v>
      </c>
      <c r="I732" s="57">
        <v>-7642721.8385527302</v>
      </c>
      <c r="J732" s="75">
        <f>I727+I732</f>
        <v>97334.161447269842</v>
      </c>
      <c r="K732" s="21"/>
      <c r="L732" s="76" t="s">
        <v>924</v>
      </c>
      <c r="M732" s="42">
        <v>25352.66</v>
      </c>
      <c r="O732" s="39" t="str">
        <f>VLOOKUP(QUERY_FOR_TRNSTRANSPOSED_0008!A732,'[6]Fin vs NFin'!$A$4:$F$568,6,FALSE)</f>
        <v>Não Financeiras</v>
      </c>
      <c r="P732" s="43" t="str">
        <f t="shared" si="14"/>
        <v>82</v>
      </c>
      <c r="Q732" s="43"/>
      <c r="R732" s="43"/>
      <c r="S732" s="43"/>
      <c r="T732" s="43"/>
    </row>
    <row r="733" spans="1:20">
      <c r="A733" s="38" t="s">
        <v>927</v>
      </c>
      <c r="B733" s="38" t="str">
        <f>VLOOKUP(A733,'[6]Fin vs NFin'!$A$4:$B$568,2,FALSE)</f>
        <v>!Papel Comer.-Imobilização</v>
      </c>
      <c r="C733" s="38" t="s">
        <v>153</v>
      </c>
      <c r="D733" s="38" t="s">
        <v>928</v>
      </c>
      <c r="E733" s="38" t="str">
        <f>VLOOKUP(D733,[6]Arvore!$N$8:$Q$6855,4,FALSE)</f>
        <v>512018</v>
      </c>
      <c r="F733" s="39">
        <v>501.05</v>
      </c>
      <c r="G733" s="39">
        <v>501.05972236957598</v>
      </c>
      <c r="H733" s="40">
        <v>-9.7223695759680595E-3</v>
      </c>
      <c r="I733" s="108">
        <v>-9.7223695468642308E-3</v>
      </c>
      <c r="J733" s="39"/>
      <c r="K733" s="21"/>
      <c r="L733" s="41"/>
      <c r="M733" s="42"/>
      <c r="O733" s="39" t="str">
        <f>VLOOKUP(QUERY_FOR_TRNSTRANSPOSED_0008!A733,'[6]Fin vs NFin'!$A$4:$F$568,6,FALSE)</f>
        <v>Não Financeiras</v>
      </c>
      <c r="P733" s="43" t="str">
        <f t="shared" si="14"/>
        <v>82</v>
      </c>
      <c r="Q733" s="43"/>
      <c r="R733" s="43"/>
      <c r="S733" s="43"/>
      <c r="T733" s="43"/>
    </row>
    <row r="734" spans="1:20" ht="15" thickBot="1">
      <c r="A734" s="32" t="s">
        <v>927</v>
      </c>
      <c r="B734" s="32" t="str">
        <f>VLOOKUP(A734,'[6]Fin vs NFin'!$A$4:$B$568,2,FALSE)</f>
        <v>!Papel Comer.-Imobilização</v>
      </c>
      <c r="C734" s="32" t="s">
        <v>929</v>
      </c>
      <c r="D734" s="32" t="s">
        <v>928</v>
      </c>
      <c r="E734" s="32" t="str">
        <f>VLOOKUP(D734,[6]Arvore!$N$8:$Q$6855,4,FALSE)</f>
        <v>512018</v>
      </c>
      <c r="F734" s="33">
        <v>141407.24</v>
      </c>
      <c r="G734" s="33">
        <v>141407.24</v>
      </c>
      <c r="H734" s="34">
        <v>2.91038304567337E-11</v>
      </c>
      <c r="I734" s="114"/>
      <c r="J734" s="19"/>
      <c r="K734" s="21"/>
      <c r="L734" s="22"/>
      <c r="M734" s="23"/>
      <c r="O734" s="19" t="str">
        <f>VLOOKUP(QUERY_FOR_TRNSTRANSPOSED_0008!A734,'[6]Fin vs NFin'!$A$4:$F$568,6,FALSE)</f>
        <v>Não Financeiras</v>
      </c>
      <c r="P734" s="24" t="str">
        <f t="shared" si="14"/>
        <v>82</v>
      </c>
      <c r="Q734" s="24"/>
      <c r="R734" s="24"/>
      <c r="S734" s="24"/>
      <c r="T734" s="24"/>
    </row>
    <row r="735" spans="1:20">
      <c r="A735" s="38" t="s">
        <v>930</v>
      </c>
      <c r="B735" s="38" t="str">
        <f>VLOOKUP(A735,'[6]Fin vs NFin'!$A$4:$B$568,2,FALSE)</f>
        <v>!Custos Taxa Supervisão</v>
      </c>
      <c r="C735" s="38" t="s">
        <v>82</v>
      </c>
      <c r="D735" s="38" t="s">
        <v>931</v>
      </c>
      <c r="E735" s="38" t="str">
        <f>VLOOKUP(D735,[6]Arvore!$N$8:$Q$6855,4,FALSE)</f>
        <v>41401</v>
      </c>
      <c r="F735" s="39">
        <v>-702565.91</v>
      </c>
      <c r="G735" s="39">
        <v>-743538.04</v>
      </c>
      <c r="H735" s="40">
        <v>40972.130000000099</v>
      </c>
      <c r="I735" s="108">
        <f>SUM(H735:H741)</f>
        <v>9.4587448984384537E-11</v>
      </c>
      <c r="J735" s="39"/>
      <c r="K735" s="21"/>
      <c r="L735" s="41"/>
      <c r="M735" s="42"/>
      <c r="O735" s="39" t="str">
        <f>VLOOKUP(QUERY_FOR_TRNSTRANSPOSED_0008!A735,'[6]Fin vs NFin'!$A$4:$F$568,6,FALSE)</f>
        <v>Não Financeiras</v>
      </c>
      <c r="P735" s="43" t="str">
        <f t="shared" si="14"/>
        <v>71</v>
      </c>
      <c r="Q735" s="43"/>
      <c r="R735" s="43"/>
      <c r="S735" s="43"/>
      <c r="T735" s="43"/>
    </row>
    <row r="736" spans="1:20">
      <c r="A736" s="18" t="s">
        <v>930</v>
      </c>
      <c r="B736" s="18" t="str">
        <f>VLOOKUP(A736,'[6]Fin vs NFin'!$A$4:$B$568,2,FALSE)</f>
        <v>!Custos Taxa Supervisão</v>
      </c>
      <c r="C736" s="18" t="s">
        <v>82</v>
      </c>
      <c r="D736" s="18" t="s">
        <v>932</v>
      </c>
      <c r="E736" s="18" t="str">
        <f>VLOOKUP(D736,[6]Arvore!$N$8:$Q$6855,4,FALSE)</f>
        <v>41401</v>
      </c>
      <c r="F736" s="19">
        <v>-193499.88</v>
      </c>
      <c r="G736" s="19">
        <v>-97510.64</v>
      </c>
      <c r="H736" s="20">
        <v>-95989.24</v>
      </c>
      <c r="I736" s="114"/>
      <c r="J736" s="19"/>
      <c r="K736" s="21"/>
      <c r="L736" s="22"/>
      <c r="M736" s="23"/>
      <c r="O736" s="19" t="str">
        <f>VLOOKUP(QUERY_FOR_TRNSTRANSPOSED_0008!A736,'[6]Fin vs NFin'!$A$4:$F$568,6,FALSE)</f>
        <v>Não Financeiras</v>
      </c>
      <c r="P736" s="24" t="str">
        <f t="shared" si="14"/>
        <v>71</v>
      </c>
      <c r="Q736" s="24"/>
      <c r="R736" s="24"/>
      <c r="S736" s="24"/>
      <c r="T736" s="24"/>
    </row>
    <row r="737" spans="1:20">
      <c r="A737" s="18" t="s">
        <v>930</v>
      </c>
      <c r="B737" s="18" t="str">
        <f>VLOOKUP(A737,'[6]Fin vs NFin'!$A$4:$B$568,2,FALSE)</f>
        <v>!Custos Taxa Supervisão</v>
      </c>
      <c r="C737" s="18" t="s">
        <v>67</v>
      </c>
      <c r="D737" s="18" t="s">
        <v>931</v>
      </c>
      <c r="E737" s="18" t="str">
        <f>VLOOKUP(D737,[6]Arvore!$N$8:$Q$6855,4,FALSE)</f>
        <v>41401</v>
      </c>
      <c r="F737" s="19">
        <v>-2500</v>
      </c>
      <c r="G737" s="19">
        <v>0</v>
      </c>
      <c r="H737" s="20">
        <v>-2500</v>
      </c>
      <c r="I737" s="114"/>
      <c r="J737" s="19"/>
      <c r="K737" s="21"/>
      <c r="L737" s="22"/>
      <c r="M737" s="23"/>
      <c r="O737" s="19" t="str">
        <f>VLOOKUP(QUERY_FOR_TRNSTRANSPOSED_0008!A737,'[6]Fin vs NFin'!$A$4:$F$568,6,FALSE)</f>
        <v>Não Financeiras</v>
      </c>
      <c r="P737" s="24" t="str">
        <f t="shared" si="14"/>
        <v>71</v>
      </c>
      <c r="Q737" s="24"/>
      <c r="R737" s="24"/>
      <c r="S737" s="24"/>
      <c r="T737" s="24"/>
    </row>
    <row r="738" spans="1:20">
      <c r="A738" s="18" t="s">
        <v>930</v>
      </c>
      <c r="B738" s="18" t="str">
        <f>VLOOKUP(A738,'[6]Fin vs NFin'!$A$4:$B$568,2,FALSE)</f>
        <v>!Custos Taxa Supervisão</v>
      </c>
      <c r="C738" s="18" t="s">
        <v>67</v>
      </c>
      <c r="D738" s="18" t="s">
        <v>932</v>
      </c>
      <c r="E738" s="18" t="str">
        <f>VLOOKUP(D738,[6]Arvore!$N$8:$Q$6855,4,FALSE)</f>
        <v>41401</v>
      </c>
      <c r="F738" s="19" t="s">
        <v>84</v>
      </c>
      <c r="G738" s="19">
        <v>-57517.11</v>
      </c>
      <c r="H738" s="20">
        <v>57517.11</v>
      </c>
      <c r="I738" s="114"/>
      <c r="J738" s="19"/>
      <c r="K738" s="21"/>
      <c r="L738" s="22"/>
      <c r="M738" s="23"/>
      <c r="O738" s="19" t="str">
        <f>VLOOKUP(QUERY_FOR_TRNSTRANSPOSED_0008!A738,'[6]Fin vs NFin'!$A$4:$F$568,6,FALSE)</f>
        <v>Não Financeiras</v>
      </c>
      <c r="P738" s="24" t="str">
        <f t="shared" si="14"/>
        <v>71</v>
      </c>
      <c r="Q738" s="24"/>
      <c r="R738" s="24"/>
      <c r="S738" s="24"/>
      <c r="T738" s="24"/>
    </row>
    <row r="739" spans="1:20">
      <c r="A739" s="18" t="s">
        <v>930</v>
      </c>
      <c r="B739" s="18" t="str">
        <f>VLOOKUP(A739,'[6]Fin vs NFin'!$A$4:$B$568,2,FALSE)</f>
        <v>!Custos Taxa Supervisão</v>
      </c>
      <c r="C739" s="18" t="s">
        <v>869</v>
      </c>
      <c r="D739" s="18" t="s">
        <v>931</v>
      </c>
      <c r="E739" s="18" t="str">
        <f>VLOOKUP(D739,[6]Arvore!$N$8:$Q$6855,4,FALSE)</f>
        <v>41401</v>
      </c>
      <c r="F739" s="19">
        <v>-20794.62</v>
      </c>
      <c r="G739" s="19">
        <v>-68360.63</v>
      </c>
      <c r="H739" s="20">
        <v>47566.01</v>
      </c>
      <c r="I739" s="114"/>
      <c r="J739" s="19"/>
      <c r="K739" s="21"/>
      <c r="L739" s="22"/>
      <c r="M739" s="23"/>
      <c r="O739" s="19" t="str">
        <f>VLOOKUP(QUERY_FOR_TRNSTRANSPOSED_0008!A739,'[6]Fin vs NFin'!$A$4:$F$568,6,FALSE)</f>
        <v>Não Financeiras</v>
      </c>
      <c r="P739" s="24" t="str">
        <f t="shared" si="14"/>
        <v>71</v>
      </c>
      <c r="Q739" s="24"/>
      <c r="R739" s="24"/>
      <c r="S739" s="24"/>
      <c r="T739" s="24"/>
    </row>
    <row r="740" spans="1:20">
      <c r="A740" s="18" t="s">
        <v>930</v>
      </c>
      <c r="B740" s="18" t="str">
        <f>VLOOKUP(A740,'[6]Fin vs NFin'!$A$4:$B$568,2,FALSE)</f>
        <v>!Custos Taxa Supervisão</v>
      </c>
      <c r="C740" s="18" t="s">
        <v>869</v>
      </c>
      <c r="D740" s="18" t="s">
        <v>887</v>
      </c>
      <c r="E740" s="18" t="str">
        <f>VLOOKUP(D740,[6]Arvore!$N$8:$Q$6855,4,FALSE)</f>
        <v>41401</v>
      </c>
      <c r="F740" s="19">
        <v>-72407.679999999993</v>
      </c>
      <c r="G740" s="19">
        <v>-87826.67</v>
      </c>
      <c r="H740" s="20">
        <v>15418.99</v>
      </c>
      <c r="I740" s="114"/>
      <c r="J740" s="19"/>
      <c r="K740" s="21"/>
      <c r="L740" s="22"/>
      <c r="M740" s="23"/>
      <c r="O740" s="19" t="str">
        <f>VLOOKUP(QUERY_FOR_TRNSTRANSPOSED_0008!A740,'[6]Fin vs NFin'!$A$4:$F$568,6,FALSE)</f>
        <v>Não Financeiras</v>
      </c>
      <c r="P740" s="24" t="str">
        <f t="shared" si="14"/>
        <v>71</v>
      </c>
      <c r="Q740" s="24"/>
      <c r="R740" s="24"/>
      <c r="S740" s="24"/>
      <c r="T740" s="24"/>
    </row>
    <row r="741" spans="1:20" ht="15" thickBot="1">
      <c r="A741" s="18" t="s">
        <v>930</v>
      </c>
      <c r="B741" s="18" t="str">
        <f>VLOOKUP(A741,'[6]Fin vs NFin'!$A$4:$B$568,2,FALSE)</f>
        <v>!Custos Taxa Supervisão</v>
      </c>
      <c r="C741" s="18" t="s">
        <v>869</v>
      </c>
      <c r="D741" s="18" t="s">
        <v>601</v>
      </c>
      <c r="E741" s="18" t="str">
        <f>VLOOKUP(D741,[6]Arvore!$N$8:$Q$6855,4,FALSE)</f>
        <v>450880910</v>
      </c>
      <c r="F741" s="19">
        <v>-47346.22</v>
      </c>
      <c r="G741" s="19">
        <v>15638.78</v>
      </c>
      <c r="H741" s="20">
        <v>-62985</v>
      </c>
      <c r="I741" s="114"/>
      <c r="J741" s="19"/>
      <c r="K741" s="21"/>
      <c r="L741" s="22"/>
      <c r="M741" s="23"/>
      <c r="O741" s="19" t="str">
        <f>VLOOKUP(QUERY_FOR_TRNSTRANSPOSED_0008!A741,'[6]Fin vs NFin'!$A$4:$F$568,6,FALSE)</f>
        <v>Não Financeiras</v>
      </c>
      <c r="P741" s="24" t="str">
        <f t="shared" si="14"/>
        <v>77</v>
      </c>
      <c r="Q741" s="24" t="str">
        <f>VLOOKUP(D741,[6]Mapeamento!$A$38:$C$497,3,FALSE)</f>
        <v>OREX</v>
      </c>
      <c r="R741" s="24"/>
      <c r="S741" s="24"/>
      <c r="T741" s="24"/>
    </row>
    <row r="742" spans="1:20">
      <c r="A742" s="38" t="s">
        <v>933</v>
      </c>
      <c r="B742" s="38" t="str">
        <f>VLOOKUP(A742,'[6]Fin vs NFin'!$A$4:$B$568,2,FALSE)</f>
        <v>!Custos Interbolsa</v>
      </c>
      <c r="C742" s="38" t="s">
        <v>153</v>
      </c>
      <c r="D742" s="38" t="s">
        <v>934</v>
      </c>
      <c r="E742" s="38" t="str">
        <f>VLOOKUP(D742,[6]Arvore!$N$8:$Q$6855,4,FALSE)</f>
        <v>41401</v>
      </c>
      <c r="F742" s="39">
        <v>-554763.04</v>
      </c>
      <c r="G742" s="39">
        <v>8980.02</v>
      </c>
      <c r="H742" s="40">
        <v>-563743.06000000006</v>
      </c>
      <c r="I742" s="108">
        <v>-1.16415321826935E-10</v>
      </c>
      <c r="J742" s="39"/>
      <c r="K742" s="21"/>
      <c r="L742" s="41"/>
      <c r="M742" s="42"/>
      <c r="O742" s="39" t="str">
        <f>VLOOKUP(QUERY_FOR_TRNSTRANSPOSED_0008!A742,'[6]Fin vs NFin'!$A$4:$F$568,6,FALSE)</f>
        <v>Não Financeiras</v>
      </c>
      <c r="P742" s="43" t="str">
        <f t="shared" si="14"/>
        <v>71</v>
      </c>
      <c r="Q742" s="43"/>
      <c r="R742" s="43"/>
      <c r="S742" s="43"/>
      <c r="T742" s="43"/>
    </row>
    <row r="743" spans="1:20">
      <c r="A743" s="32" t="s">
        <v>933</v>
      </c>
      <c r="B743" s="32" t="str">
        <f>VLOOKUP(A743,'[6]Fin vs NFin'!$A$4:$B$568,2,FALSE)</f>
        <v>!Custos Interbolsa</v>
      </c>
      <c r="C743" s="32" t="s">
        <v>935</v>
      </c>
      <c r="D743" s="32" t="s">
        <v>934</v>
      </c>
      <c r="E743" s="32" t="str">
        <f>VLOOKUP(D743,[6]Arvore!$N$8:$Q$6855,4,FALSE)</f>
        <v>41401</v>
      </c>
      <c r="F743" s="33">
        <v>-1021060.61</v>
      </c>
      <c r="G743" s="33">
        <v>-1021060.61</v>
      </c>
      <c r="H743" s="34">
        <v>-1.16415321826935E-10</v>
      </c>
      <c r="I743" s="114"/>
      <c r="J743" s="19"/>
      <c r="K743" s="21"/>
      <c r="L743" s="22"/>
      <c r="M743" s="23"/>
      <c r="O743" s="19" t="str">
        <f>VLOOKUP(QUERY_FOR_TRNSTRANSPOSED_0008!A743,'[6]Fin vs NFin'!$A$4:$F$568,6,FALSE)</f>
        <v>Não Financeiras</v>
      </c>
      <c r="P743" s="24" t="str">
        <f t="shared" si="14"/>
        <v>71</v>
      </c>
      <c r="Q743" s="24"/>
      <c r="R743" s="24"/>
      <c r="S743" s="24"/>
      <c r="T743" s="24"/>
    </row>
    <row r="744" spans="1:20" ht="15" thickBot="1">
      <c r="A744" s="11" t="s">
        <v>933</v>
      </c>
      <c r="B744" s="11" t="str">
        <f>VLOOKUP(A744,'[6]Fin vs NFin'!$A$4:$B$568,2,FALSE)</f>
        <v>!Custos Interbolsa</v>
      </c>
      <c r="C744" s="11" t="s">
        <v>869</v>
      </c>
      <c r="D744" s="11" t="s">
        <v>934</v>
      </c>
      <c r="E744" s="11" t="str">
        <f>VLOOKUP(D744,[6]Arvore!$N$8:$Q$6855,4,FALSE)</f>
        <v>41401</v>
      </c>
      <c r="F744" s="12">
        <v>107761.73</v>
      </c>
      <c r="G744" s="12">
        <v>-455981.33</v>
      </c>
      <c r="H744" s="13">
        <v>563743.06000000006</v>
      </c>
      <c r="I744" s="109"/>
      <c r="J744" s="12"/>
      <c r="K744" s="21"/>
      <c r="L744" s="15"/>
      <c r="M744" s="16"/>
      <c r="O744" s="12" t="str">
        <f>VLOOKUP(QUERY_FOR_TRNSTRANSPOSED_0008!A744,'[6]Fin vs NFin'!$A$4:$F$568,6,FALSE)</f>
        <v>Não Financeiras</v>
      </c>
      <c r="P744" s="17" t="str">
        <f t="shared" si="14"/>
        <v>71</v>
      </c>
      <c r="Q744" s="17"/>
      <c r="R744" s="17"/>
      <c r="S744" s="17"/>
      <c r="T744" s="17"/>
    </row>
    <row r="745" spans="1:20">
      <c r="A745" s="18" t="s">
        <v>936</v>
      </c>
      <c r="B745" s="18" t="str">
        <f>VLOOKUP(A745,'[6]Fin vs NFin'!$A$4:$B$568,2,FALSE)</f>
        <v>!Euroclear</v>
      </c>
      <c r="C745" s="18" t="s">
        <v>153</v>
      </c>
      <c r="D745" s="18" t="s">
        <v>937</v>
      </c>
      <c r="E745" s="18" t="str">
        <f>VLOOKUP(D745,[6]Arvore!$N$8:$Q$6855,4,FALSE)</f>
        <v>416190</v>
      </c>
      <c r="F745" s="19">
        <v>-204889</v>
      </c>
      <c r="G745" s="19">
        <v>-204889.00504782901</v>
      </c>
      <c r="H745" s="20">
        <v>5.0478290067985697E-3</v>
      </c>
      <c r="I745" s="108">
        <v>0.18895052921288899</v>
      </c>
      <c r="J745" s="19"/>
      <c r="K745" s="21"/>
      <c r="L745" s="22"/>
      <c r="M745" s="23"/>
      <c r="O745" s="19" t="str">
        <f>VLOOKUP(QUERY_FOR_TRNSTRANSPOSED_0008!A745,'[6]Fin vs NFin'!$A$4:$F$568,6,FALSE)</f>
        <v>Não Financeiras</v>
      </c>
      <c r="P745" s="24" t="str">
        <f t="shared" si="14"/>
        <v>71</v>
      </c>
      <c r="Q745" s="24"/>
      <c r="R745" s="24"/>
      <c r="S745" s="24"/>
      <c r="T745" s="24"/>
    </row>
    <row r="746" spans="1:20">
      <c r="A746" s="18" t="s">
        <v>936</v>
      </c>
      <c r="B746" s="18" t="str">
        <f>VLOOKUP(A746,'[6]Fin vs NFin'!$A$4:$B$568,2,FALSE)</f>
        <v>!Euroclear</v>
      </c>
      <c r="C746" s="18" t="s">
        <v>938</v>
      </c>
      <c r="D746" s="18" t="s">
        <v>937</v>
      </c>
      <c r="E746" s="18" t="str">
        <f>VLOOKUP(D746,[6]Arvore!$N$8:$Q$6855,4,FALSE)</f>
        <v>416190</v>
      </c>
      <c r="F746" s="19">
        <v>-1656810.59</v>
      </c>
      <c r="G746" s="19">
        <v>-1656810.7739027</v>
      </c>
      <c r="H746" s="20">
        <v>0.183902700198814</v>
      </c>
      <c r="I746" s="114"/>
      <c r="J746" s="19"/>
      <c r="K746" s="21"/>
      <c r="L746" s="22"/>
      <c r="M746" s="23"/>
      <c r="O746" s="19" t="str">
        <f>VLOOKUP(QUERY_FOR_TRNSTRANSPOSED_0008!A746,'[6]Fin vs NFin'!$A$4:$F$568,6,FALSE)</f>
        <v>Não Financeiras</v>
      </c>
      <c r="P746" s="24" t="str">
        <f t="shared" si="14"/>
        <v>71</v>
      </c>
      <c r="Q746" s="24"/>
      <c r="R746" s="24"/>
      <c r="S746" s="24"/>
      <c r="T746" s="24"/>
    </row>
    <row r="747" spans="1:20" ht="15" thickBot="1">
      <c r="A747" s="32" t="s">
        <v>936</v>
      </c>
      <c r="B747" s="32" t="str">
        <f>VLOOKUP(A747,'[6]Fin vs NFin'!$A$4:$B$568,2,FALSE)</f>
        <v>!Euroclear</v>
      </c>
      <c r="C747" s="32" t="s">
        <v>67</v>
      </c>
      <c r="D747" s="32" t="s">
        <v>937</v>
      </c>
      <c r="E747" s="32" t="str">
        <f>VLOOKUP(D747,[6]Arvore!$N$8:$Q$6855,4,FALSE)</f>
        <v>416190</v>
      </c>
      <c r="F747" s="33">
        <v>-20376.46</v>
      </c>
      <c r="G747" s="33">
        <v>-20376.46</v>
      </c>
      <c r="H747" s="34">
        <v>7.2759576141834308E-12</v>
      </c>
      <c r="I747" s="114"/>
      <c r="J747" s="19"/>
      <c r="K747" s="21"/>
      <c r="L747" s="22"/>
      <c r="M747" s="23"/>
      <c r="O747" s="19" t="str">
        <f>VLOOKUP(QUERY_FOR_TRNSTRANSPOSED_0008!A747,'[6]Fin vs NFin'!$A$4:$F$568,6,FALSE)</f>
        <v>Não Financeiras</v>
      </c>
      <c r="P747" s="24" t="str">
        <f t="shared" si="14"/>
        <v>71</v>
      </c>
      <c r="Q747" s="24"/>
      <c r="R747" s="24"/>
      <c r="S747" s="24"/>
      <c r="T747" s="24"/>
    </row>
    <row r="748" spans="1:20">
      <c r="A748" s="38" t="s">
        <v>939</v>
      </c>
      <c r="B748" s="38" t="str">
        <f>VLOOKUP(A748,'[6]Fin vs NFin'!$A$4:$B$568,2,FALSE)</f>
        <v>!Outras Titulos</v>
      </c>
      <c r="C748" s="38" t="s">
        <v>153</v>
      </c>
      <c r="D748" s="38" t="s">
        <v>876</v>
      </c>
      <c r="E748" s="38" t="str">
        <f>VLOOKUP(D748,[6]Arvore!$N$8:$Q$6855,4,FALSE)</f>
        <v>51401</v>
      </c>
      <c r="F748" s="39" t="s">
        <v>84</v>
      </c>
      <c r="G748" s="39">
        <v>-533.53</v>
      </c>
      <c r="H748" s="40">
        <v>533.53</v>
      </c>
      <c r="I748" s="108">
        <f>SUM(H748:H757)</f>
        <v>-0.28203903800749686</v>
      </c>
      <c r="J748" s="39"/>
      <c r="K748" s="21"/>
      <c r="L748" s="41"/>
      <c r="M748" s="42"/>
      <c r="O748" s="39" t="str">
        <f>VLOOKUP(QUERY_FOR_TRNSTRANSPOSED_0008!A748,'[6]Fin vs NFin'!$A$4:$F$568,6,FALSE)</f>
        <v>Não Financeiras</v>
      </c>
      <c r="P748" s="43" t="str">
        <f t="shared" si="14"/>
        <v>82</v>
      </c>
      <c r="Q748" s="43"/>
      <c r="R748" s="43"/>
      <c r="S748" s="43"/>
      <c r="T748" s="43"/>
    </row>
    <row r="749" spans="1:20">
      <c r="A749" s="18" t="s">
        <v>939</v>
      </c>
      <c r="B749" s="18" t="str">
        <f>VLOOKUP(A749,'[6]Fin vs NFin'!$A$4:$B$568,2,FALSE)</f>
        <v>!Outras Titulos</v>
      </c>
      <c r="C749" s="18" t="s">
        <v>940</v>
      </c>
      <c r="D749" s="18" t="s">
        <v>294</v>
      </c>
      <c r="E749" s="18" t="str">
        <f>VLOOKUP(D749,[6]Arvore!$N$8:$Q$6855,4,FALSE)</f>
        <v>55088091</v>
      </c>
      <c r="F749" s="19">
        <v>8.11</v>
      </c>
      <c r="G749" s="19">
        <v>91.0243870563489</v>
      </c>
      <c r="H749" s="20">
        <v>-82.9143870563489</v>
      </c>
      <c r="I749" s="114"/>
      <c r="J749" s="19"/>
      <c r="K749" s="21"/>
      <c r="L749" s="22"/>
      <c r="M749" s="23"/>
      <c r="O749" s="19" t="str">
        <f>VLOOKUP(QUERY_FOR_TRNSTRANSPOSED_0008!A749,'[6]Fin vs NFin'!$A$4:$F$568,6,FALSE)</f>
        <v>Não Financeiras</v>
      </c>
      <c r="P749" s="24" t="str">
        <f t="shared" si="14"/>
        <v>89</v>
      </c>
      <c r="Q749" s="24" t="str">
        <f>VLOOKUP(D749,[6]Mapeamento!$A$38:$C$497,3,FALSE)</f>
        <v>OREX</v>
      </c>
      <c r="R749" s="24"/>
      <c r="S749" s="24"/>
      <c r="T749" s="24"/>
    </row>
    <row r="750" spans="1:20">
      <c r="A750" s="18" t="s">
        <v>939</v>
      </c>
      <c r="B750" s="18" t="str">
        <f>VLOOKUP(A750,'[6]Fin vs NFin'!$A$4:$B$568,2,FALSE)</f>
        <v>!Outras Titulos</v>
      </c>
      <c r="C750" s="18" t="s">
        <v>941</v>
      </c>
      <c r="D750" s="18" t="s">
        <v>294</v>
      </c>
      <c r="E750" s="18" t="str">
        <f>VLOOKUP(D750,[6]Arvore!$N$8:$Q$6855,4,FALSE)</f>
        <v>55088091</v>
      </c>
      <c r="F750" s="19">
        <v>16.690000000000001</v>
      </c>
      <c r="G750" s="19">
        <v>1.44774948402197</v>
      </c>
      <c r="H750" s="20">
        <v>15.242250515978</v>
      </c>
      <c r="I750" s="114"/>
      <c r="J750" s="19"/>
      <c r="K750" s="21"/>
      <c r="L750" s="22"/>
      <c r="M750" s="23"/>
      <c r="O750" s="19" t="str">
        <f>VLOOKUP(QUERY_FOR_TRNSTRANSPOSED_0008!A750,'[6]Fin vs NFin'!$A$4:$F$568,6,FALSE)</f>
        <v>Não Financeiras</v>
      </c>
      <c r="P750" s="24" t="str">
        <f t="shared" si="14"/>
        <v>89</v>
      </c>
      <c r="Q750" s="24" t="str">
        <f>VLOOKUP(D750,[6]Mapeamento!$A$38:$C$497,3,FALSE)</f>
        <v>OREX</v>
      </c>
      <c r="R750" s="24"/>
      <c r="S750" s="24"/>
      <c r="T750" s="24"/>
    </row>
    <row r="751" spans="1:20">
      <c r="A751" s="18" t="s">
        <v>939</v>
      </c>
      <c r="B751" s="18" t="str">
        <f>VLOOKUP(A751,'[6]Fin vs NFin'!$A$4:$B$568,2,FALSE)</f>
        <v>!Outras Titulos</v>
      </c>
      <c r="C751" s="18" t="s">
        <v>942</v>
      </c>
      <c r="D751" s="18" t="s">
        <v>294</v>
      </c>
      <c r="E751" s="18" t="str">
        <f>VLOOKUP(D751,[6]Arvore!$N$8:$Q$6855,4,FALSE)</f>
        <v>55088091</v>
      </c>
      <c r="F751" s="19">
        <v>70.44</v>
      </c>
      <c r="G751" s="19">
        <v>1.41</v>
      </c>
      <c r="H751" s="20">
        <v>69.03</v>
      </c>
      <c r="I751" s="114"/>
      <c r="J751" s="19"/>
      <c r="K751" s="21"/>
      <c r="L751" s="22"/>
      <c r="M751" s="23"/>
      <c r="O751" s="19" t="str">
        <f>VLOOKUP(QUERY_FOR_TRNSTRANSPOSED_0008!A751,'[6]Fin vs NFin'!$A$4:$F$568,6,FALSE)</f>
        <v>Não Financeiras</v>
      </c>
      <c r="P751" s="24" t="str">
        <f t="shared" si="14"/>
        <v>89</v>
      </c>
      <c r="Q751" s="24" t="str">
        <f>VLOOKUP(D751,[6]Mapeamento!$A$38:$C$497,3,FALSE)</f>
        <v>OREX</v>
      </c>
      <c r="R751" s="24"/>
      <c r="S751" s="24"/>
      <c r="T751" s="24"/>
    </row>
    <row r="752" spans="1:20">
      <c r="A752" s="18" t="s">
        <v>939</v>
      </c>
      <c r="B752" s="18" t="str">
        <f>VLOOKUP(A752,'[6]Fin vs NFin'!$A$4:$B$568,2,FALSE)</f>
        <v>!Outras Titulos</v>
      </c>
      <c r="C752" s="18" t="s">
        <v>943</v>
      </c>
      <c r="D752" s="18" t="s">
        <v>294</v>
      </c>
      <c r="E752" s="18" t="str">
        <f>VLOOKUP(D752,[6]Arvore!$N$8:$Q$6855,4,FALSE)</f>
        <v>55088091</v>
      </c>
      <c r="F752" s="19" t="s">
        <v>84</v>
      </c>
      <c r="G752" s="19">
        <v>1.48</v>
      </c>
      <c r="H752" s="20">
        <v>-1.48</v>
      </c>
      <c r="I752" s="114"/>
      <c r="J752" s="19"/>
      <c r="K752" s="21"/>
      <c r="L752" s="22"/>
      <c r="M752" s="23"/>
      <c r="O752" s="19" t="str">
        <f>VLOOKUP(QUERY_FOR_TRNSTRANSPOSED_0008!A752,'[6]Fin vs NFin'!$A$4:$F$568,6,FALSE)</f>
        <v>Não Financeiras</v>
      </c>
      <c r="P752" s="24" t="str">
        <f t="shared" si="14"/>
        <v>89</v>
      </c>
      <c r="Q752" s="24" t="str">
        <f>VLOOKUP(D752,[6]Mapeamento!$A$38:$C$497,3,FALSE)</f>
        <v>OREX</v>
      </c>
      <c r="R752" s="24"/>
      <c r="S752" s="24"/>
      <c r="T752" s="24"/>
    </row>
    <row r="753" spans="1:20">
      <c r="A753" s="18" t="s">
        <v>939</v>
      </c>
      <c r="B753" s="18" t="str">
        <f>VLOOKUP(A753,'[6]Fin vs NFin'!$A$4:$B$568,2,FALSE)</f>
        <v>!Outras Titulos</v>
      </c>
      <c r="C753" s="18" t="s">
        <v>944</v>
      </c>
      <c r="D753" s="18" t="s">
        <v>876</v>
      </c>
      <c r="E753" s="18" t="str">
        <f>VLOOKUP(D753,[6]Arvore!$N$8:$Q$6855,4,FALSE)</f>
        <v>51401</v>
      </c>
      <c r="F753" s="19">
        <v>1300.99</v>
      </c>
      <c r="G753" s="19">
        <v>929.51</v>
      </c>
      <c r="H753" s="20">
        <v>371.48</v>
      </c>
      <c r="I753" s="114"/>
      <c r="J753" s="19"/>
      <c r="K753" s="21"/>
      <c r="L753" s="22"/>
      <c r="M753" s="23"/>
      <c r="O753" s="19" t="str">
        <f>VLOOKUP(QUERY_FOR_TRNSTRANSPOSED_0008!A753,'[6]Fin vs NFin'!$A$4:$F$568,6,FALSE)</f>
        <v>Não Financeiras</v>
      </c>
      <c r="P753" s="24" t="str">
        <f t="shared" si="14"/>
        <v>82</v>
      </c>
      <c r="Q753" s="24"/>
      <c r="R753" s="24"/>
      <c r="S753" s="24"/>
      <c r="T753" s="24"/>
    </row>
    <row r="754" spans="1:20">
      <c r="A754" s="18" t="s">
        <v>939</v>
      </c>
      <c r="B754" s="18" t="str">
        <f>VLOOKUP(A754,'[6]Fin vs NFin'!$A$4:$B$568,2,FALSE)</f>
        <v>!Outras Titulos</v>
      </c>
      <c r="C754" s="18" t="s">
        <v>945</v>
      </c>
      <c r="D754" s="18" t="s">
        <v>735</v>
      </c>
      <c r="E754" s="18" t="str">
        <f>VLOOKUP(D754,[6]Arvore!$N$8:$Q$6855,4,FALSE)</f>
        <v>431111</v>
      </c>
      <c r="F754" s="19">
        <v>260.54000000000002</v>
      </c>
      <c r="G754" s="19">
        <v>632.02</v>
      </c>
      <c r="H754" s="20">
        <v>-371.48</v>
      </c>
      <c r="I754" s="114"/>
      <c r="J754" s="19"/>
      <c r="K754" s="21"/>
      <c r="L754" s="22"/>
      <c r="M754" s="23"/>
      <c r="O754" s="19" t="str">
        <f>VLOOKUP(QUERY_FOR_TRNSTRANSPOSED_0008!A754,'[6]Fin vs NFin'!$A$4:$F$568,6,FALSE)</f>
        <v>Não Financeiras</v>
      </c>
      <c r="P754" s="24" t="str">
        <f t="shared" si="14"/>
        <v>89</v>
      </c>
      <c r="Q754" s="24"/>
      <c r="R754" s="24" t="str">
        <f>VLOOKUP(D754,[6]Mapeamento!$A$38:$C$497,3,FALSE)</f>
        <v>GG</v>
      </c>
      <c r="S754" s="24"/>
      <c r="T754" s="24"/>
    </row>
    <row r="755" spans="1:20">
      <c r="A755" s="32" t="s">
        <v>939</v>
      </c>
      <c r="B755" s="32" t="str">
        <f>VLOOKUP(A755,'[6]Fin vs NFin'!$A$4:$B$568,2,FALSE)</f>
        <v>!Outras Titulos</v>
      </c>
      <c r="C755" s="32" t="s">
        <v>946</v>
      </c>
      <c r="D755" s="32" t="s">
        <v>876</v>
      </c>
      <c r="E755" s="32" t="str">
        <f>VLOOKUP(D755,[6]Arvore!$N$8:$Q$6855,4,FALSE)</f>
        <v>51401</v>
      </c>
      <c r="F755" s="33">
        <v>856418.16</v>
      </c>
      <c r="G755" s="33">
        <v>856418.16</v>
      </c>
      <c r="H755" s="34">
        <v>-1.16415321826935E-10</v>
      </c>
      <c r="I755" s="114"/>
      <c r="J755" s="19"/>
      <c r="K755" s="21"/>
      <c r="L755" s="22"/>
      <c r="M755" s="23"/>
      <c r="O755" s="19" t="str">
        <f>VLOOKUP(QUERY_FOR_TRNSTRANSPOSED_0008!A755,'[6]Fin vs NFin'!$A$4:$F$568,6,FALSE)</f>
        <v>Não Financeiras</v>
      </c>
      <c r="P755" s="24" t="str">
        <f t="shared" si="14"/>
        <v>82</v>
      </c>
      <c r="Q755" s="24"/>
      <c r="R755" s="24"/>
      <c r="S755" s="24"/>
      <c r="T755" s="24"/>
    </row>
    <row r="756" spans="1:20">
      <c r="A756" s="18" t="s">
        <v>939</v>
      </c>
      <c r="B756" s="18" t="str">
        <f>VLOOKUP(A756,'[6]Fin vs NFin'!$A$4:$B$568,2,FALSE)</f>
        <v>!Outras Titulos</v>
      </c>
      <c r="C756" s="18" t="s">
        <v>869</v>
      </c>
      <c r="D756" s="18" t="s">
        <v>876</v>
      </c>
      <c r="E756" s="18" t="str">
        <f>VLOOKUP(D756,[6]Arvore!$N$8:$Q$6855,4,FALSE)</f>
        <v>51401</v>
      </c>
      <c r="F756" s="19">
        <v>-14782.49</v>
      </c>
      <c r="G756" s="19">
        <v>-17429.001184386001</v>
      </c>
      <c r="H756" s="20">
        <v>2646.511184386</v>
      </c>
      <c r="I756" s="114"/>
      <c r="J756" s="19"/>
      <c r="K756" s="21"/>
      <c r="L756" s="22"/>
      <c r="M756" s="23"/>
      <c r="O756" s="19" t="str">
        <f>VLOOKUP(QUERY_FOR_TRNSTRANSPOSED_0008!A756,'[6]Fin vs NFin'!$A$4:$F$568,6,FALSE)</f>
        <v>Não Financeiras</v>
      </c>
      <c r="P756" s="24" t="str">
        <f t="shared" si="14"/>
        <v>82</v>
      </c>
      <c r="Q756" s="24"/>
      <c r="R756" s="24"/>
      <c r="S756" s="24"/>
      <c r="T756" s="24"/>
    </row>
    <row r="757" spans="1:20" ht="15" thickBot="1">
      <c r="A757" s="11" t="s">
        <v>939</v>
      </c>
      <c r="B757" s="11" t="str">
        <f>VLOOKUP(A757,'[6]Fin vs NFin'!$A$4:$B$568,2,FALSE)</f>
        <v>!Outras Titulos</v>
      </c>
      <c r="C757" s="11" t="s">
        <v>869</v>
      </c>
      <c r="D757" s="11" t="s">
        <v>294</v>
      </c>
      <c r="E757" s="11" t="str">
        <f>VLOOKUP(D757,[6]Arvore!$N$8:$Q$6855,4,FALSE)</f>
        <v>55088091</v>
      </c>
      <c r="F757" s="12">
        <v>-57.569999999999901</v>
      </c>
      <c r="G757" s="12">
        <v>3122.6310868835199</v>
      </c>
      <c r="H757" s="13">
        <v>-3180.20108688352</v>
      </c>
      <c r="I757" s="109"/>
      <c r="J757" s="12"/>
      <c r="K757" s="21"/>
      <c r="L757" s="15"/>
      <c r="M757" s="16"/>
      <c r="O757" s="12" t="str">
        <f>VLOOKUP(QUERY_FOR_TRNSTRANSPOSED_0008!A757,'[6]Fin vs NFin'!$A$4:$F$568,6,FALSE)</f>
        <v>Não Financeiras</v>
      </c>
      <c r="P757" s="17" t="str">
        <f t="shared" si="14"/>
        <v>89</v>
      </c>
      <c r="Q757" s="17" t="str">
        <f>VLOOKUP(D757,[6]Mapeamento!$A$38:$C$497,3,FALSE)</f>
        <v>OREX</v>
      </c>
      <c r="R757" s="17"/>
      <c r="S757" s="17"/>
      <c r="T757" s="17"/>
    </row>
    <row r="758" spans="1:20" ht="15" thickBot="1">
      <c r="A758" s="32" t="s">
        <v>947</v>
      </c>
      <c r="B758" s="32" t="str">
        <f>VLOOKUP(A758,'[6]Fin vs NFin'!$A$4:$B$568,2,FALSE)</f>
        <v>!Corretagem</v>
      </c>
      <c r="C758" s="32" t="s">
        <v>948</v>
      </c>
      <c r="D758" s="32" t="s">
        <v>876</v>
      </c>
      <c r="E758" s="32" t="str">
        <f>VLOOKUP(D758,[6]Arvore!$N$8:$Q$6855,4,FALSE)</f>
        <v>51401</v>
      </c>
      <c r="F758" s="33">
        <v>438181.89</v>
      </c>
      <c r="G758" s="33">
        <v>438181.89</v>
      </c>
      <c r="H758" s="34">
        <v>-5.8207660913467401E-11</v>
      </c>
      <c r="I758" s="52">
        <v>-5.8207660913467401E-11</v>
      </c>
      <c r="J758" s="19"/>
      <c r="K758" s="21"/>
      <c r="L758" s="22"/>
      <c r="M758" s="23"/>
      <c r="O758" s="19" t="str">
        <f>VLOOKUP(QUERY_FOR_TRNSTRANSPOSED_0008!A758,'[6]Fin vs NFin'!$A$4:$F$568,6,FALSE)</f>
        <v>Não Financeiras</v>
      </c>
      <c r="P758" s="24" t="str">
        <f t="shared" si="14"/>
        <v>82</v>
      </c>
      <c r="Q758" s="24"/>
      <c r="R758" s="24"/>
      <c r="S758" s="24"/>
      <c r="T758" s="24"/>
    </row>
    <row r="759" spans="1:20">
      <c r="A759" s="49" t="s">
        <v>949</v>
      </c>
      <c r="B759" s="49" t="str">
        <f>VLOOKUP(A759,'[6]Fin vs NFin'!$A$4:$B$568,2,FALSE)</f>
        <v>!Settlements</v>
      </c>
      <c r="C759" s="49" t="s">
        <v>950</v>
      </c>
      <c r="D759" s="49" t="s">
        <v>876</v>
      </c>
      <c r="E759" s="49" t="str">
        <f>VLOOKUP(D759,[6]Arvore!$N$8:$Q$6855,4,FALSE)</f>
        <v>51401</v>
      </c>
      <c r="F759" s="50">
        <v>629.88</v>
      </c>
      <c r="G759" s="50">
        <v>629.88</v>
      </c>
      <c r="H759" s="51">
        <v>0</v>
      </c>
      <c r="I759" s="108">
        <v>6.6669153449652203E-3</v>
      </c>
      <c r="J759" s="39"/>
      <c r="K759" s="21"/>
      <c r="L759" s="41"/>
      <c r="M759" s="42"/>
      <c r="O759" s="39" t="str">
        <f>VLOOKUP(QUERY_FOR_TRNSTRANSPOSED_0008!A759,'[6]Fin vs NFin'!$A$4:$F$568,6,FALSE)</f>
        <v>Não Financeiras</v>
      </c>
      <c r="P759" s="43" t="str">
        <f t="shared" si="14"/>
        <v>82</v>
      </c>
      <c r="Q759" s="43"/>
      <c r="R759" s="43"/>
      <c r="S759" s="43"/>
      <c r="T759" s="43"/>
    </row>
    <row r="760" spans="1:20">
      <c r="A760" s="32" t="s">
        <v>949</v>
      </c>
      <c r="B760" s="32" t="str">
        <f>VLOOKUP(A760,'[6]Fin vs NFin'!$A$4:$B$568,2,FALSE)</f>
        <v>!Settlements</v>
      </c>
      <c r="C760" s="32" t="s">
        <v>951</v>
      </c>
      <c r="D760" s="32" t="s">
        <v>862</v>
      </c>
      <c r="E760" s="32" t="str">
        <f>VLOOKUP(D760,[6]Arvore!$N$8:$Q$6855,4,FALSE)</f>
        <v>51509</v>
      </c>
      <c r="F760" s="33">
        <v>3320</v>
      </c>
      <c r="G760" s="33">
        <v>3320</v>
      </c>
      <c r="H760" s="34">
        <v>0</v>
      </c>
      <c r="I760" s="114"/>
      <c r="J760" s="19"/>
      <c r="K760" s="21"/>
      <c r="L760" s="22"/>
      <c r="M760" s="23"/>
      <c r="O760" s="19" t="str">
        <f>VLOOKUP(QUERY_FOR_TRNSTRANSPOSED_0008!A760,'[6]Fin vs NFin'!$A$4:$F$568,6,FALSE)</f>
        <v>Não Financeiras</v>
      </c>
      <c r="P760" s="24" t="str">
        <f t="shared" si="14"/>
        <v>82</v>
      </c>
      <c r="Q760" s="24"/>
      <c r="R760" s="24"/>
      <c r="S760" s="24"/>
      <c r="T760" s="24"/>
    </row>
    <row r="761" spans="1:20">
      <c r="A761" s="18" t="s">
        <v>949</v>
      </c>
      <c r="B761" s="18" t="str">
        <f>VLOOKUP(A761,'[6]Fin vs NFin'!$A$4:$B$568,2,FALSE)</f>
        <v>!Settlements</v>
      </c>
      <c r="C761" s="18" t="s">
        <v>869</v>
      </c>
      <c r="D761" s="18" t="s">
        <v>753</v>
      </c>
      <c r="E761" s="18" t="str">
        <f>VLOOKUP(D761,[6]Arvore!$N$8:$Q$6855,4,FALSE)</f>
        <v>416190</v>
      </c>
      <c r="F761" s="19">
        <v>-211.91</v>
      </c>
      <c r="G761" s="19">
        <v>-211.91666691534499</v>
      </c>
      <c r="H761" s="20">
        <v>6.6669153449652203E-3</v>
      </c>
      <c r="I761" s="114"/>
      <c r="J761" s="19"/>
      <c r="K761" s="21"/>
      <c r="L761" s="22"/>
      <c r="M761" s="23"/>
      <c r="O761" s="19" t="str">
        <f>VLOOKUP(QUERY_FOR_TRNSTRANSPOSED_0008!A761,'[6]Fin vs NFin'!$A$4:$F$568,6,FALSE)</f>
        <v>Não Financeiras</v>
      </c>
      <c r="P761" s="24" t="str">
        <f t="shared" si="14"/>
        <v>71</v>
      </c>
      <c r="Q761" s="24"/>
      <c r="R761" s="24"/>
      <c r="S761" s="24"/>
      <c r="T761" s="24"/>
    </row>
    <row r="762" spans="1:20" ht="15" thickBot="1">
      <c r="A762" s="32" t="s">
        <v>949</v>
      </c>
      <c r="B762" s="32" t="str">
        <f>VLOOKUP(A762,'[6]Fin vs NFin'!$A$4:$B$568,2,FALSE)</f>
        <v>!Settlements</v>
      </c>
      <c r="C762" s="32" t="s">
        <v>952</v>
      </c>
      <c r="D762" s="32" t="s">
        <v>862</v>
      </c>
      <c r="E762" s="32" t="str">
        <f>VLOOKUP(D762,[6]Arvore!$N$8:$Q$6855,4,FALSE)</f>
        <v>51509</v>
      </c>
      <c r="F762" s="33">
        <v>282052</v>
      </c>
      <c r="G762" s="33">
        <v>282052</v>
      </c>
      <c r="H762" s="34">
        <v>0</v>
      </c>
      <c r="I762" s="114"/>
      <c r="J762" s="19"/>
      <c r="K762" s="21"/>
      <c r="L762" s="22"/>
      <c r="M762" s="23"/>
      <c r="O762" s="19" t="str">
        <f>VLOOKUP(QUERY_FOR_TRNSTRANSPOSED_0008!A762,'[6]Fin vs NFin'!$A$4:$F$568,6,FALSE)</f>
        <v>Não Financeiras</v>
      </c>
      <c r="P762" s="24" t="str">
        <f t="shared" si="14"/>
        <v>82</v>
      </c>
      <c r="Q762" s="24"/>
      <c r="R762" s="24"/>
      <c r="S762" s="24"/>
      <c r="T762" s="24"/>
    </row>
    <row r="763" spans="1:20" ht="15" thickBot="1">
      <c r="A763" s="25" t="s">
        <v>953</v>
      </c>
      <c r="B763" s="25" t="str">
        <f>VLOOKUP(A763,'[6]Fin vs NFin'!$A$4:$B$568,2,FALSE)</f>
        <v>!Levantamento de Titulos</v>
      </c>
      <c r="C763" s="25" t="s">
        <v>954</v>
      </c>
      <c r="D763" s="25" t="s">
        <v>882</v>
      </c>
      <c r="E763" s="25" t="str">
        <f>VLOOKUP(D763,[6]Arvore!$N$8:$Q$6855,4,FALSE)</f>
        <v>51401</v>
      </c>
      <c r="F763" s="26">
        <v>33416.83</v>
      </c>
      <c r="G763" s="26">
        <v>33416.862772025997</v>
      </c>
      <c r="H763" s="27">
        <v>-3.2772025995654999E-2</v>
      </c>
      <c r="I763" s="28">
        <v>-3.2772025995654999E-2</v>
      </c>
      <c r="J763" s="26"/>
      <c r="L763" s="29"/>
      <c r="M763" s="30"/>
      <c r="O763" s="26" t="str">
        <f>VLOOKUP(QUERY_FOR_TRNSTRANSPOSED_0008!A763,'[6]Fin vs NFin'!$A$4:$F$568,6,FALSE)</f>
        <v>Não Financeiras</v>
      </c>
      <c r="P763" s="31" t="str">
        <f t="shared" si="14"/>
        <v>82</v>
      </c>
      <c r="Q763" s="31"/>
      <c r="R763" s="31"/>
      <c r="S763" s="31"/>
      <c r="T763" s="31"/>
    </row>
    <row r="764" spans="1:20">
      <c r="A764" s="32" t="s">
        <v>955</v>
      </c>
      <c r="B764" s="32" t="str">
        <f>VLOOKUP(A764,'[6]Fin vs NFin'!$A$4:$B$568,2,FALSE)</f>
        <v>!Expediente Titulos</v>
      </c>
      <c r="C764" s="32" t="s">
        <v>956</v>
      </c>
      <c r="D764" s="32" t="s">
        <v>735</v>
      </c>
      <c r="E764" s="32" t="str">
        <f>VLOOKUP(D764,[6]Arvore!$N$8:$Q$6855,4,FALSE)</f>
        <v>431111</v>
      </c>
      <c r="F764" s="33">
        <v>662.62</v>
      </c>
      <c r="G764" s="33">
        <v>662.62249183387803</v>
      </c>
      <c r="H764" s="34">
        <v>-2.4918338780253201E-3</v>
      </c>
      <c r="I764" s="108">
        <v>0.143544453191566</v>
      </c>
      <c r="J764" s="19"/>
      <c r="K764" s="21"/>
      <c r="L764" s="22"/>
      <c r="M764" s="23"/>
      <c r="O764" s="19" t="str">
        <f>VLOOKUP(QUERY_FOR_TRNSTRANSPOSED_0008!A764,'[6]Fin vs NFin'!$A$4:$F$568,6,FALSE)</f>
        <v>Não Financeiras</v>
      </c>
      <c r="P764" s="24" t="str">
        <f t="shared" si="14"/>
        <v>89</v>
      </c>
      <c r="Q764" s="24"/>
      <c r="R764" s="24" t="str">
        <f>VLOOKUP(D764,[6]Mapeamento!$A$38:$C$497,3,FALSE)</f>
        <v>GG</v>
      </c>
      <c r="S764" s="24"/>
      <c r="T764" s="24"/>
    </row>
    <row r="765" spans="1:20">
      <c r="A765" s="32" t="s">
        <v>955</v>
      </c>
      <c r="B765" s="32" t="str">
        <f>VLOOKUP(A765,'[6]Fin vs NFin'!$A$4:$B$568,2,FALSE)</f>
        <v>!Expediente Titulos</v>
      </c>
      <c r="C765" s="32" t="s">
        <v>957</v>
      </c>
      <c r="D765" s="32" t="s">
        <v>735</v>
      </c>
      <c r="E765" s="32" t="str">
        <f>VLOOKUP(D765,[6]Arvore!$N$8:$Q$6855,4,FALSE)</f>
        <v>431111</v>
      </c>
      <c r="F765" s="33">
        <v>4958.88</v>
      </c>
      <c r="G765" s="33">
        <v>4958.8805803008499</v>
      </c>
      <c r="H765" s="34">
        <v>-5.80300849833293E-4</v>
      </c>
      <c r="I765" s="114"/>
      <c r="J765" s="19"/>
      <c r="K765" s="21"/>
      <c r="L765" s="22"/>
      <c r="M765" s="23"/>
      <c r="O765" s="19" t="str">
        <f>VLOOKUP(QUERY_FOR_TRNSTRANSPOSED_0008!A765,'[6]Fin vs NFin'!$A$4:$F$568,6,FALSE)</f>
        <v>Não Financeiras</v>
      </c>
      <c r="P765" s="24" t="str">
        <f t="shared" si="14"/>
        <v>89</v>
      </c>
      <c r="Q765" s="24"/>
      <c r="R765" s="24" t="str">
        <f>VLOOKUP(D765,[6]Mapeamento!$A$38:$C$497,3,FALSE)</f>
        <v>GG</v>
      </c>
      <c r="S765" s="24"/>
      <c r="T765" s="24"/>
    </row>
    <row r="766" spans="1:20">
      <c r="A766" s="18" t="s">
        <v>955</v>
      </c>
      <c r="B766" s="18" t="str">
        <f>VLOOKUP(A766,'[6]Fin vs NFin'!$A$4:$B$568,2,FALSE)</f>
        <v>!Expediente Titulos</v>
      </c>
      <c r="C766" s="18" t="s">
        <v>958</v>
      </c>
      <c r="D766" s="18" t="s">
        <v>959</v>
      </c>
      <c r="E766" s="18" t="str">
        <f>VLOOKUP(D766,[6]Arvore!$N$8:$Q$6855,4,FALSE)</f>
        <v>55083</v>
      </c>
      <c r="F766" s="19">
        <v>2145.1</v>
      </c>
      <c r="G766" s="19">
        <v>2158.1</v>
      </c>
      <c r="H766" s="20">
        <v>-13</v>
      </c>
      <c r="I766" s="114"/>
      <c r="J766" s="19"/>
      <c r="K766" s="21"/>
      <c r="L766" s="22"/>
      <c r="M766" s="23"/>
      <c r="O766" s="19" t="str">
        <f>VLOOKUP(QUERY_FOR_TRNSTRANSPOSED_0008!A766,'[6]Fin vs NFin'!$A$4:$F$568,6,FALSE)</f>
        <v>Não Financeiras</v>
      </c>
      <c r="P766" s="24" t="str">
        <f t="shared" si="14"/>
        <v>89</v>
      </c>
      <c r="Q766" s="24" t="str">
        <f>VLOOKUP(D766,[6]Mapeamento!$A$38:$C$497,3,FALSE)</f>
        <v>OREX</v>
      </c>
      <c r="R766" s="24"/>
      <c r="S766" s="24"/>
      <c r="T766" s="24"/>
    </row>
    <row r="767" spans="1:20">
      <c r="A767" s="18" t="s">
        <v>955</v>
      </c>
      <c r="B767" s="18" t="str">
        <f>VLOOKUP(A767,'[6]Fin vs NFin'!$A$4:$B$568,2,FALSE)</f>
        <v>!Expediente Titulos</v>
      </c>
      <c r="C767" s="18" t="s">
        <v>960</v>
      </c>
      <c r="D767" s="18" t="s">
        <v>959</v>
      </c>
      <c r="E767" s="18" t="str">
        <f>VLOOKUP(D767,[6]Arvore!$N$8:$Q$6855,4,FALSE)</f>
        <v>55083</v>
      </c>
      <c r="F767" s="19">
        <v>400</v>
      </c>
      <c r="G767" s="19">
        <v>387</v>
      </c>
      <c r="H767" s="20">
        <v>13</v>
      </c>
      <c r="I767" s="114"/>
      <c r="J767" s="19"/>
      <c r="K767" s="21"/>
      <c r="L767" s="22"/>
      <c r="M767" s="23"/>
      <c r="O767" s="19" t="str">
        <f>VLOOKUP(QUERY_FOR_TRNSTRANSPOSED_0008!A767,'[6]Fin vs NFin'!$A$4:$F$568,6,FALSE)</f>
        <v>Não Financeiras</v>
      </c>
      <c r="P767" s="24" t="str">
        <f t="shared" si="14"/>
        <v>89</v>
      </c>
      <c r="Q767" s="24" t="str">
        <f>VLOOKUP(D767,[6]Mapeamento!$A$38:$C$497,3,FALSE)</f>
        <v>OREX</v>
      </c>
      <c r="R767" s="24"/>
      <c r="S767" s="24"/>
      <c r="T767" s="24"/>
    </row>
    <row r="768" spans="1:20">
      <c r="A768" s="18" t="s">
        <v>955</v>
      </c>
      <c r="B768" s="18" t="str">
        <f>VLOOKUP(A768,'[6]Fin vs NFin'!$A$4:$B$568,2,FALSE)</f>
        <v>!Expediente Titulos</v>
      </c>
      <c r="C768" s="18" t="s">
        <v>869</v>
      </c>
      <c r="D768" s="18" t="s">
        <v>961</v>
      </c>
      <c r="E768" s="18" t="str">
        <f>VLOOKUP(D768,[6]Arvore!$N$8:$Q$6855,4,FALSE)</f>
        <v>41999</v>
      </c>
      <c r="F768" s="19">
        <v>-222866.85</v>
      </c>
      <c r="G768" s="19">
        <v>-223062.52783071599</v>
      </c>
      <c r="H768" s="20">
        <v>195.677830715955</v>
      </c>
      <c r="I768" s="114"/>
      <c r="J768" s="19"/>
      <c r="K768" s="21"/>
      <c r="L768" s="22"/>
      <c r="M768" s="23"/>
      <c r="O768" s="19" t="str">
        <f>VLOOKUP(QUERY_FOR_TRNSTRANSPOSED_0008!A768,'[6]Fin vs NFin'!$A$4:$F$568,6,FALSE)</f>
        <v>Não Financeiras</v>
      </c>
      <c r="P768" s="24" t="str">
        <f t="shared" si="14"/>
        <v>71</v>
      </c>
      <c r="Q768" s="24"/>
      <c r="R768" s="24"/>
      <c r="S768" s="24"/>
      <c r="T768" s="24"/>
    </row>
    <row r="769" spans="1:20">
      <c r="A769" s="18" t="s">
        <v>955</v>
      </c>
      <c r="B769" s="18" t="str">
        <f>VLOOKUP(A769,'[6]Fin vs NFin'!$A$4:$B$568,2,FALSE)</f>
        <v>!Expediente Titulos</v>
      </c>
      <c r="C769" s="18" t="s">
        <v>869</v>
      </c>
      <c r="D769" s="18" t="s">
        <v>959</v>
      </c>
      <c r="E769" s="18" t="str">
        <f>VLOOKUP(D769,[6]Arvore!$N$8:$Q$6855,4,FALSE)</f>
        <v>55083</v>
      </c>
      <c r="F769" s="19">
        <v>-161.84</v>
      </c>
      <c r="G769" s="19">
        <v>-160</v>
      </c>
      <c r="H769" s="20">
        <v>-1.84</v>
      </c>
      <c r="I769" s="114"/>
      <c r="J769" s="19"/>
      <c r="K769" s="21"/>
      <c r="L769" s="22"/>
      <c r="M769" s="23"/>
      <c r="O769" s="19" t="str">
        <f>VLOOKUP(QUERY_FOR_TRNSTRANSPOSED_0008!A769,'[6]Fin vs NFin'!$A$4:$F$568,6,FALSE)</f>
        <v>Não Financeiras</v>
      </c>
      <c r="P769" s="24" t="str">
        <f t="shared" si="14"/>
        <v>89</v>
      </c>
      <c r="Q769" s="24" t="str">
        <f>VLOOKUP(D769,[6]Mapeamento!$A$38:$C$497,3,FALSE)</f>
        <v>OREX</v>
      </c>
      <c r="R769" s="24"/>
      <c r="S769" s="24"/>
      <c r="T769" s="24"/>
    </row>
    <row r="770" spans="1:20" ht="15" thickBot="1">
      <c r="A770" s="18" t="s">
        <v>955</v>
      </c>
      <c r="B770" s="18" t="str">
        <f>VLOOKUP(A770,'[6]Fin vs NFin'!$A$4:$B$568,2,FALSE)</f>
        <v>!Expediente Titulos</v>
      </c>
      <c r="C770" s="18" t="s">
        <v>869</v>
      </c>
      <c r="D770" s="18" t="s">
        <v>735</v>
      </c>
      <c r="E770" s="18" t="str">
        <f>VLOOKUP(D770,[6]Arvore!$N$8:$Q$6855,4,FALSE)</f>
        <v>431111</v>
      </c>
      <c r="F770" s="19">
        <v>-123.79</v>
      </c>
      <c r="G770" s="19">
        <v>69.901214128035306</v>
      </c>
      <c r="H770" s="20">
        <v>-193.691214128035</v>
      </c>
      <c r="I770" s="109"/>
      <c r="J770" s="19"/>
      <c r="K770" s="21"/>
      <c r="L770" s="22"/>
      <c r="M770" s="23"/>
      <c r="O770" s="19" t="str">
        <f>VLOOKUP(QUERY_FOR_TRNSTRANSPOSED_0008!A770,'[6]Fin vs NFin'!$A$4:$F$568,6,FALSE)</f>
        <v>Não Financeiras</v>
      </c>
      <c r="P770" s="24" t="str">
        <f t="shared" si="14"/>
        <v>89</v>
      </c>
      <c r="Q770" s="24"/>
      <c r="R770" s="24" t="str">
        <f>VLOOKUP(D770,[6]Mapeamento!$A$38:$C$497,3,FALSE)</f>
        <v>GG</v>
      </c>
      <c r="S770" s="24"/>
      <c r="T770" s="24"/>
    </row>
    <row r="771" spans="1:20" ht="15" thickBot="1">
      <c r="A771" s="25" t="s">
        <v>962</v>
      </c>
      <c r="B771" s="25" t="str">
        <f>VLOOKUP(A771,'[6]Fin vs NFin'!$A$4:$B$568,2,FALSE)</f>
        <v>!Intermediação</v>
      </c>
      <c r="C771" s="25" t="s">
        <v>963</v>
      </c>
      <c r="D771" s="25" t="s">
        <v>876</v>
      </c>
      <c r="E771" s="25" t="str">
        <f>VLOOKUP(D771,[6]Arvore!$N$8:$Q$6855,4,FALSE)</f>
        <v>51401</v>
      </c>
      <c r="F771" s="26">
        <v>7638.72</v>
      </c>
      <c r="G771" s="26">
        <v>7638.7308732046904</v>
      </c>
      <c r="H771" s="27">
        <v>-1.08732046910518E-2</v>
      </c>
      <c r="I771" s="28">
        <v>-1.08732046910518E-2</v>
      </c>
      <c r="J771" s="26"/>
      <c r="L771" s="29"/>
      <c r="M771" s="30"/>
      <c r="O771" s="26" t="str">
        <f>VLOOKUP(QUERY_FOR_TRNSTRANSPOSED_0008!A771,'[6]Fin vs NFin'!$A$4:$F$568,6,FALSE)</f>
        <v>Não Financeiras</v>
      </c>
      <c r="P771" s="31" t="str">
        <f t="shared" si="14"/>
        <v>82</v>
      </c>
      <c r="Q771" s="31"/>
      <c r="R771" s="31"/>
      <c r="S771" s="31"/>
      <c r="T771" s="31"/>
    </row>
    <row r="772" spans="1:20" ht="15" thickBot="1">
      <c r="A772" s="32" t="s">
        <v>964</v>
      </c>
      <c r="B772" s="32" t="str">
        <f>VLOOKUP(A772,'[6]Fin vs NFin'!$A$4:$B$568,2,FALSE)</f>
        <v>!Risco Operacional</v>
      </c>
      <c r="C772" s="32" t="s">
        <v>869</v>
      </c>
      <c r="D772" s="32" t="s">
        <v>965</v>
      </c>
      <c r="E772" s="32" t="str">
        <f>VLOOKUP(D772,[6]Arvore!$N$8:$Q$6855,4,FALSE)</f>
        <v>550880925</v>
      </c>
      <c r="F772" s="33">
        <v>86.36</v>
      </c>
      <c r="G772" s="33">
        <v>86.36</v>
      </c>
      <c r="H772" s="34">
        <v>0</v>
      </c>
      <c r="I772" s="54">
        <f>H772</f>
        <v>0</v>
      </c>
      <c r="J772" s="19"/>
      <c r="K772" s="21"/>
      <c r="L772" s="22"/>
      <c r="M772" s="23"/>
      <c r="O772" s="19" t="str">
        <f>VLOOKUP(QUERY_FOR_TRNSTRANSPOSED_0008!A772,'[6]Fin vs NFin'!$A$4:$F$568,6,FALSE)</f>
        <v>Não Financeiras</v>
      </c>
      <c r="P772" s="24" t="str">
        <f t="shared" si="14"/>
        <v>89</v>
      </c>
      <c r="Q772" s="24"/>
      <c r="R772" s="24"/>
      <c r="S772" s="24" t="str">
        <f>VLOOKUP(D772,[6]Mapeamento!$A$38:$C$497,3,FALSE)</f>
        <v>RO</v>
      </c>
      <c r="T772" s="24"/>
    </row>
    <row r="773" spans="1:20">
      <c r="A773" s="49" t="s">
        <v>966</v>
      </c>
      <c r="B773" s="49" t="str">
        <f>VLOOKUP(A773,'[6]Fin vs NFin'!$A$4:$B$568,2,FALSE)</f>
        <v>!Recuperação de Impostos</v>
      </c>
      <c r="C773" s="49" t="s">
        <v>967</v>
      </c>
      <c r="D773" s="49" t="s">
        <v>862</v>
      </c>
      <c r="E773" s="49" t="str">
        <f>VLOOKUP(D773,[6]Arvore!$N$8:$Q$6855,4,FALSE)</f>
        <v>51509</v>
      </c>
      <c r="F773" s="50">
        <v>21385.4</v>
      </c>
      <c r="G773" s="50">
        <v>21385.4</v>
      </c>
      <c r="H773" s="51">
        <v>0</v>
      </c>
      <c r="I773" s="108">
        <f>SUM(H773:H774)</f>
        <v>0</v>
      </c>
      <c r="J773" s="39"/>
      <c r="K773" s="21"/>
      <c r="L773" s="41"/>
      <c r="M773" s="42"/>
      <c r="O773" s="39" t="str">
        <f>VLOOKUP(QUERY_FOR_TRNSTRANSPOSED_0008!A773,'[6]Fin vs NFin'!$A$4:$F$568,6,FALSE)</f>
        <v>Não Financeiras</v>
      </c>
      <c r="P773" s="43" t="str">
        <f t="shared" si="14"/>
        <v>82</v>
      </c>
      <c r="Q773" s="43"/>
      <c r="R773" s="43"/>
      <c r="S773" s="43"/>
      <c r="T773" s="43"/>
    </row>
    <row r="774" spans="1:20" ht="15" thickBot="1">
      <c r="A774" s="35" t="s">
        <v>966</v>
      </c>
      <c r="B774" s="35" t="str">
        <f>VLOOKUP(A774,'[6]Fin vs NFin'!$A$4:$B$568,2,FALSE)</f>
        <v>!Recuperação de Impostos</v>
      </c>
      <c r="C774" s="35" t="s">
        <v>968</v>
      </c>
      <c r="D774" s="35" t="s">
        <v>937</v>
      </c>
      <c r="E774" s="35" t="str">
        <f>VLOOKUP(D774,[6]Arvore!$N$8:$Q$6855,4,FALSE)</f>
        <v>416190</v>
      </c>
      <c r="F774" s="36">
        <v>-4380</v>
      </c>
      <c r="G774" s="36">
        <v>-4380</v>
      </c>
      <c r="H774" s="37">
        <v>0</v>
      </c>
      <c r="I774" s="109"/>
      <c r="J774" s="12"/>
      <c r="K774" s="21"/>
      <c r="L774" s="15"/>
      <c r="M774" s="16"/>
      <c r="O774" s="12" t="str">
        <f>VLOOKUP(QUERY_FOR_TRNSTRANSPOSED_0008!A774,'[6]Fin vs NFin'!$A$4:$F$568,6,FALSE)</f>
        <v>Não Financeiras</v>
      </c>
      <c r="P774" s="17" t="str">
        <f t="shared" ref="P774:P837" si="15">LEFT(D774,2)</f>
        <v>71</v>
      </c>
      <c r="Q774" s="17"/>
      <c r="R774" s="17"/>
      <c r="S774" s="17"/>
      <c r="T774" s="17"/>
    </row>
    <row r="775" spans="1:20" ht="15" thickBot="1">
      <c r="A775" s="32" t="s">
        <v>969</v>
      </c>
      <c r="B775" s="32" t="str">
        <f>VLOOKUP(A775,'[6]Fin vs NFin'!$A$4:$B$568,2,FALSE)</f>
        <v>!Domiciliações</v>
      </c>
      <c r="C775" s="32" t="s">
        <v>970</v>
      </c>
      <c r="D775" s="32" t="s">
        <v>971</v>
      </c>
      <c r="E775" s="32" t="str">
        <f>VLOOKUP(D775,[6]Arvore!$N$8:$Q$6855,4,FALSE)</f>
        <v>51999</v>
      </c>
      <c r="F775" s="33">
        <v>20300</v>
      </c>
      <c r="G775" s="33">
        <v>20300</v>
      </c>
      <c r="H775" s="34">
        <v>0</v>
      </c>
      <c r="I775" s="54">
        <f>H775</f>
        <v>0</v>
      </c>
      <c r="J775" s="19"/>
      <c r="K775" s="21"/>
      <c r="L775" s="22"/>
      <c r="M775" s="23"/>
      <c r="O775" s="19" t="str">
        <f>VLOOKUP(QUERY_FOR_TRNSTRANSPOSED_0008!A775,'[6]Fin vs NFin'!$A$4:$F$568,6,FALSE)</f>
        <v>Não Financeiras</v>
      </c>
      <c r="P775" s="24" t="str">
        <f t="shared" si="15"/>
        <v>82</v>
      </c>
      <c r="Q775" s="24"/>
      <c r="R775" s="24"/>
      <c r="S775" s="24"/>
      <c r="T775" s="24"/>
    </row>
    <row r="776" spans="1:20" ht="15" thickBot="1">
      <c r="A776" s="49" t="s">
        <v>972</v>
      </c>
      <c r="B776" s="49" t="str">
        <f>VLOOKUP(A776,'[6]Fin vs NFin'!$A$4:$B$568,2,FALSE)</f>
        <v>!DD Tarif.Interb.-Pago</v>
      </c>
      <c r="C776" s="49" t="s">
        <v>973</v>
      </c>
      <c r="D776" s="49" t="s">
        <v>974</v>
      </c>
      <c r="E776" s="49" t="str">
        <f>VLOOKUP(D776,[6]Arvore!$N$8:$Q$6855,4,FALSE)</f>
        <v>416190</v>
      </c>
      <c r="F776" s="50">
        <v>-4532.1000000000004</v>
      </c>
      <c r="G776" s="50">
        <v>-4532.1000000000004</v>
      </c>
      <c r="H776" s="51">
        <v>0</v>
      </c>
      <c r="I776" s="52">
        <f>H776</f>
        <v>0</v>
      </c>
      <c r="J776" s="39"/>
      <c r="K776" s="21"/>
      <c r="L776" s="41"/>
      <c r="M776" s="42"/>
      <c r="O776" s="39" t="str">
        <f>VLOOKUP(QUERY_FOR_TRNSTRANSPOSED_0008!A776,'[6]Fin vs NFin'!$A$4:$F$568,6,FALSE)</f>
        <v>Não Financeiras</v>
      </c>
      <c r="P776" s="43" t="str">
        <f t="shared" si="15"/>
        <v>71</v>
      </c>
      <c r="Q776" s="43"/>
      <c r="R776" s="43"/>
      <c r="S776" s="43"/>
      <c r="T776" s="43"/>
    </row>
    <row r="777" spans="1:20" ht="15" thickBot="1">
      <c r="A777" s="49" t="s">
        <v>975</v>
      </c>
      <c r="B777" s="49" t="str">
        <f>VLOOKUP(A777,'[6]Fin vs NFin'!$A$4:$B$568,2,FALSE)</f>
        <v>!DD Tarif.Interb.-Receb.</v>
      </c>
      <c r="C777" s="49" t="s">
        <v>976</v>
      </c>
      <c r="D777" s="49" t="s">
        <v>977</v>
      </c>
      <c r="E777" s="49" t="str">
        <f>VLOOKUP(D777,[6]Arvore!$N$8:$Q$6855,4,FALSE)</f>
        <v>51512100</v>
      </c>
      <c r="F777" s="50">
        <v>2617.5</v>
      </c>
      <c r="G777" s="50">
        <v>2617.5</v>
      </c>
      <c r="H777" s="51">
        <v>0</v>
      </c>
      <c r="I777" s="52">
        <f>H777</f>
        <v>0</v>
      </c>
      <c r="J777" s="39"/>
      <c r="K777" s="21"/>
      <c r="L777" s="41"/>
      <c r="M777" s="42"/>
      <c r="O777" s="39" t="str">
        <f>VLOOKUP(QUERY_FOR_TRNSTRANSPOSED_0008!A777,'[6]Fin vs NFin'!$A$4:$F$568,6,FALSE)</f>
        <v>Não Financeiras</v>
      </c>
      <c r="P777" s="43" t="str">
        <f t="shared" si="15"/>
        <v>82</v>
      </c>
      <c r="Q777" s="43"/>
      <c r="R777" s="43"/>
      <c r="S777" s="43"/>
      <c r="T777" s="43"/>
    </row>
    <row r="778" spans="1:20">
      <c r="A778" s="49" t="s">
        <v>978</v>
      </c>
      <c r="B778" s="49" t="str">
        <f>VLOOKUP(A778,'[6]Fin vs NFin'!$A$4:$B$568,2,FALSE)</f>
        <v>!Tarifário Clientes</v>
      </c>
      <c r="C778" s="49" t="s">
        <v>979</v>
      </c>
      <c r="D778" s="49" t="s">
        <v>76</v>
      </c>
      <c r="E778" s="49" t="str">
        <f>VLOOKUP(D778,[6]Arvore!$N$8:$Q$6855,4,FALSE)</f>
        <v>5151212</v>
      </c>
      <c r="F778" s="50">
        <v>1615.95</v>
      </c>
      <c r="G778" s="50">
        <v>1615.95</v>
      </c>
      <c r="H778" s="51">
        <v>0</v>
      </c>
      <c r="I778" s="108">
        <f>SUM(H778:H782)</f>
        <v>-5.0022208597511053E-10</v>
      </c>
      <c r="J778" s="39"/>
      <c r="K778" s="21"/>
      <c r="L778" s="41"/>
      <c r="M778" s="42"/>
      <c r="O778" s="39" t="str">
        <f>VLOOKUP(QUERY_FOR_TRNSTRANSPOSED_0008!A778,'[6]Fin vs NFin'!$A$4:$F$568,6,FALSE)</f>
        <v>Não Financeiras</v>
      </c>
      <c r="P778" s="43" t="str">
        <f t="shared" si="15"/>
        <v>82</v>
      </c>
      <c r="Q778" s="43"/>
      <c r="R778" s="43"/>
      <c r="S778" s="43"/>
      <c r="T778" s="43"/>
    </row>
    <row r="779" spans="1:20">
      <c r="A779" s="32" t="s">
        <v>978</v>
      </c>
      <c r="B779" s="32" t="str">
        <f>VLOOKUP(A779,'[6]Fin vs NFin'!$A$4:$B$568,2,FALSE)</f>
        <v>!Tarifário Clientes</v>
      </c>
      <c r="C779" s="32" t="s">
        <v>980</v>
      </c>
      <c r="D779" s="32" t="s">
        <v>76</v>
      </c>
      <c r="E779" s="32" t="str">
        <f>VLOOKUP(D779,[6]Arvore!$N$8:$Q$6855,4,FALSE)</f>
        <v>5151212</v>
      </c>
      <c r="F779" s="33">
        <v>-110866.34</v>
      </c>
      <c r="G779" s="33">
        <v>-110866.34</v>
      </c>
      <c r="H779" s="34">
        <v>0</v>
      </c>
      <c r="I779" s="114"/>
      <c r="J779" s="19"/>
      <c r="K779" s="21"/>
      <c r="L779" s="22"/>
      <c r="M779" s="23"/>
      <c r="O779" s="19" t="str">
        <f>VLOOKUP(QUERY_FOR_TRNSTRANSPOSED_0008!A779,'[6]Fin vs NFin'!$A$4:$F$568,6,FALSE)</f>
        <v>Não Financeiras</v>
      </c>
      <c r="P779" s="24" t="str">
        <f t="shared" si="15"/>
        <v>82</v>
      </c>
      <c r="Q779" s="24"/>
      <c r="R779" s="24"/>
      <c r="S779" s="24"/>
      <c r="T779" s="24"/>
    </row>
    <row r="780" spans="1:20">
      <c r="A780" s="32" t="s">
        <v>978</v>
      </c>
      <c r="B780" s="32" t="str">
        <f>VLOOKUP(A780,'[6]Fin vs NFin'!$A$4:$B$568,2,FALSE)</f>
        <v>!Tarifário Clientes</v>
      </c>
      <c r="C780" s="32" t="s">
        <v>981</v>
      </c>
      <c r="D780" s="32" t="s">
        <v>76</v>
      </c>
      <c r="E780" s="32" t="str">
        <f>VLOOKUP(D780,[6]Arvore!$N$8:$Q$6855,4,FALSE)</f>
        <v>5151212</v>
      </c>
      <c r="F780" s="33">
        <v>-15395.11</v>
      </c>
      <c r="G780" s="33">
        <v>-15395.11</v>
      </c>
      <c r="H780" s="34">
        <v>0</v>
      </c>
      <c r="I780" s="114"/>
      <c r="J780" s="19"/>
      <c r="K780" s="21"/>
      <c r="L780" s="22"/>
      <c r="M780" s="23"/>
      <c r="O780" s="19" t="str">
        <f>VLOOKUP(QUERY_FOR_TRNSTRANSPOSED_0008!A780,'[6]Fin vs NFin'!$A$4:$F$568,6,FALSE)</f>
        <v>Não Financeiras</v>
      </c>
      <c r="P780" s="24" t="str">
        <f t="shared" si="15"/>
        <v>82</v>
      </c>
      <c r="Q780" s="24"/>
      <c r="R780" s="24"/>
      <c r="S780" s="24"/>
      <c r="T780" s="24"/>
    </row>
    <row r="781" spans="1:20">
      <c r="A781" s="18" t="s">
        <v>978</v>
      </c>
      <c r="B781" s="18" t="str">
        <f>VLOOKUP(A781,'[6]Fin vs NFin'!$A$4:$B$568,2,FALSE)</f>
        <v>!Tarifário Clientes</v>
      </c>
      <c r="C781" s="18" t="s">
        <v>982</v>
      </c>
      <c r="D781" s="18" t="s">
        <v>76</v>
      </c>
      <c r="E781" s="18" t="str">
        <f>VLOOKUP(D781,[6]Arvore!$N$8:$Q$6855,4,FALSE)</f>
        <v>5151212</v>
      </c>
      <c r="F781" s="19">
        <v>3035403.16</v>
      </c>
      <c r="G781" s="19">
        <v>3048464.97</v>
      </c>
      <c r="H781" s="20">
        <v>-13061.8100000005</v>
      </c>
      <c r="I781" s="114"/>
      <c r="J781" s="19"/>
      <c r="K781" s="21"/>
      <c r="L781" s="22"/>
      <c r="M781" s="23"/>
      <c r="O781" s="19" t="str">
        <f>VLOOKUP(QUERY_FOR_TRNSTRANSPOSED_0008!A781,'[6]Fin vs NFin'!$A$4:$F$568,6,FALSE)</f>
        <v>Não Financeiras</v>
      </c>
      <c r="P781" s="24" t="str">
        <f t="shared" si="15"/>
        <v>82</v>
      </c>
      <c r="Q781" s="24"/>
      <c r="R781" s="24"/>
      <c r="S781" s="24"/>
      <c r="T781" s="24"/>
    </row>
    <row r="782" spans="1:20" ht="15" thickBot="1">
      <c r="A782" s="11" t="s">
        <v>978</v>
      </c>
      <c r="B782" s="11" t="str">
        <f>VLOOKUP(A782,'[6]Fin vs NFin'!$A$4:$B$568,2,FALSE)</f>
        <v>!Tarifário Clientes</v>
      </c>
      <c r="C782" s="11" t="s">
        <v>983</v>
      </c>
      <c r="D782" s="11" t="s">
        <v>76</v>
      </c>
      <c r="E782" s="11" t="str">
        <f>VLOOKUP(D782,[6]Arvore!$N$8:$Q$6855,4,FALSE)</f>
        <v>5151212</v>
      </c>
      <c r="F782" s="12">
        <v>13325.7</v>
      </c>
      <c r="G782" s="12">
        <v>263.89</v>
      </c>
      <c r="H782" s="13">
        <v>13061.81</v>
      </c>
      <c r="I782" s="109"/>
      <c r="J782" s="12"/>
      <c r="K782" s="21"/>
      <c r="L782" s="15"/>
      <c r="M782" s="16"/>
      <c r="O782" s="12" t="str">
        <f>VLOOKUP(QUERY_FOR_TRNSTRANSPOSED_0008!A782,'[6]Fin vs NFin'!$A$4:$F$568,6,FALSE)</f>
        <v>Não Financeiras</v>
      </c>
      <c r="P782" s="17" t="str">
        <f t="shared" si="15"/>
        <v>82</v>
      </c>
      <c r="Q782" s="17"/>
      <c r="R782" s="17"/>
      <c r="S782" s="17"/>
      <c r="T782" s="17"/>
    </row>
    <row r="783" spans="1:20">
      <c r="A783" s="18" t="s">
        <v>984</v>
      </c>
      <c r="B783" s="18" t="str">
        <f>VLOOKUP(A783,'[6]Fin vs NFin'!$A$4:$B$568,2,FALSE)</f>
        <v>!Transferências - SEPA CT</v>
      </c>
      <c r="C783" s="18" t="s">
        <v>985</v>
      </c>
      <c r="D783" s="18" t="s">
        <v>76</v>
      </c>
      <c r="E783" s="18" t="str">
        <f>VLOOKUP(D783,[6]Arvore!$N$8:$Q$6855,4,FALSE)</f>
        <v>5151212</v>
      </c>
      <c r="F783" s="19">
        <v>122065.26</v>
      </c>
      <c r="G783" s="19">
        <v>94742.11</v>
      </c>
      <c r="H783" s="20">
        <v>27323.15</v>
      </c>
      <c r="I783" s="114">
        <f>SUM(H783:H788)</f>
        <v>-0.88185885208258696</v>
      </c>
      <c r="J783" s="19"/>
      <c r="K783" s="21"/>
      <c r="L783" s="22"/>
      <c r="M783" s="23"/>
      <c r="O783" s="19" t="str">
        <f>VLOOKUP(QUERY_FOR_TRNSTRANSPOSED_0008!A783,'[6]Fin vs NFin'!$A$4:$F$568,6,FALSE)</f>
        <v>Não Financeiras</v>
      </c>
      <c r="P783" s="24" t="str">
        <f t="shared" si="15"/>
        <v>82</v>
      </c>
      <c r="Q783" s="24"/>
      <c r="R783" s="24"/>
      <c r="S783" s="24"/>
      <c r="T783" s="24"/>
    </row>
    <row r="784" spans="1:20">
      <c r="A784" s="32" t="s">
        <v>984</v>
      </c>
      <c r="B784" s="32" t="str">
        <f>VLOOKUP(A784,'[6]Fin vs NFin'!$A$4:$B$568,2,FALSE)</f>
        <v>!Transferências - SEPA CT</v>
      </c>
      <c r="C784" s="32" t="s">
        <v>986</v>
      </c>
      <c r="D784" s="32" t="s">
        <v>76</v>
      </c>
      <c r="E784" s="32" t="str">
        <f>VLOOKUP(D784,[6]Arvore!$N$8:$Q$6855,4,FALSE)</f>
        <v>5151212</v>
      </c>
      <c r="F784" s="33">
        <v>2710.17</v>
      </c>
      <c r="G784" s="33">
        <v>2710.17</v>
      </c>
      <c r="H784" s="34">
        <v>0</v>
      </c>
      <c r="I784" s="114"/>
      <c r="J784" s="19"/>
      <c r="K784" s="21"/>
      <c r="L784" s="22"/>
      <c r="M784" s="23"/>
      <c r="O784" s="19" t="str">
        <f>VLOOKUP(QUERY_FOR_TRNSTRANSPOSED_0008!A784,'[6]Fin vs NFin'!$A$4:$F$568,6,FALSE)</f>
        <v>Não Financeiras</v>
      </c>
      <c r="P784" s="24" t="str">
        <f t="shared" si="15"/>
        <v>82</v>
      </c>
      <c r="Q784" s="24"/>
      <c r="R784" s="24"/>
      <c r="S784" s="24"/>
      <c r="T784" s="24"/>
    </row>
    <row r="785" spans="1:20">
      <c r="A785" s="18" t="s">
        <v>984</v>
      </c>
      <c r="B785" s="18" t="str">
        <f>VLOOKUP(A785,'[6]Fin vs NFin'!$A$4:$B$568,2,FALSE)</f>
        <v>!Transferências - SEPA CT</v>
      </c>
      <c r="C785" s="18" t="s">
        <v>987</v>
      </c>
      <c r="D785" s="18" t="s">
        <v>76</v>
      </c>
      <c r="E785" s="18" t="str">
        <f>VLOOKUP(D785,[6]Arvore!$N$8:$Q$6855,4,FALSE)</f>
        <v>5151212</v>
      </c>
      <c r="F785" s="19">
        <v>7741.7</v>
      </c>
      <c r="G785" s="19">
        <v>694.65614846006804</v>
      </c>
      <c r="H785" s="20">
        <v>7047.0438515399301</v>
      </c>
      <c r="I785" s="114"/>
      <c r="J785" s="19"/>
      <c r="K785" s="21"/>
      <c r="L785" s="22"/>
      <c r="M785" s="23"/>
      <c r="O785" s="19" t="str">
        <f>VLOOKUP(QUERY_FOR_TRNSTRANSPOSED_0008!A785,'[6]Fin vs NFin'!$A$4:$F$568,6,FALSE)</f>
        <v>Não Financeiras</v>
      </c>
      <c r="P785" s="24" t="str">
        <f t="shared" si="15"/>
        <v>82</v>
      </c>
      <c r="Q785" s="24"/>
      <c r="R785" s="24"/>
      <c r="S785" s="24"/>
      <c r="T785" s="24"/>
    </row>
    <row r="786" spans="1:20">
      <c r="A786" s="18" t="s">
        <v>984</v>
      </c>
      <c r="B786" s="18" t="str">
        <f>VLOOKUP(A786,'[6]Fin vs NFin'!$A$4:$B$568,2,FALSE)</f>
        <v>!Transferências - SEPA CT</v>
      </c>
      <c r="C786" s="18" t="s">
        <v>988</v>
      </c>
      <c r="D786" s="18" t="s">
        <v>76</v>
      </c>
      <c r="E786" s="18" t="str">
        <f>VLOOKUP(D786,[6]Arvore!$N$8:$Q$6855,4,FALSE)</f>
        <v>5151212</v>
      </c>
      <c r="F786" s="19">
        <v>78495.509999999995</v>
      </c>
      <c r="G786" s="19">
        <v>85543.825825882202</v>
      </c>
      <c r="H786" s="20">
        <v>-7048.3158258822104</v>
      </c>
      <c r="I786" s="114"/>
      <c r="J786" s="19"/>
      <c r="K786" s="21"/>
      <c r="L786" s="22"/>
      <c r="M786" s="23"/>
      <c r="O786" s="19" t="str">
        <f>VLOOKUP(QUERY_FOR_TRNSTRANSPOSED_0008!A786,'[6]Fin vs NFin'!$A$4:$F$568,6,FALSE)</f>
        <v>Não Financeiras</v>
      </c>
      <c r="P786" s="24" t="str">
        <f t="shared" si="15"/>
        <v>82</v>
      </c>
      <c r="Q786" s="24"/>
      <c r="R786" s="24"/>
      <c r="S786" s="24"/>
      <c r="T786" s="24"/>
    </row>
    <row r="787" spans="1:20">
      <c r="A787" s="18" t="s">
        <v>984</v>
      </c>
      <c r="B787" s="18" t="str">
        <f>VLOOKUP(A787,'[6]Fin vs NFin'!$A$4:$B$568,2,FALSE)</f>
        <v>!Transferências - SEPA CT</v>
      </c>
      <c r="C787" s="18" t="s">
        <v>989</v>
      </c>
      <c r="D787" s="18" t="s">
        <v>76</v>
      </c>
      <c r="E787" s="18" t="str">
        <f>VLOOKUP(D787,[6]Arvore!$N$8:$Q$6855,4,FALSE)</f>
        <v>5151212</v>
      </c>
      <c r="F787" s="19">
        <v>3695465.65</v>
      </c>
      <c r="G787" s="19">
        <v>3724239.4898845102</v>
      </c>
      <c r="H787" s="20">
        <v>-28773.839884509802</v>
      </c>
      <c r="I787" s="114"/>
      <c r="J787" s="19"/>
      <c r="K787" s="21"/>
      <c r="L787" s="22"/>
      <c r="M787" s="23"/>
      <c r="O787" s="19" t="str">
        <f>VLOOKUP(QUERY_FOR_TRNSTRANSPOSED_0008!A787,'[6]Fin vs NFin'!$A$4:$F$568,6,FALSE)</f>
        <v>Não Financeiras</v>
      </c>
      <c r="P787" s="24" t="str">
        <f t="shared" si="15"/>
        <v>82</v>
      </c>
      <c r="Q787" s="24"/>
      <c r="R787" s="24"/>
      <c r="S787" s="24"/>
      <c r="T787" s="24"/>
    </row>
    <row r="788" spans="1:20" ht="15" thickBot="1">
      <c r="A788" s="11" t="s">
        <v>984</v>
      </c>
      <c r="B788" s="11" t="str">
        <f>VLOOKUP(A788,'[6]Fin vs NFin'!$A$4:$B$568,2,FALSE)</f>
        <v>!Transferências - SEPA CT</v>
      </c>
      <c r="C788" s="11" t="s">
        <v>990</v>
      </c>
      <c r="D788" s="11" t="s">
        <v>76</v>
      </c>
      <c r="E788" s="11" t="str">
        <f>VLOOKUP(D788,[6]Arvore!$N$8:$Q$6855,4,FALSE)</f>
        <v>5151212</v>
      </c>
      <c r="F788" s="12" t="s">
        <v>84</v>
      </c>
      <c r="G788" s="12">
        <v>-1451.08</v>
      </c>
      <c r="H788" s="13">
        <v>1451.08</v>
      </c>
      <c r="I788" s="109"/>
      <c r="J788" s="12"/>
      <c r="K788" s="21"/>
      <c r="L788" s="15"/>
      <c r="M788" s="16"/>
      <c r="O788" s="12" t="str">
        <f>VLOOKUP(QUERY_FOR_TRNSTRANSPOSED_0008!A788,'[6]Fin vs NFin'!$A$4:$F$568,6,FALSE)</f>
        <v>Não Financeiras</v>
      </c>
      <c r="P788" s="17" t="str">
        <f t="shared" si="15"/>
        <v>82</v>
      </c>
      <c r="Q788" s="17"/>
      <c r="R788" s="17"/>
      <c r="S788" s="17"/>
      <c r="T788" s="17"/>
    </row>
    <row r="789" spans="1:20">
      <c r="A789" s="32" t="s">
        <v>991</v>
      </c>
      <c r="B789" s="32" t="str">
        <f>VLOOKUP(A789,'[6]Fin vs NFin'!$A$4:$B$568,2,FALSE)</f>
        <v>!Comissão de Implementação</v>
      </c>
      <c r="C789" s="32" t="s">
        <v>992</v>
      </c>
      <c r="D789" s="32" t="s">
        <v>76</v>
      </c>
      <c r="E789" s="32" t="str">
        <f>VLOOKUP(D789,[6]Arvore!$N$8:$Q$6855,4,FALSE)</f>
        <v>5151212</v>
      </c>
      <c r="F789" s="33">
        <v>625</v>
      </c>
      <c r="G789" s="33">
        <v>625</v>
      </c>
      <c r="H789" s="34">
        <v>0</v>
      </c>
      <c r="I789" s="108">
        <v>0</v>
      </c>
      <c r="J789" s="19"/>
      <c r="K789" s="21"/>
      <c r="L789" s="22"/>
      <c r="M789" s="23"/>
      <c r="O789" s="19" t="str">
        <f>VLOOKUP(QUERY_FOR_TRNSTRANSPOSED_0008!A789,'[6]Fin vs NFin'!$A$4:$F$568,6,FALSE)</f>
        <v>Não Financeiras</v>
      </c>
      <c r="P789" s="24" t="str">
        <f t="shared" si="15"/>
        <v>82</v>
      </c>
      <c r="Q789" s="24"/>
      <c r="R789" s="24"/>
      <c r="S789" s="24"/>
      <c r="T789" s="24"/>
    </row>
    <row r="790" spans="1:20" ht="15" thickBot="1">
      <c r="A790" s="32" t="s">
        <v>993</v>
      </c>
      <c r="B790" s="32" t="str">
        <f>VLOOKUP(A790,'[6]Fin vs NFin'!$A$4:$B$568,2,FALSE)</f>
        <v>!Mensalidade</v>
      </c>
      <c r="C790" s="32" t="s">
        <v>994</v>
      </c>
      <c r="D790" s="32" t="s">
        <v>76</v>
      </c>
      <c r="E790" s="32" t="str">
        <f>VLOOKUP(D790,[6]Arvore!$N$8:$Q$6855,4,FALSE)</f>
        <v>5151212</v>
      </c>
      <c r="F790" s="33">
        <v>15739</v>
      </c>
      <c r="G790" s="33">
        <v>15739</v>
      </c>
      <c r="H790" s="34">
        <v>0</v>
      </c>
      <c r="I790" s="114"/>
      <c r="J790" s="19"/>
      <c r="K790" s="21"/>
      <c r="L790" s="22"/>
      <c r="M790" s="23"/>
      <c r="O790" s="19" t="str">
        <f>VLOOKUP(QUERY_FOR_TRNSTRANSPOSED_0008!A790,'[6]Fin vs NFin'!$A$4:$F$568,6,FALSE)</f>
        <v>Não Financeiras</v>
      </c>
      <c r="P790" s="24" t="str">
        <f t="shared" si="15"/>
        <v>82</v>
      </c>
      <c r="Q790" s="24"/>
      <c r="R790" s="24"/>
      <c r="S790" s="24"/>
      <c r="T790" s="24"/>
    </row>
    <row r="791" spans="1:20" ht="15" thickBot="1">
      <c r="A791" s="25" t="s">
        <v>995</v>
      </c>
      <c r="B791" s="25" t="str">
        <f>VLOOKUP(A791,'[6]Fin vs NFin'!$A$4:$B$568,2,FALSE)</f>
        <v>!Comissão por Transação</v>
      </c>
      <c r="C791" s="25" t="s">
        <v>996</v>
      </c>
      <c r="D791" s="25" t="s">
        <v>76</v>
      </c>
      <c r="E791" s="25" t="str">
        <f>VLOOKUP(D791,[6]Arvore!$N$8:$Q$6855,4,FALSE)</f>
        <v>5151212</v>
      </c>
      <c r="F791" s="26">
        <v>38643.440000000002</v>
      </c>
      <c r="G791" s="26">
        <v>38643.714626301</v>
      </c>
      <c r="H791" s="27">
        <v>-0.27462630099762497</v>
      </c>
      <c r="I791" s="53">
        <f>H791</f>
        <v>-0.27462630099762497</v>
      </c>
      <c r="J791" s="26"/>
      <c r="K791" s="21"/>
      <c r="L791" s="29"/>
      <c r="M791" s="30"/>
      <c r="O791" s="26" t="str">
        <f>VLOOKUP(QUERY_FOR_TRNSTRANSPOSED_0008!A791,'[6]Fin vs NFin'!$A$4:$F$568,6,FALSE)</f>
        <v>Não Financeiras</v>
      </c>
      <c r="P791" s="31" t="str">
        <f t="shared" si="15"/>
        <v>82</v>
      </c>
      <c r="Q791" s="31"/>
      <c r="R791" s="31"/>
      <c r="S791" s="31"/>
      <c r="T791" s="31"/>
    </row>
    <row r="792" spans="1:20">
      <c r="A792" s="32" t="s">
        <v>997</v>
      </c>
      <c r="B792" s="32" t="str">
        <f>VLOOKUP(A792,'[6]Fin vs NFin'!$A$4:$B$568,2,FALSE)</f>
        <v>!Transf Nac Emitidas</v>
      </c>
      <c r="C792" s="32" t="s">
        <v>998</v>
      </c>
      <c r="D792" s="32" t="s">
        <v>76</v>
      </c>
      <c r="E792" s="32" t="str">
        <f>VLOOKUP(D792,[6]Arvore!$N$8:$Q$6855,4,FALSE)</f>
        <v>5151212</v>
      </c>
      <c r="F792" s="33">
        <v>-1846.76</v>
      </c>
      <c r="G792" s="33">
        <v>-1846.76</v>
      </c>
      <c r="H792" s="34">
        <v>0</v>
      </c>
      <c r="I792" s="108">
        <v>3.92901711165905E-10</v>
      </c>
      <c r="J792" s="19"/>
      <c r="K792" s="21"/>
      <c r="L792" s="22"/>
      <c r="M792" s="23"/>
      <c r="O792" s="19" t="str">
        <f>VLOOKUP(QUERY_FOR_TRNSTRANSPOSED_0008!A792,'[6]Fin vs NFin'!$A$4:$F$568,6,FALSE)</f>
        <v>Não Financeiras</v>
      </c>
      <c r="P792" s="24" t="str">
        <f t="shared" si="15"/>
        <v>82</v>
      </c>
      <c r="Q792" s="24"/>
      <c r="R792" s="24"/>
      <c r="S792" s="24"/>
      <c r="T792" s="24"/>
    </row>
    <row r="793" spans="1:20">
      <c r="A793" s="18" t="s">
        <v>997</v>
      </c>
      <c r="B793" s="18" t="str">
        <f>VLOOKUP(A793,'[6]Fin vs NFin'!$A$4:$B$568,2,FALSE)</f>
        <v>!Transf Nac Emitidas</v>
      </c>
      <c r="C793" s="18" t="s">
        <v>999</v>
      </c>
      <c r="D793" s="18" t="s">
        <v>76</v>
      </c>
      <c r="E793" s="18" t="str">
        <f>VLOOKUP(D793,[6]Arvore!$N$8:$Q$6855,4,FALSE)</f>
        <v>5151212</v>
      </c>
      <c r="F793" s="19">
        <v>2969441.63</v>
      </c>
      <c r="G793" s="19">
        <v>2868864.46</v>
      </c>
      <c r="H793" s="20">
        <v>100577.17</v>
      </c>
      <c r="I793" s="114"/>
      <c r="J793" s="19"/>
      <c r="K793" s="21"/>
      <c r="L793" s="22"/>
      <c r="M793" s="23"/>
      <c r="O793" s="19" t="str">
        <f>VLOOKUP(QUERY_FOR_TRNSTRANSPOSED_0008!A793,'[6]Fin vs NFin'!$A$4:$F$568,6,FALSE)</f>
        <v>Não Financeiras</v>
      </c>
      <c r="P793" s="24" t="str">
        <f t="shared" si="15"/>
        <v>82</v>
      </c>
      <c r="Q793" s="24"/>
      <c r="R793" s="24"/>
      <c r="S793" s="24"/>
      <c r="T793" s="24"/>
    </row>
    <row r="794" spans="1:20">
      <c r="A794" s="18" t="s">
        <v>997</v>
      </c>
      <c r="B794" s="18" t="str">
        <f>VLOOKUP(A794,'[6]Fin vs NFin'!$A$4:$B$568,2,FALSE)</f>
        <v>!Transf Nac Emitidas</v>
      </c>
      <c r="C794" s="18" t="s">
        <v>1000</v>
      </c>
      <c r="D794" s="18" t="s">
        <v>76</v>
      </c>
      <c r="E794" s="18" t="str">
        <f>VLOOKUP(D794,[6]Arvore!$N$8:$Q$6855,4,FALSE)</f>
        <v>5151212</v>
      </c>
      <c r="F794" s="19">
        <v>38847.64</v>
      </c>
      <c r="G794" s="19">
        <v>139424.81</v>
      </c>
      <c r="H794" s="20">
        <v>-100577.17</v>
      </c>
      <c r="I794" s="114"/>
      <c r="J794" s="19"/>
      <c r="K794" s="21"/>
      <c r="L794" s="22"/>
      <c r="M794" s="23"/>
      <c r="O794" s="19" t="str">
        <f>VLOOKUP(QUERY_FOR_TRNSTRANSPOSED_0008!A794,'[6]Fin vs NFin'!$A$4:$F$568,6,FALSE)</f>
        <v>Não Financeiras</v>
      </c>
      <c r="P794" s="24" t="str">
        <f t="shared" si="15"/>
        <v>82</v>
      </c>
      <c r="Q794" s="24"/>
      <c r="R794" s="24"/>
      <c r="S794" s="24"/>
      <c r="T794" s="24"/>
    </row>
    <row r="795" spans="1:20" ht="15" thickBot="1">
      <c r="A795" s="32" t="s">
        <v>997</v>
      </c>
      <c r="B795" s="32" t="str">
        <f>VLOOKUP(A795,'[6]Fin vs NFin'!$A$4:$B$568,2,FALSE)</f>
        <v>!Transf Nac Emitidas</v>
      </c>
      <c r="C795" s="32" t="s">
        <v>1001</v>
      </c>
      <c r="D795" s="32" t="s">
        <v>76</v>
      </c>
      <c r="E795" s="32" t="str">
        <f>VLOOKUP(D795,[6]Arvore!$N$8:$Q$6855,4,FALSE)</f>
        <v>5151212</v>
      </c>
      <c r="F795" s="33">
        <v>24.11</v>
      </c>
      <c r="G795" s="33">
        <v>24.11</v>
      </c>
      <c r="H795" s="34">
        <v>0</v>
      </c>
      <c r="I795" s="114"/>
      <c r="J795" s="19"/>
      <c r="K795" s="21"/>
      <c r="L795" s="22"/>
      <c r="M795" s="23"/>
      <c r="O795" s="19" t="str">
        <f>VLOOKUP(QUERY_FOR_TRNSTRANSPOSED_0008!A795,'[6]Fin vs NFin'!$A$4:$F$568,6,FALSE)</f>
        <v>Não Financeiras</v>
      </c>
      <c r="P795" s="24" t="str">
        <f t="shared" si="15"/>
        <v>82</v>
      </c>
      <c r="Q795" s="24"/>
      <c r="R795" s="24"/>
      <c r="S795" s="24"/>
      <c r="T795" s="24"/>
    </row>
    <row r="796" spans="1:20">
      <c r="A796" s="38" t="s">
        <v>1002</v>
      </c>
      <c r="B796" s="38" t="str">
        <f>VLOOKUP(A796,'[6]Fin vs NFin'!$A$4:$B$568,2,FALSE)</f>
        <v>!Transf Nac Emit Pacotes</v>
      </c>
      <c r="C796" s="38" t="s">
        <v>1003</v>
      </c>
      <c r="D796" s="38" t="s">
        <v>76</v>
      </c>
      <c r="E796" s="38" t="str">
        <f>VLOOKUP(D796,[6]Arvore!$N$8:$Q$6855,4,FALSE)</f>
        <v>5151212</v>
      </c>
      <c r="F796" s="39">
        <v>431391.5</v>
      </c>
      <c r="G796" s="39">
        <v>430757.5</v>
      </c>
      <c r="H796" s="40">
        <v>634</v>
      </c>
      <c r="I796" s="108">
        <v>0</v>
      </c>
      <c r="J796" s="39"/>
      <c r="K796" s="21"/>
      <c r="L796" s="41"/>
      <c r="M796" s="42"/>
      <c r="O796" s="39" t="str">
        <f>VLOOKUP(QUERY_FOR_TRNSTRANSPOSED_0008!A796,'[6]Fin vs NFin'!$A$4:$F$568,6,FALSE)</f>
        <v>Não Financeiras</v>
      </c>
      <c r="P796" s="43" t="str">
        <f t="shared" si="15"/>
        <v>82</v>
      </c>
      <c r="Q796" s="43"/>
      <c r="R796" s="43"/>
      <c r="S796" s="43"/>
      <c r="T796" s="43"/>
    </row>
    <row r="797" spans="1:20" ht="15" thickBot="1">
      <c r="A797" s="11" t="s">
        <v>1002</v>
      </c>
      <c r="B797" s="11" t="str">
        <f>VLOOKUP(A797,'[6]Fin vs NFin'!$A$4:$B$568,2,FALSE)</f>
        <v>!Transf Nac Emit Pacotes</v>
      </c>
      <c r="C797" s="11" t="s">
        <v>1004</v>
      </c>
      <c r="D797" s="11" t="s">
        <v>76</v>
      </c>
      <c r="E797" s="11" t="str">
        <f>VLOOKUP(D797,[6]Arvore!$N$8:$Q$6855,4,FALSE)</f>
        <v>5151212</v>
      </c>
      <c r="F797" s="12">
        <v>227703.75</v>
      </c>
      <c r="G797" s="12">
        <v>228337.75</v>
      </c>
      <c r="H797" s="13">
        <v>-634</v>
      </c>
      <c r="I797" s="109"/>
      <c r="J797" s="12"/>
      <c r="K797" s="21"/>
      <c r="L797" s="15"/>
      <c r="M797" s="16"/>
      <c r="O797" s="12" t="str">
        <f>VLOOKUP(QUERY_FOR_TRNSTRANSPOSED_0008!A797,'[6]Fin vs NFin'!$A$4:$F$568,6,FALSE)</f>
        <v>Não Financeiras</v>
      </c>
      <c r="P797" s="17" t="str">
        <f t="shared" si="15"/>
        <v>82</v>
      </c>
      <c r="Q797" s="17"/>
      <c r="R797" s="17"/>
      <c r="S797" s="17"/>
      <c r="T797" s="17"/>
    </row>
    <row r="798" spans="1:20">
      <c r="A798" s="18" t="s">
        <v>1005</v>
      </c>
      <c r="B798" s="18" t="str">
        <f>VLOOKUP(A798,'[6]Fin vs NFin'!$A$4:$B$568,2,FALSE)</f>
        <v>!Transf Intern Emitidas</v>
      </c>
      <c r="C798" s="18" t="s">
        <v>1006</v>
      </c>
      <c r="D798" s="18" t="s">
        <v>76</v>
      </c>
      <c r="E798" s="18" t="str">
        <f>VLOOKUP(D798,[6]Arvore!$N$8:$Q$6855,4,FALSE)</f>
        <v>5151212</v>
      </c>
      <c r="F798" s="19">
        <v>407492.78</v>
      </c>
      <c r="G798" s="19">
        <v>406012.43</v>
      </c>
      <c r="H798" s="20">
        <v>1480.3500000000299</v>
      </c>
      <c r="I798" s="108">
        <v>3.5925040720030698E-11</v>
      </c>
      <c r="J798" s="19"/>
      <c r="K798" s="21"/>
      <c r="L798" s="22"/>
      <c r="M798" s="23"/>
      <c r="O798" s="19" t="str">
        <f>VLOOKUP(QUERY_FOR_TRNSTRANSPOSED_0008!A798,'[6]Fin vs NFin'!$A$4:$F$568,6,FALSE)</f>
        <v>Não Financeiras</v>
      </c>
      <c r="P798" s="24" t="str">
        <f t="shared" si="15"/>
        <v>82</v>
      </c>
      <c r="Q798" s="24"/>
      <c r="R798" s="24"/>
      <c r="S798" s="24"/>
      <c r="T798" s="24"/>
    </row>
    <row r="799" spans="1:20">
      <c r="A799" s="18" t="s">
        <v>1005</v>
      </c>
      <c r="B799" s="18" t="str">
        <f>VLOOKUP(A799,'[6]Fin vs NFin'!$A$4:$B$568,2,FALSE)</f>
        <v>!Transf Intern Emitidas</v>
      </c>
      <c r="C799" s="18" t="s">
        <v>1007</v>
      </c>
      <c r="D799" s="18" t="s">
        <v>76</v>
      </c>
      <c r="E799" s="18" t="str">
        <f>VLOOKUP(D799,[6]Arvore!$N$8:$Q$6855,4,FALSE)</f>
        <v>5151212</v>
      </c>
      <c r="F799" s="19">
        <v>3082.8</v>
      </c>
      <c r="G799" s="19">
        <v>4563.1499999999996</v>
      </c>
      <c r="H799" s="20">
        <v>-1480.35</v>
      </c>
      <c r="I799" s="114"/>
      <c r="J799" s="19"/>
      <c r="K799" s="21"/>
      <c r="L799" s="22"/>
      <c r="M799" s="23"/>
      <c r="O799" s="19" t="str">
        <f>VLOOKUP(QUERY_FOR_TRNSTRANSPOSED_0008!A799,'[6]Fin vs NFin'!$A$4:$F$568,6,FALSE)</f>
        <v>Não Financeiras</v>
      </c>
      <c r="P799" s="24" t="str">
        <f t="shared" si="15"/>
        <v>82</v>
      </c>
      <c r="Q799" s="24"/>
      <c r="R799" s="24"/>
      <c r="S799" s="24"/>
      <c r="T799" s="24"/>
    </row>
    <row r="800" spans="1:20" ht="15" thickBot="1">
      <c r="A800" s="35" t="s">
        <v>1005</v>
      </c>
      <c r="B800" s="35" t="str">
        <f>VLOOKUP(A800,'[6]Fin vs NFin'!$A$4:$B$568,2,FALSE)</f>
        <v>!Transf Intern Emitidas</v>
      </c>
      <c r="C800" s="35" t="s">
        <v>1008</v>
      </c>
      <c r="D800" s="35" t="s">
        <v>76</v>
      </c>
      <c r="E800" s="35" t="str">
        <f>VLOOKUP(D800,[6]Arvore!$N$8:$Q$6855,4,FALSE)</f>
        <v>5151212</v>
      </c>
      <c r="F800" s="36">
        <v>-5359.9</v>
      </c>
      <c r="G800" s="36">
        <v>-5359.9</v>
      </c>
      <c r="H800" s="37">
        <v>0</v>
      </c>
      <c r="I800" s="109"/>
      <c r="J800" s="12"/>
      <c r="K800" s="21"/>
      <c r="L800" s="15"/>
      <c r="M800" s="16"/>
      <c r="O800" s="12" t="str">
        <f>VLOOKUP(QUERY_FOR_TRNSTRANSPOSED_0008!A800,'[6]Fin vs NFin'!$A$4:$F$568,6,FALSE)</f>
        <v>Não Financeiras</v>
      </c>
      <c r="P800" s="17" t="str">
        <f t="shared" si="15"/>
        <v>82</v>
      </c>
      <c r="Q800" s="17"/>
      <c r="R800" s="17"/>
      <c r="S800" s="17"/>
      <c r="T800" s="17"/>
    </row>
    <row r="801" spans="1:20">
      <c r="A801" s="18" t="s">
        <v>1009</v>
      </c>
      <c r="B801" s="18" t="str">
        <f>VLOOKUP(A801,'[6]Fin vs NFin'!$A$4:$B$568,2,FALSE)</f>
        <v>!CT Outras</v>
      </c>
      <c r="C801" s="18" t="s">
        <v>1010</v>
      </c>
      <c r="D801" s="18" t="s">
        <v>1011</v>
      </c>
      <c r="E801" s="18" t="str">
        <f>VLOOKUP(D801,[6]Arvore!$N$8:$Q$6855,4,FALSE)</f>
        <v>431112</v>
      </c>
      <c r="F801" s="19" t="s">
        <v>84</v>
      </c>
      <c r="G801" s="19">
        <v>-20</v>
      </c>
      <c r="H801" s="20">
        <v>20</v>
      </c>
      <c r="I801" s="114">
        <f>SUM(H801:H804)</f>
        <v>-1.13686837721616E-13</v>
      </c>
      <c r="J801" s="19"/>
      <c r="K801" s="21"/>
      <c r="L801" s="22"/>
      <c r="M801" s="23"/>
      <c r="O801" s="19" t="str">
        <f>VLOOKUP(QUERY_FOR_TRNSTRANSPOSED_0008!A801,'[6]Fin vs NFin'!$A$4:$F$568,6,FALSE)</f>
        <v>Não Financeiras</v>
      </c>
      <c r="P801" s="24" t="str">
        <f t="shared" si="15"/>
        <v>89</v>
      </c>
      <c r="Q801" s="24"/>
      <c r="R801" s="24" t="str">
        <f>VLOOKUP(D801,[6]Mapeamento!$A$38:$C$497,3,FALSE)</f>
        <v>GG</v>
      </c>
      <c r="S801" s="24"/>
      <c r="T801" s="24"/>
    </row>
    <row r="802" spans="1:20">
      <c r="A802" s="18" t="s">
        <v>1009</v>
      </c>
      <c r="B802" s="18" t="str">
        <f>VLOOKUP(A802,'[6]Fin vs NFin'!$A$4:$B$568,2,FALSE)</f>
        <v>!CT Outras</v>
      </c>
      <c r="C802" s="18" t="s">
        <v>1012</v>
      </c>
      <c r="D802" s="18" t="s">
        <v>76</v>
      </c>
      <c r="E802" s="18" t="str">
        <f>VLOOKUP(D802,[6]Arvore!$N$8:$Q$6855,4,FALSE)</f>
        <v>5151212</v>
      </c>
      <c r="F802" s="19">
        <v>74008.08</v>
      </c>
      <c r="G802" s="19">
        <v>74028.08</v>
      </c>
      <c r="H802" s="20">
        <v>-20</v>
      </c>
      <c r="I802" s="114"/>
      <c r="J802" s="19"/>
      <c r="K802" s="21"/>
      <c r="L802" s="22"/>
      <c r="M802" s="23"/>
      <c r="O802" s="19" t="str">
        <f>VLOOKUP(QUERY_FOR_TRNSTRANSPOSED_0008!A802,'[6]Fin vs NFin'!$A$4:$F$568,6,FALSE)</f>
        <v>Não Financeiras</v>
      </c>
      <c r="P802" s="24" t="str">
        <f t="shared" si="15"/>
        <v>82</v>
      </c>
      <c r="Q802" s="24"/>
      <c r="R802" s="24"/>
      <c r="S802" s="24"/>
      <c r="T802" s="24"/>
    </row>
    <row r="803" spans="1:20">
      <c r="A803" s="32" t="s">
        <v>1009</v>
      </c>
      <c r="B803" s="32" t="str">
        <f>VLOOKUP(A803,'[6]Fin vs NFin'!$A$4:$B$568,2,FALSE)</f>
        <v>!CT Outras</v>
      </c>
      <c r="C803" s="32" t="s">
        <v>67</v>
      </c>
      <c r="D803" s="32" t="s">
        <v>76</v>
      </c>
      <c r="E803" s="32" t="str">
        <f>VLOOKUP(D803,[6]Arvore!$N$8:$Q$6855,4,FALSE)</f>
        <v>5151212</v>
      </c>
      <c r="F803" s="33">
        <v>-573.30999999999995</v>
      </c>
      <c r="G803" s="33">
        <v>-573.30999999999995</v>
      </c>
      <c r="H803" s="34">
        <v>-1.13686837721616E-13</v>
      </c>
      <c r="I803" s="114"/>
      <c r="J803" s="19"/>
      <c r="K803" s="21"/>
      <c r="L803" s="22"/>
      <c r="M803" s="23"/>
      <c r="O803" s="19" t="str">
        <f>VLOOKUP(QUERY_FOR_TRNSTRANSPOSED_0008!A803,'[6]Fin vs NFin'!$A$4:$F$568,6,FALSE)</f>
        <v>Não Financeiras</v>
      </c>
      <c r="P803" s="24" t="str">
        <f t="shared" si="15"/>
        <v>82</v>
      </c>
      <c r="Q803" s="24"/>
      <c r="R803" s="24"/>
      <c r="S803" s="24"/>
      <c r="T803" s="24"/>
    </row>
    <row r="804" spans="1:20" ht="15" thickBot="1">
      <c r="A804" s="32" t="s">
        <v>1009</v>
      </c>
      <c r="B804" s="32" t="str">
        <f>VLOOKUP(A804,'[6]Fin vs NFin'!$A$4:$B$568,2,FALSE)</f>
        <v>!CT Outras</v>
      </c>
      <c r="C804" s="32" t="s">
        <v>1013</v>
      </c>
      <c r="D804" s="32" t="s">
        <v>1014</v>
      </c>
      <c r="E804" s="32" t="str">
        <f>VLOOKUP(D804,[6]Arvore!$N$8:$Q$6855,4,FALSE)</f>
        <v>5151511</v>
      </c>
      <c r="F804" s="33">
        <v>-399879.9</v>
      </c>
      <c r="G804" s="33">
        <v>-399879.9</v>
      </c>
      <c r="H804" s="34">
        <v>0</v>
      </c>
      <c r="I804" s="114"/>
      <c r="J804" s="19"/>
      <c r="K804" s="21"/>
      <c r="L804" s="22"/>
      <c r="M804" s="23"/>
      <c r="O804" s="19" t="str">
        <f>VLOOKUP(QUERY_FOR_TRNSTRANSPOSED_0008!A804,'[6]Fin vs NFin'!$A$4:$F$568,6,FALSE)</f>
        <v>Não Financeiras</v>
      </c>
      <c r="P804" s="24" t="str">
        <f t="shared" si="15"/>
        <v>71</v>
      </c>
      <c r="Q804" s="24"/>
      <c r="R804" s="24"/>
      <c r="S804" s="24"/>
      <c r="T804" s="24"/>
    </row>
    <row r="805" spans="1:20">
      <c r="A805" s="38" t="s">
        <v>1015</v>
      </c>
      <c r="B805" s="38" t="str">
        <f>VLOOKUP(A805,'[6]Fin vs NFin'!$A$4:$B$568,2,FALSE)</f>
        <v>!Aluguer Cofres</v>
      </c>
      <c r="C805" s="38" t="s">
        <v>1016</v>
      </c>
      <c r="D805" s="38" t="s">
        <v>1017</v>
      </c>
      <c r="E805" s="38" t="str">
        <f>VLOOKUP(D805,[6]Arvore!$N$8:$Q$6855,4,FALSE)</f>
        <v>51999</v>
      </c>
      <c r="F805" s="39">
        <v>6399.78</v>
      </c>
      <c r="G805" s="39">
        <v>7037.81</v>
      </c>
      <c r="H805" s="40">
        <v>-638.03</v>
      </c>
      <c r="I805" s="108">
        <f>SUM(H805:H810)</f>
        <v>-3.0013325158506632E-11</v>
      </c>
      <c r="J805" s="39"/>
      <c r="K805" s="21"/>
      <c r="L805" s="41"/>
      <c r="M805" s="42"/>
      <c r="O805" s="39" t="str">
        <f>VLOOKUP(QUERY_FOR_TRNSTRANSPOSED_0008!A805,'[6]Fin vs NFin'!$A$4:$F$568,6,FALSE)</f>
        <v>Não Financeiras</v>
      </c>
      <c r="P805" s="43" t="str">
        <f t="shared" si="15"/>
        <v>89</v>
      </c>
      <c r="Q805" s="43"/>
      <c r="R805" s="43"/>
      <c r="S805" s="43"/>
      <c r="T805" s="43"/>
    </row>
    <row r="806" spans="1:20">
      <c r="A806" s="18" t="s">
        <v>1015</v>
      </c>
      <c r="B806" s="18" t="str">
        <f>VLOOKUP(A806,'[6]Fin vs NFin'!$A$4:$B$568,2,FALSE)</f>
        <v>!Aluguer Cofres</v>
      </c>
      <c r="C806" s="18" t="s">
        <v>1018</v>
      </c>
      <c r="D806" s="18" t="s">
        <v>1017</v>
      </c>
      <c r="E806" s="18" t="str">
        <f>VLOOKUP(D806,[6]Arvore!$N$8:$Q$6855,4,FALSE)</f>
        <v>51999</v>
      </c>
      <c r="F806" s="19">
        <v>21908.63</v>
      </c>
      <c r="G806" s="19">
        <v>14548</v>
      </c>
      <c r="H806" s="20">
        <v>7360.63</v>
      </c>
      <c r="I806" s="114"/>
      <c r="J806" s="19"/>
      <c r="K806" s="21"/>
      <c r="L806" s="22"/>
      <c r="M806" s="23"/>
      <c r="O806" s="19" t="str">
        <f>VLOOKUP(QUERY_FOR_TRNSTRANSPOSED_0008!A806,'[6]Fin vs NFin'!$A$4:$F$568,6,FALSE)</f>
        <v>Não Financeiras</v>
      </c>
      <c r="P806" s="24" t="str">
        <f t="shared" si="15"/>
        <v>89</v>
      </c>
      <c r="Q806" s="24"/>
      <c r="R806" s="24"/>
      <c r="S806" s="24"/>
      <c r="T806" s="24"/>
    </row>
    <row r="807" spans="1:20">
      <c r="A807" s="18" t="s">
        <v>1015</v>
      </c>
      <c r="B807" s="18" t="str">
        <f>VLOOKUP(A807,'[6]Fin vs NFin'!$A$4:$B$568,2,FALSE)</f>
        <v>!Aluguer Cofres</v>
      </c>
      <c r="C807" s="18" t="s">
        <v>1019</v>
      </c>
      <c r="D807" s="18" t="s">
        <v>1017</v>
      </c>
      <c r="E807" s="18" t="str">
        <f>VLOOKUP(D807,[6]Arvore!$N$8:$Q$6855,4,FALSE)</f>
        <v>51999</v>
      </c>
      <c r="F807" s="19">
        <v>412752.79</v>
      </c>
      <c r="G807" s="19">
        <v>419475.39</v>
      </c>
      <c r="H807" s="20">
        <v>-6722.6000000000304</v>
      </c>
      <c r="I807" s="114"/>
      <c r="J807" s="19"/>
      <c r="K807" s="21"/>
      <c r="L807" s="22"/>
      <c r="M807" s="23"/>
      <c r="O807" s="19" t="str">
        <f>VLOOKUP(QUERY_FOR_TRNSTRANSPOSED_0008!A807,'[6]Fin vs NFin'!$A$4:$F$568,6,FALSE)</f>
        <v>Não Financeiras</v>
      </c>
      <c r="P807" s="24" t="str">
        <f t="shared" si="15"/>
        <v>89</v>
      </c>
      <c r="Q807" s="24"/>
      <c r="R807" s="24"/>
      <c r="S807" s="24"/>
      <c r="T807" s="24"/>
    </row>
    <row r="808" spans="1:20">
      <c r="A808" s="32" t="s">
        <v>1015</v>
      </c>
      <c r="B808" s="32" t="str">
        <f>VLOOKUP(A808,'[6]Fin vs NFin'!$A$4:$B$568,2,FALSE)</f>
        <v>!Aluguer Cofres</v>
      </c>
      <c r="C808" s="32" t="s">
        <v>1020</v>
      </c>
      <c r="D808" s="32" t="s">
        <v>1017</v>
      </c>
      <c r="E808" s="32" t="str">
        <f>VLOOKUP(D808,[6]Arvore!$N$8:$Q$6855,4,FALSE)</f>
        <v>51999</v>
      </c>
      <c r="F808" s="33">
        <v>-611</v>
      </c>
      <c r="G808" s="33">
        <v>-611</v>
      </c>
      <c r="H808" s="34">
        <v>0</v>
      </c>
      <c r="I808" s="114"/>
      <c r="J808" s="19"/>
      <c r="K808" s="21"/>
      <c r="L808" s="22"/>
      <c r="M808" s="23"/>
      <c r="O808" s="19" t="str">
        <f>VLOOKUP(QUERY_FOR_TRNSTRANSPOSED_0008!A808,'[6]Fin vs NFin'!$A$4:$F$568,6,FALSE)</f>
        <v>Não Financeiras</v>
      </c>
      <c r="P808" s="24" t="str">
        <f t="shared" si="15"/>
        <v>89</v>
      </c>
      <c r="Q808" s="24"/>
      <c r="R808" s="24"/>
      <c r="S808" s="24"/>
      <c r="T808" s="24"/>
    </row>
    <row r="809" spans="1:20">
      <c r="A809" s="32" t="s">
        <v>1015</v>
      </c>
      <c r="B809" s="32" t="str">
        <f>VLOOKUP(A809,'[6]Fin vs NFin'!$A$4:$B$568,2,FALSE)</f>
        <v>!Aluguer Cofres</v>
      </c>
      <c r="C809" s="32" t="s">
        <v>67</v>
      </c>
      <c r="D809" s="32" t="s">
        <v>1017</v>
      </c>
      <c r="E809" s="32" t="str">
        <f>VLOOKUP(D809,[6]Arvore!$N$8:$Q$6855,4,FALSE)</f>
        <v>51999</v>
      </c>
      <c r="F809" s="33">
        <v>3140.33</v>
      </c>
      <c r="G809" s="33">
        <v>3140.33</v>
      </c>
      <c r="H809" s="34">
        <v>0</v>
      </c>
      <c r="I809" s="114"/>
      <c r="J809" s="19"/>
      <c r="K809" s="21"/>
      <c r="L809" s="22"/>
      <c r="M809" s="23"/>
      <c r="O809" s="19" t="str">
        <f>VLOOKUP(QUERY_FOR_TRNSTRANSPOSED_0008!A809,'[6]Fin vs NFin'!$A$4:$F$568,6,FALSE)</f>
        <v>Não Financeiras</v>
      </c>
      <c r="P809" s="24" t="str">
        <f t="shared" si="15"/>
        <v>89</v>
      </c>
      <c r="Q809" s="24"/>
      <c r="R809" s="24"/>
      <c r="S809" s="24"/>
      <c r="T809" s="24"/>
    </row>
    <row r="810" spans="1:20" ht="15" thickBot="1">
      <c r="A810" s="35" t="s">
        <v>1015</v>
      </c>
      <c r="B810" s="35" t="str">
        <f>VLOOKUP(A810,'[6]Fin vs NFin'!$A$4:$B$568,2,FALSE)</f>
        <v>!Aluguer Cofres</v>
      </c>
      <c r="C810" s="35" t="s">
        <v>177</v>
      </c>
      <c r="D810" s="35" t="s">
        <v>1017</v>
      </c>
      <c r="E810" s="35" t="str">
        <f>VLOOKUP(D810,[6]Arvore!$N$8:$Q$6855,4,FALSE)</f>
        <v>51999</v>
      </c>
      <c r="F810" s="36">
        <v>-105</v>
      </c>
      <c r="G810" s="36">
        <v>-105</v>
      </c>
      <c r="H810" s="37">
        <v>0</v>
      </c>
      <c r="I810" s="109"/>
      <c r="J810" s="12"/>
      <c r="K810" s="21"/>
      <c r="L810" s="15"/>
      <c r="M810" s="16"/>
      <c r="O810" s="12" t="str">
        <f>VLOOKUP(QUERY_FOR_TRNSTRANSPOSED_0008!A810,'[6]Fin vs NFin'!$A$4:$F$568,6,FALSE)</f>
        <v>Não Financeiras</v>
      </c>
      <c r="P810" s="17" t="str">
        <f t="shared" si="15"/>
        <v>89</v>
      </c>
      <c r="Q810" s="17"/>
      <c r="R810" s="17"/>
      <c r="S810" s="17"/>
      <c r="T810" s="17"/>
    </row>
    <row r="811" spans="1:20">
      <c r="A811" s="32" t="s">
        <v>1021</v>
      </c>
      <c r="B811" s="32" t="str">
        <f>VLOOKUP(A811,'[6]Fin vs NFin'!$A$4:$B$568,2,FALSE)</f>
        <v>!Informações</v>
      </c>
      <c r="C811" s="32" t="s">
        <v>1022</v>
      </c>
      <c r="D811" s="32" t="s">
        <v>1023</v>
      </c>
      <c r="E811" s="32" t="str">
        <f>VLOOKUP(D811,[6]Arvore!$N$8:$Q$6855,4,FALSE)</f>
        <v>55083</v>
      </c>
      <c r="F811" s="33">
        <v>193.17</v>
      </c>
      <c r="G811" s="33">
        <v>193.17</v>
      </c>
      <c r="H811" s="34">
        <v>-2.8421709430404001E-14</v>
      </c>
      <c r="I811" s="108">
        <v>-1.7788482015049598E-2</v>
      </c>
      <c r="J811" s="19"/>
      <c r="K811" s="21"/>
      <c r="L811" s="22"/>
      <c r="M811" s="23"/>
      <c r="O811" s="19" t="str">
        <f>VLOOKUP(QUERY_FOR_TRNSTRANSPOSED_0008!A811,'[6]Fin vs NFin'!$A$4:$F$568,6,FALSE)</f>
        <v>Não Financeiras</v>
      </c>
      <c r="P811" s="24" t="str">
        <f t="shared" si="15"/>
        <v>89</v>
      </c>
      <c r="Q811" s="24" t="str">
        <f>VLOOKUP(D811,[6]Mapeamento!$A$38:$C$497,3,FALSE)</f>
        <v>OREX</v>
      </c>
      <c r="R811" s="24"/>
      <c r="S811" s="24"/>
      <c r="T811" s="24"/>
    </row>
    <row r="812" spans="1:20">
      <c r="A812" s="18" t="s">
        <v>1021</v>
      </c>
      <c r="B812" s="18" t="str">
        <f>VLOOKUP(A812,'[6]Fin vs NFin'!$A$4:$B$568,2,FALSE)</f>
        <v>!Informações</v>
      </c>
      <c r="C812" s="18" t="s">
        <v>1024</v>
      </c>
      <c r="D812" s="18" t="s">
        <v>32</v>
      </c>
      <c r="E812" s="18" t="str">
        <f>VLOOKUP(D812,[6]Arvore!$N$8:$Q$6855,4,FALSE)</f>
        <v>55083</v>
      </c>
      <c r="F812" s="19">
        <v>3745</v>
      </c>
      <c r="G812" s="19">
        <v>3675</v>
      </c>
      <c r="H812" s="20">
        <v>70</v>
      </c>
      <c r="I812" s="114"/>
      <c r="J812" s="19"/>
      <c r="K812" s="21"/>
      <c r="L812" s="22"/>
      <c r="M812" s="23"/>
      <c r="O812" s="19" t="str">
        <f>VLOOKUP(QUERY_FOR_TRNSTRANSPOSED_0008!A812,'[6]Fin vs NFin'!$A$4:$F$568,6,FALSE)</f>
        <v>Não Financeiras</v>
      </c>
      <c r="P812" s="24" t="str">
        <f t="shared" si="15"/>
        <v>89</v>
      </c>
      <c r="Q812" s="24" t="str">
        <f>VLOOKUP(D812,[6]Mapeamento!$A$38:$C$497,3,FALSE)</f>
        <v>OREX</v>
      </c>
      <c r="R812" s="24"/>
      <c r="S812" s="24"/>
      <c r="T812" s="24"/>
    </row>
    <row r="813" spans="1:20">
      <c r="A813" s="18" t="s">
        <v>1021</v>
      </c>
      <c r="B813" s="18" t="str">
        <f>VLOOKUP(A813,'[6]Fin vs NFin'!$A$4:$B$568,2,FALSE)</f>
        <v>!Informações</v>
      </c>
      <c r="C813" s="18" t="s">
        <v>1025</v>
      </c>
      <c r="D813" s="18" t="s">
        <v>32</v>
      </c>
      <c r="E813" s="18" t="str">
        <f>VLOOKUP(D813,[6]Arvore!$N$8:$Q$6855,4,FALSE)</f>
        <v>55083</v>
      </c>
      <c r="F813" s="19">
        <v>924696.28</v>
      </c>
      <c r="G813" s="19">
        <v>924766.29778848204</v>
      </c>
      <c r="H813" s="20">
        <v>-70.017788482015007</v>
      </c>
      <c r="I813" s="114"/>
      <c r="J813" s="19"/>
      <c r="K813" s="21"/>
      <c r="L813" s="22"/>
      <c r="M813" s="23"/>
      <c r="O813" s="19" t="str">
        <f>VLOOKUP(QUERY_FOR_TRNSTRANSPOSED_0008!A813,'[6]Fin vs NFin'!$A$4:$F$568,6,FALSE)</f>
        <v>Não Financeiras</v>
      </c>
      <c r="P813" s="24" t="str">
        <f t="shared" si="15"/>
        <v>89</v>
      </c>
      <c r="Q813" s="24" t="str">
        <f>VLOOKUP(D813,[6]Mapeamento!$A$38:$C$497,3,FALSE)</f>
        <v>OREX</v>
      </c>
      <c r="R813" s="24"/>
      <c r="S813" s="24"/>
      <c r="T813" s="24"/>
    </row>
    <row r="814" spans="1:20" ht="15" thickBot="1">
      <c r="A814" s="32" t="s">
        <v>1021</v>
      </c>
      <c r="B814" s="32" t="str">
        <f>VLOOKUP(A814,'[6]Fin vs NFin'!$A$4:$B$568,2,FALSE)</f>
        <v>!Informações</v>
      </c>
      <c r="C814" s="32" t="s">
        <v>67</v>
      </c>
      <c r="D814" s="32" t="s">
        <v>32</v>
      </c>
      <c r="E814" s="32" t="str">
        <f>VLOOKUP(D814,[6]Arvore!$N$8:$Q$6855,4,FALSE)</f>
        <v>55083</v>
      </c>
      <c r="F814" s="33">
        <v>687.5</v>
      </c>
      <c r="G814" s="33">
        <v>687.5</v>
      </c>
      <c r="H814" s="34">
        <v>0</v>
      </c>
      <c r="I814" s="114"/>
      <c r="J814" s="19"/>
      <c r="K814" s="21"/>
      <c r="L814" s="22"/>
      <c r="M814" s="23"/>
      <c r="O814" s="19" t="str">
        <f>VLOOKUP(QUERY_FOR_TRNSTRANSPOSED_0008!A814,'[6]Fin vs NFin'!$A$4:$F$568,6,FALSE)</f>
        <v>Não Financeiras</v>
      </c>
      <c r="P814" s="24" t="str">
        <f t="shared" si="15"/>
        <v>89</v>
      </c>
      <c r="Q814" s="24" t="str">
        <f>VLOOKUP(D814,[6]Mapeamento!$A$38:$C$497,3,FALSE)</f>
        <v>OREX</v>
      </c>
      <c r="R814" s="24"/>
      <c r="S814" s="24"/>
      <c r="T814" s="24"/>
    </row>
    <row r="815" spans="1:20">
      <c r="A815" s="38" t="s">
        <v>1026</v>
      </c>
      <c r="B815" s="38" t="str">
        <f>VLOOKUP(A815,'[6]Fin vs NFin'!$A$4:$B$568,2,FALSE)</f>
        <v>!Capacidade Financeira</v>
      </c>
      <c r="C815" s="38" t="s">
        <v>1027</v>
      </c>
      <c r="D815" s="38" t="s">
        <v>1028</v>
      </c>
      <c r="E815" s="38" t="str">
        <f>VLOOKUP(D815,[6]Arvore!$N$8:$Q$6855,4,FALSE)</f>
        <v>55083</v>
      </c>
      <c r="F815" s="39">
        <v>4069</v>
      </c>
      <c r="G815" s="39">
        <v>3829</v>
      </c>
      <c r="H815" s="40">
        <v>240</v>
      </c>
      <c r="I815" s="108">
        <f>SUM(H815:H816)</f>
        <v>0</v>
      </c>
      <c r="J815" s="39"/>
      <c r="K815" s="21"/>
      <c r="L815" s="41"/>
      <c r="M815" s="42"/>
      <c r="O815" s="39" t="str">
        <f>VLOOKUP(QUERY_FOR_TRNSTRANSPOSED_0008!A815,'[6]Fin vs NFin'!$A$4:$F$568,6,FALSE)</f>
        <v>Não Financeiras</v>
      </c>
      <c r="P815" s="43" t="str">
        <f t="shared" si="15"/>
        <v>89</v>
      </c>
      <c r="Q815" s="43" t="str">
        <f>VLOOKUP(D815,[6]Mapeamento!$A$38:$C$497,3,FALSE)</f>
        <v>OREX</v>
      </c>
      <c r="R815" s="43"/>
      <c r="S815" s="43"/>
      <c r="T815" s="43"/>
    </row>
    <row r="816" spans="1:20" ht="15" thickBot="1">
      <c r="A816" s="11" t="s">
        <v>1026</v>
      </c>
      <c r="B816" s="11" t="str">
        <f>VLOOKUP(A816,'[6]Fin vs NFin'!$A$4:$B$568,2,FALSE)</f>
        <v>!Capacidade Financeira</v>
      </c>
      <c r="C816" s="11" t="s">
        <v>1029</v>
      </c>
      <c r="D816" s="11" t="s">
        <v>1028</v>
      </c>
      <c r="E816" s="11" t="str">
        <f>VLOOKUP(D816,[6]Arvore!$N$8:$Q$6855,4,FALSE)</f>
        <v>55083</v>
      </c>
      <c r="F816" s="12">
        <v>4100</v>
      </c>
      <c r="G816" s="12">
        <v>4340</v>
      </c>
      <c r="H816" s="13">
        <v>-240</v>
      </c>
      <c r="I816" s="109"/>
      <c r="J816" s="12"/>
      <c r="K816" s="21"/>
      <c r="L816" s="15"/>
      <c r="M816" s="16"/>
      <c r="O816" s="12" t="str">
        <f>VLOOKUP(QUERY_FOR_TRNSTRANSPOSED_0008!A816,'[6]Fin vs NFin'!$A$4:$F$568,6,FALSE)</f>
        <v>Não Financeiras</v>
      </c>
      <c r="P816" s="17" t="str">
        <f t="shared" si="15"/>
        <v>89</v>
      </c>
      <c r="Q816" s="17" t="str">
        <f>VLOOKUP(D816,[6]Mapeamento!$A$38:$C$497,3,FALSE)</f>
        <v>OREX</v>
      </c>
      <c r="R816" s="17"/>
      <c r="S816" s="17"/>
      <c r="T816" s="17"/>
    </row>
    <row r="817" spans="1:20" ht="15" thickBot="1">
      <c r="A817" s="44" t="s">
        <v>1030</v>
      </c>
      <c r="B817" s="44" t="str">
        <f>VLOOKUP(A817,'[6]Fin vs NFin'!$A$4:$B$568,2,FALSE)</f>
        <v>!Habilitação Herdeiros</v>
      </c>
      <c r="C817" s="44" t="s">
        <v>1031</v>
      </c>
      <c r="D817" s="44" t="s">
        <v>1023</v>
      </c>
      <c r="E817" s="44" t="str">
        <f>VLOOKUP(D817,[6]Arvore!$N$8:$Q$6855,4,FALSE)</f>
        <v>55083</v>
      </c>
      <c r="F817" s="45">
        <v>267460</v>
      </c>
      <c r="G817" s="45">
        <v>267460</v>
      </c>
      <c r="H817" s="46">
        <v>0</v>
      </c>
      <c r="I817" s="28">
        <v>0</v>
      </c>
      <c r="J817" s="26"/>
      <c r="L817" s="29"/>
      <c r="M817" s="30"/>
      <c r="O817" s="26" t="str">
        <f>VLOOKUP(QUERY_FOR_TRNSTRANSPOSED_0008!A817,'[6]Fin vs NFin'!$A$4:$F$568,6,FALSE)</f>
        <v>Não Financeiras</v>
      </c>
      <c r="P817" s="31" t="str">
        <f t="shared" si="15"/>
        <v>89</v>
      </c>
      <c r="Q817" s="31" t="str">
        <f>VLOOKUP(D817,[6]Mapeamento!$A$38:$C$497,3,FALSE)</f>
        <v>OREX</v>
      </c>
      <c r="R817" s="31"/>
      <c r="S817" s="31"/>
      <c r="T817" s="31"/>
    </row>
    <row r="818" spans="1:20">
      <c r="A818" s="18" t="s">
        <v>1032</v>
      </c>
      <c r="B818" s="18" t="str">
        <f>VLOOKUP(A818,'[6]Fin vs NFin'!$A$4:$B$568,2,FALSE)</f>
        <v>!Cheques Pré-Datados</v>
      </c>
      <c r="C818" s="18" t="s">
        <v>1033</v>
      </c>
      <c r="D818" s="18" t="s">
        <v>1034</v>
      </c>
      <c r="E818" s="18" t="str">
        <f>VLOOKUP(D818,[6]Arvore!$N$8:$Q$6855,4,FALSE)</f>
        <v>5194</v>
      </c>
      <c r="F818" s="19">
        <v>166877.12</v>
      </c>
      <c r="G818" s="19">
        <v>213065.01</v>
      </c>
      <c r="H818" s="20">
        <v>-46187.89</v>
      </c>
      <c r="I818" s="114">
        <f>SUM(H818:H821)</f>
        <v>0</v>
      </c>
      <c r="J818" s="19"/>
      <c r="K818" s="21"/>
      <c r="L818" s="22"/>
      <c r="M818" s="23"/>
      <c r="O818" s="19" t="str">
        <f>VLOOKUP(QUERY_FOR_TRNSTRANSPOSED_0008!A818,'[6]Fin vs NFin'!$A$4:$F$568,6,FALSE)</f>
        <v>Não Financeiras</v>
      </c>
      <c r="P818" s="24" t="str">
        <f t="shared" si="15"/>
        <v>82</v>
      </c>
      <c r="Q818" s="24"/>
      <c r="R818" s="24"/>
      <c r="S818" s="24"/>
      <c r="T818" s="24"/>
    </row>
    <row r="819" spans="1:20">
      <c r="A819" s="18" t="s">
        <v>1032</v>
      </c>
      <c r="B819" s="18" t="str">
        <f>VLOOKUP(A819,'[6]Fin vs NFin'!$A$4:$B$568,2,FALSE)</f>
        <v>!Cheques Pré-Datados</v>
      </c>
      <c r="C819" s="18" t="s">
        <v>1035</v>
      </c>
      <c r="D819" s="18" t="s">
        <v>1034</v>
      </c>
      <c r="E819" s="18" t="str">
        <f>VLOOKUP(D819,[6]Arvore!$N$8:$Q$6855,4,FALSE)</f>
        <v>5194</v>
      </c>
      <c r="F819" s="19">
        <v>18245.93</v>
      </c>
      <c r="G819" s="19">
        <v>17164.63</v>
      </c>
      <c r="H819" s="20">
        <v>1081.3</v>
      </c>
      <c r="I819" s="114"/>
      <c r="J819" s="19"/>
      <c r="K819" s="21"/>
      <c r="L819" s="22"/>
      <c r="M819" s="23"/>
      <c r="O819" s="19" t="str">
        <f>VLOOKUP(QUERY_FOR_TRNSTRANSPOSED_0008!A819,'[6]Fin vs NFin'!$A$4:$F$568,6,FALSE)</f>
        <v>Não Financeiras</v>
      </c>
      <c r="P819" s="24" t="str">
        <f t="shared" si="15"/>
        <v>82</v>
      </c>
      <c r="Q819" s="24"/>
      <c r="R819" s="24"/>
      <c r="S819" s="24"/>
      <c r="T819" s="24"/>
    </row>
    <row r="820" spans="1:20">
      <c r="A820" s="18" t="s">
        <v>1032</v>
      </c>
      <c r="B820" s="18" t="str">
        <f>VLOOKUP(A820,'[6]Fin vs NFin'!$A$4:$B$568,2,FALSE)</f>
        <v>!Cheques Pré-Datados</v>
      </c>
      <c r="C820" s="18" t="s">
        <v>1036</v>
      </c>
      <c r="D820" s="18" t="s">
        <v>1034</v>
      </c>
      <c r="E820" s="18" t="str">
        <f>VLOOKUP(D820,[6]Arvore!$N$8:$Q$6855,4,FALSE)</f>
        <v>5194</v>
      </c>
      <c r="F820" s="19" t="s">
        <v>84</v>
      </c>
      <c r="G820" s="19">
        <v>23.5</v>
      </c>
      <c r="H820" s="20">
        <v>-23.5</v>
      </c>
      <c r="I820" s="114"/>
      <c r="J820" s="19"/>
      <c r="K820" s="21"/>
      <c r="L820" s="22"/>
      <c r="M820" s="23"/>
      <c r="O820" s="19" t="str">
        <f>VLOOKUP(QUERY_FOR_TRNSTRANSPOSED_0008!A820,'[6]Fin vs NFin'!$A$4:$F$568,6,FALSE)</f>
        <v>Não Financeiras</v>
      </c>
      <c r="P820" s="24" t="str">
        <f t="shared" si="15"/>
        <v>82</v>
      </c>
      <c r="Q820" s="24"/>
      <c r="R820" s="24"/>
      <c r="S820" s="24"/>
      <c r="T820" s="24"/>
    </row>
    <row r="821" spans="1:20" ht="15" thickBot="1">
      <c r="A821" s="18" t="s">
        <v>1032</v>
      </c>
      <c r="B821" s="18" t="str">
        <f>VLOOKUP(A821,'[6]Fin vs NFin'!$A$4:$B$568,2,FALSE)</f>
        <v>!Cheques Pré-Datados</v>
      </c>
      <c r="C821" s="18" t="s">
        <v>1037</v>
      </c>
      <c r="D821" s="18" t="s">
        <v>1034</v>
      </c>
      <c r="E821" s="18" t="str">
        <f>VLOOKUP(D821,[6]Arvore!$N$8:$Q$6855,4,FALSE)</f>
        <v>5194</v>
      </c>
      <c r="F821" s="19">
        <v>48650.38</v>
      </c>
      <c r="G821" s="19">
        <v>3520.29</v>
      </c>
      <c r="H821" s="20">
        <v>45130.09</v>
      </c>
      <c r="I821" s="114"/>
      <c r="J821" s="19"/>
      <c r="K821" s="21"/>
      <c r="L821" s="22"/>
      <c r="M821" s="23"/>
      <c r="O821" s="19" t="str">
        <f>VLOOKUP(QUERY_FOR_TRNSTRANSPOSED_0008!A821,'[6]Fin vs NFin'!$A$4:$F$568,6,FALSE)</f>
        <v>Não Financeiras</v>
      </c>
      <c r="P821" s="24" t="str">
        <f t="shared" si="15"/>
        <v>82</v>
      </c>
      <c r="Q821" s="24"/>
      <c r="R821" s="24"/>
      <c r="S821" s="24"/>
      <c r="T821" s="24"/>
    </row>
    <row r="822" spans="1:20">
      <c r="A822" s="49" t="s">
        <v>1038</v>
      </c>
      <c r="B822" s="49" t="str">
        <f>VLOOKUP(A822,'[6]Fin vs NFin'!$A$4:$B$568,2,FALSE)</f>
        <v>!Cheques Fornecedores</v>
      </c>
      <c r="C822" s="49" t="s">
        <v>1039</v>
      </c>
      <c r="D822" s="49" t="s">
        <v>1040</v>
      </c>
      <c r="E822" s="49" t="str">
        <f>VLOOKUP(D822,[6]Arvore!$N$8:$Q$6855,4,FALSE)</f>
        <v>51999</v>
      </c>
      <c r="F822" s="50">
        <v>4657.62</v>
      </c>
      <c r="G822" s="50">
        <v>4657.62</v>
      </c>
      <c r="H822" s="51">
        <v>0</v>
      </c>
      <c r="I822" s="108">
        <v>4.5474735088646404E-12</v>
      </c>
      <c r="J822" s="39"/>
      <c r="K822" s="21"/>
      <c r="L822" s="41"/>
      <c r="M822" s="42"/>
      <c r="O822" s="39" t="str">
        <f>VLOOKUP(QUERY_FOR_TRNSTRANSPOSED_0008!A822,'[6]Fin vs NFin'!$A$4:$F$568,6,FALSE)</f>
        <v>Não Financeiras</v>
      </c>
      <c r="P822" s="43" t="str">
        <f t="shared" si="15"/>
        <v>82</v>
      </c>
      <c r="Q822" s="43"/>
      <c r="R822" s="43"/>
      <c r="S822" s="43"/>
      <c r="T822" s="43"/>
    </row>
    <row r="823" spans="1:20">
      <c r="A823" s="32" t="s">
        <v>1038</v>
      </c>
      <c r="B823" s="32" t="str">
        <f>VLOOKUP(A823,'[6]Fin vs NFin'!$A$4:$B$568,2,FALSE)</f>
        <v>!Cheques Fornecedores</v>
      </c>
      <c r="C823" s="32" t="s">
        <v>1041</v>
      </c>
      <c r="D823" s="32" t="s">
        <v>1042</v>
      </c>
      <c r="E823" s="32" t="str">
        <f>VLOOKUP(D823,[6]Arvore!$N$8:$Q$6855,4,FALSE)</f>
        <v>5194</v>
      </c>
      <c r="F823" s="33">
        <v>29197.35</v>
      </c>
      <c r="G823" s="33">
        <v>29197.35</v>
      </c>
      <c r="H823" s="34">
        <v>3.6379788070917101E-12</v>
      </c>
      <c r="I823" s="114"/>
      <c r="J823" s="19"/>
      <c r="K823" s="21"/>
      <c r="L823" s="22"/>
      <c r="M823" s="23"/>
      <c r="O823" s="19" t="str">
        <f>VLOOKUP(QUERY_FOR_TRNSTRANSPOSED_0008!A823,'[6]Fin vs NFin'!$A$4:$F$568,6,FALSE)</f>
        <v>Não Financeiras</v>
      </c>
      <c r="P823" s="24" t="str">
        <f t="shared" si="15"/>
        <v>82</v>
      </c>
      <c r="Q823" s="24"/>
      <c r="R823" s="24"/>
      <c r="S823" s="24"/>
      <c r="T823" s="24"/>
    </row>
    <row r="824" spans="1:20" ht="15" thickBot="1">
      <c r="A824" s="32" t="s">
        <v>1038</v>
      </c>
      <c r="B824" s="32" t="str">
        <f>VLOOKUP(A824,'[6]Fin vs NFin'!$A$4:$B$568,2,FALSE)</f>
        <v>!Cheques Fornecedores</v>
      </c>
      <c r="C824" s="32" t="s">
        <v>1043</v>
      </c>
      <c r="D824" s="32" t="s">
        <v>735</v>
      </c>
      <c r="E824" s="32" t="str">
        <f>VLOOKUP(D824,[6]Arvore!$N$8:$Q$6855,4,FALSE)</f>
        <v>431111</v>
      </c>
      <c r="F824" s="33">
        <v>6417.74</v>
      </c>
      <c r="G824" s="33">
        <v>6417.74</v>
      </c>
      <c r="H824" s="34">
        <v>9.0949470177292804E-13</v>
      </c>
      <c r="I824" s="114"/>
      <c r="J824" s="19"/>
      <c r="K824" s="21"/>
      <c r="L824" s="22"/>
      <c r="M824" s="23"/>
      <c r="O824" s="19" t="str">
        <f>VLOOKUP(QUERY_FOR_TRNSTRANSPOSED_0008!A824,'[6]Fin vs NFin'!$A$4:$F$568,6,FALSE)</f>
        <v>Não Financeiras</v>
      </c>
      <c r="P824" s="24" t="str">
        <f t="shared" si="15"/>
        <v>89</v>
      </c>
      <c r="Q824" s="24"/>
      <c r="R824" s="24" t="str">
        <f>VLOOKUP(D824,[6]Mapeamento!$A$38:$C$497,3,FALSE)</f>
        <v>GG</v>
      </c>
      <c r="S824" s="24"/>
      <c r="T824" s="24"/>
    </row>
    <row r="825" spans="1:20" ht="15" thickBot="1">
      <c r="A825" s="44" t="s">
        <v>1044</v>
      </c>
      <c r="B825" s="44" t="str">
        <f>VLOOKUP(A825,'[6]Fin vs NFin'!$A$4:$B$568,2,FALSE)</f>
        <v>!Tx Mensal de Adesão</v>
      </c>
      <c r="C825" s="44" t="s">
        <v>1045</v>
      </c>
      <c r="D825" s="44" t="s">
        <v>1046</v>
      </c>
      <c r="E825" s="44" t="str">
        <f>VLOOKUP(D825,[6]Arvore!$N$8:$Q$6855,4,FALSE)</f>
        <v>5151219</v>
      </c>
      <c r="F825" s="45">
        <v>289060.68</v>
      </c>
      <c r="G825" s="45">
        <v>289060.68</v>
      </c>
      <c r="H825" s="46">
        <v>0</v>
      </c>
      <c r="I825" s="53">
        <f>H825</f>
        <v>0</v>
      </c>
      <c r="J825" s="26"/>
      <c r="K825" s="21"/>
      <c r="L825" s="29"/>
      <c r="M825" s="30"/>
      <c r="O825" s="26" t="str">
        <f>VLOOKUP(QUERY_FOR_TRNSTRANSPOSED_0008!A825,'[6]Fin vs NFin'!$A$4:$F$568,6,FALSE)</f>
        <v>Não Financeiras</v>
      </c>
      <c r="P825" s="31" t="str">
        <f t="shared" si="15"/>
        <v>82</v>
      </c>
      <c r="Q825" s="31"/>
      <c r="R825" s="31"/>
      <c r="S825" s="31"/>
      <c r="T825" s="31"/>
    </row>
    <row r="826" spans="1:20">
      <c r="A826" s="18" t="s">
        <v>1047</v>
      </c>
      <c r="B826" s="18" t="str">
        <f>VLOOKUP(A826,'[6]Fin vs NFin'!$A$4:$B$568,2,FALSE)</f>
        <v>!Pagamento Serviços</v>
      </c>
      <c r="C826" s="18" t="s">
        <v>1048</v>
      </c>
      <c r="D826" s="18" t="s">
        <v>1049</v>
      </c>
      <c r="E826" s="18" t="str">
        <f>VLOOKUP(D826,[6]Arvore!$N$8:$Q$6855,4,FALSE)</f>
        <v>5151511</v>
      </c>
      <c r="F826" s="19">
        <v>814434.14</v>
      </c>
      <c r="G826" s="19">
        <v>-5069518.9400000004</v>
      </c>
      <c r="H826" s="20">
        <v>5883953.0800000001</v>
      </c>
      <c r="I826" s="114">
        <f>SUM(H826:H827)</f>
        <v>0</v>
      </c>
      <c r="J826" s="19"/>
      <c r="K826" s="21"/>
      <c r="L826" s="22"/>
      <c r="M826" s="23"/>
      <c r="O826" s="19" t="str">
        <f>VLOOKUP(QUERY_FOR_TRNSTRANSPOSED_0008!A826,'[6]Fin vs NFin'!$A$4:$F$568,6,FALSE)</f>
        <v>Não Financeiras</v>
      </c>
      <c r="P826" s="24" t="str">
        <f t="shared" si="15"/>
        <v>71</v>
      </c>
      <c r="Q826" s="24"/>
      <c r="R826" s="24"/>
      <c r="S826" s="24"/>
      <c r="T826" s="24"/>
    </row>
    <row r="827" spans="1:20" ht="15" thickBot="1">
      <c r="A827" s="18" t="s">
        <v>1047</v>
      </c>
      <c r="B827" s="18" t="str">
        <f>VLOOKUP(A827,'[6]Fin vs NFin'!$A$4:$B$568,2,FALSE)</f>
        <v>!Pagamento Serviços</v>
      </c>
      <c r="C827" s="18" t="s">
        <v>1050</v>
      </c>
      <c r="D827" s="18" t="s">
        <v>1051</v>
      </c>
      <c r="E827" s="18" t="str">
        <f>VLOOKUP(D827,[6]Arvore!$N$8:$Q$6855,4,FALSE)</f>
        <v>5151512</v>
      </c>
      <c r="F827" s="19">
        <v>1331463.24</v>
      </c>
      <c r="G827" s="19">
        <v>7215416.3200000003</v>
      </c>
      <c r="H827" s="20">
        <v>-5883953.0800000001</v>
      </c>
      <c r="I827" s="114"/>
      <c r="J827" s="19"/>
      <c r="K827" s="21"/>
      <c r="L827" s="22"/>
      <c r="M827" s="23"/>
      <c r="O827" s="19" t="str">
        <f>VLOOKUP(QUERY_FOR_TRNSTRANSPOSED_0008!A827,'[6]Fin vs NFin'!$A$4:$F$568,6,FALSE)</f>
        <v>Não Financeiras</v>
      </c>
      <c r="P827" s="24" t="str">
        <f t="shared" si="15"/>
        <v>82</v>
      </c>
      <c r="Q827" s="24"/>
      <c r="R827" s="24"/>
      <c r="S827" s="24"/>
      <c r="T827" s="24"/>
    </row>
    <row r="828" spans="1:20" ht="15" thickBot="1">
      <c r="A828" s="44" t="s">
        <v>1052</v>
      </c>
      <c r="B828" s="44" t="str">
        <f>VLOOKUP(A828,'[6]Fin vs NFin'!$A$4:$B$568,2,FALSE)</f>
        <v>!Tx Mensal Recebe Já</v>
      </c>
      <c r="C828" s="44" t="s">
        <v>1053</v>
      </c>
      <c r="D828" s="44" t="s">
        <v>1051</v>
      </c>
      <c r="E828" s="44" t="str">
        <f>VLOOKUP(D828,[6]Arvore!$N$8:$Q$6855,4,FALSE)</f>
        <v>5151512</v>
      </c>
      <c r="F828" s="45">
        <v>4890</v>
      </c>
      <c r="G828" s="45">
        <v>4890</v>
      </c>
      <c r="H828" s="46">
        <v>0</v>
      </c>
      <c r="I828" s="53">
        <f>H828</f>
        <v>0</v>
      </c>
      <c r="J828" s="26"/>
      <c r="K828" s="21"/>
      <c r="L828" s="29"/>
      <c r="M828" s="30"/>
      <c r="O828" s="26" t="str">
        <f>VLOOKUP(QUERY_FOR_TRNSTRANSPOSED_0008!A828,'[6]Fin vs NFin'!$A$4:$F$568,6,FALSE)</f>
        <v>Não Financeiras</v>
      </c>
      <c r="P828" s="31" t="str">
        <f t="shared" si="15"/>
        <v>82</v>
      </c>
      <c r="Q828" s="31"/>
      <c r="R828" s="31"/>
      <c r="S828" s="31"/>
      <c r="T828" s="31"/>
    </row>
    <row r="829" spans="1:20" ht="15" thickBot="1">
      <c r="A829" s="49" t="s">
        <v>1054</v>
      </c>
      <c r="B829" s="49" t="str">
        <f>VLOOKUP(A829,'[6]Fin vs NFin'!$A$4:$B$568,2,FALSE)</f>
        <v>!Com Transação Recebe Já</v>
      </c>
      <c r="C829" s="49" t="s">
        <v>1055</v>
      </c>
      <c r="D829" s="49" t="s">
        <v>1051</v>
      </c>
      <c r="E829" s="49" t="str">
        <f>VLOOKUP(D829,[6]Arvore!$N$8:$Q$6855,4,FALSE)</f>
        <v>5151512</v>
      </c>
      <c r="F829" s="50">
        <v>39567.800000000003</v>
      </c>
      <c r="G829" s="50">
        <v>39567.800000000003</v>
      </c>
      <c r="H829" s="51">
        <v>-7.2759576141834308E-12</v>
      </c>
      <c r="I829" s="52">
        <f>H829</f>
        <v>-7.2759576141834308E-12</v>
      </c>
      <c r="J829" s="39"/>
      <c r="K829" s="21"/>
      <c r="L829" s="41"/>
      <c r="M829" s="42"/>
      <c r="O829" s="39" t="str">
        <f>VLOOKUP(QUERY_FOR_TRNSTRANSPOSED_0008!A829,'[6]Fin vs NFin'!$A$4:$F$568,6,FALSE)</f>
        <v>Não Financeiras</v>
      </c>
      <c r="P829" s="43" t="str">
        <f t="shared" si="15"/>
        <v>82</v>
      </c>
      <c r="Q829" s="43"/>
      <c r="R829" s="43"/>
      <c r="S829" s="43"/>
      <c r="T829" s="43"/>
    </row>
    <row r="830" spans="1:20">
      <c r="A830" s="38" t="s">
        <v>1056</v>
      </c>
      <c r="B830" s="38" t="str">
        <f>VLOOKUP(A830,'[6]Fin vs NFin'!$A$4:$B$568,2,FALSE)</f>
        <v>!Canais Complementares</v>
      </c>
      <c r="C830" s="38" t="s">
        <v>173</v>
      </c>
      <c r="D830" s="38" t="s">
        <v>174</v>
      </c>
      <c r="E830" s="38" t="str">
        <f>VLOOKUP(D830,[6]Arvore!$N$8:$Q$6855,4,FALSE)</f>
        <v>5151512</v>
      </c>
      <c r="F830" s="39">
        <v>1511797.52</v>
      </c>
      <c r="G830" s="39" t="s">
        <v>84</v>
      </c>
      <c r="H830" s="40">
        <v>1511797.52</v>
      </c>
      <c r="I830" s="115">
        <v>807460.46</v>
      </c>
      <c r="J830" s="110">
        <f>I104+I830</f>
        <v>0</v>
      </c>
      <c r="K830" s="21"/>
      <c r="L830" s="41"/>
      <c r="M830" s="42"/>
      <c r="O830" s="39" t="str">
        <f>VLOOKUP(QUERY_FOR_TRNSTRANSPOSED_0008!A830,'[6]Fin vs NFin'!$A$4:$F$568,6,FALSE)</f>
        <v>Não Financeiras</v>
      </c>
      <c r="P830" s="43" t="str">
        <f t="shared" si="15"/>
        <v>82</v>
      </c>
      <c r="Q830" s="43"/>
      <c r="R830" s="43"/>
      <c r="S830" s="43"/>
      <c r="T830" s="43"/>
    </row>
    <row r="831" spans="1:20" ht="15" thickBot="1">
      <c r="A831" s="11" t="s">
        <v>1056</v>
      </c>
      <c r="B831" s="11" t="str">
        <f>VLOOKUP(A831,'[6]Fin vs NFin'!$A$4:$B$568,2,FALSE)</f>
        <v>!Canais Complementares</v>
      </c>
      <c r="C831" s="11" t="s">
        <v>1057</v>
      </c>
      <c r="D831" s="11" t="s">
        <v>174</v>
      </c>
      <c r="E831" s="11" t="str">
        <f>VLOOKUP(D831,[6]Arvore!$N$8:$Q$6855,4,FALSE)</f>
        <v>5151512</v>
      </c>
      <c r="F831" s="12">
        <v>2184221.59</v>
      </c>
      <c r="G831" s="12">
        <v>2888558.65</v>
      </c>
      <c r="H831" s="13">
        <v>-704337.06</v>
      </c>
      <c r="I831" s="118"/>
      <c r="J831" s="111"/>
      <c r="K831" s="21"/>
      <c r="L831" s="15"/>
      <c r="M831" s="16"/>
      <c r="O831" s="12" t="str">
        <f>VLOOKUP(QUERY_FOR_TRNSTRANSPOSED_0008!A831,'[6]Fin vs NFin'!$A$4:$F$568,6,FALSE)</f>
        <v>Não Financeiras</v>
      </c>
      <c r="P831" s="17" t="str">
        <f t="shared" si="15"/>
        <v>82</v>
      </c>
      <c r="Q831" s="17"/>
      <c r="R831" s="17"/>
      <c r="S831" s="17"/>
      <c r="T831" s="17"/>
    </row>
    <row r="832" spans="1:20">
      <c r="A832" s="18" t="s">
        <v>1058</v>
      </c>
      <c r="B832" s="18" t="str">
        <f>VLOOKUP(A832,'[6]Fin vs NFin'!$A$4:$B$568,2,FALSE)</f>
        <v>!Asses. FIn. CIB</v>
      </c>
      <c r="C832" s="18" t="s">
        <v>153</v>
      </c>
      <c r="D832" s="18" t="s">
        <v>1059</v>
      </c>
      <c r="E832" s="18" t="str">
        <f>VLOOKUP(D832,[6]Arvore!$N$8:$Q$6855,4,FALSE)</f>
        <v>51900</v>
      </c>
      <c r="F832" s="19">
        <v>-4826864.54</v>
      </c>
      <c r="G832" s="19">
        <v>-4597531.21</v>
      </c>
      <c r="H832" s="20">
        <v>-229333.33</v>
      </c>
      <c r="I832" s="114">
        <f>SUM(H832:H839)</f>
        <v>0</v>
      </c>
      <c r="J832" s="19"/>
      <c r="K832" s="21"/>
      <c r="L832" s="22"/>
      <c r="M832" s="23"/>
      <c r="O832" s="19" t="str">
        <f>VLOOKUP(QUERY_FOR_TRNSTRANSPOSED_0008!A832,'[6]Fin vs NFin'!$A$4:$F$568,6,FALSE)</f>
        <v>Não Financeiras</v>
      </c>
      <c r="P832" s="24" t="str">
        <f t="shared" si="15"/>
        <v>82</v>
      </c>
      <c r="Q832" s="24"/>
      <c r="R832" s="24"/>
      <c r="S832" s="24"/>
      <c r="T832" s="24"/>
    </row>
    <row r="833" spans="1:20">
      <c r="A833" s="18" t="s">
        <v>1058</v>
      </c>
      <c r="B833" s="18" t="str">
        <f>VLOOKUP(A833,'[6]Fin vs NFin'!$A$4:$B$568,2,FALSE)</f>
        <v>!Asses. FIn. CIB</v>
      </c>
      <c r="C833" s="18" t="s">
        <v>153</v>
      </c>
      <c r="D833" s="18" t="s">
        <v>1060</v>
      </c>
      <c r="E833" s="18" t="str">
        <f>VLOOKUP(D833,[6]Arvore!$N$8:$Q$6855,4,FALSE)</f>
        <v>5192</v>
      </c>
      <c r="F833" s="19">
        <v>-1095666.67</v>
      </c>
      <c r="G833" s="19">
        <v>229333.33</v>
      </c>
      <c r="H833" s="20">
        <v>-1325000</v>
      </c>
      <c r="I833" s="114"/>
      <c r="J833" s="19"/>
      <c r="K833" s="21"/>
      <c r="L833" s="22"/>
      <c r="M833" s="23"/>
      <c r="O833" s="19" t="str">
        <f>VLOOKUP(QUERY_FOR_TRNSTRANSPOSED_0008!A833,'[6]Fin vs NFin'!$A$4:$F$568,6,FALSE)</f>
        <v>Não Financeiras</v>
      </c>
      <c r="P833" s="24" t="str">
        <f t="shared" si="15"/>
        <v>82</v>
      </c>
      <c r="Q833" s="24"/>
      <c r="R833" s="24"/>
      <c r="S833" s="24"/>
      <c r="T833" s="24"/>
    </row>
    <row r="834" spans="1:20">
      <c r="A834" s="32" t="s">
        <v>1058</v>
      </c>
      <c r="B834" s="32" t="str">
        <f>VLOOKUP(A834,'[6]Fin vs NFin'!$A$4:$B$568,2,FALSE)</f>
        <v>!Asses. FIn. CIB</v>
      </c>
      <c r="C834" s="32" t="s">
        <v>1061</v>
      </c>
      <c r="D834" s="32" t="s">
        <v>1059</v>
      </c>
      <c r="E834" s="32" t="str">
        <f>VLOOKUP(D834,[6]Arvore!$N$8:$Q$6855,4,FALSE)</f>
        <v>51900</v>
      </c>
      <c r="F834" s="33">
        <v>5825625</v>
      </c>
      <c r="G834" s="33">
        <v>5825625</v>
      </c>
      <c r="H834" s="34">
        <v>0</v>
      </c>
      <c r="I834" s="114"/>
      <c r="J834" s="19"/>
      <c r="K834" s="21"/>
      <c r="L834" s="22"/>
      <c r="M834" s="23"/>
      <c r="O834" s="19" t="str">
        <f>VLOOKUP(QUERY_FOR_TRNSTRANSPOSED_0008!A834,'[6]Fin vs NFin'!$A$4:$F$568,6,FALSE)</f>
        <v>Não Financeiras</v>
      </c>
      <c r="P834" s="24" t="str">
        <f t="shared" si="15"/>
        <v>82</v>
      </c>
      <c r="Q834" s="24"/>
      <c r="R834" s="24"/>
      <c r="S834" s="24"/>
      <c r="T834" s="24"/>
    </row>
    <row r="835" spans="1:20">
      <c r="A835" s="18" t="s">
        <v>1058</v>
      </c>
      <c r="B835" s="18" t="str">
        <f>VLOOKUP(A835,'[6]Fin vs NFin'!$A$4:$B$568,2,FALSE)</f>
        <v>!Asses. FIn. CIB</v>
      </c>
      <c r="C835" s="18" t="s">
        <v>438</v>
      </c>
      <c r="D835" s="18" t="s">
        <v>1059</v>
      </c>
      <c r="E835" s="18" t="str">
        <f>VLOOKUP(D835,[6]Arvore!$N$8:$Q$6855,4,FALSE)</f>
        <v>51900</v>
      </c>
      <c r="F835" s="19">
        <v>10229637.880000001</v>
      </c>
      <c r="G835" s="19">
        <v>8904637.8800000008</v>
      </c>
      <c r="H835" s="20">
        <v>1325000</v>
      </c>
      <c r="I835" s="114"/>
      <c r="J835" s="19"/>
      <c r="K835" s="21"/>
      <c r="L835" s="22"/>
      <c r="M835" s="23"/>
      <c r="O835" s="19" t="str">
        <f>VLOOKUP(QUERY_FOR_TRNSTRANSPOSED_0008!A835,'[6]Fin vs NFin'!$A$4:$F$568,6,FALSE)</f>
        <v>Não Financeiras</v>
      </c>
      <c r="P835" s="24" t="str">
        <f t="shared" si="15"/>
        <v>82</v>
      </c>
      <c r="Q835" s="24"/>
      <c r="R835" s="24"/>
      <c r="S835" s="24"/>
      <c r="T835" s="24"/>
    </row>
    <row r="836" spans="1:20">
      <c r="A836" s="18" t="s">
        <v>1058</v>
      </c>
      <c r="B836" s="18" t="str">
        <f>VLOOKUP(A836,'[6]Fin vs NFin'!$A$4:$B$568,2,FALSE)</f>
        <v>!Asses. FIn. CIB</v>
      </c>
      <c r="C836" s="18" t="s">
        <v>438</v>
      </c>
      <c r="D836" s="18" t="s">
        <v>1060</v>
      </c>
      <c r="E836" s="18" t="str">
        <f>VLOOKUP(D836,[6]Arvore!$N$8:$Q$6855,4,FALSE)</f>
        <v>5192</v>
      </c>
      <c r="F836" s="19" t="s">
        <v>84</v>
      </c>
      <c r="G836" s="19">
        <v>-229333.33</v>
      </c>
      <c r="H836" s="20">
        <v>229333.33</v>
      </c>
      <c r="I836" s="114"/>
      <c r="J836" s="19"/>
      <c r="K836" s="21"/>
      <c r="L836" s="22"/>
      <c r="M836" s="23"/>
      <c r="O836" s="19" t="str">
        <f>VLOOKUP(QUERY_FOR_TRNSTRANSPOSED_0008!A836,'[6]Fin vs NFin'!$A$4:$F$568,6,FALSE)</f>
        <v>Não Financeiras</v>
      </c>
      <c r="P836" s="24" t="str">
        <f t="shared" si="15"/>
        <v>82</v>
      </c>
      <c r="Q836" s="24"/>
      <c r="R836" s="24"/>
      <c r="S836" s="24"/>
      <c r="T836" s="24"/>
    </row>
    <row r="837" spans="1:20">
      <c r="A837" s="18" t="s">
        <v>1058</v>
      </c>
      <c r="B837" s="18" t="str">
        <f>VLOOKUP(A837,'[6]Fin vs NFin'!$A$4:$B$568,2,FALSE)</f>
        <v>!Asses. FIn. CIB</v>
      </c>
      <c r="C837" s="18" t="s">
        <v>82</v>
      </c>
      <c r="D837" s="18" t="s">
        <v>1059</v>
      </c>
      <c r="E837" s="18" t="str">
        <f>VLOOKUP(D837,[6]Arvore!$N$8:$Q$6855,4,FALSE)</f>
        <v>51900</v>
      </c>
      <c r="F837" s="19">
        <v>413880.43</v>
      </c>
      <c r="G837" s="19">
        <v>7139942.9299999997</v>
      </c>
      <c r="H837" s="20">
        <v>-6726062.5</v>
      </c>
      <c r="I837" s="114"/>
      <c r="J837" s="19"/>
      <c r="K837" s="21"/>
      <c r="L837" s="22"/>
      <c r="M837" s="23"/>
      <c r="O837" s="19" t="str">
        <f>VLOOKUP(QUERY_FOR_TRNSTRANSPOSED_0008!A837,'[6]Fin vs NFin'!$A$4:$F$568,6,FALSE)</f>
        <v>Não Financeiras</v>
      </c>
      <c r="P837" s="24" t="str">
        <f t="shared" si="15"/>
        <v>82</v>
      </c>
      <c r="Q837" s="24"/>
      <c r="R837" s="24"/>
      <c r="S837" s="24"/>
      <c r="T837" s="24"/>
    </row>
    <row r="838" spans="1:20">
      <c r="A838" s="18" t="s">
        <v>1058</v>
      </c>
      <c r="B838" s="18" t="str">
        <f>VLOOKUP(A838,'[6]Fin vs NFin'!$A$4:$B$568,2,FALSE)</f>
        <v>!Asses. FIn. CIB</v>
      </c>
      <c r="C838" s="18" t="s">
        <v>67</v>
      </c>
      <c r="D838" s="18" t="s">
        <v>1059</v>
      </c>
      <c r="E838" s="18" t="str">
        <f>VLOOKUP(D838,[6]Arvore!$N$8:$Q$6855,4,FALSE)</f>
        <v>51900</v>
      </c>
      <c r="F838" s="19">
        <v>2228650.7799999998</v>
      </c>
      <c r="G838" s="19">
        <v>-14307674.6</v>
      </c>
      <c r="H838" s="20">
        <v>16536325.380000001</v>
      </c>
      <c r="I838" s="114"/>
      <c r="J838" s="19"/>
      <c r="K838" s="21"/>
      <c r="L838" s="22"/>
      <c r="M838" s="23"/>
      <c r="O838" s="19" t="str">
        <f>VLOOKUP(QUERY_FOR_TRNSTRANSPOSED_0008!A838,'[6]Fin vs NFin'!$A$4:$F$568,6,FALSE)</f>
        <v>Não Financeiras</v>
      </c>
      <c r="P838" s="24" t="str">
        <f t="shared" ref="P838:P901" si="16">LEFT(D838,2)</f>
        <v>82</v>
      </c>
      <c r="Q838" s="24"/>
      <c r="R838" s="24"/>
      <c r="S838" s="24"/>
      <c r="T838" s="24"/>
    </row>
    <row r="839" spans="1:20" ht="15" thickBot="1">
      <c r="A839" s="18" t="s">
        <v>1058</v>
      </c>
      <c r="B839" s="18" t="str">
        <f>VLOOKUP(A839,'[6]Fin vs NFin'!$A$4:$B$568,2,FALSE)</f>
        <v>!Asses. FIn. CIB</v>
      </c>
      <c r="C839" s="18" t="s">
        <v>67</v>
      </c>
      <c r="D839" s="18" t="s">
        <v>1060</v>
      </c>
      <c r="E839" s="18" t="str">
        <f>VLOOKUP(D839,[6]Arvore!$N$8:$Q$6855,4,FALSE)</f>
        <v>5192</v>
      </c>
      <c r="F839" s="19">
        <v>6723407.3899999997</v>
      </c>
      <c r="G839" s="19">
        <v>16533670.27</v>
      </c>
      <c r="H839" s="20">
        <v>-9810262.8800000008</v>
      </c>
      <c r="I839" s="114"/>
      <c r="J839" s="19"/>
      <c r="K839" s="21"/>
      <c r="L839" s="22"/>
      <c r="M839" s="23"/>
      <c r="O839" s="19" t="str">
        <f>VLOOKUP(QUERY_FOR_TRNSTRANSPOSED_0008!A839,'[6]Fin vs NFin'!$A$4:$F$568,6,FALSE)</f>
        <v>Não Financeiras</v>
      </c>
      <c r="P839" s="24" t="str">
        <f t="shared" si="16"/>
        <v>82</v>
      </c>
      <c r="Q839" s="24"/>
      <c r="R839" s="24"/>
      <c r="S839" s="24"/>
      <c r="T839" s="24"/>
    </row>
    <row r="840" spans="1:20">
      <c r="A840" s="38" t="s">
        <v>1062</v>
      </c>
      <c r="B840" s="38" t="str">
        <f>VLOOKUP(A840,'[6]Fin vs NFin'!$A$4:$B$568,2,FALSE)</f>
        <v>!Asses. Fin. Collaboration</v>
      </c>
      <c r="C840" s="38" t="s">
        <v>153</v>
      </c>
      <c r="D840" s="38" t="s">
        <v>1063</v>
      </c>
      <c r="E840" s="38" t="str">
        <f>VLOOKUP(D840,[6]Arvore!$N$8:$Q$6855,4,FALSE)</f>
        <v>51900</v>
      </c>
      <c r="F840" s="39">
        <v>-3455000</v>
      </c>
      <c r="G840" s="39">
        <v>1945000</v>
      </c>
      <c r="H840" s="40">
        <v>-5400000</v>
      </c>
      <c r="I840" s="108">
        <v>9.3132257461547893E-10</v>
      </c>
      <c r="J840" s="39"/>
      <c r="K840" s="21"/>
      <c r="L840" s="41"/>
      <c r="M840" s="42"/>
      <c r="O840" s="39" t="str">
        <f>VLOOKUP(QUERY_FOR_TRNSTRANSPOSED_0008!A840,'[6]Fin vs NFin'!$A$4:$F$568,6,FALSE)</f>
        <v>Não Financeiras</v>
      </c>
      <c r="P840" s="43" t="str">
        <f t="shared" si="16"/>
        <v>82</v>
      </c>
      <c r="Q840" s="43"/>
      <c r="R840" s="43"/>
      <c r="S840" s="43"/>
      <c r="T840" s="43"/>
    </row>
    <row r="841" spans="1:20">
      <c r="A841" s="18" t="s">
        <v>1062</v>
      </c>
      <c r="B841" s="18" t="str">
        <f>VLOOKUP(A841,'[6]Fin vs NFin'!$A$4:$B$568,2,FALSE)</f>
        <v>!Asses. Fin. Collaboration</v>
      </c>
      <c r="C841" s="18" t="s">
        <v>1064</v>
      </c>
      <c r="D841" s="18" t="s">
        <v>1063</v>
      </c>
      <c r="E841" s="18" t="str">
        <f>VLOOKUP(D841,[6]Arvore!$N$8:$Q$6855,4,FALSE)</f>
        <v>51900</v>
      </c>
      <c r="F841" s="19">
        <v>13124074.060000001</v>
      </c>
      <c r="G841" s="19">
        <v>6649074.0599999996</v>
      </c>
      <c r="H841" s="20">
        <v>6475000</v>
      </c>
      <c r="I841" s="114"/>
      <c r="J841" s="19"/>
      <c r="K841" s="21"/>
      <c r="L841" s="22"/>
      <c r="M841" s="23"/>
      <c r="O841" s="19" t="str">
        <f>VLOOKUP(QUERY_FOR_TRNSTRANSPOSED_0008!A841,'[6]Fin vs NFin'!$A$4:$F$568,6,FALSE)</f>
        <v>Não Financeiras</v>
      </c>
      <c r="P841" s="24" t="str">
        <f t="shared" si="16"/>
        <v>82</v>
      </c>
      <c r="Q841" s="24"/>
      <c r="R841" s="24"/>
      <c r="S841" s="24"/>
      <c r="T841" s="24"/>
    </row>
    <row r="842" spans="1:20">
      <c r="A842" s="18" t="s">
        <v>1062</v>
      </c>
      <c r="B842" s="18" t="str">
        <f>VLOOKUP(A842,'[6]Fin vs NFin'!$A$4:$B$568,2,FALSE)</f>
        <v>!Asses. Fin. Collaboration</v>
      </c>
      <c r="C842" s="18" t="s">
        <v>438</v>
      </c>
      <c r="D842" s="18" t="s">
        <v>1063</v>
      </c>
      <c r="E842" s="18" t="str">
        <f>VLOOKUP(D842,[6]Arvore!$N$8:$Q$6855,4,FALSE)</f>
        <v>51900</v>
      </c>
      <c r="F842" s="19">
        <v>-3020000</v>
      </c>
      <c r="G842" s="19">
        <v>-1945000</v>
      </c>
      <c r="H842" s="20">
        <v>-1075000</v>
      </c>
      <c r="I842" s="114"/>
      <c r="J842" s="19"/>
      <c r="K842" s="21"/>
      <c r="L842" s="22"/>
      <c r="M842" s="23"/>
      <c r="O842" s="19" t="str">
        <f>VLOOKUP(QUERY_FOR_TRNSTRANSPOSED_0008!A842,'[6]Fin vs NFin'!$A$4:$F$568,6,FALSE)</f>
        <v>Não Financeiras</v>
      </c>
      <c r="P842" s="24" t="str">
        <f t="shared" si="16"/>
        <v>82</v>
      </c>
      <c r="Q842" s="24"/>
      <c r="R842" s="24"/>
      <c r="S842" s="24"/>
      <c r="T842" s="24"/>
    </row>
    <row r="843" spans="1:20" ht="15.6" customHeight="1" thickBot="1">
      <c r="A843" s="32" t="s">
        <v>1062</v>
      </c>
      <c r="B843" s="32" t="str">
        <f>VLOOKUP(A843,'[6]Fin vs NFin'!$A$4:$B$568,2,FALSE)</f>
        <v>!Asses. Fin. Collaboration</v>
      </c>
      <c r="C843" s="32" t="s">
        <v>67</v>
      </c>
      <c r="D843" s="32" t="s">
        <v>1063</v>
      </c>
      <c r="E843" s="32" t="str">
        <f>VLOOKUP(D843,[6]Arvore!$N$8:$Q$6855,4,FALSE)</f>
        <v>51900</v>
      </c>
      <c r="F843" s="33">
        <v>-6254074.0599999996</v>
      </c>
      <c r="G843" s="33">
        <v>-6254074.0599999996</v>
      </c>
      <c r="H843" s="34">
        <v>0</v>
      </c>
      <c r="I843" s="114"/>
      <c r="J843" s="19"/>
      <c r="K843" s="21"/>
      <c r="L843" s="22"/>
      <c r="M843" s="23"/>
      <c r="O843" s="19" t="str">
        <f>VLOOKUP(QUERY_FOR_TRNSTRANSPOSED_0008!A843,'[6]Fin vs NFin'!$A$4:$F$568,6,FALSE)</f>
        <v>Não Financeiras</v>
      </c>
      <c r="P843" s="24" t="str">
        <f t="shared" si="16"/>
        <v>82</v>
      </c>
      <c r="Q843" s="24"/>
      <c r="R843" s="24"/>
      <c r="S843" s="24"/>
      <c r="T843" s="24"/>
    </row>
    <row r="844" spans="1:20">
      <c r="A844" s="38" t="s">
        <v>1065</v>
      </c>
      <c r="B844" s="38" t="str">
        <f>VLOOKUP(A844,'[6]Fin vs NFin'!$A$4:$B$568,2,FALSE)</f>
        <v>!HomeDeposit</v>
      </c>
      <c r="C844" s="38" t="s">
        <v>1066</v>
      </c>
      <c r="D844" s="38" t="s">
        <v>1067</v>
      </c>
      <c r="E844" s="38" t="str">
        <f>VLOOKUP(D844,[6]Arvore!$N$8:$Q$6855,4,FALSE)</f>
        <v>55088091</v>
      </c>
      <c r="F844" s="39">
        <v>228055</v>
      </c>
      <c r="G844" s="39">
        <v>228280</v>
      </c>
      <c r="H844" s="40">
        <v>-225</v>
      </c>
      <c r="I844" s="108">
        <f>SUM(H844:H848)</f>
        <v>0</v>
      </c>
      <c r="J844" s="39"/>
      <c r="K844" s="21"/>
      <c r="L844" s="41"/>
      <c r="M844" s="42"/>
      <c r="O844" s="39" t="str">
        <f>VLOOKUP(QUERY_FOR_TRNSTRANSPOSED_0008!A844,'[6]Fin vs NFin'!$A$4:$F$568,6,FALSE)</f>
        <v>Não Financeiras</v>
      </c>
      <c r="P844" s="43" t="str">
        <f t="shared" si="16"/>
        <v>89</v>
      </c>
      <c r="Q844" s="43" t="str">
        <f>VLOOKUP(D844,[6]Mapeamento!$A$38:$C$497,3,FALSE)</f>
        <v>OREX</v>
      </c>
      <c r="R844" s="43"/>
      <c r="S844" s="43"/>
      <c r="T844" s="43"/>
    </row>
    <row r="845" spans="1:20">
      <c r="A845" s="18" t="s">
        <v>1065</v>
      </c>
      <c r="B845" s="18" t="str">
        <f>VLOOKUP(A845,'[6]Fin vs NFin'!$A$4:$B$568,2,FALSE)</f>
        <v>!HomeDeposit</v>
      </c>
      <c r="C845" s="18" t="s">
        <v>1068</v>
      </c>
      <c r="D845" s="18" t="s">
        <v>1069</v>
      </c>
      <c r="E845" s="18" t="str">
        <f>VLOOKUP(D845,[6]Arvore!$N$8:$Q$6855,4,FALSE)</f>
        <v>51959</v>
      </c>
      <c r="F845" s="19">
        <v>825</v>
      </c>
      <c r="G845" s="19">
        <v>600</v>
      </c>
      <c r="H845" s="20">
        <v>225</v>
      </c>
      <c r="I845" s="114"/>
      <c r="J845" s="19"/>
      <c r="K845" s="21"/>
      <c r="L845" s="22"/>
      <c r="M845" s="23"/>
      <c r="O845" s="19" t="str">
        <f>VLOOKUP(QUERY_FOR_TRNSTRANSPOSED_0008!A845,'[6]Fin vs NFin'!$A$4:$F$568,6,FALSE)</f>
        <v>Não Financeiras</v>
      </c>
      <c r="P845" s="24" t="str">
        <f t="shared" si="16"/>
        <v>82</v>
      </c>
      <c r="Q845" s="24"/>
      <c r="R845" s="24"/>
      <c r="S845" s="24"/>
      <c r="T845" s="24"/>
    </row>
    <row r="846" spans="1:20">
      <c r="A846" s="18" t="s">
        <v>1065</v>
      </c>
      <c r="B846" s="18" t="str">
        <f>VLOOKUP(A846,'[6]Fin vs NFin'!$A$4:$B$568,2,FALSE)</f>
        <v>!HomeDeposit</v>
      </c>
      <c r="C846" s="18" t="s">
        <v>82</v>
      </c>
      <c r="D846" s="18" t="s">
        <v>1070</v>
      </c>
      <c r="E846" s="18" t="str">
        <f>VLOOKUP(D846,[6]Arvore!$N$8:$Q$6855,4,FALSE)</f>
        <v>41499</v>
      </c>
      <c r="F846" s="19">
        <v>-189785</v>
      </c>
      <c r="G846" s="19">
        <v>-166240.53</v>
      </c>
      <c r="H846" s="20">
        <v>-23544.47</v>
      </c>
      <c r="I846" s="114"/>
      <c r="J846" s="19"/>
      <c r="K846" s="21"/>
      <c r="L846" s="22"/>
      <c r="M846" s="23"/>
      <c r="O846" s="19" t="str">
        <f>VLOOKUP(QUERY_FOR_TRNSTRANSPOSED_0008!A846,'[6]Fin vs NFin'!$A$4:$F$568,6,FALSE)</f>
        <v>Não Financeiras</v>
      </c>
      <c r="P846" s="24" t="str">
        <f t="shared" si="16"/>
        <v>77</v>
      </c>
      <c r="Q846" s="24"/>
      <c r="R846" s="24"/>
      <c r="S846" s="24"/>
      <c r="T846" s="24"/>
    </row>
    <row r="847" spans="1:20" ht="15" thickBot="1">
      <c r="A847" s="18" t="s">
        <v>1065</v>
      </c>
      <c r="B847" s="18" t="str">
        <f>VLOOKUP(A847,'[6]Fin vs NFin'!$A$4:$B$568,2,FALSE)</f>
        <v>!HomeDeposit</v>
      </c>
      <c r="C847" s="18" t="s">
        <v>67</v>
      </c>
      <c r="D847" s="18" t="s">
        <v>1070</v>
      </c>
      <c r="E847" s="18" t="str">
        <f>VLOOKUP(D847,[6]Arvore!$N$8:$Q$6855,4,FALSE)</f>
        <v>41499</v>
      </c>
      <c r="F847" s="19" t="s">
        <v>84</v>
      </c>
      <c r="G847" s="19">
        <v>-23544.47</v>
      </c>
      <c r="H847" s="20">
        <v>23544.47</v>
      </c>
      <c r="I847" s="114"/>
      <c r="J847" s="19"/>
      <c r="K847" s="21"/>
      <c r="L847" s="22"/>
      <c r="M847" s="23"/>
      <c r="O847" s="19" t="str">
        <f>VLOOKUP(QUERY_FOR_TRNSTRANSPOSED_0008!A847,'[6]Fin vs NFin'!$A$4:$F$568,6,FALSE)</f>
        <v>Não Financeiras</v>
      </c>
      <c r="P847" s="24" t="str">
        <f t="shared" si="16"/>
        <v>77</v>
      </c>
      <c r="Q847" s="24"/>
      <c r="R847" s="24"/>
      <c r="S847" s="24"/>
      <c r="T847" s="24"/>
    </row>
    <row r="848" spans="1:20" ht="15" thickBot="1">
      <c r="A848" s="44" t="s">
        <v>1071</v>
      </c>
      <c r="B848" s="44" t="str">
        <f>VLOOKUP(A848,'[6]Fin vs NFin'!$A$4:$B$568,2,FALSE)</f>
        <v>!Raspadinha</v>
      </c>
      <c r="C848" s="44" t="s">
        <v>1072</v>
      </c>
      <c r="D848" s="44" t="s">
        <v>1073</v>
      </c>
      <c r="E848" s="44" t="str">
        <f>VLOOKUP(D848,[6]Arvore!$N$8:$Q$6855,4,FALSE)</f>
        <v>51999</v>
      </c>
      <c r="F848" s="45">
        <v>51455</v>
      </c>
      <c r="G848" s="45">
        <v>51455</v>
      </c>
      <c r="H848" s="46">
        <v>0</v>
      </c>
      <c r="I848" s="52">
        <v>0</v>
      </c>
      <c r="J848" s="26"/>
      <c r="K848" s="21"/>
      <c r="L848" s="29"/>
      <c r="M848" s="30"/>
      <c r="O848" s="26" t="str">
        <f>VLOOKUP(QUERY_FOR_TRNSTRANSPOSED_0008!A848,'[6]Fin vs NFin'!$A$4:$F$568,6,FALSE)</f>
        <v>Não Financeiras</v>
      </c>
      <c r="P848" s="31" t="str">
        <f t="shared" si="16"/>
        <v>82</v>
      </c>
      <c r="Q848" s="31"/>
      <c r="R848" s="31"/>
      <c r="S848" s="31"/>
      <c r="T848" s="31"/>
    </row>
    <row r="849" spans="1:20" ht="15" thickBot="1">
      <c r="A849" s="44" t="s">
        <v>1074</v>
      </c>
      <c r="B849" s="44" t="str">
        <f>VLOOKUP(A849,'[6]Fin vs NFin'!$A$4:$B$568,2,FALSE)</f>
        <v>!Canal Multibancário</v>
      </c>
      <c r="C849" s="44" t="s">
        <v>1075</v>
      </c>
      <c r="D849" s="44" t="s">
        <v>32</v>
      </c>
      <c r="E849" s="44" t="str">
        <f>VLOOKUP(D849,[6]Arvore!$N$8:$Q$6855,4,FALSE)</f>
        <v>55083</v>
      </c>
      <c r="F849" s="45">
        <v>112041</v>
      </c>
      <c r="G849" s="45">
        <v>112041</v>
      </c>
      <c r="H849" s="46">
        <v>0</v>
      </c>
      <c r="I849" s="28">
        <v>0</v>
      </c>
      <c r="J849" s="26"/>
      <c r="L849" s="29"/>
      <c r="M849" s="30"/>
      <c r="O849" s="26" t="str">
        <f>VLOOKUP(QUERY_FOR_TRNSTRANSPOSED_0008!A849,'[6]Fin vs NFin'!$A$4:$F$568,6,FALSE)</f>
        <v>Não Financeiras</v>
      </c>
      <c r="P849" s="31" t="str">
        <f t="shared" si="16"/>
        <v>89</v>
      </c>
      <c r="Q849" s="31" t="str">
        <f>VLOOKUP(D849,[6]Mapeamento!$A$38:$C$497,3,FALSE)</f>
        <v>OREX</v>
      </c>
      <c r="R849" s="31"/>
      <c r="S849" s="31"/>
      <c r="T849" s="31"/>
    </row>
    <row r="850" spans="1:20" ht="15" thickBot="1">
      <c r="A850" s="35" t="s">
        <v>1076</v>
      </c>
      <c r="B850" s="35" t="str">
        <f>VLOOKUP(A850,'[6]Fin vs NFin'!$A$4:$B$568,2,FALSE)</f>
        <v>!Com.Transação DPG</v>
      </c>
      <c r="C850" s="35" t="s">
        <v>1077</v>
      </c>
      <c r="D850" s="35" t="s">
        <v>174</v>
      </c>
      <c r="E850" s="35" t="str">
        <f>VLOOKUP(D850,[6]Arvore!$N$8:$Q$6855,4,FALSE)</f>
        <v>5151512</v>
      </c>
      <c r="F850" s="36">
        <v>139651.98000000001</v>
      </c>
      <c r="G850" s="36">
        <v>139651.98000000001</v>
      </c>
      <c r="H850" s="37">
        <v>-2.91038304567337E-11</v>
      </c>
      <c r="I850" s="47">
        <f>H850</f>
        <v>-2.91038304567337E-11</v>
      </c>
      <c r="J850" s="12"/>
      <c r="K850" s="21"/>
      <c r="L850" s="15"/>
      <c r="M850" s="16"/>
      <c r="O850" s="12" t="str">
        <f>VLOOKUP(QUERY_FOR_TRNSTRANSPOSED_0008!A850,'[6]Fin vs NFin'!$A$4:$F$568,6,FALSE)</f>
        <v>Não Financeiras</v>
      </c>
      <c r="P850" s="17" t="str">
        <f t="shared" si="16"/>
        <v>82</v>
      </c>
      <c r="Q850" s="17"/>
      <c r="R850" s="17"/>
      <c r="S850" s="17"/>
      <c r="T850" s="17"/>
    </row>
    <row r="851" spans="1:20" ht="15" thickBot="1">
      <c r="A851" s="35" t="s">
        <v>1078</v>
      </c>
      <c r="B851" s="35" t="str">
        <f>VLOOKUP(A851,'[6]Fin vs NFin'!$A$4:$B$568,2,FALSE)</f>
        <v>!Lotes Pag.Serv.Multibanco</v>
      </c>
      <c r="C851" s="35" t="s">
        <v>1079</v>
      </c>
      <c r="D851" s="35" t="s">
        <v>1080</v>
      </c>
      <c r="E851" s="35" t="str">
        <f>VLOOKUP(D851,[6]Arvore!$N$8:$Q$6855,4,FALSE)</f>
        <v>5151512</v>
      </c>
      <c r="F851" s="36">
        <v>5850.3</v>
      </c>
      <c r="G851" s="36">
        <v>5850.3</v>
      </c>
      <c r="H851" s="37">
        <v>0</v>
      </c>
      <c r="I851" s="47">
        <f>H851</f>
        <v>0</v>
      </c>
      <c r="J851" s="12"/>
      <c r="K851" s="21"/>
      <c r="L851" s="15"/>
      <c r="M851" s="16"/>
      <c r="O851" s="12" t="str">
        <f>VLOOKUP(QUERY_FOR_TRNSTRANSPOSED_0008!A851,'[6]Fin vs NFin'!$A$4:$F$568,6,FALSE)</f>
        <v>Não Financeiras</v>
      </c>
      <c r="P851" s="17" t="str">
        <f t="shared" si="16"/>
        <v>82</v>
      </c>
      <c r="Q851" s="17"/>
      <c r="R851" s="17"/>
      <c r="S851" s="17"/>
      <c r="T851" s="17"/>
    </row>
    <row r="852" spans="1:20" ht="15" thickBot="1">
      <c r="A852" s="32" t="s">
        <v>1081</v>
      </c>
      <c r="B852" s="32" t="str">
        <f>VLOOKUP(A852,'[6]Fin vs NFin'!$A$4:$B$568,2,FALSE)</f>
        <v>!Open Banking - API</v>
      </c>
      <c r="C852" s="32" t="s">
        <v>82</v>
      </c>
      <c r="D852" s="32" t="s">
        <v>1082</v>
      </c>
      <c r="E852" s="32" t="str">
        <f>VLOOKUP(D852,[6]Arvore!$N$8:$Q$6855,4,FALSE)</f>
        <v>416179</v>
      </c>
      <c r="F852" s="33">
        <v>-336656.37</v>
      </c>
      <c r="G852" s="33">
        <v>-336656.37</v>
      </c>
      <c r="H852" s="34">
        <v>0</v>
      </c>
      <c r="I852" s="52">
        <v>0</v>
      </c>
      <c r="J852" s="19"/>
      <c r="K852" s="21"/>
      <c r="L852" s="22"/>
      <c r="M852" s="23"/>
      <c r="O852" s="19" t="str">
        <f>VLOOKUP(QUERY_FOR_TRNSTRANSPOSED_0008!A852,'[6]Fin vs NFin'!$A$4:$F$568,6,FALSE)</f>
        <v>Não Financeiras</v>
      </c>
      <c r="P852" s="24" t="str">
        <f t="shared" si="16"/>
        <v>71</v>
      </c>
      <c r="Q852" s="24"/>
      <c r="R852" s="24"/>
      <c r="S852" s="24"/>
      <c r="T852" s="24"/>
    </row>
    <row r="853" spans="1:20" ht="15" thickBot="1">
      <c r="A853" s="44" t="s">
        <v>1083</v>
      </c>
      <c r="B853" s="44" t="str">
        <f>VLOOKUP(A853,'[6]Fin vs NFin'!$A$4:$B$568,2,FALSE)</f>
        <v>!DUC's</v>
      </c>
      <c r="C853" s="44" t="s">
        <v>1084</v>
      </c>
      <c r="D853" s="44" t="s">
        <v>294</v>
      </c>
      <c r="E853" s="44" t="str">
        <f>VLOOKUP(D853,[6]Arvore!$N$8:$Q$6855,4,FALSE)</f>
        <v>55088091</v>
      </c>
      <c r="F853" s="45">
        <v>1907278.09</v>
      </c>
      <c r="G853" s="45">
        <v>1907278.09</v>
      </c>
      <c r="H853" s="46">
        <v>-2.3283064365386999E-10</v>
      </c>
      <c r="I853" s="28">
        <v>-2.3283064365386999E-10</v>
      </c>
      <c r="J853" s="26"/>
      <c r="L853" s="29"/>
      <c r="M853" s="30"/>
      <c r="O853" s="26" t="str">
        <f>VLOOKUP(QUERY_FOR_TRNSTRANSPOSED_0008!A853,'[6]Fin vs NFin'!$A$4:$F$568,6,FALSE)</f>
        <v>Não Financeiras</v>
      </c>
      <c r="P853" s="31" t="str">
        <f t="shared" si="16"/>
        <v>89</v>
      </c>
      <c r="Q853" s="31" t="str">
        <f>VLOOKUP(D853,[6]Mapeamento!$A$38:$C$497,3,FALSE)</f>
        <v>OREX</v>
      </c>
      <c r="R853" s="31"/>
      <c r="S853" s="31"/>
      <c r="T853" s="31"/>
    </row>
    <row r="854" spans="1:20">
      <c r="A854" s="18" t="s">
        <v>1085</v>
      </c>
      <c r="B854" s="18" t="str">
        <f>VLOOKUP(A854,'[6]Fin vs NFin'!$A$4:$B$568,2,FALSE)</f>
        <v>!Contabilidade_SCF</v>
      </c>
      <c r="C854" s="18" t="s">
        <v>67</v>
      </c>
      <c r="D854" s="18" t="s">
        <v>1086</v>
      </c>
      <c r="E854" s="18" t="str">
        <f>VLOOKUP(D854,[6]Arvore!$N$8:$Q$6855,4,FALSE)</f>
        <v>51989</v>
      </c>
      <c r="F854" s="19">
        <v>125510.47</v>
      </c>
      <c r="G854" s="19">
        <v>122845.82</v>
      </c>
      <c r="H854" s="20">
        <v>2664.6499999999901</v>
      </c>
      <c r="I854" s="115">
        <v>-128333.92</v>
      </c>
      <c r="J854" s="110">
        <f>I854+I857+I858</f>
        <v>0</v>
      </c>
      <c r="K854" s="21"/>
      <c r="L854" s="22"/>
      <c r="M854" s="23"/>
      <c r="O854" s="19" t="str">
        <f>VLOOKUP(QUERY_FOR_TRNSTRANSPOSED_0008!A854,'[6]Fin vs NFin'!$A$4:$F$568,6,FALSE)</f>
        <v>Não Financeiras</v>
      </c>
      <c r="P854" s="24" t="str">
        <f t="shared" si="16"/>
        <v>82</v>
      </c>
      <c r="Q854" s="24"/>
      <c r="R854" s="24"/>
      <c r="S854" s="24"/>
      <c r="T854" s="24"/>
    </row>
    <row r="855" spans="1:20">
      <c r="A855" s="18" t="s">
        <v>1085</v>
      </c>
      <c r="B855" s="18" t="str">
        <f>VLOOKUP(A855,'[6]Fin vs NFin'!$A$4:$B$568,2,FALSE)</f>
        <v>!Contabilidade_SCF</v>
      </c>
      <c r="C855" s="18" t="s">
        <v>1087</v>
      </c>
      <c r="D855" s="18" t="s">
        <v>1086</v>
      </c>
      <c r="E855" s="18" t="str">
        <f>VLOOKUP(D855,[6]Arvore!$N$8:$Q$6855,4,FALSE)</f>
        <v>51989</v>
      </c>
      <c r="F855" s="19">
        <v>-86790.97</v>
      </c>
      <c r="G855" s="19">
        <v>0</v>
      </c>
      <c r="H855" s="20">
        <v>-86790.97</v>
      </c>
      <c r="I855" s="116"/>
      <c r="J855" s="117"/>
      <c r="K855" s="21"/>
      <c r="L855" s="22"/>
      <c r="M855" s="23"/>
      <c r="O855" s="19" t="str">
        <f>VLOOKUP(QUERY_FOR_TRNSTRANSPOSED_0008!A855,'[6]Fin vs NFin'!$A$4:$F$568,6,FALSE)</f>
        <v>Não Financeiras</v>
      </c>
      <c r="P855" s="24" t="str">
        <f t="shared" si="16"/>
        <v>82</v>
      </c>
      <c r="Q855" s="24"/>
      <c r="R855" s="24"/>
      <c r="S855" s="24"/>
      <c r="T855" s="24"/>
    </row>
    <row r="856" spans="1:20" ht="15" thickBot="1">
      <c r="A856" s="18" t="s">
        <v>1085</v>
      </c>
      <c r="B856" s="18" t="str">
        <f>VLOOKUP(A856,'[6]Fin vs NFin'!$A$4:$B$568,2,FALSE)</f>
        <v>!Contabilidade_SCF</v>
      </c>
      <c r="C856" s="18" t="s">
        <v>1088</v>
      </c>
      <c r="D856" s="18" t="s">
        <v>1086</v>
      </c>
      <c r="E856" s="18" t="str">
        <f>VLOOKUP(D856,[6]Arvore!$N$8:$Q$6855,4,FALSE)</f>
        <v>51989</v>
      </c>
      <c r="F856" s="19">
        <v>-44207.6</v>
      </c>
      <c r="G856" s="19">
        <v>0</v>
      </c>
      <c r="H856" s="20">
        <v>-44207.6</v>
      </c>
      <c r="I856" s="118"/>
      <c r="J856" s="111"/>
      <c r="K856" s="21"/>
      <c r="L856" s="22"/>
      <c r="M856" s="23"/>
      <c r="O856" s="19" t="str">
        <f>VLOOKUP(QUERY_FOR_TRNSTRANSPOSED_0008!A856,'[6]Fin vs NFin'!$A$4:$F$568,6,FALSE)</f>
        <v>Não Financeiras</v>
      </c>
      <c r="P856" s="24" t="str">
        <f t="shared" si="16"/>
        <v>82</v>
      </c>
      <c r="Q856" s="24"/>
      <c r="R856" s="24"/>
      <c r="S856" s="24"/>
      <c r="T856" s="24"/>
    </row>
    <row r="857" spans="1:20" ht="15" thickBot="1">
      <c r="A857" s="25" t="s">
        <v>1089</v>
      </c>
      <c r="B857" s="25" t="str">
        <f>VLOOKUP(A857,'[6]Fin vs NFin'!$A$4:$B$568,2,FALSE)</f>
        <v>!Com. Angariação Contrato</v>
      </c>
      <c r="C857" s="25" t="s">
        <v>1088</v>
      </c>
      <c r="D857" s="25" t="s">
        <v>1090</v>
      </c>
      <c r="E857" s="25" t="str">
        <f>VLOOKUP(D857,[6]Arvore!$N$8:$Q$6855,4,FALSE)</f>
        <v/>
      </c>
      <c r="F857" s="26">
        <v>114025.12</v>
      </c>
      <c r="G857" s="26">
        <v>0</v>
      </c>
      <c r="H857" s="27">
        <v>114025.12</v>
      </c>
      <c r="I857" s="77">
        <v>114025.12</v>
      </c>
      <c r="J857" s="78">
        <f>I854+I857+I858</f>
        <v>0</v>
      </c>
      <c r="L857" s="29" t="s">
        <v>1091</v>
      </c>
      <c r="M857" s="30">
        <f>H857</f>
        <v>114025.12</v>
      </c>
      <c r="N857" s="2"/>
      <c r="O857" s="26" t="str">
        <f>VLOOKUP(QUERY_FOR_TRNSTRANSPOSED_0008!A857,'[6]Fin vs NFin'!$A$4:$F$568,6,FALSE)</f>
        <v>Não Financeiras</v>
      </c>
      <c r="P857" s="31" t="str">
        <f t="shared" si="16"/>
        <v>SC</v>
      </c>
      <c r="Q857" s="31"/>
      <c r="R857" s="31"/>
      <c r="S857" s="31"/>
      <c r="T857" s="31"/>
    </row>
    <row r="858" spans="1:20" ht="15" thickBot="1">
      <c r="A858" s="25" t="s">
        <v>1092</v>
      </c>
      <c r="B858" s="25" t="str">
        <f>VLOOKUP(A858,'[6]Fin vs NFin'!$A$4:$B$568,2,FALSE)</f>
        <v>!Comissão Rappel</v>
      </c>
      <c r="C858" s="25" t="s">
        <v>1087</v>
      </c>
      <c r="D858" s="25" t="s">
        <v>1090</v>
      </c>
      <c r="E858" s="25" t="str">
        <f>VLOOKUP(D858,[6]Arvore!$N$8:$Q$6855,4,FALSE)</f>
        <v/>
      </c>
      <c r="F858" s="26">
        <v>14308.8</v>
      </c>
      <c r="G858" s="26">
        <v>0</v>
      </c>
      <c r="H858" s="27">
        <v>14308.8</v>
      </c>
      <c r="I858" s="77">
        <v>14308.8</v>
      </c>
      <c r="J858" s="78">
        <f>I854+I857+I858</f>
        <v>0</v>
      </c>
      <c r="L858" s="29" t="s">
        <v>1091</v>
      </c>
      <c r="M858" s="30">
        <f>H858</f>
        <v>14308.8</v>
      </c>
      <c r="N858" s="2"/>
      <c r="O858" s="26" t="str">
        <f>VLOOKUP(QUERY_FOR_TRNSTRANSPOSED_0008!A858,'[6]Fin vs NFin'!$A$4:$F$568,6,FALSE)</f>
        <v>Não Financeiras</v>
      </c>
      <c r="P858" s="31" t="str">
        <f t="shared" si="16"/>
        <v>SC</v>
      </c>
      <c r="Q858" s="31"/>
      <c r="R858" s="31"/>
      <c r="S858" s="31"/>
      <c r="T858" s="31"/>
    </row>
    <row r="859" spans="1:20">
      <c r="A859" s="18" t="s">
        <v>1093</v>
      </c>
      <c r="B859" s="18" t="str">
        <f>VLOOKUP(A859,'[6]Fin vs NFin'!$A$4:$B$568,2,FALSE)</f>
        <v>!PBC Norkom &amp; Payments HUB</v>
      </c>
      <c r="C859" s="18" t="s">
        <v>82</v>
      </c>
      <c r="D859" s="18" t="s">
        <v>1094</v>
      </c>
      <c r="E859" s="18" t="str">
        <f>VLOOKUP(D859,[6]Arvore!$N$8:$Q$6855,4,FALSE)</f>
        <v>416190</v>
      </c>
      <c r="F859" s="19">
        <v>-3685380.47</v>
      </c>
      <c r="G859" s="19">
        <v>-752346.4</v>
      </c>
      <c r="H859" s="20">
        <v>-2933034.07</v>
      </c>
      <c r="I859" s="108">
        <v>-2.3283064365386999E-10</v>
      </c>
      <c r="J859" s="19"/>
      <c r="K859" s="21"/>
      <c r="L859" s="22"/>
      <c r="M859" s="23"/>
      <c r="O859" s="19" t="str">
        <f>VLOOKUP(QUERY_FOR_TRNSTRANSPOSED_0008!A859,'[6]Fin vs NFin'!$A$4:$F$568,6,FALSE)</f>
        <v>Não Financeiras</v>
      </c>
      <c r="P859" s="24" t="str">
        <f t="shared" si="16"/>
        <v>71</v>
      </c>
      <c r="Q859" s="24"/>
      <c r="R859" s="24"/>
      <c r="S859" s="24"/>
      <c r="T859" s="24"/>
    </row>
    <row r="860" spans="1:20">
      <c r="A860" s="18" t="s">
        <v>1093</v>
      </c>
      <c r="B860" s="18" t="str">
        <f>VLOOKUP(A860,'[6]Fin vs NFin'!$A$4:$B$568,2,FALSE)</f>
        <v>!PBC Norkom &amp; Payments HUB</v>
      </c>
      <c r="C860" s="18" t="s">
        <v>82</v>
      </c>
      <c r="D860" s="18" t="s">
        <v>1095</v>
      </c>
      <c r="E860" s="18" t="str">
        <f>VLOOKUP(D860,[6]Arvore!$N$8:$Q$6855,4,FALSE)</f>
        <v>416190</v>
      </c>
      <c r="F860" s="19" t="s">
        <v>84</v>
      </c>
      <c r="G860" s="19">
        <v>-1458122.38</v>
      </c>
      <c r="H860" s="20">
        <v>1458122.38</v>
      </c>
      <c r="I860" s="114"/>
      <c r="J860" s="19"/>
      <c r="K860" s="21"/>
      <c r="L860" s="22"/>
      <c r="M860" s="23"/>
      <c r="O860" s="19" t="str">
        <f>VLOOKUP(QUERY_FOR_TRNSTRANSPOSED_0008!A860,'[6]Fin vs NFin'!$A$4:$F$568,6,FALSE)</f>
        <v>Não Financeiras</v>
      </c>
      <c r="P860" s="24" t="str">
        <f t="shared" si="16"/>
        <v>71</v>
      </c>
      <c r="Q860" s="24"/>
      <c r="R860" s="24"/>
      <c r="S860" s="24"/>
      <c r="T860" s="24"/>
    </row>
    <row r="861" spans="1:20">
      <c r="A861" s="18" t="s">
        <v>1093</v>
      </c>
      <c r="B861" s="18" t="str">
        <f>VLOOKUP(A861,'[6]Fin vs NFin'!$A$4:$B$568,2,FALSE)</f>
        <v>!PBC Norkom &amp; Payments HUB</v>
      </c>
      <c r="C861" s="18" t="s">
        <v>67</v>
      </c>
      <c r="D861" s="18" t="s">
        <v>1094</v>
      </c>
      <c r="E861" s="18" t="str">
        <f>VLOOKUP(D861,[6]Arvore!$N$8:$Q$6855,4,FALSE)</f>
        <v>416190</v>
      </c>
      <c r="F861" s="19">
        <v>0</v>
      </c>
      <c r="G861" s="19">
        <v>-83640</v>
      </c>
      <c r="H861" s="20">
        <v>83640</v>
      </c>
      <c r="I861" s="114"/>
      <c r="J861" s="19"/>
      <c r="K861" s="21"/>
      <c r="L861" s="22"/>
      <c r="M861" s="23"/>
      <c r="O861" s="19" t="str">
        <f>VLOOKUP(QUERY_FOR_TRNSTRANSPOSED_0008!A861,'[6]Fin vs NFin'!$A$4:$F$568,6,FALSE)</f>
        <v>Não Financeiras</v>
      </c>
      <c r="P861" s="24" t="str">
        <f t="shared" si="16"/>
        <v>71</v>
      </c>
      <c r="Q861" s="24"/>
      <c r="R861" s="24"/>
      <c r="S861" s="24"/>
      <c r="T861" s="24"/>
    </row>
    <row r="862" spans="1:20" ht="15" thickBot="1">
      <c r="A862" s="11" t="s">
        <v>1093</v>
      </c>
      <c r="B862" s="11" t="str">
        <f>VLOOKUP(A862,'[6]Fin vs NFin'!$A$4:$B$568,2,FALSE)</f>
        <v>!PBC Norkom &amp; Payments HUB</v>
      </c>
      <c r="C862" s="11" t="s">
        <v>67</v>
      </c>
      <c r="D862" s="11" t="s">
        <v>1095</v>
      </c>
      <c r="E862" s="11" t="str">
        <f>VLOOKUP(D862,[6]Arvore!$N$8:$Q$6855,4,FALSE)</f>
        <v>416190</v>
      </c>
      <c r="F862" s="12">
        <v>-419789.59</v>
      </c>
      <c r="G862" s="12">
        <v>-1811061.28</v>
      </c>
      <c r="H862" s="13">
        <v>1391271.69</v>
      </c>
      <c r="I862" s="109"/>
      <c r="J862" s="12"/>
      <c r="K862" s="21"/>
      <c r="L862" s="15"/>
      <c r="M862" s="16"/>
      <c r="O862" s="12" t="str">
        <f>VLOOKUP(QUERY_FOR_TRNSTRANSPOSED_0008!A862,'[6]Fin vs NFin'!$A$4:$F$568,6,FALSE)</f>
        <v>Não Financeiras</v>
      </c>
      <c r="P862" s="17" t="str">
        <f t="shared" si="16"/>
        <v>71</v>
      </c>
      <c r="Q862" s="17"/>
      <c r="R862" s="17"/>
      <c r="S862" s="17"/>
      <c r="T862" s="17"/>
    </row>
    <row r="863" spans="1:20">
      <c r="A863" s="32" t="s">
        <v>1096</v>
      </c>
      <c r="B863" s="32" t="str">
        <f>VLOOKUP(A863,'[6]Fin vs NFin'!$A$4:$B$568,2,FALSE)</f>
        <v>!Distribuição</v>
      </c>
      <c r="C863" s="32" t="s">
        <v>1097</v>
      </c>
      <c r="D863" s="32" t="s">
        <v>1098</v>
      </c>
      <c r="E863" s="32" t="str">
        <f>VLOOKUP(D863,[6]Arvore!$N$8:$Q$6855,4,FALSE)</f>
        <v>51580</v>
      </c>
      <c r="F863" s="33">
        <v>29016337.300000001</v>
      </c>
      <c r="G863" s="33">
        <v>29016337.300000001</v>
      </c>
      <c r="H863" s="34">
        <v>-3.7252902984619099E-9</v>
      </c>
      <c r="I863" s="114">
        <f>SUM(H863:H865)</f>
        <v>-0.20211095208651386</v>
      </c>
      <c r="J863" s="19"/>
      <c r="K863" s="21"/>
      <c r="L863" s="22"/>
      <c r="M863" s="23"/>
      <c r="O863" s="19" t="str">
        <f>VLOOKUP(QUERY_FOR_TRNSTRANSPOSED_0008!A863,'[6]Fin vs NFin'!$A$4:$F$568,6,FALSE)</f>
        <v>Não Financeiras</v>
      </c>
      <c r="P863" s="24" t="str">
        <f t="shared" si="16"/>
        <v>82</v>
      </c>
      <c r="Q863" s="24"/>
      <c r="R863" s="24"/>
      <c r="S863" s="24"/>
      <c r="T863" s="24"/>
    </row>
    <row r="864" spans="1:20">
      <c r="A864" s="32" t="s">
        <v>1096</v>
      </c>
      <c r="B864" s="32" t="str">
        <f>VLOOKUP(A864,'[6]Fin vs NFin'!$A$4:$B$568,2,FALSE)</f>
        <v>!Distribuição</v>
      </c>
      <c r="C864" s="32" t="s">
        <v>67</v>
      </c>
      <c r="D864" s="32" t="s">
        <v>1098</v>
      </c>
      <c r="E864" s="32" t="str">
        <f>VLOOKUP(D864,[6]Arvore!$N$8:$Q$6855,4,FALSE)</f>
        <v>51580</v>
      </c>
      <c r="F864" s="33">
        <v>243090.41000000099</v>
      </c>
      <c r="G864" s="33">
        <v>243090.41</v>
      </c>
      <c r="H864" s="34">
        <v>6.1118043959140798E-10</v>
      </c>
      <c r="I864" s="114"/>
      <c r="J864" s="19"/>
      <c r="K864" s="21"/>
      <c r="L864" s="22"/>
      <c r="M864" s="23"/>
      <c r="O864" s="19" t="str">
        <f>VLOOKUP(QUERY_FOR_TRNSTRANSPOSED_0008!A864,'[6]Fin vs NFin'!$A$4:$F$568,6,FALSE)</f>
        <v>Não Financeiras</v>
      </c>
      <c r="P864" s="24" t="str">
        <f t="shared" si="16"/>
        <v>82</v>
      </c>
      <c r="Q864" s="24"/>
      <c r="R864" s="24"/>
      <c r="S864" s="24"/>
      <c r="T864" s="24"/>
    </row>
    <row r="865" spans="1:20" ht="15" thickBot="1">
      <c r="A865" s="18" t="s">
        <v>1096</v>
      </c>
      <c r="B865" s="18" t="str">
        <f>VLOOKUP(A865,'[6]Fin vs NFin'!$A$4:$B$568,2,FALSE)</f>
        <v>!Distribuição</v>
      </c>
      <c r="C865" s="18" t="s">
        <v>177</v>
      </c>
      <c r="D865" s="18" t="s">
        <v>1098</v>
      </c>
      <c r="E865" s="18" t="str">
        <f>VLOOKUP(D865,[6]Arvore!$N$8:$Q$6855,4,FALSE)</f>
        <v>51580</v>
      </c>
      <c r="F865" s="19">
        <v>6403270.0099999998</v>
      </c>
      <c r="G865" s="19">
        <v>6403270.2121109497</v>
      </c>
      <c r="H865" s="20">
        <v>-0.202110948972404</v>
      </c>
      <c r="I865" s="114"/>
      <c r="J865" s="19"/>
      <c r="K865" s="21"/>
      <c r="L865" s="22"/>
      <c r="M865" s="23"/>
      <c r="O865" s="19" t="str">
        <f>VLOOKUP(QUERY_FOR_TRNSTRANSPOSED_0008!A865,'[6]Fin vs NFin'!$A$4:$F$568,6,FALSE)</f>
        <v>Não Financeiras</v>
      </c>
      <c r="P865" s="24" t="str">
        <f t="shared" si="16"/>
        <v>82</v>
      </c>
      <c r="Q865" s="24"/>
      <c r="R865" s="24"/>
      <c r="S865" s="24"/>
      <c r="T865" s="24"/>
    </row>
    <row r="866" spans="1:20" ht="15" thickBot="1">
      <c r="A866" s="49" t="s">
        <v>1099</v>
      </c>
      <c r="B866" s="49" t="str">
        <f>VLOOKUP(A866,'[6]Fin vs NFin'!$A$4:$B$568,2,FALSE)</f>
        <v>!Subscrição</v>
      </c>
      <c r="C866" s="49" t="s">
        <v>869</v>
      </c>
      <c r="D866" s="49" t="s">
        <v>1100</v>
      </c>
      <c r="E866" s="49" t="str">
        <f>VLOOKUP(D866,[6]Arvore!$N$8:$Q$6855,4,FALSE)</f>
        <v>51400</v>
      </c>
      <c r="F866" s="50">
        <v>-1181.7</v>
      </c>
      <c r="G866" s="50">
        <v>-1181.7</v>
      </c>
      <c r="H866" s="51">
        <v>0</v>
      </c>
      <c r="I866" s="52">
        <f>H866</f>
        <v>0</v>
      </c>
      <c r="J866" s="39"/>
      <c r="K866" s="21"/>
      <c r="L866" s="41"/>
      <c r="M866" s="42"/>
      <c r="O866" s="39" t="str">
        <f>VLOOKUP(QUERY_FOR_TRNSTRANSPOSED_0008!A866,'[6]Fin vs NFin'!$A$4:$F$568,6,FALSE)</f>
        <v>Não Financeiras</v>
      </c>
      <c r="P866" s="43" t="str">
        <f t="shared" si="16"/>
        <v>82</v>
      </c>
      <c r="Q866" s="43"/>
      <c r="R866" s="43"/>
      <c r="S866" s="43"/>
      <c r="T866" s="43"/>
    </row>
    <row r="867" spans="1:20">
      <c r="A867" s="49" t="s">
        <v>1101</v>
      </c>
      <c r="B867" s="49" t="str">
        <f>VLOOKUP(A867,'[6]Fin vs NFin'!$A$4:$B$568,2,FALSE)</f>
        <v>!Resgate</v>
      </c>
      <c r="C867" s="49" t="s">
        <v>1102</v>
      </c>
      <c r="D867" s="49" t="s">
        <v>1103</v>
      </c>
      <c r="E867" s="49" t="str">
        <f>VLOOKUP(D867,[6]Arvore!$N$8:$Q$6855,4,FALSE)</f>
        <v>51409</v>
      </c>
      <c r="F867" s="50">
        <v>148605.62</v>
      </c>
      <c r="G867" s="50">
        <v>148605.62</v>
      </c>
      <c r="H867" s="51">
        <v>0</v>
      </c>
      <c r="I867" s="108">
        <f>SUM(H867:H868)</f>
        <v>0</v>
      </c>
      <c r="J867" s="39"/>
      <c r="K867" s="21"/>
      <c r="L867" s="41"/>
      <c r="M867" s="42"/>
      <c r="O867" s="39" t="str">
        <f>VLOOKUP(QUERY_FOR_TRNSTRANSPOSED_0008!A867,'[6]Fin vs NFin'!$A$4:$F$568,6,FALSE)</f>
        <v>Não Financeiras</v>
      </c>
      <c r="P867" s="43" t="str">
        <f t="shared" si="16"/>
        <v>82</v>
      </c>
      <c r="Q867" s="43"/>
      <c r="R867" s="43"/>
      <c r="S867" s="43"/>
      <c r="T867" s="43"/>
    </row>
    <row r="868" spans="1:20" ht="15" thickBot="1">
      <c r="A868" s="32" t="s">
        <v>1101</v>
      </c>
      <c r="B868" s="32" t="str">
        <f>VLOOKUP(A868,'[6]Fin vs NFin'!$A$4:$B$568,2,FALSE)</f>
        <v>!Resgate</v>
      </c>
      <c r="C868" s="32" t="s">
        <v>67</v>
      </c>
      <c r="D868" s="32" t="s">
        <v>1103</v>
      </c>
      <c r="E868" s="32" t="str">
        <f>VLOOKUP(D868,[6]Arvore!$N$8:$Q$6855,4,FALSE)</f>
        <v>51409</v>
      </c>
      <c r="F868" s="33">
        <v>-145489.39000000001</v>
      </c>
      <c r="G868" s="33">
        <v>-145489.39000000001</v>
      </c>
      <c r="H868" s="34">
        <v>0</v>
      </c>
      <c r="I868" s="114"/>
      <c r="J868" s="19"/>
      <c r="K868" s="21"/>
      <c r="L868" s="22"/>
      <c r="M868" s="23"/>
      <c r="O868" s="19" t="str">
        <f>VLOOKUP(QUERY_FOR_TRNSTRANSPOSED_0008!A868,'[6]Fin vs NFin'!$A$4:$F$568,6,FALSE)</f>
        <v>Não Financeiras</v>
      </c>
      <c r="P868" s="24" t="str">
        <f t="shared" si="16"/>
        <v>82</v>
      </c>
      <c r="Q868" s="24"/>
      <c r="R868" s="24"/>
      <c r="S868" s="24"/>
      <c r="T868" s="24"/>
    </row>
    <row r="869" spans="1:20" ht="15" thickBot="1">
      <c r="A869" s="25" t="s">
        <v>1104</v>
      </c>
      <c r="B869" s="25" t="str">
        <f>VLOOKUP(A869,'[6]Fin vs NFin'!$A$4:$B$568,2,FALSE)</f>
        <v>!FU Outras</v>
      </c>
      <c r="C869" s="25" t="s">
        <v>1105</v>
      </c>
      <c r="D869" s="25" t="s">
        <v>735</v>
      </c>
      <c r="E869" s="25" t="str">
        <f>VLOOKUP(D869,[6]Arvore!$N$8:$Q$6855,4,FALSE)</f>
        <v>431111</v>
      </c>
      <c r="F869" s="26">
        <v>39853.5</v>
      </c>
      <c r="G869" s="26">
        <v>39864.507468174997</v>
      </c>
      <c r="H869" s="27">
        <v>-11.0074681749975</v>
      </c>
      <c r="I869" s="53">
        <f>H869</f>
        <v>-11.0074681749975</v>
      </c>
      <c r="J869" s="26"/>
      <c r="K869" s="21"/>
      <c r="L869" s="29"/>
      <c r="M869" s="30"/>
      <c r="O869" s="26" t="str">
        <f>VLOOKUP(QUERY_FOR_TRNSTRANSPOSED_0008!A869,'[6]Fin vs NFin'!$A$4:$F$568,6,FALSE)</f>
        <v>Não Financeiras</v>
      </c>
      <c r="P869" s="31" t="str">
        <f t="shared" si="16"/>
        <v>89</v>
      </c>
      <c r="Q869" s="31"/>
      <c r="R869" s="31" t="str">
        <f>VLOOKUP(D869,[6]Mapeamento!$A$38:$C$497,3,FALSE)</f>
        <v>GG</v>
      </c>
      <c r="S869" s="31"/>
      <c r="T869" s="31"/>
    </row>
    <row r="870" spans="1:20">
      <c r="A870" s="38" t="s">
        <v>1106</v>
      </c>
      <c r="B870" s="38" t="str">
        <f>VLOOKUP(A870,'[6]Fin vs NFin'!$A$4:$B$568,2,FALSE)</f>
        <v>!Mandatos Gestão Cash</v>
      </c>
      <c r="C870" s="38" t="s">
        <v>1107</v>
      </c>
      <c r="D870" s="38" t="s">
        <v>1108</v>
      </c>
      <c r="E870" s="38" t="str">
        <f>VLOOKUP(D870,[6]Arvore!$N$8:$Q$6855,4,FALSE)</f>
        <v>41401</v>
      </c>
      <c r="F870" s="39">
        <v>603287.15</v>
      </c>
      <c r="G870" s="39">
        <v>-667969.85680067004</v>
      </c>
      <c r="H870" s="40">
        <v>1271257.0068006699</v>
      </c>
      <c r="I870" s="108">
        <v>-1.9073839765042101E-2</v>
      </c>
      <c r="J870" s="39"/>
      <c r="K870" s="21"/>
      <c r="L870" s="41"/>
      <c r="M870" s="42"/>
      <c r="O870" s="39" t="str">
        <f>VLOOKUP(QUERY_FOR_TRNSTRANSPOSED_0008!A870,'[6]Fin vs NFin'!$A$4:$F$568,6,FALSE)</f>
        <v>Não Financeiras</v>
      </c>
      <c r="P870" s="43" t="str">
        <f t="shared" si="16"/>
        <v>71</v>
      </c>
      <c r="Q870" s="43"/>
      <c r="R870" s="43"/>
      <c r="S870" s="43"/>
      <c r="T870" s="43"/>
    </row>
    <row r="871" spans="1:20" ht="15" thickBot="1">
      <c r="A871" s="11" t="s">
        <v>1106</v>
      </c>
      <c r="B871" s="11" t="str">
        <f>VLOOKUP(A871,'[6]Fin vs NFin'!$A$4:$B$568,2,FALSE)</f>
        <v>!Mandatos Gestão Cash</v>
      </c>
      <c r="C871" s="11" t="s">
        <v>1109</v>
      </c>
      <c r="D871" s="11" t="s">
        <v>1110</v>
      </c>
      <c r="E871" s="11" t="str">
        <f>VLOOKUP(D871,[6]Arvore!$N$8:$Q$6855,4,FALSE)</f>
        <v>515283</v>
      </c>
      <c r="F871" s="12">
        <v>412559.12</v>
      </c>
      <c r="G871" s="12">
        <v>1683816.1458745101</v>
      </c>
      <c r="H871" s="13">
        <v>-1271257.0258745099</v>
      </c>
      <c r="I871" s="109"/>
      <c r="J871" s="12"/>
      <c r="K871" s="21"/>
      <c r="L871" s="15"/>
      <c r="M871" s="16"/>
      <c r="O871" s="12" t="str">
        <f>VLOOKUP(QUERY_FOR_TRNSTRANSPOSED_0008!A871,'[6]Fin vs NFin'!$A$4:$F$568,6,FALSE)</f>
        <v>Não Financeiras</v>
      </c>
      <c r="P871" s="17" t="str">
        <f t="shared" si="16"/>
        <v>82</v>
      </c>
      <c r="Q871" s="17"/>
      <c r="R871" s="17"/>
      <c r="S871" s="17"/>
      <c r="T871" s="17"/>
    </row>
    <row r="872" spans="1:20">
      <c r="A872" s="18" t="s">
        <v>1111</v>
      </c>
      <c r="B872" s="18" t="str">
        <f>VLOOKUP(A872,'[6]Fin vs NFin'!$A$4:$B$568,2,FALSE)</f>
        <v>!Mandatos Gestão Periodif.</v>
      </c>
      <c r="C872" s="18" t="s">
        <v>1112</v>
      </c>
      <c r="D872" s="18" t="s">
        <v>1110</v>
      </c>
      <c r="E872" s="18" t="str">
        <f>VLOOKUP(D872,[6]Arvore!$N$8:$Q$6855,4,FALSE)</f>
        <v>515283</v>
      </c>
      <c r="F872" s="19">
        <v>33318.019999999997</v>
      </c>
      <c r="G872" s="19">
        <v>29262.069387469801</v>
      </c>
      <c r="H872" s="20">
        <v>4055.9506125302</v>
      </c>
      <c r="I872" s="108">
        <v>-0.20106626251254101</v>
      </c>
      <c r="J872" s="19"/>
      <c r="K872" s="21"/>
      <c r="L872" s="22"/>
      <c r="M872" s="23"/>
      <c r="O872" s="19" t="str">
        <f>VLOOKUP(QUERY_FOR_TRNSTRANSPOSED_0008!A872,'[6]Fin vs NFin'!$A$4:$F$568,6,FALSE)</f>
        <v>Não Financeiras</v>
      </c>
      <c r="P872" s="24" t="str">
        <f t="shared" si="16"/>
        <v>82</v>
      </c>
      <c r="Q872" s="24"/>
      <c r="R872" s="24"/>
      <c r="S872" s="24"/>
      <c r="T872" s="24"/>
    </row>
    <row r="873" spans="1:20" ht="15" thickBot="1">
      <c r="A873" s="11" t="s">
        <v>1111</v>
      </c>
      <c r="B873" s="11" t="str">
        <f>VLOOKUP(A873,'[6]Fin vs NFin'!$A$4:$B$568,2,FALSE)</f>
        <v>!Mandatos Gestão Periodif.</v>
      </c>
      <c r="C873" s="11" t="s">
        <v>1113</v>
      </c>
      <c r="D873" s="11" t="s">
        <v>1108</v>
      </c>
      <c r="E873" s="11" t="str">
        <f>VLOOKUP(D873,[6]Arvore!$N$8:$Q$6855,4,FALSE)</f>
        <v>41401</v>
      </c>
      <c r="F873" s="12">
        <v>-14792.86</v>
      </c>
      <c r="G873" s="12">
        <v>-10736.708321207299</v>
      </c>
      <c r="H873" s="13">
        <v>-4056.1516787927098</v>
      </c>
      <c r="I873" s="109"/>
      <c r="J873" s="12"/>
      <c r="K873" s="21"/>
      <c r="L873" s="15"/>
      <c r="M873" s="16"/>
      <c r="O873" s="12" t="str">
        <f>VLOOKUP(QUERY_FOR_TRNSTRANSPOSED_0008!A873,'[6]Fin vs NFin'!$A$4:$F$568,6,FALSE)</f>
        <v>Não Financeiras</v>
      </c>
      <c r="P873" s="17" t="str">
        <f t="shared" si="16"/>
        <v>71</v>
      </c>
      <c r="Q873" s="17"/>
      <c r="R873" s="17"/>
      <c r="S873" s="17"/>
      <c r="T873" s="17"/>
    </row>
    <row r="874" spans="1:20" ht="15" thickBot="1">
      <c r="A874" s="32" t="s">
        <v>1114</v>
      </c>
      <c r="B874" s="32" t="str">
        <f>VLOOKUP(A874,'[6]Fin vs NFin'!$A$4:$B$568,2,FALSE)</f>
        <v>!Mandatos Gestão Outras</v>
      </c>
      <c r="C874" s="32" t="s">
        <v>67</v>
      </c>
      <c r="D874" s="32" t="s">
        <v>1115</v>
      </c>
      <c r="E874" s="32" t="str">
        <f>VLOOKUP(D874,[6]Arvore!$N$8:$Q$6855,4,FALSE)</f>
        <v>51580</v>
      </c>
      <c r="F874" s="33">
        <v>200000</v>
      </c>
      <c r="G874" s="33">
        <v>200000</v>
      </c>
      <c r="H874" s="34">
        <v>2.91038304567337E-11</v>
      </c>
      <c r="I874" s="54">
        <f>H874</f>
        <v>2.91038304567337E-11</v>
      </c>
      <c r="J874" s="19"/>
      <c r="K874" s="21"/>
      <c r="L874" s="22"/>
      <c r="M874" s="23"/>
      <c r="O874" s="19" t="str">
        <f>VLOOKUP(QUERY_FOR_TRNSTRANSPOSED_0008!A874,'[6]Fin vs NFin'!$A$4:$F$568,6,FALSE)</f>
        <v>Não Financeiras</v>
      </c>
      <c r="P874" s="24" t="str">
        <f t="shared" si="16"/>
        <v>82</v>
      </c>
      <c r="Q874" s="24"/>
      <c r="R874" s="24"/>
      <c r="S874" s="24"/>
      <c r="T874" s="24"/>
    </row>
    <row r="875" spans="1:20" ht="15" thickBot="1">
      <c r="A875" s="25" t="s">
        <v>1116</v>
      </c>
      <c r="B875" s="25" t="str">
        <f>VLOOKUP(A875,'[6]Fin vs NFin'!$A$4:$B$568,2,FALSE)</f>
        <v>!SG-Contabilidade Financ.</v>
      </c>
      <c r="C875" s="25" t="s">
        <v>67</v>
      </c>
      <c r="D875" s="25" t="s">
        <v>1117</v>
      </c>
      <c r="E875" s="25" t="str">
        <f>VLOOKUP(D875,[6]Arvore!$N$8:$Q$6855,4,FALSE)</f>
        <v>51582</v>
      </c>
      <c r="F875" s="26">
        <v>-19820.009999999998</v>
      </c>
      <c r="G875" s="26">
        <v>17946506.460000001</v>
      </c>
      <c r="H875" s="27">
        <v>-17966326.469999999</v>
      </c>
      <c r="I875" s="57">
        <v>-17966326.469999999</v>
      </c>
      <c r="J875" s="72">
        <f>I875+I876+I877+I968+I987</f>
        <v>2.0433787994988961E-9</v>
      </c>
      <c r="K875" s="21"/>
      <c r="L875" s="29"/>
      <c r="M875" s="30"/>
      <c r="O875" s="26" t="str">
        <f>VLOOKUP(QUERY_FOR_TRNSTRANSPOSED_0008!A875,'[6]Fin vs NFin'!$A$4:$F$568,6,FALSE)</f>
        <v>Não Financeiras</v>
      </c>
      <c r="P875" s="31" t="str">
        <f t="shared" si="16"/>
        <v>82</v>
      </c>
      <c r="Q875" s="31"/>
      <c r="R875" s="31"/>
      <c r="S875" s="31"/>
      <c r="T875" s="31"/>
    </row>
    <row r="876" spans="1:20" ht="15" thickBot="1">
      <c r="A876" s="25" t="s">
        <v>1118</v>
      </c>
      <c r="B876" s="25" t="str">
        <f>VLOOKUP(A876,'[6]Fin vs NFin'!$A$4:$B$568,2,FALSE)</f>
        <v>!SG-Seg Fin (running)</v>
      </c>
      <c r="C876" s="25" t="s">
        <v>1119</v>
      </c>
      <c r="D876" s="25" t="s">
        <v>1117</v>
      </c>
      <c r="E876" s="25" t="str">
        <f>VLOOKUP(D876,[6]Arvore!$N$8:$Q$6855,4,FALSE)</f>
        <v>51582</v>
      </c>
      <c r="F876" s="26">
        <v>12450063.960000001</v>
      </c>
      <c r="G876" s="26">
        <v>0</v>
      </c>
      <c r="H876" s="27">
        <v>12450063.960000001</v>
      </c>
      <c r="I876" s="77">
        <v>12450063.960000001</v>
      </c>
      <c r="J876" s="72">
        <f>I875+I876+I877+I968+I987</f>
        <v>2.0433787994988961E-9</v>
      </c>
      <c r="L876" s="29"/>
      <c r="M876" s="30"/>
      <c r="O876" s="26" t="str">
        <f>VLOOKUP(QUERY_FOR_TRNSTRANSPOSED_0008!A876,'[6]Fin vs NFin'!$A$4:$F$568,6,FALSE)</f>
        <v>Não Financeiras</v>
      </c>
      <c r="P876" s="31" t="str">
        <f t="shared" si="16"/>
        <v>82</v>
      </c>
      <c r="Q876" s="31"/>
      <c r="R876" s="31"/>
      <c r="S876" s="31"/>
      <c r="T876" s="31"/>
    </row>
    <row r="877" spans="1:20" ht="15" thickBot="1">
      <c r="A877" s="25" t="s">
        <v>1120</v>
      </c>
      <c r="B877" s="25" t="str">
        <f>VLOOKUP(A877,'[6]Fin vs NFin'!$A$4:$B$568,2,FALSE)</f>
        <v>!SG-PPR (running)</v>
      </c>
      <c r="C877" s="25" t="s">
        <v>1121</v>
      </c>
      <c r="D877" s="25" t="s">
        <v>1117</v>
      </c>
      <c r="E877" s="25" t="str">
        <f>VLOOKUP(D877,[6]Arvore!$N$8:$Q$6855,4,FALSE)</f>
        <v>51582</v>
      </c>
      <c r="F877" s="26">
        <v>5507868.21</v>
      </c>
      <c r="G877" s="26">
        <v>0</v>
      </c>
      <c r="H877" s="27">
        <v>5507868.21</v>
      </c>
      <c r="I877" s="77">
        <v>5507868.21</v>
      </c>
      <c r="J877" s="72">
        <f>I875+I876+I877+I968+I987</f>
        <v>2.0433787994988961E-9</v>
      </c>
      <c r="L877" s="29"/>
      <c r="M877" s="30"/>
      <c r="O877" s="26" t="str">
        <f>VLOOKUP(QUERY_FOR_TRNSTRANSPOSED_0008!A877,'[6]Fin vs NFin'!$A$4:$F$568,6,FALSE)</f>
        <v>Não Financeiras</v>
      </c>
      <c r="P877" s="31" t="str">
        <f t="shared" si="16"/>
        <v>82</v>
      </c>
      <c r="Q877" s="31"/>
      <c r="R877" s="31"/>
      <c r="S877" s="31"/>
      <c r="T877" s="31"/>
    </row>
    <row r="878" spans="1:20">
      <c r="A878" s="18" t="s">
        <v>1122</v>
      </c>
      <c r="B878" s="18" t="str">
        <f>VLOOKUP(A878,'[6]Fin vs NFin'!$A$4:$B$568,2,FALSE)</f>
        <v>!SG-Contabilidade / Risco</v>
      </c>
      <c r="C878" s="18" t="s">
        <v>67</v>
      </c>
      <c r="D878" s="18" t="s">
        <v>1123</v>
      </c>
      <c r="E878" s="18" t="str">
        <f>VLOOKUP(D878,[6]Arvore!$N$8:$Q$6855,4,FALSE)</f>
        <v/>
      </c>
      <c r="F878" s="19">
        <v>-2614348.66</v>
      </c>
      <c r="G878" s="19">
        <v>0</v>
      </c>
      <c r="H878" s="20">
        <v>-2614348.66</v>
      </c>
      <c r="I878" s="116">
        <f>SUM(H878:H882)</f>
        <v>-116522595.03</v>
      </c>
      <c r="J878" s="110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878" s="21"/>
      <c r="L878" s="22"/>
      <c r="M878" s="23"/>
      <c r="O878" s="19" t="str">
        <f>VLOOKUP(QUERY_FOR_TRNSTRANSPOSED_0008!A878,'[6]Fin vs NFin'!$A$4:$F$568,6,FALSE)</f>
        <v>Não Financeiras</v>
      </c>
      <c r="P878" s="24" t="str">
        <f t="shared" si="16"/>
        <v>82</v>
      </c>
      <c r="Q878" s="24"/>
      <c r="R878" s="24"/>
      <c r="S878" s="24"/>
      <c r="T878" s="24"/>
    </row>
    <row r="879" spans="1:20">
      <c r="A879" s="18" t="s">
        <v>1122</v>
      </c>
      <c r="B879" s="18" t="str">
        <f>VLOOKUP(A879,'[6]Fin vs NFin'!$A$4:$B$568,2,FALSE)</f>
        <v>!SG-Contabilidade / Risco</v>
      </c>
      <c r="C879" s="18" t="s">
        <v>67</v>
      </c>
      <c r="D879" s="18" t="s">
        <v>1124</v>
      </c>
      <c r="E879" s="18" t="str">
        <f>VLOOKUP(D879,[6]Arvore!$N$8:$Q$6855,4,FALSE)</f>
        <v>51582</v>
      </c>
      <c r="F879" s="19">
        <v>1787597.83</v>
      </c>
      <c r="G879" s="19">
        <v>115236133.95</v>
      </c>
      <c r="H879" s="20">
        <v>-113448536.12</v>
      </c>
      <c r="I879" s="116"/>
      <c r="J879" s="117"/>
      <c r="K879" s="21"/>
      <c r="L879" s="22"/>
      <c r="M879" s="23"/>
      <c r="O879" s="19" t="str">
        <f>VLOOKUP(QUERY_FOR_TRNSTRANSPOSED_0008!A879,'[6]Fin vs NFin'!$A$4:$F$568,6,FALSE)</f>
        <v>Não Financeiras</v>
      </c>
      <c r="P879" s="24" t="str">
        <f t="shared" si="16"/>
        <v>82</v>
      </c>
      <c r="Q879" s="24"/>
      <c r="R879" s="24"/>
      <c r="S879" s="24"/>
      <c r="T879" s="24"/>
    </row>
    <row r="880" spans="1:20">
      <c r="A880" s="18" t="s">
        <v>1122</v>
      </c>
      <c r="B880" s="18" t="str">
        <f>VLOOKUP(A880,'[6]Fin vs NFin'!$A$4:$B$568,2,FALSE)</f>
        <v>!SG-Contabilidade / Risco</v>
      </c>
      <c r="C880" s="18" t="s">
        <v>67</v>
      </c>
      <c r="D880" s="18" t="s">
        <v>1125</v>
      </c>
      <c r="E880" s="18" t="str">
        <f>VLOOKUP(D880,[6]Arvore!$N$8:$Q$6855,4,FALSE)</f>
        <v>51582</v>
      </c>
      <c r="F880" s="19">
        <v>709538.9</v>
      </c>
      <c r="G880" s="19">
        <v>1224463.24</v>
      </c>
      <c r="H880" s="20">
        <v>-514924.34</v>
      </c>
      <c r="I880" s="116"/>
      <c r="J880" s="117"/>
      <c r="K880" s="21"/>
      <c r="L880" s="22"/>
      <c r="M880" s="23"/>
      <c r="O880" s="19" t="str">
        <f>VLOOKUP(QUERY_FOR_TRNSTRANSPOSED_0008!A880,'[6]Fin vs NFin'!$A$4:$F$568,6,FALSE)</f>
        <v>Não Financeiras</v>
      </c>
      <c r="P880" s="24" t="str">
        <f t="shared" si="16"/>
        <v>82</v>
      </c>
      <c r="Q880" s="24"/>
      <c r="R880" s="24"/>
      <c r="S880" s="24"/>
      <c r="T880" s="24"/>
    </row>
    <row r="881" spans="1:20">
      <c r="A881" s="18" t="s">
        <v>1122</v>
      </c>
      <c r="B881" s="18" t="str">
        <f>VLOOKUP(A881,'[6]Fin vs NFin'!$A$4:$B$568,2,FALSE)</f>
        <v>!SG-Contabilidade / Risco</v>
      </c>
      <c r="C881" s="18" t="s">
        <v>67</v>
      </c>
      <c r="D881" s="18" t="s">
        <v>1126</v>
      </c>
      <c r="E881" s="18" t="str">
        <f>VLOOKUP(D881,[6]Arvore!$N$8:$Q$6855,4,FALSE)</f>
        <v>51582</v>
      </c>
      <c r="F881" s="19">
        <v>180726.24</v>
      </c>
      <c r="G881" s="19">
        <v>125512.15</v>
      </c>
      <c r="H881" s="20">
        <v>55214.09</v>
      </c>
      <c r="I881" s="116"/>
      <c r="J881" s="117"/>
      <c r="K881" s="21"/>
      <c r="L881" s="22"/>
      <c r="M881" s="23"/>
      <c r="O881" s="19" t="str">
        <f>VLOOKUP(QUERY_FOR_TRNSTRANSPOSED_0008!A881,'[6]Fin vs NFin'!$A$4:$F$568,6,FALSE)</f>
        <v>Não Financeiras</v>
      </c>
      <c r="P881" s="24" t="str">
        <f t="shared" si="16"/>
        <v>82</v>
      </c>
      <c r="Q881" s="24"/>
      <c r="R881" s="24"/>
      <c r="S881" s="24"/>
      <c r="T881" s="24"/>
    </row>
    <row r="882" spans="1:20" ht="15" thickBot="1">
      <c r="A882" s="11" t="s">
        <v>1122</v>
      </c>
      <c r="B882" s="11" t="str">
        <f>VLOOKUP(A882,'[6]Fin vs NFin'!$A$4:$B$568,2,FALSE)</f>
        <v>!SG-Contabilidade / Risco</v>
      </c>
      <c r="C882" s="11" t="s">
        <v>1127</v>
      </c>
      <c r="D882" s="11" t="s">
        <v>1128</v>
      </c>
      <c r="E882" s="11" t="str">
        <f>VLOOKUP(D882,[6]Arvore!$N$8:$Q$6855,4,FALSE)</f>
        <v>4198</v>
      </c>
      <c r="F882" s="12">
        <v>-129.66999999999999</v>
      </c>
      <c r="G882" s="12">
        <v>-129.66999999999999</v>
      </c>
      <c r="H882" s="13">
        <v>0</v>
      </c>
      <c r="I882" s="118"/>
      <c r="J882" s="111"/>
      <c r="K882" s="21"/>
      <c r="L882" s="15"/>
      <c r="M882" s="16"/>
      <c r="O882" s="12" t="str">
        <f>VLOOKUP(QUERY_FOR_TRNSTRANSPOSED_0008!A882,'[6]Fin vs NFin'!$A$4:$F$568,6,FALSE)</f>
        <v>Não Financeiras</v>
      </c>
      <c r="P882" s="17" t="str">
        <f t="shared" si="16"/>
        <v>71</v>
      </c>
      <c r="Q882" s="17"/>
      <c r="R882" s="17"/>
      <c r="S882" s="17"/>
      <c r="T882" s="17"/>
    </row>
    <row r="883" spans="1:20" ht="15" thickBot="1">
      <c r="A883" s="25" t="s">
        <v>1129</v>
      </c>
      <c r="B883" s="25" t="str">
        <f>VLOOKUP(A883,'[6]Fin vs NFin'!$A$4:$B$568,2,FALSE)</f>
        <v>!Mark. Dig. Seguros Cash</v>
      </c>
      <c r="C883" s="25" t="s">
        <v>67</v>
      </c>
      <c r="D883" s="25" t="s">
        <v>1130</v>
      </c>
      <c r="E883" s="25" t="str">
        <f>VLOOKUP(D883,[6]Arvore!$N$8:$Q$6855,4,FALSE)</f>
        <v>4198</v>
      </c>
      <c r="F883" s="26">
        <v>-1110710.47</v>
      </c>
      <c r="G883" s="26">
        <v>-1110710.47</v>
      </c>
      <c r="H883" s="27">
        <v>-2.3283064365386999E-10</v>
      </c>
      <c r="I883" s="28">
        <v>-2.3283064365386999E-10</v>
      </c>
      <c r="J883" s="26"/>
      <c r="L883" s="29"/>
      <c r="M883" s="30"/>
      <c r="O883" s="26" t="str">
        <f>VLOOKUP(QUERY_FOR_TRNSTRANSPOSED_0008!A883,'[6]Fin vs NFin'!$A$4:$F$568,6,FALSE)</f>
        <v>Não Financeiras</v>
      </c>
      <c r="P883" s="31" t="str">
        <f t="shared" si="16"/>
        <v>71</v>
      </c>
      <c r="Q883" s="31"/>
      <c r="R883" s="31"/>
      <c r="S883" s="31"/>
      <c r="T883" s="31"/>
    </row>
    <row r="884" spans="1:20" ht="15" thickBot="1">
      <c r="A884" s="25" t="s">
        <v>1131</v>
      </c>
      <c r="B884" s="25" t="str">
        <f>VLOOKUP(A884,'[6]Fin vs NFin'!$A$4:$B$568,2,FALSE)</f>
        <v>!Mark. Dig. Seguros Period</v>
      </c>
      <c r="C884" s="25" t="s">
        <v>67</v>
      </c>
      <c r="D884" s="25" t="s">
        <v>1132</v>
      </c>
      <c r="E884" s="25" t="str">
        <f>VLOOKUP(D884,[6]Arvore!$N$8:$Q$6855,4,FALSE)</f>
        <v>4198</v>
      </c>
      <c r="F884" s="26">
        <v>597874.67000000004</v>
      </c>
      <c r="G884" s="26">
        <v>597874.67000000004</v>
      </c>
      <c r="H884" s="27">
        <v>-1.16415321826935E-10</v>
      </c>
      <c r="I884" s="28">
        <v>-1.16415321826935E-10</v>
      </c>
      <c r="J884" s="26"/>
      <c r="L884" s="29"/>
      <c r="M884" s="30"/>
      <c r="O884" s="26" t="str">
        <f>VLOOKUP(QUERY_FOR_TRNSTRANSPOSED_0008!A884,'[6]Fin vs NFin'!$A$4:$F$568,6,FALSE)</f>
        <v>Não Financeiras</v>
      </c>
      <c r="P884" s="31" t="str">
        <f t="shared" si="16"/>
        <v>71</v>
      </c>
      <c r="Q884" s="31"/>
      <c r="R884" s="31"/>
      <c r="S884" s="31"/>
      <c r="T884" s="31"/>
    </row>
    <row r="885" spans="1:20">
      <c r="A885" s="18" t="s">
        <v>1133</v>
      </c>
      <c r="B885" s="18" t="str">
        <f>VLOOKUP(A885,'[6]Fin vs NFin'!$A$4:$B$568,2,FALSE)</f>
        <v>!SG-CH-Vida</v>
      </c>
      <c r="C885" s="18" t="s">
        <v>1134</v>
      </c>
      <c r="D885" s="18" t="s">
        <v>1135</v>
      </c>
      <c r="E885" s="18" t="str">
        <f>VLOOKUP(D885,[6]Arvore!$N$8:$Q$6855,4,FALSE)</f>
        <v/>
      </c>
      <c r="F885" s="19">
        <v>14871.89</v>
      </c>
      <c r="G885" s="19">
        <v>0</v>
      </c>
      <c r="H885" s="20">
        <v>14871.89</v>
      </c>
      <c r="I885" s="115">
        <v>26530783.989999998</v>
      </c>
      <c r="J885" s="110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885" s="21"/>
      <c r="L885" s="22" t="s">
        <v>1136</v>
      </c>
      <c r="M885" s="23">
        <f>H885</f>
        <v>14871.89</v>
      </c>
      <c r="N885" s="2"/>
      <c r="O885" s="19" t="str">
        <f>VLOOKUP(QUERY_FOR_TRNSTRANSPOSED_0008!A885,'[6]Fin vs NFin'!$A$4:$F$568,6,FALSE)</f>
        <v>Não Financeiras</v>
      </c>
      <c r="P885" s="24" t="str">
        <f t="shared" si="16"/>
        <v>SE</v>
      </c>
      <c r="Q885" s="24"/>
      <c r="R885" s="24"/>
      <c r="S885" s="24"/>
      <c r="T885" s="24"/>
    </row>
    <row r="886" spans="1:20">
      <c r="A886" s="18" t="s">
        <v>1133</v>
      </c>
      <c r="B886" s="18" t="str">
        <f>VLOOKUP(A886,'[6]Fin vs NFin'!$A$4:$B$568,2,FALSE)</f>
        <v>!SG-CH-Vida</v>
      </c>
      <c r="C886" s="18" t="s">
        <v>1137</v>
      </c>
      <c r="D886" s="18" t="s">
        <v>1135</v>
      </c>
      <c r="E886" s="18" t="str">
        <f>VLOOKUP(D886,[6]Arvore!$N$8:$Q$6855,4,FALSE)</f>
        <v/>
      </c>
      <c r="F886" s="19">
        <v>23542.880000000001</v>
      </c>
      <c r="G886" s="19">
        <v>0</v>
      </c>
      <c r="H886" s="20">
        <v>23542.880000000001</v>
      </c>
      <c r="I886" s="116"/>
      <c r="J886" s="117"/>
      <c r="K886" s="21"/>
      <c r="L886" s="22" t="s">
        <v>1136</v>
      </c>
      <c r="M886" s="23">
        <f t="shared" ref="M886:M949" si="17">H886</f>
        <v>23542.880000000001</v>
      </c>
      <c r="N886" s="2"/>
      <c r="O886" s="19" t="str">
        <f>VLOOKUP(QUERY_FOR_TRNSTRANSPOSED_0008!A886,'[6]Fin vs NFin'!$A$4:$F$568,6,FALSE)</f>
        <v>Não Financeiras</v>
      </c>
      <c r="P886" s="24" t="str">
        <f t="shared" si="16"/>
        <v>SE</v>
      </c>
      <c r="Q886" s="24"/>
      <c r="R886" s="24"/>
      <c r="S886" s="24"/>
      <c r="T886" s="24"/>
    </row>
    <row r="887" spans="1:20">
      <c r="A887" s="18" t="s">
        <v>1133</v>
      </c>
      <c r="B887" s="18" t="str">
        <f>VLOOKUP(A887,'[6]Fin vs NFin'!$A$4:$B$568,2,FALSE)</f>
        <v>!SG-CH-Vida</v>
      </c>
      <c r="C887" s="18" t="s">
        <v>1138</v>
      </c>
      <c r="D887" s="18" t="s">
        <v>1135</v>
      </c>
      <c r="E887" s="18" t="str">
        <f>VLOOKUP(D887,[6]Arvore!$N$8:$Q$6855,4,FALSE)</f>
        <v/>
      </c>
      <c r="F887" s="19">
        <v>15.02</v>
      </c>
      <c r="G887" s="19">
        <v>0</v>
      </c>
      <c r="H887" s="20">
        <v>15.02</v>
      </c>
      <c r="I887" s="116"/>
      <c r="J887" s="117"/>
      <c r="K887" s="21"/>
      <c r="L887" s="22" t="s">
        <v>1136</v>
      </c>
      <c r="M887" s="23">
        <f t="shared" si="17"/>
        <v>15.02</v>
      </c>
      <c r="N887" s="2"/>
      <c r="O887" s="19" t="str">
        <f>VLOOKUP(QUERY_FOR_TRNSTRANSPOSED_0008!A887,'[6]Fin vs NFin'!$A$4:$F$568,6,FALSE)</f>
        <v>Não Financeiras</v>
      </c>
      <c r="P887" s="24" t="str">
        <f t="shared" si="16"/>
        <v>SE</v>
      </c>
      <c r="Q887" s="24"/>
      <c r="R887" s="24"/>
      <c r="S887" s="24"/>
      <c r="T887" s="24"/>
    </row>
    <row r="888" spans="1:20">
      <c r="A888" s="18" t="s">
        <v>1133</v>
      </c>
      <c r="B888" s="18" t="str">
        <f>VLOOKUP(A888,'[6]Fin vs NFin'!$A$4:$B$568,2,FALSE)</f>
        <v>!SG-CH-Vida</v>
      </c>
      <c r="C888" s="18" t="s">
        <v>1139</v>
      </c>
      <c r="D888" s="18" t="s">
        <v>1135</v>
      </c>
      <c r="E888" s="18" t="str">
        <f>VLOOKUP(D888,[6]Arvore!$N$8:$Q$6855,4,FALSE)</f>
        <v/>
      </c>
      <c r="F888" s="19">
        <v>89.38</v>
      </c>
      <c r="G888" s="19">
        <v>0</v>
      </c>
      <c r="H888" s="20">
        <v>89.38</v>
      </c>
      <c r="I888" s="116"/>
      <c r="J888" s="117"/>
      <c r="K888" s="21"/>
      <c r="L888" s="22" t="s">
        <v>1136</v>
      </c>
      <c r="M888" s="23">
        <f t="shared" si="17"/>
        <v>89.38</v>
      </c>
      <c r="N888" s="2"/>
      <c r="O888" s="19" t="str">
        <f>VLOOKUP(QUERY_FOR_TRNSTRANSPOSED_0008!A888,'[6]Fin vs NFin'!$A$4:$F$568,6,FALSE)</f>
        <v>Não Financeiras</v>
      </c>
      <c r="P888" s="24" t="str">
        <f t="shared" si="16"/>
        <v>SE</v>
      </c>
      <c r="Q888" s="24"/>
      <c r="R888" s="24"/>
      <c r="S888" s="24"/>
      <c r="T888" s="24"/>
    </row>
    <row r="889" spans="1:20">
      <c r="A889" s="18" t="s">
        <v>1133</v>
      </c>
      <c r="B889" s="18" t="str">
        <f>VLOOKUP(A889,'[6]Fin vs NFin'!$A$4:$B$568,2,FALSE)</f>
        <v>!SG-CH-Vida</v>
      </c>
      <c r="C889" s="18" t="s">
        <v>1140</v>
      </c>
      <c r="D889" s="18" t="s">
        <v>1135</v>
      </c>
      <c r="E889" s="18" t="str">
        <f>VLOOKUP(D889,[6]Arvore!$N$8:$Q$6855,4,FALSE)</f>
        <v/>
      </c>
      <c r="F889" s="19">
        <v>7677.37</v>
      </c>
      <c r="G889" s="19">
        <v>0</v>
      </c>
      <c r="H889" s="20">
        <v>7677.37</v>
      </c>
      <c r="I889" s="116"/>
      <c r="J889" s="117"/>
      <c r="K889" s="21"/>
      <c r="L889" s="22" t="s">
        <v>1136</v>
      </c>
      <c r="M889" s="23">
        <f t="shared" si="17"/>
        <v>7677.37</v>
      </c>
      <c r="N889" s="2"/>
      <c r="O889" s="19" t="str">
        <f>VLOOKUP(QUERY_FOR_TRNSTRANSPOSED_0008!A889,'[6]Fin vs NFin'!$A$4:$F$568,6,FALSE)</f>
        <v>Não Financeiras</v>
      </c>
      <c r="P889" s="24" t="str">
        <f t="shared" si="16"/>
        <v>SE</v>
      </c>
      <c r="Q889" s="24"/>
      <c r="R889" s="24"/>
      <c r="S889" s="24"/>
      <c r="T889" s="24"/>
    </row>
    <row r="890" spans="1:20">
      <c r="A890" s="18" t="s">
        <v>1133</v>
      </c>
      <c r="B890" s="18" t="str">
        <f>VLOOKUP(A890,'[6]Fin vs NFin'!$A$4:$B$568,2,FALSE)</f>
        <v>!SG-CH-Vida</v>
      </c>
      <c r="C890" s="18" t="s">
        <v>1141</v>
      </c>
      <c r="D890" s="18" t="s">
        <v>1135</v>
      </c>
      <c r="E890" s="18" t="str">
        <f>VLOOKUP(D890,[6]Arvore!$N$8:$Q$6855,4,FALSE)</f>
        <v/>
      </c>
      <c r="F890" s="19">
        <v>6007.74</v>
      </c>
      <c r="G890" s="19">
        <v>0</v>
      </c>
      <c r="H890" s="20">
        <v>6007.74</v>
      </c>
      <c r="I890" s="116"/>
      <c r="J890" s="117"/>
      <c r="K890" s="21"/>
      <c r="L890" s="22" t="s">
        <v>1136</v>
      </c>
      <c r="M890" s="23">
        <f t="shared" si="17"/>
        <v>6007.74</v>
      </c>
      <c r="N890" s="2"/>
      <c r="O890" s="19" t="str">
        <f>VLOOKUP(QUERY_FOR_TRNSTRANSPOSED_0008!A890,'[6]Fin vs NFin'!$A$4:$F$568,6,FALSE)</f>
        <v>Não Financeiras</v>
      </c>
      <c r="P890" s="24" t="str">
        <f t="shared" si="16"/>
        <v>SE</v>
      </c>
      <c r="Q890" s="24"/>
      <c r="R890" s="24"/>
      <c r="S890" s="24"/>
      <c r="T890" s="24"/>
    </row>
    <row r="891" spans="1:20">
      <c r="A891" s="18" t="s">
        <v>1133</v>
      </c>
      <c r="B891" s="18" t="str">
        <f>VLOOKUP(A891,'[6]Fin vs NFin'!$A$4:$B$568,2,FALSE)</f>
        <v>!SG-CH-Vida</v>
      </c>
      <c r="C891" s="18" t="s">
        <v>1142</v>
      </c>
      <c r="D891" s="18" t="s">
        <v>1135</v>
      </c>
      <c r="E891" s="18" t="str">
        <f>VLOOKUP(D891,[6]Arvore!$N$8:$Q$6855,4,FALSE)</f>
        <v/>
      </c>
      <c r="F891" s="19">
        <v>395.21</v>
      </c>
      <c r="G891" s="19">
        <v>0</v>
      </c>
      <c r="H891" s="20">
        <v>395.21</v>
      </c>
      <c r="I891" s="116"/>
      <c r="J891" s="117"/>
      <c r="K891" s="21"/>
      <c r="L891" s="22" t="s">
        <v>1136</v>
      </c>
      <c r="M891" s="23">
        <f t="shared" si="17"/>
        <v>395.21</v>
      </c>
      <c r="N891" s="2"/>
      <c r="O891" s="19" t="str">
        <f>VLOOKUP(QUERY_FOR_TRNSTRANSPOSED_0008!A891,'[6]Fin vs NFin'!$A$4:$F$568,6,FALSE)</f>
        <v>Não Financeiras</v>
      </c>
      <c r="P891" s="24" t="str">
        <f t="shared" si="16"/>
        <v>SE</v>
      </c>
      <c r="Q891" s="24"/>
      <c r="R891" s="24"/>
      <c r="S891" s="24"/>
      <c r="T891" s="24"/>
    </row>
    <row r="892" spans="1:20">
      <c r="A892" s="18" t="s">
        <v>1133</v>
      </c>
      <c r="B892" s="18" t="str">
        <f>VLOOKUP(A892,'[6]Fin vs NFin'!$A$4:$B$568,2,FALSE)</f>
        <v>!SG-CH-Vida</v>
      </c>
      <c r="C892" s="18" t="s">
        <v>1143</v>
      </c>
      <c r="D892" s="18" t="s">
        <v>1135</v>
      </c>
      <c r="E892" s="18" t="str">
        <f>VLOOKUP(D892,[6]Arvore!$N$8:$Q$6855,4,FALSE)</f>
        <v/>
      </c>
      <c r="F892" s="19">
        <v>1504.72</v>
      </c>
      <c r="G892" s="19">
        <v>0</v>
      </c>
      <c r="H892" s="20">
        <v>1504.72</v>
      </c>
      <c r="I892" s="116"/>
      <c r="J892" s="117"/>
      <c r="K892" s="21"/>
      <c r="L892" s="22" t="s">
        <v>1136</v>
      </c>
      <c r="M892" s="23">
        <f t="shared" si="17"/>
        <v>1504.72</v>
      </c>
      <c r="N892" s="2"/>
      <c r="O892" s="19" t="str">
        <f>VLOOKUP(QUERY_FOR_TRNSTRANSPOSED_0008!A892,'[6]Fin vs NFin'!$A$4:$F$568,6,FALSE)</f>
        <v>Não Financeiras</v>
      </c>
      <c r="P892" s="24" t="str">
        <f t="shared" si="16"/>
        <v>SE</v>
      </c>
      <c r="Q892" s="24"/>
      <c r="R892" s="24"/>
      <c r="S892" s="24"/>
      <c r="T892" s="24"/>
    </row>
    <row r="893" spans="1:20">
      <c r="A893" s="18" t="s">
        <v>1133</v>
      </c>
      <c r="B893" s="18" t="str">
        <f>VLOOKUP(A893,'[6]Fin vs NFin'!$A$4:$B$568,2,FALSE)</f>
        <v>!SG-CH-Vida</v>
      </c>
      <c r="C893" s="18" t="s">
        <v>1144</v>
      </c>
      <c r="D893" s="18" t="s">
        <v>1135</v>
      </c>
      <c r="E893" s="18" t="str">
        <f>VLOOKUP(D893,[6]Arvore!$N$8:$Q$6855,4,FALSE)</f>
        <v/>
      </c>
      <c r="F893" s="19">
        <v>74554.399999999994</v>
      </c>
      <c r="G893" s="19">
        <v>0</v>
      </c>
      <c r="H893" s="20">
        <v>74554.399999999994</v>
      </c>
      <c r="I893" s="116"/>
      <c r="J893" s="117"/>
      <c r="K893" s="21"/>
      <c r="L893" s="22" t="s">
        <v>1136</v>
      </c>
      <c r="M893" s="23">
        <f t="shared" si="17"/>
        <v>74554.399999999994</v>
      </c>
      <c r="N893" s="2"/>
      <c r="O893" s="19" t="str">
        <f>VLOOKUP(QUERY_FOR_TRNSTRANSPOSED_0008!A893,'[6]Fin vs NFin'!$A$4:$F$568,6,FALSE)</f>
        <v>Não Financeiras</v>
      </c>
      <c r="P893" s="24" t="str">
        <f t="shared" si="16"/>
        <v>SE</v>
      </c>
      <c r="Q893" s="24"/>
      <c r="R893" s="24"/>
      <c r="S893" s="24"/>
      <c r="T893" s="24"/>
    </row>
    <row r="894" spans="1:20">
      <c r="A894" s="18" t="s">
        <v>1133</v>
      </c>
      <c r="B894" s="18" t="str">
        <f>VLOOKUP(A894,'[6]Fin vs NFin'!$A$4:$B$568,2,FALSE)</f>
        <v>!SG-CH-Vida</v>
      </c>
      <c r="C894" s="18" t="s">
        <v>1145</v>
      </c>
      <c r="D894" s="18" t="s">
        <v>1135</v>
      </c>
      <c r="E894" s="18" t="str">
        <f>VLOOKUP(D894,[6]Arvore!$N$8:$Q$6855,4,FALSE)</f>
        <v/>
      </c>
      <c r="F894" s="19">
        <v>146955.64000000001</v>
      </c>
      <c r="G894" s="19">
        <v>0</v>
      </c>
      <c r="H894" s="20">
        <v>146955.64000000001</v>
      </c>
      <c r="I894" s="116"/>
      <c r="J894" s="117"/>
      <c r="K894" s="21"/>
      <c r="L894" s="22" t="s">
        <v>1136</v>
      </c>
      <c r="M894" s="23">
        <f t="shared" si="17"/>
        <v>146955.64000000001</v>
      </c>
      <c r="N894" s="2"/>
      <c r="O894" s="19" t="str">
        <f>VLOOKUP(QUERY_FOR_TRNSTRANSPOSED_0008!A894,'[6]Fin vs NFin'!$A$4:$F$568,6,FALSE)</f>
        <v>Não Financeiras</v>
      </c>
      <c r="P894" s="24" t="str">
        <f t="shared" si="16"/>
        <v>SE</v>
      </c>
      <c r="Q894" s="24"/>
      <c r="R894" s="24"/>
      <c r="S894" s="24"/>
      <c r="T894" s="24"/>
    </row>
    <row r="895" spans="1:20">
      <c r="A895" s="18" t="s">
        <v>1133</v>
      </c>
      <c r="B895" s="18" t="str">
        <f>VLOOKUP(A895,'[6]Fin vs NFin'!$A$4:$B$568,2,FALSE)</f>
        <v>!SG-CH-Vida</v>
      </c>
      <c r="C895" s="18" t="s">
        <v>1146</v>
      </c>
      <c r="D895" s="18" t="s">
        <v>1135</v>
      </c>
      <c r="E895" s="18" t="str">
        <f>VLOOKUP(D895,[6]Arvore!$N$8:$Q$6855,4,FALSE)</f>
        <v/>
      </c>
      <c r="F895" s="19">
        <v>2402.2600000000002</v>
      </c>
      <c r="G895" s="19">
        <v>0</v>
      </c>
      <c r="H895" s="20">
        <v>2402.2600000000002</v>
      </c>
      <c r="I895" s="116"/>
      <c r="J895" s="117"/>
      <c r="K895" s="21"/>
      <c r="L895" s="22" t="s">
        <v>1136</v>
      </c>
      <c r="M895" s="23">
        <f t="shared" si="17"/>
        <v>2402.2600000000002</v>
      </c>
      <c r="N895" s="2"/>
      <c r="O895" s="19" t="str">
        <f>VLOOKUP(QUERY_FOR_TRNSTRANSPOSED_0008!A895,'[6]Fin vs NFin'!$A$4:$F$568,6,FALSE)</f>
        <v>Não Financeiras</v>
      </c>
      <c r="P895" s="24" t="str">
        <f t="shared" si="16"/>
        <v>SE</v>
      </c>
      <c r="Q895" s="24"/>
      <c r="R895" s="24"/>
      <c r="S895" s="24"/>
      <c r="T895" s="24"/>
    </row>
    <row r="896" spans="1:20">
      <c r="A896" s="18" t="s">
        <v>1133</v>
      </c>
      <c r="B896" s="18" t="str">
        <f>VLOOKUP(A896,'[6]Fin vs NFin'!$A$4:$B$568,2,FALSE)</f>
        <v>!SG-CH-Vida</v>
      </c>
      <c r="C896" s="18" t="s">
        <v>1147</v>
      </c>
      <c r="D896" s="18" t="s">
        <v>1135</v>
      </c>
      <c r="E896" s="18" t="str">
        <f>VLOOKUP(D896,[6]Arvore!$N$8:$Q$6855,4,FALSE)</f>
        <v/>
      </c>
      <c r="F896" s="19">
        <v>2436.65</v>
      </c>
      <c r="G896" s="19">
        <v>0</v>
      </c>
      <c r="H896" s="20">
        <v>2436.65</v>
      </c>
      <c r="I896" s="116"/>
      <c r="J896" s="117"/>
      <c r="K896" s="21"/>
      <c r="L896" s="22" t="s">
        <v>1136</v>
      </c>
      <c r="M896" s="23">
        <f t="shared" si="17"/>
        <v>2436.65</v>
      </c>
      <c r="N896" s="2"/>
      <c r="O896" s="19" t="str">
        <f>VLOOKUP(QUERY_FOR_TRNSTRANSPOSED_0008!A896,'[6]Fin vs NFin'!$A$4:$F$568,6,FALSE)</f>
        <v>Não Financeiras</v>
      </c>
      <c r="P896" s="24" t="str">
        <f t="shared" si="16"/>
        <v>SE</v>
      </c>
      <c r="Q896" s="24"/>
      <c r="R896" s="24"/>
      <c r="S896" s="24"/>
      <c r="T896" s="24"/>
    </row>
    <row r="897" spans="1:20">
      <c r="A897" s="18" t="s">
        <v>1133</v>
      </c>
      <c r="B897" s="18" t="str">
        <f>VLOOKUP(A897,'[6]Fin vs NFin'!$A$4:$B$568,2,FALSE)</f>
        <v>!SG-CH-Vida</v>
      </c>
      <c r="C897" s="18" t="s">
        <v>1148</v>
      </c>
      <c r="D897" s="18" t="s">
        <v>1135</v>
      </c>
      <c r="E897" s="18" t="str">
        <f>VLOOKUP(D897,[6]Arvore!$N$8:$Q$6855,4,FALSE)</f>
        <v/>
      </c>
      <c r="F897" s="19">
        <v>1382.47</v>
      </c>
      <c r="G897" s="19">
        <v>0</v>
      </c>
      <c r="H897" s="20">
        <v>1382.47</v>
      </c>
      <c r="I897" s="116"/>
      <c r="J897" s="117"/>
      <c r="K897" s="21"/>
      <c r="L897" s="22" t="s">
        <v>1136</v>
      </c>
      <c r="M897" s="23">
        <f t="shared" si="17"/>
        <v>1382.47</v>
      </c>
      <c r="N897" s="2"/>
      <c r="O897" s="19" t="str">
        <f>VLOOKUP(QUERY_FOR_TRNSTRANSPOSED_0008!A897,'[6]Fin vs NFin'!$A$4:$F$568,6,FALSE)</f>
        <v>Não Financeiras</v>
      </c>
      <c r="P897" s="24" t="str">
        <f t="shared" si="16"/>
        <v>SE</v>
      </c>
      <c r="Q897" s="24"/>
      <c r="R897" s="24"/>
      <c r="S897" s="24"/>
      <c r="T897" s="24"/>
    </row>
    <row r="898" spans="1:20">
      <c r="A898" s="18" t="s">
        <v>1133</v>
      </c>
      <c r="B898" s="18" t="str">
        <f>VLOOKUP(A898,'[6]Fin vs NFin'!$A$4:$B$568,2,FALSE)</f>
        <v>!SG-CH-Vida</v>
      </c>
      <c r="C898" s="18" t="s">
        <v>1149</v>
      </c>
      <c r="D898" s="18" t="s">
        <v>1135</v>
      </c>
      <c r="E898" s="18" t="str">
        <f>VLOOKUP(D898,[6]Arvore!$N$8:$Q$6855,4,FALSE)</f>
        <v/>
      </c>
      <c r="F898" s="19">
        <v>2386.15</v>
      </c>
      <c r="G898" s="19">
        <v>0</v>
      </c>
      <c r="H898" s="20">
        <v>2386.15</v>
      </c>
      <c r="I898" s="116"/>
      <c r="J898" s="117"/>
      <c r="K898" s="21"/>
      <c r="L898" s="22" t="s">
        <v>1136</v>
      </c>
      <c r="M898" s="23">
        <f t="shared" si="17"/>
        <v>2386.15</v>
      </c>
      <c r="N898" s="2"/>
      <c r="O898" s="19" t="str">
        <f>VLOOKUP(QUERY_FOR_TRNSTRANSPOSED_0008!A898,'[6]Fin vs NFin'!$A$4:$F$568,6,FALSE)</f>
        <v>Não Financeiras</v>
      </c>
      <c r="P898" s="24" t="str">
        <f t="shared" si="16"/>
        <v>SE</v>
      </c>
      <c r="Q898" s="24"/>
      <c r="R898" s="24"/>
      <c r="S898" s="24"/>
      <c r="T898" s="24"/>
    </row>
    <row r="899" spans="1:20">
      <c r="A899" s="18" t="s">
        <v>1133</v>
      </c>
      <c r="B899" s="18" t="str">
        <f>VLOOKUP(A899,'[6]Fin vs NFin'!$A$4:$B$568,2,FALSE)</f>
        <v>!SG-CH-Vida</v>
      </c>
      <c r="C899" s="18" t="s">
        <v>1150</v>
      </c>
      <c r="D899" s="18" t="s">
        <v>1135</v>
      </c>
      <c r="E899" s="18" t="str">
        <f>VLOOKUP(D899,[6]Arvore!$N$8:$Q$6855,4,FALSE)</f>
        <v/>
      </c>
      <c r="F899" s="19">
        <v>192892.23</v>
      </c>
      <c r="G899" s="19">
        <v>0</v>
      </c>
      <c r="H899" s="20">
        <v>192892.23</v>
      </c>
      <c r="I899" s="116"/>
      <c r="J899" s="117"/>
      <c r="K899" s="21"/>
      <c r="L899" s="22" t="s">
        <v>1136</v>
      </c>
      <c r="M899" s="23">
        <f t="shared" si="17"/>
        <v>192892.23</v>
      </c>
      <c r="N899" s="2"/>
      <c r="O899" s="19" t="str">
        <f>VLOOKUP(QUERY_FOR_TRNSTRANSPOSED_0008!A899,'[6]Fin vs NFin'!$A$4:$F$568,6,FALSE)</f>
        <v>Não Financeiras</v>
      </c>
      <c r="P899" s="24" t="str">
        <f t="shared" si="16"/>
        <v>SE</v>
      </c>
      <c r="Q899" s="24"/>
      <c r="R899" s="24"/>
      <c r="S899" s="24"/>
      <c r="T899" s="24"/>
    </row>
    <row r="900" spans="1:20">
      <c r="A900" s="18" t="s">
        <v>1133</v>
      </c>
      <c r="B900" s="18" t="str">
        <f>VLOOKUP(A900,'[6]Fin vs NFin'!$A$4:$B$568,2,FALSE)</f>
        <v>!SG-CH-Vida</v>
      </c>
      <c r="C900" s="18" t="s">
        <v>1151</v>
      </c>
      <c r="D900" s="18" t="s">
        <v>1135</v>
      </c>
      <c r="E900" s="18" t="str">
        <f>VLOOKUP(D900,[6]Arvore!$N$8:$Q$6855,4,FALSE)</f>
        <v/>
      </c>
      <c r="F900" s="19">
        <v>681087.9</v>
      </c>
      <c r="G900" s="19">
        <v>0</v>
      </c>
      <c r="H900" s="20">
        <v>681087.9</v>
      </c>
      <c r="I900" s="116"/>
      <c r="J900" s="117"/>
      <c r="K900" s="21"/>
      <c r="L900" s="22" t="s">
        <v>1136</v>
      </c>
      <c r="M900" s="23">
        <f t="shared" si="17"/>
        <v>681087.9</v>
      </c>
      <c r="N900" s="2"/>
      <c r="O900" s="19" t="str">
        <f>VLOOKUP(QUERY_FOR_TRNSTRANSPOSED_0008!A900,'[6]Fin vs NFin'!$A$4:$F$568,6,FALSE)</f>
        <v>Não Financeiras</v>
      </c>
      <c r="P900" s="24" t="str">
        <f t="shared" si="16"/>
        <v>SE</v>
      </c>
      <c r="Q900" s="24"/>
      <c r="R900" s="24"/>
      <c r="S900" s="24"/>
      <c r="T900" s="24"/>
    </row>
    <row r="901" spans="1:20">
      <c r="A901" s="18" t="s">
        <v>1133</v>
      </c>
      <c r="B901" s="18" t="str">
        <f>VLOOKUP(A901,'[6]Fin vs NFin'!$A$4:$B$568,2,FALSE)</f>
        <v>!SG-CH-Vida</v>
      </c>
      <c r="C901" s="18" t="s">
        <v>1152</v>
      </c>
      <c r="D901" s="18" t="s">
        <v>1135</v>
      </c>
      <c r="E901" s="18" t="str">
        <f>VLOOKUP(D901,[6]Arvore!$N$8:$Q$6855,4,FALSE)</f>
        <v/>
      </c>
      <c r="F901" s="19">
        <v>2545.7800000000002</v>
      </c>
      <c r="G901" s="19">
        <v>0</v>
      </c>
      <c r="H901" s="20">
        <v>2545.7800000000002</v>
      </c>
      <c r="I901" s="116"/>
      <c r="J901" s="117"/>
      <c r="K901" s="21"/>
      <c r="L901" s="22" t="s">
        <v>1136</v>
      </c>
      <c r="M901" s="23">
        <f t="shared" si="17"/>
        <v>2545.7800000000002</v>
      </c>
      <c r="N901" s="2"/>
      <c r="O901" s="19" t="str">
        <f>VLOOKUP(QUERY_FOR_TRNSTRANSPOSED_0008!A901,'[6]Fin vs NFin'!$A$4:$F$568,6,FALSE)</f>
        <v>Não Financeiras</v>
      </c>
      <c r="P901" s="24" t="str">
        <f t="shared" si="16"/>
        <v>SE</v>
      </c>
      <c r="Q901" s="24"/>
      <c r="R901" s="24"/>
      <c r="S901" s="24"/>
      <c r="T901" s="24"/>
    </row>
    <row r="902" spans="1:20">
      <c r="A902" s="18" t="s">
        <v>1133</v>
      </c>
      <c r="B902" s="18" t="str">
        <f>VLOOKUP(A902,'[6]Fin vs NFin'!$A$4:$B$568,2,FALSE)</f>
        <v>!SG-CH-Vida</v>
      </c>
      <c r="C902" s="18" t="s">
        <v>1153</v>
      </c>
      <c r="D902" s="18" t="s">
        <v>1135</v>
      </c>
      <c r="E902" s="18" t="str">
        <f>VLOOKUP(D902,[6]Arvore!$N$8:$Q$6855,4,FALSE)</f>
        <v/>
      </c>
      <c r="F902" s="19">
        <v>4892.5</v>
      </c>
      <c r="G902" s="19">
        <v>0</v>
      </c>
      <c r="H902" s="20">
        <v>4892.5</v>
      </c>
      <c r="I902" s="116"/>
      <c r="J902" s="117"/>
      <c r="K902" s="21"/>
      <c r="L902" s="22" t="s">
        <v>1136</v>
      </c>
      <c r="M902" s="23">
        <f t="shared" si="17"/>
        <v>4892.5</v>
      </c>
      <c r="N902" s="2"/>
      <c r="O902" s="19" t="str">
        <f>VLOOKUP(QUERY_FOR_TRNSTRANSPOSED_0008!A902,'[6]Fin vs NFin'!$A$4:$F$568,6,FALSE)</f>
        <v>Não Financeiras</v>
      </c>
      <c r="P902" s="24" t="str">
        <f t="shared" ref="P902:P965" si="18">LEFT(D902,2)</f>
        <v>SE</v>
      </c>
      <c r="Q902" s="24"/>
      <c r="R902" s="24"/>
      <c r="S902" s="24"/>
      <c r="T902" s="24"/>
    </row>
    <row r="903" spans="1:20">
      <c r="A903" s="18" t="s">
        <v>1133</v>
      </c>
      <c r="B903" s="18" t="str">
        <f>VLOOKUP(A903,'[6]Fin vs NFin'!$A$4:$B$568,2,FALSE)</f>
        <v>!SG-CH-Vida</v>
      </c>
      <c r="C903" s="18" t="s">
        <v>1154</v>
      </c>
      <c r="D903" s="18" t="s">
        <v>1135</v>
      </c>
      <c r="E903" s="18" t="str">
        <f>VLOOKUP(D903,[6]Arvore!$N$8:$Q$6855,4,FALSE)</f>
        <v/>
      </c>
      <c r="F903" s="19">
        <v>4483.1000000000004</v>
      </c>
      <c r="G903" s="19">
        <v>0</v>
      </c>
      <c r="H903" s="20">
        <v>4483.1000000000004</v>
      </c>
      <c r="I903" s="116"/>
      <c r="J903" s="117"/>
      <c r="K903" s="21"/>
      <c r="L903" s="22" t="s">
        <v>1136</v>
      </c>
      <c r="M903" s="23">
        <f t="shared" si="17"/>
        <v>4483.1000000000004</v>
      </c>
      <c r="N903" s="2"/>
      <c r="O903" s="19" t="str">
        <f>VLOOKUP(QUERY_FOR_TRNSTRANSPOSED_0008!A903,'[6]Fin vs NFin'!$A$4:$F$568,6,FALSE)</f>
        <v>Não Financeiras</v>
      </c>
      <c r="P903" s="24" t="str">
        <f t="shared" si="18"/>
        <v>SE</v>
      </c>
      <c r="Q903" s="24"/>
      <c r="R903" s="24"/>
      <c r="S903" s="24"/>
      <c r="T903" s="24"/>
    </row>
    <row r="904" spans="1:20">
      <c r="A904" s="18" t="s">
        <v>1133</v>
      </c>
      <c r="B904" s="18" t="str">
        <f>VLOOKUP(A904,'[6]Fin vs NFin'!$A$4:$B$568,2,FALSE)</f>
        <v>!SG-CH-Vida</v>
      </c>
      <c r="C904" s="18" t="s">
        <v>1155</v>
      </c>
      <c r="D904" s="18" t="s">
        <v>1135</v>
      </c>
      <c r="E904" s="18" t="str">
        <f>VLOOKUP(D904,[6]Arvore!$N$8:$Q$6855,4,FALSE)</f>
        <v/>
      </c>
      <c r="F904" s="19">
        <v>5684.6</v>
      </c>
      <c r="G904" s="19">
        <v>0</v>
      </c>
      <c r="H904" s="20">
        <v>5684.6</v>
      </c>
      <c r="I904" s="116"/>
      <c r="J904" s="117"/>
      <c r="K904" s="21"/>
      <c r="L904" s="22" t="s">
        <v>1136</v>
      </c>
      <c r="M904" s="23">
        <f t="shared" si="17"/>
        <v>5684.6</v>
      </c>
      <c r="N904" s="2"/>
      <c r="O904" s="19" t="str">
        <f>VLOOKUP(QUERY_FOR_TRNSTRANSPOSED_0008!A904,'[6]Fin vs NFin'!$A$4:$F$568,6,FALSE)</f>
        <v>Não Financeiras</v>
      </c>
      <c r="P904" s="24" t="str">
        <f t="shared" si="18"/>
        <v>SE</v>
      </c>
      <c r="Q904" s="24"/>
      <c r="R904" s="24"/>
      <c r="S904" s="24"/>
      <c r="T904" s="24"/>
    </row>
    <row r="905" spans="1:20">
      <c r="A905" s="18" t="s">
        <v>1133</v>
      </c>
      <c r="B905" s="18" t="str">
        <f>VLOOKUP(A905,'[6]Fin vs NFin'!$A$4:$B$568,2,FALSE)</f>
        <v>!SG-CH-Vida</v>
      </c>
      <c r="C905" s="18" t="s">
        <v>1156</v>
      </c>
      <c r="D905" s="18" t="s">
        <v>1135</v>
      </c>
      <c r="E905" s="18" t="str">
        <f>VLOOKUP(D905,[6]Arvore!$N$8:$Q$6855,4,FALSE)</f>
        <v/>
      </c>
      <c r="F905" s="19">
        <v>277014.71999999997</v>
      </c>
      <c r="G905" s="19">
        <v>0</v>
      </c>
      <c r="H905" s="20">
        <v>277014.71999999997</v>
      </c>
      <c r="I905" s="116"/>
      <c r="J905" s="117"/>
      <c r="K905" s="21"/>
      <c r="L905" s="22" t="s">
        <v>1136</v>
      </c>
      <c r="M905" s="23">
        <f t="shared" si="17"/>
        <v>277014.71999999997</v>
      </c>
      <c r="N905" s="2"/>
      <c r="O905" s="19" t="str">
        <f>VLOOKUP(QUERY_FOR_TRNSTRANSPOSED_0008!A905,'[6]Fin vs NFin'!$A$4:$F$568,6,FALSE)</f>
        <v>Não Financeiras</v>
      </c>
      <c r="P905" s="24" t="str">
        <f t="shared" si="18"/>
        <v>SE</v>
      </c>
      <c r="Q905" s="24"/>
      <c r="R905" s="24"/>
      <c r="S905" s="24"/>
      <c r="T905" s="24"/>
    </row>
    <row r="906" spans="1:20">
      <c r="A906" s="18" t="s">
        <v>1133</v>
      </c>
      <c r="B906" s="18" t="str">
        <f>VLOOKUP(A906,'[6]Fin vs NFin'!$A$4:$B$568,2,FALSE)</f>
        <v>!SG-CH-Vida</v>
      </c>
      <c r="C906" s="18" t="s">
        <v>1157</v>
      </c>
      <c r="D906" s="18" t="s">
        <v>1135</v>
      </c>
      <c r="E906" s="18" t="str">
        <f>VLOOKUP(D906,[6]Arvore!$N$8:$Q$6855,4,FALSE)</f>
        <v/>
      </c>
      <c r="F906" s="19">
        <v>485753.11</v>
      </c>
      <c r="G906" s="19">
        <v>0</v>
      </c>
      <c r="H906" s="20">
        <v>485753.11</v>
      </c>
      <c r="I906" s="116"/>
      <c r="J906" s="117"/>
      <c r="K906" s="21"/>
      <c r="L906" s="22" t="s">
        <v>1136</v>
      </c>
      <c r="M906" s="23">
        <f t="shared" si="17"/>
        <v>485753.11</v>
      </c>
      <c r="N906" s="2"/>
      <c r="O906" s="19" t="str">
        <f>VLOOKUP(QUERY_FOR_TRNSTRANSPOSED_0008!A906,'[6]Fin vs NFin'!$A$4:$F$568,6,FALSE)</f>
        <v>Não Financeiras</v>
      </c>
      <c r="P906" s="24" t="str">
        <f t="shared" si="18"/>
        <v>SE</v>
      </c>
      <c r="Q906" s="24"/>
      <c r="R906" s="24"/>
      <c r="S906" s="24"/>
      <c r="T906" s="24"/>
    </row>
    <row r="907" spans="1:20">
      <c r="A907" s="18" t="s">
        <v>1133</v>
      </c>
      <c r="B907" s="18" t="str">
        <f>VLOOKUP(A907,'[6]Fin vs NFin'!$A$4:$B$568,2,FALSE)</f>
        <v>!SG-CH-Vida</v>
      </c>
      <c r="C907" s="18" t="s">
        <v>1158</v>
      </c>
      <c r="D907" s="18" t="s">
        <v>1135</v>
      </c>
      <c r="E907" s="18" t="str">
        <f>VLOOKUP(D907,[6]Arvore!$N$8:$Q$6855,4,FALSE)</f>
        <v/>
      </c>
      <c r="F907" s="19">
        <v>219390.75</v>
      </c>
      <c r="G907" s="19">
        <v>0</v>
      </c>
      <c r="H907" s="20">
        <v>219390.75</v>
      </c>
      <c r="I907" s="116"/>
      <c r="J907" s="117"/>
      <c r="K907" s="21"/>
      <c r="L907" s="22" t="s">
        <v>1136</v>
      </c>
      <c r="M907" s="23">
        <f t="shared" si="17"/>
        <v>219390.75</v>
      </c>
      <c r="N907" s="2"/>
      <c r="O907" s="19" t="str">
        <f>VLOOKUP(QUERY_FOR_TRNSTRANSPOSED_0008!A907,'[6]Fin vs NFin'!$A$4:$F$568,6,FALSE)</f>
        <v>Não Financeiras</v>
      </c>
      <c r="P907" s="24" t="str">
        <f t="shared" si="18"/>
        <v>SE</v>
      </c>
      <c r="Q907" s="24"/>
      <c r="R907" s="24"/>
      <c r="S907" s="24"/>
      <c r="T907" s="24"/>
    </row>
    <row r="908" spans="1:20">
      <c r="A908" s="18" t="s">
        <v>1133</v>
      </c>
      <c r="B908" s="18" t="str">
        <f>VLOOKUP(A908,'[6]Fin vs NFin'!$A$4:$B$568,2,FALSE)</f>
        <v>!SG-CH-Vida</v>
      </c>
      <c r="C908" s="18" t="s">
        <v>1159</v>
      </c>
      <c r="D908" s="18" t="s">
        <v>1135</v>
      </c>
      <c r="E908" s="18" t="str">
        <f>VLOOKUP(D908,[6]Arvore!$N$8:$Q$6855,4,FALSE)</f>
        <v/>
      </c>
      <c r="F908" s="19">
        <v>348604.26</v>
      </c>
      <c r="G908" s="19">
        <v>0</v>
      </c>
      <c r="H908" s="20">
        <v>348604.26</v>
      </c>
      <c r="I908" s="116"/>
      <c r="J908" s="117"/>
      <c r="K908" s="21"/>
      <c r="L908" s="22" t="s">
        <v>1136</v>
      </c>
      <c r="M908" s="23">
        <f t="shared" si="17"/>
        <v>348604.26</v>
      </c>
      <c r="N908" s="2"/>
      <c r="O908" s="19" t="str">
        <f>VLOOKUP(QUERY_FOR_TRNSTRANSPOSED_0008!A908,'[6]Fin vs NFin'!$A$4:$F$568,6,FALSE)</f>
        <v>Não Financeiras</v>
      </c>
      <c r="P908" s="24" t="str">
        <f t="shared" si="18"/>
        <v>SE</v>
      </c>
      <c r="Q908" s="24"/>
      <c r="R908" s="24"/>
      <c r="S908" s="24"/>
      <c r="T908" s="24"/>
    </row>
    <row r="909" spans="1:20">
      <c r="A909" s="18" t="s">
        <v>1133</v>
      </c>
      <c r="B909" s="18" t="str">
        <f>VLOOKUP(A909,'[6]Fin vs NFin'!$A$4:$B$568,2,FALSE)</f>
        <v>!SG-CH-Vida</v>
      </c>
      <c r="C909" s="18" t="s">
        <v>1160</v>
      </c>
      <c r="D909" s="18" t="s">
        <v>1135</v>
      </c>
      <c r="E909" s="18" t="str">
        <f>VLOOKUP(D909,[6]Arvore!$N$8:$Q$6855,4,FALSE)</f>
        <v/>
      </c>
      <c r="F909" s="19">
        <v>3047.84</v>
      </c>
      <c r="G909" s="19">
        <v>0</v>
      </c>
      <c r="H909" s="20">
        <v>3047.84</v>
      </c>
      <c r="I909" s="116"/>
      <c r="J909" s="117"/>
      <c r="K909" s="21"/>
      <c r="L909" s="22" t="s">
        <v>1136</v>
      </c>
      <c r="M909" s="23">
        <f t="shared" si="17"/>
        <v>3047.84</v>
      </c>
      <c r="N909" s="2"/>
      <c r="O909" s="19" t="str">
        <f>VLOOKUP(QUERY_FOR_TRNSTRANSPOSED_0008!A909,'[6]Fin vs NFin'!$A$4:$F$568,6,FALSE)</f>
        <v>Não Financeiras</v>
      </c>
      <c r="P909" s="24" t="str">
        <f t="shared" si="18"/>
        <v>SE</v>
      </c>
      <c r="Q909" s="24"/>
      <c r="R909" s="24"/>
      <c r="S909" s="24"/>
      <c r="T909" s="24"/>
    </row>
    <row r="910" spans="1:20">
      <c r="A910" s="18" t="s">
        <v>1133</v>
      </c>
      <c r="B910" s="18" t="str">
        <f>VLOOKUP(A910,'[6]Fin vs NFin'!$A$4:$B$568,2,FALSE)</f>
        <v>!SG-CH-Vida</v>
      </c>
      <c r="C910" s="18" t="s">
        <v>1161</v>
      </c>
      <c r="D910" s="18" t="s">
        <v>1135</v>
      </c>
      <c r="E910" s="18" t="str">
        <f>VLOOKUP(D910,[6]Arvore!$N$8:$Q$6855,4,FALSE)</f>
        <v/>
      </c>
      <c r="F910" s="19">
        <v>6062.5</v>
      </c>
      <c r="G910" s="19">
        <v>0</v>
      </c>
      <c r="H910" s="20">
        <v>6062.5</v>
      </c>
      <c r="I910" s="116"/>
      <c r="J910" s="117"/>
      <c r="K910" s="21"/>
      <c r="L910" s="22" t="s">
        <v>1136</v>
      </c>
      <c r="M910" s="23">
        <f t="shared" si="17"/>
        <v>6062.5</v>
      </c>
      <c r="N910" s="2"/>
      <c r="O910" s="19" t="str">
        <f>VLOOKUP(QUERY_FOR_TRNSTRANSPOSED_0008!A910,'[6]Fin vs NFin'!$A$4:$F$568,6,FALSE)</f>
        <v>Não Financeiras</v>
      </c>
      <c r="P910" s="24" t="str">
        <f t="shared" si="18"/>
        <v>SE</v>
      </c>
      <c r="Q910" s="24"/>
      <c r="R910" s="24"/>
      <c r="S910" s="24"/>
      <c r="T910" s="24"/>
    </row>
    <row r="911" spans="1:20">
      <c r="A911" s="18" t="s">
        <v>1133</v>
      </c>
      <c r="B911" s="18" t="str">
        <f>VLOOKUP(A911,'[6]Fin vs NFin'!$A$4:$B$568,2,FALSE)</f>
        <v>!SG-CH-Vida</v>
      </c>
      <c r="C911" s="18" t="s">
        <v>1162</v>
      </c>
      <c r="D911" s="18" t="s">
        <v>1135</v>
      </c>
      <c r="E911" s="18" t="str">
        <f>VLOOKUP(D911,[6]Arvore!$N$8:$Q$6855,4,FALSE)</f>
        <v/>
      </c>
      <c r="F911" s="19">
        <v>748654.07</v>
      </c>
      <c r="G911" s="19">
        <v>0</v>
      </c>
      <c r="H911" s="20">
        <v>748654.07</v>
      </c>
      <c r="I911" s="116"/>
      <c r="J911" s="117"/>
      <c r="K911" s="21"/>
      <c r="L911" s="22" t="s">
        <v>1136</v>
      </c>
      <c r="M911" s="23">
        <f t="shared" si="17"/>
        <v>748654.07</v>
      </c>
      <c r="N911" s="2"/>
      <c r="O911" s="19" t="str">
        <f>VLOOKUP(QUERY_FOR_TRNSTRANSPOSED_0008!A911,'[6]Fin vs NFin'!$A$4:$F$568,6,FALSE)</f>
        <v>Não Financeiras</v>
      </c>
      <c r="P911" s="24" t="str">
        <f t="shared" si="18"/>
        <v>SE</v>
      </c>
      <c r="Q911" s="24"/>
      <c r="R911" s="24"/>
      <c r="S911" s="24"/>
      <c r="T911" s="24"/>
    </row>
    <row r="912" spans="1:20">
      <c r="A912" s="18" t="s">
        <v>1133</v>
      </c>
      <c r="B912" s="18" t="str">
        <f>VLOOKUP(A912,'[6]Fin vs NFin'!$A$4:$B$568,2,FALSE)</f>
        <v>!SG-CH-Vida</v>
      </c>
      <c r="C912" s="18" t="s">
        <v>1163</v>
      </c>
      <c r="D912" s="18" t="s">
        <v>1135</v>
      </c>
      <c r="E912" s="18" t="str">
        <f>VLOOKUP(D912,[6]Arvore!$N$8:$Q$6855,4,FALSE)</f>
        <v/>
      </c>
      <c r="F912" s="19">
        <v>850571.66</v>
      </c>
      <c r="G912" s="19">
        <v>0</v>
      </c>
      <c r="H912" s="20">
        <v>850571.66</v>
      </c>
      <c r="I912" s="116"/>
      <c r="J912" s="117"/>
      <c r="K912" s="21"/>
      <c r="L912" s="22" t="s">
        <v>1136</v>
      </c>
      <c r="M912" s="23">
        <f t="shared" si="17"/>
        <v>850571.66</v>
      </c>
      <c r="N912" s="2"/>
      <c r="O912" s="19" t="str">
        <f>VLOOKUP(QUERY_FOR_TRNSTRANSPOSED_0008!A912,'[6]Fin vs NFin'!$A$4:$F$568,6,FALSE)</f>
        <v>Não Financeiras</v>
      </c>
      <c r="P912" s="24" t="str">
        <f t="shared" si="18"/>
        <v>SE</v>
      </c>
      <c r="Q912" s="24"/>
      <c r="R912" s="24"/>
      <c r="S912" s="24"/>
      <c r="T912" s="24"/>
    </row>
    <row r="913" spans="1:20">
      <c r="A913" s="18" t="s">
        <v>1133</v>
      </c>
      <c r="B913" s="18" t="str">
        <f>VLOOKUP(A913,'[6]Fin vs NFin'!$A$4:$B$568,2,FALSE)</f>
        <v>!SG-CH-Vida</v>
      </c>
      <c r="C913" s="18" t="s">
        <v>1164</v>
      </c>
      <c r="D913" s="18" t="s">
        <v>1135</v>
      </c>
      <c r="E913" s="18" t="str">
        <f>VLOOKUP(D913,[6]Arvore!$N$8:$Q$6855,4,FALSE)</f>
        <v/>
      </c>
      <c r="F913" s="19">
        <v>327062.90999999997</v>
      </c>
      <c r="G913" s="19">
        <v>0</v>
      </c>
      <c r="H913" s="20">
        <v>327062.90999999997</v>
      </c>
      <c r="I913" s="116"/>
      <c r="J913" s="117"/>
      <c r="K913" s="21"/>
      <c r="L913" s="22" t="s">
        <v>1136</v>
      </c>
      <c r="M913" s="23">
        <f t="shared" si="17"/>
        <v>327062.90999999997</v>
      </c>
      <c r="N913" s="2"/>
      <c r="O913" s="19" t="str">
        <f>VLOOKUP(QUERY_FOR_TRNSTRANSPOSED_0008!A913,'[6]Fin vs NFin'!$A$4:$F$568,6,FALSE)</f>
        <v>Não Financeiras</v>
      </c>
      <c r="P913" s="24" t="str">
        <f t="shared" si="18"/>
        <v>SE</v>
      </c>
      <c r="Q913" s="24"/>
      <c r="R913" s="24"/>
      <c r="S913" s="24"/>
      <c r="T913" s="24"/>
    </row>
    <row r="914" spans="1:20">
      <c r="A914" s="18" t="s">
        <v>1133</v>
      </c>
      <c r="B914" s="18" t="str">
        <f>VLOOKUP(A914,'[6]Fin vs NFin'!$A$4:$B$568,2,FALSE)</f>
        <v>!SG-CH-Vida</v>
      </c>
      <c r="C914" s="18" t="s">
        <v>1165</v>
      </c>
      <c r="D914" s="18" t="s">
        <v>1135</v>
      </c>
      <c r="E914" s="18" t="str">
        <f>VLOOKUP(D914,[6]Arvore!$N$8:$Q$6855,4,FALSE)</f>
        <v/>
      </c>
      <c r="F914" s="19">
        <v>712063.65</v>
      </c>
      <c r="G914" s="19">
        <v>0</v>
      </c>
      <c r="H914" s="20">
        <v>712063.65</v>
      </c>
      <c r="I914" s="116"/>
      <c r="J914" s="117"/>
      <c r="K914" s="21"/>
      <c r="L914" s="22" t="s">
        <v>1136</v>
      </c>
      <c r="M914" s="23">
        <f t="shared" si="17"/>
        <v>712063.65</v>
      </c>
      <c r="N914" s="2"/>
      <c r="O914" s="19" t="str">
        <f>VLOOKUP(QUERY_FOR_TRNSTRANSPOSED_0008!A914,'[6]Fin vs NFin'!$A$4:$F$568,6,FALSE)</f>
        <v>Não Financeiras</v>
      </c>
      <c r="P914" s="24" t="str">
        <f t="shared" si="18"/>
        <v>SE</v>
      </c>
      <c r="Q914" s="24"/>
      <c r="R914" s="24"/>
      <c r="S914" s="24"/>
      <c r="T914" s="24"/>
    </row>
    <row r="915" spans="1:20">
      <c r="A915" s="18" t="s">
        <v>1133</v>
      </c>
      <c r="B915" s="18" t="str">
        <f>VLOOKUP(A915,'[6]Fin vs NFin'!$A$4:$B$568,2,FALSE)</f>
        <v>!SG-CH-Vida</v>
      </c>
      <c r="C915" s="18" t="s">
        <v>1166</v>
      </c>
      <c r="D915" s="18" t="s">
        <v>1135</v>
      </c>
      <c r="E915" s="18" t="str">
        <f>VLOOKUP(D915,[6]Arvore!$N$8:$Q$6855,4,FALSE)</f>
        <v/>
      </c>
      <c r="F915" s="19">
        <v>88.41</v>
      </c>
      <c r="G915" s="19">
        <v>0</v>
      </c>
      <c r="H915" s="20">
        <v>88.41</v>
      </c>
      <c r="I915" s="116"/>
      <c r="J915" s="117"/>
      <c r="K915" s="21"/>
      <c r="L915" s="22" t="s">
        <v>1136</v>
      </c>
      <c r="M915" s="23">
        <f t="shared" si="17"/>
        <v>88.41</v>
      </c>
      <c r="N915" s="2"/>
      <c r="O915" s="19" t="str">
        <f>VLOOKUP(QUERY_FOR_TRNSTRANSPOSED_0008!A915,'[6]Fin vs NFin'!$A$4:$F$568,6,FALSE)</f>
        <v>Não Financeiras</v>
      </c>
      <c r="P915" s="24" t="str">
        <f t="shared" si="18"/>
        <v>SE</v>
      </c>
      <c r="Q915" s="24"/>
      <c r="R915" s="24"/>
      <c r="S915" s="24"/>
      <c r="T915" s="24"/>
    </row>
    <row r="916" spans="1:20">
      <c r="A916" s="18" t="s">
        <v>1133</v>
      </c>
      <c r="B916" s="18" t="str">
        <f>VLOOKUP(A916,'[6]Fin vs NFin'!$A$4:$B$568,2,FALSE)</f>
        <v>!SG-CH-Vida</v>
      </c>
      <c r="C916" s="18" t="s">
        <v>1167</v>
      </c>
      <c r="D916" s="18" t="s">
        <v>1135</v>
      </c>
      <c r="E916" s="18" t="str">
        <f>VLOOKUP(D916,[6]Arvore!$N$8:$Q$6855,4,FALSE)</f>
        <v/>
      </c>
      <c r="F916" s="19">
        <v>36876.199999999997</v>
      </c>
      <c r="G916" s="19">
        <v>0</v>
      </c>
      <c r="H916" s="20">
        <v>36876.199999999997</v>
      </c>
      <c r="I916" s="116"/>
      <c r="J916" s="117"/>
      <c r="K916" s="21"/>
      <c r="L916" s="22" t="s">
        <v>1136</v>
      </c>
      <c r="M916" s="23">
        <f t="shared" si="17"/>
        <v>36876.199999999997</v>
      </c>
      <c r="N916" s="2"/>
      <c r="O916" s="19" t="str">
        <f>VLOOKUP(QUERY_FOR_TRNSTRANSPOSED_0008!A916,'[6]Fin vs NFin'!$A$4:$F$568,6,FALSE)</f>
        <v>Não Financeiras</v>
      </c>
      <c r="P916" s="24" t="str">
        <f t="shared" si="18"/>
        <v>SE</v>
      </c>
      <c r="Q916" s="24"/>
      <c r="R916" s="24"/>
      <c r="S916" s="24"/>
      <c r="T916" s="24"/>
    </row>
    <row r="917" spans="1:20">
      <c r="A917" s="18" t="s">
        <v>1133</v>
      </c>
      <c r="B917" s="18" t="str">
        <f>VLOOKUP(A917,'[6]Fin vs NFin'!$A$4:$B$568,2,FALSE)</f>
        <v>!SG-CH-Vida</v>
      </c>
      <c r="C917" s="18" t="s">
        <v>1168</v>
      </c>
      <c r="D917" s="18" t="s">
        <v>1135</v>
      </c>
      <c r="E917" s="18" t="str">
        <f>VLOOKUP(D917,[6]Arvore!$N$8:$Q$6855,4,FALSE)</f>
        <v/>
      </c>
      <c r="F917" s="19">
        <v>19262.939999999999</v>
      </c>
      <c r="G917" s="19">
        <v>0</v>
      </c>
      <c r="H917" s="20">
        <v>19262.939999999999</v>
      </c>
      <c r="I917" s="116"/>
      <c r="J917" s="117"/>
      <c r="K917" s="21"/>
      <c r="L917" s="22" t="s">
        <v>1136</v>
      </c>
      <c r="M917" s="23">
        <f t="shared" si="17"/>
        <v>19262.939999999999</v>
      </c>
      <c r="N917" s="2"/>
      <c r="O917" s="19" t="str">
        <f>VLOOKUP(QUERY_FOR_TRNSTRANSPOSED_0008!A917,'[6]Fin vs NFin'!$A$4:$F$568,6,FALSE)</f>
        <v>Não Financeiras</v>
      </c>
      <c r="P917" s="24" t="str">
        <f t="shared" si="18"/>
        <v>SE</v>
      </c>
      <c r="Q917" s="24"/>
      <c r="R917" s="24"/>
      <c r="S917" s="24"/>
      <c r="T917" s="24"/>
    </row>
    <row r="918" spans="1:20">
      <c r="A918" s="18" t="s">
        <v>1133</v>
      </c>
      <c r="B918" s="18" t="str">
        <f>VLOOKUP(A918,'[6]Fin vs NFin'!$A$4:$B$568,2,FALSE)</f>
        <v>!SG-CH-Vida</v>
      </c>
      <c r="C918" s="18" t="s">
        <v>1169</v>
      </c>
      <c r="D918" s="18" t="s">
        <v>1135</v>
      </c>
      <c r="E918" s="18" t="str">
        <f>VLOOKUP(D918,[6]Arvore!$N$8:$Q$6855,4,FALSE)</f>
        <v/>
      </c>
      <c r="F918" s="19">
        <v>1202838.27</v>
      </c>
      <c r="G918" s="19">
        <v>0</v>
      </c>
      <c r="H918" s="20">
        <v>1202838.27</v>
      </c>
      <c r="I918" s="116"/>
      <c r="J918" s="117"/>
      <c r="K918" s="21"/>
      <c r="L918" s="22" t="s">
        <v>1136</v>
      </c>
      <c r="M918" s="23">
        <f t="shared" si="17"/>
        <v>1202838.27</v>
      </c>
      <c r="N918" s="2"/>
      <c r="O918" s="19" t="str">
        <f>VLOOKUP(QUERY_FOR_TRNSTRANSPOSED_0008!A918,'[6]Fin vs NFin'!$A$4:$F$568,6,FALSE)</f>
        <v>Não Financeiras</v>
      </c>
      <c r="P918" s="24" t="str">
        <f t="shared" si="18"/>
        <v>SE</v>
      </c>
      <c r="Q918" s="24"/>
      <c r="R918" s="24"/>
      <c r="S918" s="24"/>
      <c r="T918" s="24"/>
    </row>
    <row r="919" spans="1:20">
      <c r="A919" s="18" t="s">
        <v>1133</v>
      </c>
      <c r="B919" s="18" t="str">
        <f>VLOOKUP(A919,'[6]Fin vs NFin'!$A$4:$B$568,2,FALSE)</f>
        <v>!SG-CH-Vida</v>
      </c>
      <c r="C919" s="18" t="s">
        <v>1170</v>
      </c>
      <c r="D919" s="18" t="s">
        <v>1135</v>
      </c>
      <c r="E919" s="18" t="str">
        <f>VLOOKUP(D919,[6]Arvore!$N$8:$Q$6855,4,FALSE)</f>
        <v/>
      </c>
      <c r="F919" s="19">
        <v>1863042.09</v>
      </c>
      <c r="G919" s="19">
        <v>0</v>
      </c>
      <c r="H919" s="20">
        <v>1863042.09</v>
      </c>
      <c r="I919" s="116"/>
      <c r="J919" s="117"/>
      <c r="K919" s="21"/>
      <c r="L919" s="22" t="s">
        <v>1136</v>
      </c>
      <c r="M919" s="23">
        <f t="shared" si="17"/>
        <v>1863042.09</v>
      </c>
      <c r="N919" s="2"/>
      <c r="O919" s="19" t="str">
        <f>VLOOKUP(QUERY_FOR_TRNSTRANSPOSED_0008!A919,'[6]Fin vs NFin'!$A$4:$F$568,6,FALSE)</f>
        <v>Não Financeiras</v>
      </c>
      <c r="P919" s="24" t="str">
        <f t="shared" si="18"/>
        <v>SE</v>
      </c>
      <c r="Q919" s="24"/>
      <c r="R919" s="24"/>
      <c r="S919" s="24"/>
      <c r="T919" s="24"/>
    </row>
    <row r="920" spans="1:20">
      <c r="A920" s="18" t="s">
        <v>1133</v>
      </c>
      <c r="B920" s="18" t="str">
        <f>VLOOKUP(A920,'[6]Fin vs NFin'!$A$4:$B$568,2,FALSE)</f>
        <v>!SG-CH-Vida</v>
      </c>
      <c r="C920" s="18" t="s">
        <v>1171</v>
      </c>
      <c r="D920" s="18" t="s">
        <v>1135</v>
      </c>
      <c r="E920" s="18" t="str">
        <f>VLOOKUP(D920,[6]Arvore!$N$8:$Q$6855,4,FALSE)</f>
        <v/>
      </c>
      <c r="F920" s="19">
        <v>585059.64</v>
      </c>
      <c r="G920" s="19">
        <v>0</v>
      </c>
      <c r="H920" s="20">
        <v>585059.64</v>
      </c>
      <c r="I920" s="116"/>
      <c r="J920" s="117"/>
      <c r="K920" s="21"/>
      <c r="L920" s="22" t="s">
        <v>1136</v>
      </c>
      <c r="M920" s="23">
        <f t="shared" si="17"/>
        <v>585059.64</v>
      </c>
      <c r="N920" s="2"/>
      <c r="O920" s="19" t="str">
        <f>VLOOKUP(QUERY_FOR_TRNSTRANSPOSED_0008!A920,'[6]Fin vs NFin'!$A$4:$F$568,6,FALSE)</f>
        <v>Não Financeiras</v>
      </c>
      <c r="P920" s="24" t="str">
        <f t="shared" si="18"/>
        <v>SE</v>
      </c>
      <c r="Q920" s="24"/>
      <c r="R920" s="24"/>
      <c r="S920" s="24"/>
      <c r="T920" s="24"/>
    </row>
    <row r="921" spans="1:20">
      <c r="A921" s="18" t="s">
        <v>1133</v>
      </c>
      <c r="B921" s="18" t="str">
        <f>VLOOKUP(A921,'[6]Fin vs NFin'!$A$4:$B$568,2,FALSE)</f>
        <v>!SG-CH-Vida</v>
      </c>
      <c r="C921" s="18" t="s">
        <v>1172</v>
      </c>
      <c r="D921" s="18" t="s">
        <v>1135</v>
      </c>
      <c r="E921" s="18" t="str">
        <f>VLOOKUP(D921,[6]Arvore!$N$8:$Q$6855,4,FALSE)</f>
        <v/>
      </c>
      <c r="F921" s="19">
        <v>1193304.01</v>
      </c>
      <c r="G921" s="19">
        <v>0</v>
      </c>
      <c r="H921" s="20">
        <v>1193304.01</v>
      </c>
      <c r="I921" s="116"/>
      <c r="J921" s="117"/>
      <c r="K921" s="21"/>
      <c r="L921" s="22" t="s">
        <v>1136</v>
      </c>
      <c r="M921" s="23">
        <f t="shared" si="17"/>
        <v>1193304.01</v>
      </c>
      <c r="N921" s="2"/>
      <c r="O921" s="19" t="str">
        <f>VLOOKUP(QUERY_FOR_TRNSTRANSPOSED_0008!A921,'[6]Fin vs NFin'!$A$4:$F$568,6,FALSE)</f>
        <v>Não Financeiras</v>
      </c>
      <c r="P921" s="24" t="str">
        <f t="shared" si="18"/>
        <v>SE</v>
      </c>
      <c r="Q921" s="24"/>
      <c r="R921" s="24"/>
      <c r="S921" s="24"/>
      <c r="T921" s="24"/>
    </row>
    <row r="922" spans="1:20">
      <c r="A922" s="18" t="s">
        <v>1133</v>
      </c>
      <c r="B922" s="18" t="str">
        <f>VLOOKUP(A922,'[6]Fin vs NFin'!$A$4:$B$568,2,FALSE)</f>
        <v>!SG-CH-Vida</v>
      </c>
      <c r="C922" s="18" t="s">
        <v>1173</v>
      </c>
      <c r="D922" s="18" t="s">
        <v>1135</v>
      </c>
      <c r="E922" s="18" t="str">
        <f>VLOOKUP(D922,[6]Arvore!$N$8:$Q$6855,4,FALSE)</f>
        <v/>
      </c>
      <c r="F922" s="19">
        <v>24187.08</v>
      </c>
      <c r="G922" s="19">
        <v>0</v>
      </c>
      <c r="H922" s="20">
        <v>24187.08</v>
      </c>
      <c r="I922" s="116"/>
      <c r="J922" s="117"/>
      <c r="K922" s="21"/>
      <c r="L922" s="22" t="s">
        <v>1136</v>
      </c>
      <c r="M922" s="23">
        <f t="shared" si="17"/>
        <v>24187.08</v>
      </c>
      <c r="N922" s="2"/>
      <c r="O922" s="19" t="str">
        <f>VLOOKUP(QUERY_FOR_TRNSTRANSPOSED_0008!A922,'[6]Fin vs NFin'!$A$4:$F$568,6,FALSE)</f>
        <v>Não Financeiras</v>
      </c>
      <c r="P922" s="24" t="str">
        <f t="shared" si="18"/>
        <v>SE</v>
      </c>
      <c r="Q922" s="24"/>
      <c r="R922" s="24"/>
      <c r="S922" s="24"/>
      <c r="T922" s="24"/>
    </row>
    <row r="923" spans="1:20">
      <c r="A923" s="18" t="s">
        <v>1133</v>
      </c>
      <c r="B923" s="18" t="str">
        <f>VLOOKUP(A923,'[6]Fin vs NFin'!$A$4:$B$568,2,FALSE)</f>
        <v>!SG-CH-Vida</v>
      </c>
      <c r="C923" s="18" t="s">
        <v>1174</v>
      </c>
      <c r="D923" s="18" t="s">
        <v>1135</v>
      </c>
      <c r="E923" s="18" t="str">
        <f>VLOOKUP(D923,[6]Arvore!$N$8:$Q$6855,4,FALSE)</f>
        <v/>
      </c>
      <c r="F923" s="19">
        <v>6186.5</v>
      </c>
      <c r="G923" s="19">
        <v>0</v>
      </c>
      <c r="H923" s="20">
        <v>6186.5</v>
      </c>
      <c r="I923" s="116"/>
      <c r="J923" s="117"/>
      <c r="K923" s="21"/>
      <c r="L923" s="22" t="s">
        <v>1136</v>
      </c>
      <c r="M923" s="23">
        <f t="shared" si="17"/>
        <v>6186.5</v>
      </c>
      <c r="N923" s="2"/>
      <c r="O923" s="19" t="str">
        <f>VLOOKUP(QUERY_FOR_TRNSTRANSPOSED_0008!A923,'[6]Fin vs NFin'!$A$4:$F$568,6,FALSE)</f>
        <v>Não Financeiras</v>
      </c>
      <c r="P923" s="24" t="str">
        <f t="shared" si="18"/>
        <v>SE</v>
      </c>
      <c r="Q923" s="24"/>
      <c r="R923" s="24"/>
      <c r="S923" s="24"/>
      <c r="T923" s="24"/>
    </row>
    <row r="924" spans="1:20">
      <c r="A924" s="18" t="s">
        <v>1133</v>
      </c>
      <c r="B924" s="18" t="str">
        <f>VLOOKUP(A924,'[6]Fin vs NFin'!$A$4:$B$568,2,FALSE)</f>
        <v>!SG-CH-Vida</v>
      </c>
      <c r="C924" s="18" t="s">
        <v>1175</v>
      </c>
      <c r="D924" s="18" t="s">
        <v>1135</v>
      </c>
      <c r="E924" s="18" t="str">
        <f>VLOOKUP(D924,[6]Arvore!$N$8:$Q$6855,4,FALSE)</f>
        <v/>
      </c>
      <c r="F924" s="19">
        <v>18658.240000000002</v>
      </c>
      <c r="G924" s="19">
        <v>0</v>
      </c>
      <c r="H924" s="20">
        <v>18658.240000000002</v>
      </c>
      <c r="I924" s="116"/>
      <c r="J924" s="117"/>
      <c r="K924" s="21"/>
      <c r="L924" s="22" t="s">
        <v>1136</v>
      </c>
      <c r="M924" s="23">
        <f t="shared" si="17"/>
        <v>18658.240000000002</v>
      </c>
      <c r="N924" s="2"/>
      <c r="O924" s="19" t="str">
        <f>VLOOKUP(QUERY_FOR_TRNSTRANSPOSED_0008!A924,'[6]Fin vs NFin'!$A$4:$F$568,6,FALSE)</f>
        <v>Não Financeiras</v>
      </c>
      <c r="P924" s="24" t="str">
        <f t="shared" si="18"/>
        <v>SE</v>
      </c>
      <c r="Q924" s="24"/>
      <c r="R924" s="24"/>
      <c r="S924" s="24"/>
      <c r="T924" s="24"/>
    </row>
    <row r="925" spans="1:20">
      <c r="A925" s="18" t="s">
        <v>1133</v>
      </c>
      <c r="B925" s="18" t="str">
        <f>VLOOKUP(A925,'[6]Fin vs NFin'!$A$4:$B$568,2,FALSE)</f>
        <v>!SG-CH-Vida</v>
      </c>
      <c r="C925" s="18" t="s">
        <v>1176</v>
      </c>
      <c r="D925" s="18" t="s">
        <v>1135</v>
      </c>
      <c r="E925" s="18" t="str">
        <f>VLOOKUP(D925,[6]Arvore!$N$8:$Q$6855,4,FALSE)</f>
        <v/>
      </c>
      <c r="F925" s="19">
        <v>16797.439999999999</v>
      </c>
      <c r="G925" s="19">
        <v>0</v>
      </c>
      <c r="H925" s="20">
        <v>16797.439999999999</v>
      </c>
      <c r="I925" s="116"/>
      <c r="J925" s="117"/>
      <c r="K925" s="21"/>
      <c r="L925" s="22" t="s">
        <v>1136</v>
      </c>
      <c r="M925" s="23">
        <f t="shared" si="17"/>
        <v>16797.439999999999</v>
      </c>
      <c r="N925" s="2"/>
      <c r="O925" s="19" t="str">
        <f>VLOOKUP(QUERY_FOR_TRNSTRANSPOSED_0008!A925,'[6]Fin vs NFin'!$A$4:$F$568,6,FALSE)</f>
        <v>Não Financeiras</v>
      </c>
      <c r="P925" s="24" t="str">
        <f t="shared" si="18"/>
        <v>SE</v>
      </c>
      <c r="Q925" s="24"/>
      <c r="R925" s="24"/>
      <c r="S925" s="24"/>
      <c r="T925" s="24"/>
    </row>
    <row r="926" spans="1:20">
      <c r="A926" s="18" t="s">
        <v>1133</v>
      </c>
      <c r="B926" s="18" t="str">
        <f>VLOOKUP(A926,'[6]Fin vs NFin'!$A$4:$B$568,2,FALSE)</f>
        <v>!SG-CH-Vida</v>
      </c>
      <c r="C926" s="18" t="s">
        <v>1177</v>
      </c>
      <c r="D926" s="18" t="s">
        <v>1135</v>
      </c>
      <c r="E926" s="18" t="str">
        <f>VLOOKUP(D926,[6]Arvore!$N$8:$Q$6855,4,FALSE)</f>
        <v/>
      </c>
      <c r="F926" s="19">
        <v>94.44</v>
      </c>
      <c r="G926" s="19">
        <v>0</v>
      </c>
      <c r="H926" s="20">
        <v>94.44</v>
      </c>
      <c r="I926" s="116"/>
      <c r="J926" s="117"/>
      <c r="K926" s="21"/>
      <c r="L926" s="22" t="s">
        <v>1136</v>
      </c>
      <c r="M926" s="23">
        <f t="shared" si="17"/>
        <v>94.44</v>
      </c>
      <c r="N926" s="2"/>
      <c r="O926" s="19" t="str">
        <f>VLOOKUP(QUERY_FOR_TRNSTRANSPOSED_0008!A926,'[6]Fin vs NFin'!$A$4:$F$568,6,FALSE)</f>
        <v>Não Financeiras</v>
      </c>
      <c r="P926" s="24" t="str">
        <f t="shared" si="18"/>
        <v>SE</v>
      </c>
      <c r="Q926" s="24"/>
      <c r="R926" s="24"/>
      <c r="S926" s="24"/>
      <c r="T926" s="24"/>
    </row>
    <row r="927" spans="1:20">
      <c r="A927" s="18" t="s">
        <v>1133</v>
      </c>
      <c r="B927" s="18" t="str">
        <f>VLOOKUP(A927,'[6]Fin vs NFin'!$A$4:$B$568,2,FALSE)</f>
        <v>!SG-CH-Vida</v>
      </c>
      <c r="C927" s="18" t="s">
        <v>1178</v>
      </c>
      <c r="D927" s="18" t="s">
        <v>1135</v>
      </c>
      <c r="E927" s="18" t="str">
        <f>VLOOKUP(D927,[6]Arvore!$N$8:$Q$6855,4,FALSE)</f>
        <v/>
      </c>
      <c r="F927" s="19">
        <v>176.29</v>
      </c>
      <c r="G927" s="19">
        <v>0</v>
      </c>
      <c r="H927" s="20">
        <v>176.29</v>
      </c>
      <c r="I927" s="116"/>
      <c r="J927" s="117"/>
      <c r="K927" s="21"/>
      <c r="L927" s="22" t="s">
        <v>1136</v>
      </c>
      <c r="M927" s="23">
        <f t="shared" si="17"/>
        <v>176.29</v>
      </c>
      <c r="N927" s="2"/>
      <c r="O927" s="19" t="str">
        <f>VLOOKUP(QUERY_FOR_TRNSTRANSPOSED_0008!A927,'[6]Fin vs NFin'!$A$4:$F$568,6,FALSE)</f>
        <v>Não Financeiras</v>
      </c>
      <c r="P927" s="24" t="str">
        <f t="shared" si="18"/>
        <v>SE</v>
      </c>
      <c r="Q927" s="24"/>
      <c r="R927" s="24"/>
      <c r="S927" s="24"/>
      <c r="T927" s="24"/>
    </row>
    <row r="928" spans="1:20">
      <c r="A928" s="18" t="s">
        <v>1133</v>
      </c>
      <c r="B928" s="18" t="str">
        <f>VLOOKUP(A928,'[6]Fin vs NFin'!$A$4:$B$568,2,FALSE)</f>
        <v>!SG-CH-Vida</v>
      </c>
      <c r="C928" s="18" t="s">
        <v>1179</v>
      </c>
      <c r="D928" s="18" t="s">
        <v>1135</v>
      </c>
      <c r="E928" s="18" t="str">
        <f>VLOOKUP(D928,[6]Arvore!$N$8:$Q$6855,4,FALSE)</f>
        <v/>
      </c>
      <c r="F928" s="19">
        <v>1236.72</v>
      </c>
      <c r="G928" s="19">
        <v>0</v>
      </c>
      <c r="H928" s="20">
        <v>1236.72</v>
      </c>
      <c r="I928" s="116"/>
      <c r="J928" s="117"/>
      <c r="K928" s="21"/>
      <c r="L928" s="22" t="s">
        <v>1136</v>
      </c>
      <c r="M928" s="23">
        <f t="shared" si="17"/>
        <v>1236.72</v>
      </c>
      <c r="N928" s="2"/>
      <c r="O928" s="19" t="str">
        <f>VLOOKUP(QUERY_FOR_TRNSTRANSPOSED_0008!A928,'[6]Fin vs NFin'!$A$4:$F$568,6,FALSE)</f>
        <v>Não Financeiras</v>
      </c>
      <c r="P928" s="24" t="str">
        <f t="shared" si="18"/>
        <v>SE</v>
      </c>
      <c r="Q928" s="24"/>
      <c r="R928" s="24"/>
      <c r="S928" s="24"/>
      <c r="T928" s="24"/>
    </row>
    <row r="929" spans="1:20">
      <c r="A929" s="18" t="s">
        <v>1133</v>
      </c>
      <c r="B929" s="18" t="str">
        <f>VLOOKUP(A929,'[6]Fin vs NFin'!$A$4:$B$568,2,FALSE)</f>
        <v>!SG-CH-Vida</v>
      </c>
      <c r="C929" s="18" t="s">
        <v>1180</v>
      </c>
      <c r="D929" s="18" t="s">
        <v>1135</v>
      </c>
      <c r="E929" s="18" t="str">
        <f>VLOOKUP(D929,[6]Arvore!$N$8:$Q$6855,4,FALSE)</f>
        <v/>
      </c>
      <c r="F929" s="19">
        <v>2332.5</v>
      </c>
      <c r="G929" s="19">
        <v>0</v>
      </c>
      <c r="H929" s="20">
        <v>2332.5</v>
      </c>
      <c r="I929" s="116"/>
      <c r="J929" s="117"/>
      <c r="K929" s="21"/>
      <c r="L929" s="22" t="s">
        <v>1136</v>
      </c>
      <c r="M929" s="23">
        <f t="shared" si="17"/>
        <v>2332.5</v>
      </c>
      <c r="N929" s="2"/>
      <c r="O929" s="19" t="str">
        <f>VLOOKUP(QUERY_FOR_TRNSTRANSPOSED_0008!A929,'[6]Fin vs NFin'!$A$4:$F$568,6,FALSE)</f>
        <v>Não Financeiras</v>
      </c>
      <c r="P929" s="24" t="str">
        <f t="shared" si="18"/>
        <v>SE</v>
      </c>
      <c r="Q929" s="24"/>
      <c r="R929" s="24"/>
      <c r="S929" s="24"/>
      <c r="T929" s="24"/>
    </row>
    <row r="930" spans="1:20">
      <c r="A930" s="18" t="s">
        <v>1133</v>
      </c>
      <c r="B930" s="18" t="str">
        <f>VLOOKUP(A930,'[6]Fin vs NFin'!$A$4:$B$568,2,FALSE)</f>
        <v>!SG-CH-Vida</v>
      </c>
      <c r="C930" s="18" t="s">
        <v>1181</v>
      </c>
      <c r="D930" s="18" t="s">
        <v>1135</v>
      </c>
      <c r="E930" s="18" t="str">
        <f>VLOOKUP(D930,[6]Arvore!$N$8:$Q$6855,4,FALSE)</f>
        <v/>
      </c>
      <c r="F930" s="19">
        <v>361475.09</v>
      </c>
      <c r="G930" s="19">
        <v>0</v>
      </c>
      <c r="H930" s="20">
        <v>361475.09</v>
      </c>
      <c r="I930" s="116"/>
      <c r="J930" s="117"/>
      <c r="K930" s="21"/>
      <c r="L930" s="22" t="s">
        <v>1136</v>
      </c>
      <c r="M930" s="23">
        <f t="shared" si="17"/>
        <v>361475.09</v>
      </c>
      <c r="N930" s="2"/>
      <c r="O930" s="19" t="str">
        <f>VLOOKUP(QUERY_FOR_TRNSTRANSPOSED_0008!A930,'[6]Fin vs NFin'!$A$4:$F$568,6,FALSE)</f>
        <v>Não Financeiras</v>
      </c>
      <c r="P930" s="24" t="str">
        <f t="shared" si="18"/>
        <v>SE</v>
      </c>
      <c r="Q930" s="24"/>
      <c r="R930" s="24"/>
      <c r="S930" s="24"/>
      <c r="T930" s="24"/>
    </row>
    <row r="931" spans="1:20">
      <c r="A931" s="18" t="s">
        <v>1133</v>
      </c>
      <c r="B931" s="18" t="str">
        <f>VLOOKUP(A931,'[6]Fin vs NFin'!$A$4:$B$568,2,FALSE)</f>
        <v>!SG-CH-Vida</v>
      </c>
      <c r="C931" s="18" t="s">
        <v>1182</v>
      </c>
      <c r="D931" s="18" t="s">
        <v>1135</v>
      </c>
      <c r="E931" s="18" t="str">
        <f>VLOOKUP(D931,[6]Arvore!$N$8:$Q$6855,4,FALSE)</f>
        <v/>
      </c>
      <c r="F931" s="19">
        <v>529031.9</v>
      </c>
      <c r="G931" s="19">
        <v>0</v>
      </c>
      <c r="H931" s="20">
        <v>529031.9</v>
      </c>
      <c r="I931" s="116"/>
      <c r="J931" s="117"/>
      <c r="K931" s="21"/>
      <c r="L931" s="22" t="s">
        <v>1136</v>
      </c>
      <c r="M931" s="23">
        <f t="shared" si="17"/>
        <v>529031.9</v>
      </c>
      <c r="N931" s="2"/>
      <c r="O931" s="19" t="str">
        <f>VLOOKUP(QUERY_FOR_TRNSTRANSPOSED_0008!A931,'[6]Fin vs NFin'!$A$4:$F$568,6,FALSE)</f>
        <v>Não Financeiras</v>
      </c>
      <c r="P931" s="24" t="str">
        <f t="shared" si="18"/>
        <v>SE</v>
      </c>
      <c r="Q931" s="24"/>
      <c r="R931" s="24"/>
      <c r="S931" s="24"/>
      <c r="T931" s="24"/>
    </row>
    <row r="932" spans="1:20">
      <c r="A932" s="18" t="s">
        <v>1133</v>
      </c>
      <c r="B932" s="18" t="str">
        <f>VLOOKUP(A932,'[6]Fin vs NFin'!$A$4:$B$568,2,FALSE)</f>
        <v>!SG-CH-Vida</v>
      </c>
      <c r="C932" s="18" t="s">
        <v>1183</v>
      </c>
      <c r="D932" s="18" t="s">
        <v>1135</v>
      </c>
      <c r="E932" s="18" t="str">
        <f>VLOOKUP(D932,[6]Arvore!$N$8:$Q$6855,4,FALSE)</f>
        <v/>
      </c>
      <c r="F932" s="19">
        <v>10809.92</v>
      </c>
      <c r="G932" s="19">
        <v>0</v>
      </c>
      <c r="H932" s="20">
        <v>10809.92</v>
      </c>
      <c r="I932" s="116"/>
      <c r="J932" s="117"/>
      <c r="K932" s="21"/>
      <c r="L932" s="22" t="s">
        <v>1136</v>
      </c>
      <c r="M932" s="23">
        <f t="shared" si="17"/>
        <v>10809.92</v>
      </c>
      <c r="N932" s="2"/>
      <c r="O932" s="19" t="str">
        <f>VLOOKUP(QUERY_FOR_TRNSTRANSPOSED_0008!A932,'[6]Fin vs NFin'!$A$4:$F$568,6,FALSE)</f>
        <v>Não Financeiras</v>
      </c>
      <c r="P932" s="24" t="str">
        <f t="shared" si="18"/>
        <v>SE</v>
      </c>
      <c r="Q932" s="24"/>
      <c r="R932" s="24"/>
      <c r="S932" s="24"/>
      <c r="T932" s="24"/>
    </row>
    <row r="933" spans="1:20">
      <c r="A933" s="18" t="s">
        <v>1133</v>
      </c>
      <c r="B933" s="18" t="str">
        <f>VLOOKUP(A933,'[6]Fin vs NFin'!$A$4:$B$568,2,FALSE)</f>
        <v>!SG-CH-Vida</v>
      </c>
      <c r="C933" s="18" t="s">
        <v>1184</v>
      </c>
      <c r="D933" s="18" t="s">
        <v>1135</v>
      </c>
      <c r="E933" s="18" t="str">
        <f>VLOOKUP(D933,[6]Arvore!$N$8:$Q$6855,4,FALSE)</f>
        <v/>
      </c>
      <c r="F933" s="19">
        <v>658960.77</v>
      </c>
      <c r="G933" s="19">
        <v>0</v>
      </c>
      <c r="H933" s="20">
        <v>658960.77</v>
      </c>
      <c r="I933" s="116"/>
      <c r="J933" s="117"/>
      <c r="K933" s="21"/>
      <c r="L933" s="22" t="s">
        <v>1136</v>
      </c>
      <c r="M933" s="23">
        <f t="shared" si="17"/>
        <v>658960.77</v>
      </c>
      <c r="N933" s="2"/>
      <c r="O933" s="19" t="str">
        <f>VLOOKUP(QUERY_FOR_TRNSTRANSPOSED_0008!A933,'[6]Fin vs NFin'!$A$4:$F$568,6,FALSE)</f>
        <v>Não Financeiras</v>
      </c>
      <c r="P933" s="24" t="str">
        <f t="shared" si="18"/>
        <v>SE</v>
      </c>
      <c r="Q933" s="24"/>
      <c r="R933" s="24"/>
      <c r="S933" s="24"/>
      <c r="T933" s="24"/>
    </row>
    <row r="934" spans="1:20">
      <c r="A934" s="18" t="s">
        <v>1133</v>
      </c>
      <c r="B934" s="18" t="str">
        <f>VLOOKUP(A934,'[6]Fin vs NFin'!$A$4:$B$568,2,FALSE)</f>
        <v>!SG-CH-Vida</v>
      </c>
      <c r="C934" s="18" t="s">
        <v>1185</v>
      </c>
      <c r="D934" s="18" t="s">
        <v>1135</v>
      </c>
      <c r="E934" s="18" t="str">
        <f>VLOOKUP(D934,[6]Arvore!$N$8:$Q$6855,4,FALSE)</f>
        <v/>
      </c>
      <c r="F934" s="19">
        <v>1877152.63</v>
      </c>
      <c r="G934" s="19">
        <v>0</v>
      </c>
      <c r="H934" s="20">
        <v>1877152.63</v>
      </c>
      <c r="I934" s="116"/>
      <c r="J934" s="117"/>
      <c r="K934" s="21"/>
      <c r="L934" s="22" t="s">
        <v>1136</v>
      </c>
      <c r="M934" s="23">
        <f t="shared" si="17"/>
        <v>1877152.63</v>
      </c>
      <c r="N934" s="2"/>
      <c r="O934" s="19" t="str">
        <f>VLOOKUP(QUERY_FOR_TRNSTRANSPOSED_0008!A934,'[6]Fin vs NFin'!$A$4:$F$568,6,FALSE)</f>
        <v>Não Financeiras</v>
      </c>
      <c r="P934" s="24" t="str">
        <f t="shared" si="18"/>
        <v>SE</v>
      </c>
      <c r="Q934" s="24"/>
      <c r="R934" s="24"/>
      <c r="S934" s="24"/>
      <c r="T934" s="24"/>
    </row>
    <row r="935" spans="1:20">
      <c r="A935" s="18" t="s">
        <v>1133</v>
      </c>
      <c r="B935" s="18" t="str">
        <f>VLOOKUP(A935,'[6]Fin vs NFin'!$A$4:$B$568,2,FALSE)</f>
        <v>!SG-CH-Vida</v>
      </c>
      <c r="C935" s="18" t="s">
        <v>1186</v>
      </c>
      <c r="D935" s="18" t="s">
        <v>1135</v>
      </c>
      <c r="E935" s="18" t="str">
        <f>VLOOKUP(D935,[6]Arvore!$N$8:$Q$6855,4,FALSE)</f>
        <v/>
      </c>
      <c r="F935" s="19">
        <v>168.47</v>
      </c>
      <c r="G935" s="19">
        <v>0</v>
      </c>
      <c r="H935" s="20">
        <v>168.47</v>
      </c>
      <c r="I935" s="116"/>
      <c r="J935" s="117"/>
      <c r="K935" s="21"/>
      <c r="L935" s="22" t="s">
        <v>1136</v>
      </c>
      <c r="M935" s="23">
        <f t="shared" si="17"/>
        <v>168.47</v>
      </c>
      <c r="N935" s="2"/>
      <c r="O935" s="19" t="str">
        <f>VLOOKUP(QUERY_FOR_TRNSTRANSPOSED_0008!A935,'[6]Fin vs NFin'!$A$4:$F$568,6,FALSE)</f>
        <v>Não Financeiras</v>
      </c>
      <c r="P935" s="24" t="str">
        <f t="shared" si="18"/>
        <v>SE</v>
      </c>
      <c r="Q935" s="24"/>
      <c r="R935" s="24"/>
      <c r="S935" s="24"/>
      <c r="T935" s="24"/>
    </row>
    <row r="936" spans="1:20">
      <c r="A936" s="18" t="s">
        <v>1133</v>
      </c>
      <c r="B936" s="18" t="str">
        <f>VLOOKUP(A936,'[6]Fin vs NFin'!$A$4:$B$568,2,FALSE)</f>
        <v>!SG-CH-Vida</v>
      </c>
      <c r="C936" s="18" t="s">
        <v>1187</v>
      </c>
      <c r="D936" s="18" t="s">
        <v>1135</v>
      </c>
      <c r="E936" s="18" t="str">
        <f>VLOOKUP(D936,[6]Arvore!$N$8:$Q$6855,4,FALSE)</f>
        <v/>
      </c>
      <c r="F936" s="19">
        <v>2123893.5299999998</v>
      </c>
      <c r="G936" s="19">
        <v>0</v>
      </c>
      <c r="H936" s="20">
        <v>2123893.5299999998</v>
      </c>
      <c r="I936" s="116"/>
      <c r="J936" s="117"/>
      <c r="K936" s="21"/>
      <c r="L936" s="22" t="s">
        <v>1136</v>
      </c>
      <c r="M936" s="23">
        <f t="shared" si="17"/>
        <v>2123893.5299999998</v>
      </c>
      <c r="N936" s="2"/>
      <c r="O936" s="19" t="str">
        <f>VLOOKUP(QUERY_FOR_TRNSTRANSPOSED_0008!A936,'[6]Fin vs NFin'!$A$4:$F$568,6,FALSE)</f>
        <v>Não Financeiras</v>
      </c>
      <c r="P936" s="24" t="str">
        <f t="shared" si="18"/>
        <v>SE</v>
      </c>
      <c r="Q936" s="24"/>
      <c r="R936" s="24"/>
      <c r="S936" s="24"/>
      <c r="T936" s="24"/>
    </row>
    <row r="937" spans="1:20">
      <c r="A937" s="18" t="s">
        <v>1133</v>
      </c>
      <c r="B937" s="18" t="str">
        <f>VLOOKUP(A937,'[6]Fin vs NFin'!$A$4:$B$568,2,FALSE)</f>
        <v>!SG-CH-Vida</v>
      </c>
      <c r="C937" s="18" t="s">
        <v>1188</v>
      </c>
      <c r="D937" s="18" t="s">
        <v>1135</v>
      </c>
      <c r="E937" s="18" t="str">
        <f>VLOOKUP(D937,[6]Arvore!$N$8:$Q$6855,4,FALSE)</f>
        <v/>
      </c>
      <c r="F937" s="19">
        <v>4627940.58</v>
      </c>
      <c r="G937" s="19">
        <v>0</v>
      </c>
      <c r="H937" s="20">
        <v>4627940.58</v>
      </c>
      <c r="I937" s="116"/>
      <c r="J937" s="117"/>
      <c r="K937" s="21"/>
      <c r="L937" s="22" t="s">
        <v>1136</v>
      </c>
      <c r="M937" s="23">
        <f t="shared" si="17"/>
        <v>4627940.58</v>
      </c>
      <c r="N937" s="2"/>
      <c r="O937" s="19" t="str">
        <f>VLOOKUP(QUERY_FOR_TRNSTRANSPOSED_0008!A937,'[6]Fin vs NFin'!$A$4:$F$568,6,FALSE)</f>
        <v>Não Financeiras</v>
      </c>
      <c r="P937" s="24" t="str">
        <f t="shared" si="18"/>
        <v>SE</v>
      </c>
      <c r="Q937" s="24"/>
      <c r="R937" s="24"/>
      <c r="S937" s="24"/>
      <c r="T937" s="24"/>
    </row>
    <row r="938" spans="1:20">
      <c r="A938" s="18" t="s">
        <v>1133</v>
      </c>
      <c r="B938" s="18" t="str">
        <f>VLOOKUP(A938,'[6]Fin vs NFin'!$A$4:$B$568,2,FALSE)</f>
        <v>!SG-CH-Vida</v>
      </c>
      <c r="C938" s="18" t="s">
        <v>1189</v>
      </c>
      <c r="D938" s="18" t="s">
        <v>1135</v>
      </c>
      <c r="E938" s="18" t="str">
        <f>VLOOKUP(D938,[6]Arvore!$N$8:$Q$6855,4,FALSE)</f>
        <v/>
      </c>
      <c r="F938" s="19">
        <v>619.65</v>
      </c>
      <c r="G938" s="19">
        <v>0</v>
      </c>
      <c r="H938" s="20">
        <v>619.65</v>
      </c>
      <c r="I938" s="116"/>
      <c r="J938" s="117"/>
      <c r="K938" s="21"/>
      <c r="L938" s="22" t="s">
        <v>1136</v>
      </c>
      <c r="M938" s="23">
        <f t="shared" si="17"/>
        <v>619.65</v>
      </c>
      <c r="N938" s="2"/>
      <c r="O938" s="19" t="str">
        <f>VLOOKUP(QUERY_FOR_TRNSTRANSPOSED_0008!A938,'[6]Fin vs NFin'!$A$4:$F$568,6,FALSE)</f>
        <v>Não Financeiras</v>
      </c>
      <c r="P938" s="24" t="str">
        <f t="shared" si="18"/>
        <v>SE</v>
      </c>
      <c r="Q938" s="24"/>
      <c r="R938" s="24"/>
      <c r="S938" s="24"/>
      <c r="T938" s="24"/>
    </row>
    <row r="939" spans="1:20">
      <c r="A939" s="18" t="s">
        <v>1133</v>
      </c>
      <c r="B939" s="18" t="str">
        <f>VLOOKUP(A939,'[6]Fin vs NFin'!$A$4:$B$568,2,FALSE)</f>
        <v>!SG-CH-Vida</v>
      </c>
      <c r="C939" s="18" t="s">
        <v>1190</v>
      </c>
      <c r="D939" s="18" t="s">
        <v>1135</v>
      </c>
      <c r="E939" s="18" t="str">
        <f>VLOOKUP(D939,[6]Arvore!$N$8:$Q$6855,4,FALSE)</f>
        <v/>
      </c>
      <c r="F939" s="19">
        <v>207.63</v>
      </c>
      <c r="G939" s="19">
        <v>0</v>
      </c>
      <c r="H939" s="20">
        <v>207.63</v>
      </c>
      <c r="I939" s="116"/>
      <c r="J939" s="117"/>
      <c r="K939" s="21"/>
      <c r="L939" s="22" t="s">
        <v>1136</v>
      </c>
      <c r="M939" s="23">
        <f t="shared" si="17"/>
        <v>207.63</v>
      </c>
      <c r="N939" s="2"/>
      <c r="O939" s="19" t="str">
        <f>VLOOKUP(QUERY_FOR_TRNSTRANSPOSED_0008!A939,'[6]Fin vs NFin'!$A$4:$F$568,6,FALSE)</f>
        <v>Não Financeiras</v>
      </c>
      <c r="P939" s="24" t="str">
        <f t="shared" si="18"/>
        <v>SE</v>
      </c>
      <c r="Q939" s="24"/>
      <c r="R939" s="24"/>
      <c r="S939" s="24"/>
      <c r="T939" s="24"/>
    </row>
    <row r="940" spans="1:20">
      <c r="A940" s="18" t="s">
        <v>1133</v>
      </c>
      <c r="B940" s="18" t="str">
        <f>VLOOKUP(A940,'[6]Fin vs NFin'!$A$4:$B$568,2,FALSE)</f>
        <v>!SG-CH-Vida</v>
      </c>
      <c r="C940" s="18" t="s">
        <v>1191</v>
      </c>
      <c r="D940" s="18" t="s">
        <v>1135</v>
      </c>
      <c r="E940" s="18" t="str">
        <f>VLOOKUP(D940,[6]Arvore!$N$8:$Q$6855,4,FALSE)</f>
        <v/>
      </c>
      <c r="F940" s="19">
        <v>1016794.75</v>
      </c>
      <c r="G940" s="19">
        <v>0</v>
      </c>
      <c r="H940" s="20">
        <v>1016794.75</v>
      </c>
      <c r="I940" s="116"/>
      <c r="J940" s="117"/>
      <c r="K940" s="21"/>
      <c r="L940" s="22" t="s">
        <v>1136</v>
      </c>
      <c r="M940" s="23">
        <f t="shared" si="17"/>
        <v>1016794.75</v>
      </c>
      <c r="N940" s="2"/>
      <c r="O940" s="19" t="str">
        <f>VLOOKUP(QUERY_FOR_TRNSTRANSPOSED_0008!A940,'[6]Fin vs NFin'!$A$4:$F$568,6,FALSE)</f>
        <v>Não Financeiras</v>
      </c>
      <c r="P940" s="24" t="str">
        <f t="shared" si="18"/>
        <v>SE</v>
      </c>
      <c r="Q940" s="24"/>
      <c r="R940" s="24"/>
      <c r="S940" s="24"/>
      <c r="T940" s="24"/>
    </row>
    <row r="941" spans="1:20">
      <c r="A941" s="18" t="s">
        <v>1133</v>
      </c>
      <c r="B941" s="18" t="str">
        <f>VLOOKUP(A941,'[6]Fin vs NFin'!$A$4:$B$568,2,FALSE)</f>
        <v>!SG-CH-Vida</v>
      </c>
      <c r="C941" s="18" t="s">
        <v>1192</v>
      </c>
      <c r="D941" s="18" t="s">
        <v>1135</v>
      </c>
      <c r="E941" s="18" t="str">
        <f>VLOOKUP(D941,[6]Arvore!$N$8:$Q$6855,4,FALSE)</f>
        <v/>
      </c>
      <c r="F941" s="19">
        <v>2005055.88</v>
      </c>
      <c r="G941" s="19">
        <v>0</v>
      </c>
      <c r="H941" s="20">
        <v>2005055.88</v>
      </c>
      <c r="I941" s="116"/>
      <c r="J941" s="117"/>
      <c r="K941" s="21"/>
      <c r="L941" s="22" t="s">
        <v>1136</v>
      </c>
      <c r="M941" s="23">
        <f t="shared" si="17"/>
        <v>2005055.88</v>
      </c>
      <c r="N941" s="2"/>
      <c r="O941" s="19" t="str">
        <f>VLOOKUP(QUERY_FOR_TRNSTRANSPOSED_0008!A941,'[6]Fin vs NFin'!$A$4:$F$568,6,FALSE)</f>
        <v>Não Financeiras</v>
      </c>
      <c r="P941" s="24" t="str">
        <f t="shared" si="18"/>
        <v>SE</v>
      </c>
      <c r="Q941" s="24"/>
      <c r="R941" s="24"/>
      <c r="S941" s="24"/>
      <c r="T941" s="24"/>
    </row>
    <row r="942" spans="1:20">
      <c r="A942" s="18" t="s">
        <v>1133</v>
      </c>
      <c r="B942" s="18" t="str">
        <f>VLOOKUP(A942,'[6]Fin vs NFin'!$A$4:$B$568,2,FALSE)</f>
        <v>!SG-CH-Vida</v>
      </c>
      <c r="C942" s="18" t="s">
        <v>1193</v>
      </c>
      <c r="D942" s="18" t="s">
        <v>1135</v>
      </c>
      <c r="E942" s="18" t="str">
        <f>VLOOKUP(D942,[6]Arvore!$N$8:$Q$6855,4,FALSE)</f>
        <v/>
      </c>
      <c r="F942" s="19">
        <v>7183.88</v>
      </c>
      <c r="G942" s="19">
        <v>0</v>
      </c>
      <c r="H942" s="20">
        <v>7183.88</v>
      </c>
      <c r="I942" s="116"/>
      <c r="J942" s="117"/>
      <c r="K942" s="21"/>
      <c r="L942" s="22" t="s">
        <v>1136</v>
      </c>
      <c r="M942" s="23">
        <f t="shared" si="17"/>
        <v>7183.88</v>
      </c>
      <c r="N942" s="2"/>
      <c r="O942" s="19" t="str">
        <f>VLOOKUP(QUERY_FOR_TRNSTRANSPOSED_0008!A942,'[6]Fin vs NFin'!$A$4:$F$568,6,FALSE)</f>
        <v>Não Financeiras</v>
      </c>
      <c r="P942" s="24" t="str">
        <f t="shared" si="18"/>
        <v>SE</v>
      </c>
      <c r="Q942" s="24"/>
      <c r="R942" s="24"/>
      <c r="S942" s="24"/>
      <c r="T942" s="24"/>
    </row>
    <row r="943" spans="1:20">
      <c r="A943" s="18" t="s">
        <v>1133</v>
      </c>
      <c r="B943" s="18" t="str">
        <f>VLOOKUP(A943,'[6]Fin vs NFin'!$A$4:$B$568,2,FALSE)</f>
        <v>!SG-CH-Vida</v>
      </c>
      <c r="C943" s="18" t="s">
        <v>1194</v>
      </c>
      <c r="D943" s="18" t="s">
        <v>1135</v>
      </c>
      <c r="E943" s="18" t="str">
        <f>VLOOKUP(D943,[6]Arvore!$N$8:$Q$6855,4,FALSE)</f>
        <v/>
      </c>
      <c r="F943" s="19">
        <v>15316.43</v>
      </c>
      <c r="G943" s="19">
        <v>0</v>
      </c>
      <c r="H943" s="20">
        <v>15316.43</v>
      </c>
      <c r="I943" s="116"/>
      <c r="J943" s="117"/>
      <c r="K943" s="21"/>
      <c r="L943" s="22" t="s">
        <v>1136</v>
      </c>
      <c r="M943" s="23">
        <f t="shared" si="17"/>
        <v>15316.43</v>
      </c>
      <c r="N943" s="2"/>
      <c r="O943" s="19" t="str">
        <f>VLOOKUP(QUERY_FOR_TRNSTRANSPOSED_0008!A943,'[6]Fin vs NFin'!$A$4:$F$568,6,FALSE)</f>
        <v>Não Financeiras</v>
      </c>
      <c r="P943" s="24" t="str">
        <f t="shared" si="18"/>
        <v>SE</v>
      </c>
      <c r="Q943" s="24"/>
      <c r="R943" s="24"/>
      <c r="S943" s="24"/>
      <c r="T943" s="24"/>
    </row>
    <row r="944" spans="1:20">
      <c r="A944" s="18" t="s">
        <v>1133</v>
      </c>
      <c r="B944" s="18" t="str">
        <f>VLOOKUP(A944,'[6]Fin vs NFin'!$A$4:$B$568,2,FALSE)</f>
        <v>!SG-CH-Vida</v>
      </c>
      <c r="C944" s="18" t="s">
        <v>1195</v>
      </c>
      <c r="D944" s="18" t="s">
        <v>1135</v>
      </c>
      <c r="E944" s="18" t="str">
        <f>VLOOKUP(D944,[6]Arvore!$N$8:$Q$6855,4,FALSE)</f>
        <v/>
      </c>
      <c r="F944" s="19">
        <v>936999.75</v>
      </c>
      <c r="G944" s="19">
        <v>0</v>
      </c>
      <c r="H944" s="20">
        <v>936999.75</v>
      </c>
      <c r="I944" s="116"/>
      <c r="J944" s="117"/>
      <c r="K944" s="21"/>
      <c r="L944" s="22" t="s">
        <v>1136</v>
      </c>
      <c r="M944" s="23">
        <f t="shared" si="17"/>
        <v>936999.75</v>
      </c>
      <c r="N944" s="2"/>
      <c r="O944" s="19" t="str">
        <f>VLOOKUP(QUERY_FOR_TRNSTRANSPOSED_0008!A944,'[6]Fin vs NFin'!$A$4:$F$568,6,FALSE)</f>
        <v>Não Financeiras</v>
      </c>
      <c r="P944" s="24" t="str">
        <f t="shared" si="18"/>
        <v>SE</v>
      </c>
      <c r="Q944" s="24"/>
      <c r="R944" s="24"/>
      <c r="S944" s="24"/>
      <c r="T944" s="24"/>
    </row>
    <row r="945" spans="1:20" ht="15" thickBot="1">
      <c r="A945" s="11" t="s">
        <v>1133</v>
      </c>
      <c r="B945" s="11" t="str">
        <f>VLOOKUP(A945,'[6]Fin vs NFin'!$A$4:$B$568,2,FALSE)</f>
        <v>!SG-CH-Vida</v>
      </c>
      <c r="C945" s="11" t="s">
        <v>1196</v>
      </c>
      <c r="D945" s="11" t="s">
        <v>1135</v>
      </c>
      <c r="E945" s="11" t="str">
        <f>VLOOKUP(D945,[6]Arvore!$N$8:$Q$6855,4,FALSE)</f>
        <v/>
      </c>
      <c r="F945" s="12">
        <v>2234999</v>
      </c>
      <c r="G945" s="12">
        <v>0</v>
      </c>
      <c r="H945" s="13">
        <v>2234999</v>
      </c>
      <c r="I945" s="118"/>
      <c r="J945" s="111"/>
      <c r="K945" s="21"/>
      <c r="L945" s="15" t="s">
        <v>1136</v>
      </c>
      <c r="M945" s="16">
        <f t="shared" si="17"/>
        <v>2234999</v>
      </c>
      <c r="N945" s="2"/>
      <c r="O945" s="12" t="str">
        <f>VLOOKUP(QUERY_FOR_TRNSTRANSPOSED_0008!A945,'[6]Fin vs NFin'!$A$4:$F$568,6,FALSE)</f>
        <v>Não Financeiras</v>
      </c>
      <c r="P945" s="17" t="str">
        <f t="shared" si="18"/>
        <v>SE</v>
      </c>
      <c r="Q945" s="17"/>
      <c r="R945" s="17"/>
      <c r="S945" s="17"/>
      <c r="T945" s="17"/>
    </row>
    <row r="946" spans="1:20" ht="15" thickBot="1">
      <c r="A946" s="11" t="s">
        <v>1197</v>
      </c>
      <c r="B946" s="11" t="str">
        <f>VLOOKUP(A946,'[6]Fin vs NFin'!$A$4:$B$568,2,FALSE)</f>
        <v>!SG-CH-Desemprego</v>
      </c>
      <c r="C946" s="11" t="s">
        <v>1198</v>
      </c>
      <c r="D946" s="11" t="s">
        <v>1135</v>
      </c>
      <c r="E946" s="11" t="str">
        <f>VLOOKUP(D946,[6]Arvore!$N$8:$Q$6855,4,FALSE)</f>
        <v/>
      </c>
      <c r="F946" s="12">
        <v>-14787.43</v>
      </c>
      <c r="G946" s="12">
        <v>0</v>
      </c>
      <c r="H946" s="13">
        <v>-14787.43</v>
      </c>
      <c r="I946" s="73">
        <f>H946</f>
        <v>-14787.43</v>
      </c>
      <c r="J946" s="79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946" s="21"/>
      <c r="L946" s="15" t="s">
        <v>1136</v>
      </c>
      <c r="M946" s="16">
        <f t="shared" si="17"/>
        <v>-14787.43</v>
      </c>
      <c r="N946" s="2"/>
      <c r="O946" s="12" t="str">
        <f>VLOOKUP(QUERY_FOR_TRNSTRANSPOSED_0008!A946,'[6]Fin vs NFin'!$A$4:$F$568,6,FALSE)</f>
        <v>Não Financeiras</v>
      </c>
      <c r="P946" s="17" t="str">
        <f t="shared" si="18"/>
        <v>SE</v>
      </c>
      <c r="Q946" s="17"/>
      <c r="R946" s="17"/>
      <c r="S946" s="17"/>
      <c r="T946" s="17"/>
    </row>
    <row r="947" spans="1:20">
      <c r="A947" s="18" t="s">
        <v>1199</v>
      </c>
      <c r="B947" s="18" t="str">
        <f>VLOOKUP(A947,'[6]Fin vs NFin'!$A$4:$B$568,2,FALSE)</f>
        <v>!SG-CH-Vida Prémio Único</v>
      </c>
      <c r="C947" s="18" t="s">
        <v>1200</v>
      </c>
      <c r="D947" s="18" t="s">
        <v>1135</v>
      </c>
      <c r="E947" s="18" t="str">
        <f>VLOOKUP(D947,[6]Arvore!$N$8:$Q$6855,4,FALSE)</f>
        <v/>
      </c>
      <c r="F947" s="19">
        <v>246520.79</v>
      </c>
      <c r="G947" s="19">
        <v>0</v>
      </c>
      <c r="H947" s="20">
        <v>246520.79</v>
      </c>
      <c r="I947" s="116">
        <f>SUM(H947:H952)</f>
        <v>8485801.0199999996</v>
      </c>
      <c r="J947" s="80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947" s="21"/>
      <c r="L947" s="22" t="s">
        <v>1136</v>
      </c>
      <c r="M947" s="23">
        <f t="shared" si="17"/>
        <v>246520.79</v>
      </c>
      <c r="N947" s="2"/>
      <c r="O947" s="19" t="str">
        <f>VLOOKUP(QUERY_FOR_TRNSTRANSPOSED_0008!A947,'[6]Fin vs NFin'!$A$4:$F$568,6,FALSE)</f>
        <v>Não Financeiras</v>
      </c>
      <c r="P947" s="24" t="str">
        <f t="shared" si="18"/>
        <v>SE</v>
      </c>
      <c r="Q947" s="24"/>
      <c r="R947" s="24"/>
      <c r="S947" s="24"/>
      <c r="T947" s="24"/>
    </row>
    <row r="948" spans="1:20">
      <c r="A948" s="18" t="s">
        <v>1199</v>
      </c>
      <c r="B948" s="18" t="str">
        <f>VLOOKUP(A948,'[6]Fin vs NFin'!$A$4:$B$568,2,FALSE)</f>
        <v>!SG-CH-Vida Prémio Único</v>
      </c>
      <c r="C948" s="18" t="s">
        <v>1201</v>
      </c>
      <c r="D948" s="18" t="s">
        <v>1135</v>
      </c>
      <c r="E948" s="18" t="str">
        <f>VLOOKUP(D948,[6]Arvore!$N$8:$Q$6855,4,FALSE)</f>
        <v/>
      </c>
      <c r="F948" s="19">
        <v>117917.78</v>
      </c>
      <c r="G948" s="19">
        <v>0</v>
      </c>
      <c r="H948" s="20">
        <v>117917.78</v>
      </c>
      <c r="I948" s="116"/>
      <c r="J948" s="80"/>
      <c r="K948" s="21"/>
      <c r="L948" s="22" t="s">
        <v>1136</v>
      </c>
      <c r="M948" s="23">
        <f t="shared" si="17"/>
        <v>117917.78</v>
      </c>
      <c r="N948" s="2"/>
      <c r="O948" s="19" t="str">
        <f>VLOOKUP(QUERY_FOR_TRNSTRANSPOSED_0008!A948,'[6]Fin vs NFin'!$A$4:$F$568,6,FALSE)</f>
        <v>Não Financeiras</v>
      </c>
      <c r="P948" s="24" t="str">
        <f t="shared" si="18"/>
        <v>SE</v>
      </c>
      <c r="Q948" s="24"/>
      <c r="R948" s="24"/>
      <c r="S948" s="24"/>
      <c r="T948" s="24"/>
    </row>
    <row r="949" spans="1:20">
      <c r="A949" s="18" t="s">
        <v>1199</v>
      </c>
      <c r="B949" s="18" t="str">
        <f>VLOOKUP(A949,'[6]Fin vs NFin'!$A$4:$B$568,2,FALSE)</f>
        <v>!SG-CH-Vida Prémio Único</v>
      </c>
      <c r="C949" s="18" t="s">
        <v>1202</v>
      </c>
      <c r="D949" s="18" t="s">
        <v>1135</v>
      </c>
      <c r="E949" s="18" t="str">
        <f>VLOOKUP(D949,[6]Arvore!$N$8:$Q$6855,4,FALSE)</f>
        <v/>
      </c>
      <c r="F949" s="19">
        <v>-39.89</v>
      </c>
      <c r="G949" s="19">
        <v>0</v>
      </c>
      <c r="H949" s="20">
        <v>-39.89</v>
      </c>
      <c r="I949" s="116"/>
      <c r="J949" s="80"/>
      <c r="K949" s="21"/>
      <c r="L949" s="22" t="s">
        <v>1136</v>
      </c>
      <c r="M949" s="23">
        <f t="shared" si="17"/>
        <v>-39.89</v>
      </c>
      <c r="N949" s="2"/>
      <c r="O949" s="19" t="str">
        <f>VLOOKUP(QUERY_FOR_TRNSTRANSPOSED_0008!A949,'[6]Fin vs NFin'!$A$4:$F$568,6,FALSE)</f>
        <v>Não Financeiras</v>
      </c>
      <c r="P949" s="24" t="str">
        <f t="shared" si="18"/>
        <v>SE</v>
      </c>
      <c r="Q949" s="24"/>
      <c r="R949" s="24"/>
      <c r="S949" s="24"/>
      <c r="T949" s="24"/>
    </row>
    <row r="950" spans="1:20">
      <c r="A950" s="18" t="s">
        <v>1199</v>
      </c>
      <c r="B950" s="18" t="str">
        <f>VLOOKUP(A950,'[6]Fin vs NFin'!$A$4:$B$568,2,FALSE)</f>
        <v>!SG-CH-Vida Prémio Único</v>
      </c>
      <c r="C950" s="18" t="s">
        <v>1203</v>
      </c>
      <c r="D950" s="18" t="s">
        <v>1135</v>
      </c>
      <c r="E950" s="18" t="str">
        <f>VLOOKUP(D950,[6]Arvore!$N$8:$Q$6855,4,FALSE)</f>
        <v/>
      </c>
      <c r="F950" s="19">
        <v>302.24</v>
      </c>
      <c r="G950" s="19">
        <v>0</v>
      </c>
      <c r="H950" s="20">
        <v>302.24</v>
      </c>
      <c r="I950" s="116"/>
      <c r="J950" s="80"/>
      <c r="K950" s="21"/>
      <c r="L950" s="22" t="s">
        <v>1136</v>
      </c>
      <c r="M950" s="23">
        <f t="shared" ref="M950:M986" si="19">H950</f>
        <v>302.24</v>
      </c>
      <c r="N950" s="2"/>
      <c r="O950" s="19" t="str">
        <f>VLOOKUP(QUERY_FOR_TRNSTRANSPOSED_0008!A950,'[6]Fin vs NFin'!$A$4:$F$568,6,FALSE)</f>
        <v>Não Financeiras</v>
      </c>
      <c r="P950" s="24" t="str">
        <f t="shared" si="18"/>
        <v>SE</v>
      </c>
      <c r="Q950" s="24"/>
      <c r="R950" s="24"/>
      <c r="S950" s="24"/>
      <c r="T950" s="24"/>
    </row>
    <row r="951" spans="1:20">
      <c r="A951" s="18" t="s">
        <v>1199</v>
      </c>
      <c r="B951" s="18" t="str">
        <f>VLOOKUP(A951,'[6]Fin vs NFin'!$A$4:$B$568,2,FALSE)</f>
        <v>!SG-CH-Vida Prémio Único</v>
      </c>
      <c r="C951" s="18" t="s">
        <v>884</v>
      </c>
      <c r="D951" s="18" t="s">
        <v>1135</v>
      </c>
      <c r="E951" s="18" t="str">
        <f>VLOOKUP(D951,[6]Arvore!$N$8:$Q$6855,4,FALSE)</f>
        <v/>
      </c>
      <c r="F951" s="19">
        <v>2698685</v>
      </c>
      <c r="G951" s="19">
        <v>0</v>
      </c>
      <c r="H951" s="20">
        <v>2698685</v>
      </c>
      <c r="I951" s="116"/>
      <c r="J951" s="80"/>
      <c r="K951" s="21"/>
      <c r="L951" s="22" t="s">
        <v>1136</v>
      </c>
      <c r="M951" s="23">
        <f t="shared" si="19"/>
        <v>2698685</v>
      </c>
      <c r="N951" s="2"/>
      <c r="O951" s="19" t="str">
        <f>VLOOKUP(QUERY_FOR_TRNSTRANSPOSED_0008!A951,'[6]Fin vs NFin'!$A$4:$F$568,6,FALSE)</f>
        <v>Não Financeiras</v>
      </c>
      <c r="P951" s="24" t="str">
        <f t="shared" si="18"/>
        <v>SE</v>
      </c>
      <c r="Q951" s="24"/>
      <c r="R951" s="24"/>
      <c r="S951" s="24"/>
      <c r="T951" s="24"/>
    </row>
    <row r="952" spans="1:20" ht="15" thickBot="1">
      <c r="A952" s="11" t="s">
        <v>1199</v>
      </c>
      <c r="B952" s="11" t="str">
        <f>VLOOKUP(A952,'[6]Fin vs NFin'!$A$4:$B$568,2,FALSE)</f>
        <v>!SG-CH-Vida Prémio Único</v>
      </c>
      <c r="C952" s="11" t="s">
        <v>1204</v>
      </c>
      <c r="D952" s="11" t="s">
        <v>1135</v>
      </c>
      <c r="E952" s="11" t="str">
        <f>VLOOKUP(D952,[6]Arvore!$N$8:$Q$6855,4,FALSE)</f>
        <v/>
      </c>
      <c r="F952" s="12">
        <v>5422415.0999999996</v>
      </c>
      <c r="G952" s="12">
        <v>0</v>
      </c>
      <c r="H952" s="13">
        <v>5422415.0999999996</v>
      </c>
      <c r="I952" s="118"/>
      <c r="J952" s="79"/>
      <c r="K952" s="21"/>
      <c r="L952" s="15" t="s">
        <v>1136</v>
      </c>
      <c r="M952" s="16">
        <f t="shared" si="19"/>
        <v>5422415.0999999996</v>
      </c>
      <c r="N952" s="2"/>
      <c r="O952" s="12" t="str">
        <f>VLOOKUP(QUERY_FOR_TRNSTRANSPOSED_0008!A952,'[6]Fin vs NFin'!$A$4:$F$568,6,FALSE)</f>
        <v>Não Financeiras</v>
      </c>
      <c r="P952" s="17" t="str">
        <f t="shared" si="18"/>
        <v>SE</v>
      </c>
      <c r="Q952" s="17"/>
      <c r="R952" s="17"/>
      <c r="S952" s="17"/>
      <c r="T952" s="17"/>
    </row>
    <row r="953" spans="1:20">
      <c r="A953" s="18" t="s">
        <v>1205</v>
      </c>
      <c r="B953" s="18" t="str">
        <f>VLOOKUP(A953,'[6]Fin vs NFin'!$A$4:$B$568,2,FALSE)</f>
        <v>!SG-Créd.Pessoal-Vida</v>
      </c>
      <c r="C953" s="18" t="s">
        <v>1206</v>
      </c>
      <c r="D953" s="18" t="s">
        <v>1135</v>
      </c>
      <c r="E953" s="18" t="str">
        <f>VLOOKUP(D953,[6]Arvore!$N$8:$Q$6855,4,FALSE)</f>
        <v/>
      </c>
      <c r="F953" s="19">
        <v>-10.62</v>
      </c>
      <c r="G953" s="19">
        <v>0</v>
      </c>
      <c r="H953" s="20">
        <v>-10.62</v>
      </c>
      <c r="I953" s="116">
        <f>SUM(H953:H958)</f>
        <v>8002977.370000001</v>
      </c>
      <c r="J953" s="80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953" s="21"/>
      <c r="L953" s="22" t="s">
        <v>1136</v>
      </c>
      <c r="M953" s="23">
        <f t="shared" si="19"/>
        <v>-10.62</v>
      </c>
      <c r="N953" s="2"/>
      <c r="O953" s="19" t="str">
        <f>VLOOKUP(QUERY_FOR_TRNSTRANSPOSED_0008!A953,'[6]Fin vs NFin'!$A$4:$F$568,6,FALSE)</f>
        <v>Não Financeiras</v>
      </c>
      <c r="P953" s="24" t="str">
        <f t="shared" si="18"/>
        <v>SE</v>
      </c>
      <c r="Q953" s="24"/>
      <c r="R953" s="24"/>
      <c r="S953" s="24"/>
      <c r="T953" s="24"/>
    </row>
    <row r="954" spans="1:20">
      <c r="A954" s="18" t="s">
        <v>1205</v>
      </c>
      <c r="B954" s="18" t="str">
        <f>VLOOKUP(A954,'[6]Fin vs NFin'!$A$4:$B$568,2,FALSE)</f>
        <v>!SG-Créd.Pessoal-Vida</v>
      </c>
      <c r="C954" s="18" t="s">
        <v>1207</v>
      </c>
      <c r="D954" s="18" t="s">
        <v>1135</v>
      </c>
      <c r="E954" s="18" t="str">
        <f>VLOOKUP(D954,[6]Arvore!$N$8:$Q$6855,4,FALSE)</f>
        <v/>
      </c>
      <c r="F954" s="19">
        <v>105.06</v>
      </c>
      <c r="G954" s="19">
        <v>0</v>
      </c>
      <c r="H954" s="20">
        <v>105.06</v>
      </c>
      <c r="I954" s="116"/>
      <c r="J954" s="80"/>
      <c r="K954" s="21"/>
      <c r="L954" s="22" t="s">
        <v>1136</v>
      </c>
      <c r="M954" s="23">
        <f t="shared" si="19"/>
        <v>105.06</v>
      </c>
      <c r="N954" s="2"/>
      <c r="O954" s="19" t="str">
        <f>VLOOKUP(QUERY_FOR_TRNSTRANSPOSED_0008!A954,'[6]Fin vs NFin'!$A$4:$F$568,6,FALSE)</f>
        <v>Não Financeiras</v>
      </c>
      <c r="P954" s="24" t="str">
        <f t="shared" si="18"/>
        <v>SE</v>
      </c>
      <c r="Q954" s="24"/>
      <c r="R954" s="24"/>
      <c r="S954" s="24"/>
      <c r="T954" s="24"/>
    </row>
    <row r="955" spans="1:20">
      <c r="A955" s="18" t="s">
        <v>1205</v>
      </c>
      <c r="B955" s="18" t="str">
        <f>VLOOKUP(A955,'[6]Fin vs NFin'!$A$4:$B$568,2,FALSE)</f>
        <v>!SG-Créd.Pessoal-Vida</v>
      </c>
      <c r="C955" s="18" t="s">
        <v>1208</v>
      </c>
      <c r="D955" s="18" t="s">
        <v>1135</v>
      </c>
      <c r="E955" s="18" t="str">
        <f>VLOOKUP(D955,[6]Arvore!$N$8:$Q$6855,4,FALSE)</f>
        <v/>
      </c>
      <c r="F955" s="19">
        <v>-163.25</v>
      </c>
      <c r="G955" s="19">
        <v>0</v>
      </c>
      <c r="H955" s="20">
        <v>-163.25</v>
      </c>
      <c r="I955" s="116"/>
      <c r="J955" s="80"/>
      <c r="K955" s="21"/>
      <c r="L955" s="22" t="s">
        <v>1136</v>
      </c>
      <c r="M955" s="23">
        <f t="shared" si="19"/>
        <v>-163.25</v>
      </c>
      <c r="N955" s="2"/>
      <c r="O955" s="19" t="str">
        <f>VLOOKUP(QUERY_FOR_TRNSTRANSPOSED_0008!A955,'[6]Fin vs NFin'!$A$4:$F$568,6,FALSE)</f>
        <v>Não Financeiras</v>
      </c>
      <c r="P955" s="24" t="str">
        <f t="shared" si="18"/>
        <v>SE</v>
      </c>
      <c r="Q955" s="24"/>
      <c r="R955" s="24"/>
      <c r="S955" s="24"/>
      <c r="T955" s="24"/>
    </row>
    <row r="956" spans="1:20">
      <c r="A956" s="18" t="s">
        <v>1205</v>
      </c>
      <c r="B956" s="18" t="str">
        <f>VLOOKUP(A956,'[6]Fin vs NFin'!$A$4:$B$568,2,FALSE)</f>
        <v>!SG-Créd.Pessoal-Vida</v>
      </c>
      <c r="C956" s="18" t="s">
        <v>1209</v>
      </c>
      <c r="D956" s="18" t="s">
        <v>1135</v>
      </c>
      <c r="E956" s="18" t="str">
        <f>VLOOKUP(D956,[6]Arvore!$N$8:$Q$6855,4,FALSE)</f>
        <v/>
      </c>
      <c r="F956" s="19">
        <v>7383712.46</v>
      </c>
      <c r="G956" s="19">
        <v>0</v>
      </c>
      <c r="H956" s="20">
        <v>7383712.46</v>
      </c>
      <c r="I956" s="116"/>
      <c r="J956" s="80"/>
      <c r="K956" s="21"/>
      <c r="L956" s="22" t="s">
        <v>1136</v>
      </c>
      <c r="M956" s="23">
        <f t="shared" si="19"/>
        <v>7383712.46</v>
      </c>
      <c r="N956" s="2"/>
      <c r="O956" s="19" t="str">
        <f>VLOOKUP(QUERY_FOR_TRNSTRANSPOSED_0008!A956,'[6]Fin vs NFin'!$A$4:$F$568,6,FALSE)</f>
        <v>Não Financeiras</v>
      </c>
      <c r="P956" s="24" t="str">
        <f t="shared" si="18"/>
        <v>SE</v>
      </c>
      <c r="Q956" s="24"/>
      <c r="R956" s="24"/>
      <c r="S956" s="24"/>
      <c r="T956" s="24"/>
    </row>
    <row r="957" spans="1:20">
      <c r="A957" s="18" t="s">
        <v>1205</v>
      </c>
      <c r="B957" s="18" t="str">
        <f>VLOOKUP(A957,'[6]Fin vs NFin'!$A$4:$B$568,2,FALSE)</f>
        <v>!SG-Créd.Pessoal-Vida</v>
      </c>
      <c r="C957" s="18" t="s">
        <v>1210</v>
      </c>
      <c r="D957" s="18" t="s">
        <v>1135</v>
      </c>
      <c r="E957" s="18" t="str">
        <f>VLOOKUP(D957,[6]Arvore!$N$8:$Q$6855,4,FALSE)</f>
        <v/>
      </c>
      <c r="F957" s="19">
        <v>619342.74</v>
      </c>
      <c r="G957" s="19">
        <v>0</v>
      </c>
      <c r="H957" s="20">
        <v>619342.74</v>
      </c>
      <c r="I957" s="116"/>
      <c r="J957" s="80"/>
      <c r="K957" s="21"/>
      <c r="L957" s="22" t="s">
        <v>1136</v>
      </c>
      <c r="M957" s="23">
        <f t="shared" si="19"/>
        <v>619342.74</v>
      </c>
      <c r="N957" s="2"/>
      <c r="O957" s="19" t="str">
        <f>VLOOKUP(QUERY_FOR_TRNSTRANSPOSED_0008!A957,'[6]Fin vs NFin'!$A$4:$F$568,6,FALSE)</f>
        <v>Não Financeiras</v>
      </c>
      <c r="P957" s="24" t="str">
        <f t="shared" si="18"/>
        <v>SE</v>
      </c>
      <c r="Q957" s="24"/>
      <c r="R957" s="24"/>
      <c r="S957" s="24"/>
      <c r="T957" s="24"/>
    </row>
    <row r="958" spans="1:20" ht="15" thickBot="1">
      <c r="A958" s="11" t="s">
        <v>1205</v>
      </c>
      <c r="B958" s="11" t="str">
        <f>VLOOKUP(A958,'[6]Fin vs NFin'!$A$4:$B$568,2,FALSE)</f>
        <v>!SG-Créd.Pessoal-Vida</v>
      </c>
      <c r="C958" s="11" t="s">
        <v>1211</v>
      </c>
      <c r="D958" s="11" t="s">
        <v>1135</v>
      </c>
      <c r="E958" s="11" t="str">
        <f>VLOOKUP(D958,[6]Arvore!$N$8:$Q$6855,4,FALSE)</f>
        <v/>
      </c>
      <c r="F958" s="12">
        <v>-9.02</v>
      </c>
      <c r="G958" s="12">
        <v>0</v>
      </c>
      <c r="H958" s="13">
        <v>-9.02</v>
      </c>
      <c r="I958" s="118"/>
      <c r="J958" s="79"/>
      <c r="K958" s="21"/>
      <c r="L958" s="15" t="s">
        <v>1136</v>
      </c>
      <c r="M958" s="16">
        <f t="shared" si="19"/>
        <v>-9.02</v>
      </c>
      <c r="N958" s="2"/>
      <c r="O958" s="12" t="str">
        <f>VLOOKUP(QUERY_FOR_TRNSTRANSPOSED_0008!A958,'[6]Fin vs NFin'!$A$4:$F$568,6,FALSE)</f>
        <v>Não Financeiras</v>
      </c>
      <c r="P958" s="17" t="str">
        <f t="shared" si="18"/>
        <v>SE</v>
      </c>
      <c r="Q958" s="17"/>
      <c r="R958" s="17"/>
      <c r="S958" s="17"/>
      <c r="T958" s="17"/>
    </row>
    <row r="959" spans="1:20" ht="15" thickBot="1">
      <c r="A959" s="25" t="s">
        <v>1212</v>
      </c>
      <c r="B959" s="25" t="str">
        <f>VLOOKUP(A959,'[6]Fin vs NFin'!$A$4:$B$568,2,FALSE)</f>
        <v>!SG-Crd.Pessoal-Desemprego</v>
      </c>
      <c r="C959" s="25" t="s">
        <v>1213</v>
      </c>
      <c r="D959" s="25" t="s">
        <v>1135</v>
      </c>
      <c r="E959" s="25" t="str">
        <f>VLOOKUP(D959,[6]Arvore!$N$8:$Q$6855,4,FALSE)</f>
        <v/>
      </c>
      <c r="F959" s="26">
        <v>3839252.18</v>
      </c>
      <c r="G959" s="26">
        <v>0</v>
      </c>
      <c r="H959" s="27">
        <v>3839252.18</v>
      </c>
      <c r="I959" s="77">
        <v>3839252.18</v>
      </c>
      <c r="J959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959" s="29" t="s">
        <v>1136</v>
      </c>
      <c r="M959" s="30">
        <f t="shared" si="19"/>
        <v>3839252.18</v>
      </c>
      <c r="N959" s="2"/>
      <c r="O959" s="26" t="str">
        <f>VLOOKUP(QUERY_FOR_TRNSTRANSPOSED_0008!A959,'[6]Fin vs NFin'!$A$4:$F$568,6,FALSE)</f>
        <v>Não Financeiras</v>
      </c>
      <c r="P959" s="31" t="str">
        <f t="shared" si="18"/>
        <v>SE</v>
      </c>
      <c r="Q959" s="31"/>
      <c r="R959" s="31"/>
      <c r="S959" s="31"/>
      <c r="T959" s="31"/>
    </row>
    <row r="960" spans="1:20" ht="15" thickBot="1">
      <c r="A960" s="25" t="s">
        <v>1214</v>
      </c>
      <c r="B960" s="25" t="str">
        <f>VLOOKUP(A960,'[6]Fin vs NFin'!$A$4:$B$568,2,FALSE)</f>
        <v>!SG-Empresas Mútuos</v>
      </c>
      <c r="C960" s="25" t="s">
        <v>1215</v>
      </c>
      <c r="D960" s="25" t="s">
        <v>1135</v>
      </c>
      <c r="E960" s="25" t="str">
        <f>VLOOKUP(D960,[6]Arvore!$N$8:$Q$6855,4,FALSE)</f>
        <v/>
      </c>
      <c r="F960" s="26">
        <v>1228887.4099999999</v>
      </c>
      <c r="G960" s="26">
        <v>0</v>
      </c>
      <c r="H960" s="27">
        <v>1228887.4099999999</v>
      </c>
      <c r="I960" s="77">
        <v>1228887.4099999999</v>
      </c>
      <c r="J960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960" s="29" t="s">
        <v>1136</v>
      </c>
      <c r="M960" s="30">
        <f t="shared" si="19"/>
        <v>1228887.4099999999</v>
      </c>
      <c r="N960" s="2"/>
      <c r="O960" s="26" t="str">
        <f>VLOOKUP(QUERY_FOR_TRNSTRANSPOSED_0008!A960,'[6]Fin vs NFin'!$A$4:$F$568,6,FALSE)</f>
        <v>Não Financeiras</v>
      </c>
      <c r="P960" s="31" t="str">
        <f t="shared" si="18"/>
        <v>SE</v>
      </c>
      <c r="Q960" s="31"/>
      <c r="R960" s="31"/>
      <c r="S960" s="31"/>
      <c r="T960" s="31"/>
    </row>
    <row r="961" spans="1:20" ht="15" thickBot="1">
      <c r="A961" s="25" t="s">
        <v>1216</v>
      </c>
      <c r="B961" s="25" t="str">
        <f>VLOOKUP(A961,'[6]Fin vs NFin'!$A$4:$B$568,2,FALSE)</f>
        <v>!SG-Empr Contas Correntes</v>
      </c>
      <c r="C961" s="25" t="s">
        <v>1217</v>
      </c>
      <c r="D961" s="25" t="s">
        <v>1135</v>
      </c>
      <c r="E961" s="25" t="str">
        <f>VLOOKUP(D961,[6]Arvore!$N$8:$Q$6855,4,FALSE)</f>
        <v/>
      </c>
      <c r="F961" s="26">
        <v>951414.25</v>
      </c>
      <c r="G961" s="26">
        <v>0</v>
      </c>
      <c r="H961" s="27">
        <v>951414.25</v>
      </c>
      <c r="I961" s="77">
        <v>951414.25</v>
      </c>
      <c r="J961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961" s="29" t="s">
        <v>1136</v>
      </c>
      <c r="M961" s="30">
        <f t="shared" si="19"/>
        <v>951414.25</v>
      </c>
      <c r="N961" s="2"/>
      <c r="O961" s="26" t="str">
        <f>VLOOKUP(QUERY_FOR_TRNSTRANSPOSED_0008!A961,'[6]Fin vs NFin'!$A$4:$F$568,6,FALSE)</f>
        <v>Não Financeiras</v>
      </c>
      <c r="P961" s="31" t="str">
        <f t="shared" si="18"/>
        <v>SE</v>
      </c>
      <c r="Q961" s="31"/>
      <c r="R961" s="31"/>
      <c r="S961" s="31"/>
      <c r="T961" s="31"/>
    </row>
    <row r="962" spans="1:20" ht="15" thickBot="1">
      <c r="A962" s="25" t="s">
        <v>1218</v>
      </c>
      <c r="B962" s="25" t="str">
        <f>VLOOKUP(A962,'[6]Fin vs NFin'!$A$4:$B$568,2,FALSE)</f>
        <v>!Empr Leasing Mobiliário</v>
      </c>
      <c r="C962" s="25" t="s">
        <v>1219</v>
      </c>
      <c r="D962" s="25" t="s">
        <v>1135</v>
      </c>
      <c r="E962" s="25" t="str">
        <f>VLOOKUP(D962,[6]Arvore!$N$8:$Q$6855,4,FALSE)</f>
        <v/>
      </c>
      <c r="F962" s="26">
        <v>22217.360000000001</v>
      </c>
      <c r="G962" s="26">
        <v>0</v>
      </c>
      <c r="H962" s="27">
        <v>22217.360000000001</v>
      </c>
      <c r="I962" s="77">
        <v>22217.360000000001</v>
      </c>
      <c r="J962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962" s="29" t="s">
        <v>1136</v>
      </c>
      <c r="M962" s="30">
        <f t="shared" si="19"/>
        <v>22217.360000000001</v>
      </c>
      <c r="N962" s="2"/>
      <c r="O962" s="26" t="str">
        <f>VLOOKUP(QUERY_FOR_TRNSTRANSPOSED_0008!A962,'[6]Fin vs NFin'!$A$4:$F$568,6,FALSE)</f>
        <v>Não Financeiras</v>
      </c>
      <c r="P962" s="31" t="str">
        <f t="shared" si="18"/>
        <v>SE</v>
      </c>
      <c r="Q962" s="31"/>
      <c r="R962" s="31"/>
      <c r="S962" s="31"/>
      <c r="T962" s="31"/>
    </row>
    <row r="963" spans="1:20">
      <c r="A963" s="18" t="s">
        <v>1220</v>
      </c>
      <c r="B963" s="18" t="str">
        <f>VLOOKUP(A963,'[6]Fin vs NFin'!$A$4:$B$568,2,FALSE)</f>
        <v>!PS Outros Seg. Associados</v>
      </c>
      <c r="C963" s="18" t="s">
        <v>1221</v>
      </c>
      <c r="D963" s="18" t="s">
        <v>1135</v>
      </c>
      <c r="E963" s="18" t="str">
        <f>VLOOKUP(D963,[6]Arvore!$N$8:$Q$6855,4,FALSE)</f>
        <v/>
      </c>
      <c r="F963" s="19">
        <v>-18.11</v>
      </c>
      <c r="G963" s="19">
        <v>0</v>
      </c>
      <c r="H963" s="20">
        <v>-18.11</v>
      </c>
      <c r="I963" s="116">
        <f>SUM(H963:H965)</f>
        <v>3836.56</v>
      </c>
      <c r="J963" s="80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963" s="21"/>
      <c r="L963" s="22" t="s">
        <v>1136</v>
      </c>
      <c r="M963" s="23">
        <f t="shared" si="19"/>
        <v>-18.11</v>
      </c>
      <c r="N963" s="2"/>
      <c r="O963" s="19" t="str">
        <f>VLOOKUP(QUERY_FOR_TRNSTRANSPOSED_0008!A963,'[6]Fin vs NFin'!$A$4:$F$568,6,FALSE)</f>
        <v>Não Financeiras</v>
      </c>
      <c r="P963" s="24" t="str">
        <f t="shared" si="18"/>
        <v>SE</v>
      </c>
      <c r="Q963" s="24"/>
      <c r="R963" s="24"/>
      <c r="S963" s="24"/>
      <c r="T963" s="24"/>
    </row>
    <row r="964" spans="1:20">
      <c r="A964" s="18" t="s">
        <v>1220</v>
      </c>
      <c r="B964" s="18" t="str">
        <f>VLOOKUP(A964,'[6]Fin vs NFin'!$A$4:$B$568,2,FALSE)</f>
        <v>!PS Outros Seg. Associados</v>
      </c>
      <c r="C964" s="18" t="s">
        <v>1222</v>
      </c>
      <c r="D964" s="18" t="s">
        <v>1135</v>
      </c>
      <c r="E964" s="18" t="str">
        <f>VLOOKUP(D964,[6]Arvore!$N$8:$Q$6855,4,FALSE)</f>
        <v/>
      </c>
      <c r="F964" s="19">
        <v>3643.86</v>
      </c>
      <c r="G964" s="19">
        <v>0</v>
      </c>
      <c r="H964" s="20">
        <v>3643.86</v>
      </c>
      <c r="I964" s="116"/>
      <c r="J964" s="80"/>
      <c r="K964" s="21"/>
      <c r="L964" s="22" t="s">
        <v>1136</v>
      </c>
      <c r="M964" s="23">
        <f t="shared" si="19"/>
        <v>3643.86</v>
      </c>
      <c r="N964" s="2"/>
      <c r="O964" s="19" t="str">
        <f>VLOOKUP(QUERY_FOR_TRNSTRANSPOSED_0008!A964,'[6]Fin vs NFin'!$A$4:$F$568,6,FALSE)</f>
        <v>Não Financeiras</v>
      </c>
      <c r="P964" s="24" t="str">
        <f t="shared" si="18"/>
        <v>SE</v>
      </c>
      <c r="Q964" s="24"/>
      <c r="R964" s="24"/>
      <c r="S964" s="24"/>
      <c r="T964" s="24"/>
    </row>
    <row r="965" spans="1:20" ht="15" thickBot="1">
      <c r="A965" s="11" t="s">
        <v>1220</v>
      </c>
      <c r="B965" s="11" t="str">
        <f>VLOOKUP(A965,'[6]Fin vs NFin'!$A$4:$B$568,2,FALSE)</f>
        <v>!PS Outros Seg. Associados</v>
      </c>
      <c r="C965" s="11" t="s">
        <v>1223</v>
      </c>
      <c r="D965" s="11" t="s">
        <v>1135</v>
      </c>
      <c r="E965" s="11" t="str">
        <f>VLOOKUP(D965,[6]Arvore!$N$8:$Q$6855,4,FALSE)</f>
        <v/>
      </c>
      <c r="F965" s="12">
        <v>210.81</v>
      </c>
      <c r="G965" s="12">
        <v>0</v>
      </c>
      <c r="H965" s="13">
        <v>210.81</v>
      </c>
      <c r="I965" s="118"/>
      <c r="J965" s="79"/>
      <c r="K965" s="21"/>
      <c r="L965" s="15" t="s">
        <v>1136</v>
      </c>
      <c r="M965" s="16">
        <f t="shared" si="19"/>
        <v>210.81</v>
      </c>
      <c r="N965" s="2"/>
      <c r="O965" s="12" t="str">
        <f>VLOOKUP(QUERY_FOR_TRNSTRANSPOSED_0008!A965,'[6]Fin vs NFin'!$A$4:$F$568,6,FALSE)</f>
        <v>Não Financeiras</v>
      </c>
      <c r="P965" s="17" t="str">
        <f t="shared" si="18"/>
        <v>SE</v>
      </c>
      <c r="Q965" s="17"/>
      <c r="R965" s="17"/>
      <c r="S965" s="17"/>
      <c r="T965" s="17"/>
    </row>
    <row r="966" spans="1:20" ht="15" thickBot="1">
      <c r="A966" s="25" t="s">
        <v>1224</v>
      </c>
      <c r="B966" s="25" t="str">
        <f>VLOOKUP(A966,'[6]Fin vs NFin'!$A$4:$B$568,2,FALSE)</f>
        <v>!Leasing Auto Empresa</v>
      </c>
      <c r="C966" s="25" t="s">
        <v>1225</v>
      </c>
      <c r="D966" s="25" t="s">
        <v>1135</v>
      </c>
      <c r="E966" s="25" t="str">
        <f>VLOOKUP(D966,[6]Arvore!$N$8:$Q$6855,4,FALSE)</f>
        <v/>
      </c>
      <c r="F966" s="26">
        <v>30512.97</v>
      </c>
      <c r="G966" s="26">
        <v>0</v>
      </c>
      <c r="H966" s="27">
        <v>30512.97</v>
      </c>
      <c r="I966" s="77">
        <v>30512.97</v>
      </c>
      <c r="J966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966" s="29" t="s">
        <v>1136</v>
      </c>
      <c r="M966" s="30">
        <f t="shared" si="19"/>
        <v>30512.97</v>
      </c>
      <c r="N966" s="2"/>
      <c r="O966" s="26" t="str">
        <f>VLOOKUP(QUERY_FOR_TRNSTRANSPOSED_0008!A966,'[6]Fin vs NFin'!$A$4:$F$568,6,FALSE)</f>
        <v>Não Financeiras</v>
      </c>
      <c r="P966" s="31" t="str">
        <f t="shared" ref="P966:P1029" si="20">LEFT(D966,2)</f>
        <v>SE</v>
      </c>
      <c r="Q966" s="31"/>
      <c r="R966" s="31"/>
      <c r="S966" s="31"/>
      <c r="T966" s="31"/>
    </row>
    <row r="967" spans="1:20" ht="15" thickBot="1">
      <c r="A967" s="25" t="s">
        <v>1226</v>
      </c>
      <c r="B967" s="25" t="str">
        <f>VLOOKUP(A967,'[6]Fin vs NFin'!$A$4:$B$568,2,FALSE)</f>
        <v>!Leasing Auto Particulares</v>
      </c>
      <c r="C967" s="25" t="s">
        <v>1227</v>
      </c>
      <c r="D967" s="25" t="s">
        <v>1135</v>
      </c>
      <c r="E967" s="25" t="str">
        <f>VLOOKUP(D967,[6]Arvore!$N$8:$Q$6855,4,FALSE)</f>
        <v/>
      </c>
      <c r="F967" s="26">
        <v>3096.66</v>
      </c>
      <c r="G967" s="26">
        <v>0</v>
      </c>
      <c r="H967" s="27">
        <v>3096.66</v>
      </c>
      <c r="I967" s="77">
        <v>3096.66</v>
      </c>
      <c r="J967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967" s="29" t="s">
        <v>1136</v>
      </c>
      <c r="M967" s="30">
        <f t="shared" si="19"/>
        <v>3096.66</v>
      </c>
      <c r="N967" s="2"/>
      <c r="O967" s="26" t="str">
        <f>VLOOKUP(QUERY_FOR_TRNSTRANSPOSED_0008!A967,'[6]Fin vs NFin'!$A$4:$F$568,6,FALSE)</f>
        <v>Não Financeiras</v>
      </c>
      <c r="P967" s="31" t="str">
        <f t="shared" si="20"/>
        <v>SE</v>
      </c>
      <c r="Q967" s="31"/>
      <c r="R967" s="31"/>
      <c r="S967" s="31"/>
      <c r="T967" s="31"/>
    </row>
    <row r="968" spans="1:20">
      <c r="A968" s="18" t="s">
        <v>1228</v>
      </c>
      <c r="B968" s="18" t="str">
        <f>VLOOKUP(A968,'[6]Fin vs NFin'!$A$4:$B$568,2,FALSE)</f>
        <v>!SG-PPR Prov. Matemáticas</v>
      </c>
      <c r="C968" s="18" t="s">
        <v>1229</v>
      </c>
      <c r="D968" s="18" t="s">
        <v>1135</v>
      </c>
      <c r="E968" s="18" t="str">
        <f>VLOOKUP(D968,[6]Arvore!$N$8:$Q$6855,4,FALSE)</f>
        <v/>
      </c>
      <c r="F968" s="19">
        <v>1574.37</v>
      </c>
      <c r="G968" s="19">
        <v>0</v>
      </c>
      <c r="H968" s="20">
        <v>1574.37</v>
      </c>
      <c r="I968" s="119">
        <v>8394.2999999999993</v>
      </c>
      <c r="J968" s="110">
        <f>I875+I876+I877+I968+I987</f>
        <v>2.0433787994988961E-9</v>
      </c>
      <c r="K968" s="21"/>
      <c r="L968" s="22" t="s">
        <v>1136</v>
      </c>
      <c r="M968" s="23">
        <f t="shared" si="19"/>
        <v>1574.37</v>
      </c>
      <c r="N968" s="2"/>
      <c r="O968" s="19" t="str">
        <f>VLOOKUP(QUERY_FOR_TRNSTRANSPOSED_0008!A968,'[6]Fin vs NFin'!$A$4:$F$568,6,FALSE)</f>
        <v>Não Financeiras</v>
      </c>
      <c r="P968" s="24" t="str">
        <f t="shared" si="20"/>
        <v>SE</v>
      </c>
      <c r="Q968" s="24"/>
      <c r="R968" s="24"/>
      <c r="S968" s="24"/>
      <c r="T968" s="24"/>
    </row>
    <row r="969" spans="1:20">
      <c r="A969" s="18" t="s">
        <v>1228</v>
      </c>
      <c r="B969" s="18" t="str">
        <f>VLOOKUP(A969,'[6]Fin vs NFin'!$A$4:$B$568,2,FALSE)</f>
        <v>!SG-PPR Prov. Matemáticas</v>
      </c>
      <c r="C969" s="18" t="s">
        <v>1230</v>
      </c>
      <c r="D969" s="18" t="s">
        <v>1135</v>
      </c>
      <c r="E969" s="18" t="str">
        <f>VLOOKUP(D969,[6]Arvore!$N$8:$Q$6855,4,FALSE)</f>
        <v/>
      </c>
      <c r="F969" s="19">
        <v>79.2</v>
      </c>
      <c r="G969" s="19">
        <v>0</v>
      </c>
      <c r="H969" s="20">
        <v>79.2</v>
      </c>
      <c r="I969" s="120"/>
      <c r="J969" s="117"/>
      <c r="K969" s="21"/>
      <c r="L969" s="22" t="s">
        <v>1136</v>
      </c>
      <c r="M969" s="23">
        <f t="shared" si="19"/>
        <v>79.2</v>
      </c>
      <c r="N969" s="2"/>
      <c r="O969" s="19" t="str">
        <f>VLOOKUP(QUERY_FOR_TRNSTRANSPOSED_0008!A969,'[6]Fin vs NFin'!$A$4:$F$568,6,FALSE)</f>
        <v>Não Financeiras</v>
      </c>
      <c r="P969" s="24" t="str">
        <f t="shared" si="20"/>
        <v>SE</v>
      </c>
      <c r="Q969" s="24"/>
      <c r="R969" s="24"/>
      <c r="S969" s="24"/>
      <c r="T969" s="24"/>
    </row>
    <row r="970" spans="1:20">
      <c r="A970" s="18" t="s">
        <v>1228</v>
      </c>
      <c r="B970" s="18" t="str">
        <f>VLOOKUP(A970,'[6]Fin vs NFin'!$A$4:$B$568,2,FALSE)</f>
        <v>!SG-PPR Prov. Matemáticas</v>
      </c>
      <c r="C970" s="18" t="s">
        <v>1231</v>
      </c>
      <c r="D970" s="18" t="s">
        <v>1135</v>
      </c>
      <c r="E970" s="18" t="str">
        <f>VLOOKUP(D970,[6]Arvore!$N$8:$Q$6855,4,FALSE)</f>
        <v/>
      </c>
      <c r="F970" s="19">
        <v>2054.65</v>
      </c>
      <c r="G970" s="19">
        <v>0</v>
      </c>
      <c r="H970" s="20">
        <v>2054.65</v>
      </c>
      <c r="I970" s="120"/>
      <c r="J970" s="117"/>
      <c r="K970" s="21"/>
      <c r="L970" s="22" t="s">
        <v>1136</v>
      </c>
      <c r="M970" s="23">
        <f t="shared" si="19"/>
        <v>2054.65</v>
      </c>
      <c r="N970" s="2"/>
      <c r="O970" s="19" t="str">
        <f>VLOOKUP(QUERY_FOR_TRNSTRANSPOSED_0008!A970,'[6]Fin vs NFin'!$A$4:$F$568,6,FALSE)</f>
        <v>Não Financeiras</v>
      </c>
      <c r="P970" s="24" t="str">
        <f t="shared" si="20"/>
        <v>SE</v>
      </c>
      <c r="Q970" s="24"/>
      <c r="R970" s="24"/>
      <c r="S970" s="24"/>
      <c r="T970" s="24"/>
    </row>
    <row r="971" spans="1:20">
      <c r="A971" s="18" t="s">
        <v>1228</v>
      </c>
      <c r="B971" s="18" t="str">
        <f>VLOOKUP(A971,'[6]Fin vs NFin'!$A$4:$B$568,2,FALSE)</f>
        <v>!SG-PPR Prov. Matemáticas</v>
      </c>
      <c r="C971" s="18" t="s">
        <v>1232</v>
      </c>
      <c r="D971" s="18" t="s">
        <v>1135</v>
      </c>
      <c r="E971" s="18" t="str">
        <f>VLOOKUP(D971,[6]Arvore!$N$8:$Q$6855,4,FALSE)</f>
        <v/>
      </c>
      <c r="F971" s="19">
        <v>2074.84</v>
      </c>
      <c r="G971" s="19">
        <v>0</v>
      </c>
      <c r="H971" s="20">
        <v>2074.84</v>
      </c>
      <c r="I971" s="120"/>
      <c r="J971" s="117"/>
      <c r="K971" s="21"/>
      <c r="L971" s="22" t="s">
        <v>1136</v>
      </c>
      <c r="M971" s="23">
        <f t="shared" si="19"/>
        <v>2074.84</v>
      </c>
      <c r="N971" s="2"/>
      <c r="O971" s="19" t="str">
        <f>VLOOKUP(QUERY_FOR_TRNSTRANSPOSED_0008!A971,'[6]Fin vs NFin'!$A$4:$F$568,6,FALSE)</f>
        <v>Não Financeiras</v>
      </c>
      <c r="P971" s="24" t="str">
        <f t="shared" si="20"/>
        <v>SE</v>
      </c>
      <c r="Q971" s="24"/>
      <c r="R971" s="24"/>
      <c r="S971" s="24"/>
      <c r="T971" s="24"/>
    </row>
    <row r="972" spans="1:20">
      <c r="A972" s="18" t="s">
        <v>1228</v>
      </c>
      <c r="B972" s="18" t="str">
        <f>VLOOKUP(A972,'[6]Fin vs NFin'!$A$4:$B$568,2,FALSE)</f>
        <v>!SG-PPR Prov. Matemáticas</v>
      </c>
      <c r="C972" s="18" t="s">
        <v>1233</v>
      </c>
      <c r="D972" s="18" t="s">
        <v>1135</v>
      </c>
      <c r="E972" s="18" t="str">
        <f>VLOOKUP(D972,[6]Arvore!$N$8:$Q$6855,4,FALSE)</f>
        <v/>
      </c>
      <c r="F972" s="19">
        <v>833.63</v>
      </c>
      <c r="G972" s="19">
        <v>0</v>
      </c>
      <c r="H972" s="20">
        <v>833.63</v>
      </c>
      <c r="I972" s="120"/>
      <c r="J972" s="117"/>
      <c r="K972" s="21"/>
      <c r="L972" s="22" t="s">
        <v>1136</v>
      </c>
      <c r="M972" s="23">
        <f t="shared" si="19"/>
        <v>833.63</v>
      </c>
      <c r="N972" s="2"/>
      <c r="O972" s="19" t="str">
        <f>VLOOKUP(QUERY_FOR_TRNSTRANSPOSED_0008!A972,'[6]Fin vs NFin'!$A$4:$F$568,6,FALSE)</f>
        <v>Não Financeiras</v>
      </c>
      <c r="P972" s="24" t="str">
        <f t="shared" si="20"/>
        <v>SE</v>
      </c>
      <c r="Q972" s="24"/>
      <c r="R972" s="24"/>
      <c r="S972" s="24"/>
      <c r="T972" s="24"/>
    </row>
    <row r="973" spans="1:20">
      <c r="A973" s="18" t="s">
        <v>1228</v>
      </c>
      <c r="B973" s="18" t="str">
        <f>VLOOKUP(A973,'[6]Fin vs NFin'!$A$4:$B$568,2,FALSE)</f>
        <v>!SG-PPR Prov. Matemáticas</v>
      </c>
      <c r="C973" s="18" t="s">
        <v>1234</v>
      </c>
      <c r="D973" s="18" t="s">
        <v>1135</v>
      </c>
      <c r="E973" s="18" t="str">
        <f>VLOOKUP(D973,[6]Arvore!$N$8:$Q$6855,4,FALSE)</f>
        <v/>
      </c>
      <c r="F973" s="19">
        <v>370.85</v>
      </c>
      <c r="G973" s="19">
        <v>0</v>
      </c>
      <c r="H973" s="20">
        <v>370.85</v>
      </c>
      <c r="I973" s="120"/>
      <c r="J973" s="117"/>
      <c r="K973" s="21"/>
      <c r="L973" s="22" t="s">
        <v>1136</v>
      </c>
      <c r="M973" s="23">
        <f t="shared" si="19"/>
        <v>370.85</v>
      </c>
      <c r="N973" s="2"/>
      <c r="O973" s="19" t="str">
        <f>VLOOKUP(QUERY_FOR_TRNSTRANSPOSED_0008!A973,'[6]Fin vs NFin'!$A$4:$F$568,6,FALSE)</f>
        <v>Não Financeiras</v>
      </c>
      <c r="P973" s="24" t="str">
        <f t="shared" si="20"/>
        <v>SE</v>
      </c>
      <c r="Q973" s="24"/>
      <c r="R973" s="24"/>
      <c r="S973" s="24"/>
      <c r="T973" s="24"/>
    </row>
    <row r="974" spans="1:20">
      <c r="A974" s="18" t="s">
        <v>1228</v>
      </c>
      <c r="B974" s="18" t="str">
        <f>VLOOKUP(A974,'[6]Fin vs NFin'!$A$4:$B$568,2,FALSE)</f>
        <v>!SG-PPR Prov. Matemáticas</v>
      </c>
      <c r="C974" s="18" t="s">
        <v>1235</v>
      </c>
      <c r="D974" s="18" t="s">
        <v>1135</v>
      </c>
      <c r="E974" s="18" t="str">
        <f>VLOOKUP(D974,[6]Arvore!$N$8:$Q$6855,4,FALSE)</f>
        <v/>
      </c>
      <c r="F974" s="19">
        <v>235.6</v>
      </c>
      <c r="G974" s="19">
        <v>0</v>
      </c>
      <c r="H974" s="20">
        <v>235.6</v>
      </c>
      <c r="I974" s="120"/>
      <c r="J974" s="117"/>
      <c r="K974" s="21"/>
      <c r="L974" s="22" t="s">
        <v>1136</v>
      </c>
      <c r="M974" s="23">
        <f t="shared" si="19"/>
        <v>235.6</v>
      </c>
      <c r="N974" s="2"/>
      <c r="O974" s="19" t="str">
        <f>VLOOKUP(QUERY_FOR_TRNSTRANSPOSED_0008!A974,'[6]Fin vs NFin'!$A$4:$F$568,6,FALSE)</f>
        <v>Não Financeiras</v>
      </c>
      <c r="P974" s="24" t="str">
        <f t="shared" si="20"/>
        <v>SE</v>
      </c>
      <c r="Q974" s="24"/>
      <c r="R974" s="24"/>
      <c r="S974" s="24"/>
      <c r="T974" s="24"/>
    </row>
    <row r="975" spans="1:20">
      <c r="A975" s="18" t="s">
        <v>1228</v>
      </c>
      <c r="B975" s="18" t="str">
        <f>VLOOKUP(A975,'[6]Fin vs NFin'!$A$4:$B$568,2,FALSE)</f>
        <v>!SG-PPR Prov. Matemáticas</v>
      </c>
      <c r="C975" s="18" t="s">
        <v>1236</v>
      </c>
      <c r="D975" s="18" t="s">
        <v>1135</v>
      </c>
      <c r="E975" s="18" t="str">
        <f>VLOOKUP(D975,[6]Arvore!$N$8:$Q$6855,4,FALSE)</f>
        <v/>
      </c>
      <c r="F975" s="19">
        <v>216.2</v>
      </c>
      <c r="G975" s="19">
        <v>0</v>
      </c>
      <c r="H975" s="20">
        <v>216.2</v>
      </c>
      <c r="I975" s="120"/>
      <c r="J975" s="117"/>
      <c r="K975" s="21"/>
      <c r="L975" s="22" t="s">
        <v>1136</v>
      </c>
      <c r="M975" s="23">
        <f t="shared" si="19"/>
        <v>216.2</v>
      </c>
      <c r="N975" s="2"/>
      <c r="O975" s="19" t="str">
        <f>VLOOKUP(QUERY_FOR_TRNSTRANSPOSED_0008!A975,'[6]Fin vs NFin'!$A$4:$F$568,6,FALSE)</f>
        <v>Não Financeiras</v>
      </c>
      <c r="P975" s="24" t="str">
        <f t="shared" si="20"/>
        <v>SE</v>
      </c>
      <c r="Q975" s="24"/>
      <c r="R975" s="24"/>
      <c r="S975" s="24"/>
      <c r="T975" s="24"/>
    </row>
    <row r="976" spans="1:20">
      <c r="A976" s="18" t="s">
        <v>1228</v>
      </c>
      <c r="B976" s="18" t="str">
        <f>VLOOKUP(A976,'[6]Fin vs NFin'!$A$4:$B$568,2,FALSE)</f>
        <v>!SG-PPR Prov. Matemáticas</v>
      </c>
      <c r="C976" s="18" t="s">
        <v>1237</v>
      </c>
      <c r="D976" s="18" t="s">
        <v>1135</v>
      </c>
      <c r="E976" s="18" t="str">
        <f>VLOOKUP(D976,[6]Arvore!$N$8:$Q$6855,4,FALSE)</f>
        <v/>
      </c>
      <c r="F976" s="19">
        <v>7.68</v>
      </c>
      <c r="G976" s="19">
        <v>0</v>
      </c>
      <c r="H976" s="20">
        <v>7.68</v>
      </c>
      <c r="I976" s="120"/>
      <c r="J976" s="117"/>
      <c r="K976" s="21"/>
      <c r="L976" s="22" t="s">
        <v>1136</v>
      </c>
      <c r="M976" s="23">
        <f t="shared" si="19"/>
        <v>7.68</v>
      </c>
      <c r="N976" s="2"/>
      <c r="O976" s="19" t="str">
        <f>VLOOKUP(QUERY_FOR_TRNSTRANSPOSED_0008!A976,'[6]Fin vs NFin'!$A$4:$F$568,6,FALSE)</f>
        <v>Não Financeiras</v>
      </c>
      <c r="P976" s="24" t="str">
        <f t="shared" si="20"/>
        <v>SE</v>
      </c>
      <c r="Q976" s="24"/>
      <c r="R976" s="24"/>
      <c r="S976" s="24"/>
      <c r="T976" s="24"/>
    </row>
    <row r="977" spans="1:20">
      <c r="A977" s="18" t="s">
        <v>1228</v>
      </c>
      <c r="B977" s="18" t="str">
        <f>VLOOKUP(A977,'[6]Fin vs NFin'!$A$4:$B$568,2,FALSE)</f>
        <v>!SG-PPR Prov. Matemáticas</v>
      </c>
      <c r="C977" s="18" t="s">
        <v>1238</v>
      </c>
      <c r="D977" s="18" t="s">
        <v>1135</v>
      </c>
      <c r="E977" s="18" t="str">
        <f>VLOOKUP(D977,[6]Arvore!$N$8:$Q$6855,4,FALSE)</f>
        <v/>
      </c>
      <c r="F977" s="19">
        <v>68.239999999999995</v>
      </c>
      <c r="G977" s="19">
        <v>0</v>
      </c>
      <c r="H977" s="20">
        <v>68.239999999999995</v>
      </c>
      <c r="I977" s="120"/>
      <c r="J977" s="117"/>
      <c r="K977" s="21"/>
      <c r="L977" s="22" t="s">
        <v>1136</v>
      </c>
      <c r="M977" s="23">
        <f t="shared" si="19"/>
        <v>68.239999999999995</v>
      </c>
      <c r="N977" s="2"/>
      <c r="O977" s="19" t="str">
        <f>VLOOKUP(QUERY_FOR_TRNSTRANSPOSED_0008!A977,'[6]Fin vs NFin'!$A$4:$F$568,6,FALSE)</f>
        <v>Não Financeiras</v>
      </c>
      <c r="P977" s="24" t="str">
        <f t="shared" si="20"/>
        <v>SE</v>
      </c>
      <c r="Q977" s="24"/>
      <c r="R977" s="24"/>
      <c r="S977" s="24"/>
      <c r="T977" s="24"/>
    </row>
    <row r="978" spans="1:20">
      <c r="A978" s="18" t="s">
        <v>1228</v>
      </c>
      <c r="B978" s="18" t="str">
        <f>VLOOKUP(A978,'[6]Fin vs NFin'!$A$4:$B$568,2,FALSE)</f>
        <v>!SG-PPR Prov. Matemáticas</v>
      </c>
      <c r="C978" s="18" t="s">
        <v>1239</v>
      </c>
      <c r="D978" s="18" t="s">
        <v>1135</v>
      </c>
      <c r="E978" s="18" t="str">
        <f>VLOOKUP(D978,[6]Arvore!$N$8:$Q$6855,4,FALSE)</f>
        <v/>
      </c>
      <c r="F978" s="19">
        <v>17.28</v>
      </c>
      <c r="G978" s="19">
        <v>0</v>
      </c>
      <c r="H978" s="20">
        <v>17.28</v>
      </c>
      <c r="I978" s="120"/>
      <c r="J978" s="117"/>
      <c r="K978" s="21"/>
      <c r="L978" s="22" t="s">
        <v>1136</v>
      </c>
      <c r="M978" s="23">
        <f t="shared" si="19"/>
        <v>17.28</v>
      </c>
      <c r="N978" s="2"/>
      <c r="O978" s="19" t="str">
        <f>VLOOKUP(QUERY_FOR_TRNSTRANSPOSED_0008!A978,'[6]Fin vs NFin'!$A$4:$F$568,6,FALSE)</f>
        <v>Não Financeiras</v>
      </c>
      <c r="P978" s="24" t="str">
        <f t="shared" si="20"/>
        <v>SE</v>
      </c>
      <c r="Q978" s="24"/>
      <c r="R978" s="24"/>
      <c r="S978" s="24"/>
      <c r="T978" s="24"/>
    </row>
    <row r="979" spans="1:20">
      <c r="A979" s="18" t="s">
        <v>1228</v>
      </c>
      <c r="B979" s="18" t="str">
        <f>VLOOKUP(A979,'[6]Fin vs NFin'!$A$4:$B$568,2,FALSE)</f>
        <v>!SG-PPR Prov. Matemáticas</v>
      </c>
      <c r="C979" s="18" t="s">
        <v>1240</v>
      </c>
      <c r="D979" s="18" t="s">
        <v>1135</v>
      </c>
      <c r="E979" s="18" t="str">
        <f>VLOOKUP(D979,[6]Arvore!$N$8:$Q$6855,4,FALSE)</f>
        <v/>
      </c>
      <c r="F979" s="19">
        <v>58.12</v>
      </c>
      <c r="G979" s="19">
        <v>0</v>
      </c>
      <c r="H979" s="20">
        <v>58.12</v>
      </c>
      <c r="I979" s="120"/>
      <c r="J979" s="117"/>
      <c r="K979" s="21"/>
      <c r="L979" s="22" t="s">
        <v>1136</v>
      </c>
      <c r="M979" s="23">
        <f t="shared" si="19"/>
        <v>58.12</v>
      </c>
      <c r="N979" s="2"/>
      <c r="O979" s="19" t="str">
        <f>VLOOKUP(QUERY_FOR_TRNSTRANSPOSED_0008!A979,'[6]Fin vs NFin'!$A$4:$F$568,6,FALSE)</f>
        <v>Não Financeiras</v>
      </c>
      <c r="P979" s="24" t="str">
        <f t="shared" si="20"/>
        <v>SE</v>
      </c>
      <c r="Q979" s="24"/>
      <c r="R979" s="24"/>
      <c r="S979" s="24"/>
      <c r="T979" s="24"/>
    </row>
    <row r="980" spans="1:20">
      <c r="A980" s="18" t="s">
        <v>1228</v>
      </c>
      <c r="B980" s="18" t="str">
        <f>VLOOKUP(A980,'[6]Fin vs NFin'!$A$4:$B$568,2,FALSE)</f>
        <v>!SG-PPR Prov. Matemáticas</v>
      </c>
      <c r="C980" s="18" t="s">
        <v>1241</v>
      </c>
      <c r="D980" s="18" t="s">
        <v>1135</v>
      </c>
      <c r="E980" s="18" t="str">
        <f>VLOOKUP(D980,[6]Arvore!$N$8:$Q$6855,4,FALSE)</f>
        <v/>
      </c>
      <c r="F980" s="19">
        <v>7.68</v>
      </c>
      <c r="G980" s="19">
        <v>0</v>
      </c>
      <c r="H980" s="20">
        <v>7.68</v>
      </c>
      <c r="I980" s="120"/>
      <c r="J980" s="117"/>
      <c r="K980" s="21"/>
      <c r="L980" s="22" t="s">
        <v>1136</v>
      </c>
      <c r="M980" s="23">
        <f t="shared" si="19"/>
        <v>7.68</v>
      </c>
      <c r="N980" s="2"/>
      <c r="O980" s="19" t="str">
        <f>VLOOKUP(QUERY_FOR_TRNSTRANSPOSED_0008!A980,'[6]Fin vs NFin'!$A$4:$F$568,6,FALSE)</f>
        <v>Não Financeiras</v>
      </c>
      <c r="P980" s="24" t="str">
        <f t="shared" si="20"/>
        <v>SE</v>
      </c>
      <c r="Q980" s="24"/>
      <c r="R980" s="24"/>
      <c r="S980" s="24"/>
      <c r="T980" s="24"/>
    </row>
    <row r="981" spans="1:20">
      <c r="A981" s="18" t="s">
        <v>1228</v>
      </c>
      <c r="B981" s="18" t="str">
        <f>VLOOKUP(A981,'[6]Fin vs NFin'!$A$4:$B$568,2,FALSE)</f>
        <v>!SG-PPR Prov. Matemáticas</v>
      </c>
      <c r="C981" s="18" t="s">
        <v>1242</v>
      </c>
      <c r="D981" s="18" t="s">
        <v>1135</v>
      </c>
      <c r="E981" s="18" t="str">
        <f>VLOOKUP(D981,[6]Arvore!$N$8:$Q$6855,4,FALSE)</f>
        <v/>
      </c>
      <c r="F981" s="19">
        <v>281.10000000000002</v>
      </c>
      <c r="G981" s="19">
        <v>0</v>
      </c>
      <c r="H981" s="20">
        <v>281.10000000000002</v>
      </c>
      <c r="I981" s="120"/>
      <c r="J981" s="117"/>
      <c r="K981" s="21"/>
      <c r="L981" s="22" t="s">
        <v>1136</v>
      </c>
      <c r="M981" s="23">
        <f t="shared" si="19"/>
        <v>281.10000000000002</v>
      </c>
      <c r="N981" s="2"/>
      <c r="O981" s="19" t="str">
        <f>VLOOKUP(QUERY_FOR_TRNSTRANSPOSED_0008!A981,'[6]Fin vs NFin'!$A$4:$F$568,6,FALSE)</f>
        <v>Não Financeiras</v>
      </c>
      <c r="P981" s="24" t="str">
        <f t="shared" si="20"/>
        <v>SE</v>
      </c>
      <c r="Q981" s="24"/>
      <c r="R981" s="24"/>
      <c r="S981" s="24"/>
      <c r="T981" s="24"/>
    </row>
    <row r="982" spans="1:20">
      <c r="A982" s="18" t="s">
        <v>1228</v>
      </c>
      <c r="B982" s="18" t="str">
        <f>VLOOKUP(A982,'[6]Fin vs NFin'!$A$4:$B$568,2,FALSE)</f>
        <v>!SG-PPR Prov. Matemáticas</v>
      </c>
      <c r="C982" s="18" t="s">
        <v>1243</v>
      </c>
      <c r="D982" s="18" t="s">
        <v>1135</v>
      </c>
      <c r="E982" s="18" t="str">
        <f>VLOOKUP(D982,[6]Arvore!$N$8:$Q$6855,4,FALSE)</f>
        <v/>
      </c>
      <c r="F982" s="19">
        <v>218.01</v>
      </c>
      <c r="G982" s="19">
        <v>0</v>
      </c>
      <c r="H982" s="20">
        <v>218.01</v>
      </c>
      <c r="I982" s="120"/>
      <c r="J982" s="117"/>
      <c r="K982" s="21"/>
      <c r="L982" s="22" t="s">
        <v>1136</v>
      </c>
      <c r="M982" s="23">
        <f t="shared" si="19"/>
        <v>218.01</v>
      </c>
      <c r="N982" s="2"/>
      <c r="O982" s="19" t="str">
        <f>VLOOKUP(QUERY_FOR_TRNSTRANSPOSED_0008!A982,'[6]Fin vs NFin'!$A$4:$F$568,6,FALSE)</f>
        <v>Não Financeiras</v>
      </c>
      <c r="P982" s="24" t="str">
        <f t="shared" si="20"/>
        <v>SE</v>
      </c>
      <c r="Q982" s="24"/>
      <c r="R982" s="24"/>
      <c r="S982" s="24"/>
      <c r="T982" s="24"/>
    </row>
    <row r="983" spans="1:20">
      <c r="A983" s="18" t="s">
        <v>1228</v>
      </c>
      <c r="B983" s="18" t="str">
        <f>VLOOKUP(A983,'[6]Fin vs NFin'!$A$4:$B$568,2,FALSE)</f>
        <v>!SG-PPR Prov. Matemáticas</v>
      </c>
      <c r="C983" s="18" t="s">
        <v>1244</v>
      </c>
      <c r="D983" s="18" t="s">
        <v>1135</v>
      </c>
      <c r="E983" s="18" t="str">
        <f>VLOOKUP(D983,[6]Arvore!$N$8:$Q$6855,4,FALSE)</f>
        <v/>
      </c>
      <c r="F983" s="19">
        <v>180.48</v>
      </c>
      <c r="G983" s="19">
        <v>0</v>
      </c>
      <c r="H983" s="20">
        <v>180.48</v>
      </c>
      <c r="I983" s="120"/>
      <c r="J983" s="117"/>
      <c r="K983" s="21"/>
      <c r="L983" s="22" t="s">
        <v>1136</v>
      </c>
      <c r="M983" s="23">
        <f t="shared" si="19"/>
        <v>180.48</v>
      </c>
      <c r="N983" s="2"/>
      <c r="O983" s="19" t="str">
        <f>VLOOKUP(QUERY_FOR_TRNSTRANSPOSED_0008!A983,'[6]Fin vs NFin'!$A$4:$F$568,6,FALSE)</f>
        <v>Não Financeiras</v>
      </c>
      <c r="P983" s="24" t="str">
        <f t="shared" si="20"/>
        <v>SE</v>
      </c>
      <c r="Q983" s="24"/>
      <c r="R983" s="24"/>
      <c r="S983" s="24"/>
      <c r="T983" s="24"/>
    </row>
    <row r="984" spans="1:20">
      <c r="A984" s="18" t="s">
        <v>1228</v>
      </c>
      <c r="B984" s="18" t="str">
        <f>VLOOKUP(A984,'[6]Fin vs NFin'!$A$4:$B$568,2,FALSE)</f>
        <v>!SG-PPR Prov. Matemáticas</v>
      </c>
      <c r="C984" s="18" t="s">
        <v>1245</v>
      </c>
      <c r="D984" s="18" t="s">
        <v>1135</v>
      </c>
      <c r="E984" s="18" t="str">
        <f>VLOOKUP(D984,[6]Arvore!$N$8:$Q$6855,4,FALSE)</f>
        <v/>
      </c>
      <c r="F984" s="19">
        <v>9.99</v>
      </c>
      <c r="G984" s="19">
        <v>0</v>
      </c>
      <c r="H984" s="20">
        <v>9.99</v>
      </c>
      <c r="I984" s="120"/>
      <c r="J984" s="117"/>
      <c r="K984" s="21"/>
      <c r="L984" s="22" t="s">
        <v>1136</v>
      </c>
      <c r="M984" s="23">
        <f t="shared" si="19"/>
        <v>9.99</v>
      </c>
      <c r="N984" s="2"/>
      <c r="O984" s="19" t="str">
        <f>VLOOKUP(QUERY_FOR_TRNSTRANSPOSED_0008!A984,'[6]Fin vs NFin'!$A$4:$F$568,6,FALSE)</f>
        <v>Não Financeiras</v>
      </c>
      <c r="P984" s="24" t="str">
        <f t="shared" si="20"/>
        <v>SE</v>
      </c>
      <c r="Q984" s="24"/>
      <c r="R984" s="24"/>
      <c r="S984" s="24"/>
      <c r="T984" s="24"/>
    </row>
    <row r="985" spans="1:20">
      <c r="A985" s="18" t="s">
        <v>1228</v>
      </c>
      <c r="B985" s="18" t="str">
        <f>VLOOKUP(A985,'[6]Fin vs NFin'!$A$4:$B$568,2,FALSE)</f>
        <v>!SG-PPR Prov. Matemáticas</v>
      </c>
      <c r="C985" s="18" t="s">
        <v>1246</v>
      </c>
      <c r="D985" s="18" t="s">
        <v>1135</v>
      </c>
      <c r="E985" s="18" t="str">
        <f>VLOOKUP(D985,[6]Arvore!$N$8:$Q$6855,4,FALSE)</f>
        <v/>
      </c>
      <c r="F985" s="19">
        <v>74.08</v>
      </c>
      <c r="G985" s="19">
        <v>0</v>
      </c>
      <c r="H985" s="20">
        <v>74.08</v>
      </c>
      <c r="I985" s="120"/>
      <c r="J985" s="117"/>
      <c r="K985" s="21"/>
      <c r="L985" s="22" t="s">
        <v>1136</v>
      </c>
      <c r="M985" s="23">
        <f t="shared" si="19"/>
        <v>74.08</v>
      </c>
      <c r="N985" s="2"/>
      <c r="O985" s="19" t="str">
        <f>VLOOKUP(QUERY_FOR_TRNSTRANSPOSED_0008!A985,'[6]Fin vs NFin'!$A$4:$F$568,6,FALSE)</f>
        <v>Não Financeiras</v>
      </c>
      <c r="P985" s="24" t="str">
        <f t="shared" si="20"/>
        <v>SE</v>
      </c>
      <c r="Q985" s="24"/>
      <c r="R985" s="24"/>
      <c r="S985" s="24"/>
      <c r="T985" s="24"/>
    </row>
    <row r="986" spans="1:20" ht="15" thickBot="1">
      <c r="A986" s="18" t="s">
        <v>1228</v>
      </c>
      <c r="B986" s="18" t="str">
        <f>VLOOKUP(A986,'[6]Fin vs NFin'!$A$4:$B$568,2,FALSE)</f>
        <v>!SG-PPR Prov. Matemáticas</v>
      </c>
      <c r="C986" s="18" t="s">
        <v>1247</v>
      </c>
      <c r="D986" s="18" t="s">
        <v>1135</v>
      </c>
      <c r="E986" s="18" t="str">
        <f>VLOOKUP(D986,[6]Arvore!$N$8:$Q$6855,4,FALSE)</f>
        <v/>
      </c>
      <c r="F986" s="19">
        <v>32.299999999999997</v>
      </c>
      <c r="G986" s="19">
        <v>0</v>
      </c>
      <c r="H986" s="20">
        <v>32.299999999999997</v>
      </c>
      <c r="I986" s="120"/>
      <c r="J986" s="111"/>
      <c r="K986" s="21"/>
      <c r="L986" s="22" t="s">
        <v>1136</v>
      </c>
      <c r="M986" s="23">
        <f t="shared" si="19"/>
        <v>32.299999999999997</v>
      </c>
      <c r="N986" s="2"/>
      <c r="O986" s="19" t="str">
        <f>VLOOKUP(QUERY_FOR_TRNSTRANSPOSED_0008!A986,'[6]Fin vs NFin'!$A$4:$F$568,6,FALSE)</f>
        <v>Não Financeiras</v>
      </c>
      <c r="P986" s="24" t="str">
        <f t="shared" si="20"/>
        <v>SE</v>
      </c>
      <c r="Q986" s="24"/>
      <c r="R986" s="24"/>
      <c r="S986" s="24"/>
      <c r="T986" s="24"/>
    </row>
    <row r="987" spans="1:20">
      <c r="A987" s="38" t="s">
        <v>1248</v>
      </c>
      <c r="B987" s="38" t="str">
        <f>VLOOKUP(A987,'[6]Fin vs NFin'!$A$4:$B$568,2,FALSE)</f>
        <v>!SG-PPR Resgates</v>
      </c>
      <c r="C987" s="38" t="s">
        <v>1249</v>
      </c>
      <c r="D987" s="38" t="s">
        <v>1250</v>
      </c>
      <c r="E987" s="38" t="str">
        <f>VLOOKUP(D987,[6]Arvore!$N$8:$Q$6855,4,FALSE)</f>
        <v>51582</v>
      </c>
      <c r="F987" s="39">
        <v>5809.39</v>
      </c>
      <c r="G987" s="39">
        <v>5827.23</v>
      </c>
      <c r="H987" s="40">
        <v>-17.840000000000099</v>
      </c>
      <c r="I987" s="115">
        <v>-4.8032688937382797E-12</v>
      </c>
      <c r="J987" s="110">
        <f>I875+I876+I877+I968+I987</f>
        <v>2.0433787994988961E-9</v>
      </c>
      <c r="K987" s="21"/>
      <c r="L987" s="41"/>
      <c r="M987" s="42"/>
      <c r="O987" s="39" t="str">
        <f>VLOOKUP(QUERY_FOR_TRNSTRANSPOSED_0008!A987,'[6]Fin vs NFin'!$A$4:$F$568,6,FALSE)</f>
        <v>Não Financeiras</v>
      </c>
      <c r="P987" s="43" t="str">
        <f t="shared" si="20"/>
        <v>82</v>
      </c>
      <c r="Q987" s="43"/>
      <c r="R987" s="43"/>
      <c r="S987" s="43"/>
      <c r="T987" s="43"/>
    </row>
    <row r="988" spans="1:20">
      <c r="A988" s="18" t="s">
        <v>1248</v>
      </c>
      <c r="B988" s="18" t="str">
        <f>VLOOKUP(A988,'[6]Fin vs NFin'!$A$4:$B$568,2,FALSE)</f>
        <v>!SG-PPR Resgates</v>
      </c>
      <c r="C988" s="18" t="s">
        <v>1102</v>
      </c>
      <c r="D988" s="18" t="s">
        <v>1250</v>
      </c>
      <c r="E988" s="18" t="str">
        <f>VLOOKUP(D988,[6]Arvore!$N$8:$Q$6855,4,FALSE)</f>
        <v>51582</v>
      </c>
      <c r="F988" s="19">
        <v>243527.87</v>
      </c>
      <c r="G988" s="19">
        <v>243529.5</v>
      </c>
      <c r="H988" s="20">
        <v>-1.6300000000046599</v>
      </c>
      <c r="I988" s="116"/>
      <c r="J988" s="117"/>
      <c r="K988" s="21"/>
      <c r="L988" s="22"/>
      <c r="M988" s="23"/>
      <c r="O988" s="19" t="str">
        <f>VLOOKUP(QUERY_FOR_TRNSTRANSPOSED_0008!A988,'[6]Fin vs NFin'!$A$4:$F$568,6,FALSE)</f>
        <v>Não Financeiras</v>
      </c>
      <c r="P988" s="24" t="str">
        <f t="shared" si="20"/>
        <v>82</v>
      </c>
      <c r="Q988" s="24"/>
      <c r="R988" s="24"/>
      <c r="S988" s="24"/>
      <c r="T988" s="24"/>
    </row>
    <row r="989" spans="1:20" ht="15" thickBot="1">
      <c r="A989" s="18" t="s">
        <v>1248</v>
      </c>
      <c r="B989" s="18" t="str">
        <f>VLOOKUP(A989,'[6]Fin vs NFin'!$A$4:$B$568,2,FALSE)</f>
        <v>!SG-PPR Resgates</v>
      </c>
      <c r="C989" s="18" t="s">
        <v>1251</v>
      </c>
      <c r="D989" s="18" t="s">
        <v>1250</v>
      </c>
      <c r="E989" s="18" t="str">
        <f>VLOOKUP(D989,[6]Arvore!$N$8:$Q$6855,4,FALSE)</f>
        <v>51582</v>
      </c>
      <c r="F989" s="19" t="s">
        <v>84</v>
      </c>
      <c r="G989" s="19">
        <v>-19.47</v>
      </c>
      <c r="H989" s="20">
        <v>19.47</v>
      </c>
      <c r="I989" s="116"/>
      <c r="J989" s="111"/>
      <c r="K989" s="21"/>
      <c r="L989" s="22"/>
      <c r="M989" s="23"/>
      <c r="O989" s="19" t="str">
        <f>VLOOKUP(QUERY_FOR_TRNSTRANSPOSED_0008!A989,'[6]Fin vs NFin'!$A$4:$F$568,6,FALSE)</f>
        <v>Não Financeiras</v>
      </c>
      <c r="P989" s="24" t="str">
        <f t="shared" si="20"/>
        <v>82</v>
      </c>
      <c r="Q989" s="24"/>
      <c r="R989" s="24"/>
      <c r="S989" s="24"/>
      <c r="T989" s="24"/>
    </row>
    <row r="990" spans="1:20">
      <c r="A990" s="38" t="s">
        <v>1252</v>
      </c>
      <c r="B990" s="38" t="str">
        <f>VLOOKUP(A990,'[6]Fin vs NFin'!$A$4:$B$568,2,FALSE)</f>
        <v>!SG-Pl.Protecção Vida</v>
      </c>
      <c r="C990" s="38" t="s">
        <v>1253</v>
      </c>
      <c r="D990" s="38" t="s">
        <v>1135</v>
      </c>
      <c r="E990" s="38" t="str">
        <f>VLOOKUP(D990,[6]Arvore!$N$8:$Q$6855,4,FALSE)</f>
        <v/>
      </c>
      <c r="F990" s="39">
        <v>80.400000000000006</v>
      </c>
      <c r="G990" s="39">
        <v>0</v>
      </c>
      <c r="H990" s="40">
        <v>80.400000000000006</v>
      </c>
      <c r="I990" s="115">
        <f>SUM(H990:H1015)</f>
        <v>9650477.4999999981</v>
      </c>
      <c r="J990" s="110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990" s="21"/>
      <c r="L990" s="41" t="s">
        <v>1136</v>
      </c>
      <c r="M990" s="42">
        <f t="shared" ref="M990:M1053" si="21">H990</f>
        <v>80.400000000000006</v>
      </c>
      <c r="N990" s="2"/>
      <c r="O990" s="39" t="str">
        <f>VLOOKUP(QUERY_FOR_TRNSTRANSPOSED_0008!A990,'[6]Fin vs NFin'!$A$4:$F$568,6,FALSE)</f>
        <v>Não Financeiras</v>
      </c>
      <c r="P990" s="43" t="str">
        <f t="shared" si="20"/>
        <v>SE</v>
      </c>
      <c r="Q990" s="43"/>
      <c r="R990" s="43"/>
      <c r="S990" s="43"/>
      <c r="T990" s="43"/>
    </row>
    <row r="991" spans="1:20">
      <c r="A991" s="18" t="s">
        <v>1252</v>
      </c>
      <c r="B991" s="18" t="str">
        <f>VLOOKUP(A991,'[6]Fin vs NFin'!$A$4:$B$568,2,FALSE)</f>
        <v>!SG-Pl.Protecção Vida</v>
      </c>
      <c r="C991" s="18" t="s">
        <v>1254</v>
      </c>
      <c r="D991" s="18" t="s">
        <v>1135</v>
      </c>
      <c r="E991" s="18" t="str">
        <f>VLOOKUP(D991,[6]Arvore!$N$8:$Q$6855,4,FALSE)</f>
        <v/>
      </c>
      <c r="F991" s="19">
        <v>87.74</v>
      </c>
      <c r="G991" s="19">
        <v>0</v>
      </c>
      <c r="H991" s="20">
        <v>87.74</v>
      </c>
      <c r="I991" s="116"/>
      <c r="J991" s="117"/>
      <c r="K991" s="21"/>
      <c r="L991" s="22" t="s">
        <v>1136</v>
      </c>
      <c r="M991" s="23">
        <f t="shared" si="21"/>
        <v>87.74</v>
      </c>
      <c r="N991" s="2"/>
      <c r="O991" s="19" t="str">
        <f>VLOOKUP(QUERY_FOR_TRNSTRANSPOSED_0008!A991,'[6]Fin vs NFin'!$A$4:$F$568,6,FALSE)</f>
        <v>Não Financeiras</v>
      </c>
      <c r="P991" s="24" t="str">
        <f t="shared" si="20"/>
        <v>SE</v>
      </c>
      <c r="Q991" s="24"/>
      <c r="R991" s="24"/>
      <c r="S991" s="24"/>
      <c r="T991" s="24"/>
    </row>
    <row r="992" spans="1:20">
      <c r="A992" s="18" t="s">
        <v>1252</v>
      </c>
      <c r="B992" s="18" t="str">
        <f>VLOOKUP(A992,'[6]Fin vs NFin'!$A$4:$B$568,2,FALSE)</f>
        <v>!SG-Pl.Protecção Vida</v>
      </c>
      <c r="C992" s="18" t="s">
        <v>1255</v>
      </c>
      <c r="D992" s="18" t="s">
        <v>1135</v>
      </c>
      <c r="E992" s="18" t="str">
        <f>VLOOKUP(D992,[6]Arvore!$N$8:$Q$6855,4,FALSE)</f>
        <v/>
      </c>
      <c r="F992" s="19">
        <v>1101.71</v>
      </c>
      <c r="G992" s="19">
        <v>0</v>
      </c>
      <c r="H992" s="20">
        <v>1101.71</v>
      </c>
      <c r="I992" s="116"/>
      <c r="J992" s="117"/>
      <c r="K992" s="21"/>
      <c r="L992" s="22" t="s">
        <v>1136</v>
      </c>
      <c r="M992" s="23">
        <f t="shared" si="21"/>
        <v>1101.71</v>
      </c>
      <c r="N992" s="2"/>
      <c r="O992" s="19" t="str">
        <f>VLOOKUP(QUERY_FOR_TRNSTRANSPOSED_0008!A992,'[6]Fin vs NFin'!$A$4:$F$568,6,FALSE)</f>
        <v>Não Financeiras</v>
      </c>
      <c r="P992" s="24" t="str">
        <f t="shared" si="20"/>
        <v>SE</v>
      </c>
      <c r="Q992" s="24"/>
      <c r="R992" s="24"/>
      <c r="S992" s="24"/>
      <c r="T992" s="24"/>
    </row>
    <row r="993" spans="1:20">
      <c r="A993" s="18" t="s">
        <v>1252</v>
      </c>
      <c r="B993" s="18" t="str">
        <f>VLOOKUP(A993,'[6]Fin vs NFin'!$A$4:$B$568,2,FALSE)</f>
        <v>!SG-Pl.Protecção Vida</v>
      </c>
      <c r="C993" s="18" t="s">
        <v>1256</v>
      </c>
      <c r="D993" s="18" t="s">
        <v>1135</v>
      </c>
      <c r="E993" s="18" t="str">
        <f>VLOOKUP(D993,[6]Arvore!$N$8:$Q$6855,4,FALSE)</f>
        <v/>
      </c>
      <c r="F993" s="19">
        <v>248.89</v>
      </c>
      <c r="G993" s="19">
        <v>0</v>
      </c>
      <c r="H993" s="20">
        <v>248.89</v>
      </c>
      <c r="I993" s="116"/>
      <c r="J993" s="117"/>
      <c r="K993" s="21"/>
      <c r="L993" s="22" t="s">
        <v>1136</v>
      </c>
      <c r="M993" s="23">
        <f t="shared" si="21"/>
        <v>248.89</v>
      </c>
      <c r="N993" s="2"/>
      <c r="O993" s="19" t="str">
        <f>VLOOKUP(QUERY_FOR_TRNSTRANSPOSED_0008!A993,'[6]Fin vs NFin'!$A$4:$F$568,6,FALSE)</f>
        <v>Não Financeiras</v>
      </c>
      <c r="P993" s="24" t="str">
        <f t="shared" si="20"/>
        <v>SE</v>
      </c>
      <c r="Q993" s="24"/>
      <c r="R993" s="24"/>
      <c r="S993" s="24"/>
      <c r="T993" s="24"/>
    </row>
    <row r="994" spans="1:20">
      <c r="A994" s="18" t="s">
        <v>1252</v>
      </c>
      <c r="B994" s="18" t="str">
        <f>VLOOKUP(A994,'[6]Fin vs NFin'!$A$4:$B$568,2,FALSE)</f>
        <v>!SG-Pl.Protecção Vida</v>
      </c>
      <c r="C994" s="18" t="s">
        <v>1257</v>
      </c>
      <c r="D994" s="18" t="s">
        <v>1135</v>
      </c>
      <c r="E994" s="18" t="str">
        <f>VLOOKUP(D994,[6]Arvore!$N$8:$Q$6855,4,FALSE)</f>
        <v/>
      </c>
      <c r="F994" s="19">
        <v>178.03</v>
      </c>
      <c r="G994" s="19">
        <v>0</v>
      </c>
      <c r="H994" s="20">
        <v>178.03</v>
      </c>
      <c r="I994" s="116"/>
      <c r="J994" s="117"/>
      <c r="K994" s="21"/>
      <c r="L994" s="22" t="s">
        <v>1136</v>
      </c>
      <c r="M994" s="23">
        <f t="shared" si="21"/>
        <v>178.03</v>
      </c>
      <c r="N994" s="2"/>
      <c r="O994" s="19" t="str">
        <f>VLOOKUP(QUERY_FOR_TRNSTRANSPOSED_0008!A994,'[6]Fin vs NFin'!$A$4:$F$568,6,FALSE)</f>
        <v>Não Financeiras</v>
      </c>
      <c r="P994" s="24" t="str">
        <f t="shared" si="20"/>
        <v>SE</v>
      </c>
      <c r="Q994" s="24"/>
      <c r="R994" s="24"/>
      <c r="S994" s="24"/>
      <c r="T994" s="24"/>
    </row>
    <row r="995" spans="1:20">
      <c r="A995" s="18" t="s">
        <v>1252</v>
      </c>
      <c r="B995" s="18" t="str">
        <f>VLOOKUP(A995,'[6]Fin vs NFin'!$A$4:$B$568,2,FALSE)</f>
        <v>!SG-Pl.Protecção Vida</v>
      </c>
      <c r="C995" s="18" t="s">
        <v>1258</v>
      </c>
      <c r="D995" s="18" t="s">
        <v>1135</v>
      </c>
      <c r="E995" s="18" t="str">
        <f>VLOOKUP(D995,[6]Arvore!$N$8:$Q$6855,4,FALSE)</f>
        <v/>
      </c>
      <c r="F995" s="19">
        <v>94161.33</v>
      </c>
      <c r="G995" s="19">
        <v>0</v>
      </c>
      <c r="H995" s="20">
        <v>94161.33</v>
      </c>
      <c r="I995" s="116"/>
      <c r="J995" s="117"/>
      <c r="K995" s="21"/>
      <c r="L995" s="22" t="s">
        <v>1136</v>
      </c>
      <c r="M995" s="23">
        <f t="shared" si="21"/>
        <v>94161.33</v>
      </c>
      <c r="N995" s="2"/>
      <c r="O995" s="19" t="str">
        <f>VLOOKUP(QUERY_FOR_TRNSTRANSPOSED_0008!A995,'[6]Fin vs NFin'!$A$4:$F$568,6,FALSE)</f>
        <v>Não Financeiras</v>
      </c>
      <c r="P995" s="24" t="str">
        <f t="shared" si="20"/>
        <v>SE</v>
      </c>
      <c r="Q995" s="24"/>
      <c r="R995" s="24"/>
      <c r="S995" s="24"/>
      <c r="T995" s="24"/>
    </row>
    <row r="996" spans="1:20">
      <c r="A996" s="18" t="s">
        <v>1252</v>
      </c>
      <c r="B996" s="18" t="str">
        <f>VLOOKUP(A996,'[6]Fin vs NFin'!$A$4:$B$568,2,FALSE)</f>
        <v>!SG-Pl.Protecção Vida</v>
      </c>
      <c r="C996" s="18" t="s">
        <v>157</v>
      </c>
      <c r="D996" s="18" t="s">
        <v>1135</v>
      </c>
      <c r="E996" s="18" t="str">
        <f>VLOOKUP(D996,[6]Arvore!$N$8:$Q$6855,4,FALSE)</f>
        <v/>
      </c>
      <c r="F996" s="19">
        <v>5244.65</v>
      </c>
      <c r="G996" s="19">
        <v>0</v>
      </c>
      <c r="H996" s="20">
        <v>5244.65</v>
      </c>
      <c r="I996" s="116"/>
      <c r="J996" s="117"/>
      <c r="K996" s="21"/>
      <c r="L996" s="22" t="s">
        <v>1136</v>
      </c>
      <c r="M996" s="23">
        <f t="shared" si="21"/>
        <v>5244.65</v>
      </c>
      <c r="N996" s="2"/>
      <c r="O996" s="19" t="str">
        <f>VLOOKUP(QUERY_FOR_TRNSTRANSPOSED_0008!A996,'[6]Fin vs NFin'!$A$4:$F$568,6,FALSE)</f>
        <v>Não Financeiras</v>
      </c>
      <c r="P996" s="24" t="str">
        <f t="shared" si="20"/>
        <v>SE</v>
      </c>
      <c r="Q996" s="24"/>
      <c r="R996" s="24"/>
      <c r="S996" s="24"/>
      <c r="T996" s="24"/>
    </row>
    <row r="997" spans="1:20">
      <c r="A997" s="18" t="s">
        <v>1252</v>
      </c>
      <c r="B997" s="18" t="str">
        <f>VLOOKUP(A997,'[6]Fin vs NFin'!$A$4:$B$568,2,FALSE)</f>
        <v>!SG-Pl.Protecção Vida</v>
      </c>
      <c r="C997" s="18" t="s">
        <v>1259</v>
      </c>
      <c r="D997" s="18" t="s">
        <v>1135</v>
      </c>
      <c r="E997" s="18" t="str">
        <f>VLOOKUP(D997,[6]Arvore!$N$8:$Q$6855,4,FALSE)</f>
        <v/>
      </c>
      <c r="F997" s="19">
        <v>207696.02</v>
      </c>
      <c r="G997" s="19">
        <v>0</v>
      </c>
      <c r="H997" s="20">
        <v>207696.02</v>
      </c>
      <c r="I997" s="116"/>
      <c r="J997" s="117"/>
      <c r="K997" s="21"/>
      <c r="L997" s="22" t="s">
        <v>1136</v>
      </c>
      <c r="M997" s="23">
        <f t="shared" si="21"/>
        <v>207696.02</v>
      </c>
      <c r="N997" s="2"/>
      <c r="O997" s="19" t="str">
        <f>VLOOKUP(QUERY_FOR_TRNSTRANSPOSED_0008!A997,'[6]Fin vs NFin'!$A$4:$F$568,6,FALSE)</f>
        <v>Não Financeiras</v>
      </c>
      <c r="P997" s="24" t="str">
        <f t="shared" si="20"/>
        <v>SE</v>
      </c>
      <c r="Q997" s="24"/>
      <c r="R997" s="24"/>
      <c r="S997" s="24"/>
      <c r="T997" s="24"/>
    </row>
    <row r="998" spans="1:20">
      <c r="A998" s="18" t="s">
        <v>1252</v>
      </c>
      <c r="B998" s="18" t="str">
        <f>VLOOKUP(A998,'[6]Fin vs NFin'!$A$4:$B$568,2,FALSE)</f>
        <v>!SG-Pl.Protecção Vida</v>
      </c>
      <c r="C998" s="18" t="s">
        <v>1260</v>
      </c>
      <c r="D998" s="18" t="s">
        <v>1135</v>
      </c>
      <c r="E998" s="18" t="str">
        <f>VLOOKUP(D998,[6]Arvore!$N$8:$Q$6855,4,FALSE)</f>
        <v/>
      </c>
      <c r="F998" s="19">
        <v>4454.72</v>
      </c>
      <c r="G998" s="19">
        <v>0</v>
      </c>
      <c r="H998" s="20">
        <v>4454.72</v>
      </c>
      <c r="I998" s="116"/>
      <c r="J998" s="117"/>
      <c r="K998" s="21"/>
      <c r="L998" s="22" t="s">
        <v>1136</v>
      </c>
      <c r="M998" s="23">
        <f t="shared" si="21"/>
        <v>4454.72</v>
      </c>
      <c r="N998" s="2"/>
      <c r="O998" s="19" t="str">
        <f>VLOOKUP(QUERY_FOR_TRNSTRANSPOSED_0008!A998,'[6]Fin vs NFin'!$A$4:$F$568,6,FALSE)</f>
        <v>Não Financeiras</v>
      </c>
      <c r="P998" s="24" t="str">
        <f t="shared" si="20"/>
        <v>SE</v>
      </c>
      <c r="Q998" s="24"/>
      <c r="R998" s="24"/>
      <c r="S998" s="24"/>
      <c r="T998" s="24"/>
    </row>
    <row r="999" spans="1:20">
      <c r="A999" s="18" t="s">
        <v>1252</v>
      </c>
      <c r="B999" s="18" t="str">
        <f>VLOOKUP(A999,'[6]Fin vs NFin'!$A$4:$B$568,2,FALSE)</f>
        <v>!SG-Pl.Protecção Vida</v>
      </c>
      <c r="C999" s="18" t="s">
        <v>1261</v>
      </c>
      <c r="D999" s="18" t="s">
        <v>1135</v>
      </c>
      <c r="E999" s="18" t="str">
        <f>VLOOKUP(D999,[6]Arvore!$N$8:$Q$6855,4,FALSE)</f>
        <v/>
      </c>
      <c r="F999" s="19">
        <v>119691.5</v>
      </c>
      <c r="G999" s="19">
        <v>0</v>
      </c>
      <c r="H999" s="20">
        <v>119691.5</v>
      </c>
      <c r="I999" s="116"/>
      <c r="J999" s="117"/>
      <c r="K999" s="21"/>
      <c r="L999" s="22" t="s">
        <v>1136</v>
      </c>
      <c r="M999" s="23">
        <f t="shared" si="21"/>
        <v>119691.5</v>
      </c>
      <c r="N999" s="2"/>
      <c r="O999" s="19" t="str">
        <f>VLOOKUP(QUERY_FOR_TRNSTRANSPOSED_0008!A999,'[6]Fin vs NFin'!$A$4:$F$568,6,FALSE)</f>
        <v>Não Financeiras</v>
      </c>
      <c r="P999" s="24" t="str">
        <f t="shared" si="20"/>
        <v>SE</v>
      </c>
      <c r="Q999" s="24"/>
      <c r="R999" s="24"/>
      <c r="S999" s="24"/>
      <c r="T999" s="24"/>
    </row>
    <row r="1000" spans="1:20">
      <c r="A1000" s="18" t="s">
        <v>1252</v>
      </c>
      <c r="B1000" s="18" t="str">
        <f>VLOOKUP(A1000,'[6]Fin vs NFin'!$A$4:$B$568,2,FALSE)</f>
        <v>!SG-Pl.Protecção Vida</v>
      </c>
      <c r="C1000" s="18" t="s">
        <v>1262</v>
      </c>
      <c r="D1000" s="18" t="s">
        <v>1135</v>
      </c>
      <c r="E1000" s="18" t="str">
        <f>VLOOKUP(D1000,[6]Arvore!$N$8:$Q$6855,4,FALSE)</f>
        <v/>
      </c>
      <c r="F1000" s="19">
        <v>6493.33</v>
      </c>
      <c r="G1000" s="19">
        <v>0</v>
      </c>
      <c r="H1000" s="20">
        <v>6493.33</v>
      </c>
      <c r="I1000" s="116"/>
      <c r="J1000" s="117"/>
      <c r="K1000" s="21"/>
      <c r="L1000" s="22" t="s">
        <v>1136</v>
      </c>
      <c r="M1000" s="23">
        <f t="shared" si="21"/>
        <v>6493.33</v>
      </c>
      <c r="N1000" s="2"/>
      <c r="O1000" s="19" t="str">
        <f>VLOOKUP(QUERY_FOR_TRNSTRANSPOSED_0008!A1000,'[6]Fin vs NFin'!$A$4:$F$568,6,FALSE)</f>
        <v>Não Financeiras</v>
      </c>
      <c r="P1000" s="24" t="str">
        <f t="shared" si="20"/>
        <v>SE</v>
      </c>
      <c r="Q1000" s="24"/>
      <c r="R1000" s="24"/>
      <c r="S1000" s="24"/>
      <c r="T1000" s="24"/>
    </row>
    <row r="1001" spans="1:20">
      <c r="A1001" s="18" t="s">
        <v>1252</v>
      </c>
      <c r="B1001" s="18" t="str">
        <f>VLOOKUP(A1001,'[6]Fin vs NFin'!$A$4:$B$568,2,FALSE)</f>
        <v>!SG-Pl.Protecção Vida</v>
      </c>
      <c r="C1001" s="18" t="s">
        <v>1263</v>
      </c>
      <c r="D1001" s="18" t="s">
        <v>1135</v>
      </c>
      <c r="E1001" s="18" t="str">
        <f>VLOOKUP(D1001,[6]Arvore!$N$8:$Q$6855,4,FALSE)</f>
        <v/>
      </c>
      <c r="F1001" s="19">
        <v>317700.68</v>
      </c>
      <c r="G1001" s="19">
        <v>0</v>
      </c>
      <c r="H1001" s="20">
        <v>317700.68</v>
      </c>
      <c r="I1001" s="116"/>
      <c r="J1001" s="117"/>
      <c r="K1001" s="21"/>
      <c r="L1001" s="22" t="s">
        <v>1136</v>
      </c>
      <c r="M1001" s="23">
        <f t="shared" si="21"/>
        <v>317700.68</v>
      </c>
      <c r="N1001" s="2"/>
      <c r="O1001" s="19" t="str">
        <f>VLOOKUP(QUERY_FOR_TRNSTRANSPOSED_0008!A1001,'[6]Fin vs NFin'!$A$4:$F$568,6,FALSE)</f>
        <v>Não Financeiras</v>
      </c>
      <c r="P1001" s="24" t="str">
        <f t="shared" si="20"/>
        <v>SE</v>
      </c>
      <c r="Q1001" s="24"/>
      <c r="R1001" s="24"/>
      <c r="S1001" s="24"/>
      <c r="T1001" s="24"/>
    </row>
    <row r="1002" spans="1:20">
      <c r="A1002" s="18" t="s">
        <v>1252</v>
      </c>
      <c r="B1002" s="18" t="str">
        <f>VLOOKUP(A1002,'[6]Fin vs NFin'!$A$4:$B$568,2,FALSE)</f>
        <v>!SG-Pl.Protecção Vida</v>
      </c>
      <c r="C1002" s="18" t="s">
        <v>1264</v>
      </c>
      <c r="D1002" s="18" t="s">
        <v>1135</v>
      </c>
      <c r="E1002" s="18" t="str">
        <f>VLOOKUP(D1002,[6]Arvore!$N$8:$Q$6855,4,FALSE)</f>
        <v/>
      </c>
      <c r="F1002" s="19">
        <v>9903.98</v>
      </c>
      <c r="G1002" s="19">
        <v>0</v>
      </c>
      <c r="H1002" s="20">
        <v>9903.98</v>
      </c>
      <c r="I1002" s="116"/>
      <c r="J1002" s="117"/>
      <c r="K1002" s="21"/>
      <c r="L1002" s="22" t="s">
        <v>1136</v>
      </c>
      <c r="M1002" s="23">
        <f t="shared" si="21"/>
        <v>9903.98</v>
      </c>
      <c r="N1002" s="2"/>
      <c r="O1002" s="19" t="str">
        <f>VLOOKUP(QUERY_FOR_TRNSTRANSPOSED_0008!A1002,'[6]Fin vs NFin'!$A$4:$F$568,6,FALSE)</f>
        <v>Não Financeiras</v>
      </c>
      <c r="P1002" s="24" t="str">
        <f t="shared" si="20"/>
        <v>SE</v>
      </c>
      <c r="Q1002" s="24"/>
      <c r="R1002" s="24"/>
      <c r="S1002" s="24"/>
      <c r="T1002" s="24"/>
    </row>
    <row r="1003" spans="1:20">
      <c r="A1003" s="18" t="s">
        <v>1252</v>
      </c>
      <c r="B1003" s="18" t="str">
        <f>VLOOKUP(A1003,'[6]Fin vs NFin'!$A$4:$B$568,2,FALSE)</f>
        <v>!SG-Pl.Protecção Vida</v>
      </c>
      <c r="C1003" s="18" t="s">
        <v>1265</v>
      </c>
      <c r="D1003" s="18" t="s">
        <v>1135</v>
      </c>
      <c r="E1003" s="18" t="str">
        <f>VLOOKUP(D1003,[6]Arvore!$N$8:$Q$6855,4,FALSE)</f>
        <v/>
      </c>
      <c r="F1003" s="19">
        <v>929054.65</v>
      </c>
      <c r="G1003" s="19">
        <v>0</v>
      </c>
      <c r="H1003" s="20">
        <v>929054.65</v>
      </c>
      <c r="I1003" s="116"/>
      <c r="J1003" s="117"/>
      <c r="K1003" s="21"/>
      <c r="L1003" s="22" t="s">
        <v>1136</v>
      </c>
      <c r="M1003" s="23">
        <f t="shared" si="21"/>
        <v>929054.65</v>
      </c>
      <c r="N1003" s="2"/>
      <c r="O1003" s="19" t="str">
        <f>VLOOKUP(QUERY_FOR_TRNSTRANSPOSED_0008!A1003,'[6]Fin vs NFin'!$A$4:$F$568,6,FALSE)</f>
        <v>Não Financeiras</v>
      </c>
      <c r="P1003" s="24" t="str">
        <f t="shared" si="20"/>
        <v>SE</v>
      </c>
      <c r="Q1003" s="24"/>
      <c r="R1003" s="24"/>
      <c r="S1003" s="24"/>
      <c r="T1003" s="24"/>
    </row>
    <row r="1004" spans="1:20">
      <c r="A1004" s="18" t="s">
        <v>1252</v>
      </c>
      <c r="B1004" s="18" t="str">
        <f>VLOOKUP(A1004,'[6]Fin vs NFin'!$A$4:$B$568,2,FALSE)</f>
        <v>!SG-Pl.Protecção Vida</v>
      </c>
      <c r="C1004" s="18" t="s">
        <v>1266</v>
      </c>
      <c r="D1004" s="18" t="s">
        <v>1135</v>
      </c>
      <c r="E1004" s="18" t="str">
        <f>VLOOKUP(D1004,[6]Arvore!$N$8:$Q$6855,4,FALSE)</f>
        <v/>
      </c>
      <c r="F1004" s="19">
        <v>20337.84</v>
      </c>
      <c r="G1004" s="19">
        <v>0</v>
      </c>
      <c r="H1004" s="20">
        <v>20337.84</v>
      </c>
      <c r="I1004" s="116"/>
      <c r="J1004" s="117"/>
      <c r="K1004" s="21"/>
      <c r="L1004" s="22" t="s">
        <v>1136</v>
      </c>
      <c r="M1004" s="23">
        <f t="shared" si="21"/>
        <v>20337.84</v>
      </c>
      <c r="N1004" s="2"/>
      <c r="O1004" s="19" t="str">
        <f>VLOOKUP(QUERY_FOR_TRNSTRANSPOSED_0008!A1004,'[6]Fin vs NFin'!$A$4:$F$568,6,FALSE)</f>
        <v>Não Financeiras</v>
      </c>
      <c r="P1004" s="24" t="str">
        <f t="shared" si="20"/>
        <v>SE</v>
      </c>
      <c r="Q1004" s="24"/>
      <c r="R1004" s="24"/>
      <c r="S1004" s="24"/>
      <c r="T1004" s="24"/>
    </row>
    <row r="1005" spans="1:20">
      <c r="A1005" s="18" t="s">
        <v>1252</v>
      </c>
      <c r="B1005" s="18" t="str">
        <f>VLOOKUP(A1005,'[6]Fin vs NFin'!$A$4:$B$568,2,FALSE)</f>
        <v>!SG-Pl.Protecção Vida</v>
      </c>
      <c r="C1005" s="18" t="s">
        <v>1267</v>
      </c>
      <c r="D1005" s="18" t="s">
        <v>1135</v>
      </c>
      <c r="E1005" s="18" t="str">
        <f>VLOOKUP(D1005,[6]Arvore!$N$8:$Q$6855,4,FALSE)</f>
        <v/>
      </c>
      <c r="F1005" s="19">
        <v>2326789.21</v>
      </c>
      <c r="G1005" s="19">
        <v>0</v>
      </c>
      <c r="H1005" s="20">
        <v>2326789.21</v>
      </c>
      <c r="I1005" s="116"/>
      <c r="J1005" s="117"/>
      <c r="K1005" s="21"/>
      <c r="L1005" s="22" t="s">
        <v>1136</v>
      </c>
      <c r="M1005" s="23">
        <f t="shared" si="21"/>
        <v>2326789.21</v>
      </c>
      <c r="N1005" s="2"/>
      <c r="O1005" s="19" t="str">
        <f>VLOOKUP(QUERY_FOR_TRNSTRANSPOSED_0008!A1005,'[6]Fin vs NFin'!$A$4:$F$568,6,FALSE)</f>
        <v>Não Financeiras</v>
      </c>
      <c r="P1005" s="24" t="str">
        <f t="shared" si="20"/>
        <v>SE</v>
      </c>
      <c r="Q1005" s="24"/>
      <c r="R1005" s="24"/>
      <c r="S1005" s="24"/>
      <c r="T1005" s="24"/>
    </row>
    <row r="1006" spans="1:20">
      <c r="A1006" s="18" t="s">
        <v>1252</v>
      </c>
      <c r="B1006" s="18" t="str">
        <f>VLOOKUP(A1006,'[6]Fin vs NFin'!$A$4:$B$568,2,FALSE)</f>
        <v>!SG-Pl.Protecção Vida</v>
      </c>
      <c r="C1006" s="18" t="s">
        <v>1268</v>
      </c>
      <c r="D1006" s="18" t="s">
        <v>1135</v>
      </c>
      <c r="E1006" s="18" t="str">
        <f>VLOOKUP(D1006,[6]Arvore!$N$8:$Q$6855,4,FALSE)</f>
        <v/>
      </c>
      <c r="F1006" s="19">
        <v>27103.279999999999</v>
      </c>
      <c r="G1006" s="19">
        <v>0</v>
      </c>
      <c r="H1006" s="20">
        <v>27103.279999999999</v>
      </c>
      <c r="I1006" s="116"/>
      <c r="J1006" s="117"/>
      <c r="K1006" s="21"/>
      <c r="L1006" s="22" t="s">
        <v>1136</v>
      </c>
      <c r="M1006" s="23">
        <f t="shared" si="21"/>
        <v>27103.279999999999</v>
      </c>
      <c r="N1006" s="2"/>
      <c r="O1006" s="19" t="str">
        <f>VLOOKUP(QUERY_FOR_TRNSTRANSPOSED_0008!A1006,'[6]Fin vs NFin'!$A$4:$F$568,6,FALSE)</f>
        <v>Não Financeiras</v>
      </c>
      <c r="P1006" s="24" t="str">
        <f t="shared" si="20"/>
        <v>SE</v>
      </c>
      <c r="Q1006" s="24"/>
      <c r="R1006" s="24"/>
      <c r="S1006" s="24"/>
      <c r="T1006" s="24"/>
    </row>
    <row r="1007" spans="1:20">
      <c r="A1007" s="18" t="s">
        <v>1252</v>
      </c>
      <c r="B1007" s="18" t="str">
        <f>VLOOKUP(A1007,'[6]Fin vs NFin'!$A$4:$B$568,2,FALSE)</f>
        <v>!SG-Pl.Protecção Vida</v>
      </c>
      <c r="C1007" s="18" t="s">
        <v>1269</v>
      </c>
      <c r="D1007" s="18" t="s">
        <v>1135</v>
      </c>
      <c r="E1007" s="18" t="str">
        <f>VLOOKUP(D1007,[6]Arvore!$N$8:$Q$6855,4,FALSE)</f>
        <v/>
      </c>
      <c r="F1007" s="19">
        <v>98439.13</v>
      </c>
      <c r="G1007" s="19">
        <v>0</v>
      </c>
      <c r="H1007" s="20">
        <v>98439.13</v>
      </c>
      <c r="I1007" s="116"/>
      <c r="J1007" s="117"/>
      <c r="K1007" s="21"/>
      <c r="L1007" s="22" t="s">
        <v>1136</v>
      </c>
      <c r="M1007" s="23">
        <f t="shared" si="21"/>
        <v>98439.13</v>
      </c>
      <c r="N1007" s="2"/>
      <c r="O1007" s="19" t="str">
        <f>VLOOKUP(QUERY_FOR_TRNSTRANSPOSED_0008!A1007,'[6]Fin vs NFin'!$A$4:$F$568,6,FALSE)</f>
        <v>Não Financeiras</v>
      </c>
      <c r="P1007" s="24" t="str">
        <f t="shared" si="20"/>
        <v>SE</v>
      </c>
      <c r="Q1007" s="24"/>
      <c r="R1007" s="24"/>
      <c r="S1007" s="24"/>
      <c r="T1007" s="24"/>
    </row>
    <row r="1008" spans="1:20">
      <c r="A1008" s="18" t="s">
        <v>1252</v>
      </c>
      <c r="B1008" s="18" t="str">
        <f>VLOOKUP(A1008,'[6]Fin vs NFin'!$A$4:$B$568,2,FALSE)</f>
        <v>!SG-Pl.Protecção Vida</v>
      </c>
      <c r="C1008" s="18" t="s">
        <v>1270</v>
      </c>
      <c r="D1008" s="18" t="s">
        <v>1135</v>
      </c>
      <c r="E1008" s="18" t="str">
        <f>VLOOKUP(D1008,[6]Arvore!$N$8:$Q$6855,4,FALSE)</f>
        <v/>
      </c>
      <c r="F1008" s="19">
        <v>2526.0300000000002</v>
      </c>
      <c r="G1008" s="19">
        <v>0</v>
      </c>
      <c r="H1008" s="20">
        <v>2526.0300000000002</v>
      </c>
      <c r="I1008" s="116"/>
      <c r="J1008" s="117"/>
      <c r="K1008" s="21"/>
      <c r="L1008" s="22" t="s">
        <v>1136</v>
      </c>
      <c r="M1008" s="23">
        <f t="shared" si="21"/>
        <v>2526.0300000000002</v>
      </c>
      <c r="N1008" s="2"/>
      <c r="O1008" s="19" t="str">
        <f>VLOOKUP(QUERY_FOR_TRNSTRANSPOSED_0008!A1008,'[6]Fin vs NFin'!$A$4:$F$568,6,FALSE)</f>
        <v>Não Financeiras</v>
      </c>
      <c r="P1008" s="24" t="str">
        <f t="shared" si="20"/>
        <v>SE</v>
      </c>
      <c r="Q1008" s="24"/>
      <c r="R1008" s="24"/>
      <c r="S1008" s="24"/>
      <c r="T1008" s="24"/>
    </row>
    <row r="1009" spans="1:20">
      <c r="A1009" s="18" t="s">
        <v>1252</v>
      </c>
      <c r="B1009" s="18" t="str">
        <f>VLOOKUP(A1009,'[6]Fin vs NFin'!$A$4:$B$568,2,FALSE)</f>
        <v>!SG-Pl.Protecção Vida</v>
      </c>
      <c r="C1009" s="18" t="s">
        <v>1271</v>
      </c>
      <c r="D1009" s="18" t="s">
        <v>1135</v>
      </c>
      <c r="E1009" s="18" t="str">
        <f>VLOOKUP(D1009,[6]Arvore!$N$8:$Q$6855,4,FALSE)</f>
        <v/>
      </c>
      <c r="F1009" s="19">
        <v>2066068.98</v>
      </c>
      <c r="G1009" s="19">
        <v>0</v>
      </c>
      <c r="H1009" s="20">
        <v>2066068.98</v>
      </c>
      <c r="I1009" s="116"/>
      <c r="J1009" s="117"/>
      <c r="K1009" s="21"/>
      <c r="L1009" s="22" t="s">
        <v>1136</v>
      </c>
      <c r="M1009" s="23">
        <f t="shared" si="21"/>
        <v>2066068.98</v>
      </c>
      <c r="N1009" s="2"/>
      <c r="O1009" s="19" t="str">
        <f>VLOOKUP(QUERY_FOR_TRNSTRANSPOSED_0008!A1009,'[6]Fin vs NFin'!$A$4:$F$568,6,FALSE)</f>
        <v>Não Financeiras</v>
      </c>
      <c r="P1009" s="24" t="str">
        <f t="shared" si="20"/>
        <v>SE</v>
      </c>
      <c r="Q1009" s="24"/>
      <c r="R1009" s="24"/>
      <c r="S1009" s="24"/>
      <c r="T1009" s="24"/>
    </row>
    <row r="1010" spans="1:20">
      <c r="A1010" s="18" t="s">
        <v>1252</v>
      </c>
      <c r="B1010" s="18" t="str">
        <f>VLOOKUP(A1010,'[6]Fin vs NFin'!$A$4:$B$568,2,FALSE)</f>
        <v>!SG-Pl.Protecção Vida</v>
      </c>
      <c r="C1010" s="18" t="s">
        <v>1272</v>
      </c>
      <c r="D1010" s="18" t="s">
        <v>1135</v>
      </c>
      <c r="E1010" s="18" t="str">
        <f>VLOOKUP(D1010,[6]Arvore!$N$8:$Q$6855,4,FALSE)</f>
        <v/>
      </c>
      <c r="F1010" s="19">
        <v>24737.55</v>
      </c>
      <c r="G1010" s="19">
        <v>0</v>
      </c>
      <c r="H1010" s="20">
        <v>24737.55</v>
      </c>
      <c r="I1010" s="116"/>
      <c r="J1010" s="117"/>
      <c r="K1010" s="21"/>
      <c r="L1010" s="22" t="s">
        <v>1136</v>
      </c>
      <c r="M1010" s="23">
        <f t="shared" si="21"/>
        <v>24737.55</v>
      </c>
      <c r="N1010" s="2"/>
      <c r="O1010" s="19" t="str">
        <f>VLOOKUP(QUERY_FOR_TRNSTRANSPOSED_0008!A1010,'[6]Fin vs NFin'!$A$4:$F$568,6,FALSE)</f>
        <v>Não Financeiras</v>
      </c>
      <c r="P1010" s="24" t="str">
        <f t="shared" si="20"/>
        <v>SE</v>
      </c>
      <c r="Q1010" s="24"/>
      <c r="R1010" s="24"/>
      <c r="S1010" s="24"/>
      <c r="T1010" s="24"/>
    </row>
    <row r="1011" spans="1:20">
      <c r="A1011" s="18" t="s">
        <v>1252</v>
      </c>
      <c r="B1011" s="18" t="str">
        <f>VLOOKUP(A1011,'[6]Fin vs NFin'!$A$4:$B$568,2,FALSE)</f>
        <v>!SG-Pl.Protecção Vida</v>
      </c>
      <c r="C1011" s="18" t="s">
        <v>1273</v>
      </c>
      <c r="D1011" s="18" t="s">
        <v>1135</v>
      </c>
      <c r="E1011" s="18" t="str">
        <f>VLOOKUP(D1011,[6]Arvore!$N$8:$Q$6855,4,FALSE)</f>
        <v/>
      </c>
      <c r="F1011" s="19">
        <v>30708.7</v>
      </c>
      <c r="G1011" s="19">
        <v>0</v>
      </c>
      <c r="H1011" s="20">
        <v>30708.7</v>
      </c>
      <c r="I1011" s="116"/>
      <c r="J1011" s="117"/>
      <c r="K1011" s="21"/>
      <c r="L1011" s="22" t="s">
        <v>1136</v>
      </c>
      <c r="M1011" s="23">
        <f t="shared" si="21"/>
        <v>30708.7</v>
      </c>
      <c r="N1011" s="2"/>
      <c r="O1011" s="19" t="str">
        <f>VLOOKUP(QUERY_FOR_TRNSTRANSPOSED_0008!A1011,'[6]Fin vs NFin'!$A$4:$F$568,6,FALSE)</f>
        <v>Não Financeiras</v>
      </c>
      <c r="P1011" s="24" t="str">
        <f t="shared" si="20"/>
        <v>SE</v>
      </c>
      <c r="Q1011" s="24"/>
      <c r="R1011" s="24"/>
      <c r="S1011" s="24"/>
      <c r="T1011" s="24"/>
    </row>
    <row r="1012" spans="1:20">
      <c r="A1012" s="18" t="s">
        <v>1252</v>
      </c>
      <c r="B1012" s="18" t="str">
        <f>VLOOKUP(A1012,'[6]Fin vs NFin'!$A$4:$B$568,2,FALSE)</f>
        <v>!SG-Pl.Protecção Vida</v>
      </c>
      <c r="C1012" s="18" t="s">
        <v>1274</v>
      </c>
      <c r="D1012" s="18" t="s">
        <v>1135</v>
      </c>
      <c r="E1012" s="18" t="str">
        <f>VLOOKUP(D1012,[6]Arvore!$N$8:$Q$6855,4,FALSE)</f>
        <v/>
      </c>
      <c r="F1012" s="19">
        <v>1958.77</v>
      </c>
      <c r="G1012" s="19">
        <v>0</v>
      </c>
      <c r="H1012" s="20">
        <v>1958.77</v>
      </c>
      <c r="I1012" s="116"/>
      <c r="J1012" s="117"/>
      <c r="K1012" s="21"/>
      <c r="L1012" s="22" t="s">
        <v>1136</v>
      </c>
      <c r="M1012" s="23">
        <f t="shared" si="21"/>
        <v>1958.77</v>
      </c>
      <c r="N1012" s="2"/>
      <c r="O1012" s="19" t="str">
        <f>VLOOKUP(QUERY_FOR_TRNSTRANSPOSED_0008!A1012,'[6]Fin vs NFin'!$A$4:$F$568,6,FALSE)</f>
        <v>Não Financeiras</v>
      </c>
      <c r="P1012" s="24" t="str">
        <f t="shared" si="20"/>
        <v>SE</v>
      </c>
      <c r="Q1012" s="24"/>
      <c r="R1012" s="24"/>
      <c r="S1012" s="24"/>
      <c r="T1012" s="24"/>
    </row>
    <row r="1013" spans="1:20">
      <c r="A1013" s="18" t="s">
        <v>1252</v>
      </c>
      <c r="B1013" s="18" t="str">
        <f>VLOOKUP(A1013,'[6]Fin vs NFin'!$A$4:$B$568,2,FALSE)</f>
        <v>!SG-Pl.Protecção Vida</v>
      </c>
      <c r="C1013" s="18" t="s">
        <v>1275</v>
      </c>
      <c r="D1013" s="18" t="s">
        <v>1135</v>
      </c>
      <c r="E1013" s="18" t="str">
        <f>VLOOKUP(D1013,[6]Arvore!$N$8:$Q$6855,4,FALSE)</f>
        <v/>
      </c>
      <c r="F1013" s="19">
        <v>342795.38</v>
      </c>
      <c r="G1013" s="19">
        <v>0</v>
      </c>
      <c r="H1013" s="20">
        <v>342795.38</v>
      </c>
      <c r="I1013" s="116"/>
      <c r="J1013" s="117"/>
      <c r="K1013" s="21"/>
      <c r="L1013" s="22" t="s">
        <v>1136</v>
      </c>
      <c r="M1013" s="23">
        <f t="shared" si="21"/>
        <v>342795.38</v>
      </c>
      <c r="N1013" s="2"/>
      <c r="O1013" s="19" t="str">
        <f>VLOOKUP(QUERY_FOR_TRNSTRANSPOSED_0008!A1013,'[6]Fin vs NFin'!$A$4:$F$568,6,FALSE)</f>
        <v>Não Financeiras</v>
      </c>
      <c r="P1013" s="24" t="str">
        <f t="shared" si="20"/>
        <v>SE</v>
      </c>
      <c r="Q1013" s="24"/>
      <c r="R1013" s="24"/>
      <c r="S1013" s="24"/>
      <c r="T1013" s="24"/>
    </row>
    <row r="1014" spans="1:20">
      <c r="A1014" s="18" t="s">
        <v>1252</v>
      </c>
      <c r="B1014" s="18" t="str">
        <f>VLOOKUP(A1014,'[6]Fin vs NFin'!$A$4:$B$568,2,FALSE)</f>
        <v>!SG-Pl.Protecção Vida</v>
      </c>
      <c r="C1014" s="18" t="s">
        <v>1276</v>
      </c>
      <c r="D1014" s="18" t="s">
        <v>1135</v>
      </c>
      <c r="E1014" s="18" t="str">
        <f>VLOOKUP(D1014,[6]Arvore!$N$8:$Q$6855,4,FALSE)</f>
        <v/>
      </c>
      <c r="F1014" s="19">
        <v>2723465.22</v>
      </c>
      <c r="G1014" s="19">
        <v>0</v>
      </c>
      <c r="H1014" s="20">
        <v>2723465.22</v>
      </c>
      <c r="I1014" s="116"/>
      <c r="J1014" s="117"/>
      <c r="K1014" s="21"/>
      <c r="L1014" s="22" t="s">
        <v>1136</v>
      </c>
      <c r="M1014" s="23">
        <f t="shared" si="21"/>
        <v>2723465.22</v>
      </c>
      <c r="N1014" s="2"/>
      <c r="O1014" s="19" t="str">
        <f>VLOOKUP(QUERY_FOR_TRNSTRANSPOSED_0008!A1014,'[6]Fin vs NFin'!$A$4:$F$568,6,FALSE)</f>
        <v>Não Financeiras</v>
      </c>
      <c r="P1014" s="24" t="str">
        <f t="shared" si="20"/>
        <v>SE</v>
      </c>
      <c r="Q1014" s="24"/>
      <c r="R1014" s="24"/>
      <c r="S1014" s="24"/>
      <c r="T1014" s="24"/>
    </row>
    <row r="1015" spans="1:20" ht="15" thickBot="1">
      <c r="A1015" s="11" t="s">
        <v>1252</v>
      </c>
      <c r="B1015" s="11" t="str">
        <f>VLOOKUP(A1015,'[6]Fin vs NFin'!$A$4:$B$568,2,FALSE)</f>
        <v>!SG-Pl.Protecção Vida</v>
      </c>
      <c r="C1015" s="11" t="s">
        <v>1277</v>
      </c>
      <c r="D1015" s="11" t="s">
        <v>1135</v>
      </c>
      <c r="E1015" s="11" t="str">
        <f>VLOOKUP(D1015,[6]Arvore!$N$8:$Q$6855,4,FALSE)</f>
        <v/>
      </c>
      <c r="F1015" s="12">
        <v>289449.78000000003</v>
      </c>
      <c r="G1015" s="12">
        <v>0</v>
      </c>
      <c r="H1015" s="13">
        <v>289449.78000000003</v>
      </c>
      <c r="I1015" s="118"/>
      <c r="J1015" s="111"/>
      <c r="K1015" s="21"/>
      <c r="L1015" s="15" t="s">
        <v>1136</v>
      </c>
      <c r="M1015" s="16">
        <f t="shared" si="21"/>
        <v>289449.78000000003</v>
      </c>
      <c r="N1015" s="2"/>
      <c r="O1015" s="12" t="str">
        <f>VLOOKUP(QUERY_FOR_TRNSTRANSPOSED_0008!A1015,'[6]Fin vs NFin'!$A$4:$F$568,6,FALSE)</f>
        <v>Não Financeiras</v>
      </c>
      <c r="P1015" s="17" t="str">
        <f t="shared" si="20"/>
        <v>SE</v>
      </c>
      <c r="Q1015" s="17"/>
      <c r="R1015" s="17"/>
      <c r="S1015" s="17"/>
      <c r="T1015" s="17"/>
    </row>
    <row r="1016" spans="1:20">
      <c r="A1016" s="18" t="s">
        <v>1278</v>
      </c>
      <c r="B1016" s="18" t="str">
        <f>VLOOKUP(A1016,'[6]Fin vs NFin'!$A$4:$B$568,2,FALSE)</f>
        <v>!SG-Pl.Protecção Ordenado</v>
      </c>
      <c r="C1016" s="18" t="s">
        <v>1279</v>
      </c>
      <c r="D1016" s="18" t="s">
        <v>1135</v>
      </c>
      <c r="E1016" s="18" t="str">
        <f>VLOOKUP(D1016,[6]Arvore!$N$8:$Q$6855,4,FALSE)</f>
        <v/>
      </c>
      <c r="F1016" s="19">
        <v>322769.65000000002</v>
      </c>
      <c r="G1016" s="19">
        <v>0</v>
      </c>
      <c r="H1016" s="20">
        <v>322769.65000000002</v>
      </c>
      <c r="I1016" s="115">
        <v>679284.53</v>
      </c>
      <c r="J1016" s="110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16" s="21"/>
      <c r="L1016" s="22" t="s">
        <v>1136</v>
      </c>
      <c r="M1016" s="23">
        <f t="shared" si="21"/>
        <v>322769.65000000002</v>
      </c>
      <c r="N1016" s="2"/>
      <c r="O1016" s="19" t="str">
        <f>VLOOKUP(QUERY_FOR_TRNSTRANSPOSED_0008!A1016,'[6]Fin vs NFin'!$A$4:$F$568,6,FALSE)</f>
        <v>Não Financeiras</v>
      </c>
      <c r="P1016" s="24" t="str">
        <f t="shared" si="20"/>
        <v>SE</v>
      </c>
      <c r="Q1016" s="24"/>
      <c r="R1016" s="24"/>
      <c r="S1016" s="24"/>
      <c r="T1016" s="24"/>
    </row>
    <row r="1017" spans="1:20">
      <c r="A1017" s="18" t="s">
        <v>1278</v>
      </c>
      <c r="B1017" s="18" t="str">
        <f>VLOOKUP(A1017,'[6]Fin vs NFin'!$A$4:$B$568,2,FALSE)</f>
        <v>!SG-Pl.Protecção Ordenado</v>
      </c>
      <c r="C1017" s="18" t="s">
        <v>1280</v>
      </c>
      <c r="D1017" s="18" t="s">
        <v>1135</v>
      </c>
      <c r="E1017" s="18" t="str">
        <f>VLOOKUP(D1017,[6]Arvore!$N$8:$Q$6855,4,FALSE)</f>
        <v/>
      </c>
      <c r="F1017" s="19">
        <v>-146.69</v>
      </c>
      <c r="G1017" s="19">
        <v>0</v>
      </c>
      <c r="H1017" s="20">
        <v>-146.69</v>
      </c>
      <c r="I1017" s="116"/>
      <c r="J1017" s="117"/>
      <c r="K1017" s="21"/>
      <c r="L1017" s="22" t="s">
        <v>1136</v>
      </c>
      <c r="M1017" s="23">
        <f t="shared" si="21"/>
        <v>-146.69</v>
      </c>
      <c r="N1017" s="2"/>
      <c r="O1017" s="19" t="str">
        <f>VLOOKUP(QUERY_FOR_TRNSTRANSPOSED_0008!A1017,'[6]Fin vs NFin'!$A$4:$F$568,6,FALSE)</f>
        <v>Não Financeiras</v>
      </c>
      <c r="P1017" s="24" t="str">
        <f t="shared" si="20"/>
        <v>SE</v>
      </c>
      <c r="Q1017" s="24"/>
      <c r="R1017" s="24"/>
      <c r="S1017" s="24"/>
      <c r="T1017" s="24"/>
    </row>
    <row r="1018" spans="1:20">
      <c r="A1018" s="18" t="s">
        <v>1278</v>
      </c>
      <c r="B1018" s="18" t="str">
        <f>VLOOKUP(A1018,'[6]Fin vs NFin'!$A$4:$B$568,2,FALSE)</f>
        <v>!SG-Pl.Protecção Ordenado</v>
      </c>
      <c r="C1018" s="18" t="s">
        <v>1281</v>
      </c>
      <c r="D1018" s="18" t="s">
        <v>1135</v>
      </c>
      <c r="E1018" s="18" t="str">
        <f>VLOOKUP(D1018,[6]Arvore!$N$8:$Q$6855,4,FALSE)</f>
        <v/>
      </c>
      <c r="F1018" s="19">
        <v>144.78</v>
      </c>
      <c r="G1018" s="19">
        <v>0</v>
      </c>
      <c r="H1018" s="20">
        <v>144.78</v>
      </c>
      <c r="I1018" s="116"/>
      <c r="J1018" s="117"/>
      <c r="K1018" s="21"/>
      <c r="L1018" s="22" t="s">
        <v>1136</v>
      </c>
      <c r="M1018" s="23">
        <f t="shared" si="21"/>
        <v>144.78</v>
      </c>
      <c r="N1018" s="2"/>
      <c r="O1018" s="19" t="str">
        <f>VLOOKUP(QUERY_FOR_TRNSTRANSPOSED_0008!A1018,'[6]Fin vs NFin'!$A$4:$F$568,6,FALSE)</f>
        <v>Não Financeiras</v>
      </c>
      <c r="P1018" s="24" t="str">
        <f t="shared" si="20"/>
        <v>SE</v>
      </c>
      <c r="Q1018" s="24"/>
      <c r="R1018" s="24"/>
      <c r="S1018" s="24"/>
      <c r="T1018" s="24"/>
    </row>
    <row r="1019" spans="1:20" ht="15" thickBot="1">
      <c r="A1019" s="11" t="s">
        <v>1278</v>
      </c>
      <c r="B1019" s="11" t="str">
        <f>VLOOKUP(A1019,'[6]Fin vs NFin'!$A$4:$B$568,2,FALSE)</f>
        <v>!SG-Pl.Protecção Ordenado</v>
      </c>
      <c r="C1019" s="11" t="s">
        <v>1282</v>
      </c>
      <c r="D1019" s="11" t="s">
        <v>1135</v>
      </c>
      <c r="E1019" s="11" t="str">
        <f>VLOOKUP(D1019,[6]Arvore!$N$8:$Q$6855,4,FALSE)</f>
        <v/>
      </c>
      <c r="F1019" s="12">
        <v>356516.79</v>
      </c>
      <c r="G1019" s="12">
        <v>0</v>
      </c>
      <c r="H1019" s="13">
        <v>356516.79</v>
      </c>
      <c r="I1019" s="118"/>
      <c r="J1019" s="111"/>
      <c r="K1019" s="21"/>
      <c r="L1019" s="15" t="s">
        <v>1136</v>
      </c>
      <c r="M1019" s="16">
        <f t="shared" si="21"/>
        <v>356516.79</v>
      </c>
      <c r="N1019" s="2"/>
      <c r="O1019" s="12" t="str">
        <f>VLOOKUP(QUERY_FOR_TRNSTRANSPOSED_0008!A1019,'[6]Fin vs NFin'!$A$4:$F$568,6,FALSE)</f>
        <v>Não Financeiras</v>
      </c>
      <c r="P1019" s="17" t="str">
        <f t="shared" si="20"/>
        <v>SE</v>
      </c>
      <c r="Q1019" s="17"/>
      <c r="R1019" s="17"/>
      <c r="S1019" s="17"/>
      <c r="T1019" s="17"/>
    </row>
    <row r="1020" spans="1:20">
      <c r="A1020" s="18" t="s">
        <v>1283</v>
      </c>
      <c r="B1020" s="18" t="str">
        <f>VLOOKUP(A1020,'[6]Fin vs NFin'!$A$4:$B$568,2,FALSE)</f>
        <v>!SG-Lifecorporate</v>
      </c>
      <c r="C1020" s="18" t="s">
        <v>1284</v>
      </c>
      <c r="D1020" s="18" t="s">
        <v>1135</v>
      </c>
      <c r="E1020" s="18" t="str">
        <f>VLOOKUP(D1020,[6]Arvore!$N$8:$Q$6855,4,FALSE)</f>
        <v/>
      </c>
      <c r="F1020" s="19">
        <v>44.76</v>
      </c>
      <c r="G1020" s="19">
        <v>0</v>
      </c>
      <c r="H1020" s="20">
        <v>44.76</v>
      </c>
      <c r="I1020" s="116">
        <f>SUM(H1020:H1021)</f>
        <v>1037994.16</v>
      </c>
      <c r="J1020" s="110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20" s="21"/>
      <c r="L1020" s="22" t="s">
        <v>1136</v>
      </c>
      <c r="M1020" s="23">
        <f t="shared" si="21"/>
        <v>44.76</v>
      </c>
      <c r="N1020" s="2"/>
      <c r="O1020" s="19" t="str">
        <f>VLOOKUP(QUERY_FOR_TRNSTRANSPOSED_0008!A1020,'[6]Fin vs NFin'!$A$4:$F$568,6,FALSE)</f>
        <v>Não Financeiras</v>
      </c>
      <c r="P1020" s="24" t="str">
        <f t="shared" si="20"/>
        <v>SE</v>
      </c>
      <c r="Q1020" s="24"/>
      <c r="R1020" s="24"/>
      <c r="S1020" s="24"/>
      <c r="T1020" s="24"/>
    </row>
    <row r="1021" spans="1:20" ht="15" thickBot="1">
      <c r="A1021" s="11" t="s">
        <v>1283</v>
      </c>
      <c r="B1021" s="11" t="str">
        <f>VLOOKUP(A1021,'[6]Fin vs NFin'!$A$4:$B$568,2,FALSE)</f>
        <v>!SG-Lifecorporate</v>
      </c>
      <c r="C1021" s="11" t="s">
        <v>1285</v>
      </c>
      <c r="D1021" s="11" t="s">
        <v>1135</v>
      </c>
      <c r="E1021" s="11" t="str">
        <f>VLOOKUP(D1021,[6]Arvore!$N$8:$Q$6855,4,FALSE)</f>
        <v/>
      </c>
      <c r="F1021" s="12">
        <v>1037949.4</v>
      </c>
      <c r="G1021" s="12">
        <v>0</v>
      </c>
      <c r="H1021" s="13">
        <v>1037949.4</v>
      </c>
      <c r="I1021" s="118"/>
      <c r="J1021" s="111"/>
      <c r="K1021" s="21"/>
      <c r="L1021" s="15" t="s">
        <v>1136</v>
      </c>
      <c r="M1021" s="16">
        <f t="shared" si="21"/>
        <v>1037949.4</v>
      </c>
      <c r="N1021" s="2"/>
      <c r="O1021" s="12" t="str">
        <f>VLOOKUP(QUERY_FOR_TRNSTRANSPOSED_0008!A1021,'[6]Fin vs NFin'!$A$4:$F$568,6,FALSE)</f>
        <v>Não Financeiras</v>
      </c>
      <c r="P1021" s="17" t="str">
        <f t="shared" si="20"/>
        <v>SE</v>
      </c>
      <c r="Q1021" s="17"/>
      <c r="R1021" s="17"/>
      <c r="S1021" s="17"/>
      <c r="T1021" s="17"/>
    </row>
    <row r="1022" spans="1:20">
      <c r="A1022" s="18" t="s">
        <v>1286</v>
      </c>
      <c r="B1022" s="18" t="str">
        <f>VLOOKUP(A1022,'[6]Fin vs NFin'!$A$4:$B$568,2,FALSE)</f>
        <v>!SG-Pl.Protecção Viva Mais</v>
      </c>
      <c r="C1022" s="18" t="s">
        <v>1287</v>
      </c>
      <c r="D1022" s="18" t="s">
        <v>1135</v>
      </c>
      <c r="E1022" s="18" t="str">
        <f>VLOOKUP(D1022,[6]Arvore!$N$8:$Q$6855,4,FALSE)</f>
        <v/>
      </c>
      <c r="F1022" s="19">
        <v>641.54999999999995</v>
      </c>
      <c r="G1022" s="19">
        <v>0</v>
      </c>
      <c r="H1022" s="20">
        <v>641.54999999999995</v>
      </c>
      <c r="I1022" s="115">
        <v>3614017.38</v>
      </c>
      <c r="J1022" s="110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22" s="21"/>
      <c r="L1022" s="22" t="s">
        <v>1136</v>
      </c>
      <c r="M1022" s="23">
        <f t="shared" si="21"/>
        <v>641.54999999999995</v>
      </c>
      <c r="N1022" s="2"/>
      <c r="O1022" s="19" t="str">
        <f>VLOOKUP(QUERY_FOR_TRNSTRANSPOSED_0008!A1022,'[6]Fin vs NFin'!$A$4:$F$568,6,FALSE)</f>
        <v>Não Financeiras</v>
      </c>
      <c r="P1022" s="24" t="str">
        <f t="shared" si="20"/>
        <v>SE</v>
      </c>
      <c r="Q1022" s="24"/>
      <c r="R1022" s="24"/>
      <c r="S1022" s="24"/>
      <c r="T1022" s="24"/>
    </row>
    <row r="1023" spans="1:20">
      <c r="A1023" s="18" t="s">
        <v>1286</v>
      </c>
      <c r="B1023" s="18" t="str">
        <f>VLOOKUP(A1023,'[6]Fin vs NFin'!$A$4:$B$568,2,FALSE)</f>
        <v>!SG-Pl.Protecção Viva Mais</v>
      </c>
      <c r="C1023" s="18" t="s">
        <v>1288</v>
      </c>
      <c r="D1023" s="18" t="s">
        <v>1135</v>
      </c>
      <c r="E1023" s="18" t="str">
        <f>VLOOKUP(D1023,[6]Arvore!$N$8:$Q$6855,4,FALSE)</f>
        <v/>
      </c>
      <c r="F1023" s="19">
        <v>10495</v>
      </c>
      <c r="G1023" s="19">
        <v>0</v>
      </c>
      <c r="H1023" s="20">
        <v>10495</v>
      </c>
      <c r="I1023" s="116"/>
      <c r="J1023" s="117"/>
      <c r="K1023" s="21"/>
      <c r="L1023" s="22" t="s">
        <v>1136</v>
      </c>
      <c r="M1023" s="23">
        <f t="shared" si="21"/>
        <v>10495</v>
      </c>
      <c r="N1023" s="2"/>
      <c r="O1023" s="19" t="str">
        <f>VLOOKUP(QUERY_FOR_TRNSTRANSPOSED_0008!A1023,'[6]Fin vs NFin'!$A$4:$F$568,6,FALSE)</f>
        <v>Não Financeiras</v>
      </c>
      <c r="P1023" s="24" t="str">
        <f t="shared" si="20"/>
        <v>SE</v>
      </c>
      <c r="Q1023" s="24"/>
      <c r="R1023" s="24"/>
      <c r="S1023" s="24"/>
      <c r="T1023" s="24"/>
    </row>
    <row r="1024" spans="1:20">
      <c r="A1024" s="18" t="s">
        <v>1286</v>
      </c>
      <c r="B1024" s="18" t="str">
        <f>VLOOKUP(A1024,'[6]Fin vs NFin'!$A$4:$B$568,2,FALSE)</f>
        <v>!SG-Pl.Protecção Viva Mais</v>
      </c>
      <c r="C1024" s="18" t="s">
        <v>1289</v>
      </c>
      <c r="D1024" s="18" t="s">
        <v>1135</v>
      </c>
      <c r="E1024" s="18" t="str">
        <f>VLOOKUP(D1024,[6]Arvore!$N$8:$Q$6855,4,FALSE)</f>
        <v/>
      </c>
      <c r="F1024" s="19">
        <v>652475.46</v>
      </c>
      <c r="G1024" s="19">
        <v>0</v>
      </c>
      <c r="H1024" s="20">
        <v>652475.46</v>
      </c>
      <c r="I1024" s="116"/>
      <c r="J1024" s="117"/>
      <c r="K1024" s="21"/>
      <c r="L1024" s="22" t="s">
        <v>1136</v>
      </c>
      <c r="M1024" s="23">
        <f t="shared" si="21"/>
        <v>652475.46</v>
      </c>
      <c r="N1024" s="2"/>
      <c r="O1024" s="19" t="str">
        <f>VLOOKUP(QUERY_FOR_TRNSTRANSPOSED_0008!A1024,'[6]Fin vs NFin'!$A$4:$F$568,6,FALSE)</f>
        <v>Não Financeiras</v>
      </c>
      <c r="P1024" s="24" t="str">
        <f t="shared" si="20"/>
        <v>SE</v>
      </c>
      <c r="Q1024" s="24"/>
      <c r="R1024" s="24"/>
      <c r="S1024" s="24"/>
      <c r="T1024" s="24"/>
    </row>
    <row r="1025" spans="1:20">
      <c r="A1025" s="18" t="s">
        <v>1286</v>
      </c>
      <c r="B1025" s="18" t="str">
        <f>VLOOKUP(A1025,'[6]Fin vs NFin'!$A$4:$B$568,2,FALSE)</f>
        <v>!SG-Pl.Protecção Viva Mais</v>
      </c>
      <c r="C1025" s="18" t="s">
        <v>1290</v>
      </c>
      <c r="D1025" s="18" t="s">
        <v>1135</v>
      </c>
      <c r="E1025" s="18" t="str">
        <f>VLOOKUP(D1025,[6]Arvore!$N$8:$Q$6855,4,FALSE)</f>
        <v/>
      </c>
      <c r="F1025" s="19">
        <v>204931.56</v>
      </c>
      <c r="G1025" s="19">
        <v>0</v>
      </c>
      <c r="H1025" s="20">
        <v>204931.56</v>
      </c>
      <c r="I1025" s="116"/>
      <c r="J1025" s="117"/>
      <c r="K1025" s="21"/>
      <c r="L1025" s="22" t="s">
        <v>1136</v>
      </c>
      <c r="M1025" s="23">
        <f t="shared" si="21"/>
        <v>204931.56</v>
      </c>
      <c r="N1025" s="2"/>
      <c r="O1025" s="19" t="str">
        <f>VLOOKUP(QUERY_FOR_TRNSTRANSPOSED_0008!A1025,'[6]Fin vs NFin'!$A$4:$F$568,6,FALSE)</f>
        <v>Não Financeiras</v>
      </c>
      <c r="P1025" s="24" t="str">
        <f t="shared" si="20"/>
        <v>SE</v>
      </c>
      <c r="Q1025" s="24"/>
      <c r="R1025" s="24"/>
      <c r="S1025" s="24"/>
      <c r="T1025" s="24"/>
    </row>
    <row r="1026" spans="1:20">
      <c r="A1026" s="18" t="s">
        <v>1286</v>
      </c>
      <c r="B1026" s="18" t="str">
        <f>VLOOKUP(A1026,'[6]Fin vs NFin'!$A$4:$B$568,2,FALSE)</f>
        <v>!SG-Pl.Protecção Viva Mais</v>
      </c>
      <c r="C1026" s="18" t="s">
        <v>1291</v>
      </c>
      <c r="D1026" s="18" t="s">
        <v>1135</v>
      </c>
      <c r="E1026" s="18" t="str">
        <f>VLOOKUP(D1026,[6]Arvore!$N$8:$Q$6855,4,FALSE)</f>
        <v/>
      </c>
      <c r="F1026" s="19">
        <v>50600.800000000003</v>
      </c>
      <c r="G1026" s="19">
        <v>0</v>
      </c>
      <c r="H1026" s="20">
        <v>50600.800000000003</v>
      </c>
      <c r="I1026" s="116"/>
      <c r="J1026" s="117"/>
      <c r="K1026" s="21"/>
      <c r="L1026" s="22" t="s">
        <v>1136</v>
      </c>
      <c r="M1026" s="23">
        <f t="shared" si="21"/>
        <v>50600.800000000003</v>
      </c>
      <c r="N1026" s="2"/>
      <c r="O1026" s="19" t="str">
        <f>VLOOKUP(QUERY_FOR_TRNSTRANSPOSED_0008!A1026,'[6]Fin vs NFin'!$A$4:$F$568,6,FALSE)</f>
        <v>Não Financeiras</v>
      </c>
      <c r="P1026" s="24" t="str">
        <f t="shared" si="20"/>
        <v>SE</v>
      </c>
      <c r="Q1026" s="24"/>
      <c r="R1026" s="24"/>
      <c r="S1026" s="24"/>
      <c r="T1026" s="24"/>
    </row>
    <row r="1027" spans="1:20">
      <c r="A1027" s="18" t="s">
        <v>1286</v>
      </c>
      <c r="B1027" s="18" t="str">
        <f>VLOOKUP(A1027,'[6]Fin vs NFin'!$A$4:$B$568,2,FALSE)</f>
        <v>!SG-Pl.Protecção Viva Mais</v>
      </c>
      <c r="C1027" s="18" t="s">
        <v>1292</v>
      </c>
      <c r="D1027" s="18" t="s">
        <v>1135</v>
      </c>
      <c r="E1027" s="18" t="str">
        <f>VLOOKUP(D1027,[6]Arvore!$N$8:$Q$6855,4,FALSE)</f>
        <v/>
      </c>
      <c r="F1027" s="19">
        <v>447638.94</v>
      </c>
      <c r="G1027" s="19">
        <v>0</v>
      </c>
      <c r="H1027" s="20">
        <v>447638.94</v>
      </c>
      <c r="I1027" s="116"/>
      <c r="J1027" s="117"/>
      <c r="K1027" s="21"/>
      <c r="L1027" s="22" t="s">
        <v>1136</v>
      </c>
      <c r="M1027" s="23">
        <f t="shared" si="21"/>
        <v>447638.94</v>
      </c>
      <c r="N1027" s="2"/>
      <c r="O1027" s="19" t="str">
        <f>VLOOKUP(QUERY_FOR_TRNSTRANSPOSED_0008!A1027,'[6]Fin vs NFin'!$A$4:$F$568,6,FALSE)</f>
        <v>Não Financeiras</v>
      </c>
      <c r="P1027" s="24" t="str">
        <f t="shared" si="20"/>
        <v>SE</v>
      </c>
      <c r="Q1027" s="24"/>
      <c r="R1027" s="24"/>
      <c r="S1027" s="24"/>
      <c r="T1027" s="24"/>
    </row>
    <row r="1028" spans="1:20">
      <c r="A1028" s="18" t="s">
        <v>1286</v>
      </c>
      <c r="B1028" s="18" t="str">
        <f>VLOOKUP(A1028,'[6]Fin vs NFin'!$A$4:$B$568,2,FALSE)</f>
        <v>!SG-Pl.Protecção Viva Mais</v>
      </c>
      <c r="C1028" s="18" t="s">
        <v>1293</v>
      </c>
      <c r="D1028" s="18" t="s">
        <v>1135</v>
      </c>
      <c r="E1028" s="18" t="str">
        <f>VLOOKUP(D1028,[6]Arvore!$N$8:$Q$6855,4,FALSE)</f>
        <v/>
      </c>
      <c r="F1028" s="19">
        <v>102783.79</v>
      </c>
      <c r="G1028" s="19">
        <v>0</v>
      </c>
      <c r="H1028" s="20">
        <v>102783.79</v>
      </c>
      <c r="I1028" s="116"/>
      <c r="J1028" s="117"/>
      <c r="K1028" s="21"/>
      <c r="L1028" s="22" t="s">
        <v>1136</v>
      </c>
      <c r="M1028" s="23">
        <f t="shared" si="21"/>
        <v>102783.79</v>
      </c>
      <c r="N1028" s="2"/>
      <c r="O1028" s="19" t="str">
        <f>VLOOKUP(QUERY_FOR_TRNSTRANSPOSED_0008!A1028,'[6]Fin vs NFin'!$A$4:$F$568,6,FALSE)</f>
        <v>Não Financeiras</v>
      </c>
      <c r="P1028" s="24" t="str">
        <f t="shared" si="20"/>
        <v>SE</v>
      </c>
      <c r="Q1028" s="24"/>
      <c r="R1028" s="24"/>
      <c r="S1028" s="24"/>
      <c r="T1028" s="24"/>
    </row>
    <row r="1029" spans="1:20" ht="15" thickBot="1">
      <c r="A1029" s="11" t="s">
        <v>1286</v>
      </c>
      <c r="B1029" s="11" t="str">
        <f>VLOOKUP(A1029,'[6]Fin vs NFin'!$A$4:$B$568,2,FALSE)</f>
        <v>!SG-Pl.Protecção Viva Mais</v>
      </c>
      <c r="C1029" s="11" t="s">
        <v>1294</v>
      </c>
      <c r="D1029" s="11" t="s">
        <v>1135</v>
      </c>
      <c r="E1029" s="11" t="str">
        <f>VLOOKUP(D1029,[6]Arvore!$N$8:$Q$6855,4,FALSE)</f>
        <v/>
      </c>
      <c r="F1029" s="12">
        <v>2144450.2799999998</v>
      </c>
      <c r="G1029" s="12">
        <v>0</v>
      </c>
      <c r="H1029" s="13">
        <v>2144450.2799999998</v>
      </c>
      <c r="I1029" s="118"/>
      <c r="J1029" s="111"/>
      <c r="K1029" s="21"/>
      <c r="L1029" s="15" t="s">
        <v>1136</v>
      </c>
      <c r="M1029" s="16">
        <f t="shared" si="21"/>
        <v>2144450.2799999998</v>
      </c>
      <c r="N1029" s="2"/>
      <c r="O1029" s="12" t="str">
        <f>VLOOKUP(QUERY_FOR_TRNSTRANSPOSED_0008!A1029,'[6]Fin vs NFin'!$A$4:$F$568,6,FALSE)</f>
        <v>Não Financeiras</v>
      </c>
      <c r="P1029" s="17" t="str">
        <f t="shared" si="20"/>
        <v>SE</v>
      </c>
      <c r="Q1029" s="17"/>
      <c r="R1029" s="17"/>
      <c r="S1029" s="17"/>
      <c r="T1029" s="17"/>
    </row>
    <row r="1030" spans="1:20">
      <c r="A1030" s="18" t="s">
        <v>1295</v>
      </c>
      <c r="B1030" s="18" t="str">
        <f>VLOOKUP(A1030,'[6]Fin vs NFin'!$A$4:$B$568,2,FALSE)</f>
        <v>!SG-Pl.Protecção Safecare</v>
      </c>
      <c r="C1030" s="18" t="s">
        <v>1296</v>
      </c>
      <c r="D1030" s="18" t="s">
        <v>1135</v>
      </c>
      <c r="E1030" s="18" t="str">
        <f>VLOOKUP(D1030,[6]Arvore!$N$8:$Q$6855,4,FALSE)</f>
        <v/>
      </c>
      <c r="F1030" s="19">
        <v>282.22000000000003</v>
      </c>
      <c r="G1030" s="19">
        <v>0</v>
      </c>
      <c r="H1030" s="20">
        <v>282.22000000000003</v>
      </c>
      <c r="I1030" s="115">
        <v>15762131.75</v>
      </c>
      <c r="J1030" s="110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30" s="21"/>
      <c r="L1030" s="22" t="s">
        <v>1136</v>
      </c>
      <c r="M1030" s="23">
        <f t="shared" si="21"/>
        <v>282.22000000000003</v>
      </c>
      <c r="N1030" s="2"/>
      <c r="O1030" s="19" t="str">
        <f>VLOOKUP(QUERY_FOR_TRNSTRANSPOSED_0008!A1030,'[6]Fin vs NFin'!$A$4:$F$568,6,FALSE)</f>
        <v>Não Financeiras</v>
      </c>
      <c r="P1030" s="24" t="str">
        <f t="shared" ref="P1030:P1093" si="22">LEFT(D1030,2)</f>
        <v>SE</v>
      </c>
      <c r="Q1030" s="24"/>
      <c r="R1030" s="24"/>
      <c r="S1030" s="24"/>
      <c r="T1030" s="24"/>
    </row>
    <row r="1031" spans="1:20">
      <c r="A1031" s="18" t="s">
        <v>1295</v>
      </c>
      <c r="B1031" s="18" t="str">
        <f>VLOOKUP(A1031,'[6]Fin vs NFin'!$A$4:$B$568,2,FALSE)</f>
        <v>!SG-Pl.Protecção Safecare</v>
      </c>
      <c r="C1031" s="18" t="s">
        <v>1297</v>
      </c>
      <c r="D1031" s="18" t="s">
        <v>1135</v>
      </c>
      <c r="E1031" s="18" t="str">
        <f>VLOOKUP(D1031,[6]Arvore!$N$8:$Q$6855,4,FALSE)</f>
        <v/>
      </c>
      <c r="F1031" s="19">
        <v>20.52</v>
      </c>
      <c r="G1031" s="19">
        <v>0</v>
      </c>
      <c r="H1031" s="20">
        <v>20.52</v>
      </c>
      <c r="I1031" s="116"/>
      <c r="J1031" s="117"/>
      <c r="K1031" s="21"/>
      <c r="L1031" s="22" t="s">
        <v>1136</v>
      </c>
      <c r="M1031" s="23">
        <f t="shared" si="21"/>
        <v>20.52</v>
      </c>
      <c r="N1031" s="2"/>
      <c r="O1031" s="19" t="str">
        <f>VLOOKUP(QUERY_FOR_TRNSTRANSPOSED_0008!A1031,'[6]Fin vs NFin'!$A$4:$F$568,6,FALSE)</f>
        <v>Não Financeiras</v>
      </c>
      <c r="P1031" s="24" t="str">
        <f t="shared" si="22"/>
        <v>SE</v>
      </c>
      <c r="Q1031" s="24"/>
      <c r="R1031" s="24"/>
      <c r="S1031" s="24"/>
      <c r="T1031" s="24"/>
    </row>
    <row r="1032" spans="1:20">
      <c r="A1032" s="18" t="s">
        <v>1295</v>
      </c>
      <c r="B1032" s="18" t="str">
        <f>VLOOKUP(A1032,'[6]Fin vs NFin'!$A$4:$B$568,2,FALSE)</f>
        <v>!SG-Pl.Protecção Safecare</v>
      </c>
      <c r="C1032" s="18" t="s">
        <v>1298</v>
      </c>
      <c r="D1032" s="18" t="s">
        <v>1135</v>
      </c>
      <c r="E1032" s="18" t="str">
        <f>VLOOKUP(D1032,[6]Arvore!$N$8:$Q$6855,4,FALSE)</f>
        <v/>
      </c>
      <c r="F1032" s="19">
        <v>96.9</v>
      </c>
      <c r="G1032" s="19">
        <v>0</v>
      </c>
      <c r="H1032" s="20">
        <v>96.9</v>
      </c>
      <c r="I1032" s="116"/>
      <c r="J1032" s="117"/>
      <c r="K1032" s="21"/>
      <c r="L1032" s="22" t="s">
        <v>1136</v>
      </c>
      <c r="M1032" s="23">
        <f t="shared" si="21"/>
        <v>96.9</v>
      </c>
      <c r="N1032" s="2"/>
      <c r="O1032" s="19" t="str">
        <f>VLOOKUP(QUERY_FOR_TRNSTRANSPOSED_0008!A1032,'[6]Fin vs NFin'!$A$4:$F$568,6,FALSE)</f>
        <v>Não Financeiras</v>
      </c>
      <c r="P1032" s="24" t="str">
        <f t="shared" si="22"/>
        <v>SE</v>
      </c>
      <c r="Q1032" s="24"/>
      <c r="R1032" s="24"/>
      <c r="S1032" s="24"/>
      <c r="T1032" s="24"/>
    </row>
    <row r="1033" spans="1:20">
      <c r="A1033" s="18" t="s">
        <v>1295</v>
      </c>
      <c r="B1033" s="18" t="str">
        <f>VLOOKUP(A1033,'[6]Fin vs NFin'!$A$4:$B$568,2,FALSE)</f>
        <v>!SG-Pl.Protecção Safecare</v>
      </c>
      <c r="C1033" s="18" t="s">
        <v>1299</v>
      </c>
      <c r="D1033" s="18" t="s">
        <v>1135</v>
      </c>
      <c r="E1033" s="18" t="str">
        <f>VLOOKUP(D1033,[6]Arvore!$N$8:$Q$6855,4,FALSE)</f>
        <v/>
      </c>
      <c r="F1033" s="19">
        <v>368.42</v>
      </c>
      <c r="G1033" s="19">
        <v>0</v>
      </c>
      <c r="H1033" s="20">
        <v>368.42</v>
      </c>
      <c r="I1033" s="116"/>
      <c r="J1033" s="117"/>
      <c r="K1033" s="21"/>
      <c r="L1033" s="22" t="s">
        <v>1136</v>
      </c>
      <c r="M1033" s="23">
        <f t="shared" si="21"/>
        <v>368.42</v>
      </c>
      <c r="N1033" s="2"/>
      <c r="O1033" s="19" t="str">
        <f>VLOOKUP(QUERY_FOR_TRNSTRANSPOSED_0008!A1033,'[6]Fin vs NFin'!$A$4:$F$568,6,FALSE)</f>
        <v>Não Financeiras</v>
      </c>
      <c r="P1033" s="24" t="str">
        <f t="shared" si="22"/>
        <v>SE</v>
      </c>
      <c r="Q1033" s="24"/>
      <c r="R1033" s="24"/>
      <c r="S1033" s="24"/>
      <c r="T1033" s="24"/>
    </row>
    <row r="1034" spans="1:20">
      <c r="A1034" s="18" t="s">
        <v>1295</v>
      </c>
      <c r="B1034" s="18" t="str">
        <f>VLOOKUP(A1034,'[6]Fin vs NFin'!$A$4:$B$568,2,FALSE)</f>
        <v>!SG-Pl.Protecção Safecare</v>
      </c>
      <c r="C1034" s="18" t="s">
        <v>1300</v>
      </c>
      <c r="D1034" s="18" t="s">
        <v>1135</v>
      </c>
      <c r="E1034" s="18" t="str">
        <f>VLOOKUP(D1034,[6]Arvore!$N$8:$Q$6855,4,FALSE)</f>
        <v/>
      </c>
      <c r="F1034" s="19">
        <v>102</v>
      </c>
      <c r="G1034" s="19">
        <v>0</v>
      </c>
      <c r="H1034" s="20">
        <v>102</v>
      </c>
      <c r="I1034" s="116"/>
      <c r="J1034" s="117"/>
      <c r="K1034" s="21"/>
      <c r="L1034" s="22" t="s">
        <v>1136</v>
      </c>
      <c r="M1034" s="23">
        <f t="shared" si="21"/>
        <v>102</v>
      </c>
      <c r="N1034" s="2"/>
      <c r="O1034" s="19" t="str">
        <f>VLOOKUP(QUERY_FOR_TRNSTRANSPOSED_0008!A1034,'[6]Fin vs NFin'!$A$4:$F$568,6,FALSE)</f>
        <v>Não Financeiras</v>
      </c>
      <c r="P1034" s="24" t="str">
        <f t="shared" si="22"/>
        <v>SE</v>
      </c>
      <c r="Q1034" s="24"/>
      <c r="R1034" s="24"/>
      <c r="S1034" s="24"/>
      <c r="T1034" s="24"/>
    </row>
    <row r="1035" spans="1:20">
      <c r="A1035" s="18" t="s">
        <v>1295</v>
      </c>
      <c r="B1035" s="18" t="str">
        <f>VLOOKUP(A1035,'[6]Fin vs NFin'!$A$4:$B$568,2,FALSE)</f>
        <v>!SG-Pl.Protecção Safecare</v>
      </c>
      <c r="C1035" s="18" t="s">
        <v>1301</v>
      </c>
      <c r="D1035" s="18" t="s">
        <v>1135</v>
      </c>
      <c r="E1035" s="18" t="str">
        <f>VLOOKUP(D1035,[6]Arvore!$N$8:$Q$6855,4,FALSE)</f>
        <v/>
      </c>
      <c r="F1035" s="19">
        <v>671.28</v>
      </c>
      <c r="G1035" s="19">
        <v>0</v>
      </c>
      <c r="H1035" s="20">
        <v>671.28</v>
      </c>
      <c r="I1035" s="116"/>
      <c r="J1035" s="117"/>
      <c r="K1035" s="21"/>
      <c r="L1035" s="22" t="s">
        <v>1136</v>
      </c>
      <c r="M1035" s="23">
        <f t="shared" si="21"/>
        <v>671.28</v>
      </c>
      <c r="N1035" s="2"/>
      <c r="O1035" s="19" t="str">
        <f>VLOOKUP(QUERY_FOR_TRNSTRANSPOSED_0008!A1035,'[6]Fin vs NFin'!$A$4:$F$568,6,FALSE)</f>
        <v>Não Financeiras</v>
      </c>
      <c r="P1035" s="24" t="str">
        <f t="shared" si="22"/>
        <v>SE</v>
      </c>
      <c r="Q1035" s="24"/>
      <c r="R1035" s="24"/>
      <c r="S1035" s="24"/>
      <c r="T1035" s="24"/>
    </row>
    <row r="1036" spans="1:20">
      <c r="A1036" s="18" t="s">
        <v>1295</v>
      </c>
      <c r="B1036" s="18" t="str">
        <f>VLOOKUP(A1036,'[6]Fin vs NFin'!$A$4:$B$568,2,FALSE)</f>
        <v>!SG-Pl.Protecção Safecare</v>
      </c>
      <c r="C1036" s="18" t="s">
        <v>1302</v>
      </c>
      <c r="D1036" s="18" t="s">
        <v>1135</v>
      </c>
      <c r="E1036" s="18" t="str">
        <f>VLOOKUP(D1036,[6]Arvore!$N$8:$Q$6855,4,FALSE)</f>
        <v/>
      </c>
      <c r="F1036" s="19">
        <v>746.5</v>
      </c>
      <c r="G1036" s="19">
        <v>0</v>
      </c>
      <c r="H1036" s="20">
        <v>746.5</v>
      </c>
      <c r="I1036" s="116"/>
      <c r="J1036" s="117"/>
      <c r="K1036" s="21"/>
      <c r="L1036" s="22" t="s">
        <v>1136</v>
      </c>
      <c r="M1036" s="23">
        <f t="shared" si="21"/>
        <v>746.5</v>
      </c>
      <c r="N1036" s="2"/>
      <c r="O1036" s="19" t="str">
        <f>VLOOKUP(QUERY_FOR_TRNSTRANSPOSED_0008!A1036,'[6]Fin vs NFin'!$A$4:$F$568,6,FALSE)</f>
        <v>Não Financeiras</v>
      </c>
      <c r="P1036" s="24" t="str">
        <f t="shared" si="22"/>
        <v>SE</v>
      </c>
      <c r="Q1036" s="24"/>
      <c r="R1036" s="24"/>
      <c r="S1036" s="24"/>
      <c r="T1036" s="24"/>
    </row>
    <row r="1037" spans="1:20">
      <c r="A1037" s="18" t="s">
        <v>1295</v>
      </c>
      <c r="B1037" s="18" t="str">
        <f>VLOOKUP(A1037,'[6]Fin vs NFin'!$A$4:$B$568,2,FALSE)</f>
        <v>!SG-Pl.Protecção Safecare</v>
      </c>
      <c r="C1037" s="18" t="s">
        <v>1303</v>
      </c>
      <c r="D1037" s="18" t="s">
        <v>1135</v>
      </c>
      <c r="E1037" s="18" t="str">
        <f>VLOOKUP(D1037,[6]Arvore!$N$8:$Q$6855,4,FALSE)</f>
        <v/>
      </c>
      <c r="F1037" s="19">
        <v>34.299999999999997</v>
      </c>
      <c r="G1037" s="19">
        <v>0</v>
      </c>
      <c r="H1037" s="20">
        <v>34.299999999999997</v>
      </c>
      <c r="I1037" s="116"/>
      <c r="J1037" s="117"/>
      <c r="K1037" s="21"/>
      <c r="L1037" s="22" t="s">
        <v>1136</v>
      </c>
      <c r="M1037" s="23">
        <f t="shared" si="21"/>
        <v>34.299999999999997</v>
      </c>
      <c r="N1037" s="2"/>
      <c r="O1037" s="19" t="str">
        <f>VLOOKUP(QUERY_FOR_TRNSTRANSPOSED_0008!A1037,'[6]Fin vs NFin'!$A$4:$F$568,6,FALSE)</f>
        <v>Não Financeiras</v>
      </c>
      <c r="P1037" s="24" t="str">
        <f t="shared" si="22"/>
        <v>SE</v>
      </c>
      <c r="Q1037" s="24"/>
      <c r="R1037" s="24"/>
      <c r="S1037" s="24"/>
      <c r="T1037" s="24"/>
    </row>
    <row r="1038" spans="1:20">
      <c r="A1038" s="18" t="s">
        <v>1295</v>
      </c>
      <c r="B1038" s="18" t="str">
        <f>VLOOKUP(A1038,'[6]Fin vs NFin'!$A$4:$B$568,2,FALSE)</f>
        <v>!SG-Pl.Protecção Safecare</v>
      </c>
      <c r="C1038" s="18" t="s">
        <v>1304</v>
      </c>
      <c r="D1038" s="18" t="s">
        <v>1135</v>
      </c>
      <c r="E1038" s="18" t="str">
        <f>VLOOKUP(D1038,[6]Arvore!$N$8:$Q$6855,4,FALSE)</f>
        <v/>
      </c>
      <c r="F1038" s="19">
        <v>34.31</v>
      </c>
      <c r="G1038" s="19">
        <v>0</v>
      </c>
      <c r="H1038" s="20">
        <v>34.31</v>
      </c>
      <c r="I1038" s="116"/>
      <c r="J1038" s="117"/>
      <c r="K1038" s="21"/>
      <c r="L1038" s="22" t="s">
        <v>1136</v>
      </c>
      <c r="M1038" s="23">
        <f t="shared" si="21"/>
        <v>34.31</v>
      </c>
      <c r="N1038" s="2"/>
      <c r="O1038" s="19" t="str">
        <f>VLOOKUP(QUERY_FOR_TRNSTRANSPOSED_0008!A1038,'[6]Fin vs NFin'!$A$4:$F$568,6,FALSE)</f>
        <v>Não Financeiras</v>
      </c>
      <c r="P1038" s="24" t="str">
        <f t="shared" si="22"/>
        <v>SE</v>
      </c>
      <c r="Q1038" s="24"/>
      <c r="R1038" s="24"/>
      <c r="S1038" s="24"/>
      <c r="T1038" s="24"/>
    </row>
    <row r="1039" spans="1:20">
      <c r="A1039" s="18" t="s">
        <v>1295</v>
      </c>
      <c r="B1039" s="18" t="str">
        <f>VLOOKUP(A1039,'[6]Fin vs NFin'!$A$4:$B$568,2,FALSE)</f>
        <v>!SG-Pl.Protecção Safecare</v>
      </c>
      <c r="C1039" s="18" t="s">
        <v>1305</v>
      </c>
      <c r="D1039" s="18" t="s">
        <v>1135</v>
      </c>
      <c r="E1039" s="18" t="str">
        <f>VLOOKUP(D1039,[6]Arvore!$N$8:$Q$6855,4,FALSE)</f>
        <v/>
      </c>
      <c r="F1039" s="19">
        <v>155.88</v>
      </c>
      <c r="G1039" s="19">
        <v>0</v>
      </c>
      <c r="H1039" s="20">
        <v>155.88</v>
      </c>
      <c r="I1039" s="116"/>
      <c r="J1039" s="117"/>
      <c r="K1039" s="21"/>
      <c r="L1039" s="22" t="s">
        <v>1136</v>
      </c>
      <c r="M1039" s="23">
        <f t="shared" si="21"/>
        <v>155.88</v>
      </c>
      <c r="N1039" s="2"/>
      <c r="O1039" s="19" t="str">
        <f>VLOOKUP(QUERY_FOR_TRNSTRANSPOSED_0008!A1039,'[6]Fin vs NFin'!$A$4:$F$568,6,FALSE)</f>
        <v>Não Financeiras</v>
      </c>
      <c r="P1039" s="24" t="str">
        <f t="shared" si="22"/>
        <v>SE</v>
      </c>
      <c r="Q1039" s="24"/>
      <c r="R1039" s="24"/>
      <c r="S1039" s="24"/>
      <c r="T1039" s="24"/>
    </row>
    <row r="1040" spans="1:20">
      <c r="A1040" s="18" t="s">
        <v>1295</v>
      </c>
      <c r="B1040" s="18" t="str">
        <f>VLOOKUP(A1040,'[6]Fin vs NFin'!$A$4:$B$568,2,FALSE)</f>
        <v>!SG-Pl.Protecção Safecare</v>
      </c>
      <c r="C1040" s="18" t="s">
        <v>1306</v>
      </c>
      <c r="D1040" s="18" t="s">
        <v>1135</v>
      </c>
      <c r="E1040" s="18" t="str">
        <f>VLOOKUP(D1040,[6]Arvore!$N$8:$Q$6855,4,FALSE)</f>
        <v/>
      </c>
      <c r="F1040" s="19">
        <v>17.32</v>
      </c>
      <c r="G1040" s="19">
        <v>0</v>
      </c>
      <c r="H1040" s="20">
        <v>17.32</v>
      </c>
      <c r="I1040" s="116"/>
      <c r="J1040" s="117"/>
      <c r="K1040" s="21"/>
      <c r="L1040" s="22" t="s">
        <v>1136</v>
      </c>
      <c r="M1040" s="23">
        <f t="shared" si="21"/>
        <v>17.32</v>
      </c>
      <c r="N1040" s="2"/>
      <c r="O1040" s="19" t="str">
        <f>VLOOKUP(QUERY_FOR_TRNSTRANSPOSED_0008!A1040,'[6]Fin vs NFin'!$A$4:$F$568,6,FALSE)</f>
        <v>Não Financeiras</v>
      </c>
      <c r="P1040" s="24" t="str">
        <f t="shared" si="22"/>
        <v>SE</v>
      </c>
      <c r="Q1040" s="24"/>
      <c r="R1040" s="24"/>
      <c r="S1040" s="24"/>
      <c r="T1040" s="24"/>
    </row>
    <row r="1041" spans="1:20">
      <c r="A1041" s="18" t="s">
        <v>1295</v>
      </c>
      <c r="B1041" s="18" t="str">
        <f>VLOOKUP(A1041,'[6]Fin vs NFin'!$A$4:$B$568,2,FALSE)</f>
        <v>!SG-Pl.Protecção Safecare</v>
      </c>
      <c r="C1041" s="18" t="s">
        <v>1307</v>
      </c>
      <c r="D1041" s="18" t="s">
        <v>1135</v>
      </c>
      <c r="E1041" s="18" t="str">
        <f>VLOOKUP(D1041,[6]Arvore!$N$8:$Q$6855,4,FALSE)</f>
        <v/>
      </c>
      <c r="F1041" s="19">
        <v>69.3</v>
      </c>
      <c r="G1041" s="19">
        <v>0</v>
      </c>
      <c r="H1041" s="20">
        <v>69.3</v>
      </c>
      <c r="I1041" s="116"/>
      <c r="J1041" s="117"/>
      <c r="K1041" s="21"/>
      <c r="L1041" s="22" t="s">
        <v>1136</v>
      </c>
      <c r="M1041" s="23">
        <f t="shared" si="21"/>
        <v>69.3</v>
      </c>
      <c r="N1041" s="2"/>
      <c r="O1041" s="19" t="str">
        <f>VLOOKUP(QUERY_FOR_TRNSTRANSPOSED_0008!A1041,'[6]Fin vs NFin'!$A$4:$F$568,6,FALSE)</f>
        <v>Não Financeiras</v>
      </c>
      <c r="P1041" s="24" t="str">
        <f t="shared" si="22"/>
        <v>SE</v>
      </c>
      <c r="Q1041" s="24"/>
      <c r="R1041" s="24"/>
      <c r="S1041" s="24"/>
      <c r="T1041" s="24"/>
    </row>
    <row r="1042" spans="1:20">
      <c r="A1042" s="18" t="s">
        <v>1295</v>
      </c>
      <c r="B1042" s="18" t="str">
        <f>VLOOKUP(A1042,'[6]Fin vs NFin'!$A$4:$B$568,2,FALSE)</f>
        <v>!SG-Pl.Protecção Safecare</v>
      </c>
      <c r="C1042" s="18" t="s">
        <v>1308</v>
      </c>
      <c r="D1042" s="18" t="s">
        <v>1135</v>
      </c>
      <c r="E1042" s="18" t="str">
        <f>VLOOKUP(D1042,[6]Arvore!$N$8:$Q$6855,4,FALSE)</f>
        <v/>
      </c>
      <c r="F1042" s="19">
        <v>150.02000000000001</v>
      </c>
      <c r="G1042" s="19">
        <v>0</v>
      </c>
      <c r="H1042" s="20">
        <v>150.02000000000001</v>
      </c>
      <c r="I1042" s="116"/>
      <c r="J1042" s="117"/>
      <c r="K1042" s="21"/>
      <c r="L1042" s="22" t="s">
        <v>1136</v>
      </c>
      <c r="M1042" s="23">
        <f t="shared" si="21"/>
        <v>150.02000000000001</v>
      </c>
      <c r="N1042" s="2"/>
      <c r="O1042" s="19" t="str">
        <f>VLOOKUP(QUERY_FOR_TRNSTRANSPOSED_0008!A1042,'[6]Fin vs NFin'!$A$4:$F$568,6,FALSE)</f>
        <v>Não Financeiras</v>
      </c>
      <c r="P1042" s="24" t="str">
        <f t="shared" si="22"/>
        <v>SE</v>
      </c>
      <c r="Q1042" s="24"/>
      <c r="R1042" s="24"/>
      <c r="S1042" s="24"/>
      <c r="T1042" s="24"/>
    </row>
    <row r="1043" spans="1:20">
      <c r="A1043" s="18" t="s">
        <v>1295</v>
      </c>
      <c r="B1043" s="18" t="str">
        <f>VLOOKUP(A1043,'[6]Fin vs NFin'!$A$4:$B$568,2,FALSE)</f>
        <v>!SG-Pl.Protecção Safecare</v>
      </c>
      <c r="C1043" s="18" t="s">
        <v>1309</v>
      </c>
      <c r="D1043" s="18" t="s">
        <v>1135</v>
      </c>
      <c r="E1043" s="18" t="str">
        <f>VLOOKUP(D1043,[6]Arvore!$N$8:$Q$6855,4,FALSE)</f>
        <v/>
      </c>
      <c r="F1043" s="19">
        <v>101282.45</v>
      </c>
      <c r="G1043" s="19">
        <v>0</v>
      </c>
      <c r="H1043" s="20">
        <v>101282.45</v>
      </c>
      <c r="I1043" s="116"/>
      <c r="J1043" s="117"/>
      <c r="K1043" s="21"/>
      <c r="L1043" s="22" t="s">
        <v>1136</v>
      </c>
      <c r="M1043" s="23">
        <f t="shared" si="21"/>
        <v>101282.45</v>
      </c>
      <c r="N1043" s="2"/>
      <c r="O1043" s="19" t="str">
        <f>VLOOKUP(QUERY_FOR_TRNSTRANSPOSED_0008!A1043,'[6]Fin vs NFin'!$A$4:$F$568,6,FALSE)</f>
        <v>Não Financeiras</v>
      </c>
      <c r="P1043" s="24" t="str">
        <f t="shared" si="22"/>
        <v>SE</v>
      </c>
      <c r="Q1043" s="24"/>
      <c r="R1043" s="24"/>
      <c r="S1043" s="24"/>
      <c r="T1043" s="24"/>
    </row>
    <row r="1044" spans="1:20">
      <c r="A1044" s="18" t="s">
        <v>1295</v>
      </c>
      <c r="B1044" s="18" t="str">
        <f>VLOOKUP(A1044,'[6]Fin vs NFin'!$A$4:$B$568,2,FALSE)</f>
        <v>!SG-Pl.Protecção Safecare</v>
      </c>
      <c r="C1044" s="18" t="s">
        <v>1310</v>
      </c>
      <c r="D1044" s="18" t="s">
        <v>1135</v>
      </c>
      <c r="E1044" s="18" t="str">
        <f>VLOOKUP(D1044,[6]Arvore!$N$8:$Q$6855,4,FALSE)</f>
        <v/>
      </c>
      <c r="F1044" s="19">
        <v>5435883.0700000003</v>
      </c>
      <c r="G1044" s="19">
        <v>0</v>
      </c>
      <c r="H1044" s="20">
        <v>5435883.0700000003</v>
      </c>
      <c r="I1044" s="116"/>
      <c r="J1044" s="117"/>
      <c r="K1044" s="21"/>
      <c r="L1044" s="22" t="s">
        <v>1136</v>
      </c>
      <c r="M1044" s="23">
        <f t="shared" si="21"/>
        <v>5435883.0700000003</v>
      </c>
      <c r="N1044" s="2"/>
      <c r="O1044" s="19" t="str">
        <f>VLOOKUP(QUERY_FOR_TRNSTRANSPOSED_0008!A1044,'[6]Fin vs NFin'!$A$4:$F$568,6,FALSE)</f>
        <v>Não Financeiras</v>
      </c>
      <c r="P1044" s="24" t="str">
        <f t="shared" si="22"/>
        <v>SE</v>
      </c>
      <c r="Q1044" s="24"/>
      <c r="R1044" s="24"/>
      <c r="S1044" s="24"/>
      <c r="T1044" s="24"/>
    </row>
    <row r="1045" spans="1:20">
      <c r="A1045" s="18" t="s">
        <v>1295</v>
      </c>
      <c r="B1045" s="18" t="str">
        <f>VLOOKUP(A1045,'[6]Fin vs NFin'!$A$4:$B$568,2,FALSE)</f>
        <v>!SG-Pl.Protecção Safecare</v>
      </c>
      <c r="C1045" s="18" t="s">
        <v>1311</v>
      </c>
      <c r="D1045" s="18" t="s">
        <v>1135</v>
      </c>
      <c r="E1045" s="18" t="str">
        <f>VLOOKUP(D1045,[6]Arvore!$N$8:$Q$6855,4,FALSE)</f>
        <v/>
      </c>
      <c r="F1045" s="19">
        <v>1184229.28</v>
      </c>
      <c r="G1045" s="19">
        <v>0</v>
      </c>
      <c r="H1045" s="20">
        <v>1184229.28</v>
      </c>
      <c r="I1045" s="116"/>
      <c r="J1045" s="117"/>
      <c r="K1045" s="21"/>
      <c r="L1045" s="22" t="s">
        <v>1136</v>
      </c>
      <c r="M1045" s="23">
        <f t="shared" si="21"/>
        <v>1184229.28</v>
      </c>
      <c r="N1045" s="2"/>
      <c r="O1045" s="19" t="str">
        <f>VLOOKUP(QUERY_FOR_TRNSTRANSPOSED_0008!A1045,'[6]Fin vs NFin'!$A$4:$F$568,6,FALSE)</f>
        <v>Não Financeiras</v>
      </c>
      <c r="P1045" s="24" t="str">
        <f t="shared" si="22"/>
        <v>SE</v>
      </c>
      <c r="Q1045" s="24"/>
      <c r="R1045" s="24"/>
      <c r="S1045" s="24"/>
      <c r="T1045" s="24"/>
    </row>
    <row r="1046" spans="1:20">
      <c r="A1046" s="18" t="s">
        <v>1295</v>
      </c>
      <c r="B1046" s="18" t="str">
        <f>VLOOKUP(A1046,'[6]Fin vs NFin'!$A$4:$B$568,2,FALSE)</f>
        <v>!SG-Pl.Protecção Safecare</v>
      </c>
      <c r="C1046" s="18" t="s">
        <v>1312</v>
      </c>
      <c r="D1046" s="18" t="s">
        <v>1135</v>
      </c>
      <c r="E1046" s="18" t="str">
        <f>VLOOKUP(D1046,[6]Arvore!$N$8:$Q$6855,4,FALSE)</f>
        <v/>
      </c>
      <c r="F1046" s="19">
        <v>161004.29</v>
      </c>
      <c r="G1046" s="19">
        <v>0</v>
      </c>
      <c r="H1046" s="20">
        <v>161004.29</v>
      </c>
      <c r="I1046" s="116"/>
      <c r="J1046" s="117"/>
      <c r="K1046" s="21"/>
      <c r="L1046" s="22" t="s">
        <v>1136</v>
      </c>
      <c r="M1046" s="23">
        <f t="shared" si="21"/>
        <v>161004.29</v>
      </c>
      <c r="N1046" s="2"/>
      <c r="O1046" s="19" t="str">
        <f>VLOOKUP(QUERY_FOR_TRNSTRANSPOSED_0008!A1046,'[6]Fin vs NFin'!$A$4:$F$568,6,FALSE)</f>
        <v>Não Financeiras</v>
      </c>
      <c r="P1046" s="24" t="str">
        <f t="shared" si="22"/>
        <v>SE</v>
      </c>
      <c r="Q1046" s="24"/>
      <c r="R1046" s="24"/>
      <c r="S1046" s="24"/>
      <c r="T1046" s="24"/>
    </row>
    <row r="1047" spans="1:20">
      <c r="A1047" s="18" t="s">
        <v>1295</v>
      </c>
      <c r="B1047" s="18" t="str">
        <f>VLOOKUP(A1047,'[6]Fin vs NFin'!$A$4:$B$568,2,FALSE)</f>
        <v>!SG-Pl.Protecção Safecare</v>
      </c>
      <c r="C1047" s="18" t="s">
        <v>1313</v>
      </c>
      <c r="D1047" s="18" t="s">
        <v>1135</v>
      </c>
      <c r="E1047" s="18" t="str">
        <f>VLOOKUP(D1047,[6]Arvore!$N$8:$Q$6855,4,FALSE)</f>
        <v/>
      </c>
      <c r="F1047" s="19">
        <v>6753599.7000000002</v>
      </c>
      <c r="G1047" s="19">
        <v>0</v>
      </c>
      <c r="H1047" s="20">
        <v>6753599.7000000002</v>
      </c>
      <c r="I1047" s="116"/>
      <c r="J1047" s="117"/>
      <c r="K1047" s="21"/>
      <c r="L1047" s="22" t="s">
        <v>1136</v>
      </c>
      <c r="M1047" s="23">
        <f t="shared" si="21"/>
        <v>6753599.7000000002</v>
      </c>
      <c r="N1047" s="2"/>
      <c r="O1047" s="19" t="str">
        <f>VLOOKUP(QUERY_FOR_TRNSTRANSPOSED_0008!A1047,'[6]Fin vs NFin'!$A$4:$F$568,6,FALSE)</f>
        <v>Não Financeiras</v>
      </c>
      <c r="P1047" s="24" t="str">
        <f t="shared" si="22"/>
        <v>SE</v>
      </c>
      <c r="Q1047" s="24"/>
      <c r="R1047" s="24"/>
      <c r="S1047" s="24"/>
      <c r="T1047" s="24"/>
    </row>
    <row r="1048" spans="1:20" ht="15" thickBot="1">
      <c r="A1048" s="11" t="s">
        <v>1295</v>
      </c>
      <c r="B1048" s="11" t="str">
        <f>VLOOKUP(A1048,'[6]Fin vs NFin'!$A$4:$B$568,2,FALSE)</f>
        <v>!SG-Pl.Protecção Safecare</v>
      </c>
      <c r="C1048" s="11" t="s">
        <v>1314</v>
      </c>
      <c r="D1048" s="11" t="s">
        <v>1135</v>
      </c>
      <c r="E1048" s="11" t="str">
        <f>VLOOKUP(D1048,[6]Arvore!$N$8:$Q$6855,4,FALSE)</f>
        <v/>
      </c>
      <c r="F1048" s="12">
        <v>2123383.9900000002</v>
      </c>
      <c r="G1048" s="12">
        <v>0</v>
      </c>
      <c r="H1048" s="13">
        <v>2123383.9900000002</v>
      </c>
      <c r="I1048" s="118"/>
      <c r="J1048" s="111"/>
      <c r="K1048" s="21"/>
      <c r="L1048" s="15" t="s">
        <v>1136</v>
      </c>
      <c r="M1048" s="16">
        <f t="shared" si="21"/>
        <v>2123383.9900000002</v>
      </c>
      <c r="N1048" s="2"/>
      <c r="O1048" s="12" t="str">
        <f>VLOOKUP(QUERY_FOR_TRNSTRANSPOSED_0008!A1048,'[6]Fin vs NFin'!$A$4:$F$568,6,FALSE)</f>
        <v>Não Financeiras</v>
      </c>
      <c r="P1048" s="17" t="str">
        <f t="shared" si="22"/>
        <v>SE</v>
      </c>
      <c r="Q1048" s="17"/>
      <c r="R1048" s="17"/>
      <c r="S1048" s="17"/>
      <c r="T1048" s="17"/>
    </row>
    <row r="1049" spans="1:20" ht="15" thickBot="1">
      <c r="A1049" s="25" t="s">
        <v>1315</v>
      </c>
      <c r="B1049" s="25" t="str">
        <f>VLOOKUP(A1049,'[6]Fin vs NFin'!$A$4:$B$568,2,FALSE)</f>
        <v>!SG-Saúde Tailor Made</v>
      </c>
      <c r="C1049" s="25" t="s">
        <v>1309</v>
      </c>
      <c r="D1049" s="25" t="s">
        <v>1135</v>
      </c>
      <c r="E1049" s="25" t="str">
        <f>VLOOKUP(D1049,[6]Arvore!$N$8:$Q$6855,4,FALSE)</f>
        <v/>
      </c>
      <c r="F1049" s="26">
        <v>282817.31</v>
      </c>
      <c r="G1049" s="26" t="s">
        <v>84</v>
      </c>
      <c r="H1049" s="27">
        <v>282817.31</v>
      </c>
      <c r="I1049" s="77">
        <v>282817.31</v>
      </c>
      <c r="J1049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1049" s="29" t="s">
        <v>1136</v>
      </c>
      <c r="M1049" s="30">
        <f t="shared" si="21"/>
        <v>282817.31</v>
      </c>
      <c r="N1049" s="2"/>
      <c r="O1049" s="26" t="str">
        <f>VLOOKUP(QUERY_FOR_TRNSTRANSPOSED_0008!A1049,'[6]Fin vs NFin'!$A$4:$F$568,6,FALSE)</f>
        <v>Não Financeiras</v>
      </c>
      <c r="P1049" s="31" t="str">
        <f t="shared" si="22"/>
        <v>SE</v>
      </c>
      <c r="Q1049" s="31"/>
      <c r="R1049" s="31"/>
      <c r="S1049" s="31"/>
      <c r="T1049" s="31"/>
    </row>
    <row r="1050" spans="1:20">
      <c r="A1050" s="18" t="s">
        <v>1316</v>
      </c>
      <c r="B1050" s="18" t="str">
        <f>VLOOKUP(A1050,'[6]Fin vs NFin'!$A$4:$B$568,2,FALSE)</f>
        <v>!SG-Acidentes Pessoais</v>
      </c>
      <c r="C1050" s="18" t="s">
        <v>1317</v>
      </c>
      <c r="D1050" s="18" t="s">
        <v>1135</v>
      </c>
      <c r="E1050" s="18" t="str">
        <f>VLOOKUP(D1050,[6]Arvore!$N$8:$Q$6855,4,FALSE)</f>
        <v/>
      </c>
      <c r="F1050" s="19">
        <v>263.8</v>
      </c>
      <c r="G1050" s="19">
        <v>0</v>
      </c>
      <c r="H1050" s="20">
        <v>263.8</v>
      </c>
      <c r="I1050" s="115">
        <v>4135883.21</v>
      </c>
      <c r="J1050" s="110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50" s="21"/>
      <c r="L1050" s="22" t="s">
        <v>1136</v>
      </c>
      <c r="M1050" s="23">
        <f t="shared" si="21"/>
        <v>263.8</v>
      </c>
      <c r="N1050" s="2"/>
      <c r="O1050" s="19" t="str">
        <f>VLOOKUP(QUERY_FOR_TRNSTRANSPOSED_0008!A1050,'[6]Fin vs NFin'!$A$4:$F$568,6,FALSE)</f>
        <v>Não Financeiras</v>
      </c>
      <c r="P1050" s="24" t="str">
        <f t="shared" si="22"/>
        <v>SE</v>
      </c>
      <c r="Q1050" s="24"/>
      <c r="R1050" s="24"/>
      <c r="S1050" s="24"/>
      <c r="T1050" s="24"/>
    </row>
    <row r="1051" spans="1:20">
      <c r="A1051" s="18" t="s">
        <v>1316</v>
      </c>
      <c r="B1051" s="18" t="str">
        <f>VLOOKUP(A1051,'[6]Fin vs NFin'!$A$4:$B$568,2,FALSE)</f>
        <v>!SG-Acidentes Pessoais</v>
      </c>
      <c r="C1051" s="18" t="s">
        <v>1318</v>
      </c>
      <c r="D1051" s="18" t="s">
        <v>1135</v>
      </c>
      <c r="E1051" s="18" t="str">
        <f>VLOOKUP(D1051,[6]Arvore!$N$8:$Q$6855,4,FALSE)</f>
        <v/>
      </c>
      <c r="F1051" s="19">
        <v>2770.75</v>
      </c>
      <c r="G1051" s="19">
        <v>0</v>
      </c>
      <c r="H1051" s="20">
        <v>2770.75</v>
      </c>
      <c r="I1051" s="116"/>
      <c r="J1051" s="117"/>
      <c r="K1051" s="21"/>
      <c r="L1051" s="22" t="s">
        <v>1136</v>
      </c>
      <c r="M1051" s="23">
        <f t="shared" si="21"/>
        <v>2770.75</v>
      </c>
      <c r="N1051" s="2"/>
      <c r="O1051" s="19" t="str">
        <f>VLOOKUP(QUERY_FOR_TRNSTRANSPOSED_0008!A1051,'[6]Fin vs NFin'!$A$4:$F$568,6,FALSE)</f>
        <v>Não Financeiras</v>
      </c>
      <c r="P1051" s="24" t="str">
        <f t="shared" si="22"/>
        <v>SE</v>
      </c>
      <c r="Q1051" s="24"/>
      <c r="R1051" s="24"/>
      <c r="S1051" s="24"/>
      <c r="T1051" s="24"/>
    </row>
    <row r="1052" spans="1:20">
      <c r="A1052" s="18" t="s">
        <v>1316</v>
      </c>
      <c r="B1052" s="18" t="str">
        <f>VLOOKUP(A1052,'[6]Fin vs NFin'!$A$4:$B$568,2,FALSE)</f>
        <v>!SG-Acidentes Pessoais</v>
      </c>
      <c r="C1052" s="18" t="s">
        <v>1319</v>
      </c>
      <c r="D1052" s="18" t="s">
        <v>1135</v>
      </c>
      <c r="E1052" s="18" t="str">
        <f>VLOOKUP(D1052,[6]Arvore!$N$8:$Q$6855,4,FALSE)</f>
        <v/>
      </c>
      <c r="F1052" s="19">
        <v>4132085.26</v>
      </c>
      <c r="G1052" s="19">
        <v>0</v>
      </c>
      <c r="H1052" s="20">
        <v>4132085.26</v>
      </c>
      <c r="I1052" s="116"/>
      <c r="J1052" s="117"/>
      <c r="K1052" s="21"/>
      <c r="L1052" s="22" t="s">
        <v>1136</v>
      </c>
      <c r="M1052" s="23">
        <f t="shared" si="21"/>
        <v>4132085.26</v>
      </c>
      <c r="N1052" s="2"/>
      <c r="O1052" s="19" t="str">
        <f>VLOOKUP(QUERY_FOR_TRNSTRANSPOSED_0008!A1052,'[6]Fin vs NFin'!$A$4:$F$568,6,FALSE)</f>
        <v>Não Financeiras</v>
      </c>
      <c r="P1052" s="24" t="str">
        <f t="shared" si="22"/>
        <v>SE</v>
      </c>
      <c r="Q1052" s="24"/>
      <c r="R1052" s="24"/>
      <c r="S1052" s="24"/>
      <c r="T1052" s="24"/>
    </row>
    <row r="1053" spans="1:20" ht="15" thickBot="1">
      <c r="A1053" s="11" t="s">
        <v>1316</v>
      </c>
      <c r="B1053" s="11" t="str">
        <f>VLOOKUP(A1053,'[6]Fin vs NFin'!$A$4:$B$568,2,FALSE)</f>
        <v>!SG-Acidentes Pessoais</v>
      </c>
      <c r="C1053" s="11" t="s">
        <v>1320</v>
      </c>
      <c r="D1053" s="11" t="s">
        <v>1135</v>
      </c>
      <c r="E1053" s="11" t="str">
        <f>VLOOKUP(D1053,[6]Arvore!$N$8:$Q$6855,4,FALSE)</f>
        <v/>
      </c>
      <c r="F1053" s="12">
        <v>763.4</v>
      </c>
      <c r="G1053" s="12">
        <v>0</v>
      </c>
      <c r="H1053" s="13">
        <v>763.4</v>
      </c>
      <c r="I1053" s="118"/>
      <c r="J1053" s="111"/>
      <c r="K1053" s="21"/>
      <c r="L1053" s="15" t="s">
        <v>1136</v>
      </c>
      <c r="M1053" s="16">
        <f t="shared" si="21"/>
        <v>763.4</v>
      </c>
      <c r="N1053" s="2"/>
      <c r="O1053" s="12" t="str">
        <f>VLOOKUP(QUERY_FOR_TRNSTRANSPOSED_0008!A1053,'[6]Fin vs NFin'!$A$4:$F$568,6,FALSE)</f>
        <v>Não Financeiras</v>
      </c>
      <c r="P1053" s="17" t="str">
        <f t="shared" si="22"/>
        <v>SE</v>
      </c>
      <c r="Q1053" s="17"/>
      <c r="R1053" s="17"/>
      <c r="S1053" s="17"/>
      <c r="T1053" s="17"/>
    </row>
    <row r="1054" spans="1:20">
      <c r="A1054" s="18" t="s">
        <v>1321</v>
      </c>
      <c r="B1054" s="18" t="str">
        <f>VLOOKUP(A1054,'[6]Fin vs NFin'!$A$4:$B$568,2,FALSE)</f>
        <v>!SG-Pack Seguros</v>
      </c>
      <c r="C1054" s="18" t="s">
        <v>1322</v>
      </c>
      <c r="D1054" s="18" t="s">
        <v>1135</v>
      </c>
      <c r="E1054" s="18" t="str">
        <f>VLOOKUP(D1054,[6]Arvore!$N$8:$Q$6855,4,FALSE)</f>
        <v/>
      </c>
      <c r="F1054" s="19">
        <v>259229.61</v>
      </c>
      <c r="G1054" s="19">
        <v>0</v>
      </c>
      <c r="H1054" s="20">
        <v>259229.61</v>
      </c>
      <c r="I1054" s="115">
        <v>297924.53000000003</v>
      </c>
      <c r="J1054" s="110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54" s="21"/>
      <c r="L1054" s="22" t="s">
        <v>1136</v>
      </c>
      <c r="M1054" s="23">
        <f t="shared" ref="M1054:M1061" si="23">H1054</f>
        <v>259229.61</v>
      </c>
      <c r="N1054" s="2"/>
      <c r="O1054" s="19" t="str">
        <f>VLOOKUP(QUERY_FOR_TRNSTRANSPOSED_0008!A1054,'[6]Fin vs NFin'!$A$4:$F$568,6,FALSE)</f>
        <v>Não Financeiras</v>
      </c>
      <c r="P1054" s="24" t="str">
        <f t="shared" si="22"/>
        <v>SE</v>
      </c>
      <c r="Q1054" s="24"/>
      <c r="R1054" s="24"/>
      <c r="S1054" s="24"/>
      <c r="T1054" s="24"/>
    </row>
    <row r="1055" spans="1:20" ht="15" thickBot="1">
      <c r="A1055" s="11" t="s">
        <v>1321</v>
      </c>
      <c r="B1055" s="11" t="str">
        <f>VLOOKUP(A1055,'[6]Fin vs NFin'!$A$4:$B$568,2,FALSE)</f>
        <v>!SG-Pack Seguros</v>
      </c>
      <c r="C1055" s="11" t="s">
        <v>1323</v>
      </c>
      <c r="D1055" s="11" t="s">
        <v>1135</v>
      </c>
      <c r="E1055" s="11" t="str">
        <f>VLOOKUP(D1055,[6]Arvore!$N$8:$Q$6855,4,FALSE)</f>
        <v/>
      </c>
      <c r="F1055" s="12">
        <v>38694.92</v>
      </c>
      <c r="G1055" s="12">
        <v>0</v>
      </c>
      <c r="H1055" s="13">
        <v>38694.92</v>
      </c>
      <c r="I1055" s="118"/>
      <c r="J1055" s="111"/>
      <c r="K1055" s="21"/>
      <c r="L1055" s="15" t="s">
        <v>1136</v>
      </c>
      <c r="M1055" s="16">
        <f t="shared" si="23"/>
        <v>38694.92</v>
      </c>
      <c r="N1055" s="2"/>
      <c r="O1055" s="12" t="str">
        <f>VLOOKUP(QUERY_FOR_TRNSTRANSPOSED_0008!A1055,'[6]Fin vs NFin'!$A$4:$F$568,6,FALSE)</f>
        <v>Não Financeiras</v>
      </c>
      <c r="P1055" s="17" t="str">
        <f t="shared" si="22"/>
        <v>SE</v>
      </c>
      <c r="Q1055" s="17"/>
      <c r="R1055" s="17"/>
      <c r="S1055" s="17"/>
      <c r="T1055" s="17"/>
    </row>
    <row r="1056" spans="1:20">
      <c r="A1056" s="18" t="s">
        <v>1324</v>
      </c>
      <c r="B1056" s="18" t="str">
        <f>VLOOKUP(A1056,'[6]Fin vs NFin'!$A$4:$B$568,2,FALSE)</f>
        <v>!SG-Pl.Protecção Automóvel</v>
      </c>
      <c r="C1056" s="18" t="s">
        <v>1325</v>
      </c>
      <c r="D1056" s="18" t="s">
        <v>1326</v>
      </c>
      <c r="E1056" s="18" t="str">
        <f>VLOOKUP(D1056,[6]Arvore!$N$8:$Q$6855,4,FALSE)</f>
        <v/>
      </c>
      <c r="F1056" s="19">
        <v>305610.05</v>
      </c>
      <c r="G1056" s="19">
        <v>0</v>
      </c>
      <c r="H1056" s="20">
        <v>305610.05</v>
      </c>
      <c r="I1056" s="115">
        <v>1232693.94</v>
      </c>
      <c r="J1056" s="110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56" s="21"/>
      <c r="L1056" s="22" t="s">
        <v>1136</v>
      </c>
      <c r="M1056" s="23">
        <f t="shared" si="23"/>
        <v>305610.05</v>
      </c>
      <c r="N1056" s="2"/>
      <c r="O1056" s="19" t="str">
        <f>VLOOKUP(QUERY_FOR_TRNSTRANSPOSED_0008!A1056,'[6]Fin vs NFin'!$A$4:$F$568,6,FALSE)</f>
        <v>Não Financeiras</v>
      </c>
      <c r="P1056" s="24" t="str">
        <f t="shared" si="22"/>
        <v>GE</v>
      </c>
      <c r="Q1056" s="24"/>
      <c r="R1056" s="24"/>
      <c r="S1056" s="24"/>
      <c r="T1056" s="24"/>
    </row>
    <row r="1057" spans="1:20">
      <c r="A1057" s="18" t="s">
        <v>1324</v>
      </c>
      <c r="B1057" s="18" t="str">
        <f>VLOOKUP(A1057,'[6]Fin vs NFin'!$A$4:$B$568,2,FALSE)</f>
        <v>!SG-Pl.Protecção Automóvel</v>
      </c>
      <c r="C1057" s="18" t="s">
        <v>1327</v>
      </c>
      <c r="D1057" s="18" t="s">
        <v>1135</v>
      </c>
      <c r="E1057" s="18" t="str">
        <f>VLOOKUP(D1057,[6]Arvore!$N$8:$Q$6855,4,FALSE)</f>
        <v/>
      </c>
      <c r="F1057" s="19">
        <v>867226.42</v>
      </c>
      <c r="G1057" s="19">
        <v>0</v>
      </c>
      <c r="H1057" s="20">
        <v>867226.42</v>
      </c>
      <c r="I1057" s="116"/>
      <c r="J1057" s="117"/>
      <c r="K1057" s="21"/>
      <c r="L1057" s="22" t="s">
        <v>1136</v>
      </c>
      <c r="M1057" s="23">
        <f t="shared" si="23"/>
        <v>867226.42</v>
      </c>
      <c r="N1057" s="2"/>
      <c r="O1057" s="19" t="str">
        <f>VLOOKUP(QUERY_FOR_TRNSTRANSPOSED_0008!A1057,'[6]Fin vs NFin'!$A$4:$F$568,6,FALSE)</f>
        <v>Não Financeiras</v>
      </c>
      <c r="P1057" s="24" t="str">
        <f t="shared" si="22"/>
        <v>SE</v>
      </c>
      <c r="Q1057" s="24"/>
      <c r="R1057" s="24"/>
      <c r="S1057" s="24"/>
      <c r="T1057" s="24"/>
    </row>
    <row r="1058" spans="1:20" ht="15" thickBot="1">
      <c r="A1058" s="11" t="s">
        <v>1324</v>
      </c>
      <c r="B1058" s="11" t="str">
        <f>VLOOKUP(A1058,'[6]Fin vs NFin'!$A$4:$B$568,2,FALSE)</f>
        <v>!SG-Pl.Protecção Automóvel</v>
      </c>
      <c r="C1058" s="11" t="s">
        <v>1328</v>
      </c>
      <c r="D1058" s="11" t="s">
        <v>1135</v>
      </c>
      <c r="E1058" s="11" t="str">
        <f>VLOOKUP(D1058,[6]Arvore!$N$8:$Q$6855,4,FALSE)</f>
        <v/>
      </c>
      <c r="F1058" s="12">
        <v>59857.47</v>
      </c>
      <c r="G1058" s="12">
        <v>0</v>
      </c>
      <c r="H1058" s="13">
        <v>59857.47</v>
      </c>
      <c r="I1058" s="118"/>
      <c r="J1058" s="111"/>
      <c r="K1058" s="21"/>
      <c r="L1058" s="15" t="s">
        <v>1136</v>
      </c>
      <c r="M1058" s="16">
        <f t="shared" si="23"/>
        <v>59857.47</v>
      </c>
      <c r="N1058" s="2"/>
      <c r="O1058" s="12" t="str">
        <f>VLOOKUP(QUERY_FOR_TRNSTRANSPOSED_0008!A1058,'[6]Fin vs NFin'!$A$4:$F$568,6,FALSE)</f>
        <v>Não Financeiras</v>
      </c>
      <c r="P1058" s="17" t="str">
        <f t="shared" si="22"/>
        <v>SE</v>
      </c>
      <c r="Q1058" s="17"/>
      <c r="R1058" s="17"/>
      <c r="S1058" s="17"/>
      <c r="T1058" s="17"/>
    </row>
    <row r="1059" spans="1:20">
      <c r="A1059" s="18" t="s">
        <v>1329</v>
      </c>
      <c r="B1059" s="18" t="str">
        <f>VLOOKUP(A1059,'[6]Fin vs NFin'!$A$4:$B$568,2,FALSE)</f>
        <v>!Protecção Serv.Domésticos</v>
      </c>
      <c r="C1059" s="18" t="s">
        <v>1330</v>
      </c>
      <c r="D1059" s="18" t="s">
        <v>1135</v>
      </c>
      <c r="E1059" s="18" t="str">
        <f>VLOOKUP(D1059,[6]Arvore!$N$8:$Q$6855,4,FALSE)</f>
        <v/>
      </c>
      <c r="F1059" s="19">
        <v>1470.29</v>
      </c>
      <c r="G1059" s="19">
        <v>0</v>
      </c>
      <c r="H1059" s="20">
        <v>1470.29</v>
      </c>
      <c r="I1059" s="115">
        <v>14864</v>
      </c>
      <c r="J1059" s="110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59" s="21"/>
      <c r="L1059" s="22" t="s">
        <v>1136</v>
      </c>
      <c r="M1059" s="23">
        <f t="shared" si="23"/>
        <v>1470.29</v>
      </c>
      <c r="N1059" s="2"/>
      <c r="O1059" s="19" t="str">
        <f>VLOOKUP(QUERY_FOR_TRNSTRANSPOSED_0008!A1059,'[6]Fin vs NFin'!$A$4:$F$568,6,FALSE)</f>
        <v>Não Financeiras</v>
      </c>
      <c r="P1059" s="24" t="str">
        <f t="shared" si="22"/>
        <v>SE</v>
      </c>
      <c r="Q1059" s="24"/>
      <c r="R1059" s="24"/>
      <c r="S1059" s="24"/>
      <c r="T1059" s="24"/>
    </row>
    <row r="1060" spans="1:20" ht="15" thickBot="1">
      <c r="A1060" s="11" t="s">
        <v>1329</v>
      </c>
      <c r="B1060" s="11" t="str">
        <f>VLOOKUP(A1060,'[6]Fin vs NFin'!$A$4:$B$568,2,FALSE)</f>
        <v>!Protecção Serv.Domésticos</v>
      </c>
      <c r="C1060" s="11" t="s">
        <v>1331</v>
      </c>
      <c r="D1060" s="11" t="s">
        <v>1135</v>
      </c>
      <c r="E1060" s="11" t="str">
        <f>VLOOKUP(D1060,[6]Arvore!$N$8:$Q$6855,4,FALSE)</f>
        <v/>
      </c>
      <c r="F1060" s="12">
        <v>13393.71</v>
      </c>
      <c r="G1060" s="12">
        <v>0</v>
      </c>
      <c r="H1060" s="13">
        <v>13393.71</v>
      </c>
      <c r="I1060" s="118"/>
      <c r="J1060" s="111"/>
      <c r="K1060" s="21"/>
      <c r="L1060" s="15" t="s">
        <v>1136</v>
      </c>
      <c r="M1060" s="16">
        <f t="shared" si="23"/>
        <v>13393.71</v>
      </c>
      <c r="N1060" s="2"/>
      <c r="O1060" s="12" t="str">
        <f>VLOOKUP(QUERY_FOR_TRNSTRANSPOSED_0008!A1060,'[6]Fin vs NFin'!$A$4:$F$568,6,FALSE)</f>
        <v>Não Financeiras</v>
      </c>
      <c r="P1060" s="17" t="str">
        <f t="shared" si="22"/>
        <v>SE</v>
      </c>
      <c r="Q1060" s="17"/>
      <c r="R1060" s="17"/>
      <c r="S1060" s="17"/>
      <c r="T1060" s="17"/>
    </row>
    <row r="1061" spans="1:20" ht="15" thickBot="1">
      <c r="A1061" s="25" t="s">
        <v>1332</v>
      </c>
      <c r="B1061" s="25" t="str">
        <f>VLOOKUP(A1061,'[6]Fin vs NFin'!$A$4:$B$568,2,FALSE)</f>
        <v>!Protecção Acid. Trabalho</v>
      </c>
      <c r="C1061" s="25" t="s">
        <v>1333</v>
      </c>
      <c r="D1061" s="25" t="s">
        <v>1135</v>
      </c>
      <c r="E1061" s="25" t="str">
        <f>VLOOKUP(D1061,[6]Arvore!$N$8:$Q$6855,4,FALSE)</f>
        <v/>
      </c>
      <c r="F1061" s="26">
        <v>76520.77</v>
      </c>
      <c r="G1061" s="26">
        <v>0</v>
      </c>
      <c r="H1061" s="27">
        <v>76520.77</v>
      </c>
      <c r="I1061" s="77">
        <v>76520.77</v>
      </c>
      <c r="J1061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1061" s="29" t="s">
        <v>1136</v>
      </c>
      <c r="M1061" s="30">
        <f t="shared" si="23"/>
        <v>76520.77</v>
      </c>
      <c r="N1061" s="2"/>
      <c r="O1061" s="26" t="str">
        <f>VLOOKUP(QUERY_FOR_TRNSTRANSPOSED_0008!A1061,'[6]Fin vs NFin'!$A$4:$F$568,6,FALSE)</f>
        <v>Não Financeiras</v>
      </c>
      <c r="P1061" s="31" t="str">
        <f t="shared" si="22"/>
        <v>SE</v>
      </c>
      <c r="Q1061" s="31"/>
      <c r="R1061" s="31"/>
      <c r="S1061" s="31"/>
      <c r="T1061" s="31"/>
    </row>
    <row r="1062" spans="1:20">
      <c r="A1062" s="18" t="s">
        <v>1334</v>
      </c>
      <c r="B1062" s="18" t="str">
        <f>VLOOKUP(A1062,'[6]Fin vs NFin'!$A$4:$B$568,2,FALSE)</f>
        <v>!SG-Saúde AXA</v>
      </c>
      <c r="C1062" s="18" t="s">
        <v>1335</v>
      </c>
      <c r="D1062" s="18" t="s">
        <v>1336</v>
      </c>
      <c r="E1062" s="18" t="str">
        <f>VLOOKUP(D1062,[6]Arvore!$N$8:$Q$6855,4,FALSE)</f>
        <v/>
      </c>
      <c r="F1062" s="19">
        <v>116682.55</v>
      </c>
      <c r="G1062" s="19">
        <v>0</v>
      </c>
      <c r="H1062" s="20">
        <v>116682.55</v>
      </c>
      <c r="I1062" s="115">
        <v>134951.01999999999</v>
      </c>
      <c r="J1062" s="110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62" s="21"/>
      <c r="L1062" s="74" t="s">
        <v>1136</v>
      </c>
      <c r="M1062" s="23">
        <f>H1062</f>
        <v>116682.55</v>
      </c>
      <c r="O1062" s="19" t="str">
        <f>VLOOKUP(QUERY_FOR_TRNSTRANSPOSED_0008!A1062,'[6]Fin vs NFin'!$A$4:$F$568,6,FALSE)</f>
        <v>Não Financeiras</v>
      </c>
      <c r="P1062" s="24" t="str">
        <f t="shared" si="22"/>
        <v>AX</v>
      </c>
      <c r="Q1062" s="24"/>
      <c r="R1062" s="24"/>
      <c r="S1062" s="24"/>
      <c r="T1062" s="24"/>
    </row>
    <row r="1063" spans="1:20" ht="15" thickBot="1">
      <c r="A1063" s="18" t="s">
        <v>1334</v>
      </c>
      <c r="B1063" s="18" t="str">
        <f>VLOOKUP(A1063,'[6]Fin vs NFin'!$A$4:$B$568,2,FALSE)</f>
        <v>!SG-Saúde AXA</v>
      </c>
      <c r="C1063" s="18" t="s">
        <v>1337</v>
      </c>
      <c r="D1063" s="18" t="s">
        <v>1336</v>
      </c>
      <c r="E1063" s="18" t="str">
        <f>VLOOKUP(D1063,[6]Arvore!$N$8:$Q$6855,4,FALSE)</f>
        <v/>
      </c>
      <c r="F1063" s="19">
        <v>18268.47</v>
      </c>
      <c r="G1063" s="19">
        <v>0</v>
      </c>
      <c r="H1063" s="20">
        <v>18268.47</v>
      </c>
      <c r="I1063" s="118"/>
      <c r="J1063" s="111"/>
      <c r="K1063" s="21"/>
      <c r="L1063" s="74" t="s">
        <v>1136</v>
      </c>
      <c r="M1063" s="23">
        <f>H1063</f>
        <v>18268.47</v>
      </c>
      <c r="O1063" s="19" t="str">
        <f>VLOOKUP(QUERY_FOR_TRNSTRANSPOSED_0008!A1063,'[6]Fin vs NFin'!$A$4:$F$568,6,FALSE)</f>
        <v>Não Financeiras</v>
      </c>
      <c r="P1063" s="24" t="str">
        <f t="shared" si="22"/>
        <v>AX</v>
      </c>
      <c r="Q1063" s="24"/>
      <c r="R1063" s="24"/>
      <c r="S1063" s="24"/>
      <c r="T1063" s="24"/>
    </row>
    <row r="1064" spans="1:20" ht="15" thickBot="1">
      <c r="A1064" s="25" t="s">
        <v>1338</v>
      </c>
      <c r="B1064" s="25" t="str">
        <f>VLOOKUP(A1064,'[6]Fin vs NFin'!$A$4:$B$568,2,FALSE)</f>
        <v>!SG-Saúde OneCare</v>
      </c>
      <c r="C1064" s="25" t="s">
        <v>1339</v>
      </c>
      <c r="D1064" s="25" t="s">
        <v>1135</v>
      </c>
      <c r="E1064" s="25" t="str">
        <f>VLOOKUP(D1064,[6]Arvore!$N$8:$Q$6855,4,FALSE)</f>
        <v/>
      </c>
      <c r="F1064" s="26">
        <v>2406.69</v>
      </c>
      <c r="G1064" s="26">
        <v>0</v>
      </c>
      <c r="H1064" s="27">
        <v>2406.69</v>
      </c>
      <c r="I1064" s="77">
        <v>2406.69</v>
      </c>
      <c r="J1064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1064" s="29" t="s">
        <v>1136</v>
      </c>
      <c r="M1064" s="30">
        <f t="shared" ref="M1064:M1114" si="24">H1064</f>
        <v>2406.69</v>
      </c>
      <c r="N1064" s="2"/>
      <c r="O1064" s="26" t="str">
        <f>VLOOKUP(QUERY_FOR_TRNSTRANSPOSED_0008!A1064,'[6]Fin vs NFin'!$A$4:$F$568,6,FALSE)</f>
        <v>Não Financeiras</v>
      </c>
      <c r="P1064" s="31" t="str">
        <f t="shared" si="22"/>
        <v>SE</v>
      </c>
      <c r="Q1064" s="31"/>
      <c r="R1064" s="31"/>
      <c r="S1064" s="31"/>
      <c r="T1064" s="31"/>
    </row>
    <row r="1065" spans="1:20" ht="15" thickBot="1">
      <c r="A1065" s="25" t="s">
        <v>1340</v>
      </c>
      <c r="B1065" s="25" t="str">
        <f>VLOOKUP(A1065,'[6]Fin vs NFin'!$A$4:$B$568,2,FALSE)</f>
        <v>!SG-Saúde CUF Santander</v>
      </c>
      <c r="C1065" s="25" t="s">
        <v>1341</v>
      </c>
      <c r="D1065" s="25" t="s">
        <v>1135</v>
      </c>
      <c r="E1065" s="25" t="str">
        <f>VLOOKUP(D1065,[6]Arvore!$N$8:$Q$6855,4,FALSE)</f>
        <v/>
      </c>
      <c r="F1065" s="26">
        <v>113867.43</v>
      </c>
      <c r="G1065" s="26">
        <v>0</v>
      </c>
      <c r="H1065" s="27">
        <v>113867.43</v>
      </c>
      <c r="I1065" s="77">
        <v>113867.43</v>
      </c>
      <c r="J1065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1065" s="29" t="s">
        <v>1136</v>
      </c>
      <c r="M1065" s="30">
        <f t="shared" si="24"/>
        <v>113867.43</v>
      </c>
      <c r="N1065" s="2"/>
      <c r="O1065" s="26" t="str">
        <f>VLOOKUP(QUERY_FOR_TRNSTRANSPOSED_0008!A1065,'[6]Fin vs NFin'!$A$4:$F$568,6,FALSE)</f>
        <v>Não Financeiras</v>
      </c>
      <c r="P1065" s="31" t="str">
        <f t="shared" si="22"/>
        <v>SE</v>
      </c>
      <c r="Q1065" s="31"/>
      <c r="R1065" s="31"/>
      <c r="S1065" s="31"/>
      <c r="T1065" s="31"/>
    </row>
    <row r="1066" spans="1:20">
      <c r="A1066" s="18" t="s">
        <v>1342</v>
      </c>
      <c r="B1066" s="18" t="str">
        <f>VLOOKUP(A1066,'[6]Fin vs NFin'!$A$4:$B$568,2,FALSE)</f>
        <v>!Multi.Habitação Com.Base</v>
      </c>
      <c r="C1066" s="18" t="s">
        <v>1343</v>
      </c>
      <c r="D1066" s="18" t="s">
        <v>1135</v>
      </c>
      <c r="E1066" s="18" t="str">
        <f>VLOOKUP(D1066,[6]Arvore!$N$8:$Q$6855,4,FALSE)</f>
        <v/>
      </c>
      <c r="F1066" s="19">
        <v>8044813.9199999999</v>
      </c>
      <c r="G1066" s="19">
        <v>0</v>
      </c>
      <c r="H1066" s="20">
        <v>8044813.9199999999</v>
      </c>
      <c r="I1066" s="116">
        <f>SUM(H1066:H1069)</f>
        <v>18220811.48</v>
      </c>
      <c r="J1066" s="110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66" s="21"/>
      <c r="L1066" s="22" t="s">
        <v>1136</v>
      </c>
      <c r="M1066" s="23">
        <f t="shared" si="24"/>
        <v>8044813.9199999999</v>
      </c>
      <c r="N1066" s="2"/>
      <c r="O1066" s="19" t="str">
        <f>VLOOKUP(QUERY_FOR_TRNSTRANSPOSED_0008!A1066,'[6]Fin vs NFin'!$A$4:$F$568,6,FALSE)</f>
        <v>Não Financeiras</v>
      </c>
      <c r="P1066" s="24" t="str">
        <f t="shared" si="22"/>
        <v>SE</v>
      </c>
      <c r="Q1066" s="24"/>
      <c r="R1066" s="24"/>
      <c r="S1066" s="24"/>
      <c r="T1066" s="24"/>
    </row>
    <row r="1067" spans="1:20">
      <c r="A1067" s="18" t="s">
        <v>1342</v>
      </c>
      <c r="B1067" s="18" t="str">
        <f>VLOOKUP(A1067,'[6]Fin vs NFin'!$A$4:$B$568,2,FALSE)</f>
        <v>!Multi.Habitação Com.Base</v>
      </c>
      <c r="C1067" s="18" t="s">
        <v>1344</v>
      </c>
      <c r="D1067" s="18" t="s">
        <v>1135</v>
      </c>
      <c r="E1067" s="18" t="str">
        <f>VLOOKUP(D1067,[6]Arvore!$N$8:$Q$6855,4,FALSE)</f>
        <v/>
      </c>
      <c r="F1067" s="19">
        <v>15105.12</v>
      </c>
      <c r="G1067" s="19">
        <v>0</v>
      </c>
      <c r="H1067" s="20">
        <v>15105.12</v>
      </c>
      <c r="I1067" s="116"/>
      <c r="J1067" s="117"/>
      <c r="K1067" s="21"/>
      <c r="L1067" s="22" t="s">
        <v>1136</v>
      </c>
      <c r="M1067" s="23">
        <f t="shared" si="24"/>
        <v>15105.12</v>
      </c>
      <c r="N1067" s="2"/>
      <c r="O1067" s="19" t="str">
        <f>VLOOKUP(QUERY_FOR_TRNSTRANSPOSED_0008!A1067,'[6]Fin vs NFin'!$A$4:$F$568,6,FALSE)</f>
        <v>Não Financeiras</v>
      </c>
      <c r="P1067" s="24" t="str">
        <f t="shared" si="22"/>
        <v>SE</v>
      </c>
      <c r="Q1067" s="24"/>
      <c r="R1067" s="24"/>
      <c r="S1067" s="24"/>
      <c r="T1067" s="24"/>
    </row>
    <row r="1068" spans="1:20">
      <c r="A1068" s="18" t="s">
        <v>1342</v>
      </c>
      <c r="B1068" s="18" t="str">
        <f>VLOOKUP(A1068,'[6]Fin vs NFin'!$A$4:$B$568,2,FALSE)</f>
        <v>!Multi.Habitação Com.Base</v>
      </c>
      <c r="C1068" s="18" t="s">
        <v>1345</v>
      </c>
      <c r="D1068" s="18" t="s">
        <v>1135</v>
      </c>
      <c r="E1068" s="18" t="str">
        <f>VLOOKUP(D1068,[6]Arvore!$N$8:$Q$6855,4,FALSE)</f>
        <v/>
      </c>
      <c r="F1068" s="19">
        <v>143651.91</v>
      </c>
      <c r="G1068" s="19">
        <v>0</v>
      </c>
      <c r="H1068" s="20">
        <v>143651.91</v>
      </c>
      <c r="I1068" s="116"/>
      <c r="J1068" s="117"/>
      <c r="K1068" s="21"/>
      <c r="L1068" s="22" t="s">
        <v>1136</v>
      </c>
      <c r="M1068" s="23">
        <f t="shared" si="24"/>
        <v>143651.91</v>
      </c>
      <c r="N1068" s="2"/>
      <c r="O1068" s="19" t="str">
        <f>VLOOKUP(QUERY_FOR_TRNSTRANSPOSED_0008!A1068,'[6]Fin vs NFin'!$A$4:$F$568,6,FALSE)</f>
        <v>Não Financeiras</v>
      </c>
      <c r="P1068" s="24" t="str">
        <f t="shared" si="22"/>
        <v>SE</v>
      </c>
      <c r="Q1068" s="24"/>
      <c r="R1068" s="24"/>
      <c r="S1068" s="24"/>
      <c r="T1068" s="24"/>
    </row>
    <row r="1069" spans="1:20" ht="15" thickBot="1">
      <c r="A1069" s="18" t="s">
        <v>1342</v>
      </c>
      <c r="B1069" s="18" t="str">
        <f>VLOOKUP(A1069,'[6]Fin vs NFin'!$A$4:$B$568,2,FALSE)</f>
        <v>!Multi.Habitação Com.Base</v>
      </c>
      <c r="C1069" s="18" t="s">
        <v>1346</v>
      </c>
      <c r="D1069" s="18" t="s">
        <v>1135</v>
      </c>
      <c r="E1069" s="18" t="str">
        <f>VLOOKUP(D1069,[6]Arvore!$N$8:$Q$6855,4,FALSE)</f>
        <v/>
      </c>
      <c r="F1069" s="19">
        <v>10017240.529999999</v>
      </c>
      <c r="G1069" s="19">
        <v>0</v>
      </c>
      <c r="H1069" s="20">
        <v>10017240.529999999</v>
      </c>
      <c r="I1069" s="118"/>
      <c r="J1069" s="111"/>
      <c r="K1069" s="21"/>
      <c r="L1069" s="22" t="s">
        <v>1136</v>
      </c>
      <c r="M1069" s="23">
        <f t="shared" si="24"/>
        <v>10017240.529999999</v>
      </c>
      <c r="N1069" s="2"/>
      <c r="O1069" s="19" t="str">
        <f>VLOOKUP(QUERY_FOR_TRNSTRANSPOSED_0008!A1069,'[6]Fin vs NFin'!$A$4:$F$568,6,FALSE)</f>
        <v>Não Financeiras</v>
      </c>
      <c r="P1069" s="24" t="str">
        <f t="shared" si="22"/>
        <v>SE</v>
      </c>
      <c r="Q1069" s="24"/>
      <c r="R1069" s="24"/>
      <c r="S1069" s="24"/>
      <c r="T1069" s="24"/>
    </row>
    <row r="1070" spans="1:20" ht="15" thickBot="1">
      <c r="A1070" s="25" t="s">
        <v>1347</v>
      </c>
      <c r="B1070" s="25" t="str">
        <f>VLOOKUP(A1070,'[6]Fin vs NFin'!$A$4:$B$568,2,FALSE)</f>
        <v>!Multi.Habitação Com.Extra</v>
      </c>
      <c r="C1070" s="25" t="s">
        <v>1348</v>
      </c>
      <c r="D1070" s="25" t="s">
        <v>1135</v>
      </c>
      <c r="E1070" s="25" t="str">
        <f>VLOOKUP(D1070,[6]Arvore!$N$8:$Q$6855,4,FALSE)</f>
        <v/>
      </c>
      <c r="F1070" s="26">
        <v>646342.32999999996</v>
      </c>
      <c r="G1070" s="26">
        <v>0</v>
      </c>
      <c r="H1070" s="27">
        <v>646342.32999999996</v>
      </c>
      <c r="I1070" s="77">
        <v>646342.32999999996</v>
      </c>
      <c r="J1070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1070" s="29" t="s">
        <v>1136</v>
      </c>
      <c r="M1070" s="30">
        <f t="shared" si="24"/>
        <v>646342.32999999996</v>
      </c>
      <c r="N1070" s="2"/>
      <c r="O1070" s="26" t="str">
        <f>VLOOKUP(QUERY_FOR_TRNSTRANSPOSED_0008!A1070,'[6]Fin vs NFin'!$A$4:$F$568,6,FALSE)</f>
        <v>Não Financeiras</v>
      </c>
      <c r="P1070" s="31" t="str">
        <f t="shared" si="22"/>
        <v>SE</v>
      </c>
      <c r="Q1070" s="31"/>
      <c r="R1070" s="31"/>
      <c r="S1070" s="31"/>
      <c r="T1070" s="31"/>
    </row>
    <row r="1071" spans="1:20">
      <c r="A1071" s="18" t="s">
        <v>1349</v>
      </c>
      <c r="B1071" s="18" t="str">
        <f>VLOOKUP(A1071,'[6]Fin vs NFin'!$A$4:$B$568,2,FALSE)</f>
        <v>!Multi.Prot.Lar Com.Base</v>
      </c>
      <c r="C1071" s="18" t="s">
        <v>1350</v>
      </c>
      <c r="D1071" s="18" t="s">
        <v>1135</v>
      </c>
      <c r="E1071" s="18" t="str">
        <f>VLOOKUP(D1071,[6]Arvore!$N$8:$Q$6855,4,FALSE)</f>
        <v/>
      </c>
      <c r="F1071" s="19">
        <v>2880663.01</v>
      </c>
      <c r="G1071" s="19">
        <v>0</v>
      </c>
      <c r="H1071" s="20">
        <v>2880663.01</v>
      </c>
      <c r="I1071" s="115">
        <v>10395602.49</v>
      </c>
      <c r="J1071" s="110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71" s="21"/>
      <c r="L1071" s="22" t="s">
        <v>1136</v>
      </c>
      <c r="M1071" s="23">
        <f t="shared" si="24"/>
        <v>2880663.01</v>
      </c>
      <c r="N1071" s="2"/>
      <c r="O1071" s="19" t="str">
        <f>VLOOKUP(QUERY_FOR_TRNSTRANSPOSED_0008!A1071,'[6]Fin vs NFin'!$A$4:$F$568,6,FALSE)</f>
        <v>Não Financeiras</v>
      </c>
      <c r="P1071" s="24" t="str">
        <f t="shared" si="22"/>
        <v>SE</v>
      </c>
      <c r="Q1071" s="24"/>
      <c r="R1071" s="24"/>
      <c r="S1071" s="24"/>
      <c r="T1071" s="24"/>
    </row>
    <row r="1072" spans="1:20">
      <c r="A1072" s="18" t="s">
        <v>1349</v>
      </c>
      <c r="B1072" s="18" t="str">
        <f>VLOOKUP(A1072,'[6]Fin vs NFin'!$A$4:$B$568,2,FALSE)</f>
        <v>!Multi.Prot.Lar Com.Base</v>
      </c>
      <c r="C1072" s="18" t="s">
        <v>1351</v>
      </c>
      <c r="D1072" s="18" t="s">
        <v>1135</v>
      </c>
      <c r="E1072" s="18" t="str">
        <f>VLOOKUP(D1072,[6]Arvore!$N$8:$Q$6855,4,FALSE)</f>
        <v/>
      </c>
      <c r="F1072" s="19">
        <v>9201.39</v>
      </c>
      <c r="G1072" s="19">
        <v>0</v>
      </c>
      <c r="H1072" s="20">
        <v>9201.39</v>
      </c>
      <c r="I1072" s="116"/>
      <c r="J1072" s="117"/>
      <c r="K1072" s="21"/>
      <c r="L1072" s="22" t="s">
        <v>1136</v>
      </c>
      <c r="M1072" s="23">
        <f t="shared" si="24"/>
        <v>9201.39</v>
      </c>
      <c r="N1072" s="2"/>
      <c r="O1072" s="19" t="str">
        <f>VLOOKUP(QUERY_FOR_TRNSTRANSPOSED_0008!A1072,'[6]Fin vs NFin'!$A$4:$F$568,6,FALSE)</f>
        <v>Não Financeiras</v>
      </c>
      <c r="P1072" s="24" t="str">
        <f t="shared" si="22"/>
        <v>SE</v>
      </c>
      <c r="Q1072" s="24"/>
      <c r="R1072" s="24"/>
      <c r="S1072" s="24"/>
      <c r="T1072" s="24"/>
    </row>
    <row r="1073" spans="1:20">
      <c r="A1073" s="18" t="s">
        <v>1349</v>
      </c>
      <c r="B1073" s="18" t="str">
        <f>VLOOKUP(A1073,'[6]Fin vs NFin'!$A$4:$B$568,2,FALSE)</f>
        <v>!Multi.Prot.Lar Com.Base</v>
      </c>
      <c r="C1073" s="18" t="s">
        <v>1352</v>
      </c>
      <c r="D1073" s="18" t="s">
        <v>1135</v>
      </c>
      <c r="E1073" s="18" t="str">
        <f>VLOOKUP(D1073,[6]Arvore!$N$8:$Q$6855,4,FALSE)</f>
        <v/>
      </c>
      <c r="F1073" s="19">
        <v>10007.120000000001</v>
      </c>
      <c r="G1073" s="19">
        <v>0</v>
      </c>
      <c r="H1073" s="20">
        <v>10007.120000000001</v>
      </c>
      <c r="I1073" s="116"/>
      <c r="J1073" s="117"/>
      <c r="K1073" s="21"/>
      <c r="L1073" s="22" t="s">
        <v>1136</v>
      </c>
      <c r="M1073" s="23">
        <f t="shared" si="24"/>
        <v>10007.120000000001</v>
      </c>
      <c r="N1073" s="2"/>
      <c r="O1073" s="19" t="str">
        <f>VLOOKUP(QUERY_FOR_TRNSTRANSPOSED_0008!A1073,'[6]Fin vs NFin'!$A$4:$F$568,6,FALSE)</f>
        <v>Não Financeiras</v>
      </c>
      <c r="P1073" s="24" t="str">
        <f t="shared" si="22"/>
        <v>SE</v>
      </c>
      <c r="Q1073" s="24"/>
      <c r="R1073" s="24"/>
      <c r="S1073" s="24"/>
      <c r="T1073" s="24"/>
    </row>
    <row r="1074" spans="1:20">
      <c r="A1074" s="18" t="s">
        <v>1349</v>
      </c>
      <c r="B1074" s="18" t="str">
        <f>VLOOKUP(A1074,'[6]Fin vs NFin'!$A$4:$B$568,2,FALSE)</f>
        <v>!Multi.Prot.Lar Com.Base</v>
      </c>
      <c r="C1074" s="18" t="s">
        <v>1353</v>
      </c>
      <c r="D1074" s="18" t="s">
        <v>1135</v>
      </c>
      <c r="E1074" s="18" t="str">
        <f>VLOOKUP(D1074,[6]Arvore!$N$8:$Q$6855,4,FALSE)</f>
        <v/>
      </c>
      <c r="F1074" s="19">
        <v>555296.81000000006</v>
      </c>
      <c r="G1074" s="19">
        <v>0</v>
      </c>
      <c r="H1074" s="20">
        <v>555296.81000000006</v>
      </c>
      <c r="I1074" s="116"/>
      <c r="J1074" s="117"/>
      <c r="K1074" s="21"/>
      <c r="L1074" s="22" t="s">
        <v>1136</v>
      </c>
      <c r="M1074" s="23">
        <f t="shared" si="24"/>
        <v>555296.81000000006</v>
      </c>
      <c r="N1074" s="2"/>
      <c r="O1074" s="19" t="str">
        <f>VLOOKUP(QUERY_FOR_TRNSTRANSPOSED_0008!A1074,'[6]Fin vs NFin'!$A$4:$F$568,6,FALSE)</f>
        <v>Não Financeiras</v>
      </c>
      <c r="P1074" s="24" t="str">
        <f t="shared" si="22"/>
        <v>SE</v>
      </c>
      <c r="Q1074" s="24"/>
      <c r="R1074" s="24"/>
      <c r="S1074" s="24"/>
      <c r="T1074" s="24"/>
    </row>
    <row r="1075" spans="1:20">
      <c r="A1075" s="18" t="s">
        <v>1349</v>
      </c>
      <c r="B1075" s="18" t="str">
        <f>VLOOKUP(A1075,'[6]Fin vs NFin'!$A$4:$B$568,2,FALSE)</f>
        <v>!Multi.Prot.Lar Com.Base</v>
      </c>
      <c r="C1075" s="18" t="s">
        <v>1354</v>
      </c>
      <c r="D1075" s="18" t="s">
        <v>1135</v>
      </c>
      <c r="E1075" s="18" t="str">
        <f>VLOOKUP(D1075,[6]Arvore!$N$8:$Q$6855,4,FALSE)</f>
        <v/>
      </c>
      <c r="F1075" s="19">
        <v>6424.8</v>
      </c>
      <c r="G1075" s="19">
        <v>0</v>
      </c>
      <c r="H1075" s="20">
        <v>6424.8</v>
      </c>
      <c r="I1075" s="116"/>
      <c r="J1075" s="117"/>
      <c r="K1075" s="21"/>
      <c r="L1075" s="22" t="s">
        <v>1136</v>
      </c>
      <c r="M1075" s="23">
        <f t="shared" si="24"/>
        <v>6424.8</v>
      </c>
      <c r="N1075" s="2"/>
      <c r="O1075" s="19" t="str">
        <f>VLOOKUP(QUERY_FOR_TRNSTRANSPOSED_0008!A1075,'[6]Fin vs NFin'!$A$4:$F$568,6,FALSE)</f>
        <v>Não Financeiras</v>
      </c>
      <c r="P1075" s="24" t="str">
        <f t="shared" si="22"/>
        <v>SE</v>
      </c>
      <c r="Q1075" s="24"/>
      <c r="R1075" s="24"/>
      <c r="S1075" s="24"/>
      <c r="T1075" s="24"/>
    </row>
    <row r="1076" spans="1:20" ht="15" thickBot="1">
      <c r="A1076" s="18" t="s">
        <v>1349</v>
      </c>
      <c r="B1076" s="18" t="str">
        <f>VLOOKUP(A1076,'[6]Fin vs NFin'!$A$4:$B$568,2,FALSE)</f>
        <v>!Multi.Prot.Lar Com.Base</v>
      </c>
      <c r="C1076" s="18" t="s">
        <v>1355</v>
      </c>
      <c r="D1076" s="18" t="s">
        <v>1135</v>
      </c>
      <c r="E1076" s="18" t="str">
        <f>VLOOKUP(D1076,[6]Arvore!$N$8:$Q$6855,4,FALSE)</f>
        <v/>
      </c>
      <c r="F1076" s="19">
        <v>6934009.3600000003</v>
      </c>
      <c r="G1076" s="19">
        <v>0</v>
      </c>
      <c r="H1076" s="20">
        <v>6934009.3600000003</v>
      </c>
      <c r="I1076" s="118"/>
      <c r="J1076" s="111"/>
      <c r="K1076" s="21"/>
      <c r="L1076" s="22" t="s">
        <v>1136</v>
      </c>
      <c r="M1076" s="23">
        <f t="shared" si="24"/>
        <v>6934009.3600000003</v>
      </c>
      <c r="N1076" s="2"/>
      <c r="O1076" s="19" t="str">
        <f>VLOOKUP(QUERY_FOR_TRNSTRANSPOSED_0008!A1076,'[6]Fin vs NFin'!$A$4:$F$568,6,FALSE)</f>
        <v>Não Financeiras</v>
      </c>
      <c r="P1076" s="24" t="str">
        <f t="shared" si="22"/>
        <v>SE</v>
      </c>
      <c r="Q1076" s="24"/>
      <c r="R1076" s="24"/>
      <c r="S1076" s="24"/>
      <c r="T1076" s="24"/>
    </row>
    <row r="1077" spans="1:20" ht="15" thickBot="1">
      <c r="A1077" s="25" t="s">
        <v>1356</v>
      </c>
      <c r="B1077" s="25" t="str">
        <f>VLOOKUP(A1077,'[6]Fin vs NFin'!$A$4:$B$568,2,FALSE)</f>
        <v>!Multi.Prot.Lar Com.Extra</v>
      </c>
      <c r="C1077" s="25" t="s">
        <v>1357</v>
      </c>
      <c r="D1077" s="25" t="s">
        <v>1135</v>
      </c>
      <c r="E1077" s="25" t="str">
        <f>VLOOKUP(D1077,[6]Arvore!$N$8:$Q$6855,4,FALSE)</f>
        <v/>
      </c>
      <c r="F1077" s="26">
        <v>229925.66</v>
      </c>
      <c r="G1077" s="26">
        <v>0</v>
      </c>
      <c r="H1077" s="27">
        <v>229925.66</v>
      </c>
      <c r="I1077" s="77">
        <v>229925.66</v>
      </c>
      <c r="J1077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1077" s="29" t="s">
        <v>1136</v>
      </c>
      <c r="M1077" s="30">
        <f t="shared" si="24"/>
        <v>229925.66</v>
      </c>
      <c r="N1077" s="2"/>
      <c r="O1077" s="26" t="str">
        <f>VLOOKUP(QUERY_FOR_TRNSTRANSPOSED_0008!A1077,'[6]Fin vs NFin'!$A$4:$F$568,6,FALSE)</f>
        <v>Não Financeiras</v>
      </c>
      <c r="P1077" s="31" t="str">
        <f t="shared" si="22"/>
        <v>SE</v>
      </c>
      <c r="Q1077" s="31"/>
      <c r="R1077" s="31"/>
      <c r="S1077" s="31"/>
      <c r="T1077" s="31"/>
    </row>
    <row r="1078" spans="1:20">
      <c r="A1078" s="18" t="s">
        <v>1358</v>
      </c>
      <c r="B1078" s="18" t="str">
        <f>VLOOKUP(A1078,'[6]Fin vs NFin'!$A$4:$B$568,2,FALSE)</f>
        <v>!Multiriscos Comércio</v>
      </c>
      <c r="C1078" s="18" t="s">
        <v>1359</v>
      </c>
      <c r="D1078" s="18" t="s">
        <v>1135</v>
      </c>
      <c r="E1078" s="18" t="str">
        <f>VLOOKUP(D1078,[6]Arvore!$N$8:$Q$6855,4,FALSE)</f>
        <v/>
      </c>
      <c r="F1078" s="19">
        <v>69312.22</v>
      </c>
      <c r="G1078" s="19">
        <v>0</v>
      </c>
      <c r="H1078" s="20">
        <v>69312.22</v>
      </c>
      <c r="I1078" s="115">
        <v>91031.76</v>
      </c>
      <c r="J1078" s="110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78" s="21"/>
      <c r="L1078" s="22" t="s">
        <v>1136</v>
      </c>
      <c r="M1078" s="23">
        <f t="shared" si="24"/>
        <v>69312.22</v>
      </c>
      <c r="N1078" s="2"/>
      <c r="O1078" s="19" t="str">
        <f>VLOOKUP(QUERY_FOR_TRNSTRANSPOSED_0008!A1078,'[6]Fin vs NFin'!$A$4:$F$568,6,FALSE)</f>
        <v>Não Financeiras</v>
      </c>
      <c r="P1078" s="24" t="str">
        <f t="shared" si="22"/>
        <v>SE</v>
      </c>
      <c r="Q1078" s="24"/>
      <c r="R1078" s="24"/>
      <c r="S1078" s="24"/>
      <c r="T1078" s="24"/>
    </row>
    <row r="1079" spans="1:20" ht="15" thickBot="1">
      <c r="A1079" s="11" t="s">
        <v>1358</v>
      </c>
      <c r="B1079" s="11" t="str">
        <f>VLOOKUP(A1079,'[6]Fin vs NFin'!$A$4:$B$568,2,FALSE)</f>
        <v>!Multiriscos Comércio</v>
      </c>
      <c r="C1079" s="11" t="s">
        <v>1360</v>
      </c>
      <c r="D1079" s="11" t="s">
        <v>1135</v>
      </c>
      <c r="E1079" s="11" t="str">
        <f>VLOOKUP(D1079,[6]Arvore!$N$8:$Q$6855,4,FALSE)</f>
        <v/>
      </c>
      <c r="F1079" s="12">
        <v>21719.54</v>
      </c>
      <c r="G1079" s="12">
        <v>0</v>
      </c>
      <c r="H1079" s="13">
        <v>21719.54</v>
      </c>
      <c r="I1079" s="118"/>
      <c r="J1079" s="111"/>
      <c r="K1079" s="21"/>
      <c r="L1079" s="15" t="s">
        <v>1136</v>
      </c>
      <c r="M1079" s="16">
        <f t="shared" si="24"/>
        <v>21719.54</v>
      </c>
      <c r="N1079" s="2"/>
      <c r="O1079" s="12" t="str">
        <f>VLOOKUP(QUERY_FOR_TRNSTRANSPOSED_0008!A1079,'[6]Fin vs NFin'!$A$4:$F$568,6,FALSE)</f>
        <v>Não Financeiras</v>
      </c>
      <c r="P1079" s="17" t="str">
        <f t="shared" si="22"/>
        <v>SE</v>
      </c>
      <c r="Q1079" s="17"/>
      <c r="R1079" s="17"/>
      <c r="S1079" s="17"/>
      <c r="T1079" s="17"/>
    </row>
    <row r="1080" spans="1:20">
      <c r="A1080" s="18" t="s">
        <v>1361</v>
      </c>
      <c r="B1080" s="18" t="str">
        <f>VLOOKUP(A1080,'[6]Fin vs NFin'!$A$4:$B$568,2,FALSE)</f>
        <v>!Responsabilidade Civil</v>
      </c>
      <c r="C1080" s="18" t="s">
        <v>1362</v>
      </c>
      <c r="D1080" s="18" t="s">
        <v>1135</v>
      </c>
      <c r="E1080" s="18" t="str">
        <f>VLOOKUP(D1080,[6]Arvore!$N$8:$Q$6855,4,FALSE)</f>
        <v/>
      </c>
      <c r="F1080" s="19">
        <v>38969.050000000003</v>
      </c>
      <c r="G1080" s="19">
        <v>0</v>
      </c>
      <c r="H1080" s="20">
        <v>38969.050000000003</v>
      </c>
      <c r="I1080" s="115">
        <v>192635.02</v>
      </c>
      <c r="J1080" s="110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80" s="21"/>
      <c r="L1080" s="22" t="s">
        <v>1136</v>
      </c>
      <c r="M1080" s="23">
        <f t="shared" si="24"/>
        <v>38969.050000000003</v>
      </c>
      <c r="N1080" s="2"/>
      <c r="O1080" s="19" t="str">
        <f>VLOOKUP(QUERY_FOR_TRNSTRANSPOSED_0008!A1080,'[6]Fin vs NFin'!$A$4:$F$568,6,FALSE)</f>
        <v>Não Financeiras</v>
      </c>
      <c r="P1080" s="24" t="str">
        <f t="shared" si="22"/>
        <v>SE</v>
      </c>
      <c r="Q1080" s="24"/>
      <c r="R1080" s="24"/>
      <c r="S1080" s="24"/>
      <c r="T1080" s="24"/>
    </row>
    <row r="1081" spans="1:20">
      <c r="A1081" s="18" t="s">
        <v>1361</v>
      </c>
      <c r="B1081" s="18" t="str">
        <f>VLOOKUP(A1081,'[6]Fin vs NFin'!$A$4:$B$568,2,FALSE)</f>
        <v>!Responsabilidade Civil</v>
      </c>
      <c r="C1081" s="18" t="s">
        <v>1363</v>
      </c>
      <c r="D1081" s="18" t="s">
        <v>1135</v>
      </c>
      <c r="E1081" s="18" t="str">
        <f>VLOOKUP(D1081,[6]Arvore!$N$8:$Q$6855,4,FALSE)</f>
        <v/>
      </c>
      <c r="F1081" s="19">
        <v>2926.27</v>
      </c>
      <c r="G1081" s="19">
        <v>0</v>
      </c>
      <c r="H1081" s="20">
        <v>2926.27</v>
      </c>
      <c r="I1081" s="116"/>
      <c r="J1081" s="117"/>
      <c r="K1081" s="21"/>
      <c r="L1081" s="22" t="s">
        <v>1136</v>
      </c>
      <c r="M1081" s="23">
        <f t="shared" si="24"/>
        <v>2926.27</v>
      </c>
      <c r="N1081" s="2"/>
      <c r="O1081" s="19" t="str">
        <f>VLOOKUP(QUERY_FOR_TRNSTRANSPOSED_0008!A1081,'[6]Fin vs NFin'!$A$4:$F$568,6,FALSE)</f>
        <v>Não Financeiras</v>
      </c>
      <c r="P1081" s="24" t="str">
        <f t="shared" si="22"/>
        <v>SE</v>
      </c>
      <c r="Q1081" s="24"/>
      <c r="R1081" s="24"/>
      <c r="S1081" s="24"/>
      <c r="T1081" s="24"/>
    </row>
    <row r="1082" spans="1:20" ht="15" thickBot="1">
      <c r="A1082" s="18" t="s">
        <v>1361</v>
      </c>
      <c r="B1082" s="18" t="str">
        <f>VLOOKUP(A1082,'[6]Fin vs NFin'!$A$4:$B$568,2,FALSE)</f>
        <v>!Responsabilidade Civil</v>
      </c>
      <c r="C1082" s="18" t="s">
        <v>1364</v>
      </c>
      <c r="D1082" s="18" t="s">
        <v>1135</v>
      </c>
      <c r="E1082" s="18" t="str">
        <f>VLOOKUP(D1082,[6]Arvore!$N$8:$Q$6855,4,FALSE)</f>
        <v/>
      </c>
      <c r="F1082" s="19">
        <v>150739.70000000001</v>
      </c>
      <c r="G1082" s="19">
        <v>0</v>
      </c>
      <c r="H1082" s="20">
        <v>150739.70000000001</v>
      </c>
      <c r="I1082" s="118"/>
      <c r="J1082" s="111"/>
      <c r="K1082" s="21"/>
      <c r="L1082" s="22" t="s">
        <v>1136</v>
      </c>
      <c r="M1082" s="23">
        <f t="shared" si="24"/>
        <v>150739.70000000001</v>
      </c>
      <c r="N1082" s="2"/>
      <c r="O1082" s="19" t="str">
        <f>VLOOKUP(QUERY_FOR_TRNSTRANSPOSED_0008!A1082,'[6]Fin vs NFin'!$A$4:$F$568,6,FALSE)</f>
        <v>Não Financeiras</v>
      </c>
      <c r="P1082" s="24" t="str">
        <f t="shared" si="22"/>
        <v>SE</v>
      </c>
      <c r="Q1082" s="24"/>
      <c r="R1082" s="24"/>
      <c r="S1082" s="24"/>
      <c r="T1082" s="24"/>
    </row>
    <row r="1083" spans="1:20" ht="15" thickBot="1">
      <c r="A1083" s="25" t="s">
        <v>1365</v>
      </c>
      <c r="B1083" s="25" t="str">
        <f>VLOOKUP(A1083,'[6]Fin vs NFin'!$A$4:$B$568,2,FALSE)</f>
        <v>!Cyber Empresas</v>
      </c>
      <c r="C1083" s="25" t="s">
        <v>1366</v>
      </c>
      <c r="D1083" s="25" t="s">
        <v>1135</v>
      </c>
      <c r="E1083" s="25" t="str">
        <f>VLOOKUP(D1083,[6]Arvore!$N$8:$Q$6855,4,FALSE)</f>
        <v/>
      </c>
      <c r="F1083" s="26">
        <v>9412.17</v>
      </c>
      <c r="G1083" s="26">
        <v>0</v>
      </c>
      <c r="H1083" s="27">
        <v>9412.17</v>
      </c>
      <c r="I1083" s="77">
        <v>9412.17</v>
      </c>
      <c r="J1083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1083" s="29" t="s">
        <v>1136</v>
      </c>
      <c r="M1083" s="30">
        <f t="shared" si="24"/>
        <v>9412.17</v>
      </c>
      <c r="N1083" s="2"/>
      <c r="O1083" s="26" t="str">
        <f>VLOOKUP(QUERY_FOR_TRNSTRANSPOSED_0008!A1083,'[6]Fin vs NFin'!$A$4:$F$568,6,FALSE)</f>
        <v>Não Financeiras</v>
      </c>
      <c r="P1083" s="31" t="str">
        <f t="shared" si="22"/>
        <v>SE</v>
      </c>
      <c r="Q1083" s="31"/>
      <c r="R1083" s="31"/>
      <c r="S1083" s="31"/>
      <c r="T1083" s="31"/>
    </row>
    <row r="1084" spans="1:20">
      <c r="A1084" s="18" t="s">
        <v>1367</v>
      </c>
      <c r="B1084" s="18" t="str">
        <f>VLOOKUP(A1084,'[6]Fin vs NFin'!$A$4:$B$568,2,FALSE)</f>
        <v>!Chave de Mediação</v>
      </c>
      <c r="C1084" s="18" t="s">
        <v>1368</v>
      </c>
      <c r="D1084" s="18" t="s">
        <v>1135</v>
      </c>
      <c r="E1084" s="18" t="str">
        <f>VLOOKUP(D1084,[6]Arvore!$N$8:$Q$6855,4,FALSE)</f>
        <v/>
      </c>
      <c r="F1084" s="19">
        <v>114752.63</v>
      </c>
      <c r="G1084" s="19">
        <v>0</v>
      </c>
      <c r="H1084" s="20">
        <v>114752.63</v>
      </c>
      <c r="I1084" s="115">
        <v>115723.88</v>
      </c>
      <c r="J1084" s="110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84" s="21"/>
      <c r="L1084" s="22" t="s">
        <v>1136</v>
      </c>
      <c r="M1084" s="23">
        <f t="shared" si="24"/>
        <v>114752.63</v>
      </c>
      <c r="N1084" s="2"/>
      <c r="O1084" s="19" t="str">
        <f>VLOOKUP(QUERY_FOR_TRNSTRANSPOSED_0008!A1084,'[6]Fin vs NFin'!$A$4:$F$568,6,FALSE)</f>
        <v>Não Financeiras</v>
      </c>
      <c r="P1084" s="24" t="str">
        <f t="shared" si="22"/>
        <v>SE</v>
      </c>
      <c r="Q1084" s="24"/>
      <c r="R1084" s="24"/>
      <c r="S1084" s="24"/>
      <c r="T1084" s="24"/>
    </row>
    <row r="1085" spans="1:20" ht="15" thickBot="1">
      <c r="A1085" s="11" t="s">
        <v>1367</v>
      </c>
      <c r="B1085" s="11" t="str">
        <f>VLOOKUP(A1085,'[6]Fin vs NFin'!$A$4:$B$568,2,FALSE)</f>
        <v>!Chave de Mediação</v>
      </c>
      <c r="C1085" s="11" t="s">
        <v>1369</v>
      </c>
      <c r="D1085" s="11" t="s">
        <v>1135</v>
      </c>
      <c r="E1085" s="11" t="str">
        <f>VLOOKUP(D1085,[6]Arvore!$N$8:$Q$6855,4,FALSE)</f>
        <v/>
      </c>
      <c r="F1085" s="12">
        <v>971.25</v>
      </c>
      <c r="G1085" s="12">
        <v>0</v>
      </c>
      <c r="H1085" s="13">
        <v>971.25</v>
      </c>
      <c r="I1085" s="118"/>
      <c r="J1085" s="111"/>
      <c r="K1085" s="21"/>
      <c r="L1085" s="15" t="s">
        <v>1136</v>
      </c>
      <c r="M1085" s="16">
        <f t="shared" si="24"/>
        <v>971.25</v>
      </c>
      <c r="N1085" s="2"/>
      <c r="O1085" s="12" t="str">
        <f>VLOOKUP(QUERY_FOR_TRNSTRANSPOSED_0008!A1085,'[6]Fin vs NFin'!$A$4:$F$568,6,FALSE)</f>
        <v>Não Financeiras</v>
      </c>
      <c r="P1085" s="17" t="str">
        <f t="shared" si="22"/>
        <v>SE</v>
      </c>
      <c r="Q1085" s="17"/>
      <c r="R1085" s="17"/>
      <c r="S1085" s="17"/>
      <c r="T1085" s="17"/>
    </row>
    <row r="1086" spans="1:20">
      <c r="A1086" s="18" t="s">
        <v>1370</v>
      </c>
      <c r="B1086" s="18" t="str">
        <f>VLOOKUP(A1086,'[6]Fin vs NFin'!$A$4:$B$568,2,FALSE)</f>
        <v>!Proteção Empresas</v>
      </c>
      <c r="C1086" s="18" t="s">
        <v>1371</v>
      </c>
      <c r="D1086" s="18" t="s">
        <v>1135</v>
      </c>
      <c r="E1086" s="18" t="str">
        <f>VLOOKUP(D1086,[6]Arvore!$N$8:$Q$6855,4,FALSE)</f>
        <v/>
      </c>
      <c r="F1086" s="19">
        <v>114158.92</v>
      </c>
      <c r="G1086" s="19">
        <v>0</v>
      </c>
      <c r="H1086" s="20">
        <v>114158.92</v>
      </c>
      <c r="I1086" s="115">
        <v>133873.97</v>
      </c>
      <c r="J1086" s="110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86" s="21"/>
      <c r="L1086" s="22" t="s">
        <v>1136</v>
      </c>
      <c r="M1086" s="23">
        <f t="shared" si="24"/>
        <v>114158.92</v>
      </c>
      <c r="N1086" s="2"/>
      <c r="O1086" s="19" t="str">
        <f>VLOOKUP(QUERY_FOR_TRNSTRANSPOSED_0008!A1086,'[6]Fin vs NFin'!$A$4:$F$568,6,FALSE)</f>
        <v>Não Financeiras</v>
      </c>
      <c r="P1086" s="24" t="str">
        <f t="shared" si="22"/>
        <v>SE</v>
      </c>
      <c r="Q1086" s="24"/>
      <c r="R1086" s="24"/>
      <c r="S1086" s="24"/>
      <c r="T1086" s="24"/>
    </row>
    <row r="1087" spans="1:20">
      <c r="A1087" s="18" t="s">
        <v>1370</v>
      </c>
      <c r="B1087" s="18" t="str">
        <f>VLOOKUP(A1087,'[6]Fin vs NFin'!$A$4:$B$568,2,FALSE)</f>
        <v>!Proteção Empresas</v>
      </c>
      <c r="C1087" s="18" t="s">
        <v>1372</v>
      </c>
      <c r="D1087" s="18" t="s">
        <v>1135</v>
      </c>
      <c r="E1087" s="18" t="str">
        <f>VLOOKUP(D1087,[6]Arvore!$N$8:$Q$6855,4,FALSE)</f>
        <v/>
      </c>
      <c r="F1087" s="19">
        <v>10715.31</v>
      </c>
      <c r="G1087" s="19">
        <v>0</v>
      </c>
      <c r="H1087" s="20">
        <v>10715.31</v>
      </c>
      <c r="I1087" s="116"/>
      <c r="J1087" s="117"/>
      <c r="K1087" s="21"/>
      <c r="L1087" s="22" t="s">
        <v>1136</v>
      </c>
      <c r="M1087" s="23">
        <f t="shared" si="24"/>
        <v>10715.31</v>
      </c>
      <c r="N1087" s="2"/>
      <c r="O1087" s="19" t="str">
        <f>VLOOKUP(QUERY_FOR_TRNSTRANSPOSED_0008!A1087,'[6]Fin vs NFin'!$A$4:$F$568,6,FALSE)</f>
        <v>Não Financeiras</v>
      </c>
      <c r="P1087" s="24" t="str">
        <f t="shared" si="22"/>
        <v>SE</v>
      </c>
      <c r="Q1087" s="24"/>
      <c r="R1087" s="24"/>
      <c r="S1087" s="24"/>
      <c r="T1087" s="24"/>
    </row>
    <row r="1088" spans="1:20" ht="15" thickBot="1">
      <c r="A1088" s="11" t="s">
        <v>1370</v>
      </c>
      <c r="B1088" s="11" t="str">
        <f>VLOOKUP(A1088,'[6]Fin vs NFin'!$A$4:$B$568,2,FALSE)</f>
        <v>!Proteção Empresas</v>
      </c>
      <c r="C1088" s="11" t="s">
        <v>1373</v>
      </c>
      <c r="D1088" s="11" t="s">
        <v>1135</v>
      </c>
      <c r="E1088" s="11" t="str">
        <f>VLOOKUP(D1088,[6]Arvore!$N$8:$Q$6855,4,FALSE)</f>
        <v/>
      </c>
      <c r="F1088" s="12">
        <v>8999.74</v>
      </c>
      <c r="G1088" s="12">
        <v>0</v>
      </c>
      <c r="H1088" s="13">
        <v>8999.74</v>
      </c>
      <c r="I1088" s="118"/>
      <c r="J1088" s="111"/>
      <c r="K1088" s="21"/>
      <c r="L1088" s="15" t="s">
        <v>1136</v>
      </c>
      <c r="M1088" s="16">
        <f t="shared" si="24"/>
        <v>8999.74</v>
      </c>
      <c r="N1088" s="2"/>
      <c r="O1088" s="12" t="str">
        <f>VLOOKUP(QUERY_FOR_TRNSTRANSPOSED_0008!A1088,'[6]Fin vs NFin'!$A$4:$F$568,6,FALSE)</f>
        <v>Não Financeiras</v>
      </c>
      <c r="P1088" s="17" t="str">
        <f t="shared" si="22"/>
        <v>SE</v>
      </c>
      <c r="Q1088" s="17"/>
      <c r="R1088" s="17"/>
      <c r="S1088" s="17"/>
      <c r="T1088" s="17"/>
    </row>
    <row r="1089" spans="1:20" ht="15" thickBot="1">
      <c r="A1089" s="25" t="s">
        <v>1374</v>
      </c>
      <c r="B1089" s="25" t="str">
        <f>VLOOKUP(A1089,'[6]Fin vs NFin'!$A$4:$B$568,2,FALSE)</f>
        <v>!Proteção Private</v>
      </c>
      <c r="C1089" s="25" t="s">
        <v>1375</v>
      </c>
      <c r="D1089" s="25" t="s">
        <v>1135</v>
      </c>
      <c r="E1089" s="25" t="str">
        <f>VLOOKUP(D1089,[6]Arvore!$N$8:$Q$6855,4,FALSE)</f>
        <v/>
      </c>
      <c r="F1089" s="26">
        <v>5495.61</v>
      </c>
      <c r="G1089" s="26">
        <v>0</v>
      </c>
      <c r="H1089" s="27">
        <v>5495.61</v>
      </c>
      <c r="I1089" s="77">
        <v>5495.61</v>
      </c>
      <c r="J1089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1089" s="29" t="s">
        <v>1136</v>
      </c>
      <c r="M1089" s="30">
        <f t="shared" si="24"/>
        <v>5495.61</v>
      </c>
      <c r="N1089" s="2"/>
      <c r="O1089" s="26" t="str">
        <f>VLOOKUP(QUERY_FOR_TRNSTRANSPOSED_0008!A1089,'[6]Fin vs NFin'!$A$4:$F$568,6,FALSE)</f>
        <v>Não Financeiras</v>
      </c>
      <c r="P1089" s="31" t="str">
        <f t="shared" si="22"/>
        <v>SE</v>
      </c>
      <c r="Q1089" s="31"/>
      <c r="R1089" s="31"/>
      <c r="S1089" s="31"/>
      <c r="T1089" s="31"/>
    </row>
    <row r="1090" spans="1:20" ht="15" thickBot="1">
      <c r="A1090" s="25" t="s">
        <v>1376</v>
      </c>
      <c r="B1090" s="25" t="str">
        <f>VLOOKUP(A1090,'[6]Fin vs NFin'!$A$4:$B$568,2,FALSE)</f>
        <v>!AON Comissão Consultoria</v>
      </c>
      <c r="C1090" s="25" t="s">
        <v>1377</v>
      </c>
      <c r="D1090" s="25" t="s">
        <v>1135</v>
      </c>
      <c r="E1090" s="25" t="str">
        <f>VLOOKUP(D1090,[6]Arvore!$N$8:$Q$6855,4,FALSE)</f>
        <v/>
      </c>
      <c r="F1090" s="26">
        <v>1000</v>
      </c>
      <c r="G1090" s="26">
        <v>0</v>
      </c>
      <c r="H1090" s="27">
        <v>1000</v>
      </c>
      <c r="I1090" s="77">
        <v>1000</v>
      </c>
      <c r="J1090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1090" s="29" t="s">
        <v>1136</v>
      </c>
      <c r="M1090" s="30">
        <f t="shared" si="24"/>
        <v>1000</v>
      </c>
      <c r="N1090" s="2"/>
      <c r="O1090" s="26" t="str">
        <f>VLOOKUP(QUERY_FOR_TRNSTRANSPOSED_0008!A1090,'[6]Fin vs NFin'!$A$4:$F$568,6,FALSE)</f>
        <v>Não Financeiras</v>
      </c>
      <c r="P1090" s="31" t="str">
        <f t="shared" si="22"/>
        <v>SE</v>
      </c>
      <c r="Q1090" s="31"/>
      <c r="R1090" s="31"/>
      <c r="S1090" s="31"/>
      <c r="T1090" s="31"/>
    </row>
    <row r="1091" spans="1:20">
      <c r="A1091" s="18" t="s">
        <v>1378</v>
      </c>
      <c r="B1091" s="18" t="str">
        <f>VLOOKUP(A1091,'[6]Fin vs NFin'!$A$4:$B$568,2,FALSE)</f>
        <v>!Vida Autónomos/Associados</v>
      </c>
      <c r="C1091" s="18" t="s">
        <v>1379</v>
      </c>
      <c r="D1091" s="18" t="s">
        <v>1135</v>
      </c>
      <c r="E1091" s="18" t="str">
        <f>VLOOKUP(D1091,[6]Arvore!$N$8:$Q$6855,4,FALSE)</f>
        <v/>
      </c>
      <c r="F1091" s="19">
        <v>3615.11</v>
      </c>
      <c r="G1091" s="19">
        <v>0</v>
      </c>
      <c r="H1091" s="20">
        <v>3615.11</v>
      </c>
      <c r="I1091" s="115">
        <v>360914.1</v>
      </c>
      <c r="J1091" s="110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91" s="21"/>
      <c r="L1091" s="22" t="s">
        <v>1136</v>
      </c>
      <c r="M1091" s="23">
        <f t="shared" si="24"/>
        <v>3615.11</v>
      </c>
      <c r="N1091" s="2"/>
      <c r="O1091" s="19" t="str">
        <f>VLOOKUP(QUERY_FOR_TRNSTRANSPOSED_0008!A1091,'[6]Fin vs NFin'!$A$4:$F$568,6,FALSE)</f>
        <v>Não Financeiras</v>
      </c>
      <c r="P1091" s="24" t="str">
        <f t="shared" si="22"/>
        <v>SE</v>
      </c>
      <c r="Q1091" s="24"/>
      <c r="R1091" s="24"/>
      <c r="S1091" s="24"/>
      <c r="T1091" s="24"/>
    </row>
    <row r="1092" spans="1:20">
      <c r="A1092" s="18" t="s">
        <v>1378</v>
      </c>
      <c r="B1092" s="18" t="str">
        <f>VLOOKUP(A1092,'[6]Fin vs NFin'!$A$4:$B$568,2,FALSE)</f>
        <v>!Vida Autónomos/Associados</v>
      </c>
      <c r="C1092" s="18" t="s">
        <v>1380</v>
      </c>
      <c r="D1092" s="18" t="s">
        <v>1135</v>
      </c>
      <c r="E1092" s="18" t="str">
        <f>VLOOKUP(D1092,[6]Arvore!$N$8:$Q$6855,4,FALSE)</f>
        <v/>
      </c>
      <c r="F1092" s="19">
        <v>8753.2800000000007</v>
      </c>
      <c r="G1092" s="19">
        <v>0</v>
      </c>
      <c r="H1092" s="20">
        <v>8753.2800000000007</v>
      </c>
      <c r="I1092" s="116"/>
      <c r="J1092" s="117"/>
      <c r="K1092" s="21"/>
      <c r="L1092" s="22" t="s">
        <v>1136</v>
      </c>
      <c r="M1092" s="23">
        <f t="shared" si="24"/>
        <v>8753.2800000000007</v>
      </c>
      <c r="N1092" s="2"/>
      <c r="O1092" s="19" t="str">
        <f>VLOOKUP(QUERY_FOR_TRNSTRANSPOSED_0008!A1092,'[6]Fin vs NFin'!$A$4:$F$568,6,FALSE)</f>
        <v>Não Financeiras</v>
      </c>
      <c r="P1092" s="24" t="str">
        <f t="shared" si="22"/>
        <v>SE</v>
      </c>
      <c r="Q1092" s="24"/>
      <c r="R1092" s="24"/>
      <c r="S1092" s="24"/>
      <c r="T1092" s="24"/>
    </row>
    <row r="1093" spans="1:20">
      <c r="A1093" s="18" t="s">
        <v>1378</v>
      </c>
      <c r="B1093" s="18" t="str">
        <f>VLOOKUP(A1093,'[6]Fin vs NFin'!$A$4:$B$568,2,FALSE)</f>
        <v>!Vida Autónomos/Associados</v>
      </c>
      <c r="C1093" s="18" t="s">
        <v>1381</v>
      </c>
      <c r="D1093" s="18" t="s">
        <v>1135</v>
      </c>
      <c r="E1093" s="18" t="str">
        <f>VLOOKUP(D1093,[6]Arvore!$N$8:$Q$6855,4,FALSE)</f>
        <v/>
      </c>
      <c r="F1093" s="19">
        <v>12.5</v>
      </c>
      <c r="G1093" s="19">
        <v>0</v>
      </c>
      <c r="H1093" s="20">
        <v>12.5</v>
      </c>
      <c r="I1093" s="116"/>
      <c r="J1093" s="117"/>
      <c r="K1093" s="21"/>
      <c r="L1093" s="22" t="s">
        <v>1136</v>
      </c>
      <c r="M1093" s="23">
        <f t="shared" si="24"/>
        <v>12.5</v>
      </c>
      <c r="N1093" s="2"/>
      <c r="O1093" s="19" t="str">
        <f>VLOOKUP(QUERY_FOR_TRNSTRANSPOSED_0008!A1093,'[6]Fin vs NFin'!$A$4:$F$568,6,FALSE)</f>
        <v>Não Financeiras</v>
      </c>
      <c r="P1093" s="24" t="str">
        <f t="shared" si="22"/>
        <v>SE</v>
      </c>
      <c r="Q1093" s="24"/>
      <c r="R1093" s="24"/>
      <c r="S1093" s="24"/>
      <c r="T1093" s="24"/>
    </row>
    <row r="1094" spans="1:20">
      <c r="A1094" s="18" t="s">
        <v>1378</v>
      </c>
      <c r="B1094" s="18" t="str">
        <f>VLOOKUP(A1094,'[6]Fin vs NFin'!$A$4:$B$568,2,FALSE)</f>
        <v>!Vida Autónomos/Associados</v>
      </c>
      <c r="C1094" s="18" t="s">
        <v>1382</v>
      </c>
      <c r="D1094" s="18" t="s">
        <v>1135</v>
      </c>
      <c r="E1094" s="18" t="str">
        <f>VLOOKUP(D1094,[6]Arvore!$N$8:$Q$6855,4,FALSE)</f>
        <v/>
      </c>
      <c r="F1094" s="19">
        <v>581.77</v>
      </c>
      <c r="G1094" s="19">
        <v>0</v>
      </c>
      <c r="H1094" s="20">
        <v>581.77</v>
      </c>
      <c r="I1094" s="116"/>
      <c r="J1094" s="117"/>
      <c r="K1094" s="21"/>
      <c r="L1094" s="22" t="s">
        <v>1136</v>
      </c>
      <c r="M1094" s="23">
        <f t="shared" si="24"/>
        <v>581.77</v>
      </c>
      <c r="N1094" s="2"/>
      <c r="O1094" s="19" t="str">
        <f>VLOOKUP(QUERY_FOR_TRNSTRANSPOSED_0008!A1094,'[6]Fin vs NFin'!$A$4:$F$568,6,FALSE)</f>
        <v>Não Financeiras</v>
      </c>
      <c r="P1094" s="24" t="str">
        <f t="shared" ref="P1094:P1157" si="25">LEFT(D1094,2)</f>
        <v>SE</v>
      </c>
      <c r="Q1094" s="24"/>
      <c r="R1094" s="24"/>
      <c r="S1094" s="24"/>
      <c r="T1094" s="24"/>
    </row>
    <row r="1095" spans="1:20">
      <c r="A1095" s="18" t="s">
        <v>1378</v>
      </c>
      <c r="B1095" s="18" t="str">
        <f>VLOOKUP(A1095,'[6]Fin vs NFin'!$A$4:$B$568,2,FALSE)</f>
        <v>!Vida Autónomos/Associados</v>
      </c>
      <c r="C1095" s="18" t="s">
        <v>1383</v>
      </c>
      <c r="D1095" s="18" t="s">
        <v>1135</v>
      </c>
      <c r="E1095" s="18" t="str">
        <f>VLOOKUP(D1095,[6]Arvore!$N$8:$Q$6855,4,FALSE)</f>
        <v/>
      </c>
      <c r="F1095" s="19">
        <v>14256.79</v>
      </c>
      <c r="G1095" s="19">
        <v>0</v>
      </c>
      <c r="H1095" s="20">
        <v>14256.79</v>
      </c>
      <c r="I1095" s="116"/>
      <c r="J1095" s="117"/>
      <c r="K1095" s="21"/>
      <c r="L1095" s="22" t="s">
        <v>1136</v>
      </c>
      <c r="M1095" s="23">
        <f t="shared" si="24"/>
        <v>14256.79</v>
      </c>
      <c r="N1095" s="2"/>
      <c r="O1095" s="19" t="str">
        <f>VLOOKUP(QUERY_FOR_TRNSTRANSPOSED_0008!A1095,'[6]Fin vs NFin'!$A$4:$F$568,6,FALSE)</f>
        <v>Não Financeiras</v>
      </c>
      <c r="P1095" s="24" t="str">
        <f t="shared" si="25"/>
        <v>SE</v>
      </c>
      <c r="Q1095" s="24"/>
      <c r="R1095" s="24"/>
      <c r="S1095" s="24"/>
      <c r="T1095" s="24"/>
    </row>
    <row r="1096" spans="1:20">
      <c r="A1096" s="18" t="s">
        <v>1378</v>
      </c>
      <c r="B1096" s="18" t="str">
        <f>VLOOKUP(A1096,'[6]Fin vs NFin'!$A$4:$B$568,2,FALSE)</f>
        <v>!Vida Autónomos/Associados</v>
      </c>
      <c r="C1096" s="18" t="s">
        <v>1384</v>
      </c>
      <c r="D1096" s="18" t="s">
        <v>1135</v>
      </c>
      <c r="E1096" s="18" t="str">
        <f>VLOOKUP(D1096,[6]Arvore!$N$8:$Q$6855,4,FALSE)</f>
        <v/>
      </c>
      <c r="F1096" s="19">
        <v>29.25</v>
      </c>
      <c r="G1096" s="19">
        <v>0</v>
      </c>
      <c r="H1096" s="20">
        <v>29.25</v>
      </c>
      <c r="I1096" s="116"/>
      <c r="J1096" s="117"/>
      <c r="K1096" s="21"/>
      <c r="L1096" s="22" t="s">
        <v>1136</v>
      </c>
      <c r="M1096" s="23">
        <f t="shared" si="24"/>
        <v>29.25</v>
      </c>
      <c r="N1096" s="2"/>
      <c r="O1096" s="19" t="str">
        <f>VLOOKUP(QUERY_FOR_TRNSTRANSPOSED_0008!A1096,'[6]Fin vs NFin'!$A$4:$F$568,6,FALSE)</f>
        <v>Não Financeiras</v>
      </c>
      <c r="P1096" s="24" t="str">
        <f t="shared" si="25"/>
        <v>SE</v>
      </c>
      <c r="Q1096" s="24"/>
      <c r="R1096" s="24"/>
      <c r="S1096" s="24"/>
      <c r="T1096" s="24"/>
    </row>
    <row r="1097" spans="1:20">
      <c r="A1097" s="18" t="s">
        <v>1378</v>
      </c>
      <c r="B1097" s="18" t="str">
        <f>VLOOKUP(A1097,'[6]Fin vs NFin'!$A$4:$B$568,2,FALSE)</f>
        <v>!Vida Autónomos/Associados</v>
      </c>
      <c r="C1097" s="18" t="s">
        <v>1385</v>
      </c>
      <c r="D1097" s="18" t="s">
        <v>1135</v>
      </c>
      <c r="E1097" s="18" t="str">
        <f>VLOOKUP(D1097,[6]Arvore!$N$8:$Q$6855,4,FALSE)</f>
        <v/>
      </c>
      <c r="F1097" s="19">
        <v>837.32</v>
      </c>
      <c r="G1097" s="19">
        <v>0</v>
      </c>
      <c r="H1097" s="20">
        <v>837.32</v>
      </c>
      <c r="I1097" s="116"/>
      <c r="J1097" s="117"/>
      <c r="K1097" s="21"/>
      <c r="L1097" s="22" t="s">
        <v>1136</v>
      </c>
      <c r="M1097" s="23">
        <f t="shared" si="24"/>
        <v>837.32</v>
      </c>
      <c r="N1097" s="2"/>
      <c r="O1097" s="19" t="str">
        <f>VLOOKUP(QUERY_FOR_TRNSTRANSPOSED_0008!A1097,'[6]Fin vs NFin'!$A$4:$F$568,6,FALSE)</f>
        <v>Não Financeiras</v>
      </c>
      <c r="P1097" s="24" t="str">
        <f t="shared" si="25"/>
        <v>SE</v>
      </c>
      <c r="Q1097" s="24"/>
      <c r="R1097" s="24"/>
      <c r="S1097" s="24"/>
      <c r="T1097" s="24"/>
    </row>
    <row r="1098" spans="1:20">
      <c r="A1098" s="18" t="s">
        <v>1378</v>
      </c>
      <c r="B1098" s="18" t="str">
        <f>VLOOKUP(A1098,'[6]Fin vs NFin'!$A$4:$B$568,2,FALSE)</f>
        <v>!Vida Autónomos/Associados</v>
      </c>
      <c r="C1098" s="18" t="s">
        <v>1386</v>
      </c>
      <c r="D1098" s="18" t="s">
        <v>1135</v>
      </c>
      <c r="E1098" s="18" t="str">
        <f>VLOOKUP(D1098,[6]Arvore!$N$8:$Q$6855,4,FALSE)</f>
        <v/>
      </c>
      <c r="F1098" s="19">
        <v>8729.51</v>
      </c>
      <c r="G1098" s="19">
        <v>0</v>
      </c>
      <c r="H1098" s="20">
        <v>8729.51</v>
      </c>
      <c r="I1098" s="116"/>
      <c r="J1098" s="117"/>
      <c r="K1098" s="21"/>
      <c r="L1098" s="22" t="s">
        <v>1136</v>
      </c>
      <c r="M1098" s="23">
        <f t="shared" si="24"/>
        <v>8729.51</v>
      </c>
      <c r="N1098" s="2"/>
      <c r="O1098" s="19" t="str">
        <f>VLOOKUP(QUERY_FOR_TRNSTRANSPOSED_0008!A1098,'[6]Fin vs NFin'!$A$4:$F$568,6,FALSE)</f>
        <v>Não Financeiras</v>
      </c>
      <c r="P1098" s="24" t="str">
        <f t="shared" si="25"/>
        <v>SE</v>
      </c>
      <c r="Q1098" s="24"/>
      <c r="R1098" s="24"/>
      <c r="S1098" s="24"/>
      <c r="T1098" s="24"/>
    </row>
    <row r="1099" spans="1:20">
      <c r="A1099" s="18" t="s">
        <v>1378</v>
      </c>
      <c r="B1099" s="18" t="str">
        <f>VLOOKUP(A1099,'[6]Fin vs NFin'!$A$4:$B$568,2,FALSE)</f>
        <v>!Vida Autónomos/Associados</v>
      </c>
      <c r="C1099" s="18" t="s">
        <v>1387</v>
      </c>
      <c r="D1099" s="18" t="s">
        <v>1135</v>
      </c>
      <c r="E1099" s="18" t="str">
        <f>VLOOKUP(D1099,[6]Arvore!$N$8:$Q$6855,4,FALSE)</f>
        <v/>
      </c>
      <c r="F1099" s="19">
        <v>10731.06</v>
      </c>
      <c r="G1099" s="19">
        <v>0</v>
      </c>
      <c r="H1099" s="20">
        <v>10731.06</v>
      </c>
      <c r="I1099" s="116"/>
      <c r="J1099" s="117"/>
      <c r="K1099" s="21"/>
      <c r="L1099" s="22" t="s">
        <v>1136</v>
      </c>
      <c r="M1099" s="23">
        <f t="shared" si="24"/>
        <v>10731.06</v>
      </c>
      <c r="N1099" s="2"/>
      <c r="O1099" s="19" t="str">
        <f>VLOOKUP(QUERY_FOR_TRNSTRANSPOSED_0008!A1099,'[6]Fin vs NFin'!$A$4:$F$568,6,FALSE)</f>
        <v>Não Financeiras</v>
      </c>
      <c r="P1099" s="24" t="str">
        <f t="shared" si="25"/>
        <v>SE</v>
      </c>
      <c r="Q1099" s="24"/>
      <c r="R1099" s="24"/>
      <c r="S1099" s="24"/>
      <c r="T1099" s="24"/>
    </row>
    <row r="1100" spans="1:20">
      <c r="A1100" s="18" t="s">
        <v>1378</v>
      </c>
      <c r="B1100" s="18" t="str">
        <f>VLOOKUP(A1100,'[6]Fin vs NFin'!$A$4:$B$568,2,FALSE)</f>
        <v>!Vida Autónomos/Associados</v>
      </c>
      <c r="C1100" s="18" t="s">
        <v>1388</v>
      </c>
      <c r="D1100" s="18" t="s">
        <v>1135</v>
      </c>
      <c r="E1100" s="18" t="str">
        <f>VLOOKUP(D1100,[6]Arvore!$N$8:$Q$6855,4,FALSE)</f>
        <v/>
      </c>
      <c r="F1100" s="19">
        <v>4834.3599999999997</v>
      </c>
      <c r="G1100" s="19">
        <v>0</v>
      </c>
      <c r="H1100" s="20">
        <v>4834.3599999999997</v>
      </c>
      <c r="I1100" s="116"/>
      <c r="J1100" s="117"/>
      <c r="K1100" s="21"/>
      <c r="L1100" s="22" t="s">
        <v>1136</v>
      </c>
      <c r="M1100" s="23">
        <f t="shared" si="24"/>
        <v>4834.3599999999997</v>
      </c>
      <c r="N1100" s="2"/>
      <c r="O1100" s="19" t="str">
        <f>VLOOKUP(QUERY_FOR_TRNSTRANSPOSED_0008!A1100,'[6]Fin vs NFin'!$A$4:$F$568,6,FALSE)</f>
        <v>Não Financeiras</v>
      </c>
      <c r="P1100" s="24" t="str">
        <f t="shared" si="25"/>
        <v>SE</v>
      </c>
      <c r="Q1100" s="24"/>
      <c r="R1100" s="24"/>
      <c r="S1100" s="24"/>
      <c r="T1100" s="24"/>
    </row>
    <row r="1101" spans="1:20">
      <c r="A1101" s="18" t="s">
        <v>1378</v>
      </c>
      <c r="B1101" s="18" t="str">
        <f>VLOOKUP(A1101,'[6]Fin vs NFin'!$A$4:$B$568,2,FALSE)</f>
        <v>!Vida Autónomos/Associados</v>
      </c>
      <c r="C1101" s="18" t="s">
        <v>1389</v>
      </c>
      <c r="D1101" s="18" t="s">
        <v>1135</v>
      </c>
      <c r="E1101" s="18" t="str">
        <f>VLOOKUP(D1101,[6]Arvore!$N$8:$Q$6855,4,FALSE)</f>
        <v/>
      </c>
      <c r="F1101" s="19">
        <v>5010.49</v>
      </c>
      <c r="G1101" s="19">
        <v>0</v>
      </c>
      <c r="H1101" s="20">
        <v>5010.49</v>
      </c>
      <c r="I1101" s="116"/>
      <c r="J1101" s="117"/>
      <c r="K1101" s="21"/>
      <c r="L1101" s="22" t="s">
        <v>1136</v>
      </c>
      <c r="M1101" s="23">
        <f t="shared" si="24"/>
        <v>5010.49</v>
      </c>
      <c r="N1101" s="2"/>
      <c r="O1101" s="19" t="str">
        <f>VLOOKUP(QUERY_FOR_TRNSTRANSPOSED_0008!A1101,'[6]Fin vs NFin'!$A$4:$F$568,6,FALSE)</f>
        <v>Não Financeiras</v>
      </c>
      <c r="P1101" s="24" t="str">
        <f t="shared" si="25"/>
        <v>SE</v>
      </c>
      <c r="Q1101" s="24"/>
      <c r="R1101" s="24"/>
      <c r="S1101" s="24"/>
      <c r="T1101" s="24"/>
    </row>
    <row r="1102" spans="1:20">
      <c r="A1102" s="18" t="s">
        <v>1378</v>
      </c>
      <c r="B1102" s="18" t="str">
        <f>VLOOKUP(A1102,'[6]Fin vs NFin'!$A$4:$B$568,2,FALSE)</f>
        <v>!Vida Autónomos/Associados</v>
      </c>
      <c r="C1102" s="18" t="s">
        <v>1390</v>
      </c>
      <c r="D1102" s="18" t="s">
        <v>1135</v>
      </c>
      <c r="E1102" s="18" t="str">
        <f>VLOOKUP(D1102,[6]Arvore!$N$8:$Q$6855,4,FALSE)</f>
        <v/>
      </c>
      <c r="F1102" s="19">
        <v>4941.3999999999996</v>
      </c>
      <c r="G1102" s="19">
        <v>0</v>
      </c>
      <c r="H1102" s="20">
        <v>4941.3999999999996</v>
      </c>
      <c r="I1102" s="116"/>
      <c r="J1102" s="117"/>
      <c r="K1102" s="21"/>
      <c r="L1102" s="22" t="s">
        <v>1136</v>
      </c>
      <c r="M1102" s="23">
        <f t="shared" si="24"/>
        <v>4941.3999999999996</v>
      </c>
      <c r="N1102" s="2"/>
      <c r="O1102" s="19" t="str">
        <f>VLOOKUP(QUERY_FOR_TRNSTRANSPOSED_0008!A1102,'[6]Fin vs NFin'!$A$4:$F$568,6,FALSE)</f>
        <v>Não Financeiras</v>
      </c>
      <c r="P1102" s="24" t="str">
        <f t="shared" si="25"/>
        <v>SE</v>
      </c>
      <c r="Q1102" s="24"/>
      <c r="R1102" s="24"/>
      <c r="S1102" s="24"/>
      <c r="T1102" s="24"/>
    </row>
    <row r="1103" spans="1:20">
      <c r="A1103" s="18" t="s">
        <v>1378</v>
      </c>
      <c r="B1103" s="18" t="str">
        <f>VLOOKUP(A1103,'[6]Fin vs NFin'!$A$4:$B$568,2,FALSE)</f>
        <v>!Vida Autónomos/Associados</v>
      </c>
      <c r="C1103" s="18" t="s">
        <v>1391</v>
      </c>
      <c r="D1103" s="18" t="s">
        <v>1135</v>
      </c>
      <c r="E1103" s="18" t="str">
        <f>VLOOKUP(D1103,[6]Arvore!$N$8:$Q$6855,4,FALSE)</f>
        <v/>
      </c>
      <c r="F1103" s="19">
        <v>557.88</v>
      </c>
      <c r="G1103" s="19">
        <v>0</v>
      </c>
      <c r="H1103" s="20">
        <v>557.88</v>
      </c>
      <c r="I1103" s="116"/>
      <c r="J1103" s="117"/>
      <c r="K1103" s="21"/>
      <c r="L1103" s="22" t="s">
        <v>1136</v>
      </c>
      <c r="M1103" s="23">
        <f t="shared" si="24"/>
        <v>557.88</v>
      </c>
      <c r="N1103" s="2"/>
      <c r="O1103" s="19" t="str">
        <f>VLOOKUP(QUERY_FOR_TRNSTRANSPOSED_0008!A1103,'[6]Fin vs NFin'!$A$4:$F$568,6,FALSE)</f>
        <v>Não Financeiras</v>
      </c>
      <c r="P1103" s="24" t="str">
        <f t="shared" si="25"/>
        <v>SE</v>
      </c>
      <c r="Q1103" s="24"/>
      <c r="R1103" s="24"/>
      <c r="S1103" s="24"/>
      <c r="T1103" s="24"/>
    </row>
    <row r="1104" spans="1:20">
      <c r="A1104" s="18" t="s">
        <v>1378</v>
      </c>
      <c r="B1104" s="18" t="str">
        <f>VLOOKUP(A1104,'[6]Fin vs NFin'!$A$4:$B$568,2,FALSE)</f>
        <v>!Vida Autónomos/Associados</v>
      </c>
      <c r="C1104" s="18" t="s">
        <v>1392</v>
      </c>
      <c r="D1104" s="18" t="s">
        <v>1135</v>
      </c>
      <c r="E1104" s="18" t="str">
        <f>VLOOKUP(D1104,[6]Arvore!$N$8:$Q$6855,4,FALSE)</f>
        <v/>
      </c>
      <c r="F1104" s="19">
        <v>12568.14</v>
      </c>
      <c r="G1104" s="19">
        <v>0</v>
      </c>
      <c r="H1104" s="20">
        <v>12568.14</v>
      </c>
      <c r="I1104" s="116"/>
      <c r="J1104" s="117"/>
      <c r="K1104" s="21"/>
      <c r="L1104" s="22" t="s">
        <v>1136</v>
      </c>
      <c r="M1104" s="23">
        <f t="shared" si="24"/>
        <v>12568.14</v>
      </c>
      <c r="N1104" s="2"/>
      <c r="O1104" s="19" t="str">
        <f>VLOOKUP(QUERY_FOR_TRNSTRANSPOSED_0008!A1104,'[6]Fin vs NFin'!$A$4:$F$568,6,FALSE)</f>
        <v>Não Financeiras</v>
      </c>
      <c r="P1104" s="24" t="str">
        <f t="shared" si="25"/>
        <v>SE</v>
      </c>
      <c r="Q1104" s="24"/>
      <c r="R1104" s="24"/>
      <c r="S1104" s="24"/>
      <c r="T1104" s="24"/>
    </row>
    <row r="1105" spans="1:20">
      <c r="A1105" s="18" t="s">
        <v>1378</v>
      </c>
      <c r="B1105" s="18" t="str">
        <f>VLOOKUP(A1105,'[6]Fin vs NFin'!$A$4:$B$568,2,FALSE)</f>
        <v>!Vida Autónomos/Associados</v>
      </c>
      <c r="C1105" s="18" t="s">
        <v>1393</v>
      </c>
      <c r="D1105" s="18" t="s">
        <v>1135</v>
      </c>
      <c r="E1105" s="18" t="str">
        <f>VLOOKUP(D1105,[6]Arvore!$N$8:$Q$6855,4,FALSE)</f>
        <v/>
      </c>
      <c r="F1105" s="19">
        <v>16122.96</v>
      </c>
      <c r="G1105" s="19">
        <v>0</v>
      </c>
      <c r="H1105" s="20">
        <v>16122.96</v>
      </c>
      <c r="I1105" s="116"/>
      <c r="J1105" s="117"/>
      <c r="K1105" s="21"/>
      <c r="L1105" s="22" t="s">
        <v>1136</v>
      </c>
      <c r="M1105" s="23">
        <f t="shared" si="24"/>
        <v>16122.96</v>
      </c>
      <c r="N1105" s="2"/>
      <c r="O1105" s="19" t="str">
        <f>VLOOKUP(QUERY_FOR_TRNSTRANSPOSED_0008!A1105,'[6]Fin vs NFin'!$A$4:$F$568,6,FALSE)</f>
        <v>Não Financeiras</v>
      </c>
      <c r="P1105" s="24" t="str">
        <f t="shared" si="25"/>
        <v>SE</v>
      </c>
      <c r="Q1105" s="24"/>
      <c r="R1105" s="24"/>
      <c r="S1105" s="24"/>
      <c r="T1105" s="24"/>
    </row>
    <row r="1106" spans="1:20">
      <c r="A1106" s="18" t="s">
        <v>1378</v>
      </c>
      <c r="B1106" s="18" t="str">
        <f>VLOOKUP(A1106,'[6]Fin vs NFin'!$A$4:$B$568,2,FALSE)</f>
        <v>!Vida Autónomos/Associados</v>
      </c>
      <c r="C1106" s="18" t="s">
        <v>1394</v>
      </c>
      <c r="D1106" s="18" t="s">
        <v>1135</v>
      </c>
      <c r="E1106" s="18" t="str">
        <f>VLOOKUP(D1106,[6]Arvore!$N$8:$Q$6855,4,FALSE)</f>
        <v/>
      </c>
      <c r="F1106" s="19">
        <v>5869.73</v>
      </c>
      <c r="G1106" s="19">
        <v>0</v>
      </c>
      <c r="H1106" s="20">
        <v>5869.73</v>
      </c>
      <c r="I1106" s="116"/>
      <c r="J1106" s="117"/>
      <c r="K1106" s="21"/>
      <c r="L1106" s="22" t="s">
        <v>1136</v>
      </c>
      <c r="M1106" s="23">
        <f t="shared" si="24"/>
        <v>5869.73</v>
      </c>
      <c r="N1106" s="2"/>
      <c r="O1106" s="19" t="str">
        <f>VLOOKUP(QUERY_FOR_TRNSTRANSPOSED_0008!A1106,'[6]Fin vs NFin'!$A$4:$F$568,6,FALSE)</f>
        <v>Não Financeiras</v>
      </c>
      <c r="P1106" s="24" t="str">
        <f t="shared" si="25"/>
        <v>SE</v>
      </c>
      <c r="Q1106" s="24"/>
      <c r="R1106" s="24"/>
      <c r="S1106" s="24"/>
      <c r="T1106" s="24"/>
    </row>
    <row r="1107" spans="1:20">
      <c r="A1107" s="18" t="s">
        <v>1378</v>
      </c>
      <c r="B1107" s="18" t="str">
        <f>VLOOKUP(A1107,'[6]Fin vs NFin'!$A$4:$B$568,2,FALSE)</f>
        <v>!Vida Autónomos/Associados</v>
      </c>
      <c r="C1107" s="18" t="s">
        <v>1395</v>
      </c>
      <c r="D1107" s="18" t="s">
        <v>1135</v>
      </c>
      <c r="E1107" s="18" t="str">
        <f>VLOOKUP(D1107,[6]Arvore!$N$8:$Q$6855,4,FALSE)</f>
        <v/>
      </c>
      <c r="F1107" s="19">
        <v>7236.28</v>
      </c>
      <c r="G1107" s="19">
        <v>0</v>
      </c>
      <c r="H1107" s="20">
        <v>7236.28</v>
      </c>
      <c r="I1107" s="116"/>
      <c r="J1107" s="117"/>
      <c r="K1107" s="21"/>
      <c r="L1107" s="22" t="s">
        <v>1136</v>
      </c>
      <c r="M1107" s="23">
        <f t="shared" si="24"/>
        <v>7236.28</v>
      </c>
      <c r="N1107" s="2"/>
      <c r="O1107" s="19" t="str">
        <f>VLOOKUP(QUERY_FOR_TRNSTRANSPOSED_0008!A1107,'[6]Fin vs NFin'!$A$4:$F$568,6,FALSE)</f>
        <v>Não Financeiras</v>
      </c>
      <c r="P1107" s="24" t="str">
        <f t="shared" si="25"/>
        <v>SE</v>
      </c>
      <c r="Q1107" s="24"/>
      <c r="R1107" s="24"/>
      <c r="S1107" s="24"/>
      <c r="T1107" s="24"/>
    </row>
    <row r="1108" spans="1:20">
      <c r="A1108" s="18" t="s">
        <v>1378</v>
      </c>
      <c r="B1108" s="18" t="str">
        <f>VLOOKUP(A1108,'[6]Fin vs NFin'!$A$4:$B$568,2,FALSE)</f>
        <v>!Vida Autónomos/Associados</v>
      </c>
      <c r="C1108" s="18" t="s">
        <v>1396</v>
      </c>
      <c r="D1108" s="18" t="s">
        <v>1135</v>
      </c>
      <c r="E1108" s="18" t="str">
        <f>VLOOKUP(D1108,[6]Arvore!$N$8:$Q$6855,4,FALSE)</f>
        <v/>
      </c>
      <c r="F1108" s="19">
        <v>131.78</v>
      </c>
      <c r="G1108" s="19">
        <v>0</v>
      </c>
      <c r="H1108" s="20">
        <v>131.78</v>
      </c>
      <c r="I1108" s="116"/>
      <c r="J1108" s="117"/>
      <c r="K1108" s="21"/>
      <c r="L1108" s="22" t="s">
        <v>1136</v>
      </c>
      <c r="M1108" s="23">
        <f t="shared" si="24"/>
        <v>131.78</v>
      </c>
      <c r="N1108" s="2"/>
      <c r="O1108" s="19" t="str">
        <f>VLOOKUP(QUERY_FOR_TRNSTRANSPOSED_0008!A1108,'[6]Fin vs NFin'!$A$4:$F$568,6,FALSE)</f>
        <v>Não Financeiras</v>
      </c>
      <c r="P1108" s="24" t="str">
        <f t="shared" si="25"/>
        <v>SE</v>
      </c>
      <c r="Q1108" s="24"/>
      <c r="R1108" s="24"/>
      <c r="S1108" s="24"/>
      <c r="T1108" s="24"/>
    </row>
    <row r="1109" spans="1:20">
      <c r="A1109" s="18" t="s">
        <v>1378</v>
      </c>
      <c r="B1109" s="18" t="str">
        <f>VLOOKUP(A1109,'[6]Fin vs NFin'!$A$4:$B$568,2,FALSE)</f>
        <v>!Vida Autónomos/Associados</v>
      </c>
      <c r="C1109" s="18" t="s">
        <v>1397</v>
      </c>
      <c r="D1109" s="18" t="s">
        <v>1135</v>
      </c>
      <c r="E1109" s="18" t="str">
        <f>VLOOKUP(D1109,[6]Arvore!$N$8:$Q$6855,4,FALSE)</f>
        <v/>
      </c>
      <c r="F1109" s="19">
        <v>36.71</v>
      </c>
      <c r="G1109" s="19">
        <v>0</v>
      </c>
      <c r="H1109" s="20">
        <v>36.71</v>
      </c>
      <c r="I1109" s="116"/>
      <c r="J1109" s="117"/>
      <c r="K1109" s="21"/>
      <c r="L1109" s="22" t="s">
        <v>1136</v>
      </c>
      <c r="M1109" s="23">
        <f t="shared" si="24"/>
        <v>36.71</v>
      </c>
      <c r="N1109" s="2"/>
      <c r="O1109" s="19" t="str">
        <f>VLOOKUP(QUERY_FOR_TRNSTRANSPOSED_0008!A1109,'[6]Fin vs NFin'!$A$4:$F$568,6,FALSE)</f>
        <v>Não Financeiras</v>
      </c>
      <c r="P1109" s="24" t="str">
        <f t="shared" si="25"/>
        <v>SE</v>
      </c>
      <c r="Q1109" s="24"/>
      <c r="R1109" s="24"/>
      <c r="S1109" s="24"/>
      <c r="T1109" s="24"/>
    </row>
    <row r="1110" spans="1:20">
      <c r="A1110" s="18" t="s">
        <v>1378</v>
      </c>
      <c r="B1110" s="18" t="str">
        <f>VLOOKUP(A1110,'[6]Fin vs NFin'!$A$4:$B$568,2,FALSE)</f>
        <v>!Vida Autónomos/Associados</v>
      </c>
      <c r="C1110" s="18" t="s">
        <v>1398</v>
      </c>
      <c r="D1110" s="18" t="s">
        <v>1135</v>
      </c>
      <c r="E1110" s="18" t="str">
        <f>VLOOKUP(D1110,[6]Arvore!$N$8:$Q$6855,4,FALSE)</f>
        <v/>
      </c>
      <c r="F1110" s="19">
        <v>97992.11</v>
      </c>
      <c r="G1110" s="19">
        <v>0</v>
      </c>
      <c r="H1110" s="20">
        <v>97992.11</v>
      </c>
      <c r="I1110" s="116"/>
      <c r="J1110" s="117"/>
      <c r="K1110" s="21"/>
      <c r="L1110" s="22" t="s">
        <v>1136</v>
      </c>
      <c r="M1110" s="23">
        <f t="shared" si="24"/>
        <v>97992.11</v>
      </c>
      <c r="N1110" s="2"/>
      <c r="O1110" s="19" t="str">
        <f>VLOOKUP(QUERY_FOR_TRNSTRANSPOSED_0008!A1110,'[6]Fin vs NFin'!$A$4:$F$568,6,FALSE)</f>
        <v>Não Financeiras</v>
      </c>
      <c r="P1110" s="24" t="str">
        <f t="shared" si="25"/>
        <v>SE</v>
      </c>
      <c r="Q1110" s="24"/>
      <c r="R1110" s="24"/>
      <c r="S1110" s="24"/>
      <c r="T1110" s="24"/>
    </row>
    <row r="1111" spans="1:20">
      <c r="A1111" s="18" t="s">
        <v>1378</v>
      </c>
      <c r="B1111" s="18" t="str">
        <f>VLOOKUP(A1111,'[6]Fin vs NFin'!$A$4:$B$568,2,FALSE)</f>
        <v>!Vida Autónomos/Associados</v>
      </c>
      <c r="C1111" s="18" t="s">
        <v>1399</v>
      </c>
      <c r="D1111" s="18" t="s">
        <v>1135</v>
      </c>
      <c r="E1111" s="18" t="str">
        <f>VLOOKUP(D1111,[6]Arvore!$N$8:$Q$6855,4,FALSE)</f>
        <v/>
      </c>
      <c r="F1111" s="19">
        <v>152947.14000000001</v>
      </c>
      <c r="G1111" s="19">
        <v>0</v>
      </c>
      <c r="H1111" s="20">
        <v>152947.14000000001</v>
      </c>
      <c r="I1111" s="116"/>
      <c r="J1111" s="117"/>
      <c r="K1111" s="21"/>
      <c r="L1111" s="22" t="s">
        <v>1136</v>
      </c>
      <c r="M1111" s="23">
        <f t="shared" si="24"/>
        <v>152947.14000000001</v>
      </c>
      <c r="N1111" s="2"/>
      <c r="O1111" s="19" t="str">
        <f>VLOOKUP(QUERY_FOR_TRNSTRANSPOSED_0008!A1111,'[6]Fin vs NFin'!$A$4:$F$568,6,FALSE)</f>
        <v>Não Financeiras</v>
      </c>
      <c r="P1111" s="24" t="str">
        <f t="shared" si="25"/>
        <v>SE</v>
      </c>
      <c r="Q1111" s="24"/>
      <c r="R1111" s="24"/>
      <c r="S1111" s="24"/>
      <c r="T1111" s="24"/>
    </row>
    <row r="1112" spans="1:20">
      <c r="A1112" s="18" t="s">
        <v>1378</v>
      </c>
      <c r="B1112" s="18" t="str">
        <f>VLOOKUP(A1112,'[6]Fin vs NFin'!$A$4:$B$568,2,FALSE)</f>
        <v>!Vida Autónomos/Associados</v>
      </c>
      <c r="C1112" s="18" t="s">
        <v>1400</v>
      </c>
      <c r="D1112" s="18" t="s">
        <v>1135</v>
      </c>
      <c r="E1112" s="18" t="str">
        <f>VLOOKUP(D1112,[6]Arvore!$N$8:$Q$6855,4,FALSE)</f>
        <v/>
      </c>
      <c r="F1112" s="19">
        <v>4121.66</v>
      </c>
      <c r="G1112" s="19">
        <v>0</v>
      </c>
      <c r="H1112" s="20">
        <v>4121.66</v>
      </c>
      <c r="I1112" s="116"/>
      <c r="J1112" s="117"/>
      <c r="K1112" s="21"/>
      <c r="L1112" s="22" t="s">
        <v>1136</v>
      </c>
      <c r="M1112" s="23">
        <f t="shared" si="24"/>
        <v>4121.66</v>
      </c>
      <c r="N1112" s="2"/>
      <c r="O1112" s="19" t="str">
        <f>VLOOKUP(QUERY_FOR_TRNSTRANSPOSED_0008!A1112,'[6]Fin vs NFin'!$A$4:$F$568,6,FALSE)</f>
        <v>Não Financeiras</v>
      </c>
      <c r="P1112" s="24" t="str">
        <f t="shared" si="25"/>
        <v>SE</v>
      </c>
      <c r="Q1112" s="24"/>
      <c r="R1112" s="24"/>
      <c r="S1112" s="24"/>
      <c r="T1112" s="24"/>
    </row>
    <row r="1113" spans="1:20">
      <c r="A1113" s="18" t="s">
        <v>1378</v>
      </c>
      <c r="B1113" s="18" t="str">
        <f>VLOOKUP(A1113,'[6]Fin vs NFin'!$A$4:$B$568,2,FALSE)</f>
        <v>!Vida Autónomos/Associados</v>
      </c>
      <c r="C1113" s="18" t="s">
        <v>1401</v>
      </c>
      <c r="D1113" s="18" t="s">
        <v>1135</v>
      </c>
      <c r="E1113" s="18" t="str">
        <f>VLOOKUP(D1113,[6]Arvore!$N$8:$Q$6855,4,FALSE)</f>
        <v/>
      </c>
      <c r="F1113" s="19">
        <v>984.9</v>
      </c>
      <c r="G1113" s="19">
        <v>0</v>
      </c>
      <c r="H1113" s="20">
        <v>984.9</v>
      </c>
      <c r="I1113" s="116"/>
      <c r="J1113" s="117"/>
      <c r="K1113" s="21"/>
      <c r="L1113" s="22" t="s">
        <v>1136</v>
      </c>
      <c r="M1113" s="23">
        <f t="shared" si="24"/>
        <v>984.9</v>
      </c>
      <c r="N1113" s="2"/>
      <c r="O1113" s="19" t="str">
        <f>VLOOKUP(QUERY_FOR_TRNSTRANSPOSED_0008!A1113,'[6]Fin vs NFin'!$A$4:$F$568,6,FALSE)</f>
        <v>Não Financeiras</v>
      </c>
      <c r="P1113" s="24" t="str">
        <f t="shared" si="25"/>
        <v>SE</v>
      </c>
      <c r="Q1113" s="24"/>
      <c r="R1113" s="24"/>
      <c r="S1113" s="24"/>
      <c r="T1113" s="24"/>
    </row>
    <row r="1114" spans="1:20" ht="15" thickBot="1">
      <c r="A1114" s="18" t="s">
        <v>1378</v>
      </c>
      <c r="B1114" s="18" t="str">
        <f>VLOOKUP(A1114,'[6]Fin vs NFin'!$A$4:$B$568,2,FALSE)</f>
        <v>!Vida Autónomos/Associados</v>
      </c>
      <c r="C1114" s="18" t="s">
        <v>1402</v>
      </c>
      <c r="D1114" s="18" t="s">
        <v>1135</v>
      </c>
      <c r="E1114" s="18" t="str">
        <f>VLOOKUP(D1114,[6]Arvore!$N$8:$Q$6855,4,FALSE)</f>
        <v/>
      </c>
      <c r="F1114" s="19">
        <v>11.97</v>
      </c>
      <c r="G1114" s="19">
        <v>0</v>
      </c>
      <c r="H1114" s="20">
        <v>11.97</v>
      </c>
      <c r="I1114" s="116"/>
      <c r="J1114" s="111"/>
      <c r="K1114" s="21"/>
      <c r="L1114" s="22" t="s">
        <v>1136</v>
      </c>
      <c r="M1114" s="23">
        <f t="shared" si="24"/>
        <v>11.97</v>
      </c>
      <c r="N1114" s="2"/>
      <c r="O1114" s="19" t="str">
        <f>VLOOKUP(QUERY_FOR_TRNSTRANSPOSED_0008!A1114,'[6]Fin vs NFin'!$A$4:$F$568,6,FALSE)</f>
        <v>Não Financeiras</v>
      </c>
      <c r="P1114" s="24" t="str">
        <f t="shared" si="25"/>
        <v>SE</v>
      </c>
      <c r="Q1114" s="24"/>
      <c r="R1114" s="24"/>
      <c r="S1114" s="24"/>
      <c r="T1114" s="24"/>
    </row>
    <row r="1115" spans="1:20" ht="15" thickBot="1">
      <c r="A1115" s="25" t="s">
        <v>1403</v>
      </c>
      <c r="B1115" s="25" t="str">
        <f>VLOOKUP(A1115,'[6]Fin vs NFin'!$A$4:$B$568,2,FALSE)</f>
        <v>!Contabilidade F.Pensões</v>
      </c>
      <c r="C1115" s="25" t="s">
        <v>67</v>
      </c>
      <c r="D1115" s="25" t="s">
        <v>1404</v>
      </c>
      <c r="E1115" s="25" t="str">
        <f>VLOOKUP(D1115,[6]Arvore!$N$8:$Q$6855,4,FALSE)</f>
        <v>51581</v>
      </c>
      <c r="F1115" s="26">
        <v>-16.9100000000008</v>
      </c>
      <c r="G1115" s="26">
        <v>26605.84</v>
      </c>
      <c r="H1115" s="27">
        <v>-26622.75</v>
      </c>
      <c r="I1115" s="77">
        <v>-26622.75</v>
      </c>
      <c r="J1115" s="26"/>
      <c r="L1115" s="29"/>
      <c r="M1115" s="30"/>
      <c r="O1115" s="26" t="str">
        <f>VLOOKUP(QUERY_FOR_TRNSTRANSPOSED_0008!A1115,'[6]Fin vs NFin'!$A$4:$F$568,6,FALSE)</f>
        <v>Não Financeiras</v>
      </c>
      <c r="P1115" s="31" t="str">
        <f t="shared" si="25"/>
        <v>82</v>
      </c>
      <c r="Q1115" s="31"/>
      <c r="R1115" s="31"/>
      <c r="S1115" s="31"/>
      <c r="T1115" s="31"/>
    </row>
    <row r="1116" spans="1:20" ht="15" thickBot="1">
      <c r="A1116" s="18" t="s">
        <v>1405</v>
      </c>
      <c r="B1116" s="18" t="str">
        <f>VLOOKUP(A1116,'[6]Fin vs NFin'!$A$4:$B$568,2,FALSE)</f>
        <v>!Fundo de Pensões</v>
      </c>
      <c r="C1116" s="18" t="s">
        <v>1406</v>
      </c>
      <c r="D1116" s="18" t="s">
        <v>1404</v>
      </c>
      <c r="E1116" s="18" t="str">
        <f>VLOOKUP(D1116,[6]Arvore!$N$8:$Q$6855,4,FALSE)</f>
        <v>51581</v>
      </c>
      <c r="F1116" s="19">
        <v>26622.75</v>
      </c>
      <c r="G1116" s="19">
        <v>0</v>
      </c>
      <c r="H1116" s="20">
        <v>26622.75</v>
      </c>
      <c r="I1116" s="57">
        <v>26622.75</v>
      </c>
      <c r="J1116" s="19"/>
      <c r="K1116" s="21"/>
      <c r="L1116" s="22"/>
      <c r="M1116" s="23"/>
      <c r="O1116" s="19" t="str">
        <f>VLOOKUP(QUERY_FOR_TRNSTRANSPOSED_0008!A1116,'[6]Fin vs NFin'!$A$4:$F$568,6,FALSE)</f>
        <v>Não Financeiras</v>
      </c>
      <c r="P1116" s="24" t="str">
        <f t="shared" si="25"/>
        <v>82</v>
      </c>
      <c r="Q1116" s="24"/>
      <c r="R1116" s="24"/>
      <c r="S1116" s="24"/>
      <c r="T1116" s="24"/>
    </row>
    <row r="1117" spans="1:20">
      <c r="A1117" s="49" t="s">
        <v>1407</v>
      </c>
      <c r="B1117" s="49" t="str">
        <f>VLOOKUP(A1117,'[6]Fin vs NFin'!$A$4:$B$568,2,FALSE)</f>
        <v>!Portes</v>
      </c>
      <c r="C1117" s="49" t="s">
        <v>1408</v>
      </c>
      <c r="D1117" s="49" t="s">
        <v>118</v>
      </c>
      <c r="E1117" s="49" t="str">
        <f>VLOOKUP(D1117,[6]Arvore!$N$8:$Q$6855,4,FALSE)</f>
        <v>431110</v>
      </c>
      <c r="F1117" s="50">
        <v>80397.600000000006</v>
      </c>
      <c r="G1117" s="50">
        <v>80397.600000000006</v>
      </c>
      <c r="H1117" s="51">
        <v>-1.45519152283669E-11</v>
      </c>
      <c r="I1117" s="108">
        <v>-0.52371174504826001</v>
      </c>
      <c r="J1117" s="39"/>
      <c r="K1117" s="21"/>
      <c r="L1117" s="41"/>
      <c r="M1117" s="42"/>
      <c r="O1117" s="39" t="str">
        <f>VLOOKUP(QUERY_FOR_TRNSTRANSPOSED_0008!A1117,'[6]Fin vs NFin'!$A$4:$F$568,6,FALSE)</f>
        <v>Não Financeiras</v>
      </c>
      <c r="P1117" s="43" t="str">
        <f t="shared" si="25"/>
        <v>89</v>
      </c>
      <c r="Q1117" s="43"/>
      <c r="R1117" s="43" t="str">
        <f>VLOOKUP(D1117,[6]Mapeamento!$A$38:$C$497,3,FALSE)</f>
        <v>GG</v>
      </c>
      <c r="S1117" s="43"/>
      <c r="T1117" s="43"/>
    </row>
    <row r="1118" spans="1:20">
      <c r="A1118" s="18" t="s">
        <v>1407</v>
      </c>
      <c r="B1118" s="18" t="str">
        <f>VLOOKUP(A1118,'[6]Fin vs NFin'!$A$4:$B$568,2,FALSE)</f>
        <v>!Portes</v>
      </c>
      <c r="C1118" s="18" t="s">
        <v>1409</v>
      </c>
      <c r="D1118" s="18" t="s">
        <v>118</v>
      </c>
      <c r="E1118" s="18" t="str">
        <f>VLOOKUP(D1118,[6]Arvore!$N$8:$Q$6855,4,FALSE)</f>
        <v>431110</v>
      </c>
      <c r="F1118" s="19" t="s">
        <v>84</v>
      </c>
      <c r="G1118" s="19">
        <v>-20.667396234967399</v>
      </c>
      <c r="H1118" s="20">
        <v>20.667396234967399</v>
      </c>
      <c r="I1118" s="114"/>
      <c r="J1118" s="19"/>
      <c r="K1118" s="21"/>
      <c r="L1118" s="22"/>
      <c r="M1118" s="23"/>
      <c r="O1118" s="19" t="str">
        <f>VLOOKUP(QUERY_FOR_TRNSTRANSPOSED_0008!A1118,'[6]Fin vs NFin'!$A$4:$F$568,6,FALSE)</f>
        <v>Não Financeiras</v>
      </c>
      <c r="P1118" s="24" t="str">
        <f t="shared" si="25"/>
        <v>89</v>
      </c>
      <c r="Q1118" s="24"/>
      <c r="R1118" s="24" t="str">
        <f>VLOOKUP(D1118,[6]Mapeamento!$A$38:$C$497,3,FALSE)</f>
        <v>GG</v>
      </c>
      <c r="S1118" s="24"/>
      <c r="T1118" s="24"/>
    </row>
    <row r="1119" spans="1:20" ht="15" thickBot="1">
      <c r="A1119" s="18" t="s">
        <v>1407</v>
      </c>
      <c r="B1119" s="18" t="str">
        <f>VLOOKUP(A1119,'[6]Fin vs NFin'!$A$4:$B$568,2,FALSE)</f>
        <v>!Portes</v>
      </c>
      <c r="C1119" s="18" t="s">
        <v>499</v>
      </c>
      <c r="D1119" s="18" t="s">
        <v>118</v>
      </c>
      <c r="E1119" s="18" t="str">
        <f>VLOOKUP(D1119,[6]Arvore!$N$8:$Q$6855,4,FALSE)</f>
        <v>431110</v>
      </c>
      <c r="F1119" s="19">
        <v>18331.21</v>
      </c>
      <c r="G1119" s="19">
        <v>18352.40110798</v>
      </c>
      <c r="H1119" s="20">
        <v>-21.1911079800011</v>
      </c>
      <c r="I1119" s="114"/>
      <c r="J1119" s="19"/>
      <c r="K1119" s="21"/>
      <c r="L1119" s="22"/>
      <c r="M1119" s="23"/>
      <c r="O1119" s="19" t="str">
        <f>VLOOKUP(QUERY_FOR_TRNSTRANSPOSED_0008!A1119,'[6]Fin vs NFin'!$A$4:$F$568,6,FALSE)</f>
        <v>Não Financeiras</v>
      </c>
      <c r="P1119" s="24" t="str">
        <f t="shared" si="25"/>
        <v>89</v>
      </c>
      <c r="Q1119" s="24"/>
      <c r="R1119" s="24" t="str">
        <f>VLOOKUP(D1119,[6]Mapeamento!$A$38:$C$497,3,FALSE)</f>
        <v>GG</v>
      </c>
      <c r="S1119" s="24"/>
      <c r="T1119" s="24"/>
    </row>
    <row r="1120" spans="1:20">
      <c r="A1120" s="38" t="s">
        <v>1410</v>
      </c>
      <c r="B1120" s="38" t="str">
        <f>VLOOKUP(A1120,'[6]Fin vs NFin'!$A$4:$B$568,2,FALSE)</f>
        <v>!Expediente</v>
      </c>
      <c r="C1120" s="38" t="s">
        <v>1411</v>
      </c>
      <c r="D1120" s="38" t="s">
        <v>735</v>
      </c>
      <c r="E1120" s="38" t="str">
        <f>VLOOKUP(D1120,[6]Arvore!$N$8:$Q$6855,4,FALSE)</f>
        <v>431111</v>
      </c>
      <c r="F1120" s="39">
        <v>61476.4</v>
      </c>
      <c r="G1120" s="39">
        <v>63902.962579022802</v>
      </c>
      <c r="H1120" s="40">
        <v>-2426.56257902279</v>
      </c>
      <c r="I1120" s="108">
        <v>-15.6313129393493</v>
      </c>
      <c r="J1120" s="39"/>
      <c r="K1120" s="21"/>
      <c r="L1120" s="41"/>
      <c r="M1120" s="42"/>
      <c r="O1120" s="39" t="str">
        <f>VLOOKUP(QUERY_FOR_TRNSTRANSPOSED_0008!A1120,'[6]Fin vs NFin'!$A$4:$F$568,6,FALSE)</f>
        <v>Não Financeiras</v>
      </c>
      <c r="P1120" s="43" t="str">
        <f t="shared" si="25"/>
        <v>89</v>
      </c>
      <c r="Q1120" s="43"/>
      <c r="R1120" s="43" t="str">
        <f>VLOOKUP(D1120,[6]Mapeamento!$A$38:$C$497,3,FALSE)</f>
        <v>GG</v>
      </c>
      <c r="S1120" s="43"/>
      <c r="T1120" s="43"/>
    </row>
    <row r="1121" spans="1:20">
      <c r="A1121" s="18" t="s">
        <v>1410</v>
      </c>
      <c r="B1121" s="18" t="str">
        <f>VLOOKUP(A1121,'[6]Fin vs NFin'!$A$4:$B$568,2,FALSE)</f>
        <v>!Expediente</v>
      </c>
      <c r="C1121" s="18" t="s">
        <v>153</v>
      </c>
      <c r="D1121" s="18" t="s">
        <v>735</v>
      </c>
      <c r="E1121" s="18" t="str">
        <f>VLOOKUP(D1121,[6]Arvore!$N$8:$Q$6855,4,FALSE)</f>
        <v>431111</v>
      </c>
      <c r="F1121" s="19">
        <v>122.76</v>
      </c>
      <c r="G1121" s="19">
        <v>124.6</v>
      </c>
      <c r="H1121" s="20">
        <v>-1.84</v>
      </c>
      <c r="I1121" s="114"/>
      <c r="J1121" s="19"/>
      <c r="K1121" s="21"/>
      <c r="L1121" s="22"/>
      <c r="M1121" s="23"/>
      <c r="O1121" s="19" t="str">
        <f>VLOOKUP(QUERY_FOR_TRNSTRANSPOSED_0008!A1121,'[6]Fin vs NFin'!$A$4:$F$568,6,FALSE)</f>
        <v>Não Financeiras</v>
      </c>
      <c r="P1121" s="24" t="str">
        <f t="shared" si="25"/>
        <v>89</v>
      </c>
      <c r="Q1121" s="24"/>
      <c r="R1121" s="24" t="str">
        <f>VLOOKUP(D1121,[6]Mapeamento!$A$38:$C$497,3,FALSE)</f>
        <v>GG</v>
      </c>
      <c r="S1121" s="24"/>
      <c r="T1121" s="24"/>
    </row>
    <row r="1122" spans="1:20">
      <c r="A1122" s="18" t="s">
        <v>1410</v>
      </c>
      <c r="B1122" s="18" t="str">
        <f>VLOOKUP(A1122,'[6]Fin vs NFin'!$A$4:$B$568,2,FALSE)</f>
        <v>!Expediente</v>
      </c>
      <c r="C1122" s="18" t="s">
        <v>1412</v>
      </c>
      <c r="D1122" s="18" t="s">
        <v>735</v>
      </c>
      <c r="E1122" s="18" t="str">
        <f>VLOOKUP(D1122,[6]Arvore!$N$8:$Q$6855,4,FALSE)</f>
        <v>431111</v>
      </c>
      <c r="F1122" s="19">
        <v>28451.57</v>
      </c>
      <c r="G1122" s="19">
        <v>28451.597606620198</v>
      </c>
      <c r="H1122" s="20">
        <v>-2.76066201986396E-2</v>
      </c>
      <c r="I1122" s="114"/>
      <c r="J1122" s="19"/>
      <c r="K1122" s="21"/>
      <c r="L1122" s="22"/>
      <c r="M1122" s="23"/>
      <c r="O1122" s="19" t="str">
        <f>VLOOKUP(QUERY_FOR_TRNSTRANSPOSED_0008!A1122,'[6]Fin vs NFin'!$A$4:$F$568,6,FALSE)</f>
        <v>Não Financeiras</v>
      </c>
      <c r="P1122" s="24" t="str">
        <f t="shared" si="25"/>
        <v>89</v>
      </c>
      <c r="Q1122" s="24"/>
      <c r="R1122" s="24" t="str">
        <f>VLOOKUP(D1122,[6]Mapeamento!$A$38:$C$497,3,FALSE)</f>
        <v>GG</v>
      </c>
      <c r="S1122" s="24"/>
      <c r="T1122" s="24"/>
    </row>
    <row r="1123" spans="1:20">
      <c r="A1123" s="32" t="s">
        <v>1410</v>
      </c>
      <c r="B1123" s="32" t="str">
        <f>VLOOKUP(A1123,'[6]Fin vs NFin'!$A$4:$B$568,2,FALSE)</f>
        <v>!Expediente</v>
      </c>
      <c r="C1123" s="32" t="s">
        <v>1413</v>
      </c>
      <c r="D1123" s="32" t="s">
        <v>735</v>
      </c>
      <c r="E1123" s="32" t="str">
        <f>VLOOKUP(D1123,[6]Arvore!$N$8:$Q$6855,4,FALSE)</f>
        <v>431111</v>
      </c>
      <c r="F1123" s="33">
        <v>19659.47</v>
      </c>
      <c r="G1123" s="33">
        <v>19659.47</v>
      </c>
      <c r="H1123" s="34">
        <v>0</v>
      </c>
      <c r="I1123" s="114"/>
      <c r="J1123" s="19"/>
      <c r="K1123" s="21"/>
      <c r="L1123" s="22"/>
      <c r="M1123" s="23"/>
      <c r="O1123" s="19" t="str">
        <f>VLOOKUP(QUERY_FOR_TRNSTRANSPOSED_0008!A1123,'[6]Fin vs NFin'!$A$4:$F$568,6,FALSE)</f>
        <v>Não Financeiras</v>
      </c>
      <c r="P1123" s="24" t="str">
        <f t="shared" si="25"/>
        <v>89</v>
      </c>
      <c r="Q1123" s="24"/>
      <c r="R1123" s="24" t="str">
        <f>VLOOKUP(D1123,[6]Mapeamento!$A$38:$C$497,3,FALSE)</f>
        <v>GG</v>
      </c>
      <c r="S1123" s="24"/>
      <c r="T1123" s="24"/>
    </row>
    <row r="1124" spans="1:20">
      <c r="A1124" s="18" t="s">
        <v>1410</v>
      </c>
      <c r="B1124" s="18" t="str">
        <f>VLOOKUP(A1124,'[6]Fin vs NFin'!$A$4:$B$568,2,FALSE)</f>
        <v>!Expediente</v>
      </c>
      <c r="C1124" s="18" t="s">
        <v>1414</v>
      </c>
      <c r="D1124" s="18" t="s">
        <v>735</v>
      </c>
      <c r="E1124" s="18" t="str">
        <f>VLOOKUP(D1124,[6]Arvore!$N$8:$Q$6855,4,FALSE)</f>
        <v>431111</v>
      </c>
      <c r="F1124" s="19">
        <v>2045.81</v>
      </c>
      <c r="G1124" s="19">
        <v>545.16896003070701</v>
      </c>
      <c r="H1124" s="20">
        <v>1500.64103996929</v>
      </c>
      <c r="I1124" s="114"/>
      <c r="J1124" s="19"/>
      <c r="K1124" s="21"/>
      <c r="L1124" s="22"/>
      <c r="M1124" s="23"/>
      <c r="O1124" s="19" t="str">
        <f>VLOOKUP(QUERY_FOR_TRNSTRANSPOSED_0008!A1124,'[6]Fin vs NFin'!$A$4:$F$568,6,FALSE)</f>
        <v>Não Financeiras</v>
      </c>
      <c r="P1124" s="24" t="str">
        <f t="shared" si="25"/>
        <v>89</v>
      </c>
      <c r="Q1124" s="24"/>
      <c r="R1124" s="24" t="str">
        <f>VLOOKUP(D1124,[6]Mapeamento!$A$38:$C$497,3,FALSE)</f>
        <v>GG</v>
      </c>
      <c r="S1124" s="24"/>
      <c r="T1124" s="24"/>
    </row>
    <row r="1125" spans="1:20">
      <c r="A1125" s="18" t="s">
        <v>1410</v>
      </c>
      <c r="B1125" s="18" t="str">
        <f>VLOOKUP(A1125,'[6]Fin vs NFin'!$A$4:$B$568,2,FALSE)</f>
        <v>!Expediente</v>
      </c>
      <c r="C1125" s="18" t="s">
        <v>1415</v>
      </c>
      <c r="D1125" s="18" t="s">
        <v>735</v>
      </c>
      <c r="E1125" s="18" t="str">
        <f>VLOOKUP(D1125,[6]Arvore!$N$8:$Q$6855,4,FALSE)</f>
        <v>431111</v>
      </c>
      <c r="F1125" s="19">
        <v>747.59</v>
      </c>
      <c r="G1125" s="19">
        <v>304.22212728800702</v>
      </c>
      <c r="H1125" s="20">
        <v>443.36787271199302</v>
      </c>
      <c r="I1125" s="114"/>
      <c r="J1125" s="19"/>
      <c r="K1125" s="21"/>
      <c r="L1125" s="22"/>
      <c r="M1125" s="23"/>
      <c r="O1125" s="19" t="str">
        <f>VLOOKUP(QUERY_FOR_TRNSTRANSPOSED_0008!A1125,'[6]Fin vs NFin'!$A$4:$F$568,6,FALSE)</f>
        <v>Não Financeiras</v>
      </c>
      <c r="P1125" s="24" t="str">
        <f t="shared" si="25"/>
        <v>89</v>
      </c>
      <c r="Q1125" s="24"/>
      <c r="R1125" s="24" t="str">
        <f>VLOOKUP(D1125,[6]Mapeamento!$A$38:$C$497,3,FALSE)</f>
        <v>GG</v>
      </c>
      <c r="S1125" s="24"/>
      <c r="T1125" s="24"/>
    </row>
    <row r="1126" spans="1:20">
      <c r="A1126" s="18" t="s">
        <v>1410</v>
      </c>
      <c r="B1126" s="18" t="str">
        <f>VLOOKUP(A1126,'[6]Fin vs NFin'!$A$4:$B$568,2,FALSE)</f>
        <v>!Expediente</v>
      </c>
      <c r="C1126" s="18" t="s">
        <v>1416</v>
      </c>
      <c r="D1126" s="18" t="s">
        <v>735</v>
      </c>
      <c r="E1126" s="18" t="str">
        <f>VLOOKUP(D1126,[6]Arvore!$N$8:$Q$6855,4,FALSE)</f>
        <v>431111</v>
      </c>
      <c r="F1126" s="19">
        <v>634.49</v>
      </c>
      <c r="G1126" s="19">
        <v>355.10786983366899</v>
      </c>
      <c r="H1126" s="20">
        <v>279.38213016633102</v>
      </c>
      <c r="I1126" s="114"/>
      <c r="J1126" s="19"/>
      <c r="K1126" s="21"/>
      <c r="L1126" s="22"/>
      <c r="M1126" s="23"/>
      <c r="O1126" s="19" t="str">
        <f>VLOOKUP(QUERY_FOR_TRNSTRANSPOSED_0008!A1126,'[6]Fin vs NFin'!$A$4:$F$568,6,FALSE)</f>
        <v>Não Financeiras</v>
      </c>
      <c r="P1126" s="24" t="str">
        <f t="shared" si="25"/>
        <v>89</v>
      </c>
      <c r="Q1126" s="24"/>
      <c r="R1126" s="24" t="str">
        <f>VLOOKUP(D1126,[6]Mapeamento!$A$38:$C$497,3,FALSE)</f>
        <v>GG</v>
      </c>
      <c r="S1126" s="24"/>
      <c r="T1126" s="24"/>
    </row>
    <row r="1127" spans="1:20">
      <c r="A1127" s="18" t="s">
        <v>1410</v>
      </c>
      <c r="B1127" s="18" t="str">
        <f>VLOOKUP(A1127,'[6]Fin vs NFin'!$A$4:$B$568,2,FALSE)</f>
        <v>!Expediente</v>
      </c>
      <c r="C1127" s="18" t="s">
        <v>1417</v>
      </c>
      <c r="D1127" s="18" t="s">
        <v>735</v>
      </c>
      <c r="E1127" s="18" t="str">
        <f>VLOOKUP(D1127,[6]Arvore!$N$8:$Q$6855,4,FALSE)</f>
        <v>431111</v>
      </c>
      <c r="F1127" s="19">
        <v>872.11</v>
      </c>
      <c r="G1127" s="19">
        <v>783.91217014397398</v>
      </c>
      <c r="H1127" s="20">
        <v>88.197829856026104</v>
      </c>
      <c r="I1127" s="114"/>
      <c r="J1127" s="19"/>
      <c r="K1127" s="21"/>
      <c r="L1127" s="22"/>
      <c r="M1127" s="23"/>
      <c r="O1127" s="19" t="str">
        <f>VLOOKUP(QUERY_FOR_TRNSTRANSPOSED_0008!A1127,'[6]Fin vs NFin'!$A$4:$F$568,6,FALSE)</f>
        <v>Não Financeiras</v>
      </c>
      <c r="P1127" s="24" t="str">
        <f t="shared" si="25"/>
        <v>89</v>
      </c>
      <c r="Q1127" s="24"/>
      <c r="R1127" s="24" t="str">
        <f>VLOOKUP(D1127,[6]Mapeamento!$A$38:$C$497,3,FALSE)</f>
        <v>GG</v>
      </c>
      <c r="S1127" s="24"/>
      <c r="T1127" s="24"/>
    </row>
    <row r="1128" spans="1:20">
      <c r="A1128" s="18" t="s">
        <v>1410</v>
      </c>
      <c r="B1128" s="18" t="str">
        <f>VLOOKUP(A1128,'[6]Fin vs NFin'!$A$4:$B$568,2,FALSE)</f>
        <v>!Expediente</v>
      </c>
      <c r="C1128" s="18" t="s">
        <v>878</v>
      </c>
      <c r="D1128" s="18" t="s">
        <v>735</v>
      </c>
      <c r="E1128" s="18" t="str">
        <f>VLOOKUP(D1128,[6]Arvore!$N$8:$Q$6855,4,FALSE)</f>
        <v>431111</v>
      </c>
      <c r="F1128" s="19">
        <v>0</v>
      </c>
      <c r="G1128" s="19">
        <v>-1.84</v>
      </c>
      <c r="H1128" s="20">
        <v>1.84</v>
      </c>
      <c r="I1128" s="114"/>
      <c r="J1128" s="19"/>
      <c r="K1128" s="21"/>
      <c r="L1128" s="22"/>
      <c r="M1128" s="23"/>
      <c r="O1128" s="19" t="str">
        <f>VLOOKUP(QUERY_FOR_TRNSTRANSPOSED_0008!A1128,'[6]Fin vs NFin'!$A$4:$F$568,6,FALSE)</f>
        <v>Não Financeiras</v>
      </c>
      <c r="P1128" s="24" t="str">
        <f t="shared" si="25"/>
        <v>89</v>
      </c>
      <c r="Q1128" s="24"/>
      <c r="R1128" s="24" t="str">
        <f>VLOOKUP(D1128,[6]Mapeamento!$A$38:$C$497,3,FALSE)</f>
        <v>GG</v>
      </c>
      <c r="S1128" s="24"/>
      <c r="T1128" s="24"/>
    </row>
    <row r="1129" spans="1:20">
      <c r="A1129" s="32" t="s">
        <v>1410</v>
      </c>
      <c r="B1129" s="32" t="str">
        <f>VLOOKUP(A1129,'[6]Fin vs NFin'!$A$4:$B$568,2,FALSE)</f>
        <v>!Expediente</v>
      </c>
      <c r="C1129" s="32" t="s">
        <v>67</v>
      </c>
      <c r="D1129" s="32" t="s">
        <v>735</v>
      </c>
      <c r="E1129" s="32" t="str">
        <f>VLOOKUP(D1129,[6]Arvore!$N$8:$Q$6855,4,FALSE)</f>
        <v>431111</v>
      </c>
      <c r="F1129" s="33">
        <v>-97.25</v>
      </c>
      <c r="G1129" s="33">
        <v>-97.25</v>
      </c>
      <c r="H1129" s="34">
        <v>0</v>
      </c>
      <c r="I1129" s="114"/>
      <c r="J1129" s="19"/>
      <c r="K1129" s="21"/>
      <c r="L1129" s="22"/>
      <c r="M1129" s="23"/>
      <c r="O1129" s="19" t="str">
        <f>VLOOKUP(QUERY_FOR_TRNSTRANSPOSED_0008!A1129,'[6]Fin vs NFin'!$A$4:$F$568,6,FALSE)</f>
        <v>Não Financeiras</v>
      </c>
      <c r="P1129" s="24" t="str">
        <f t="shared" si="25"/>
        <v>89</v>
      </c>
      <c r="Q1129" s="24"/>
      <c r="R1129" s="24" t="str">
        <f>VLOOKUP(D1129,[6]Mapeamento!$A$38:$C$497,3,FALSE)</f>
        <v>GG</v>
      </c>
      <c r="S1129" s="24"/>
      <c r="T1129" s="24"/>
    </row>
    <row r="1130" spans="1:20">
      <c r="A1130" s="18" t="s">
        <v>1410</v>
      </c>
      <c r="B1130" s="18" t="str">
        <f>VLOOKUP(A1130,'[6]Fin vs NFin'!$A$4:$B$568,2,FALSE)</f>
        <v>!Expediente</v>
      </c>
      <c r="C1130" s="18" t="s">
        <v>1418</v>
      </c>
      <c r="D1130" s="18" t="s">
        <v>735</v>
      </c>
      <c r="E1130" s="18" t="str">
        <f>VLOOKUP(D1130,[6]Arvore!$N$8:$Q$6855,4,FALSE)</f>
        <v>431111</v>
      </c>
      <c r="F1130" s="19">
        <v>255.77</v>
      </c>
      <c r="G1130" s="19">
        <v>156.4</v>
      </c>
      <c r="H1130" s="20">
        <v>99.37</v>
      </c>
      <c r="I1130" s="114"/>
      <c r="J1130" s="19"/>
      <c r="K1130" s="21"/>
      <c r="L1130" s="22"/>
      <c r="M1130" s="23"/>
      <c r="O1130" s="19" t="str">
        <f>VLOOKUP(QUERY_FOR_TRNSTRANSPOSED_0008!A1130,'[6]Fin vs NFin'!$A$4:$F$568,6,FALSE)</f>
        <v>Não Financeiras</v>
      </c>
      <c r="P1130" s="24" t="str">
        <f t="shared" si="25"/>
        <v>89</v>
      </c>
      <c r="Q1130" s="24"/>
      <c r="R1130" s="24" t="str">
        <f>VLOOKUP(D1130,[6]Mapeamento!$A$38:$C$497,3,FALSE)</f>
        <v>GG</v>
      </c>
      <c r="S1130" s="24"/>
      <c r="T1130" s="24"/>
    </row>
    <row r="1131" spans="1:20">
      <c r="A1131" s="18" t="s">
        <v>1410</v>
      </c>
      <c r="B1131" s="18" t="str">
        <f>VLOOKUP(A1131,'[6]Fin vs NFin'!$A$4:$B$568,2,FALSE)</f>
        <v>!Expediente</v>
      </c>
      <c r="C1131" s="18" t="s">
        <v>1419</v>
      </c>
      <c r="D1131" s="18" t="s">
        <v>735</v>
      </c>
      <c r="E1131" s="18" t="str">
        <f>VLOOKUP(D1131,[6]Arvore!$N$8:$Q$6855,4,FALSE)</f>
        <v>431111</v>
      </c>
      <c r="F1131" s="19">
        <v>2496</v>
      </c>
      <c r="G1131" s="19">
        <v>12158.5</v>
      </c>
      <c r="H1131" s="20">
        <v>-9662.5</v>
      </c>
      <c r="I1131" s="114"/>
      <c r="J1131" s="19"/>
      <c r="K1131" s="21"/>
      <c r="L1131" s="22"/>
      <c r="M1131" s="23"/>
      <c r="O1131" s="19" t="str">
        <f>VLOOKUP(QUERY_FOR_TRNSTRANSPOSED_0008!A1131,'[6]Fin vs NFin'!$A$4:$F$568,6,FALSE)</f>
        <v>Não Financeiras</v>
      </c>
      <c r="P1131" s="24" t="str">
        <f t="shared" si="25"/>
        <v>89</v>
      </c>
      <c r="Q1131" s="24"/>
      <c r="R1131" s="24" t="str">
        <f>VLOOKUP(D1131,[6]Mapeamento!$A$38:$C$497,3,FALSE)</f>
        <v>GG</v>
      </c>
      <c r="S1131" s="24"/>
      <c r="T1131" s="24"/>
    </row>
    <row r="1132" spans="1:20">
      <c r="A1132" s="18" t="s">
        <v>1410</v>
      </c>
      <c r="B1132" s="18" t="str">
        <f>VLOOKUP(A1132,'[6]Fin vs NFin'!$A$4:$B$568,2,FALSE)</f>
        <v>!Expediente</v>
      </c>
      <c r="C1132" s="18" t="s">
        <v>1420</v>
      </c>
      <c r="D1132" s="18" t="s">
        <v>735</v>
      </c>
      <c r="E1132" s="18" t="str">
        <f>VLOOKUP(D1132,[6]Arvore!$N$8:$Q$6855,4,FALSE)</f>
        <v>431111</v>
      </c>
      <c r="F1132" s="19">
        <v>-3563</v>
      </c>
      <c r="G1132" s="19">
        <v>-13225.5</v>
      </c>
      <c r="H1132" s="20">
        <v>9662.5</v>
      </c>
      <c r="I1132" s="114"/>
      <c r="J1132" s="19"/>
      <c r="K1132" s="21"/>
      <c r="L1132" s="22"/>
      <c r="M1132" s="23"/>
      <c r="O1132" s="19" t="str">
        <f>VLOOKUP(QUERY_FOR_TRNSTRANSPOSED_0008!A1132,'[6]Fin vs NFin'!$A$4:$F$568,6,FALSE)</f>
        <v>Não Financeiras</v>
      </c>
      <c r="P1132" s="24" t="str">
        <f t="shared" si="25"/>
        <v>89</v>
      </c>
      <c r="Q1132" s="24"/>
      <c r="R1132" s="24" t="str">
        <f>VLOOKUP(D1132,[6]Mapeamento!$A$38:$C$497,3,FALSE)</f>
        <v>GG</v>
      </c>
      <c r="S1132" s="24"/>
      <c r="T1132" s="24"/>
    </row>
    <row r="1133" spans="1:20" ht="15" thickBot="1">
      <c r="A1133" s="32" t="s">
        <v>1410</v>
      </c>
      <c r="B1133" s="32" t="str">
        <f>VLOOKUP(A1133,'[6]Fin vs NFin'!$A$4:$B$568,2,FALSE)</f>
        <v>!Expediente</v>
      </c>
      <c r="C1133" s="32" t="s">
        <v>1421</v>
      </c>
      <c r="D1133" s="32" t="s">
        <v>735</v>
      </c>
      <c r="E1133" s="32" t="str">
        <f>VLOOKUP(D1133,[6]Arvore!$N$8:$Q$6855,4,FALSE)</f>
        <v>431111</v>
      </c>
      <c r="F1133" s="33">
        <v>9.1999999999999993</v>
      </c>
      <c r="G1133" s="33">
        <v>9.1999999999999993</v>
      </c>
      <c r="H1133" s="34">
        <v>0</v>
      </c>
      <c r="I1133" s="114"/>
      <c r="J1133" s="19"/>
      <c r="K1133" s="21"/>
      <c r="L1133" s="22"/>
      <c r="M1133" s="23"/>
      <c r="O1133" s="19" t="str">
        <f>VLOOKUP(QUERY_FOR_TRNSTRANSPOSED_0008!A1133,'[6]Fin vs NFin'!$A$4:$F$568,6,FALSE)</f>
        <v>Não Financeiras</v>
      </c>
      <c r="P1133" s="24" t="str">
        <f t="shared" si="25"/>
        <v>89</v>
      </c>
      <c r="Q1133" s="24"/>
      <c r="R1133" s="24" t="str">
        <f>VLOOKUP(D1133,[6]Mapeamento!$A$38:$C$497,3,FALSE)</f>
        <v>GG</v>
      </c>
      <c r="S1133" s="24"/>
      <c r="T1133" s="24"/>
    </row>
    <row r="1134" spans="1:20">
      <c r="A1134" s="49" t="s">
        <v>1422</v>
      </c>
      <c r="B1134" s="49" t="str">
        <f>VLOOKUP(A1134,'[6]Fin vs NFin'!$A$4:$B$568,2,FALSE)</f>
        <v>!Despesas Judiciais</v>
      </c>
      <c r="C1134" s="49" t="s">
        <v>1423</v>
      </c>
      <c r="D1134" s="49" t="s">
        <v>432</v>
      </c>
      <c r="E1134" s="49" t="str">
        <f>VLOOKUP(D1134,[6]Arvore!$N$8:$Q$6855,4,FALSE)</f>
        <v>519399</v>
      </c>
      <c r="F1134" s="50">
        <v>-10397.02</v>
      </c>
      <c r="G1134" s="50">
        <v>-10397.02</v>
      </c>
      <c r="H1134" s="51">
        <v>1.8189894035458601E-12</v>
      </c>
      <c r="I1134" s="108">
        <f>SUM(H1134:H1143)</f>
        <v>0</v>
      </c>
      <c r="J1134" s="39"/>
      <c r="K1134" s="21"/>
      <c r="L1134" s="41"/>
      <c r="M1134" s="42"/>
      <c r="O1134" s="39" t="str">
        <f>VLOOKUP(QUERY_FOR_TRNSTRANSPOSED_0008!A1134,'[6]Fin vs NFin'!$A$4:$F$568,6,FALSE)</f>
        <v>Não Financeiras</v>
      </c>
      <c r="P1134" s="43" t="str">
        <f t="shared" si="25"/>
        <v>82</v>
      </c>
      <c r="Q1134" s="43"/>
      <c r="R1134" s="43"/>
      <c r="S1134" s="43"/>
      <c r="T1134" s="43"/>
    </row>
    <row r="1135" spans="1:20">
      <c r="A1135" s="32" t="s">
        <v>1422</v>
      </c>
      <c r="B1135" s="32" t="str">
        <f>VLOOKUP(A1135,'[6]Fin vs NFin'!$A$4:$B$568,2,FALSE)</f>
        <v>!Despesas Judiciais</v>
      </c>
      <c r="C1135" s="32" t="s">
        <v>1424</v>
      </c>
      <c r="D1135" s="32" t="s">
        <v>432</v>
      </c>
      <c r="E1135" s="32" t="str">
        <f>VLOOKUP(D1135,[6]Arvore!$N$8:$Q$6855,4,FALSE)</f>
        <v>519399</v>
      </c>
      <c r="F1135" s="33">
        <v>-232.08</v>
      </c>
      <c r="G1135" s="33">
        <v>-232.08</v>
      </c>
      <c r="H1135" s="34">
        <v>2.8421709430404001E-14</v>
      </c>
      <c r="I1135" s="114"/>
      <c r="J1135" s="19"/>
      <c r="K1135" s="21"/>
      <c r="L1135" s="22"/>
      <c r="M1135" s="23"/>
      <c r="O1135" s="19" t="str">
        <f>VLOOKUP(QUERY_FOR_TRNSTRANSPOSED_0008!A1135,'[6]Fin vs NFin'!$A$4:$F$568,6,FALSE)</f>
        <v>Não Financeiras</v>
      </c>
      <c r="P1135" s="24" t="str">
        <f t="shared" si="25"/>
        <v>82</v>
      </c>
      <c r="Q1135" s="24"/>
      <c r="R1135" s="24"/>
      <c r="S1135" s="24"/>
      <c r="T1135" s="24"/>
    </row>
    <row r="1136" spans="1:20">
      <c r="A1136" s="18" t="s">
        <v>1422</v>
      </c>
      <c r="B1136" s="18" t="str">
        <f>VLOOKUP(A1136,'[6]Fin vs NFin'!$A$4:$B$568,2,FALSE)</f>
        <v>!Despesas Judiciais</v>
      </c>
      <c r="C1136" s="18" t="s">
        <v>1425</v>
      </c>
      <c r="D1136" s="18" t="s">
        <v>724</v>
      </c>
      <c r="E1136" s="18" t="str">
        <f>VLOOKUP(D1136,[6]Arvore!$N$8:$Q$6855,4,FALSE)</f>
        <v>41499</v>
      </c>
      <c r="F1136" s="19">
        <v>-25510.240000000002</v>
      </c>
      <c r="G1136" s="19">
        <v>-22911.1</v>
      </c>
      <c r="H1136" s="20">
        <v>-2599.14</v>
      </c>
      <c r="I1136" s="114"/>
      <c r="J1136" s="19"/>
      <c r="K1136" s="21"/>
      <c r="L1136" s="22"/>
      <c r="M1136" s="23"/>
      <c r="O1136" s="19" t="str">
        <f>VLOOKUP(QUERY_FOR_TRNSTRANSPOSED_0008!A1136,'[6]Fin vs NFin'!$A$4:$F$568,6,FALSE)</f>
        <v>Não Financeiras</v>
      </c>
      <c r="P1136" s="24" t="str">
        <f t="shared" si="25"/>
        <v>77</v>
      </c>
      <c r="Q1136" s="24"/>
      <c r="R1136" s="24"/>
      <c r="S1136" s="24"/>
      <c r="T1136" s="24"/>
    </row>
    <row r="1137" spans="1:20">
      <c r="A1137" s="18" t="s">
        <v>1422</v>
      </c>
      <c r="B1137" s="18" t="str">
        <f>VLOOKUP(A1137,'[6]Fin vs NFin'!$A$4:$B$568,2,FALSE)</f>
        <v>!Despesas Judiciais</v>
      </c>
      <c r="C1137" s="18" t="s">
        <v>1426</v>
      </c>
      <c r="D1137" s="18" t="s">
        <v>724</v>
      </c>
      <c r="E1137" s="18" t="str">
        <f>VLOOKUP(D1137,[6]Arvore!$N$8:$Q$6855,4,FALSE)</f>
        <v>41499</v>
      </c>
      <c r="F1137" s="19">
        <v>-1012.36</v>
      </c>
      <c r="G1137" s="19">
        <v>-659.92</v>
      </c>
      <c r="H1137" s="20">
        <v>-352.44</v>
      </c>
      <c r="I1137" s="114"/>
      <c r="J1137" s="19"/>
      <c r="K1137" s="21"/>
      <c r="L1137" s="22"/>
      <c r="M1137" s="23"/>
      <c r="O1137" s="19" t="str">
        <f>VLOOKUP(QUERY_FOR_TRNSTRANSPOSED_0008!A1137,'[6]Fin vs NFin'!$A$4:$F$568,6,FALSE)</f>
        <v>Não Financeiras</v>
      </c>
      <c r="P1137" s="24" t="str">
        <f t="shared" si="25"/>
        <v>77</v>
      </c>
      <c r="Q1137" s="24"/>
      <c r="R1137" s="24"/>
      <c r="S1137" s="24"/>
      <c r="T1137" s="24"/>
    </row>
    <row r="1138" spans="1:20">
      <c r="A1138" s="18" t="s">
        <v>1422</v>
      </c>
      <c r="B1138" s="18" t="str">
        <f>VLOOKUP(A1138,'[6]Fin vs NFin'!$A$4:$B$568,2,FALSE)</f>
        <v>!Despesas Judiciais</v>
      </c>
      <c r="C1138" s="18" t="s">
        <v>1427</v>
      </c>
      <c r="D1138" s="18" t="s">
        <v>724</v>
      </c>
      <c r="E1138" s="18" t="str">
        <f>VLOOKUP(D1138,[6]Arvore!$N$8:$Q$6855,4,FALSE)</f>
        <v>41499</v>
      </c>
      <c r="F1138" s="19">
        <v>-91875.9</v>
      </c>
      <c r="G1138" s="19">
        <v>-122722.93</v>
      </c>
      <c r="H1138" s="20">
        <v>30847.03</v>
      </c>
      <c r="I1138" s="114"/>
      <c r="J1138" s="19"/>
      <c r="K1138" s="21"/>
      <c r="L1138" s="22"/>
      <c r="M1138" s="23"/>
      <c r="O1138" s="19" t="str">
        <f>VLOOKUP(QUERY_FOR_TRNSTRANSPOSED_0008!A1138,'[6]Fin vs NFin'!$A$4:$F$568,6,FALSE)</f>
        <v>Não Financeiras</v>
      </c>
      <c r="P1138" s="24" t="str">
        <f t="shared" si="25"/>
        <v>77</v>
      </c>
      <c r="Q1138" s="24"/>
      <c r="R1138" s="24"/>
      <c r="S1138" s="24"/>
      <c r="T1138" s="24"/>
    </row>
    <row r="1139" spans="1:20">
      <c r="A1139" s="32" t="s">
        <v>1422</v>
      </c>
      <c r="B1139" s="32" t="str">
        <f>VLOOKUP(A1139,'[6]Fin vs NFin'!$A$4:$B$568,2,FALSE)</f>
        <v>!Despesas Judiciais</v>
      </c>
      <c r="C1139" s="32" t="s">
        <v>1428</v>
      </c>
      <c r="D1139" s="32" t="s">
        <v>432</v>
      </c>
      <c r="E1139" s="32" t="str">
        <f>VLOOKUP(D1139,[6]Arvore!$N$8:$Q$6855,4,FALSE)</f>
        <v>519399</v>
      </c>
      <c r="F1139" s="33">
        <v>12.8</v>
      </c>
      <c r="G1139" s="33">
        <v>12.8</v>
      </c>
      <c r="H1139" s="34">
        <v>0</v>
      </c>
      <c r="I1139" s="114"/>
      <c r="J1139" s="19"/>
      <c r="K1139" s="21"/>
      <c r="L1139" s="22"/>
      <c r="M1139" s="23"/>
      <c r="O1139" s="19" t="str">
        <f>VLOOKUP(QUERY_FOR_TRNSTRANSPOSED_0008!A1139,'[6]Fin vs NFin'!$A$4:$F$568,6,FALSE)</f>
        <v>Não Financeiras</v>
      </c>
      <c r="P1139" s="24" t="str">
        <f t="shared" si="25"/>
        <v>82</v>
      </c>
      <c r="Q1139" s="24"/>
      <c r="R1139" s="24"/>
      <c r="S1139" s="24"/>
      <c r="T1139" s="24"/>
    </row>
    <row r="1140" spans="1:20">
      <c r="A1140" s="18" t="s">
        <v>1422</v>
      </c>
      <c r="B1140" s="18" t="str">
        <f>VLOOKUP(A1140,'[6]Fin vs NFin'!$A$4:$B$568,2,FALSE)</f>
        <v>!Despesas Judiciais</v>
      </c>
      <c r="C1140" s="18" t="s">
        <v>1429</v>
      </c>
      <c r="D1140" s="18" t="s">
        <v>724</v>
      </c>
      <c r="E1140" s="18" t="str">
        <f>VLOOKUP(D1140,[6]Arvore!$N$8:$Q$6855,4,FALSE)</f>
        <v>41499</v>
      </c>
      <c r="F1140" s="19">
        <v>867.82</v>
      </c>
      <c r="G1140" s="19">
        <v>301.93</v>
      </c>
      <c r="H1140" s="20">
        <v>565.89</v>
      </c>
      <c r="I1140" s="114"/>
      <c r="J1140" s="19"/>
      <c r="K1140" s="21"/>
      <c r="L1140" s="22"/>
      <c r="M1140" s="23"/>
      <c r="O1140" s="19" t="str">
        <f>VLOOKUP(QUERY_FOR_TRNSTRANSPOSED_0008!A1140,'[6]Fin vs NFin'!$A$4:$F$568,6,FALSE)</f>
        <v>Não Financeiras</v>
      </c>
      <c r="P1140" s="24" t="str">
        <f t="shared" si="25"/>
        <v>77</v>
      </c>
      <c r="Q1140" s="24"/>
      <c r="R1140" s="24"/>
      <c r="S1140" s="24"/>
      <c r="T1140" s="24"/>
    </row>
    <row r="1141" spans="1:20">
      <c r="A1141" s="18" t="s">
        <v>1422</v>
      </c>
      <c r="B1141" s="18" t="str">
        <f>VLOOKUP(A1141,'[6]Fin vs NFin'!$A$4:$B$568,2,FALSE)</f>
        <v>!Despesas Judiciais</v>
      </c>
      <c r="C1141" s="18" t="s">
        <v>1430</v>
      </c>
      <c r="D1141" s="18" t="s">
        <v>724</v>
      </c>
      <c r="E1141" s="18" t="str">
        <f>VLOOKUP(D1141,[6]Arvore!$N$8:$Q$6855,4,FALSE)</f>
        <v>41499</v>
      </c>
      <c r="F1141" s="19" t="s">
        <v>84</v>
      </c>
      <c r="G1141" s="19">
        <v>223.47</v>
      </c>
      <c r="H1141" s="20">
        <v>-223.47</v>
      </c>
      <c r="I1141" s="114"/>
      <c r="J1141" s="19"/>
      <c r="K1141" s="21"/>
      <c r="L1141" s="22"/>
      <c r="M1141" s="23"/>
      <c r="O1141" s="19" t="str">
        <f>VLOOKUP(QUERY_FOR_TRNSTRANSPOSED_0008!A1141,'[6]Fin vs NFin'!$A$4:$F$568,6,FALSE)</f>
        <v>Não Financeiras</v>
      </c>
      <c r="P1141" s="24" t="str">
        <f t="shared" si="25"/>
        <v>77</v>
      </c>
      <c r="Q1141" s="24"/>
      <c r="R1141" s="24"/>
      <c r="S1141" s="24"/>
      <c r="T1141" s="24"/>
    </row>
    <row r="1142" spans="1:20">
      <c r="A1142" s="18" t="s">
        <v>1422</v>
      </c>
      <c r="B1142" s="18" t="str">
        <f>VLOOKUP(A1142,'[6]Fin vs NFin'!$A$4:$B$568,2,FALSE)</f>
        <v>!Despesas Judiciais</v>
      </c>
      <c r="C1142" s="18" t="s">
        <v>1431</v>
      </c>
      <c r="D1142" s="18" t="s">
        <v>724</v>
      </c>
      <c r="E1142" s="18" t="str">
        <f>VLOOKUP(D1142,[6]Arvore!$N$8:$Q$6855,4,FALSE)</f>
        <v>41499</v>
      </c>
      <c r="F1142" s="19">
        <v>1055.83</v>
      </c>
      <c r="G1142" s="19">
        <v>17907.740000000002</v>
      </c>
      <c r="H1142" s="20">
        <v>-16851.91</v>
      </c>
      <c r="I1142" s="114"/>
      <c r="J1142" s="19"/>
      <c r="K1142" s="21"/>
      <c r="L1142" s="22"/>
      <c r="M1142" s="23"/>
      <c r="O1142" s="19" t="str">
        <f>VLOOKUP(QUERY_FOR_TRNSTRANSPOSED_0008!A1142,'[6]Fin vs NFin'!$A$4:$F$568,6,FALSE)</f>
        <v>Não Financeiras</v>
      </c>
      <c r="P1142" s="24" t="str">
        <f t="shared" si="25"/>
        <v>77</v>
      </c>
      <c r="Q1142" s="24"/>
      <c r="R1142" s="24"/>
      <c r="S1142" s="24"/>
      <c r="T1142" s="24"/>
    </row>
    <row r="1143" spans="1:20" ht="15" thickBot="1">
      <c r="A1143" s="18" t="s">
        <v>1422</v>
      </c>
      <c r="B1143" s="18" t="str">
        <f>VLOOKUP(A1143,'[6]Fin vs NFin'!$A$4:$B$568,2,FALSE)</f>
        <v>!Despesas Judiciais</v>
      </c>
      <c r="C1143" s="18" t="s">
        <v>1432</v>
      </c>
      <c r="D1143" s="18" t="s">
        <v>724</v>
      </c>
      <c r="E1143" s="18" t="str">
        <f>VLOOKUP(D1143,[6]Arvore!$N$8:$Q$6855,4,FALSE)</f>
        <v>41499</v>
      </c>
      <c r="F1143" s="19">
        <v>2999.52</v>
      </c>
      <c r="G1143" s="19">
        <v>14385.48</v>
      </c>
      <c r="H1143" s="20">
        <v>-11385.96</v>
      </c>
      <c r="I1143" s="114"/>
      <c r="J1143" s="19"/>
      <c r="K1143" s="21"/>
      <c r="L1143" s="22"/>
      <c r="M1143" s="23"/>
      <c r="O1143" s="19" t="str">
        <f>VLOOKUP(QUERY_FOR_TRNSTRANSPOSED_0008!A1143,'[6]Fin vs NFin'!$A$4:$F$568,6,FALSE)</f>
        <v>Não Financeiras</v>
      </c>
      <c r="P1143" s="24" t="str">
        <f t="shared" si="25"/>
        <v>77</v>
      </c>
      <c r="Q1143" s="24"/>
      <c r="R1143" s="24"/>
      <c r="S1143" s="24"/>
      <c r="T1143" s="24"/>
    </row>
    <row r="1144" spans="1:20">
      <c r="A1144" s="38" t="s">
        <v>1433</v>
      </c>
      <c r="B1144" s="38" t="str">
        <f>VLOOKUP(A1144,'[6]Fin vs NFin'!$A$4:$B$568,2,FALSE)</f>
        <v>!Custos/Prov.Balcões</v>
      </c>
      <c r="C1144" s="38" t="s">
        <v>1434</v>
      </c>
      <c r="D1144" s="38" t="s">
        <v>1435</v>
      </c>
      <c r="E1144" s="38" t="str">
        <f>VLOOKUP(D1144,[6]Arvore!$N$8:$Q$6855,4,FALSE)</f>
        <v>4508809111</v>
      </c>
      <c r="F1144" s="39">
        <v>3392.26</v>
      </c>
      <c r="G1144" s="39">
        <v>-280.74</v>
      </c>
      <c r="H1144" s="40">
        <v>3673</v>
      </c>
      <c r="I1144" s="108">
        <f>SUM(H1144:H1159)</f>
        <v>-8.5199563924049926E-3</v>
      </c>
      <c r="J1144" s="39"/>
      <c r="K1144" s="21"/>
      <c r="L1144" s="41"/>
      <c r="M1144" s="42"/>
      <c r="O1144" s="39" t="str">
        <f>VLOOKUP(QUERY_FOR_TRNSTRANSPOSED_0008!A1144,'[6]Fin vs NFin'!$A$4:$F$568,6,FALSE)</f>
        <v>Não Financeiras</v>
      </c>
      <c r="P1144" s="43" t="str">
        <f t="shared" si="25"/>
        <v>77</v>
      </c>
      <c r="Q1144" s="43"/>
      <c r="R1144" s="43"/>
      <c r="S1144" s="43" t="str">
        <f>VLOOKUP(D1144,[6]Mapeamento!$A$38:$C$497,3,FALSE)</f>
        <v>RO</v>
      </c>
      <c r="T1144" s="43"/>
    </row>
    <row r="1145" spans="1:20">
      <c r="A1145" s="18" t="s">
        <v>1433</v>
      </c>
      <c r="B1145" s="18" t="str">
        <f>VLOOKUP(A1145,'[6]Fin vs NFin'!$A$4:$B$568,2,FALSE)</f>
        <v>!Custos/Prov.Balcões</v>
      </c>
      <c r="C1145" s="18" t="s">
        <v>1436</v>
      </c>
      <c r="D1145" s="18" t="s">
        <v>855</v>
      </c>
      <c r="E1145" s="18" t="str">
        <f>VLOOKUP(D1145,[6]Arvore!$N$8:$Q$6855,4,FALSE)</f>
        <v>4508809116</v>
      </c>
      <c r="F1145" s="19">
        <v>90057.56</v>
      </c>
      <c r="G1145" s="19">
        <v>-2050.1999999999998</v>
      </c>
      <c r="H1145" s="20">
        <v>92107.76</v>
      </c>
      <c r="I1145" s="114"/>
      <c r="J1145" s="19"/>
      <c r="K1145" s="21"/>
      <c r="L1145" s="22"/>
      <c r="M1145" s="23"/>
      <c r="O1145" s="19" t="str">
        <f>VLOOKUP(QUERY_FOR_TRNSTRANSPOSED_0008!A1145,'[6]Fin vs NFin'!$A$4:$F$568,6,FALSE)</f>
        <v>Não Financeiras</v>
      </c>
      <c r="P1145" s="24" t="str">
        <f t="shared" si="25"/>
        <v>77</v>
      </c>
      <c r="Q1145" s="24"/>
      <c r="R1145" s="24"/>
      <c r="S1145" s="24" t="str">
        <f>VLOOKUP(D1145,[6]Mapeamento!$A$38:$C$497,3,FALSE)</f>
        <v>RO</v>
      </c>
      <c r="T1145" s="24"/>
    </row>
    <row r="1146" spans="1:20">
      <c r="A1146" s="18" t="s">
        <v>1433</v>
      </c>
      <c r="B1146" s="18" t="str">
        <f>VLOOKUP(A1146,'[6]Fin vs NFin'!$A$4:$B$568,2,FALSE)</f>
        <v>!Custos/Prov.Balcões</v>
      </c>
      <c r="C1146" s="18" t="s">
        <v>708</v>
      </c>
      <c r="D1146" s="18" t="s">
        <v>294</v>
      </c>
      <c r="E1146" s="18" t="str">
        <f>VLOOKUP(D1146,[6]Arvore!$N$8:$Q$6855,4,FALSE)</f>
        <v>55088091</v>
      </c>
      <c r="F1146" s="19">
        <v>35166.019999999997</v>
      </c>
      <c r="G1146" s="19">
        <v>5959.9623587691704</v>
      </c>
      <c r="H1146" s="20">
        <v>29206.0576412308</v>
      </c>
      <c r="I1146" s="114"/>
      <c r="J1146" s="19"/>
      <c r="K1146" s="21"/>
      <c r="L1146" s="22"/>
      <c r="M1146" s="23"/>
      <c r="O1146" s="19" t="str">
        <f>VLOOKUP(QUERY_FOR_TRNSTRANSPOSED_0008!A1146,'[6]Fin vs NFin'!$A$4:$F$568,6,FALSE)</f>
        <v>Não Financeiras</v>
      </c>
      <c r="P1146" s="24" t="str">
        <f t="shared" si="25"/>
        <v>89</v>
      </c>
      <c r="Q1146" s="24" t="str">
        <f>VLOOKUP(D1146,[6]Mapeamento!$A$38:$C$497,3,FALSE)</f>
        <v>OREX</v>
      </c>
      <c r="R1146" s="24"/>
      <c r="S1146" s="24"/>
      <c r="T1146" s="24"/>
    </row>
    <row r="1147" spans="1:20">
      <c r="A1147" s="18" t="s">
        <v>1433</v>
      </c>
      <c r="B1147" s="18" t="str">
        <f>VLOOKUP(A1147,'[6]Fin vs NFin'!$A$4:$B$568,2,FALSE)</f>
        <v>!Custos/Prov.Balcões</v>
      </c>
      <c r="C1147" s="18" t="s">
        <v>1437</v>
      </c>
      <c r="D1147" s="18" t="s">
        <v>294</v>
      </c>
      <c r="E1147" s="18" t="str">
        <f>VLOOKUP(D1147,[6]Arvore!$N$8:$Q$6855,4,FALSE)</f>
        <v>55088091</v>
      </c>
      <c r="F1147" s="19">
        <v>773783.81</v>
      </c>
      <c r="G1147" s="19">
        <v>1017296.61222833</v>
      </c>
      <c r="H1147" s="20">
        <v>-243512.80222832999</v>
      </c>
      <c r="I1147" s="114"/>
      <c r="J1147" s="19"/>
      <c r="K1147" s="21"/>
      <c r="L1147" s="22"/>
      <c r="M1147" s="23"/>
      <c r="O1147" s="19" t="str">
        <f>VLOOKUP(QUERY_FOR_TRNSTRANSPOSED_0008!A1147,'[6]Fin vs NFin'!$A$4:$F$568,6,FALSE)</f>
        <v>Não Financeiras</v>
      </c>
      <c r="P1147" s="24" t="str">
        <f t="shared" si="25"/>
        <v>89</v>
      </c>
      <c r="Q1147" s="24" t="str">
        <f>VLOOKUP(D1147,[6]Mapeamento!$A$38:$C$497,3,FALSE)</f>
        <v>OREX</v>
      </c>
      <c r="R1147" s="24"/>
      <c r="S1147" s="24"/>
      <c r="T1147" s="24"/>
    </row>
    <row r="1148" spans="1:20">
      <c r="A1148" s="18" t="s">
        <v>1433</v>
      </c>
      <c r="B1148" s="18" t="str">
        <f>VLOOKUP(A1148,'[6]Fin vs NFin'!$A$4:$B$568,2,FALSE)</f>
        <v>!Custos/Prov.Balcões</v>
      </c>
      <c r="C1148" s="18" t="s">
        <v>153</v>
      </c>
      <c r="D1148" s="18" t="s">
        <v>854</v>
      </c>
      <c r="E1148" s="18" t="str">
        <f>VLOOKUP(D1148,[6]Arvore!$N$8:$Q$6855,4,FALSE)</f>
        <v>4508809115</v>
      </c>
      <c r="F1148" s="19">
        <v>35575</v>
      </c>
      <c r="G1148" s="19">
        <v>-405.14</v>
      </c>
      <c r="H1148" s="20">
        <v>35980.14</v>
      </c>
      <c r="I1148" s="114"/>
      <c r="J1148" s="19"/>
      <c r="K1148" s="21"/>
      <c r="L1148" s="22"/>
      <c r="M1148" s="23"/>
      <c r="O1148" s="19" t="str">
        <f>VLOOKUP(QUERY_FOR_TRNSTRANSPOSED_0008!A1148,'[6]Fin vs NFin'!$A$4:$F$568,6,FALSE)</f>
        <v>Não Financeiras</v>
      </c>
      <c r="P1148" s="24" t="str">
        <f t="shared" si="25"/>
        <v>77</v>
      </c>
      <c r="Q1148" s="24"/>
      <c r="R1148" s="24"/>
      <c r="S1148" s="24" t="str">
        <f>VLOOKUP(D1148,[6]Mapeamento!$A$38:$C$497,3,FALSE)</f>
        <v>RO</v>
      </c>
      <c r="T1148" s="24"/>
    </row>
    <row r="1149" spans="1:20">
      <c r="A1149" s="18" t="s">
        <v>1433</v>
      </c>
      <c r="B1149" s="18" t="str">
        <f>VLOOKUP(A1149,'[6]Fin vs NFin'!$A$4:$B$568,2,FALSE)</f>
        <v>!Custos/Prov.Balcões</v>
      </c>
      <c r="C1149" s="18" t="s">
        <v>1438</v>
      </c>
      <c r="D1149" s="18" t="s">
        <v>1439</v>
      </c>
      <c r="E1149" s="18" t="str">
        <f>VLOOKUP(D1149,[6]Arvore!$N$8:$Q$6855,4,FALSE)</f>
        <v>4508809110</v>
      </c>
      <c r="F1149" s="19">
        <v>-195894.66</v>
      </c>
      <c r="G1149" s="19">
        <v>-371199.03</v>
      </c>
      <c r="H1149" s="20">
        <v>175304.37</v>
      </c>
      <c r="I1149" s="114"/>
      <c r="J1149" s="19"/>
      <c r="K1149" s="21"/>
      <c r="L1149" s="22"/>
      <c r="M1149" s="23"/>
      <c r="O1149" s="19" t="str">
        <f>VLOOKUP(QUERY_FOR_TRNSTRANSPOSED_0008!A1149,'[6]Fin vs NFin'!$A$4:$F$568,6,FALSE)</f>
        <v>Não Financeiras</v>
      </c>
      <c r="P1149" s="24" t="str">
        <f t="shared" si="25"/>
        <v>77</v>
      </c>
      <c r="Q1149" s="24"/>
      <c r="R1149" s="24"/>
      <c r="S1149" s="24" t="str">
        <f>VLOOKUP(D1149,[6]Mapeamento!$A$38:$C$497,3,FALSE)</f>
        <v>RO</v>
      </c>
      <c r="T1149" s="24"/>
    </row>
    <row r="1150" spans="1:20">
      <c r="A1150" s="18" t="s">
        <v>1433</v>
      </c>
      <c r="B1150" s="18" t="str">
        <f>VLOOKUP(A1150,'[6]Fin vs NFin'!$A$4:$B$568,2,FALSE)</f>
        <v>!Custos/Prov.Balcões</v>
      </c>
      <c r="C1150" s="18" t="s">
        <v>1440</v>
      </c>
      <c r="D1150" s="18" t="s">
        <v>1435</v>
      </c>
      <c r="E1150" s="18" t="str">
        <f>VLOOKUP(D1150,[6]Arvore!$N$8:$Q$6855,4,FALSE)</f>
        <v>4508809111</v>
      </c>
      <c r="F1150" s="19">
        <v>-214822.08</v>
      </c>
      <c r="G1150" s="19">
        <v>-278542.32</v>
      </c>
      <c r="H1150" s="20">
        <v>63720.24</v>
      </c>
      <c r="I1150" s="114"/>
      <c r="J1150" s="19"/>
      <c r="K1150" s="21"/>
      <c r="L1150" s="22"/>
      <c r="M1150" s="23"/>
      <c r="O1150" s="19" t="str">
        <f>VLOOKUP(QUERY_FOR_TRNSTRANSPOSED_0008!A1150,'[6]Fin vs NFin'!$A$4:$F$568,6,FALSE)</f>
        <v>Não Financeiras</v>
      </c>
      <c r="P1150" s="24" t="str">
        <f t="shared" si="25"/>
        <v>77</v>
      </c>
      <c r="Q1150" s="24"/>
      <c r="R1150" s="24"/>
      <c r="S1150" s="24" t="str">
        <f>VLOOKUP(D1150,[6]Mapeamento!$A$38:$C$497,3,FALSE)</f>
        <v>RO</v>
      </c>
      <c r="T1150" s="24"/>
    </row>
    <row r="1151" spans="1:20">
      <c r="A1151" s="18" t="s">
        <v>1433</v>
      </c>
      <c r="B1151" s="18" t="str">
        <f>VLOOKUP(A1151,'[6]Fin vs NFin'!$A$4:$B$568,2,FALSE)</f>
        <v>!Custos/Prov.Balcões</v>
      </c>
      <c r="C1151" s="18" t="s">
        <v>1441</v>
      </c>
      <c r="D1151" s="18" t="s">
        <v>854</v>
      </c>
      <c r="E1151" s="18" t="str">
        <f>VLOOKUP(D1151,[6]Arvore!$N$8:$Q$6855,4,FALSE)</f>
        <v>4508809115</v>
      </c>
      <c r="F1151" s="19">
        <v>-12060.6</v>
      </c>
      <c r="G1151" s="19">
        <v>-13925.07</v>
      </c>
      <c r="H1151" s="20">
        <v>1864.47</v>
      </c>
      <c r="I1151" s="114"/>
      <c r="J1151" s="19"/>
      <c r="K1151" s="21"/>
      <c r="L1151" s="22"/>
      <c r="M1151" s="23"/>
      <c r="O1151" s="19" t="str">
        <f>VLOOKUP(QUERY_FOR_TRNSTRANSPOSED_0008!A1151,'[6]Fin vs NFin'!$A$4:$F$568,6,FALSE)</f>
        <v>Não Financeiras</v>
      </c>
      <c r="P1151" s="24" t="str">
        <f t="shared" si="25"/>
        <v>77</v>
      </c>
      <c r="Q1151" s="24"/>
      <c r="R1151" s="24"/>
      <c r="S1151" s="24" t="str">
        <f>VLOOKUP(D1151,[6]Mapeamento!$A$38:$C$497,3,FALSE)</f>
        <v>RO</v>
      </c>
      <c r="T1151" s="24"/>
    </row>
    <row r="1152" spans="1:20">
      <c r="A1152" s="18" t="s">
        <v>1433</v>
      </c>
      <c r="B1152" s="18" t="str">
        <f>VLOOKUP(A1152,'[6]Fin vs NFin'!$A$4:$B$568,2,FALSE)</f>
        <v>!Custos/Prov.Balcões</v>
      </c>
      <c r="C1152" s="18" t="s">
        <v>1442</v>
      </c>
      <c r="D1152" s="18" t="s">
        <v>601</v>
      </c>
      <c r="E1152" s="18" t="str">
        <f>VLOOKUP(D1152,[6]Arvore!$N$8:$Q$6855,4,FALSE)</f>
        <v>450880910</v>
      </c>
      <c r="F1152" s="19">
        <v>49.63</v>
      </c>
      <c r="G1152" s="19">
        <v>16172.26</v>
      </c>
      <c r="H1152" s="20">
        <v>-16122.63</v>
      </c>
      <c r="I1152" s="114"/>
      <c r="J1152" s="19"/>
      <c r="K1152" s="21"/>
      <c r="L1152" s="22"/>
      <c r="M1152" s="23"/>
      <c r="O1152" s="19" t="str">
        <f>VLOOKUP(QUERY_FOR_TRNSTRANSPOSED_0008!A1152,'[6]Fin vs NFin'!$A$4:$F$568,6,FALSE)</f>
        <v>Não Financeiras</v>
      </c>
      <c r="P1152" s="24" t="str">
        <f t="shared" si="25"/>
        <v>77</v>
      </c>
      <c r="Q1152" s="24" t="str">
        <f>VLOOKUP(D1152,[6]Mapeamento!$A$38:$C$497,3,FALSE)</f>
        <v>OREX</v>
      </c>
      <c r="R1152" s="24"/>
      <c r="S1152" s="24"/>
      <c r="T1152" s="24"/>
    </row>
    <row r="1153" spans="1:20">
      <c r="A1153" s="18" t="s">
        <v>1433</v>
      </c>
      <c r="B1153" s="18" t="str">
        <f>VLOOKUP(A1153,'[6]Fin vs NFin'!$A$4:$B$568,2,FALSE)</f>
        <v>!Custos/Prov.Balcões</v>
      </c>
      <c r="C1153" s="18" t="s">
        <v>1443</v>
      </c>
      <c r="D1153" s="18" t="s">
        <v>294</v>
      </c>
      <c r="E1153" s="18" t="str">
        <f>VLOOKUP(D1153,[6]Arvore!$N$8:$Q$6855,4,FALSE)</f>
        <v>55088091</v>
      </c>
      <c r="F1153" s="19">
        <v>-8202.64</v>
      </c>
      <c r="G1153" s="19">
        <v>-15420.97</v>
      </c>
      <c r="H1153" s="20">
        <v>7218.33</v>
      </c>
      <c r="I1153" s="114"/>
      <c r="J1153" s="19"/>
      <c r="K1153" s="21"/>
      <c r="L1153" s="22"/>
      <c r="M1153" s="23"/>
      <c r="O1153" s="19" t="str">
        <f>VLOOKUP(QUERY_FOR_TRNSTRANSPOSED_0008!A1153,'[6]Fin vs NFin'!$A$4:$F$568,6,FALSE)</f>
        <v>Não Financeiras</v>
      </c>
      <c r="P1153" s="24" t="str">
        <f t="shared" si="25"/>
        <v>89</v>
      </c>
      <c r="Q1153" s="24" t="str">
        <f>VLOOKUP(D1153,[6]Mapeamento!$A$38:$C$497,3,FALSE)</f>
        <v>OREX</v>
      </c>
      <c r="R1153" s="24"/>
      <c r="S1153" s="24"/>
      <c r="T1153" s="24"/>
    </row>
    <row r="1154" spans="1:20">
      <c r="A1154" s="18" t="s">
        <v>1433</v>
      </c>
      <c r="B1154" s="18" t="str">
        <f>VLOOKUP(A1154,'[6]Fin vs NFin'!$A$4:$B$568,2,FALSE)</f>
        <v>!Custos/Prov.Balcões</v>
      </c>
      <c r="C1154" s="18" t="s">
        <v>67</v>
      </c>
      <c r="D1154" s="18" t="s">
        <v>1439</v>
      </c>
      <c r="E1154" s="18" t="str">
        <f>VLOOKUP(D1154,[6]Arvore!$N$8:$Q$6855,4,FALSE)</f>
        <v>4508809110</v>
      </c>
      <c r="F1154" s="19" t="s">
        <v>84</v>
      </c>
      <c r="G1154" s="19">
        <v>82000</v>
      </c>
      <c r="H1154" s="20">
        <v>-82000</v>
      </c>
      <c r="I1154" s="114"/>
      <c r="J1154" s="19"/>
      <c r="K1154" s="21"/>
      <c r="L1154" s="22"/>
      <c r="M1154" s="23"/>
      <c r="O1154" s="19" t="str">
        <f>VLOOKUP(QUERY_FOR_TRNSTRANSPOSED_0008!A1154,'[6]Fin vs NFin'!$A$4:$F$568,6,FALSE)</f>
        <v>Não Financeiras</v>
      </c>
      <c r="P1154" s="24" t="str">
        <f t="shared" si="25"/>
        <v>77</v>
      </c>
      <c r="Q1154" s="24"/>
      <c r="R1154" s="24"/>
      <c r="S1154" s="24" t="str">
        <f>VLOOKUP(D1154,[6]Mapeamento!$A$38:$C$497,3,FALSE)</f>
        <v>RO</v>
      </c>
      <c r="T1154" s="24"/>
    </row>
    <row r="1155" spans="1:20">
      <c r="A1155" s="18" t="s">
        <v>1433</v>
      </c>
      <c r="B1155" s="18" t="str">
        <f>VLOOKUP(A1155,'[6]Fin vs NFin'!$A$4:$B$568,2,FALSE)</f>
        <v>!Custos/Prov.Balcões</v>
      </c>
      <c r="C1155" s="18" t="s">
        <v>67</v>
      </c>
      <c r="D1155" s="18" t="s">
        <v>1435</v>
      </c>
      <c r="E1155" s="18" t="str">
        <f>VLOOKUP(D1155,[6]Arvore!$N$8:$Q$6855,4,FALSE)</f>
        <v>4508809111</v>
      </c>
      <c r="F1155" s="19">
        <v>-4000</v>
      </c>
      <c r="G1155" s="19">
        <v>38986.82</v>
      </c>
      <c r="H1155" s="20">
        <v>-42986.82</v>
      </c>
      <c r="I1155" s="114"/>
      <c r="J1155" s="19"/>
      <c r="K1155" s="21"/>
      <c r="L1155" s="22"/>
      <c r="M1155" s="23"/>
      <c r="O1155" s="19" t="str">
        <f>VLOOKUP(QUERY_FOR_TRNSTRANSPOSED_0008!A1155,'[6]Fin vs NFin'!$A$4:$F$568,6,FALSE)</f>
        <v>Não Financeiras</v>
      </c>
      <c r="P1155" s="24" t="str">
        <f t="shared" si="25"/>
        <v>77</v>
      </c>
      <c r="Q1155" s="24"/>
      <c r="R1155" s="24"/>
      <c r="S1155" s="24" t="str">
        <f>VLOOKUP(D1155,[6]Mapeamento!$A$38:$C$497,3,FALSE)</f>
        <v>RO</v>
      </c>
      <c r="T1155" s="24"/>
    </row>
    <row r="1156" spans="1:20">
      <c r="A1156" s="18" t="s">
        <v>1433</v>
      </c>
      <c r="B1156" s="18" t="str">
        <f>VLOOKUP(A1156,'[6]Fin vs NFin'!$A$4:$B$568,2,FALSE)</f>
        <v>!Custos/Prov.Balcões</v>
      </c>
      <c r="C1156" s="18" t="s">
        <v>1444</v>
      </c>
      <c r="D1156" s="18" t="s">
        <v>601</v>
      </c>
      <c r="E1156" s="18" t="str">
        <f>VLOOKUP(D1156,[6]Arvore!$N$8:$Q$6855,4,FALSE)</f>
        <v>450880910</v>
      </c>
      <c r="F1156" s="19">
        <v>-225861.93</v>
      </c>
      <c r="G1156" s="19">
        <v>-230404.47002939001</v>
      </c>
      <c r="H1156" s="20">
        <v>4542.5400293900202</v>
      </c>
      <c r="I1156" s="114"/>
      <c r="J1156" s="19"/>
      <c r="K1156" s="21"/>
      <c r="L1156" s="22"/>
      <c r="M1156" s="23"/>
      <c r="O1156" s="19" t="str">
        <f>VLOOKUP(QUERY_FOR_TRNSTRANSPOSED_0008!A1156,'[6]Fin vs NFin'!$A$4:$F$568,6,FALSE)</f>
        <v>Não Financeiras</v>
      </c>
      <c r="P1156" s="24" t="str">
        <f t="shared" si="25"/>
        <v>77</v>
      </c>
      <c r="Q1156" s="24" t="str">
        <f>VLOOKUP(D1156,[6]Mapeamento!$A$38:$C$497,3,FALSE)</f>
        <v>OREX</v>
      </c>
      <c r="R1156" s="24"/>
      <c r="S1156" s="24"/>
      <c r="T1156" s="24"/>
    </row>
    <row r="1157" spans="1:20">
      <c r="A1157" s="18" t="s">
        <v>1433</v>
      </c>
      <c r="B1157" s="18" t="str">
        <f>VLOOKUP(A1157,'[6]Fin vs NFin'!$A$4:$B$568,2,FALSE)</f>
        <v>!Custos/Prov.Balcões</v>
      </c>
      <c r="C1157" s="18" t="s">
        <v>1445</v>
      </c>
      <c r="D1157" s="18" t="s">
        <v>601</v>
      </c>
      <c r="E1157" s="18" t="str">
        <f>VLOOKUP(D1157,[6]Arvore!$N$8:$Q$6855,4,FALSE)</f>
        <v>450880910</v>
      </c>
      <c r="F1157" s="19">
        <v>-28447.29</v>
      </c>
      <c r="G1157" s="19">
        <v>-35432.766037752801</v>
      </c>
      <c r="H1157" s="20">
        <v>6985.4760377528</v>
      </c>
      <c r="I1157" s="114"/>
      <c r="J1157" s="19"/>
      <c r="K1157" s="21"/>
      <c r="L1157" s="22"/>
      <c r="M1157" s="23"/>
      <c r="O1157" s="19" t="str">
        <f>VLOOKUP(QUERY_FOR_TRNSTRANSPOSED_0008!A1157,'[6]Fin vs NFin'!$A$4:$F$568,6,FALSE)</f>
        <v>Não Financeiras</v>
      </c>
      <c r="P1157" s="24" t="str">
        <f t="shared" si="25"/>
        <v>77</v>
      </c>
      <c r="Q1157" s="24" t="str">
        <f>VLOOKUP(D1157,[6]Mapeamento!$A$38:$C$497,3,FALSE)</f>
        <v>OREX</v>
      </c>
      <c r="R1157" s="24"/>
      <c r="S1157" s="24"/>
      <c r="T1157" s="24"/>
    </row>
    <row r="1158" spans="1:20">
      <c r="A1158" s="18" t="s">
        <v>1433</v>
      </c>
      <c r="B1158" s="18" t="str">
        <f>VLOOKUP(A1158,'[6]Fin vs NFin'!$A$4:$B$568,2,FALSE)</f>
        <v>!Custos/Prov.Balcões</v>
      </c>
      <c r="C1158" s="18" t="s">
        <v>177</v>
      </c>
      <c r="D1158" s="18" t="s">
        <v>1435</v>
      </c>
      <c r="E1158" s="18" t="str">
        <f>VLOOKUP(D1158,[6]Arvore!$N$8:$Q$6855,4,FALSE)</f>
        <v>4508809111</v>
      </c>
      <c r="F1158" s="19">
        <v>0.21</v>
      </c>
      <c r="G1158" s="19">
        <v>35875</v>
      </c>
      <c r="H1158" s="20">
        <v>-35874.79</v>
      </c>
      <c r="I1158" s="114"/>
      <c r="J1158" s="19"/>
      <c r="K1158" s="21"/>
      <c r="L1158" s="22"/>
      <c r="M1158" s="23"/>
      <c r="O1158" s="19" t="str">
        <f>VLOOKUP(QUERY_FOR_TRNSTRANSPOSED_0008!A1158,'[6]Fin vs NFin'!$A$4:$F$568,6,FALSE)</f>
        <v>Não Financeiras</v>
      </c>
      <c r="P1158" s="24" t="str">
        <f t="shared" ref="P1158:P1221" si="26">LEFT(D1158,2)</f>
        <v>77</v>
      </c>
      <c r="Q1158" s="24"/>
      <c r="R1158" s="24"/>
      <c r="S1158" s="24" t="str">
        <f>VLOOKUP(D1158,[6]Mapeamento!$A$38:$C$497,3,FALSE)</f>
        <v>RO</v>
      </c>
      <c r="T1158" s="24"/>
    </row>
    <row r="1159" spans="1:20" ht="15" thickBot="1">
      <c r="A1159" s="11" t="s">
        <v>1433</v>
      </c>
      <c r="B1159" s="11" t="str">
        <f>VLOOKUP(A1159,'[6]Fin vs NFin'!$A$4:$B$568,2,FALSE)</f>
        <v>!Custos/Prov.Balcões</v>
      </c>
      <c r="C1159" s="11" t="s">
        <v>869</v>
      </c>
      <c r="D1159" s="11" t="s">
        <v>854</v>
      </c>
      <c r="E1159" s="11" t="str">
        <f>VLOOKUP(D1159,[6]Arvore!$N$8:$Q$6855,4,FALSE)</f>
        <v>4508809115</v>
      </c>
      <c r="F1159" s="12">
        <v>-1566.76</v>
      </c>
      <c r="G1159" s="12">
        <v>-1461.41</v>
      </c>
      <c r="H1159" s="13">
        <v>-105.35</v>
      </c>
      <c r="I1159" s="109"/>
      <c r="J1159" s="12"/>
      <c r="K1159" s="21"/>
      <c r="L1159" s="15"/>
      <c r="M1159" s="16"/>
      <c r="O1159" s="12" t="str">
        <f>VLOOKUP(QUERY_FOR_TRNSTRANSPOSED_0008!A1159,'[6]Fin vs NFin'!$A$4:$F$568,6,FALSE)</f>
        <v>Não Financeiras</v>
      </c>
      <c r="P1159" s="17" t="str">
        <f t="shared" si="26"/>
        <v>77</v>
      </c>
      <c r="Q1159" s="17"/>
      <c r="R1159" s="17"/>
      <c r="S1159" s="17" t="str">
        <f>VLOOKUP(D1159,[6]Mapeamento!$A$38:$C$497,3,FALSE)</f>
        <v>RO</v>
      </c>
      <c r="T1159" s="17"/>
    </row>
    <row r="1160" spans="1:20">
      <c r="A1160" s="38" t="s">
        <v>1446</v>
      </c>
      <c r="B1160" s="38" t="str">
        <f>VLOOKUP(A1160,'[6]Fin vs NFin'!$A$4:$B$568,2,FALSE)</f>
        <v>!ANA</v>
      </c>
      <c r="C1160" s="38" t="s">
        <v>82</v>
      </c>
      <c r="D1160" s="38" t="s">
        <v>1447</v>
      </c>
      <c r="E1160" s="38" t="str">
        <f>VLOOKUP(D1160,[6]Arvore!$N$8:$Q$6855,4,FALSE)</f>
        <v>4198</v>
      </c>
      <c r="F1160" s="39">
        <v>-96059.68</v>
      </c>
      <c r="G1160" s="39">
        <v>-260072.39</v>
      </c>
      <c r="H1160" s="40">
        <v>164012.71</v>
      </c>
      <c r="I1160" s="108">
        <f>SUM(H1160:H1161)</f>
        <v>0</v>
      </c>
      <c r="J1160" s="39"/>
      <c r="K1160" s="21"/>
      <c r="L1160" s="41"/>
      <c r="M1160" s="42"/>
      <c r="O1160" s="39" t="str">
        <f>VLOOKUP(QUERY_FOR_TRNSTRANSPOSED_0008!A1160,'[6]Fin vs NFin'!$A$4:$F$568,6,FALSE)</f>
        <v>Não Financeiras</v>
      </c>
      <c r="P1160" s="43" t="str">
        <f t="shared" si="26"/>
        <v>71</v>
      </c>
      <c r="Q1160" s="43"/>
      <c r="R1160" s="43"/>
      <c r="S1160" s="43"/>
      <c r="T1160" s="43"/>
    </row>
    <row r="1161" spans="1:20" ht="15" thickBot="1">
      <c r="A1161" s="11" t="s">
        <v>1446</v>
      </c>
      <c r="B1161" s="11" t="str">
        <f>VLOOKUP(A1161,'[6]Fin vs NFin'!$A$4:$B$568,2,FALSE)</f>
        <v>!ANA</v>
      </c>
      <c r="C1161" s="11" t="s">
        <v>67</v>
      </c>
      <c r="D1161" s="11" t="s">
        <v>1447</v>
      </c>
      <c r="E1161" s="11" t="str">
        <f>VLOOKUP(D1161,[6]Arvore!$N$8:$Q$6855,4,FALSE)</f>
        <v>4198</v>
      </c>
      <c r="F1161" s="12">
        <v>-164012.71</v>
      </c>
      <c r="G1161" s="12">
        <v>4.5474735088646402E-13</v>
      </c>
      <c r="H1161" s="13">
        <v>-164012.71</v>
      </c>
      <c r="I1161" s="109"/>
      <c r="J1161" s="12"/>
      <c r="K1161" s="21"/>
      <c r="L1161" s="15"/>
      <c r="M1161" s="16"/>
      <c r="O1161" s="12" t="str">
        <f>VLOOKUP(QUERY_FOR_TRNSTRANSPOSED_0008!A1161,'[6]Fin vs NFin'!$A$4:$F$568,6,FALSE)</f>
        <v>Não Financeiras</v>
      </c>
      <c r="P1161" s="17" t="str">
        <f t="shared" si="26"/>
        <v>71</v>
      </c>
      <c r="Q1161" s="17"/>
      <c r="R1161" s="17"/>
      <c r="S1161" s="17"/>
      <c r="T1161" s="17"/>
    </row>
    <row r="1162" spans="1:20">
      <c r="A1162" s="18" t="s">
        <v>1448</v>
      </c>
      <c r="B1162" s="18" t="str">
        <f>VLOOKUP(A1162,'[6]Fin vs NFin'!$A$4:$B$568,2,FALSE)</f>
        <v>!Promotores</v>
      </c>
      <c r="C1162" s="18" t="s">
        <v>82</v>
      </c>
      <c r="D1162" s="18" t="s">
        <v>1449</v>
      </c>
      <c r="E1162" s="18" t="str">
        <f>VLOOKUP(D1162,[6]Arvore!$N$8:$Q$6855,4,FALSE)</f>
        <v>4198</v>
      </c>
      <c r="F1162" s="19">
        <v>-388.84999999999798</v>
      </c>
      <c r="G1162" s="19">
        <v>-959876.1</v>
      </c>
      <c r="H1162" s="20">
        <v>959487.25</v>
      </c>
      <c r="I1162" s="114">
        <f>SUM(H1162:H1165)</f>
        <v>0</v>
      </c>
      <c r="J1162" s="19"/>
      <c r="K1162" s="21"/>
      <c r="L1162" s="22"/>
      <c r="M1162" s="23"/>
      <c r="O1162" s="19" t="str">
        <f>VLOOKUP(QUERY_FOR_TRNSTRANSPOSED_0008!A1162,'[6]Fin vs NFin'!$A$4:$F$568,6,FALSE)</f>
        <v>Mista (NFin)</v>
      </c>
      <c r="P1162" s="24" t="str">
        <f t="shared" si="26"/>
        <v>71</v>
      </c>
      <c r="Q1162" s="24"/>
      <c r="R1162" s="24"/>
      <c r="S1162" s="24"/>
      <c r="T1162" s="24"/>
    </row>
    <row r="1163" spans="1:20">
      <c r="A1163" s="18" t="s">
        <v>1448</v>
      </c>
      <c r="B1163" s="18" t="str">
        <f>VLOOKUP(A1163,'[6]Fin vs NFin'!$A$4:$B$568,2,FALSE)</f>
        <v>!Promotores</v>
      </c>
      <c r="C1163" s="18" t="s">
        <v>67</v>
      </c>
      <c r="D1163" s="18" t="s">
        <v>1449</v>
      </c>
      <c r="E1163" s="18" t="str">
        <f>VLOOKUP(D1163,[6]Arvore!$N$8:$Q$6855,4,FALSE)</f>
        <v>4198</v>
      </c>
      <c r="F1163" s="19" t="s">
        <v>84</v>
      </c>
      <c r="G1163" s="19">
        <v>3000000</v>
      </c>
      <c r="H1163" s="20">
        <v>-3000000</v>
      </c>
      <c r="I1163" s="114"/>
      <c r="J1163" s="19"/>
      <c r="K1163" s="21"/>
      <c r="L1163" s="22"/>
      <c r="M1163" s="23"/>
      <c r="O1163" s="19" t="str">
        <f>VLOOKUP(QUERY_FOR_TRNSTRANSPOSED_0008!A1163,'[6]Fin vs NFin'!$A$4:$F$568,6,FALSE)</f>
        <v>Mista (NFin)</v>
      </c>
      <c r="P1163" s="24" t="str">
        <f t="shared" si="26"/>
        <v>71</v>
      </c>
      <c r="Q1163" s="24"/>
      <c r="R1163" s="24"/>
      <c r="S1163" s="24"/>
      <c r="T1163" s="24"/>
    </row>
    <row r="1164" spans="1:20">
      <c r="A1164" s="18" t="s">
        <v>1448</v>
      </c>
      <c r="B1164" s="18" t="str">
        <f>VLOOKUP(A1164,'[6]Fin vs NFin'!$A$4:$B$568,2,FALSE)</f>
        <v>!Promotores</v>
      </c>
      <c r="C1164" s="18" t="s">
        <v>67</v>
      </c>
      <c r="D1164" s="18" t="s">
        <v>1450</v>
      </c>
      <c r="E1164" s="18" t="str">
        <f>VLOOKUP(D1164,[6]Arvore!$N$8:$Q$6855,4,FALSE)</f>
        <v>4198</v>
      </c>
      <c r="F1164" s="19">
        <v>-229640.37</v>
      </c>
      <c r="G1164" s="19">
        <v>-2113910.23</v>
      </c>
      <c r="H1164" s="20">
        <v>1884269.86</v>
      </c>
      <c r="I1164" s="114"/>
      <c r="J1164" s="19"/>
      <c r="K1164" s="21"/>
      <c r="L1164" s="22"/>
      <c r="M1164" s="23"/>
      <c r="O1164" s="19" t="str">
        <f>VLOOKUP(QUERY_FOR_TRNSTRANSPOSED_0008!A1164,'[6]Fin vs NFin'!$A$4:$F$568,6,FALSE)</f>
        <v>Mista (NFin)</v>
      </c>
      <c r="P1164" s="24" t="str">
        <f t="shared" si="26"/>
        <v>71</v>
      </c>
      <c r="Q1164" s="24"/>
      <c r="R1164" s="24"/>
      <c r="S1164" s="24"/>
      <c r="T1164" s="24"/>
    </row>
    <row r="1165" spans="1:20" ht="15" thickBot="1">
      <c r="A1165" s="18" t="s">
        <v>1448</v>
      </c>
      <c r="B1165" s="18" t="str">
        <f>VLOOKUP(A1165,'[6]Fin vs NFin'!$A$4:$B$568,2,FALSE)</f>
        <v>!Promotores</v>
      </c>
      <c r="C1165" s="18" t="s">
        <v>67</v>
      </c>
      <c r="D1165" s="18" t="s">
        <v>1451</v>
      </c>
      <c r="E1165" s="18" t="str">
        <f>VLOOKUP(D1165,[6]Arvore!$N$8:$Q$6855,4,FALSE)</f>
        <v>4030310570</v>
      </c>
      <c r="F1165" s="19">
        <v>-603185.92000000004</v>
      </c>
      <c r="G1165" s="19">
        <v>-759428.81</v>
      </c>
      <c r="H1165" s="20">
        <v>156242.89000000001</v>
      </c>
      <c r="I1165" s="114"/>
      <c r="J1165" s="19"/>
      <c r="K1165" s="21"/>
      <c r="L1165" s="22"/>
      <c r="M1165" s="23"/>
      <c r="O1165" s="19" t="str">
        <f>VLOOKUP(QUERY_FOR_TRNSTRANSPOSED_0008!A1165,'[6]Fin vs NFin'!$A$4:$F$568,6,FALSE)</f>
        <v>Mista (NFin)</v>
      </c>
      <c r="P1165" s="24" t="str">
        <f t="shared" si="26"/>
        <v>71</v>
      </c>
      <c r="Q1165" s="24"/>
      <c r="R1165" s="24"/>
      <c r="S1165" s="24"/>
      <c r="T1165" s="24" t="str">
        <f>VLOOKUP(D1165,[6]Mapeamento!$A$38:$C$497,3,FALSE)</f>
        <v>REC_MF</v>
      </c>
    </row>
    <row r="1166" spans="1:20">
      <c r="A1166" s="38" t="s">
        <v>1452</v>
      </c>
      <c r="B1166" s="38" t="str">
        <f>VLOOKUP(A1166,'[6]Fin vs NFin'!$A$4:$B$568,2,FALSE)</f>
        <v>!Brokers</v>
      </c>
      <c r="C1166" s="38" t="s">
        <v>82</v>
      </c>
      <c r="D1166" s="38" t="s">
        <v>1453</v>
      </c>
      <c r="E1166" s="38" t="str">
        <f>VLOOKUP(D1166,[6]Arvore!$N$8:$Q$6855,4,FALSE)</f>
        <v>41401</v>
      </c>
      <c r="F1166" s="39">
        <v>-1867187.96</v>
      </c>
      <c r="G1166" s="39">
        <v>-3876346.22</v>
      </c>
      <c r="H1166" s="40">
        <v>2009158.26</v>
      </c>
      <c r="I1166" s="108">
        <f>SUM(H1166:H1167)</f>
        <v>0</v>
      </c>
      <c r="J1166" s="39"/>
      <c r="K1166" s="21"/>
      <c r="L1166" s="41"/>
      <c r="M1166" s="42"/>
      <c r="O1166" s="39" t="str">
        <f>VLOOKUP(QUERY_FOR_TRNSTRANSPOSED_0008!A1166,'[6]Fin vs NFin'!$A$4:$F$568,6,FALSE)</f>
        <v>Não Financeiras</v>
      </c>
      <c r="P1166" s="43" t="str">
        <f t="shared" si="26"/>
        <v>71</v>
      </c>
      <c r="Q1166" s="43"/>
      <c r="R1166" s="43"/>
      <c r="S1166" s="43"/>
      <c r="T1166" s="43"/>
    </row>
    <row r="1167" spans="1:20" ht="15" thickBot="1">
      <c r="A1167" s="18" t="s">
        <v>1452</v>
      </c>
      <c r="B1167" s="18" t="str">
        <f>VLOOKUP(A1167,'[6]Fin vs NFin'!$A$4:$B$568,2,FALSE)</f>
        <v>!Brokers</v>
      </c>
      <c r="C1167" s="18" t="s">
        <v>67</v>
      </c>
      <c r="D1167" s="18" t="s">
        <v>1453</v>
      </c>
      <c r="E1167" s="18" t="str">
        <f>VLOOKUP(D1167,[6]Arvore!$N$8:$Q$6855,4,FALSE)</f>
        <v>41401</v>
      </c>
      <c r="F1167" s="19">
        <v>-3055416.53</v>
      </c>
      <c r="G1167" s="19">
        <v>-1046258.27</v>
      </c>
      <c r="H1167" s="20">
        <v>-2009158.26</v>
      </c>
      <c r="I1167" s="109"/>
      <c r="J1167" s="19"/>
      <c r="K1167" s="21"/>
      <c r="L1167" s="22"/>
      <c r="M1167" s="23"/>
      <c r="O1167" s="19" t="str">
        <f>VLOOKUP(QUERY_FOR_TRNSTRANSPOSED_0008!A1167,'[6]Fin vs NFin'!$A$4:$F$568,6,FALSE)</f>
        <v>Não Financeiras</v>
      </c>
      <c r="P1167" s="24" t="str">
        <f t="shared" si="26"/>
        <v>71</v>
      </c>
      <c r="Q1167" s="24"/>
      <c r="R1167" s="24"/>
      <c r="S1167" s="24"/>
      <c r="T1167" s="24"/>
    </row>
    <row r="1168" spans="1:20">
      <c r="A1168" s="38" t="s">
        <v>1454</v>
      </c>
      <c r="B1168" s="38" t="str">
        <f>VLOOKUP(A1168,'[6]Fin vs NFin'!$A$4:$B$568,2,FALSE)</f>
        <v>!Outras Correspondentes</v>
      </c>
      <c r="C1168" s="38" t="s">
        <v>1455</v>
      </c>
      <c r="D1168" s="38" t="s">
        <v>753</v>
      </c>
      <c r="E1168" s="38" t="str">
        <f>VLOOKUP(D1168,[6]Arvore!$N$8:$Q$6855,4,FALSE)</f>
        <v>416190</v>
      </c>
      <c r="F1168" s="39">
        <v>316307.3</v>
      </c>
      <c r="G1168" s="39">
        <v>798252.80356499995</v>
      </c>
      <c r="H1168" s="40">
        <v>-481945.50356500002</v>
      </c>
      <c r="I1168" s="108">
        <f>SUM(H1168:H1173)</f>
        <v>-2.2304048693440564</v>
      </c>
      <c r="J1168" s="39"/>
      <c r="K1168" s="21"/>
      <c r="L1168" s="41"/>
      <c r="M1168" s="42"/>
      <c r="O1168" s="39" t="str">
        <f>VLOOKUP(QUERY_FOR_TRNSTRANSPOSED_0008!A1168,'[6]Fin vs NFin'!$A$4:$F$568,6,FALSE)</f>
        <v>Não Financeiras</v>
      </c>
      <c r="P1168" s="43" t="str">
        <f t="shared" si="26"/>
        <v>71</v>
      </c>
      <c r="Q1168" s="43"/>
      <c r="R1168" s="43"/>
      <c r="S1168" s="43"/>
      <c r="T1168" s="43"/>
    </row>
    <row r="1169" spans="1:20">
      <c r="A1169" s="18" t="s">
        <v>1454</v>
      </c>
      <c r="B1169" s="18" t="str">
        <f>VLOOKUP(A1169,'[6]Fin vs NFin'!$A$4:$B$568,2,FALSE)</f>
        <v>!Outras Correspondentes</v>
      </c>
      <c r="C1169" s="18" t="s">
        <v>1455</v>
      </c>
      <c r="D1169" s="18" t="s">
        <v>756</v>
      </c>
      <c r="E1169" s="18" t="str">
        <f>VLOOKUP(D1169,[6]Arvore!$N$8:$Q$6855,4,FALSE)</f>
        <v>4311884</v>
      </c>
      <c r="F1169" s="19">
        <v>154351.35999999999</v>
      </c>
      <c r="G1169" s="19">
        <v>5030.5</v>
      </c>
      <c r="H1169" s="20">
        <v>149320.85999999999</v>
      </c>
      <c r="I1169" s="114"/>
      <c r="J1169" s="19"/>
      <c r="K1169" s="21"/>
      <c r="L1169" s="22"/>
      <c r="M1169" s="23"/>
      <c r="O1169" s="19" t="str">
        <f>VLOOKUP(QUERY_FOR_TRNSTRANSPOSED_0008!A1169,'[6]Fin vs NFin'!$A$4:$F$568,6,FALSE)</f>
        <v>Não Financeiras</v>
      </c>
      <c r="P1169" s="24" t="str">
        <f t="shared" si="26"/>
        <v>89</v>
      </c>
      <c r="Q1169" s="24"/>
      <c r="R1169" s="24" t="str">
        <f>VLOOKUP(D1169,[6]Mapeamento!$A$38:$C$497,3,FALSE)</f>
        <v>GG</v>
      </c>
      <c r="S1169" s="24"/>
      <c r="T1169" s="24"/>
    </row>
    <row r="1170" spans="1:20">
      <c r="A1170" s="18" t="s">
        <v>1454</v>
      </c>
      <c r="B1170" s="18" t="str">
        <f>VLOOKUP(A1170,'[6]Fin vs NFin'!$A$4:$B$568,2,FALSE)</f>
        <v>!Outras Correspondentes</v>
      </c>
      <c r="C1170" s="18" t="s">
        <v>775</v>
      </c>
      <c r="D1170" s="18" t="s">
        <v>753</v>
      </c>
      <c r="E1170" s="18" t="str">
        <f>VLOOKUP(D1170,[6]Arvore!$N$8:$Q$6855,4,FALSE)</f>
        <v>416190</v>
      </c>
      <c r="F1170" s="19">
        <v>144735.12</v>
      </c>
      <c r="G1170" s="19">
        <v>12392.7744888162</v>
      </c>
      <c r="H1170" s="20">
        <v>132342.34551118399</v>
      </c>
      <c r="I1170" s="114"/>
      <c r="J1170" s="19"/>
      <c r="K1170" s="21"/>
      <c r="L1170" s="22"/>
      <c r="M1170" s="23"/>
      <c r="O1170" s="19" t="str">
        <f>VLOOKUP(QUERY_FOR_TRNSTRANSPOSED_0008!A1170,'[6]Fin vs NFin'!$A$4:$F$568,6,FALSE)</f>
        <v>Não Financeiras</v>
      </c>
      <c r="P1170" s="24" t="str">
        <f t="shared" si="26"/>
        <v>71</v>
      </c>
      <c r="Q1170" s="24"/>
      <c r="R1170" s="24"/>
      <c r="S1170" s="24"/>
      <c r="T1170" s="24"/>
    </row>
    <row r="1171" spans="1:20">
      <c r="A1171" s="18" t="s">
        <v>1454</v>
      </c>
      <c r="B1171" s="18" t="str">
        <f>VLOOKUP(A1171,'[6]Fin vs NFin'!$A$4:$B$568,2,FALSE)</f>
        <v>!Outras Correspondentes</v>
      </c>
      <c r="C1171" s="18" t="s">
        <v>775</v>
      </c>
      <c r="D1171" s="18" t="s">
        <v>1456</v>
      </c>
      <c r="E1171" s="18" t="str">
        <f>VLOOKUP(D1171,[6]Arvore!$N$8:$Q$6855,4,FALSE)</f>
        <v>43118821</v>
      </c>
      <c r="F1171" s="19">
        <v>200360.16</v>
      </c>
      <c r="G1171" s="19">
        <v>80</v>
      </c>
      <c r="H1171" s="20">
        <v>200280.16</v>
      </c>
      <c r="I1171" s="114"/>
      <c r="J1171" s="19"/>
      <c r="K1171" s="21"/>
      <c r="L1171" s="22"/>
      <c r="M1171" s="23"/>
      <c r="O1171" s="19" t="str">
        <f>VLOOKUP(QUERY_FOR_TRNSTRANSPOSED_0008!A1171,'[6]Fin vs NFin'!$A$4:$F$568,6,FALSE)</f>
        <v>Não Financeiras</v>
      </c>
      <c r="P1171" s="24" t="str">
        <f t="shared" si="26"/>
        <v>89</v>
      </c>
      <c r="Q1171" s="24"/>
      <c r="R1171" s="24" t="str">
        <f>VLOOKUP(D1171,[6]Mapeamento!$A$38:$C$497,3,FALSE)</f>
        <v>GG</v>
      </c>
      <c r="S1171" s="24"/>
      <c r="T1171" s="24"/>
    </row>
    <row r="1172" spans="1:20">
      <c r="A1172" s="32" t="s">
        <v>1454</v>
      </c>
      <c r="B1172" s="32" t="str">
        <f>VLOOKUP(A1172,'[6]Fin vs NFin'!$A$4:$B$568,2,FALSE)</f>
        <v>!Outras Correspondentes</v>
      </c>
      <c r="C1172" s="32" t="s">
        <v>67</v>
      </c>
      <c r="D1172" s="32" t="s">
        <v>753</v>
      </c>
      <c r="E1172" s="32" t="str">
        <f>VLOOKUP(D1172,[6]Arvore!$N$8:$Q$6855,4,FALSE)</f>
        <v>416190</v>
      </c>
      <c r="F1172" s="33">
        <v>2353393.2799999998</v>
      </c>
      <c r="G1172" s="33">
        <v>2353393.2799999998</v>
      </c>
      <c r="H1172" s="34">
        <v>0</v>
      </c>
      <c r="I1172" s="114"/>
      <c r="J1172" s="19"/>
      <c r="K1172" s="21"/>
      <c r="L1172" s="22"/>
      <c r="M1172" s="23"/>
      <c r="O1172" s="19" t="str">
        <f>VLOOKUP(QUERY_FOR_TRNSTRANSPOSED_0008!A1172,'[6]Fin vs NFin'!$A$4:$F$568,6,FALSE)</f>
        <v>Não Financeiras</v>
      </c>
      <c r="P1172" s="24" t="str">
        <f t="shared" si="26"/>
        <v>71</v>
      </c>
      <c r="Q1172" s="24"/>
      <c r="R1172" s="24"/>
      <c r="S1172" s="24"/>
      <c r="T1172" s="24"/>
    </row>
    <row r="1173" spans="1:20" ht="15" thickBot="1">
      <c r="A1173" s="18" t="s">
        <v>1454</v>
      </c>
      <c r="B1173" s="18" t="str">
        <f>VLOOKUP(A1173,'[6]Fin vs NFin'!$A$4:$B$568,2,FALSE)</f>
        <v>!Outras Correspondentes</v>
      </c>
      <c r="C1173" s="18" t="s">
        <v>1457</v>
      </c>
      <c r="D1173" s="18" t="s">
        <v>294</v>
      </c>
      <c r="E1173" s="18" t="str">
        <f>VLOOKUP(D1173,[6]Arvore!$N$8:$Q$6855,4,FALSE)</f>
        <v>55088091</v>
      </c>
      <c r="F1173" s="19">
        <v>8299.61</v>
      </c>
      <c r="G1173" s="19">
        <v>8299.7023510532999</v>
      </c>
      <c r="H1173" s="20">
        <v>-9.2351053299353197E-2</v>
      </c>
      <c r="I1173" s="114"/>
      <c r="J1173" s="19"/>
      <c r="K1173" s="21"/>
      <c r="L1173" s="22"/>
      <c r="M1173" s="23"/>
      <c r="O1173" s="19" t="str">
        <f>VLOOKUP(QUERY_FOR_TRNSTRANSPOSED_0008!A1173,'[6]Fin vs NFin'!$A$4:$F$568,6,FALSE)</f>
        <v>Não Financeiras</v>
      </c>
      <c r="P1173" s="24" t="str">
        <f t="shared" si="26"/>
        <v>89</v>
      </c>
      <c r="Q1173" s="24" t="str">
        <f>VLOOKUP(D1173,[6]Mapeamento!$A$38:$C$497,3,FALSE)</f>
        <v>OREX</v>
      </c>
      <c r="R1173" s="24"/>
      <c r="S1173" s="24"/>
      <c r="T1173" s="24"/>
    </row>
    <row r="1174" spans="1:20">
      <c r="A1174" s="38" t="s">
        <v>1458</v>
      </c>
      <c r="B1174" s="38" t="str">
        <f>VLOOKUP(A1174,'[6]Fin vs NFin'!$A$4:$B$568,2,FALSE)</f>
        <v>!Fincase</v>
      </c>
      <c r="C1174" s="38" t="s">
        <v>1459</v>
      </c>
      <c r="D1174" s="38" t="s">
        <v>753</v>
      </c>
      <c r="E1174" s="38" t="str">
        <f>VLOOKUP(D1174,[6]Arvore!$N$8:$Q$6855,4,FALSE)</f>
        <v>416190</v>
      </c>
      <c r="F1174" s="39" t="s">
        <v>84</v>
      </c>
      <c r="G1174" s="39">
        <v>6517.5</v>
      </c>
      <c r="H1174" s="40">
        <v>-6517.5</v>
      </c>
      <c r="I1174" s="108">
        <v>-3.7958568151225301E-2</v>
      </c>
      <c r="J1174" s="39"/>
      <c r="K1174" s="21"/>
      <c r="L1174" s="41"/>
      <c r="M1174" s="42"/>
      <c r="O1174" s="39" t="str">
        <f>VLOOKUP(QUERY_FOR_TRNSTRANSPOSED_0008!A1174,'[6]Fin vs NFin'!$A$4:$F$568,6,FALSE)</f>
        <v>Não Financeiras</v>
      </c>
      <c r="P1174" s="43" t="str">
        <f t="shared" si="26"/>
        <v>71</v>
      </c>
      <c r="Q1174" s="43"/>
      <c r="R1174" s="43"/>
      <c r="S1174" s="43"/>
      <c r="T1174" s="43"/>
    </row>
    <row r="1175" spans="1:20">
      <c r="A1175" s="18" t="s">
        <v>1458</v>
      </c>
      <c r="B1175" s="18" t="str">
        <f>VLOOKUP(A1175,'[6]Fin vs NFin'!$A$4:$B$568,2,FALSE)</f>
        <v>!Fincase</v>
      </c>
      <c r="C1175" s="18" t="s">
        <v>1459</v>
      </c>
      <c r="D1175" s="18" t="s">
        <v>756</v>
      </c>
      <c r="E1175" s="18" t="str">
        <f>VLOOKUP(D1175,[6]Arvore!$N$8:$Q$6855,4,FALSE)</f>
        <v>4311884</v>
      </c>
      <c r="F1175" s="19">
        <v>32081.8</v>
      </c>
      <c r="G1175" s="19">
        <v>75765.372545963895</v>
      </c>
      <c r="H1175" s="20">
        <v>-43683.5725459639</v>
      </c>
      <c r="I1175" s="114"/>
      <c r="J1175" s="19"/>
      <c r="K1175" s="21"/>
      <c r="L1175" s="22"/>
      <c r="M1175" s="23"/>
      <c r="O1175" s="19" t="str">
        <f>VLOOKUP(QUERY_FOR_TRNSTRANSPOSED_0008!A1175,'[6]Fin vs NFin'!$A$4:$F$568,6,FALSE)</f>
        <v>Não Financeiras</v>
      </c>
      <c r="P1175" s="24" t="str">
        <f t="shared" si="26"/>
        <v>89</v>
      </c>
      <c r="Q1175" s="24"/>
      <c r="R1175" s="24" t="str">
        <f>VLOOKUP(D1175,[6]Mapeamento!$A$38:$C$497,3,FALSE)</f>
        <v>GG</v>
      </c>
      <c r="S1175" s="24"/>
      <c r="T1175" s="24"/>
    </row>
    <row r="1176" spans="1:20">
      <c r="A1176" s="18" t="s">
        <v>1458</v>
      </c>
      <c r="B1176" s="18" t="str">
        <f>VLOOKUP(A1176,'[6]Fin vs NFin'!$A$4:$B$568,2,FALSE)</f>
        <v>!Fincase</v>
      </c>
      <c r="C1176" s="18" t="s">
        <v>1460</v>
      </c>
      <c r="D1176" s="18" t="s">
        <v>756</v>
      </c>
      <c r="E1176" s="18" t="str">
        <f>VLOOKUP(D1176,[6]Arvore!$N$8:$Q$6855,4,FALSE)</f>
        <v>4311884</v>
      </c>
      <c r="F1176" s="19">
        <v>11744.12</v>
      </c>
      <c r="G1176" s="19">
        <v>5634.0854126042595</v>
      </c>
      <c r="H1176" s="20">
        <v>6110.0345873957403</v>
      </c>
      <c r="I1176" s="114"/>
      <c r="J1176" s="19"/>
      <c r="K1176" s="21"/>
      <c r="L1176" s="22"/>
      <c r="M1176" s="23"/>
      <c r="O1176" s="19" t="str">
        <f>VLOOKUP(QUERY_FOR_TRNSTRANSPOSED_0008!A1176,'[6]Fin vs NFin'!$A$4:$F$568,6,FALSE)</f>
        <v>Não Financeiras</v>
      </c>
      <c r="P1176" s="24" t="str">
        <f t="shared" si="26"/>
        <v>89</v>
      </c>
      <c r="Q1176" s="24"/>
      <c r="R1176" s="24" t="str">
        <f>VLOOKUP(D1176,[6]Mapeamento!$A$38:$C$497,3,FALSE)</f>
        <v>GG</v>
      </c>
      <c r="S1176" s="24"/>
      <c r="T1176" s="24"/>
    </row>
    <row r="1177" spans="1:20">
      <c r="A1177" s="18" t="s">
        <v>1458</v>
      </c>
      <c r="B1177" s="18" t="str">
        <f>VLOOKUP(A1177,'[6]Fin vs NFin'!$A$4:$B$568,2,FALSE)</f>
        <v>!Fincase</v>
      </c>
      <c r="C1177" s="18" t="s">
        <v>1461</v>
      </c>
      <c r="D1177" s="18" t="s">
        <v>756</v>
      </c>
      <c r="E1177" s="18" t="str">
        <f>VLOOKUP(D1177,[6]Arvore!$N$8:$Q$6855,4,FALSE)</f>
        <v>4311884</v>
      </c>
      <c r="F1177" s="19">
        <v>6155</v>
      </c>
      <c r="G1177" s="19">
        <v>1170</v>
      </c>
      <c r="H1177" s="20">
        <v>4985</v>
      </c>
      <c r="I1177" s="114"/>
      <c r="J1177" s="19"/>
      <c r="K1177" s="21"/>
      <c r="L1177" s="22"/>
      <c r="M1177" s="23"/>
      <c r="O1177" s="19" t="str">
        <f>VLOOKUP(QUERY_FOR_TRNSTRANSPOSED_0008!A1177,'[6]Fin vs NFin'!$A$4:$F$568,6,FALSE)</f>
        <v>Não Financeiras</v>
      </c>
      <c r="P1177" s="24" t="str">
        <f t="shared" si="26"/>
        <v>89</v>
      </c>
      <c r="Q1177" s="24"/>
      <c r="R1177" s="24" t="str">
        <f>VLOOKUP(D1177,[6]Mapeamento!$A$38:$C$497,3,FALSE)</f>
        <v>GG</v>
      </c>
      <c r="S1177" s="24"/>
      <c r="T1177" s="24"/>
    </row>
    <row r="1178" spans="1:20" ht="15" thickBot="1">
      <c r="A1178" s="11" t="s">
        <v>1458</v>
      </c>
      <c r="B1178" s="11" t="str">
        <f>VLOOKUP(A1178,'[6]Fin vs NFin'!$A$4:$B$568,2,FALSE)</f>
        <v>!Fincase</v>
      </c>
      <c r="C1178" s="11" t="s">
        <v>1462</v>
      </c>
      <c r="D1178" s="11" t="s">
        <v>1456</v>
      </c>
      <c r="E1178" s="11" t="str">
        <f>VLOOKUP(D1178,[6]Arvore!$N$8:$Q$6855,4,FALSE)</f>
        <v>43118821</v>
      </c>
      <c r="F1178" s="12">
        <v>42786</v>
      </c>
      <c r="G1178" s="12">
        <v>3680</v>
      </c>
      <c r="H1178" s="13">
        <v>39106</v>
      </c>
      <c r="I1178" s="109"/>
      <c r="J1178" s="12"/>
      <c r="K1178" s="21"/>
      <c r="L1178" s="15"/>
      <c r="M1178" s="16"/>
      <c r="O1178" s="12" t="str">
        <f>VLOOKUP(QUERY_FOR_TRNSTRANSPOSED_0008!A1178,'[6]Fin vs NFin'!$A$4:$F$568,6,FALSE)</f>
        <v>Não Financeiras</v>
      </c>
      <c r="P1178" s="17" t="str">
        <f t="shared" si="26"/>
        <v>89</v>
      </c>
      <c r="Q1178" s="17"/>
      <c r="R1178" s="17" t="str">
        <f>VLOOKUP(D1178,[6]Mapeamento!$A$38:$C$497,3,FALSE)</f>
        <v>GG</v>
      </c>
      <c r="S1178" s="17"/>
      <c r="T1178" s="17"/>
    </row>
    <row r="1179" spans="1:20">
      <c r="A1179" s="18" t="s">
        <v>1463</v>
      </c>
      <c r="B1179" s="18" t="str">
        <f>VLOOKUP(A1179,'[6]Fin vs NFin'!$A$4:$B$568,2,FALSE)</f>
        <v>!Outr.Comiss.Diversas</v>
      </c>
      <c r="C1179" s="18" t="s">
        <v>1464</v>
      </c>
      <c r="D1179" s="18" t="s">
        <v>855</v>
      </c>
      <c r="E1179" s="18" t="str">
        <f>VLOOKUP(D1179,[6]Arvore!$N$8:$Q$6855,4,FALSE)</f>
        <v>4508809116</v>
      </c>
      <c r="F1179" s="19">
        <v>0</v>
      </c>
      <c r="G1179" s="19">
        <v>12592.45</v>
      </c>
      <c r="H1179" s="20">
        <v>-12592.45</v>
      </c>
      <c r="I1179" s="108">
        <v>1.5484807919697201</v>
      </c>
      <c r="J1179" s="19"/>
      <c r="K1179" s="21"/>
      <c r="L1179" s="22"/>
      <c r="M1179" s="23"/>
      <c r="O1179" s="19" t="str">
        <f>VLOOKUP(QUERY_FOR_TRNSTRANSPOSED_0008!A1179,'[6]Fin vs NFin'!$A$4:$F$568,6,FALSE)</f>
        <v>Não Financeiras</v>
      </c>
      <c r="P1179" s="24" t="str">
        <f t="shared" si="26"/>
        <v>77</v>
      </c>
      <c r="Q1179" s="24"/>
      <c r="R1179" s="24"/>
      <c r="S1179" s="24" t="str">
        <f>VLOOKUP(D1179,[6]Mapeamento!$A$38:$C$497,3,FALSE)</f>
        <v>RO</v>
      </c>
      <c r="T1179" s="24"/>
    </row>
    <row r="1180" spans="1:20">
      <c r="A1180" s="18" t="s">
        <v>1463</v>
      </c>
      <c r="B1180" s="18" t="str">
        <f>VLOOKUP(A1180,'[6]Fin vs NFin'!$A$4:$B$568,2,FALSE)</f>
        <v>!Outr.Comiss.Diversas</v>
      </c>
      <c r="C1180" s="18" t="s">
        <v>1465</v>
      </c>
      <c r="D1180" s="18" t="s">
        <v>855</v>
      </c>
      <c r="E1180" s="18" t="str">
        <f>VLOOKUP(D1180,[6]Arvore!$N$8:$Q$6855,4,FALSE)</f>
        <v>4508809116</v>
      </c>
      <c r="F1180" s="19">
        <v>-546442.06000000006</v>
      </c>
      <c r="G1180" s="19">
        <v>-818.63</v>
      </c>
      <c r="H1180" s="20">
        <v>-545623.43000000005</v>
      </c>
      <c r="I1180" s="114"/>
      <c r="J1180" s="19"/>
      <c r="K1180" s="21"/>
      <c r="L1180" s="22"/>
      <c r="M1180" s="23"/>
      <c r="O1180" s="19" t="str">
        <f>VLOOKUP(QUERY_FOR_TRNSTRANSPOSED_0008!A1180,'[6]Fin vs NFin'!$A$4:$F$568,6,FALSE)</f>
        <v>Não Financeiras</v>
      </c>
      <c r="P1180" s="24" t="str">
        <f t="shared" si="26"/>
        <v>77</v>
      </c>
      <c r="Q1180" s="24"/>
      <c r="R1180" s="24"/>
      <c r="S1180" s="24" t="str">
        <f>VLOOKUP(D1180,[6]Mapeamento!$A$38:$C$497,3,FALSE)</f>
        <v>RO</v>
      </c>
      <c r="T1180" s="24"/>
    </row>
    <row r="1181" spans="1:20">
      <c r="A1181" s="18" t="s">
        <v>1463</v>
      </c>
      <c r="B1181" s="18" t="str">
        <f>VLOOKUP(A1181,'[6]Fin vs NFin'!$A$4:$B$568,2,FALSE)</f>
        <v>!Outr.Comiss.Diversas</v>
      </c>
      <c r="C1181" s="18" t="s">
        <v>708</v>
      </c>
      <c r="D1181" s="18" t="s">
        <v>601</v>
      </c>
      <c r="E1181" s="18" t="str">
        <f>VLOOKUP(D1181,[6]Arvore!$N$8:$Q$6855,4,FALSE)</f>
        <v>450880910</v>
      </c>
      <c r="F1181" s="19" t="s">
        <v>84</v>
      </c>
      <c r="G1181" s="19">
        <v>-1753.1737870045999</v>
      </c>
      <c r="H1181" s="20">
        <v>1753.1737870045999</v>
      </c>
      <c r="I1181" s="114"/>
      <c r="J1181" s="19"/>
      <c r="K1181" s="21"/>
      <c r="L1181" s="22"/>
      <c r="M1181" s="23"/>
      <c r="O1181" s="19" t="str">
        <f>VLOOKUP(QUERY_FOR_TRNSTRANSPOSED_0008!A1181,'[6]Fin vs NFin'!$A$4:$F$568,6,FALSE)</f>
        <v>Não Financeiras</v>
      </c>
      <c r="P1181" s="24" t="str">
        <f t="shared" si="26"/>
        <v>77</v>
      </c>
      <c r="Q1181" s="24" t="str">
        <f>VLOOKUP(D1181,[6]Mapeamento!$A$38:$C$497,3,FALSE)</f>
        <v>OREX</v>
      </c>
      <c r="R1181" s="24"/>
      <c r="S1181" s="24"/>
      <c r="T1181" s="24"/>
    </row>
    <row r="1182" spans="1:20">
      <c r="A1182" s="18" t="s">
        <v>1463</v>
      </c>
      <c r="B1182" s="18" t="str">
        <f>VLOOKUP(A1182,'[6]Fin vs NFin'!$A$4:$B$568,2,FALSE)</f>
        <v>!Outr.Comiss.Diversas</v>
      </c>
      <c r="C1182" s="18" t="s">
        <v>708</v>
      </c>
      <c r="D1182" s="18" t="s">
        <v>1466</v>
      </c>
      <c r="E1182" s="18" t="str">
        <f>VLOOKUP(D1182,[6]Arvore!$N$8:$Q$6855,4,FALSE)</f>
        <v>55088091</v>
      </c>
      <c r="F1182" s="19" t="s">
        <v>84</v>
      </c>
      <c r="G1182" s="19">
        <v>-26.42</v>
      </c>
      <c r="H1182" s="20">
        <v>26.42</v>
      </c>
      <c r="I1182" s="114"/>
      <c r="J1182" s="19"/>
      <c r="K1182" s="21"/>
      <c r="L1182" s="22"/>
      <c r="M1182" s="23"/>
      <c r="O1182" s="19" t="str">
        <f>VLOOKUP(QUERY_FOR_TRNSTRANSPOSED_0008!A1182,'[6]Fin vs NFin'!$A$4:$F$568,6,FALSE)</f>
        <v>Não Financeiras</v>
      </c>
      <c r="P1182" s="24" t="str">
        <f t="shared" si="26"/>
        <v>89</v>
      </c>
      <c r="Q1182" s="24" t="str">
        <f>VLOOKUP(D1182,[6]Mapeamento!$A$38:$C$497,3,FALSE)</f>
        <v>OREX</v>
      </c>
      <c r="R1182" s="24"/>
      <c r="S1182" s="24"/>
      <c r="T1182" s="24"/>
    </row>
    <row r="1183" spans="1:20">
      <c r="A1183" s="18" t="s">
        <v>1463</v>
      </c>
      <c r="B1183" s="18" t="str">
        <f>VLOOKUP(A1183,'[6]Fin vs NFin'!$A$4:$B$568,2,FALSE)</f>
        <v>!Outr.Comiss.Diversas</v>
      </c>
      <c r="C1183" s="18" t="s">
        <v>153</v>
      </c>
      <c r="D1183" s="18" t="s">
        <v>855</v>
      </c>
      <c r="E1183" s="18" t="str">
        <f>VLOOKUP(D1183,[6]Arvore!$N$8:$Q$6855,4,FALSE)</f>
        <v>4508809116</v>
      </c>
      <c r="F1183" s="19">
        <v>-193897.09</v>
      </c>
      <c r="G1183" s="19">
        <v>-0.28000000000000003</v>
      </c>
      <c r="H1183" s="20">
        <v>-193896.81</v>
      </c>
      <c r="I1183" s="114"/>
      <c r="J1183" s="19"/>
      <c r="K1183" s="21"/>
      <c r="L1183" s="22"/>
      <c r="M1183" s="23"/>
      <c r="O1183" s="19" t="str">
        <f>VLOOKUP(QUERY_FOR_TRNSTRANSPOSED_0008!A1183,'[6]Fin vs NFin'!$A$4:$F$568,6,FALSE)</f>
        <v>Não Financeiras</v>
      </c>
      <c r="P1183" s="24" t="str">
        <f t="shared" si="26"/>
        <v>77</v>
      </c>
      <c r="Q1183" s="24"/>
      <c r="R1183" s="24"/>
      <c r="S1183" s="24" t="str">
        <f>VLOOKUP(D1183,[6]Mapeamento!$A$38:$C$497,3,FALSE)</f>
        <v>RO</v>
      </c>
      <c r="T1183" s="24"/>
    </row>
    <row r="1184" spans="1:20">
      <c r="A1184" s="18" t="s">
        <v>1463</v>
      </c>
      <c r="B1184" s="18" t="str">
        <f>VLOOKUP(A1184,'[6]Fin vs NFin'!$A$4:$B$568,2,FALSE)</f>
        <v>!Outr.Comiss.Diversas</v>
      </c>
      <c r="C1184" s="18" t="s">
        <v>153</v>
      </c>
      <c r="D1184" s="18" t="s">
        <v>601</v>
      </c>
      <c r="E1184" s="18" t="str">
        <f>VLOOKUP(D1184,[6]Arvore!$N$8:$Q$6855,4,FALSE)</f>
        <v>450880910</v>
      </c>
      <c r="F1184" s="19">
        <v>-61494.96</v>
      </c>
      <c r="G1184" s="19">
        <v>-4585.92</v>
      </c>
      <c r="H1184" s="20">
        <v>-56909.04</v>
      </c>
      <c r="I1184" s="114"/>
      <c r="J1184" s="19"/>
      <c r="K1184" s="21"/>
      <c r="L1184" s="22"/>
      <c r="M1184" s="23"/>
      <c r="O1184" s="19" t="str">
        <f>VLOOKUP(QUERY_FOR_TRNSTRANSPOSED_0008!A1184,'[6]Fin vs NFin'!$A$4:$F$568,6,FALSE)</f>
        <v>Não Financeiras</v>
      </c>
      <c r="P1184" s="24" t="str">
        <f t="shared" si="26"/>
        <v>77</v>
      </c>
      <c r="Q1184" s="24" t="str">
        <f>VLOOKUP(D1184,[6]Mapeamento!$A$38:$C$497,3,FALSE)</f>
        <v>OREX</v>
      </c>
      <c r="R1184" s="24"/>
      <c r="S1184" s="24"/>
      <c r="T1184" s="24"/>
    </row>
    <row r="1185" spans="1:20">
      <c r="A1185" s="18" t="s">
        <v>1463</v>
      </c>
      <c r="B1185" s="18" t="str">
        <f>VLOOKUP(A1185,'[6]Fin vs NFin'!$A$4:$B$568,2,FALSE)</f>
        <v>!Outr.Comiss.Diversas</v>
      </c>
      <c r="C1185" s="18" t="s">
        <v>153</v>
      </c>
      <c r="D1185" s="18" t="s">
        <v>1467</v>
      </c>
      <c r="E1185" s="18" t="str">
        <f>VLOOKUP(D1185,[6]Arvore!$N$8:$Q$6855,4,FALSE)</f>
        <v>55083</v>
      </c>
      <c r="F1185" s="19" t="s">
        <v>84</v>
      </c>
      <c r="G1185" s="19">
        <v>-3722.33</v>
      </c>
      <c r="H1185" s="20">
        <v>3722.33</v>
      </c>
      <c r="I1185" s="114"/>
      <c r="J1185" s="19"/>
      <c r="K1185" s="21"/>
      <c r="L1185" s="22"/>
      <c r="M1185" s="23"/>
      <c r="O1185" s="19" t="str">
        <f>VLOOKUP(QUERY_FOR_TRNSTRANSPOSED_0008!A1185,'[6]Fin vs NFin'!$A$4:$F$568,6,FALSE)</f>
        <v>Não Financeiras</v>
      </c>
      <c r="P1185" s="24" t="str">
        <f t="shared" si="26"/>
        <v>89</v>
      </c>
      <c r="Q1185" s="24" t="str">
        <f>VLOOKUP(D1185,[6]Mapeamento!$A$38:$C$497,3,FALSE)</f>
        <v>OREX</v>
      </c>
      <c r="R1185" s="24"/>
      <c r="S1185" s="24"/>
      <c r="T1185" s="24"/>
    </row>
    <row r="1186" spans="1:20">
      <c r="A1186" s="18" t="s">
        <v>1463</v>
      </c>
      <c r="B1186" s="18" t="str">
        <f>VLOOKUP(A1186,'[6]Fin vs NFin'!$A$4:$B$568,2,FALSE)</f>
        <v>!Outr.Comiss.Diversas</v>
      </c>
      <c r="C1186" s="18" t="s">
        <v>153</v>
      </c>
      <c r="D1186" s="18" t="s">
        <v>294</v>
      </c>
      <c r="E1186" s="18" t="str">
        <f>VLOOKUP(D1186,[6]Arvore!$N$8:$Q$6855,4,FALSE)</f>
        <v>55088091</v>
      </c>
      <c r="F1186" s="19">
        <v>-1541.95</v>
      </c>
      <c r="G1186" s="19">
        <v>2384.66</v>
      </c>
      <c r="H1186" s="20">
        <v>-3926.61</v>
      </c>
      <c r="I1186" s="114"/>
      <c r="J1186" s="19"/>
      <c r="K1186" s="21"/>
      <c r="L1186" s="22"/>
      <c r="M1186" s="23"/>
      <c r="O1186" s="19" t="str">
        <f>VLOOKUP(QUERY_FOR_TRNSTRANSPOSED_0008!A1186,'[6]Fin vs NFin'!$A$4:$F$568,6,FALSE)</f>
        <v>Não Financeiras</v>
      </c>
      <c r="P1186" s="24" t="str">
        <f t="shared" si="26"/>
        <v>89</v>
      </c>
      <c r="Q1186" s="24" t="str">
        <f>VLOOKUP(D1186,[6]Mapeamento!$A$38:$C$497,3,FALSE)</f>
        <v>OREX</v>
      </c>
      <c r="R1186" s="24"/>
      <c r="S1186" s="24"/>
      <c r="T1186" s="24"/>
    </row>
    <row r="1187" spans="1:20">
      <c r="A1187" s="18" t="s">
        <v>1463</v>
      </c>
      <c r="B1187" s="18" t="str">
        <f>VLOOKUP(A1187,'[6]Fin vs NFin'!$A$4:$B$568,2,FALSE)</f>
        <v>!Outr.Comiss.Diversas</v>
      </c>
      <c r="C1187" s="18" t="s">
        <v>1468</v>
      </c>
      <c r="D1187" s="18" t="s">
        <v>1469</v>
      </c>
      <c r="E1187" s="18" t="str">
        <f>VLOOKUP(D1187,[6]Arvore!$N$8:$Q$6855,4,FALSE)</f>
        <v>4508809112</v>
      </c>
      <c r="F1187" s="19">
        <v>-222976.98</v>
      </c>
      <c r="G1187" s="19">
        <v>-2448</v>
      </c>
      <c r="H1187" s="20">
        <v>-220528.98</v>
      </c>
      <c r="I1187" s="114"/>
      <c r="J1187" s="19"/>
      <c r="K1187" s="21"/>
      <c r="L1187" s="22"/>
      <c r="M1187" s="23"/>
      <c r="O1187" s="19" t="str">
        <f>VLOOKUP(QUERY_FOR_TRNSTRANSPOSED_0008!A1187,'[6]Fin vs NFin'!$A$4:$F$568,6,FALSE)</f>
        <v>Não Financeiras</v>
      </c>
      <c r="P1187" s="24" t="str">
        <f t="shared" si="26"/>
        <v>77</v>
      </c>
      <c r="Q1187" s="24"/>
      <c r="R1187" s="24"/>
      <c r="S1187" s="24" t="str">
        <f>VLOOKUP(D1187,[6]Mapeamento!$A$38:$C$497,3,FALSE)</f>
        <v>RO</v>
      </c>
      <c r="T1187" s="24"/>
    </row>
    <row r="1188" spans="1:20">
      <c r="A1188" s="18" t="s">
        <v>1463</v>
      </c>
      <c r="B1188" s="18" t="str">
        <f>VLOOKUP(A1188,'[6]Fin vs NFin'!$A$4:$B$568,2,FALSE)</f>
        <v>!Outr.Comiss.Diversas</v>
      </c>
      <c r="C1188" s="18" t="s">
        <v>1470</v>
      </c>
      <c r="D1188" s="18" t="s">
        <v>1471</v>
      </c>
      <c r="E1188" s="18" t="str">
        <f>VLOOKUP(D1188,[6]Arvore!$N$8:$Q$6855,4,FALSE)</f>
        <v>4508809113</v>
      </c>
      <c r="F1188" s="19">
        <v>-132948.5</v>
      </c>
      <c r="G1188" s="19">
        <v>-260721.25</v>
      </c>
      <c r="H1188" s="20">
        <v>127772.75</v>
      </c>
      <c r="I1188" s="114"/>
      <c r="J1188" s="19"/>
      <c r="K1188" s="21"/>
      <c r="L1188" s="22"/>
      <c r="M1188" s="23"/>
      <c r="O1188" s="19" t="str">
        <f>VLOOKUP(QUERY_FOR_TRNSTRANSPOSED_0008!A1188,'[6]Fin vs NFin'!$A$4:$F$568,6,FALSE)</f>
        <v>Não Financeiras</v>
      </c>
      <c r="P1188" s="24" t="str">
        <f t="shared" si="26"/>
        <v>77</v>
      </c>
      <c r="Q1188" s="24"/>
      <c r="R1188" s="24"/>
      <c r="S1188" s="24" t="str">
        <f>VLOOKUP(D1188,[6]Mapeamento!$A$38:$C$497,3,FALSE)</f>
        <v>RO</v>
      </c>
      <c r="T1188" s="24"/>
    </row>
    <row r="1189" spans="1:20">
      <c r="A1189" s="18" t="s">
        <v>1463</v>
      </c>
      <c r="B1189" s="18" t="str">
        <f>VLOOKUP(A1189,'[6]Fin vs NFin'!$A$4:$B$568,2,FALSE)</f>
        <v>!Outr.Comiss.Diversas</v>
      </c>
      <c r="C1189" s="18" t="s">
        <v>1472</v>
      </c>
      <c r="D1189" s="18" t="s">
        <v>855</v>
      </c>
      <c r="E1189" s="18" t="str">
        <f>VLOOKUP(D1189,[6]Arvore!$N$8:$Q$6855,4,FALSE)</f>
        <v>4508809116</v>
      </c>
      <c r="F1189" s="19">
        <v>-305805.86</v>
      </c>
      <c r="G1189" s="19">
        <v>-401651.28808159003</v>
      </c>
      <c r="H1189" s="20">
        <v>95845.428081589998</v>
      </c>
      <c r="I1189" s="114"/>
      <c r="J1189" s="19"/>
      <c r="K1189" s="21"/>
      <c r="L1189" s="22"/>
      <c r="M1189" s="23"/>
      <c r="O1189" s="19" t="str">
        <f>VLOOKUP(QUERY_FOR_TRNSTRANSPOSED_0008!A1189,'[6]Fin vs NFin'!$A$4:$F$568,6,FALSE)</f>
        <v>Não Financeiras</v>
      </c>
      <c r="P1189" s="24" t="str">
        <f t="shared" si="26"/>
        <v>77</v>
      </c>
      <c r="Q1189" s="24"/>
      <c r="R1189" s="24"/>
      <c r="S1189" s="24" t="str">
        <f>VLOOKUP(D1189,[6]Mapeamento!$A$38:$C$497,3,FALSE)</f>
        <v>RO</v>
      </c>
      <c r="T1189" s="24"/>
    </row>
    <row r="1190" spans="1:20">
      <c r="A1190" s="18" t="s">
        <v>1463</v>
      </c>
      <c r="B1190" s="18" t="str">
        <f>VLOOKUP(A1190,'[6]Fin vs NFin'!$A$4:$B$568,2,FALSE)</f>
        <v>!Outr.Comiss.Diversas</v>
      </c>
      <c r="C1190" s="18" t="s">
        <v>1473</v>
      </c>
      <c r="D1190" s="18" t="s">
        <v>1474</v>
      </c>
      <c r="E1190" s="18" t="str">
        <f>VLOOKUP(D1190,[6]Arvore!$N$8:$Q$6855,4,FALSE)</f>
        <v>550880926</v>
      </c>
      <c r="F1190" s="19">
        <v>50.29</v>
      </c>
      <c r="G1190" s="19">
        <v>113.21</v>
      </c>
      <c r="H1190" s="20">
        <v>-62.92</v>
      </c>
      <c r="I1190" s="114"/>
      <c r="J1190" s="19"/>
      <c r="K1190" s="21"/>
      <c r="L1190" s="22"/>
      <c r="M1190" s="23"/>
      <c r="O1190" s="19" t="str">
        <f>VLOOKUP(QUERY_FOR_TRNSTRANSPOSED_0008!A1190,'[6]Fin vs NFin'!$A$4:$F$568,6,FALSE)</f>
        <v>Não Financeiras</v>
      </c>
      <c r="P1190" s="24" t="str">
        <f t="shared" si="26"/>
        <v>89</v>
      </c>
      <c r="Q1190" s="24"/>
      <c r="R1190" s="24"/>
      <c r="S1190" s="24" t="str">
        <f>VLOOKUP(D1190,[6]Mapeamento!$A$38:$C$497,3,FALSE)</f>
        <v>RO</v>
      </c>
      <c r="T1190" s="24"/>
    </row>
    <row r="1191" spans="1:20">
      <c r="A1191" s="18" t="s">
        <v>1463</v>
      </c>
      <c r="B1191" s="18" t="str">
        <f>VLOOKUP(A1191,'[6]Fin vs NFin'!$A$4:$B$568,2,FALSE)</f>
        <v>!Outr.Comiss.Diversas</v>
      </c>
      <c r="C1191" s="18" t="s">
        <v>1475</v>
      </c>
      <c r="D1191" s="18" t="s">
        <v>1469</v>
      </c>
      <c r="E1191" s="18" t="str">
        <f>VLOOKUP(D1191,[6]Arvore!$N$8:$Q$6855,4,FALSE)</f>
        <v>4508809112</v>
      </c>
      <c r="F1191" s="19" t="s">
        <v>84</v>
      </c>
      <c r="G1191" s="19">
        <v>-45.56</v>
      </c>
      <c r="H1191" s="20">
        <v>45.56</v>
      </c>
      <c r="I1191" s="114"/>
      <c r="J1191" s="19"/>
      <c r="K1191" s="21"/>
      <c r="L1191" s="22"/>
      <c r="M1191" s="23"/>
      <c r="O1191" s="19" t="str">
        <f>VLOOKUP(QUERY_FOR_TRNSTRANSPOSED_0008!A1191,'[6]Fin vs NFin'!$A$4:$F$568,6,FALSE)</f>
        <v>Não Financeiras</v>
      </c>
      <c r="P1191" s="24" t="str">
        <f t="shared" si="26"/>
        <v>77</v>
      </c>
      <c r="Q1191" s="24"/>
      <c r="R1191" s="24"/>
      <c r="S1191" s="24" t="str">
        <f>VLOOKUP(D1191,[6]Mapeamento!$A$38:$C$497,3,FALSE)</f>
        <v>RO</v>
      </c>
      <c r="T1191" s="24"/>
    </row>
    <row r="1192" spans="1:20">
      <c r="A1192" s="18" t="s">
        <v>1463</v>
      </c>
      <c r="B1192" s="18" t="str">
        <f>VLOOKUP(A1192,'[6]Fin vs NFin'!$A$4:$B$568,2,FALSE)</f>
        <v>!Outr.Comiss.Diversas</v>
      </c>
      <c r="C1192" s="18" t="s">
        <v>1475</v>
      </c>
      <c r="D1192" s="18" t="s">
        <v>855</v>
      </c>
      <c r="E1192" s="18" t="str">
        <f>VLOOKUP(D1192,[6]Arvore!$N$8:$Q$6855,4,FALSE)</f>
        <v>4508809116</v>
      </c>
      <c r="F1192" s="19" t="s">
        <v>84</v>
      </c>
      <c r="G1192" s="19">
        <v>126</v>
      </c>
      <c r="H1192" s="20">
        <v>-126</v>
      </c>
      <c r="I1192" s="114"/>
      <c r="J1192" s="19"/>
      <c r="K1192" s="21"/>
      <c r="L1192" s="22"/>
      <c r="M1192" s="23"/>
      <c r="O1192" s="19" t="str">
        <f>VLOOKUP(QUERY_FOR_TRNSTRANSPOSED_0008!A1192,'[6]Fin vs NFin'!$A$4:$F$568,6,FALSE)</f>
        <v>Não Financeiras</v>
      </c>
      <c r="P1192" s="24" t="str">
        <f t="shared" si="26"/>
        <v>77</v>
      </c>
      <c r="Q1192" s="24"/>
      <c r="R1192" s="24"/>
      <c r="S1192" s="24" t="str">
        <f>VLOOKUP(D1192,[6]Mapeamento!$A$38:$C$497,3,FALSE)</f>
        <v>RO</v>
      </c>
      <c r="T1192" s="24"/>
    </row>
    <row r="1193" spans="1:20">
      <c r="A1193" s="18" t="s">
        <v>1463</v>
      </c>
      <c r="B1193" s="18" t="str">
        <f>VLOOKUP(A1193,'[6]Fin vs NFin'!$A$4:$B$568,2,FALSE)</f>
        <v>!Outr.Comiss.Diversas</v>
      </c>
      <c r="C1193" s="18" t="s">
        <v>1475</v>
      </c>
      <c r="D1193" s="18" t="s">
        <v>601</v>
      </c>
      <c r="E1193" s="18" t="str">
        <f>VLOOKUP(D1193,[6]Arvore!$N$8:$Q$6855,4,FALSE)</f>
        <v>450880910</v>
      </c>
      <c r="F1193" s="19">
        <v>-14390.16</v>
      </c>
      <c r="G1193" s="19">
        <v>-14413.03</v>
      </c>
      <c r="H1193" s="20">
        <v>22.8700000000008</v>
      </c>
      <c r="I1193" s="114"/>
      <c r="J1193" s="19"/>
      <c r="K1193" s="21"/>
      <c r="L1193" s="22"/>
      <c r="M1193" s="23"/>
      <c r="O1193" s="19" t="str">
        <f>VLOOKUP(QUERY_FOR_TRNSTRANSPOSED_0008!A1193,'[6]Fin vs NFin'!$A$4:$F$568,6,FALSE)</f>
        <v>Não Financeiras</v>
      </c>
      <c r="P1193" s="24" t="str">
        <f t="shared" si="26"/>
        <v>77</v>
      </c>
      <c r="Q1193" s="24" t="str">
        <f>VLOOKUP(D1193,[6]Mapeamento!$A$38:$C$497,3,FALSE)</f>
        <v>OREX</v>
      </c>
      <c r="R1193" s="24"/>
      <c r="S1193" s="24"/>
      <c r="T1193" s="24"/>
    </row>
    <row r="1194" spans="1:20">
      <c r="A1194" s="18" t="s">
        <v>1463</v>
      </c>
      <c r="B1194" s="18" t="str">
        <f>VLOOKUP(A1194,'[6]Fin vs NFin'!$A$4:$B$568,2,FALSE)</f>
        <v>!Outr.Comiss.Diversas</v>
      </c>
      <c r="C1194" s="18" t="s">
        <v>1475</v>
      </c>
      <c r="D1194" s="18" t="s">
        <v>294</v>
      </c>
      <c r="E1194" s="18" t="str">
        <f>VLOOKUP(D1194,[6]Arvore!$N$8:$Q$6855,4,FALSE)</f>
        <v>55088091</v>
      </c>
      <c r="F1194" s="19">
        <v>-342945.95</v>
      </c>
      <c r="G1194" s="19">
        <v>0</v>
      </c>
      <c r="H1194" s="20">
        <v>-342945.95</v>
      </c>
      <c r="I1194" s="114"/>
      <c r="J1194" s="19"/>
      <c r="K1194" s="21"/>
      <c r="L1194" s="22"/>
      <c r="M1194" s="23"/>
      <c r="O1194" s="19" t="str">
        <f>VLOOKUP(QUERY_FOR_TRNSTRANSPOSED_0008!A1194,'[6]Fin vs NFin'!$A$4:$F$568,6,FALSE)</f>
        <v>Não Financeiras</v>
      </c>
      <c r="P1194" s="24" t="str">
        <f t="shared" si="26"/>
        <v>89</v>
      </c>
      <c r="Q1194" s="24" t="str">
        <f>VLOOKUP(D1194,[6]Mapeamento!$A$38:$C$497,3,FALSE)</f>
        <v>OREX</v>
      </c>
      <c r="R1194" s="24"/>
      <c r="S1194" s="24"/>
      <c r="T1194" s="24"/>
    </row>
    <row r="1195" spans="1:20">
      <c r="A1195" s="18" t="s">
        <v>1463</v>
      </c>
      <c r="B1195" s="18" t="str">
        <f>VLOOKUP(A1195,'[6]Fin vs NFin'!$A$4:$B$568,2,FALSE)</f>
        <v>!Outr.Comiss.Diversas</v>
      </c>
      <c r="C1195" s="18" t="s">
        <v>1476</v>
      </c>
      <c r="D1195" s="18" t="s">
        <v>1477</v>
      </c>
      <c r="E1195" s="18" t="str">
        <f>VLOOKUP(D1195,[6]Arvore!$N$8:$Q$6855,4,FALSE)</f>
        <v>41999</v>
      </c>
      <c r="F1195" s="19">
        <v>-111015.59</v>
      </c>
      <c r="G1195" s="19">
        <v>-101992.54</v>
      </c>
      <c r="H1195" s="20">
        <v>-9023.0499999999993</v>
      </c>
      <c r="I1195" s="114"/>
      <c r="J1195" s="19"/>
      <c r="K1195" s="21"/>
      <c r="L1195" s="22"/>
      <c r="M1195" s="23"/>
      <c r="O1195" s="19" t="str">
        <f>VLOOKUP(QUERY_FOR_TRNSTRANSPOSED_0008!A1195,'[6]Fin vs NFin'!$A$4:$F$568,6,FALSE)</f>
        <v>Não Financeiras</v>
      </c>
      <c r="P1195" s="24" t="str">
        <f t="shared" si="26"/>
        <v>71</v>
      </c>
      <c r="Q1195" s="24"/>
      <c r="R1195" s="24"/>
      <c r="S1195" s="24"/>
      <c r="T1195" s="24"/>
    </row>
    <row r="1196" spans="1:20">
      <c r="A1196" s="18" t="s">
        <v>1463</v>
      </c>
      <c r="B1196" s="18" t="str">
        <f>VLOOKUP(A1196,'[6]Fin vs NFin'!$A$4:$B$568,2,FALSE)</f>
        <v>!Outr.Comiss.Diversas</v>
      </c>
      <c r="C1196" s="18" t="s">
        <v>892</v>
      </c>
      <c r="D1196" s="18" t="s">
        <v>1478</v>
      </c>
      <c r="E1196" s="18" t="str">
        <f>VLOOKUP(D1196,[6]Arvore!$N$8:$Q$6855,4,FALSE)</f>
        <v>4198</v>
      </c>
      <c r="F1196" s="19">
        <v>0</v>
      </c>
      <c r="G1196" s="19">
        <v>-65800.240000000005</v>
      </c>
      <c r="H1196" s="20">
        <v>65800.240000000005</v>
      </c>
      <c r="I1196" s="114"/>
      <c r="J1196" s="19"/>
      <c r="K1196" s="21"/>
      <c r="L1196" s="22"/>
      <c r="M1196" s="23"/>
      <c r="O1196" s="19" t="str">
        <f>VLOOKUP(QUERY_FOR_TRNSTRANSPOSED_0008!A1196,'[6]Fin vs NFin'!$A$4:$F$568,6,FALSE)</f>
        <v>Não Financeiras</v>
      </c>
      <c r="P1196" s="24" t="str">
        <f t="shared" si="26"/>
        <v>71</v>
      </c>
      <c r="Q1196" s="24"/>
      <c r="R1196" s="24"/>
      <c r="S1196" s="24"/>
      <c r="T1196" s="24"/>
    </row>
    <row r="1197" spans="1:20">
      <c r="A1197" s="18" t="s">
        <v>1463</v>
      </c>
      <c r="B1197" s="18" t="str">
        <f>VLOOKUP(A1197,'[6]Fin vs NFin'!$A$4:$B$568,2,FALSE)</f>
        <v>!Outr.Comiss.Diversas</v>
      </c>
      <c r="C1197" s="18" t="s">
        <v>1479</v>
      </c>
      <c r="D1197" s="18" t="s">
        <v>1480</v>
      </c>
      <c r="E1197" s="18" t="str">
        <f>VLOOKUP(D1197,[6]Arvore!$N$8:$Q$6855,4,FALSE)</f>
        <v>41499</v>
      </c>
      <c r="F1197" s="19">
        <v>-983250.18</v>
      </c>
      <c r="G1197" s="19">
        <v>-988358.63770405296</v>
      </c>
      <c r="H1197" s="20">
        <v>5108.4577040529102</v>
      </c>
      <c r="I1197" s="114"/>
      <c r="J1197" s="19"/>
      <c r="K1197" s="21"/>
      <c r="L1197" s="22"/>
      <c r="M1197" s="23"/>
      <c r="O1197" s="19" t="str">
        <f>VLOOKUP(QUERY_FOR_TRNSTRANSPOSED_0008!A1197,'[6]Fin vs NFin'!$A$4:$F$568,6,FALSE)</f>
        <v>Não Financeiras</v>
      </c>
      <c r="P1197" s="24" t="str">
        <f t="shared" si="26"/>
        <v>77</v>
      </c>
      <c r="Q1197" s="24"/>
      <c r="R1197" s="24"/>
      <c r="S1197" s="24"/>
      <c r="T1197" s="24"/>
    </row>
    <row r="1198" spans="1:20">
      <c r="A1198" s="18" t="s">
        <v>1463</v>
      </c>
      <c r="B1198" s="18" t="str">
        <f>VLOOKUP(A1198,'[6]Fin vs NFin'!$A$4:$B$568,2,FALSE)</f>
        <v>!Outr.Comiss.Diversas</v>
      </c>
      <c r="C1198" s="18" t="s">
        <v>1481</v>
      </c>
      <c r="D1198" s="18" t="s">
        <v>1482</v>
      </c>
      <c r="E1198" s="18" t="str">
        <f>VLOOKUP(D1198,[6]Arvore!$N$8:$Q$6855,4,FALSE)</f>
        <v>55088091</v>
      </c>
      <c r="F1198" s="19">
        <v>5.59</v>
      </c>
      <c r="G1198" s="19">
        <v>5.77</v>
      </c>
      <c r="H1198" s="20">
        <v>-0.18</v>
      </c>
      <c r="I1198" s="114"/>
      <c r="J1198" s="19"/>
      <c r="K1198" s="21"/>
      <c r="L1198" s="22"/>
      <c r="M1198" s="23"/>
      <c r="O1198" s="19" t="str">
        <f>VLOOKUP(QUERY_FOR_TRNSTRANSPOSED_0008!A1198,'[6]Fin vs NFin'!$A$4:$F$568,6,FALSE)</f>
        <v>Não Financeiras</v>
      </c>
      <c r="P1198" s="24" t="str">
        <f t="shared" si="26"/>
        <v>89</v>
      </c>
      <c r="Q1198" s="24" t="str">
        <f>VLOOKUP(D1198,[6]Mapeamento!$A$38:$C$497,3,FALSE)</f>
        <v>OREX</v>
      </c>
      <c r="R1198" s="24"/>
      <c r="S1198" s="24"/>
      <c r="T1198" s="24"/>
    </row>
    <row r="1199" spans="1:20">
      <c r="A1199" s="32" t="s">
        <v>1463</v>
      </c>
      <c r="B1199" s="32" t="str">
        <f>VLOOKUP(A1199,'[6]Fin vs NFin'!$A$4:$B$568,2,FALSE)</f>
        <v>!Outr.Comiss.Diversas</v>
      </c>
      <c r="C1199" s="32" t="s">
        <v>1483</v>
      </c>
      <c r="D1199" s="32" t="s">
        <v>1484</v>
      </c>
      <c r="E1199" s="32" t="str">
        <f>VLOOKUP(D1199,[6]Arvore!$N$8:$Q$6855,4,FALSE)</f>
        <v>55088091</v>
      </c>
      <c r="F1199" s="33">
        <v>60568.63</v>
      </c>
      <c r="G1199" s="33">
        <v>60568.63</v>
      </c>
      <c r="H1199" s="34">
        <v>7.2759576141834308E-12</v>
      </c>
      <c r="I1199" s="114"/>
      <c r="J1199" s="19"/>
      <c r="K1199" s="21"/>
      <c r="L1199" s="22"/>
      <c r="M1199" s="23"/>
      <c r="O1199" s="19" t="str">
        <f>VLOOKUP(QUERY_FOR_TRNSTRANSPOSED_0008!A1199,'[6]Fin vs NFin'!$A$4:$F$568,6,FALSE)</f>
        <v>Não Financeiras</v>
      </c>
      <c r="P1199" s="24" t="str">
        <f t="shared" si="26"/>
        <v>89</v>
      </c>
      <c r="Q1199" s="24" t="str">
        <f>VLOOKUP(D1199,[6]Mapeamento!$A$38:$C$497,3,FALSE)</f>
        <v>OREX</v>
      </c>
      <c r="R1199" s="24"/>
      <c r="S1199" s="24"/>
      <c r="T1199" s="24"/>
    </row>
    <row r="1200" spans="1:20">
      <c r="A1200" s="32" t="s">
        <v>1463</v>
      </c>
      <c r="B1200" s="32" t="str">
        <f>VLOOKUP(A1200,'[6]Fin vs NFin'!$A$4:$B$568,2,FALSE)</f>
        <v>!Outr.Comiss.Diversas</v>
      </c>
      <c r="C1200" s="32" t="s">
        <v>1485</v>
      </c>
      <c r="D1200" s="32" t="s">
        <v>1486</v>
      </c>
      <c r="E1200" s="32" t="str">
        <f>VLOOKUP(D1200,[6]Arvore!$N$8:$Q$6855,4,FALSE)</f>
        <v>5015305702</v>
      </c>
      <c r="F1200" s="33">
        <v>-5.6</v>
      </c>
      <c r="G1200" s="33">
        <v>-5.6</v>
      </c>
      <c r="H1200" s="34">
        <v>0</v>
      </c>
      <c r="I1200" s="114"/>
      <c r="J1200" s="19"/>
      <c r="K1200" s="21"/>
      <c r="L1200" s="22"/>
      <c r="M1200" s="23"/>
      <c r="O1200" s="19" t="str">
        <f>VLOOKUP(QUERY_FOR_TRNSTRANSPOSED_0008!A1200,'[6]Fin vs NFin'!$A$4:$F$568,6,FALSE)</f>
        <v>Não Financeiras</v>
      </c>
      <c r="P1200" s="24" t="str">
        <f t="shared" si="26"/>
        <v>77</v>
      </c>
      <c r="Q1200" s="24"/>
      <c r="R1200" s="24"/>
      <c r="S1200" s="24"/>
      <c r="T1200" s="24"/>
    </row>
    <row r="1201" spans="1:20">
      <c r="A1201" s="18" t="s">
        <v>1463</v>
      </c>
      <c r="B1201" s="18" t="str">
        <f>VLOOKUP(A1201,'[6]Fin vs NFin'!$A$4:$B$568,2,FALSE)</f>
        <v>!Outr.Comiss.Diversas</v>
      </c>
      <c r="C1201" s="18" t="s">
        <v>82</v>
      </c>
      <c r="D1201" s="18" t="s">
        <v>1487</v>
      </c>
      <c r="E1201" s="18" t="str">
        <f>VLOOKUP(D1201,[6]Arvore!$N$8:$Q$6855,4,FALSE)</f>
        <v>41999</v>
      </c>
      <c r="F1201" s="19" t="s">
        <v>84</v>
      </c>
      <c r="G1201" s="19">
        <v>-807083.97</v>
      </c>
      <c r="H1201" s="20">
        <v>807083.97</v>
      </c>
      <c r="I1201" s="114"/>
      <c r="J1201" s="19"/>
      <c r="K1201" s="21"/>
      <c r="L1201" s="22"/>
      <c r="M1201" s="23"/>
      <c r="O1201" s="19" t="str">
        <f>VLOOKUP(QUERY_FOR_TRNSTRANSPOSED_0008!A1201,'[6]Fin vs NFin'!$A$4:$F$568,6,FALSE)</f>
        <v>Não Financeiras</v>
      </c>
      <c r="P1201" s="24" t="str">
        <f t="shared" si="26"/>
        <v>71</v>
      </c>
      <c r="Q1201" s="24"/>
      <c r="R1201" s="24"/>
      <c r="S1201" s="24"/>
      <c r="T1201" s="24"/>
    </row>
    <row r="1202" spans="1:20">
      <c r="A1202" s="18" t="s">
        <v>1463</v>
      </c>
      <c r="B1202" s="18" t="str">
        <f>VLOOKUP(A1202,'[6]Fin vs NFin'!$A$4:$B$568,2,FALSE)</f>
        <v>!Outr.Comiss.Diversas</v>
      </c>
      <c r="C1202" s="18" t="s">
        <v>82</v>
      </c>
      <c r="D1202" s="18" t="s">
        <v>1477</v>
      </c>
      <c r="E1202" s="18" t="str">
        <f>VLOOKUP(D1202,[6]Arvore!$N$8:$Q$6855,4,FALSE)</f>
        <v>41999</v>
      </c>
      <c r="F1202" s="19" t="s">
        <v>84</v>
      </c>
      <c r="G1202" s="19">
        <v>-1349547.33</v>
      </c>
      <c r="H1202" s="20">
        <v>1349547.33</v>
      </c>
      <c r="I1202" s="114"/>
      <c r="J1202" s="19"/>
      <c r="K1202" s="21"/>
      <c r="L1202" s="22"/>
      <c r="M1202" s="23"/>
      <c r="O1202" s="19" t="str">
        <f>VLOOKUP(QUERY_FOR_TRNSTRANSPOSED_0008!A1202,'[6]Fin vs NFin'!$A$4:$F$568,6,FALSE)</f>
        <v>Não Financeiras</v>
      </c>
      <c r="P1202" s="24" t="str">
        <f t="shared" si="26"/>
        <v>71</v>
      </c>
      <c r="Q1202" s="24"/>
      <c r="R1202" s="24"/>
      <c r="S1202" s="24"/>
      <c r="T1202" s="24"/>
    </row>
    <row r="1203" spans="1:20">
      <c r="A1203" s="18" t="s">
        <v>1463</v>
      </c>
      <c r="B1203" s="18" t="str">
        <f>VLOOKUP(A1203,'[6]Fin vs NFin'!$A$4:$B$568,2,FALSE)</f>
        <v>!Outr.Comiss.Diversas</v>
      </c>
      <c r="C1203" s="18" t="s">
        <v>82</v>
      </c>
      <c r="D1203" s="18" t="s">
        <v>1488</v>
      </c>
      <c r="E1203" s="18" t="str">
        <f>VLOOKUP(D1203,[6]Arvore!$N$8:$Q$6855,4,FALSE)</f>
        <v>51959</v>
      </c>
      <c r="F1203" s="19" t="s">
        <v>84</v>
      </c>
      <c r="G1203" s="19">
        <v>-4236996.5199999996</v>
      </c>
      <c r="H1203" s="20">
        <v>4236996.5199999996</v>
      </c>
      <c r="I1203" s="114"/>
      <c r="J1203" s="19"/>
      <c r="K1203" s="21"/>
      <c r="L1203" s="22"/>
      <c r="M1203" s="23"/>
      <c r="O1203" s="19" t="str">
        <f>VLOOKUP(QUERY_FOR_TRNSTRANSPOSED_0008!A1203,'[6]Fin vs NFin'!$A$4:$F$568,6,FALSE)</f>
        <v>Não Financeiras</v>
      </c>
      <c r="P1203" s="24" t="str">
        <f t="shared" si="26"/>
        <v>71</v>
      </c>
      <c r="Q1203" s="24"/>
      <c r="R1203" s="24"/>
      <c r="S1203" s="24"/>
      <c r="T1203" s="24"/>
    </row>
    <row r="1204" spans="1:20">
      <c r="A1204" s="18" t="s">
        <v>1463</v>
      </c>
      <c r="B1204" s="18" t="str">
        <f>VLOOKUP(A1204,'[6]Fin vs NFin'!$A$4:$B$568,2,FALSE)</f>
        <v>!Outr.Comiss.Diversas</v>
      </c>
      <c r="C1204" s="18" t="s">
        <v>82</v>
      </c>
      <c r="D1204" s="18" t="s">
        <v>1489</v>
      </c>
      <c r="E1204" s="18" t="str">
        <f>VLOOKUP(D1204,[6]Arvore!$N$8:$Q$6855,4,FALSE)</f>
        <v>51959</v>
      </c>
      <c r="F1204" s="19" t="s">
        <v>84</v>
      </c>
      <c r="G1204" s="19">
        <v>-3048558.25</v>
      </c>
      <c r="H1204" s="20">
        <v>3048558.25</v>
      </c>
      <c r="I1204" s="114"/>
      <c r="J1204" s="19"/>
      <c r="K1204" s="21"/>
      <c r="L1204" s="22"/>
      <c r="M1204" s="23"/>
      <c r="O1204" s="19" t="str">
        <f>VLOOKUP(QUERY_FOR_TRNSTRANSPOSED_0008!A1204,'[6]Fin vs NFin'!$A$4:$F$568,6,FALSE)</f>
        <v>Não Financeiras</v>
      </c>
      <c r="P1204" s="24" t="str">
        <f t="shared" si="26"/>
        <v>71</v>
      </c>
      <c r="Q1204" s="24"/>
      <c r="R1204" s="24"/>
      <c r="S1204" s="24"/>
      <c r="T1204" s="24"/>
    </row>
    <row r="1205" spans="1:20">
      <c r="A1205" s="18" t="s">
        <v>1463</v>
      </c>
      <c r="B1205" s="18" t="str">
        <f>VLOOKUP(A1205,'[6]Fin vs NFin'!$A$4:$B$568,2,FALSE)</f>
        <v>!Outr.Comiss.Diversas</v>
      </c>
      <c r="C1205" s="18" t="s">
        <v>82</v>
      </c>
      <c r="D1205" s="18" t="s">
        <v>1490</v>
      </c>
      <c r="E1205" s="18" t="str">
        <f>VLOOKUP(D1205,[6]Arvore!$N$8:$Q$6855,4,FALSE)</f>
        <v>4198</v>
      </c>
      <c r="F1205" s="19">
        <v>-2119346.19</v>
      </c>
      <c r="G1205" s="19">
        <v>-342420.57</v>
      </c>
      <c r="H1205" s="20">
        <v>-1776925.62</v>
      </c>
      <c r="I1205" s="114"/>
      <c r="J1205" s="19"/>
      <c r="K1205" s="21"/>
      <c r="L1205" s="22"/>
      <c r="M1205" s="23"/>
      <c r="O1205" s="19" t="str">
        <f>VLOOKUP(QUERY_FOR_TRNSTRANSPOSED_0008!A1205,'[6]Fin vs NFin'!$A$4:$F$568,6,FALSE)</f>
        <v>Não Financeiras</v>
      </c>
      <c r="P1205" s="24" t="str">
        <f t="shared" si="26"/>
        <v>71</v>
      </c>
      <c r="Q1205" s="24"/>
      <c r="R1205" s="24"/>
      <c r="S1205" s="24"/>
      <c r="T1205" s="24"/>
    </row>
    <row r="1206" spans="1:20">
      <c r="A1206" s="18" t="s">
        <v>1463</v>
      </c>
      <c r="B1206" s="18" t="str">
        <f>VLOOKUP(A1206,'[6]Fin vs NFin'!$A$4:$B$568,2,FALSE)</f>
        <v>!Outr.Comiss.Diversas</v>
      </c>
      <c r="C1206" s="18" t="s">
        <v>82</v>
      </c>
      <c r="D1206" s="18" t="s">
        <v>1491</v>
      </c>
      <c r="E1206" s="18" t="str">
        <f>VLOOKUP(D1206,[6]Arvore!$N$8:$Q$6855,4,FALSE)</f>
        <v>41499</v>
      </c>
      <c r="F1206" s="19">
        <v>626780.66</v>
      </c>
      <c r="G1206" s="19">
        <v>-552396.17000000004</v>
      </c>
      <c r="H1206" s="20">
        <v>1179176.83</v>
      </c>
      <c r="I1206" s="114"/>
      <c r="J1206" s="19"/>
      <c r="K1206" s="21"/>
      <c r="L1206" s="22"/>
      <c r="M1206" s="23"/>
      <c r="O1206" s="19" t="str">
        <f>VLOOKUP(QUERY_FOR_TRNSTRANSPOSED_0008!A1206,'[6]Fin vs NFin'!$A$4:$F$568,6,FALSE)</f>
        <v>Não Financeiras</v>
      </c>
      <c r="P1206" s="24" t="str">
        <f t="shared" si="26"/>
        <v>77</v>
      </c>
      <c r="Q1206" s="24"/>
      <c r="R1206" s="24"/>
      <c r="S1206" s="24"/>
      <c r="T1206" s="24"/>
    </row>
    <row r="1207" spans="1:20">
      <c r="A1207" s="18" t="s">
        <v>1463</v>
      </c>
      <c r="B1207" s="18" t="str">
        <f>VLOOKUP(A1207,'[6]Fin vs NFin'!$A$4:$B$568,2,FALSE)</f>
        <v>!Outr.Comiss.Diversas</v>
      </c>
      <c r="C1207" s="18" t="s">
        <v>82</v>
      </c>
      <c r="D1207" s="18" t="s">
        <v>1492</v>
      </c>
      <c r="E1207" s="18" t="str">
        <f>VLOOKUP(D1207,[6]Arvore!$N$8:$Q$6855,4,FALSE)</f>
        <v>450880910</v>
      </c>
      <c r="F1207" s="19" t="s">
        <v>84</v>
      </c>
      <c r="G1207" s="19">
        <v>-20983.33</v>
      </c>
      <c r="H1207" s="20">
        <v>20983.33</v>
      </c>
      <c r="I1207" s="114"/>
      <c r="J1207" s="19"/>
      <c r="K1207" s="21"/>
      <c r="L1207" s="22"/>
      <c r="M1207" s="23"/>
      <c r="O1207" s="19" t="str">
        <f>VLOOKUP(QUERY_FOR_TRNSTRANSPOSED_0008!A1207,'[6]Fin vs NFin'!$A$4:$F$568,6,FALSE)</f>
        <v>Não Financeiras</v>
      </c>
      <c r="P1207" s="24" t="str">
        <f t="shared" si="26"/>
        <v>77</v>
      </c>
      <c r="Q1207" s="24" t="str">
        <f>VLOOKUP(D1207,[6]Mapeamento!$A$38:$C$497,3,FALSE)</f>
        <v>OREX</v>
      </c>
      <c r="R1207" s="24"/>
      <c r="S1207" s="24"/>
      <c r="T1207" s="24"/>
    </row>
    <row r="1208" spans="1:20">
      <c r="A1208" s="18" t="s">
        <v>1463</v>
      </c>
      <c r="B1208" s="18" t="str">
        <f>VLOOKUP(A1208,'[6]Fin vs NFin'!$A$4:$B$568,2,FALSE)</f>
        <v>!Outr.Comiss.Diversas</v>
      </c>
      <c r="C1208" s="18" t="s">
        <v>82</v>
      </c>
      <c r="D1208" s="18" t="s">
        <v>294</v>
      </c>
      <c r="E1208" s="18" t="str">
        <f>VLOOKUP(D1208,[6]Arvore!$N$8:$Q$6855,4,FALSE)</f>
        <v>55088091</v>
      </c>
      <c r="F1208" s="19">
        <v>76178.83</v>
      </c>
      <c r="G1208" s="19">
        <v>1705764.68</v>
      </c>
      <c r="H1208" s="20">
        <v>-1629585.85</v>
      </c>
      <c r="I1208" s="114"/>
      <c r="J1208" s="19"/>
      <c r="K1208" s="21"/>
      <c r="L1208" s="22"/>
      <c r="M1208" s="23"/>
      <c r="O1208" s="19" t="str">
        <f>VLOOKUP(QUERY_FOR_TRNSTRANSPOSED_0008!A1208,'[6]Fin vs NFin'!$A$4:$F$568,6,FALSE)</f>
        <v>Não Financeiras</v>
      </c>
      <c r="P1208" s="24" t="str">
        <f t="shared" si="26"/>
        <v>89</v>
      </c>
      <c r="Q1208" s="24" t="str">
        <f>VLOOKUP(D1208,[6]Mapeamento!$A$38:$C$497,3,FALSE)</f>
        <v>OREX</v>
      </c>
      <c r="R1208" s="24"/>
      <c r="S1208" s="24"/>
      <c r="T1208" s="24"/>
    </row>
    <row r="1209" spans="1:20">
      <c r="A1209" s="18" t="s">
        <v>1463</v>
      </c>
      <c r="B1209" s="18" t="str">
        <f>VLOOKUP(A1209,'[6]Fin vs NFin'!$A$4:$B$568,2,FALSE)</f>
        <v>!Outr.Comiss.Diversas</v>
      </c>
      <c r="C1209" s="18" t="s">
        <v>775</v>
      </c>
      <c r="D1209" s="18" t="s">
        <v>1493</v>
      </c>
      <c r="E1209" s="18" t="str">
        <f>VLOOKUP(D1209,[6]Arvore!$N$8:$Q$6855,4,FALSE)</f>
        <v>51999</v>
      </c>
      <c r="F1209" s="19" t="s">
        <v>84</v>
      </c>
      <c r="G1209" s="19">
        <v>22914.701042238099</v>
      </c>
      <c r="H1209" s="20">
        <v>-22914.701042238099</v>
      </c>
      <c r="I1209" s="114"/>
      <c r="J1209" s="19"/>
      <c r="K1209" s="21"/>
      <c r="L1209" s="22"/>
      <c r="M1209" s="23"/>
      <c r="O1209" s="19" t="str">
        <f>VLOOKUP(QUERY_FOR_TRNSTRANSPOSED_0008!A1209,'[6]Fin vs NFin'!$A$4:$F$568,6,FALSE)</f>
        <v>Não Financeiras</v>
      </c>
      <c r="P1209" s="24" t="str">
        <f t="shared" si="26"/>
        <v>82</v>
      </c>
      <c r="Q1209" s="24"/>
      <c r="R1209" s="24"/>
      <c r="S1209" s="24"/>
      <c r="T1209" s="24"/>
    </row>
    <row r="1210" spans="1:20">
      <c r="A1210" s="18" t="s">
        <v>1463</v>
      </c>
      <c r="B1210" s="18" t="str">
        <f>VLOOKUP(A1210,'[6]Fin vs NFin'!$A$4:$B$568,2,FALSE)</f>
        <v>!Outr.Comiss.Diversas</v>
      </c>
      <c r="C1210" s="18" t="s">
        <v>67</v>
      </c>
      <c r="D1210" s="18" t="s">
        <v>1487</v>
      </c>
      <c r="E1210" s="18" t="str">
        <f>VLOOKUP(D1210,[6]Arvore!$N$8:$Q$6855,4,FALSE)</f>
        <v>41999</v>
      </c>
      <c r="F1210" s="19">
        <v>-1289641.5</v>
      </c>
      <c r="G1210" s="19">
        <v>-1294036.33</v>
      </c>
      <c r="H1210" s="20">
        <v>4394.8299999996098</v>
      </c>
      <c r="I1210" s="114"/>
      <c r="J1210" s="19"/>
      <c r="K1210" s="21"/>
      <c r="L1210" s="22"/>
      <c r="M1210" s="23"/>
      <c r="O1210" s="19" t="str">
        <f>VLOOKUP(QUERY_FOR_TRNSTRANSPOSED_0008!A1210,'[6]Fin vs NFin'!$A$4:$F$568,6,FALSE)</f>
        <v>Não Financeiras</v>
      </c>
      <c r="P1210" s="24" t="str">
        <f t="shared" si="26"/>
        <v>71</v>
      </c>
      <c r="Q1210" s="24"/>
      <c r="R1210" s="24"/>
      <c r="S1210" s="24"/>
      <c r="T1210" s="24"/>
    </row>
    <row r="1211" spans="1:20">
      <c r="A1211" s="18" t="s">
        <v>1463</v>
      </c>
      <c r="B1211" s="18" t="str">
        <f>VLOOKUP(A1211,'[6]Fin vs NFin'!$A$4:$B$568,2,FALSE)</f>
        <v>!Outr.Comiss.Diversas</v>
      </c>
      <c r="C1211" s="18" t="s">
        <v>67</v>
      </c>
      <c r="D1211" s="18" t="s">
        <v>1477</v>
      </c>
      <c r="E1211" s="18" t="str">
        <f>VLOOKUP(D1211,[6]Arvore!$N$8:$Q$6855,4,FALSE)</f>
        <v>41999</v>
      </c>
      <c r="F1211" s="19">
        <v>-2158551.69</v>
      </c>
      <c r="G1211" s="19">
        <v>-3.6379788070917101E-12</v>
      </c>
      <c r="H1211" s="20">
        <v>-2158551.69</v>
      </c>
      <c r="I1211" s="114"/>
      <c r="J1211" s="19"/>
      <c r="K1211" s="21"/>
      <c r="L1211" s="22"/>
      <c r="M1211" s="23"/>
      <c r="O1211" s="19" t="str">
        <f>VLOOKUP(QUERY_FOR_TRNSTRANSPOSED_0008!A1211,'[6]Fin vs NFin'!$A$4:$F$568,6,FALSE)</f>
        <v>Não Financeiras</v>
      </c>
      <c r="P1211" s="24" t="str">
        <f t="shared" si="26"/>
        <v>71</v>
      </c>
      <c r="Q1211" s="24"/>
      <c r="R1211" s="24"/>
      <c r="S1211" s="24"/>
      <c r="T1211" s="24"/>
    </row>
    <row r="1212" spans="1:20">
      <c r="A1212" s="18" t="s">
        <v>1463</v>
      </c>
      <c r="B1212" s="18" t="str">
        <f>VLOOKUP(A1212,'[6]Fin vs NFin'!$A$4:$B$568,2,FALSE)</f>
        <v>!Outr.Comiss.Diversas</v>
      </c>
      <c r="C1212" s="18" t="s">
        <v>67</v>
      </c>
      <c r="D1212" s="18" t="s">
        <v>1488</v>
      </c>
      <c r="E1212" s="18" t="str">
        <f>VLOOKUP(D1212,[6]Arvore!$N$8:$Q$6855,4,FALSE)</f>
        <v>51959</v>
      </c>
      <c r="F1212" s="19">
        <v>-3802704.72</v>
      </c>
      <c r="G1212" s="19">
        <v>0</v>
      </c>
      <c r="H1212" s="20">
        <v>-3802704.72</v>
      </c>
      <c r="I1212" s="114"/>
      <c r="J1212" s="19"/>
      <c r="K1212" s="21"/>
      <c r="L1212" s="22"/>
      <c r="M1212" s="23"/>
      <c r="O1212" s="19" t="str">
        <f>VLOOKUP(QUERY_FOR_TRNSTRANSPOSED_0008!A1212,'[6]Fin vs NFin'!$A$4:$F$568,6,FALSE)</f>
        <v>Não Financeiras</v>
      </c>
      <c r="P1212" s="24" t="str">
        <f t="shared" si="26"/>
        <v>71</v>
      </c>
      <c r="Q1212" s="24"/>
      <c r="R1212" s="24"/>
      <c r="S1212" s="24"/>
      <c r="T1212" s="24"/>
    </row>
    <row r="1213" spans="1:20">
      <c r="A1213" s="18" t="s">
        <v>1463</v>
      </c>
      <c r="B1213" s="18" t="str">
        <f>VLOOKUP(A1213,'[6]Fin vs NFin'!$A$4:$B$568,2,FALSE)</f>
        <v>!Outr.Comiss.Diversas</v>
      </c>
      <c r="C1213" s="18" t="s">
        <v>67</v>
      </c>
      <c r="D1213" s="18" t="s">
        <v>1490</v>
      </c>
      <c r="E1213" s="18" t="str">
        <f>VLOOKUP(D1213,[6]Arvore!$N$8:$Q$6855,4,FALSE)</f>
        <v>4198</v>
      </c>
      <c r="F1213" s="19">
        <v>98733.29</v>
      </c>
      <c r="G1213" s="19">
        <v>-127479.89</v>
      </c>
      <c r="H1213" s="20">
        <v>226213.18</v>
      </c>
      <c r="I1213" s="114"/>
      <c r="J1213" s="19"/>
      <c r="K1213" s="21"/>
      <c r="L1213" s="22"/>
      <c r="M1213" s="23"/>
      <c r="O1213" s="19" t="str">
        <f>VLOOKUP(QUERY_FOR_TRNSTRANSPOSED_0008!A1213,'[6]Fin vs NFin'!$A$4:$F$568,6,FALSE)</f>
        <v>Não Financeiras</v>
      </c>
      <c r="P1213" s="24" t="str">
        <f t="shared" si="26"/>
        <v>71</v>
      </c>
      <c r="Q1213" s="24"/>
      <c r="R1213" s="24"/>
      <c r="S1213" s="24"/>
      <c r="T1213" s="24"/>
    </row>
    <row r="1214" spans="1:20">
      <c r="A1214" s="18" t="s">
        <v>1463</v>
      </c>
      <c r="B1214" s="18" t="str">
        <f>VLOOKUP(A1214,'[6]Fin vs NFin'!$A$4:$B$568,2,FALSE)</f>
        <v>!Outr.Comiss.Diversas</v>
      </c>
      <c r="C1214" s="18" t="s">
        <v>67</v>
      </c>
      <c r="D1214" s="18" t="s">
        <v>1480</v>
      </c>
      <c r="E1214" s="18" t="str">
        <f>VLOOKUP(D1214,[6]Arvore!$N$8:$Q$6855,4,FALSE)</f>
        <v>41499</v>
      </c>
      <c r="F1214" s="19" t="s">
        <v>84</v>
      </c>
      <c r="G1214" s="19">
        <v>159.64326028111401</v>
      </c>
      <c r="H1214" s="20">
        <v>-159.64326028111401</v>
      </c>
      <c r="I1214" s="114"/>
      <c r="J1214" s="19"/>
      <c r="K1214" s="21"/>
      <c r="L1214" s="22"/>
      <c r="M1214" s="23"/>
      <c r="O1214" s="19" t="str">
        <f>VLOOKUP(QUERY_FOR_TRNSTRANSPOSED_0008!A1214,'[6]Fin vs NFin'!$A$4:$F$568,6,FALSE)</f>
        <v>Não Financeiras</v>
      </c>
      <c r="P1214" s="24" t="str">
        <f t="shared" si="26"/>
        <v>77</v>
      </c>
      <c r="Q1214" s="24"/>
      <c r="R1214" s="24"/>
      <c r="S1214" s="24"/>
      <c r="T1214" s="24"/>
    </row>
    <row r="1215" spans="1:20">
      <c r="A1215" s="18" t="s">
        <v>1463</v>
      </c>
      <c r="B1215" s="18" t="str">
        <f>VLOOKUP(A1215,'[6]Fin vs NFin'!$A$4:$B$568,2,FALSE)</f>
        <v>!Outr.Comiss.Diversas</v>
      </c>
      <c r="C1215" s="18" t="s">
        <v>67</v>
      </c>
      <c r="D1215" s="18" t="s">
        <v>1491</v>
      </c>
      <c r="E1215" s="18" t="str">
        <f>VLOOKUP(D1215,[6]Arvore!$N$8:$Q$6855,4,FALSE)</f>
        <v>41499</v>
      </c>
      <c r="F1215" s="19" t="s">
        <v>84</v>
      </c>
      <c r="G1215" s="19">
        <v>-16886.099999999999</v>
      </c>
      <c r="H1215" s="20">
        <v>16886.099999999999</v>
      </c>
      <c r="I1215" s="114"/>
      <c r="J1215" s="19"/>
      <c r="K1215" s="21"/>
      <c r="L1215" s="22"/>
      <c r="M1215" s="23"/>
      <c r="O1215" s="19" t="str">
        <f>VLOOKUP(QUERY_FOR_TRNSTRANSPOSED_0008!A1215,'[6]Fin vs NFin'!$A$4:$F$568,6,FALSE)</f>
        <v>Não Financeiras</v>
      </c>
      <c r="P1215" s="24" t="str">
        <f t="shared" si="26"/>
        <v>77</v>
      </c>
      <c r="Q1215" s="24"/>
      <c r="R1215" s="24"/>
      <c r="S1215" s="24"/>
      <c r="T1215" s="24"/>
    </row>
    <row r="1216" spans="1:20">
      <c r="A1216" s="18" t="s">
        <v>1463</v>
      </c>
      <c r="B1216" s="18" t="str">
        <f>VLOOKUP(A1216,'[6]Fin vs NFin'!$A$4:$B$568,2,FALSE)</f>
        <v>!Outr.Comiss.Diversas</v>
      </c>
      <c r="C1216" s="18" t="s">
        <v>67</v>
      </c>
      <c r="D1216" s="18" t="s">
        <v>855</v>
      </c>
      <c r="E1216" s="18" t="str">
        <f>VLOOKUP(D1216,[6]Arvore!$N$8:$Q$6855,4,FALSE)</f>
        <v>4508809116</v>
      </c>
      <c r="F1216" s="19" t="s">
        <v>84</v>
      </c>
      <c r="G1216" s="19">
        <v>30907.53</v>
      </c>
      <c r="H1216" s="20">
        <v>-30907.53</v>
      </c>
      <c r="I1216" s="114"/>
      <c r="J1216" s="19"/>
      <c r="K1216" s="21"/>
      <c r="L1216" s="22"/>
      <c r="M1216" s="23"/>
      <c r="O1216" s="19" t="str">
        <f>VLOOKUP(QUERY_FOR_TRNSTRANSPOSED_0008!A1216,'[6]Fin vs NFin'!$A$4:$F$568,6,FALSE)</f>
        <v>Não Financeiras</v>
      </c>
      <c r="P1216" s="24" t="str">
        <f t="shared" si="26"/>
        <v>77</v>
      </c>
      <c r="Q1216" s="24"/>
      <c r="R1216" s="24"/>
      <c r="S1216" s="24" t="str">
        <f>VLOOKUP(D1216,[6]Mapeamento!$A$38:$C$497,3,FALSE)</f>
        <v>RO</v>
      </c>
      <c r="T1216" s="24"/>
    </row>
    <row r="1217" spans="1:20">
      <c r="A1217" s="18" t="s">
        <v>1463</v>
      </c>
      <c r="B1217" s="18" t="str">
        <f>VLOOKUP(A1217,'[6]Fin vs NFin'!$A$4:$B$568,2,FALSE)</f>
        <v>!Outr.Comiss.Diversas</v>
      </c>
      <c r="C1217" s="18" t="s">
        <v>67</v>
      </c>
      <c r="D1217" s="18" t="s">
        <v>601</v>
      </c>
      <c r="E1217" s="18" t="str">
        <f>VLOOKUP(D1217,[6]Arvore!$N$8:$Q$6855,4,FALSE)</f>
        <v>450880910</v>
      </c>
      <c r="F1217" s="19">
        <v>-447722.95</v>
      </c>
      <c r="G1217" s="19">
        <v>-1789.4635637543099</v>
      </c>
      <c r="H1217" s="20">
        <v>-445933.48643624602</v>
      </c>
      <c r="I1217" s="114"/>
      <c r="J1217" s="19"/>
      <c r="K1217" s="21"/>
      <c r="L1217" s="22"/>
      <c r="M1217" s="23"/>
      <c r="O1217" s="19" t="str">
        <f>VLOOKUP(QUERY_FOR_TRNSTRANSPOSED_0008!A1217,'[6]Fin vs NFin'!$A$4:$F$568,6,FALSE)</f>
        <v>Não Financeiras</v>
      </c>
      <c r="P1217" s="24" t="str">
        <f t="shared" si="26"/>
        <v>77</v>
      </c>
      <c r="Q1217" s="24" t="str">
        <f>VLOOKUP(D1217,[6]Mapeamento!$A$38:$C$497,3,FALSE)</f>
        <v>OREX</v>
      </c>
      <c r="R1217" s="24"/>
      <c r="S1217" s="24"/>
      <c r="T1217" s="24"/>
    </row>
    <row r="1218" spans="1:20">
      <c r="A1218" s="18" t="s">
        <v>1463</v>
      </c>
      <c r="B1218" s="18" t="str">
        <f>VLOOKUP(A1218,'[6]Fin vs NFin'!$A$4:$B$568,2,FALSE)</f>
        <v>!Outr.Comiss.Diversas</v>
      </c>
      <c r="C1218" s="18" t="s">
        <v>67</v>
      </c>
      <c r="D1218" s="18" t="s">
        <v>1493</v>
      </c>
      <c r="E1218" s="18" t="str">
        <f>VLOOKUP(D1218,[6]Arvore!$N$8:$Q$6855,4,FALSE)</f>
        <v>51999</v>
      </c>
      <c r="F1218" s="19">
        <v>369455.12</v>
      </c>
      <c r="G1218" s="19">
        <v>5600523.75</v>
      </c>
      <c r="H1218" s="20">
        <v>-5231068.63</v>
      </c>
      <c r="I1218" s="114"/>
      <c r="J1218" s="19"/>
      <c r="K1218" s="21"/>
      <c r="L1218" s="22"/>
      <c r="M1218" s="23"/>
      <c r="O1218" s="19" t="str">
        <f>VLOOKUP(QUERY_FOR_TRNSTRANSPOSED_0008!A1218,'[6]Fin vs NFin'!$A$4:$F$568,6,FALSE)</f>
        <v>Não Financeiras</v>
      </c>
      <c r="P1218" s="24" t="str">
        <f t="shared" si="26"/>
        <v>82</v>
      </c>
      <c r="Q1218" s="24"/>
      <c r="R1218" s="24"/>
      <c r="S1218" s="24"/>
      <c r="T1218" s="24"/>
    </row>
    <row r="1219" spans="1:20">
      <c r="A1219" s="18" t="s">
        <v>1463</v>
      </c>
      <c r="B1219" s="18" t="str">
        <f>VLOOKUP(A1219,'[6]Fin vs NFin'!$A$4:$B$568,2,FALSE)</f>
        <v>!Outr.Comiss.Diversas</v>
      </c>
      <c r="C1219" s="18" t="s">
        <v>67</v>
      </c>
      <c r="D1219" s="18" t="s">
        <v>1467</v>
      </c>
      <c r="E1219" s="18" t="str">
        <f>VLOOKUP(D1219,[6]Arvore!$N$8:$Q$6855,4,FALSE)</f>
        <v>55083</v>
      </c>
      <c r="F1219" s="19" t="s">
        <v>84</v>
      </c>
      <c r="G1219" s="19">
        <v>-189.78</v>
      </c>
      <c r="H1219" s="20">
        <v>189.78</v>
      </c>
      <c r="I1219" s="114"/>
      <c r="J1219" s="19"/>
      <c r="K1219" s="21"/>
      <c r="L1219" s="22"/>
      <c r="M1219" s="23"/>
      <c r="O1219" s="19" t="str">
        <f>VLOOKUP(QUERY_FOR_TRNSTRANSPOSED_0008!A1219,'[6]Fin vs NFin'!$A$4:$F$568,6,FALSE)</f>
        <v>Não Financeiras</v>
      </c>
      <c r="P1219" s="24" t="str">
        <f t="shared" si="26"/>
        <v>89</v>
      </c>
      <c r="Q1219" s="24" t="str">
        <f>VLOOKUP(D1219,[6]Mapeamento!$A$38:$C$497,3,FALSE)</f>
        <v>OREX</v>
      </c>
      <c r="R1219" s="24"/>
      <c r="S1219" s="24"/>
      <c r="T1219" s="24"/>
    </row>
    <row r="1220" spans="1:20">
      <c r="A1220" s="18" t="s">
        <v>1463</v>
      </c>
      <c r="B1220" s="18" t="str">
        <f>VLOOKUP(A1220,'[6]Fin vs NFin'!$A$4:$B$568,2,FALSE)</f>
        <v>!Outr.Comiss.Diversas</v>
      </c>
      <c r="C1220" s="18" t="s">
        <v>67</v>
      </c>
      <c r="D1220" s="18" t="s">
        <v>1482</v>
      </c>
      <c r="E1220" s="18" t="str">
        <f>VLOOKUP(D1220,[6]Arvore!$N$8:$Q$6855,4,FALSE)</f>
        <v>55088091</v>
      </c>
      <c r="F1220" s="19">
        <v>-76413.14</v>
      </c>
      <c r="G1220" s="19">
        <v>41.55</v>
      </c>
      <c r="H1220" s="20">
        <v>-76454.69</v>
      </c>
      <c r="I1220" s="114"/>
      <c r="J1220" s="19"/>
      <c r="K1220" s="21"/>
      <c r="L1220" s="22"/>
      <c r="M1220" s="23"/>
      <c r="O1220" s="19" t="str">
        <f>VLOOKUP(QUERY_FOR_TRNSTRANSPOSED_0008!A1220,'[6]Fin vs NFin'!$A$4:$F$568,6,FALSE)</f>
        <v>Não Financeiras</v>
      </c>
      <c r="P1220" s="24" t="str">
        <f t="shared" si="26"/>
        <v>89</v>
      </c>
      <c r="Q1220" s="24" t="str">
        <f>VLOOKUP(D1220,[6]Mapeamento!$A$38:$C$497,3,FALSE)</f>
        <v>OREX</v>
      </c>
      <c r="R1220" s="24"/>
      <c r="S1220" s="24"/>
      <c r="T1220" s="24"/>
    </row>
    <row r="1221" spans="1:20">
      <c r="A1221" s="18" t="s">
        <v>1463</v>
      </c>
      <c r="B1221" s="18" t="str">
        <f>VLOOKUP(A1221,'[6]Fin vs NFin'!$A$4:$B$568,2,FALSE)</f>
        <v>!Outr.Comiss.Diversas</v>
      </c>
      <c r="C1221" s="18" t="s">
        <v>67</v>
      </c>
      <c r="D1221" s="18" t="s">
        <v>1474</v>
      </c>
      <c r="E1221" s="18" t="str">
        <f>VLOOKUP(D1221,[6]Arvore!$N$8:$Q$6855,4,FALSE)</f>
        <v>550880926</v>
      </c>
      <c r="F1221" s="19">
        <v>-886953.26</v>
      </c>
      <c r="G1221" s="19">
        <v>0.3</v>
      </c>
      <c r="H1221" s="20">
        <v>-886953.56</v>
      </c>
      <c r="I1221" s="114"/>
      <c r="J1221" s="19"/>
      <c r="K1221" s="21"/>
      <c r="L1221" s="22"/>
      <c r="M1221" s="23"/>
      <c r="O1221" s="19" t="str">
        <f>VLOOKUP(QUERY_FOR_TRNSTRANSPOSED_0008!A1221,'[6]Fin vs NFin'!$A$4:$F$568,6,FALSE)</f>
        <v>Não Financeiras</v>
      </c>
      <c r="P1221" s="24" t="str">
        <f t="shared" si="26"/>
        <v>89</v>
      </c>
      <c r="Q1221" s="24"/>
      <c r="R1221" s="24"/>
      <c r="S1221" s="24" t="str">
        <f>VLOOKUP(D1221,[6]Mapeamento!$A$38:$C$497,3,FALSE)</f>
        <v>RO</v>
      </c>
      <c r="T1221" s="24"/>
    </row>
    <row r="1222" spans="1:20">
      <c r="A1222" s="18" t="s">
        <v>1463</v>
      </c>
      <c r="B1222" s="18" t="str">
        <f>VLOOKUP(A1222,'[6]Fin vs NFin'!$A$4:$B$568,2,FALSE)</f>
        <v>!Outr.Comiss.Diversas</v>
      </c>
      <c r="C1222" s="18" t="s">
        <v>67</v>
      </c>
      <c r="D1222" s="18" t="s">
        <v>1466</v>
      </c>
      <c r="E1222" s="18" t="str">
        <f>VLOOKUP(D1222,[6]Arvore!$N$8:$Q$6855,4,FALSE)</f>
        <v>55088091</v>
      </c>
      <c r="F1222" s="19">
        <v>-49824.51</v>
      </c>
      <c r="G1222" s="19">
        <v>-41954.43</v>
      </c>
      <c r="H1222" s="20">
        <v>-7870.0800000000099</v>
      </c>
      <c r="I1222" s="114"/>
      <c r="J1222" s="19"/>
      <c r="K1222" s="21"/>
      <c r="L1222" s="22"/>
      <c r="M1222" s="23"/>
      <c r="O1222" s="19" t="str">
        <f>VLOOKUP(QUERY_FOR_TRNSTRANSPOSED_0008!A1222,'[6]Fin vs NFin'!$A$4:$F$568,6,FALSE)</f>
        <v>Não Financeiras</v>
      </c>
      <c r="P1222" s="24" t="str">
        <f t="shared" ref="P1222:P1234" si="27">LEFT(D1222,2)</f>
        <v>89</v>
      </c>
      <c r="Q1222" s="24" t="str">
        <f>VLOOKUP(D1222,[6]Mapeamento!$A$38:$C$497,3,FALSE)</f>
        <v>OREX</v>
      </c>
      <c r="R1222" s="24"/>
      <c r="S1222" s="24"/>
      <c r="T1222" s="24"/>
    </row>
    <row r="1223" spans="1:20">
      <c r="A1223" s="18" t="s">
        <v>1463</v>
      </c>
      <c r="B1223" s="18" t="str">
        <f>VLOOKUP(A1223,'[6]Fin vs NFin'!$A$4:$B$568,2,FALSE)</f>
        <v>!Outr.Comiss.Diversas</v>
      </c>
      <c r="C1223" s="18" t="s">
        <v>67</v>
      </c>
      <c r="D1223" s="18" t="s">
        <v>294</v>
      </c>
      <c r="E1223" s="18" t="str">
        <f>VLOOKUP(D1223,[6]Arvore!$N$8:$Q$6855,4,FALSE)</f>
        <v>55088091</v>
      </c>
      <c r="F1223" s="19">
        <v>4097273.27</v>
      </c>
      <c r="G1223" s="19">
        <v>-1737814.9657191201</v>
      </c>
      <c r="H1223" s="20">
        <v>5835088.2357191201</v>
      </c>
      <c r="I1223" s="114"/>
      <c r="J1223" s="19"/>
      <c r="K1223" s="21"/>
      <c r="L1223" s="22"/>
      <c r="M1223" s="23"/>
      <c r="O1223" s="19" t="str">
        <f>VLOOKUP(QUERY_FOR_TRNSTRANSPOSED_0008!A1223,'[6]Fin vs NFin'!$A$4:$F$568,6,FALSE)</f>
        <v>Não Financeiras</v>
      </c>
      <c r="P1223" s="24" t="str">
        <f t="shared" si="27"/>
        <v>89</v>
      </c>
      <c r="Q1223" s="24" t="str">
        <f>VLOOKUP(D1223,[6]Mapeamento!$A$38:$C$497,3,FALSE)</f>
        <v>OREX</v>
      </c>
      <c r="R1223" s="24"/>
      <c r="S1223" s="24"/>
      <c r="T1223" s="24"/>
    </row>
    <row r="1224" spans="1:20">
      <c r="A1224" s="18" t="s">
        <v>1463</v>
      </c>
      <c r="B1224" s="18" t="str">
        <f>VLOOKUP(A1224,'[6]Fin vs NFin'!$A$4:$B$568,2,FALSE)</f>
        <v>!Outr.Comiss.Diversas</v>
      </c>
      <c r="C1224" s="18" t="s">
        <v>1494</v>
      </c>
      <c r="D1224" s="18" t="s">
        <v>294</v>
      </c>
      <c r="E1224" s="18" t="str">
        <f>VLOOKUP(D1224,[6]Arvore!$N$8:$Q$6855,4,FALSE)</f>
        <v>55088091</v>
      </c>
      <c r="F1224" s="19">
        <v>21685.38</v>
      </c>
      <c r="G1224" s="19">
        <v>29818.42</v>
      </c>
      <c r="H1224" s="20">
        <v>-8133.04</v>
      </c>
      <c r="I1224" s="114"/>
      <c r="J1224" s="19"/>
      <c r="K1224" s="21"/>
      <c r="L1224" s="22"/>
      <c r="M1224" s="23"/>
      <c r="O1224" s="19" t="str">
        <f>VLOOKUP(QUERY_FOR_TRNSTRANSPOSED_0008!A1224,'[6]Fin vs NFin'!$A$4:$F$568,6,FALSE)</f>
        <v>Não Financeiras</v>
      </c>
      <c r="P1224" s="24" t="str">
        <f t="shared" si="27"/>
        <v>89</v>
      </c>
      <c r="Q1224" s="24" t="str">
        <f>VLOOKUP(D1224,[6]Mapeamento!$A$38:$C$497,3,FALSE)</f>
        <v>OREX</v>
      </c>
      <c r="R1224" s="24"/>
      <c r="S1224" s="24"/>
      <c r="T1224" s="24"/>
    </row>
    <row r="1225" spans="1:20">
      <c r="A1225" s="18" t="s">
        <v>1463</v>
      </c>
      <c r="B1225" s="18" t="str">
        <f>VLOOKUP(A1225,'[6]Fin vs NFin'!$A$4:$B$568,2,FALSE)</f>
        <v>!Outr.Comiss.Diversas</v>
      </c>
      <c r="C1225" s="18" t="s">
        <v>177</v>
      </c>
      <c r="D1225" s="18" t="s">
        <v>1490</v>
      </c>
      <c r="E1225" s="18" t="str">
        <f>VLOOKUP(D1225,[6]Arvore!$N$8:$Q$6855,4,FALSE)</f>
        <v>4198</v>
      </c>
      <c r="F1225" s="19" t="s">
        <v>84</v>
      </c>
      <c r="G1225" s="19">
        <v>30232.26</v>
      </c>
      <c r="H1225" s="20">
        <v>-30232.26</v>
      </c>
      <c r="I1225" s="114"/>
      <c r="J1225" s="19"/>
      <c r="K1225" s="21"/>
      <c r="L1225" s="22"/>
      <c r="M1225" s="23"/>
      <c r="O1225" s="19" t="str">
        <f>VLOOKUP(QUERY_FOR_TRNSTRANSPOSED_0008!A1225,'[6]Fin vs NFin'!$A$4:$F$568,6,FALSE)</f>
        <v>Não Financeiras</v>
      </c>
      <c r="P1225" s="24" t="str">
        <f t="shared" si="27"/>
        <v>71</v>
      </c>
      <c r="Q1225" s="24"/>
      <c r="R1225" s="24"/>
      <c r="S1225" s="24"/>
      <c r="T1225" s="24"/>
    </row>
    <row r="1226" spans="1:20">
      <c r="A1226" s="18" t="s">
        <v>1463</v>
      </c>
      <c r="B1226" s="18" t="str">
        <f>VLOOKUP(A1226,'[6]Fin vs NFin'!$A$4:$B$568,2,FALSE)</f>
        <v>!Outr.Comiss.Diversas</v>
      </c>
      <c r="C1226" s="18" t="s">
        <v>177</v>
      </c>
      <c r="D1226" s="18" t="s">
        <v>855</v>
      </c>
      <c r="E1226" s="18" t="str">
        <f>VLOOKUP(D1226,[6]Arvore!$N$8:$Q$6855,4,FALSE)</f>
        <v>4508809116</v>
      </c>
      <c r="F1226" s="19">
        <v>-847014.68</v>
      </c>
      <c r="G1226" s="19">
        <v>0</v>
      </c>
      <c r="H1226" s="20">
        <v>-847014.68</v>
      </c>
      <c r="I1226" s="114"/>
      <c r="J1226" s="19"/>
      <c r="K1226" s="21"/>
      <c r="L1226" s="22"/>
      <c r="M1226" s="23"/>
      <c r="O1226" s="19" t="str">
        <f>VLOOKUP(QUERY_FOR_TRNSTRANSPOSED_0008!A1226,'[6]Fin vs NFin'!$A$4:$F$568,6,FALSE)</f>
        <v>Não Financeiras</v>
      </c>
      <c r="P1226" s="24" t="str">
        <f t="shared" si="27"/>
        <v>77</v>
      </c>
      <c r="Q1226" s="24"/>
      <c r="R1226" s="24"/>
      <c r="S1226" s="24" t="str">
        <f>VLOOKUP(D1226,[6]Mapeamento!$A$38:$C$497,3,FALSE)</f>
        <v>RO</v>
      </c>
      <c r="T1226" s="24"/>
    </row>
    <row r="1227" spans="1:20">
      <c r="A1227" s="18" t="s">
        <v>1463</v>
      </c>
      <c r="B1227" s="18" t="str">
        <f>VLOOKUP(A1227,'[6]Fin vs NFin'!$A$4:$B$568,2,FALSE)</f>
        <v>!Outr.Comiss.Diversas</v>
      </c>
      <c r="C1227" s="18" t="s">
        <v>177</v>
      </c>
      <c r="D1227" s="18" t="s">
        <v>601</v>
      </c>
      <c r="E1227" s="18" t="str">
        <f>VLOOKUP(D1227,[6]Arvore!$N$8:$Q$6855,4,FALSE)</f>
        <v>450880910</v>
      </c>
      <c r="F1227" s="19">
        <v>590773.81999999995</v>
      </c>
      <c r="G1227" s="19">
        <v>-1001662.10013863</v>
      </c>
      <c r="H1227" s="20">
        <v>1592435.9201386301</v>
      </c>
      <c r="I1227" s="114"/>
      <c r="J1227" s="19"/>
      <c r="K1227" s="21"/>
      <c r="L1227" s="22"/>
      <c r="M1227" s="23"/>
      <c r="O1227" s="19" t="str">
        <f>VLOOKUP(QUERY_FOR_TRNSTRANSPOSED_0008!A1227,'[6]Fin vs NFin'!$A$4:$F$568,6,FALSE)</f>
        <v>Não Financeiras</v>
      </c>
      <c r="P1227" s="24" t="str">
        <f t="shared" si="27"/>
        <v>77</v>
      </c>
      <c r="Q1227" s="24" t="str">
        <f>VLOOKUP(D1227,[6]Mapeamento!$A$38:$C$497,3,FALSE)</f>
        <v>OREX</v>
      </c>
      <c r="R1227" s="24"/>
      <c r="S1227" s="24"/>
      <c r="T1227" s="24"/>
    </row>
    <row r="1228" spans="1:20">
      <c r="A1228" s="18" t="s">
        <v>1463</v>
      </c>
      <c r="B1228" s="18" t="str">
        <f>VLOOKUP(A1228,'[6]Fin vs NFin'!$A$4:$B$568,2,FALSE)</f>
        <v>!Outr.Comiss.Diversas</v>
      </c>
      <c r="C1228" s="18" t="s">
        <v>177</v>
      </c>
      <c r="D1228" s="18" t="s">
        <v>294</v>
      </c>
      <c r="E1228" s="18" t="str">
        <f>VLOOKUP(D1228,[6]Arvore!$N$8:$Q$6855,4,FALSE)</f>
        <v>55088091</v>
      </c>
      <c r="F1228" s="19">
        <v>-282974.34999999998</v>
      </c>
      <c r="G1228" s="19">
        <v>-3058.66</v>
      </c>
      <c r="H1228" s="20">
        <v>-279915.69</v>
      </c>
      <c r="I1228" s="114"/>
      <c r="J1228" s="19"/>
      <c r="K1228" s="21"/>
      <c r="L1228" s="22"/>
      <c r="M1228" s="23"/>
      <c r="O1228" s="19" t="str">
        <f>VLOOKUP(QUERY_FOR_TRNSTRANSPOSED_0008!A1228,'[6]Fin vs NFin'!$A$4:$F$568,6,FALSE)</f>
        <v>Não Financeiras</v>
      </c>
      <c r="P1228" s="24" t="str">
        <f t="shared" si="27"/>
        <v>89</v>
      </c>
      <c r="Q1228" s="24" t="str">
        <f>VLOOKUP(D1228,[6]Mapeamento!$A$38:$C$497,3,FALSE)</f>
        <v>OREX</v>
      </c>
      <c r="R1228" s="24"/>
      <c r="S1228" s="24"/>
      <c r="T1228" s="24"/>
    </row>
    <row r="1229" spans="1:20">
      <c r="A1229" s="18" t="s">
        <v>1463</v>
      </c>
      <c r="B1229" s="18" t="str">
        <f>VLOOKUP(A1229,'[6]Fin vs NFin'!$A$4:$B$568,2,FALSE)</f>
        <v>!Outr.Comiss.Diversas</v>
      </c>
      <c r="C1229" s="18" t="s">
        <v>869</v>
      </c>
      <c r="D1229" s="18" t="s">
        <v>1477</v>
      </c>
      <c r="E1229" s="18" t="str">
        <f>VLOOKUP(D1229,[6]Arvore!$N$8:$Q$6855,4,FALSE)</f>
        <v>41999</v>
      </c>
      <c r="F1229" s="19" t="s">
        <v>84</v>
      </c>
      <c r="G1229" s="19">
        <v>-3279.9</v>
      </c>
      <c r="H1229" s="20">
        <v>3279.9</v>
      </c>
      <c r="I1229" s="114"/>
      <c r="J1229" s="19"/>
      <c r="K1229" s="21"/>
      <c r="L1229" s="22"/>
      <c r="M1229" s="23"/>
      <c r="O1229" s="19" t="str">
        <f>VLOOKUP(QUERY_FOR_TRNSTRANSPOSED_0008!A1229,'[6]Fin vs NFin'!$A$4:$F$568,6,FALSE)</f>
        <v>Não Financeiras</v>
      </c>
      <c r="P1229" s="24" t="str">
        <f t="shared" si="27"/>
        <v>71</v>
      </c>
      <c r="Q1229" s="24"/>
      <c r="R1229" s="24"/>
      <c r="S1229" s="24"/>
      <c r="T1229" s="24"/>
    </row>
    <row r="1230" spans="1:20">
      <c r="A1230" s="18" t="s">
        <v>1463</v>
      </c>
      <c r="B1230" s="18" t="str">
        <f>VLOOKUP(A1230,'[6]Fin vs NFin'!$A$4:$B$568,2,FALSE)</f>
        <v>!Outr.Comiss.Diversas</v>
      </c>
      <c r="C1230" s="18" t="s">
        <v>869</v>
      </c>
      <c r="D1230" s="18" t="s">
        <v>855</v>
      </c>
      <c r="E1230" s="18" t="str">
        <f>VLOOKUP(D1230,[6]Arvore!$N$8:$Q$6855,4,FALSE)</f>
        <v>4508809116</v>
      </c>
      <c r="F1230" s="19">
        <v>-22357.54</v>
      </c>
      <c r="G1230" s="19">
        <v>-22388.973789159601</v>
      </c>
      <c r="H1230" s="20">
        <v>31.4337891596006</v>
      </c>
      <c r="I1230" s="114"/>
      <c r="J1230" s="19"/>
      <c r="K1230" s="21"/>
      <c r="L1230" s="22"/>
      <c r="M1230" s="23"/>
      <c r="O1230" s="19" t="str">
        <f>VLOOKUP(QUERY_FOR_TRNSTRANSPOSED_0008!A1230,'[6]Fin vs NFin'!$A$4:$F$568,6,FALSE)</f>
        <v>Não Financeiras</v>
      </c>
      <c r="P1230" s="24" t="str">
        <f t="shared" si="27"/>
        <v>77</v>
      </c>
      <c r="Q1230" s="24"/>
      <c r="R1230" s="24"/>
      <c r="S1230" s="24" t="str">
        <f>VLOOKUP(D1230,[6]Mapeamento!$A$38:$C$497,3,FALSE)</f>
        <v>RO</v>
      </c>
      <c r="T1230" s="24"/>
    </row>
    <row r="1231" spans="1:20">
      <c r="A1231" s="32" t="s">
        <v>1463</v>
      </c>
      <c r="B1231" s="32" t="str">
        <f>VLOOKUP(A1231,'[6]Fin vs NFin'!$A$4:$B$568,2,FALSE)</f>
        <v>!Outr.Comiss.Diversas</v>
      </c>
      <c r="C1231" s="32" t="s">
        <v>869</v>
      </c>
      <c r="D1231" s="32" t="s">
        <v>1474</v>
      </c>
      <c r="E1231" s="32" t="str">
        <f>VLOOKUP(D1231,[6]Arvore!$N$8:$Q$6855,4,FALSE)</f>
        <v>550880926</v>
      </c>
      <c r="F1231" s="33">
        <v>100.16</v>
      </c>
      <c r="G1231" s="33">
        <v>100.16</v>
      </c>
      <c r="H1231" s="34">
        <v>0</v>
      </c>
      <c r="I1231" s="114"/>
      <c r="J1231" s="19"/>
      <c r="K1231" s="21"/>
      <c r="L1231" s="22"/>
      <c r="M1231" s="23"/>
      <c r="O1231" s="19" t="str">
        <f>VLOOKUP(QUERY_FOR_TRNSTRANSPOSED_0008!A1231,'[6]Fin vs NFin'!$A$4:$F$568,6,FALSE)</f>
        <v>Não Financeiras</v>
      </c>
      <c r="P1231" s="24" t="str">
        <f t="shared" si="27"/>
        <v>89</v>
      </c>
      <c r="Q1231" s="24"/>
      <c r="R1231" s="24"/>
      <c r="S1231" s="24" t="str">
        <f>VLOOKUP(D1231,[6]Mapeamento!$A$38:$C$497,3,FALSE)</f>
        <v>RO</v>
      </c>
      <c r="T1231" s="24"/>
    </row>
    <row r="1232" spans="1:20" ht="15" thickBot="1">
      <c r="A1232" s="32" t="s">
        <v>1463</v>
      </c>
      <c r="B1232" s="32" t="str">
        <f>VLOOKUP(A1232,'[6]Fin vs NFin'!$A$4:$B$568,2,FALSE)</f>
        <v>!Outr.Comiss.Diversas</v>
      </c>
      <c r="C1232" s="32" t="s">
        <v>1495</v>
      </c>
      <c r="D1232" s="32" t="s">
        <v>1467</v>
      </c>
      <c r="E1232" s="32" t="str">
        <f>VLOOKUP(D1232,[6]Arvore!$N$8:$Q$6855,4,FALSE)</f>
        <v>55083</v>
      </c>
      <c r="F1232" s="33">
        <v>8195.23</v>
      </c>
      <c r="G1232" s="33">
        <v>8195.23</v>
      </c>
      <c r="H1232" s="34">
        <v>0</v>
      </c>
      <c r="I1232" s="114"/>
      <c r="J1232" s="19"/>
      <c r="K1232" s="21"/>
      <c r="L1232" s="22"/>
      <c r="M1232" s="23"/>
      <c r="O1232" s="19" t="str">
        <f>VLOOKUP(QUERY_FOR_TRNSTRANSPOSED_0008!A1232,'[6]Fin vs NFin'!$A$4:$F$568,6,FALSE)</f>
        <v>Não Financeiras</v>
      </c>
      <c r="P1232" s="24" t="str">
        <f t="shared" si="27"/>
        <v>89</v>
      </c>
      <c r="Q1232" s="24" t="str">
        <f>VLOOKUP(D1232,[6]Mapeamento!$A$38:$C$497,3,FALSE)</f>
        <v>OREX</v>
      </c>
      <c r="R1232" s="24"/>
      <c r="S1232" s="24"/>
      <c r="T1232" s="24"/>
    </row>
    <row r="1233" spans="1:20">
      <c r="A1233" s="38" t="s">
        <v>1496</v>
      </c>
      <c r="B1233" s="38" t="str">
        <f>VLOOKUP(A1233,'[6]Fin vs NFin'!$A$4:$B$568,2,FALSE)</f>
        <v>!Genéricas Pagas</v>
      </c>
      <c r="C1233" s="38" t="s">
        <v>714</v>
      </c>
      <c r="D1233" s="81" t="s">
        <v>709</v>
      </c>
      <c r="E1233" s="81" t="str">
        <f>VLOOKUP(D1233,[6]Arvore!$N$8:$Q$6855,4,FALSE)</f>
        <v>5015305700</v>
      </c>
      <c r="F1233" s="82">
        <f>-45</f>
        <v>-45</v>
      </c>
      <c r="G1233" s="39" t="s">
        <v>84</v>
      </c>
      <c r="H1233" s="40">
        <v>-45</v>
      </c>
      <c r="I1233" s="108">
        <f>-3566.9</f>
        <v>-3566.9</v>
      </c>
      <c r="J1233" s="110">
        <f>I1233-H1233</f>
        <v>-3521.9</v>
      </c>
      <c r="K1233" s="21"/>
      <c r="L1233" s="41"/>
      <c r="M1233" s="42"/>
      <c r="O1233" s="39" t="str">
        <f>VLOOKUP(QUERY_FOR_TRNSTRANSPOSED_0008!A1233,'[6]Fin vs NFin'!$A$4:$F$568,6,FALSE)</f>
        <v>Não Financeiras</v>
      </c>
      <c r="P1233" s="43" t="str">
        <f t="shared" si="27"/>
        <v>71</v>
      </c>
      <c r="Q1233" s="43"/>
      <c r="R1233" s="43"/>
      <c r="S1233" s="43"/>
      <c r="T1233" s="43" t="str">
        <f>VLOOKUP(D1233,[6]Mapeamento!$A$38:$C$497,3,FALSE)</f>
        <v>REC_MF</v>
      </c>
    </row>
    <row r="1234" spans="1:20" ht="15" thickBot="1">
      <c r="A1234" s="11" t="s">
        <v>1496</v>
      </c>
      <c r="B1234" s="11" t="str">
        <f>VLOOKUP(A1234,'[6]Fin vs NFin'!$A$4:$B$568,2,FALSE)</f>
        <v>!Genéricas Pagas</v>
      </c>
      <c r="C1234" s="11" t="s">
        <v>698</v>
      </c>
      <c r="D1234" s="11" t="s">
        <v>693</v>
      </c>
      <c r="E1234" s="11" t="str">
        <f>VLOOKUP(D1234,[6]Arvore!$N$8:$Q$6855,4,FALSE)</f>
        <v>4198</v>
      </c>
      <c r="F1234" s="12">
        <v>-3521.9</v>
      </c>
      <c r="G1234" s="12" t="s">
        <v>84</v>
      </c>
      <c r="H1234" s="13">
        <v>-3521.9</v>
      </c>
      <c r="I1234" s="109"/>
      <c r="J1234" s="111"/>
      <c r="K1234" s="21"/>
      <c r="L1234" s="15"/>
      <c r="M1234" s="16"/>
      <c r="O1234" s="12" t="str">
        <f>VLOOKUP(QUERY_FOR_TRNSTRANSPOSED_0008!A1234,'[6]Fin vs NFin'!$A$4:$F$568,6,FALSE)</f>
        <v>Não Financeiras</v>
      </c>
      <c r="P1234" s="17" t="str">
        <f t="shared" si="27"/>
        <v>71</v>
      </c>
      <c r="Q1234" s="17"/>
      <c r="R1234" s="17"/>
      <c r="S1234" s="17"/>
      <c r="T1234" s="17"/>
    </row>
    <row r="1235" spans="1:20">
      <c r="H1235" s="2">
        <f>SUM(H5:H1234)</f>
        <v>20669749.844615698</v>
      </c>
      <c r="I1235" s="2">
        <f>SUM(I5:I1234)</f>
        <v>20669794.844615687</v>
      </c>
    </row>
    <row r="1236" spans="1:20">
      <c r="G1236" s="83" t="s">
        <v>1497</v>
      </c>
      <c r="H1236" s="112">
        <f>I1235-H1235</f>
        <v>44.999999988824129</v>
      </c>
      <c r="I1236" s="112"/>
      <c r="J1236" s="83"/>
      <c r="K1236" s="84"/>
    </row>
    <row r="1239" spans="1:20" s="85" customFormat="1">
      <c r="B1239" s="86" t="s">
        <v>1498</v>
      </c>
      <c r="C1239" s="86"/>
      <c r="D1239" s="87"/>
      <c r="E1239" s="87"/>
      <c r="F1239" s="88">
        <f>SUM(F5:F1234)</f>
        <v>497523059.44999969</v>
      </c>
      <c r="G1239" s="88">
        <f>SUM(G5:G1234)</f>
        <v>476853264.60538423</v>
      </c>
      <c r="I1239" s="87"/>
      <c r="J1239" s="88"/>
      <c r="K1239" s="87"/>
      <c r="M1239" s="87"/>
    </row>
    <row r="1240" spans="1:20" s="85" customFormat="1">
      <c r="B1240" s="113" t="s">
        <v>1499</v>
      </c>
      <c r="C1240" s="113"/>
      <c r="D1240" s="87"/>
      <c r="E1240" s="87"/>
      <c r="F1240" s="87">
        <v>214677277.27000004</v>
      </c>
      <c r="G1240" s="87">
        <v>212922227.96018448</v>
      </c>
      <c r="I1240" s="87"/>
      <c r="J1240" s="87"/>
      <c r="K1240" s="87"/>
      <c r="M1240" s="87"/>
    </row>
    <row r="1241" spans="1:20" s="85" customFormat="1">
      <c r="B1241" s="113" t="s">
        <v>1500</v>
      </c>
      <c r="C1241" s="113"/>
      <c r="D1241" s="87"/>
      <c r="E1241" s="87"/>
      <c r="F1241" s="87">
        <v>-172404437.31999999</v>
      </c>
      <c r="G1241" s="87">
        <v>-188140160.20956707</v>
      </c>
      <c r="I1241" s="87"/>
      <c r="J1241" s="87"/>
      <c r="K1241" s="87"/>
      <c r="M1241" s="87"/>
    </row>
    <row r="1242" spans="1:20" s="85" customFormat="1">
      <c r="B1242" s="106" t="s">
        <v>1501</v>
      </c>
      <c r="C1242" s="106"/>
      <c r="D1242" s="87"/>
      <c r="E1242" s="87"/>
      <c r="F1242" s="87">
        <v>449432141.38999951</v>
      </c>
      <c r="G1242" s="87">
        <v>446253117.56873661</v>
      </c>
      <c r="I1242" s="87"/>
      <c r="J1242" s="87"/>
      <c r="K1242" s="87"/>
      <c r="M1242" s="87"/>
    </row>
    <row r="1243" spans="1:20" s="85" customFormat="1">
      <c r="B1243" s="106" t="s">
        <v>1502</v>
      </c>
      <c r="C1243" s="106"/>
      <c r="D1243" s="87"/>
      <c r="E1243" s="87"/>
      <c r="F1243" s="87">
        <v>5818078.1099999994</v>
      </c>
      <c r="G1243" s="87">
        <v>5818079.2860303894</v>
      </c>
      <c r="I1243" s="87"/>
      <c r="J1243" s="87"/>
      <c r="K1243" s="87"/>
      <c r="M1243" s="87"/>
    </row>
    <row r="1244" spans="1:20" s="85" customFormat="1">
      <c r="B1244" s="87"/>
      <c r="C1244" s="87"/>
      <c r="D1244" s="87"/>
      <c r="E1244" s="87"/>
      <c r="F1244" s="87"/>
      <c r="G1244" s="87"/>
      <c r="I1244" s="87"/>
      <c r="J1244" s="87"/>
      <c r="K1244" s="87"/>
      <c r="M1244" s="87"/>
    </row>
    <row r="1245" spans="1:20" s="85" customFormat="1">
      <c r="B1245" s="89" t="s">
        <v>570</v>
      </c>
      <c r="C1245" s="89"/>
      <c r="D1245" s="87"/>
      <c r="E1245" s="87"/>
      <c r="F1245" s="88">
        <f>F1246+F1247</f>
        <v>4284494.66</v>
      </c>
      <c r="G1245" s="87"/>
      <c r="I1245" s="87"/>
      <c r="J1245" s="87"/>
      <c r="K1245" s="87"/>
      <c r="M1245" s="87"/>
    </row>
    <row r="1246" spans="1:20" s="85" customFormat="1">
      <c r="B1246" s="107" t="s">
        <v>1499</v>
      </c>
      <c r="C1246" s="107"/>
      <c r="D1246" s="87"/>
      <c r="E1246" s="87"/>
      <c r="F1246" s="87">
        <v>4239964.2</v>
      </c>
      <c r="G1246" s="87"/>
      <c r="I1246" s="87"/>
      <c r="J1246" s="87"/>
      <c r="K1246" s="87"/>
      <c r="M1246" s="87"/>
    </row>
    <row r="1247" spans="1:20" s="85" customFormat="1">
      <c r="B1247" s="105" t="s">
        <v>1501</v>
      </c>
      <c r="C1247" s="105"/>
      <c r="D1247" s="87"/>
      <c r="E1247" s="87"/>
      <c r="F1247" s="87">
        <v>44530.460000000021</v>
      </c>
      <c r="G1247" s="87"/>
      <c r="I1247" s="87"/>
      <c r="J1247" s="87"/>
      <c r="K1247" s="87"/>
      <c r="M1247" s="87"/>
    </row>
    <row r="1248" spans="1:20" s="85" customFormat="1">
      <c r="B1248" s="90" t="s">
        <v>1503</v>
      </c>
      <c r="C1248" s="90"/>
      <c r="D1248" s="87"/>
      <c r="E1248" s="87"/>
      <c r="F1248" s="88">
        <f>F1249+F1250</f>
        <v>15961434.84</v>
      </c>
      <c r="G1248" s="87"/>
      <c r="I1248" s="87"/>
      <c r="J1248" s="87"/>
      <c r="K1248" s="87"/>
      <c r="M1248" s="87"/>
    </row>
    <row r="1249" spans="2:13" s="85" customFormat="1">
      <c r="B1249" s="107" t="s">
        <v>1499</v>
      </c>
      <c r="C1249" s="107"/>
      <c r="D1249" s="87"/>
      <c r="E1249" s="87"/>
      <c r="F1249" s="87">
        <v>13262560.470000001</v>
      </c>
      <c r="G1249" s="87"/>
      <c r="I1249" s="87"/>
      <c r="J1249" s="87"/>
      <c r="K1249" s="87"/>
      <c r="M1249" s="87"/>
    </row>
    <row r="1250" spans="2:13" s="85" customFormat="1">
      <c r="B1250" s="105" t="s">
        <v>1501</v>
      </c>
      <c r="C1250" s="105"/>
      <c r="D1250" s="87"/>
      <c r="E1250" s="87"/>
      <c r="F1250" s="87">
        <v>2698874.37</v>
      </c>
      <c r="G1250" s="87"/>
      <c r="I1250" s="87"/>
      <c r="J1250" s="87"/>
      <c r="K1250" s="87"/>
      <c r="M1250" s="87"/>
    </row>
    <row r="1251" spans="2:13" s="85" customFormat="1" ht="14.45" customHeight="1">
      <c r="B1251" s="90" t="s">
        <v>924</v>
      </c>
      <c r="C1251" s="91"/>
      <c r="D1251" s="87"/>
      <c r="E1251" s="87"/>
      <c r="F1251" s="88">
        <f>F1252+F1253</f>
        <v>97338.77</v>
      </c>
      <c r="G1251" s="87"/>
      <c r="I1251" s="87"/>
      <c r="J1251" s="87"/>
      <c r="K1251" s="87"/>
      <c r="M1251" s="87"/>
    </row>
    <row r="1252" spans="2:13" s="85" customFormat="1">
      <c r="B1252" s="107" t="s">
        <v>1499</v>
      </c>
      <c r="C1252" s="107"/>
      <c r="D1252" s="87"/>
      <c r="E1252" s="87"/>
      <c r="F1252" s="87"/>
      <c r="G1252" s="87"/>
      <c r="I1252" s="87"/>
      <c r="J1252" s="87"/>
      <c r="K1252" s="87"/>
      <c r="M1252" s="87"/>
    </row>
    <row r="1253" spans="2:13" s="85" customFormat="1">
      <c r="B1253" s="105" t="s">
        <v>1501</v>
      </c>
      <c r="C1253" s="105"/>
      <c r="D1253" s="87"/>
      <c r="E1253" s="87"/>
      <c r="F1253" s="87">
        <v>97338.77</v>
      </c>
      <c r="G1253" s="87"/>
      <c r="I1253" s="87"/>
      <c r="J1253" s="87"/>
      <c r="K1253" s="87"/>
      <c r="M1253" s="87"/>
    </row>
    <row r="1254" spans="2:13" s="85" customFormat="1">
      <c r="B1254" s="87"/>
      <c r="C1254" s="87"/>
      <c r="D1254" s="87"/>
      <c r="E1254" s="87"/>
      <c r="F1254" s="87"/>
      <c r="G1254" s="87"/>
      <c r="I1254" s="87"/>
      <c r="J1254" s="87"/>
      <c r="K1254" s="87"/>
      <c r="M1254" s="87"/>
    </row>
    <row r="1255" spans="2:13" s="85" customFormat="1">
      <c r="B1255" s="103" t="s">
        <v>1504</v>
      </c>
      <c r="C1255" s="103"/>
      <c r="D1255" s="87"/>
      <c r="E1255" s="87"/>
      <c r="F1255" s="87">
        <v>56129789.929999992</v>
      </c>
      <c r="G1255" s="87">
        <v>72197489.620617449</v>
      </c>
      <c r="I1255" s="87"/>
      <c r="J1255" s="87"/>
      <c r="K1255" s="87"/>
      <c r="M1255" s="87"/>
    </row>
    <row r="1256" spans="2:13" s="85" customFormat="1">
      <c r="B1256" s="103" t="s">
        <v>1505</v>
      </c>
      <c r="C1256" s="103"/>
      <c r="D1256" s="87"/>
      <c r="E1256" s="87"/>
      <c r="F1256" s="87">
        <v>-621.35</v>
      </c>
      <c r="G1256" s="87">
        <v>-621.35</v>
      </c>
      <c r="I1256" s="87"/>
      <c r="J1256" s="87"/>
      <c r="K1256" s="87"/>
      <c r="M1256" s="87"/>
    </row>
    <row r="1257" spans="2:13" s="85" customFormat="1">
      <c r="B1257" s="103" t="s">
        <v>1506</v>
      </c>
      <c r="C1257" s="103"/>
      <c r="D1257" s="87"/>
      <c r="E1257" s="87"/>
      <c r="F1257" s="87">
        <v>395262779.03000009</v>
      </c>
      <c r="G1257" s="87">
        <v>570701718.62976623</v>
      </c>
      <c r="I1257" s="87"/>
      <c r="J1257" s="87"/>
      <c r="K1257" s="87"/>
      <c r="M1257" s="87"/>
    </row>
    <row r="1258" spans="2:13" s="85" customFormat="1">
      <c r="B1258" s="103" t="s">
        <v>1507</v>
      </c>
      <c r="C1258" s="103"/>
      <c r="D1258" s="87"/>
      <c r="E1258" s="87"/>
      <c r="F1258" s="87">
        <v>16067698.200000001</v>
      </c>
      <c r="G1258" s="87"/>
      <c r="I1258" s="87"/>
      <c r="J1258" s="87"/>
      <c r="K1258" s="87"/>
      <c r="M1258" s="87"/>
    </row>
    <row r="1259" spans="2:13" s="85" customFormat="1">
      <c r="B1259" s="103" t="s">
        <v>1508</v>
      </c>
      <c r="C1259" s="103"/>
      <c r="D1259" s="87"/>
      <c r="E1259" s="87"/>
      <c r="F1259" s="87">
        <v>26469446.350000001</v>
      </c>
      <c r="G1259" s="87"/>
      <c r="I1259" s="87"/>
      <c r="J1259" s="87"/>
      <c r="K1259" s="87"/>
      <c r="M1259" s="87"/>
    </row>
    <row r="1260" spans="2:13" s="85" customFormat="1">
      <c r="B1260" s="87"/>
      <c r="C1260" s="87"/>
      <c r="D1260" s="87"/>
      <c r="E1260" s="87"/>
      <c r="F1260" s="87"/>
      <c r="G1260" s="87"/>
      <c r="I1260" s="87"/>
      <c r="J1260" s="87"/>
      <c r="K1260" s="87"/>
      <c r="M1260" s="87"/>
    </row>
    <row r="1261" spans="2:13" s="85" customFormat="1">
      <c r="B1261" s="87"/>
      <c r="C1261" s="87"/>
      <c r="D1261" s="87"/>
      <c r="E1261" s="87"/>
      <c r="F1261" s="87"/>
      <c r="G1261" s="87"/>
      <c r="I1261" s="87"/>
      <c r="J1261" s="87"/>
      <c r="K1261" s="87"/>
      <c r="M1261" s="87"/>
    </row>
    <row r="1262" spans="2:13" s="85" customFormat="1">
      <c r="B1262" s="102" t="s">
        <v>1509</v>
      </c>
      <c r="C1262" s="102"/>
      <c r="D1262" s="87"/>
      <c r="E1262" s="87"/>
      <c r="F1262" s="87">
        <v>-47426551.5</v>
      </c>
      <c r="G1262" s="87">
        <v>-47414800.520000011</v>
      </c>
      <c r="I1262" s="87"/>
      <c r="J1262" s="87"/>
      <c r="K1262" s="87"/>
      <c r="M1262" s="87"/>
    </row>
    <row r="1263" spans="2:13" s="85" customFormat="1">
      <c r="B1263" s="103" t="s">
        <v>1510</v>
      </c>
      <c r="C1263" s="103"/>
      <c r="D1263" s="87"/>
      <c r="E1263" s="87"/>
      <c r="F1263" s="87">
        <v>-104407750.50000004</v>
      </c>
      <c r="G1263" s="87">
        <v>-118630521.77499928</v>
      </c>
      <c r="I1263" s="87"/>
      <c r="J1263" s="87"/>
      <c r="K1263" s="87"/>
      <c r="M1263" s="87"/>
    </row>
    <row r="1264" spans="2:13" s="85" customFormat="1">
      <c r="B1264" s="87"/>
      <c r="C1264" s="87"/>
      <c r="D1264" s="87"/>
      <c r="E1264" s="87"/>
      <c r="F1264" s="87"/>
      <c r="G1264" s="87"/>
      <c r="I1264" s="87"/>
      <c r="J1264" s="87"/>
      <c r="K1264" s="87"/>
      <c r="M1264" s="87"/>
    </row>
    <row r="1265" spans="1:13" s="85" customFormat="1">
      <c r="B1265" s="103" t="s">
        <v>1511</v>
      </c>
      <c r="C1265" s="103"/>
      <c r="D1265" s="87"/>
      <c r="E1265" s="87"/>
      <c r="F1265" s="87">
        <v>116530989.33000003</v>
      </c>
      <c r="G1265" s="87"/>
      <c r="I1265" s="87"/>
      <c r="J1265" s="87"/>
      <c r="K1265" s="87"/>
      <c r="M1265" s="87"/>
    </row>
    <row r="1266" spans="1:13" s="85" customFormat="1">
      <c r="B1266" s="103" t="s">
        <v>1512</v>
      </c>
      <c r="C1266" s="102"/>
      <c r="D1266" s="87"/>
      <c r="E1266" s="87"/>
      <c r="F1266" s="87">
        <f>F1245</f>
        <v>4284494.66</v>
      </c>
      <c r="G1266" s="87"/>
      <c r="I1266" s="87"/>
      <c r="J1266" s="87"/>
      <c r="K1266" s="87"/>
      <c r="M1266" s="87"/>
    </row>
    <row r="1267" spans="1:13" s="85" customFormat="1">
      <c r="B1267" s="103" t="s">
        <v>1513</v>
      </c>
      <c r="C1267" s="102"/>
      <c r="D1267" s="87"/>
      <c r="E1267" s="87"/>
      <c r="F1267" s="87">
        <v>18523016.539999999</v>
      </c>
      <c r="G1267" s="87"/>
      <c r="I1267" s="87"/>
      <c r="J1267" s="87"/>
      <c r="K1267" s="87"/>
      <c r="M1267" s="87"/>
    </row>
    <row r="1268" spans="1:13" s="85" customFormat="1">
      <c r="B1268" s="103" t="s">
        <v>1514</v>
      </c>
      <c r="C1268" s="103"/>
      <c r="D1268" s="87"/>
      <c r="E1268" s="87"/>
      <c r="F1268" s="87">
        <f>F1248</f>
        <v>15961434.84</v>
      </c>
      <c r="G1268" s="87"/>
      <c r="I1268" s="87"/>
      <c r="J1268" s="87"/>
      <c r="K1268" s="87"/>
      <c r="M1268" s="87"/>
    </row>
    <row r="1269" spans="1:13" s="85" customFormat="1">
      <c r="B1269" s="102" t="s">
        <v>1515</v>
      </c>
      <c r="C1269" s="102"/>
      <c r="D1269" s="87"/>
      <c r="E1269" s="87"/>
      <c r="F1269" s="87">
        <v>128333.92</v>
      </c>
      <c r="G1269" s="87"/>
      <c r="I1269" s="87"/>
      <c r="J1269" s="87"/>
      <c r="K1269" s="87"/>
      <c r="M1269" s="87"/>
    </row>
    <row r="1270" spans="1:13" s="85" customFormat="1">
      <c r="A1270" s="87"/>
      <c r="B1270" s="103" t="s">
        <v>1516</v>
      </c>
      <c r="C1270" s="103"/>
      <c r="D1270" s="87"/>
      <c r="E1270" s="87"/>
      <c r="F1270" s="87">
        <f>F1251</f>
        <v>97338.77</v>
      </c>
      <c r="G1270" s="87"/>
      <c r="I1270" s="87"/>
      <c r="J1270" s="87"/>
      <c r="K1270" s="87"/>
      <c r="M1270" s="87"/>
    </row>
    <row r="1271" spans="1:13" s="85" customFormat="1">
      <c r="G1271" s="87"/>
      <c r="I1271" s="87"/>
      <c r="J1271" s="87"/>
      <c r="K1271" s="87"/>
      <c r="M1271" s="87"/>
    </row>
    <row r="1272" spans="1:13" s="85" customFormat="1">
      <c r="B1272" s="101" t="s">
        <v>12</v>
      </c>
      <c r="C1272" s="101"/>
      <c r="F1272" s="87">
        <f>SUM(F1273:F1274)</f>
        <v>8131897.6800000016</v>
      </c>
      <c r="G1272" s="87">
        <f>SUM(G1273:G1274)</f>
        <v>3875192.4557188922</v>
      </c>
      <c r="I1272" s="87"/>
      <c r="J1272" s="87"/>
      <c r="K1272" s="87"/>
      <c r="M1272" s="87"/>
    </row>
    <row r="1273" spans="1:13" s="85" customFormat="1">
      <c r="B1273" s="98" t="s">
        <v>1517</v>
      </c>
      <c r="C1273" s="98"/>
      <c r="D1273" s="92"/>
      <c r="E1273" s="92"/>
      <c r="F1273" s="93">
        <v>8361087.2400000021</v>
      </c>
      <c r="G1273" s="93">
        <v>5155716.9813776426</v>
      </c>
      <c r="I1273" s="87"/>
      <c r="J1273" s="87"/>
      <c r="K1273" s="87"/>
      <c r="M1273" s="87"/>
    </row>
    <row r="1274" spans="1:13" s="85" customFormat="1">
      <c r="B1274" s="98" t="s">
        <v>1518</v>
      </c>
      <c r="C1274" s="98"/>
      <c r="D1274" s="92"/>
      <c r="E1274" s="92"/>
      <c r="F1274" s="93">
        <v>-229189.56000000006</v>
      </c>
      <c r="G1274" s="93">
        <v>-1280524.5256587504</v>
      </c>
      <c r="I1274" s="87"/>
      <c r="J1274" s="87"/>
      <c r="K1274" s="87"/>
      <c r="M1274" s="87"/>
    </row>
    <row r="1275" spans="1:13" s="85" customFormat="1">
      <c r="B1275" s="104" t="s">
        <v>1519</v>
      </c>
      <c r="C1275" s="101"/>
      <c r="F1275" s="87">
        <f>SUM(F1276:F1277)</f>
        <v>843676.70000000065</v>
      </c>
      <c r="G1275" s="87">
        <f>SUM(G1276:G1277)</f>
        <v>2590979.7346418239</v>
      </c>
      <c r="I1275" s="87"/>
      <c r="J1275" s="87"/>
      <c r="K1275" s="87"/>
      <c r="M1275" s="87"/>
    </row>
    <row r="1276" spans="1:13" s="85" customFormat="1">
      <c r="B1276" s="98" t="s">
        <v>1517</v>
      </c>
      <c r="C1276" s="98"/>
      <c r="F1276" s="94">
        <v>843676.70000000065</v>
      </c>
      <c r="G1276" s="94">
        <v>2590979.7346418239</v>
      </c>
      <c r="I1276" s="87"/>
      <c r="J1276" s="87"/>
      <c r="K1276" s="87"/>
      <c r="M1276" s="87"/>
    </row>
    <row r="1277" spans="1:13" s="85" customFormat="1">
      <c r="B1277" s="98" t="s">
        <v>1518</v>
      </c>
      <c r="C1277" s="98"/>
      <c r="F1277" s="95"/>
      <c r="G1277" s="95"/>
      <c r="I1277" s="87"/>
      <c r="J1277" s="87"/>
      <c r="K1277" s="87"/>
      <c r="M1277" s="87"/>
    </row>
    <row r="1278" spans="1:13" s="85" customFormat="1">
      <c r="B1278" s="101" t="s">
        <v>14</v>
      </c>
      <c r="C1278" s="101"/>
      <c r="F1278" s="87">
        <f>SUM(F1279:F1280)</f>
        <v>-1670731.3800000001</v>
      </c>
      <c r="G1278" s="87">
        <f>SUM(G1279:G1280)</f>
        <v>-2411038.7165972479</v>
      </c>
      <c r="I1278" s="87"/>
      <c r="J1278" s="87"/>
      <c r="K1278" s="87"/>
      <c r="M1278" s="87"/>
    </row>
    <row r="1279" spans="1:13" s="85" customFormat="1">
      <c r="B1279" s="98" t="s">
        <v>1517</v>
      </c>
      <c r="C1279" s="98"/>
      <c r="F1279" s="93">
        <v>-694602.85</v>
      </c>
      <c r="G1279" s="93">
        <v>1220128.1599999999</v>
      </c>
      <c r="I1279" s="87"/>
      <c r="J1279" s="87"/>
      <c r="K1279" s="87"/>
      <c r="M1279" s="87"/>
    </row>
    <row r="1280" spans="1:13" s="85" customFormat="1">
      <c r="B1280" s="98" t="s">
        <v>1518</v>
      </c>
      <c r="C1280" s="98"/>
      <c r="F1280" s="93">
        <v>-976128.53000000014</v>
      </c>
      <c r="G1280" s="93">
        <v>-3631166.8765972476</v>
      </c>
      <c r="I1280" s="87"/>
      <c r="J1280" s="87"/>
      <c r="K1280" s="87"/>
      <c r="M1280" s="87"/>
    </row>
    <row r="1281" spans="2:13" s="85" customFormat="1">
      <c r="B1281" s="101" t="s">
        <v>1520</v>
      </c>
      <c r="C1281" s="101"/>
      <c r="F1281" s="87">
        <f>SUM(F1282:F1283)</f>
        <v>10962305.460000016</v>
      </c>
      <c r="G1281" s="87">
        <f>SUM(G1282:G1283)</f>
        <v>15846054.82078667</v>
      </c>
      <c r="I1281" s="87"/>
      <c r="J1281" s="87"/>
      <c r="K1281" s="87"/>
      <c r="M1281" s="87"/>
    </row>
    <row r="1282" spans="2:13" s="85" customFormat="1">
      <c r="B1282" s="98" t="s">
        <v>1517</v>
      </c>
      <c r="C1282" s="98"/>
      <c r="F1282" s="93">
        <v>55811164.130000003</v>
      </c>
      <c r="G1282" s="93">
        <v>71802289.630786672</v>
      </c>
      <c r="I1282" s="87"/>
      <c r="J1282" s="87"/>
      <c r="K1282" s="87"/>
      <c r="M1282" s="87"/>
    </row>
    <row r="1283" spans="2:13" s="85" customFormat="1">
      <c r="B1283" s="98" t="s">
        <v>1518</v>
      </c>
      <c r="C1283" s="98"/>
      <c r="F1283" s="93">
        <v>-44848858.669999987</v>
      </c>
      <c r="G1283" s="93">
        <v>-55956234.810000002</v>
      </c>
      <c r="I1283" s="87"/>
      <c r="J1283" s="87"/>
      <c r="K1283" s="87"/>
      <c r="M1283" s="87"/>
    </row>
    <row r="1284" spans="2:13" s="85" customFormat="1">
      <c r="G1284" s="87"/>
      <c r="I1284" s="87"/>
      <c r="J1284" s="87"/>
      <c r="K1284" s="87"/>
      <c r="M1284" s="87"/>
    </row>
    <row r="1285" spans="2:13" s="85" customFormat="1">
      <c r="B1285" s="90" t="s">
        <v>1521</v>
      </c>
      <c r="G1285" s="87"/>
      <c r="I1285" s="87"/>
      <c r="J1285" s="87"/>
      <c r="K1285" s="87"/>
      <c r="M1285" s="87"/>
    </row>
    <row r="1286" spans="2:13" s="85" customFormat="1" ht="30" customHeight="1">
      <c r="B1286" s="99" t="s">
        <v>1522</v>
      </c>
      <c r="C1286" s="100"/>
      <c r="D1286" s="100"/>
      <c r="E1286" s="96"/>
      <c r="F1286" s="97">
        <f>G44</f>
        <v>-342371.99</v>
      </c>
      <c r="G1286" s="87"/>
      <c r="I1286" s="87"/>
      <c r="J1286" s="87"/>
      <c r="K1286" s="87"/>
      <c r="M1286" s="87"/>
    </row>
    <row r="1287" spans="2:13" s="85" customFormat="1" ht="43.7" customHeight="1">
      <c r="B1287" s="99" t="s">
        <v>1523</v>
      </c>
      <c r="C1287" s="100"/>
      <c r="D1287" s="100"/>
      <c r="E1287" s="96"/>
      <c r="F1287" s="97">
        <f>-H261</f>
        <v>11795.979999998601</v>
      </c>
      <c r="G1287" s="87"/>
      <c r="I1287" s="87"/>
      <c r="J1287" s="87"/>
      <c r="K1287" s="87"/>
      <c r="M1287" s="87"/>
    </row>
    <row r="1288" spans="2:13" s="85" customFormat="1">
      <c r="G1288" s="87"/>
      <c r="I1288" s="87"/>
      <c r="J1288" s="87"/>
      <c r="K1288" s="87"/>
      <c r="M1288" s="87"/>
    </row>
    <row r="1289" spans="2:13" s="85" customFormat="1">
      <c r="G1289" s="87"/>
      <c r="I1289" s="87"/>
      <c r="J1289" s="87"/>
      <c r="K1289" s="87"/>
      <c r="M1289" s="87"/>
    </row>
    <row r="1290" spans="2:13" s="85" customFormat="1">
      <c r="G1290" s="87"/>
      <c r="I1290" s="87"/>
      <c r="J1290" s="87"/>
      <c r="K1290" s="87"/>
      <c r="M1290" s="87"/>
    </row>
    <row r="1291" spans="2:13">
      <c r="G1291" s="2"/>
      <c r="J1291" s="2"/>
    </row>
  </sheetData>
  <autoFilter ref="A3:Y1236" xr:uid="{00000000-0009-0000-0000-000000000000}"/>
  <mergeCells count="295">
    <mergeCell ref="A4:B4"/>
    <mergeCell ref="H4:I4"/>
    <mergeCell ref="I6:I7"/>
    <mergeCell ref="I9:I12"/>
    <mergeCell ref="I13:I17"/>
    <mergeCell ref="I18:I20"/>
    <mergeCell ref="I54:I59"/>
    <mergeCell ref="I60:I61"/>
    <mergeCell ref="I62:I64"/>
    <mergeCell ref="I65:I71"/>
    <mergeCell ref="I72:I74"/>
    <mergeCell ref="I75:I76"/>
    <mergeCell ref="I21:I23"/>
    <mergeCell ref="I24:I26"/>
    <mergeCell ref="I27:I30"/>
    <mergeCell ref="I32:I36"/>
    <mergeCell ref="I40:I50"/>
    <mergeCell ref="I51:I53"/>
    <mergeCell ref="I109:I110"/>
    <mergeCell ref="I111:I114"/>
    <mergeCell ref="I115:I117"/>
    <mergeCell ref="J115:J117"/>
    <mergeCell ref="I118:I119"/>
    <mergeCell ref="I120:I123"/>
    <mergeCell ref="J120:J123"/>
    <mergeCell ref="I78:I82"/>
    <mergeCell ref="I83:I84"/>
    <mergeCell ref="I85:I89"/>
    <mergeCell ref="I90:I103"/>
    <mergeCell ref="J90:J103"/>
    <mergeCell ref="I104:I108"/>
    <mergeCell ref="J104:J108"/>
    <mergeCell ref="I139:I140"/>
    <mergeCell ref="I141:I144"/>
    <mergeCell ref="I145:I154"/>
    <mergeCell ref="I155:I156"/>
    <mergeCell ref="I157:I159"/>
    <mergeCell ref="I160:I162"/>
    <mergeCell ref="I124:I125"/>
    <mergeCell ref="I127:I128"/>
    <mergeCell ref="I129:I130"/>
    <mergeCell ref="I131:I133"/>
    <mergeCell ref="I134:I135"/>
    <mergeCell ref="I136:I137"/>
    <mergeCell ref="I175:I176"/>
    <mergeCell ref="I177:I178"/>
    <mergeCell ref="J177:J178"/>
    <mergeCell ref="I179:I192"/>
    <mergeCell ref="I194:I200"/>
    <mergeCell ref="I201:I202"/>
    <mergeCell ref="I165:I166"/>
    <mergeCell ref="I167:I168"/>
    <mergeCell ref="I169:I170"/>
    <mergeCell ref="I171:I172"/>
    <mergeCell ref="I173:I174"/>
    <mergeCell ref="J173:J174"/>
    <mergeCell ref="I236:I237"/>
    <mergeCell ref="I240:I241"/>
    <mergeCell ref="I243:I245"/>
    <mergeCell ref="I247:I251"/>
    <mergeCell ref="I252:I258"/>
    <mergeCell ref="I261:I262"/>
    <mergeCell ref="I203:I207"/>
    <mergeCell ref="I208:I212"/>
    <mergeCell ref="I213:I215"/>
    <mergeCell ref="I216:I219"/>
    <mergeCell ref="I220:I224"/>
    <mergeCell ref="I225:I234"/>
    <mergeCell ref="I283:I284"/>
    <mergeCell ref="I285:I287"/>
    <mergeCell ref="J285:J287"/>
    <mergeCell ref="I289:I292"/>
    <mergeCell ref="I293:I294"/>
    <mergeCell ref="I295:I297"/>
    <mergeCell ref="I264:I266"/>
    <mergeCell ref="I267:I277"/>
    <mergeCell ref="J267:J277"/>
    <mergeCell ref="I278:I279"/>
    <mergeCell ref="I280:I282"/>
    <mergeCell ref="J280:J282"/>
    <mergeCell ref="I334:I335"/>
    <mergeCell ref="J334:J335"/>
    <mergeCell ref="I336:I338"/>
    <mergeCell ref="J336:J338"/>
    <mergeCell ref="I339:I362"/>
    <mergeCell ref="I364:I365"/>
    <mergeCell ref="I298:I301"/>
    <mergeCell ref="I302:I308"/>
    <mergeCell ref="I309:I313"/>
    <mergeCell ref="I315:I316"/>
    <mergeCell ref="I317:I328"/>
    <mergeCell ref="I329:I332"/>
    <mergeCell ref="I394:I396"/>
    <mergeCell ref="I397:I398"/>
    <mergeCell ref="I399:I407"/>
    <mergeCell ref="I408:I414"/>
    <mergeCell ref="I415:I416"/>
    <mergeCell ref="I417:I418"/>
    <mergeCell ref="I366:I367"/>
    <mergeCell ref="I368:I372"/>
    <mergeCell ref="I373:I378"/>
    <mergeCell ref="I380:I381"/>
    <mergeCell ref="I383:I387"/>
    <mergeCell ref="I388:I390"/>
    <mergeCell ref="I440:I441"/>
    <mergeCell ref="I444:I456"/>
    <mergeCell ref="I459:I461"/>
    <mergeCell ref="I462:I463"/>
    <mergeCell ref="I464:I466"/>
    <mergeCell ref="I467:I471"/>
    <mergeCell ref="I419:I420"/>
    <mergeCell ref="I422:I423"/>
    <mergeCell ref="I424:I427"/>
    <mergeCell ref="I428:I431"/>
    <mergeCell ref="I432:I437"/>
    <mergeCell ref="I438:I439"/>
    <mergeCell ref="I489:I490"/>
    <mergeCell ref="I492:I493"/>
    <mergeCell ref="I494:I495"/>
    <mergeCell ref="I496:I497"/>
    <mergeCell ref="I498:I506"/>
    <mergeCell ref="I507:I508"/>
    <mergeCell ref="I472:I473"/>
    <mergeCell ref="I474:I477"/>
    <mergeCell ref="I478:I479"/>
    <mergeCell ref="I480:I481"/>
    <mergeCell ref="I483:I485"/>
    <mergeCell ref="I486:I487"/>
    <mergeCell ref="I537:I540"/>
    <mergeCell ref="I543:I549"/>
    <mergeCell ref="J543:J549"/>
    <mergeCell ref="I550:I551"/>
    <mergeCell ref="I552:I556"/>
    <mergeCell ref="I561:I571"/>
    <mergeCell ref="I509:I510"/>
    <mergeCell ref="I511:I514"/>
    <mergeCell ref="I515:I516"/>
    <mergeCell ref="I517:I520"/>
    <mergeCell ref="I521:I526"/>
    <mergeCell ref="I527:I536"/>
    <mergeCell ref="I613:I615"/>
    <mergeCell ref="I616:I624"/>
    <mergeCell ref="I625:I634"/>
    <mergeCell ref="I635:I637"/>
    <mergeCell ref="I639:I651"/>
    <mergeCell ref="I652:I656"/>
    <mergeCell ref="I572:I580"/>
    <mergeCell ref="I581:I586"/>
    <mergeCell ref="I587:I591"/>
    <mergeCell ref="I592:I600"/>
    <mergeCell ref="I601:I608"/>
    <mergeCell ref="I609:I611"/>
    <mergeCell ref="I702:I708"/>
    <mergeCell ref="I709:I715"/>
    <mergeCell ref="I716:I717"/>
    <mergeCell ref="I718:I720"/>
    <mergeCell ref="J718:J720"/>
    <mergeCell ref="I722:I725"/>
    <mergeCell ref="J722:J725"/>
    <mergeCell ref="J652:J656"/>
    <mergeCell ref="I658:I663"/>
    <mergeCell ref="I664:I681"/>
    <mergeCell ref="I682:I692"/>
    <mergeCell ref="I694:I697"/>
    <mergeCell ref="I698:I701"/>
    <mergeCell ref="I748:I757"/>
    <mergeCell ref="I759:I762"/>
    <mergeCell ref="I764:I770"/>
    <mergeCell ref="I773:I774"/>
    <mergeCell ref="I778:I782"/>
    <mergeCell ref="I783:I788"/>
    <mergeCell ref="I727:I731"/>
    <mergeCell ref="J727:J731"/>
    <mergeCell ref="I733:I734"/>
    <mergeCell ref="I735:I741"/>
    <mergeCell ref="I742:I744"/>
    <mergeCell ref="I745:I747"/>
    <mergeCell ref="I811:I814"/>
    <mergeCell ref="I815:I816"/>
    <mergeCell ref="I818:I821"/>
    <mergeCell ref="I822:I824"/>
    <mergeCell ref="I826:I827"/>
    <mergeCell ref="I830:I831"/>
    <mergeCell ref="I789:I790"/>
    <mergeCell ref="I792:I795"/>
    <mergeCell ref="I796:I797"/>
    <mergeCell ref="I798:I800"/>
    <mergeCell ref="I801:I804"/>
    <mergeCell ref="I805:I810"/>
    <mergeCell ref="I859:I862"/>
    <mergeCell ref="I863:I865"/>
    <mergeCell ref="I867:I868"/>
    <mergeCell ref="I870:I871"/>
    <mergeCell ref="I872:I873"/>
    <mergeCell ref="I878:I882"/>
    <mergeCell ref="J830:J831"/>
    <mergeCell ref="I832:I839"/>
    <mergeCell ref="I840:I843"/>
    <mergeCell ref="I844:I847"/>
    <mergeCell ref="I854:I856"/>
    <mergeCell ref="J854:J856"/>
    <mergeCell ref="I968:I986"/>
    <mergeCell ref="J968:J986"/>
    <mergeCell ref="I987:I989"/>
    <mergeCell ref="J987:J989"/>
    <mergeCell ref="I990:I1015"/>
    <mergeCell ref="J990:J1015"/>
    <mergeCell ref="J878:J882"/>
    <mergeCell ref="I885:I945"/>
    <mergeCell ref="J885:J945"/>
    <mergeCell ref="I947:I952"/>
    <mergeCell ref="I953:I958"/>
    <mergeCell ref="I963:I965"/>
    <mergeCell ref="I1030:I1048"/>
    <mergeCell ref="J1030:J1048"/>
    <mergeCell ref="I1050:I1053"/>
    <mergeCell ref="J1050:J1053"/>
    <mergeCell ref="I1054:I1055"/>
    <mergeCell ref="J1054:J1055"/>
    <mergeCell ref="I1016:I1019"/>
    <mergeCell ref="J1016:J1019"/>
    <mergeCell ref="I1020:I1021"/>
    <mergeCell ref="J1020:J1021"/>
    <mergeCell ref="I1022:I1029"/>
    <mergeCell ref="J1022:J1029"/>
    <mergeCell ref="I1066:I1069"/>
    <mergeCell ref="J1066:J1069"/>
    <mergeCell ref="I1071:I1076"/>
    <mergeCell ref="J1071:J1076"/>
    <mergeCell ref="I1078:I1079"/>
    <mergeCell ref="J1078:J1079"/>
    <mergeCell ref="I1056:I1058"/>
    <mergeCell ref="J1056:J1058"/>
    <mergeCell ref="I1059:I1060"/>
    <mergeCell ref="J1059:J1060"/>
    <mergeCell ref="I1062:I1063"/>
    <mergeCell ref="J1062:J1063"/>
    <mergeCell ref="I1091:I1114"/>
    <mergeCell ref="J1091:J1114"/>
    <mergeCell ref="I1117:I1119"/>
    <mergeCell ref="I1120:I1133"/>
    <mergeCell ref="I1134:I1143"/>
    <mergeCell ref="I1144:I1159"/>
    <mergeCell ref="I1080:I1082"/>
    <mergeCell ref="J1080:J1082"/>
    <mergeCell ref="I1084:I1085"/>
    <mergeCell ref="J1084:J1085"/>
    <mergeCell ref="I1086:I1088"/>
    <mergeCell ref="J1086:J1088"/>
    <mergeCell ref="I1233:I1234"/>
    <mergeCell ref="J1233:J1234"/>
    <mergeCell ref="H1236:I1236"/>
    <mergeCell ref="B1240:C1240"/>
    <mergeCell ref="B1241:C1241"/>
    <mergeCell ref="B1242:C1242"/>
    <mergeCell ref="I1160:I1161"/>
    <mergeCell ref="I1162:I1165"/>
    <mergeCell ref="I1166:I1167"/>
    <mergeCell ref="I1168:I1173"/>
    <mergeCell ref="I1174:I1178"/>
    <mergeCell ref="I1179:I1232"/>
    <mergeCell ref="B1253:C1253"/>
    <mergeCell ref="B1255:C1255"/>
    <mergeCell ref="B1256:C1256"/>
    <mergeCell ref="B1257:C1257"/>
    <mergeCell ref="B1258:C1258"/>
    <mergeCell ref="B1259:C1259"/>
    <mergeCell ref="B1243:C1243"/>
    <mergeCell ref="B1246:C1246"/>
    <mergeCell ref="B1247:C1247"/>
    <mergeCell ref="B1249:C1249"/>
    <mergeCell ref="B1250:C1250"/>
    <mergeCell ref="B1252:C1252"/>
    <mergeCell ref="B1269:C1269"/>
    <mergeCell ref="B1270:C1270"/>
    <mergeCell ref="B1272:C1272"/>
    <mergeCell ref="B1273:C1273"/>
    <mergeCell ref="B1274:C1274"/>
    <mergeCell ref="B1275:C1275"/>
    <mergeCell ref="B1262:C1262"/>
    <mergeCell ref="B1263:C1263"/>
    <mergeCell ref="B1265:C1265"/>
    <mergeCell ref="B1266:C1266"/>
    <mergeCell ref="B1267:C1267"/>
    <mergeCell ref="B1268:C1268"/>
    <mergeCell ref="B1282:C1282"/>
    <mergeCell ref="B1283:C1283"/>
    <mergeCell ref="B1286:D1286"/>
    <mergeCell ref="B1287:D1287"/>
    <mergeCell ref="B1276:C1276"/>
    <mergeCell ref="B1277:C1277"/>
    <mergeCell ref="B1278:C1278"/>
    <mergeCell ref="B1279:C1279"/>
    <mergeCell ref="B1280:C1280"/>
    <mergeCell ref="B1281:C1281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307D328052CE49BABEAF1D5BD19CE8" ma:contentTypeVersion="6" ma:contentTypeDescription="Create a new document." ma:contentTypeScope="" ma:versionID="0088892965f56b4e91aeb85f1e8c6f93">
  <xsd:schema xmlns:xsd="http://www.w3.org/2001/XMLSchema" xmlns:xs="http://www.w3.org/2001/XMLSchema" xmlns:p="http://schemas.microsoft.com/office/2006/metadata/properties" xmlns:ns1="http://schemas.microsoft.com/sharepoint/v3" xmlns:ns2="691f81de-e01a-4b25-b573-c3f90f157691" targetNamespace="http://schemas.microsoft.com/office/2006/metadata/properties" ma:root="true" ma:fieldsID="cb7e39701b988b069fb9a1eea1a8b176" ns1:_="" ns2:_="">
    <xsd:import namespace="http://schemas.microsoft.com/sharepoint/v3"/>
    <xsd:import namespace="691f81de-e01a-4b25-b573-c3f90f157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f81de-e01a-4b25-b573-c3f90f157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E9BD07-65A1-4669-904C-001FAE75DF14}"/>
</file>

<file path=customXml/itemProps2.xml><?xml version="1.0" encoding="utf-8"?>
<ds:datastoreItem xmlns:ds="http://schemas.openxmlformats.org/officeDocument/2006/customXml" ds:itemID="{2097778D-8613-4B0B-992F-7A820BF1566C}"/>
</file>

<file path=customXml/itemProps3.xml><?xml version="1.0" encoding="utf-8"?>
<ds:datastoreItem xmlns:ds="http://schemas.openxmlformats.org/officeDocument/2006/customXml" ds:itemID="{7F5CE0AE-8AAD-4318-A832-861E34F5AD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Banco Santander Portugal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Clara de Oliveira Azevedo</dc:creator>
  <cp:keywords/>
  <dc:description/>
  <cp:lastModifiedBy>Susana Oliveira Bernardo Marçal Antunes</cp:lastModifiedBy>
  <cp:revision/>
  <dcterms:created xsi:type="dcterms:W3CDTF">2025-03-07T11:14:42Z</dcterms:created>
  <dcterms:modified xsi:type="dcterms:W3CDTF">2025-11-07T16:51:14Z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0c2abd79-57a9-4473-8700-c843f76a1e37_Enabled">
    <vt:lpwstr>true</vt:lpwstr>
  </property>
  <property fmtid="{D5CDD505-2E9C-101B-9397-08002B2CF9AE}" pid="5" name="MSIP_Label_0c2abd79-57a9-4473-8700-c843f76a1e37_SetDate">
    <vt:lpwstr>2025-03-07T17:07:59Z</vt:lpwstr>
  </property>
  <property fmtid="{D5CDD505-2E9C-101B-9397-08002B2CF9AE}" pid="6" name="MSIP_Label_0c2abd79-57a9-4473-8700-c843f76a1e37_Method">
    <vt:lpwstr>Privileged</vt:lpwstr>
  </property>
  <property fmtid="{D5CDD505-2E9C-101B-9397-08002B2CF9AE}" pid="7" name="MSIP_Label_0c2abd79-57a9-4473-8700-c843f76a1e37_Name">
    <vt:lpwstr>Internal</vt:lpwstr>
  </property>
  <property fmtid="{D5CDD505-2E9C-101B-9397-08002B2CF9AE}" pid="8" name="MSIP_Label_0c2abd79-57a9-4473-8700-c843f76a1e37_SiteId">
    <vt:lpwstr>35595a02-4d6d-44ac-99e1-f9ab4cd872db</vt:lpwstr>
  </property>
  <property fmtid="{D5CDD505-2E9C-101B-9397-08002B2CF9AE}" pid="9" name="MSIP_Label_0c2abd79-57a9-4473-8700-c843f76a1e37_ActionId">
    <vt:lpwstr>69d4293d-10a9-4e1e-912d-5a821d141679</vt:lpwstr>
  </property>
  <property fmtid="{D5CDD505-2E9C-101B-9397-08002B2CF9AE}" pid="10" name="MSIP_Label_0c2abd79-57a9-4473-8700-c843f76a1e37_ContentBits">
    <vt:lpwstr>0</vt:lpwstr>
  </property>
  <property fmtid="{D5CDD505-2E9C-101B-9397-08002B2CF9AE}" pid="11" name="ContentTypeId">
    <vt:lpwstr>0x01010033307D328052CE49BABEAF1D5BD19CE8</vt:lpwstr>
  </property>
</Properties>
</file>