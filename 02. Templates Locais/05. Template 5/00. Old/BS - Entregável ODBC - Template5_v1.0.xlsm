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28\Santander Office 365\BS Implementação Templates Locais - Geral\03. Templates\05. Template 5\04. Entregáveis\"/>
    </mc:Choice>
  </mc:AlternateContent>
  <bookViews>
    <workbookView xWindow="-108" yWindow="-108" windowWidth="23256" windowHeight="10896"/>
  </bookViews>
  <sheets>
    <sheet name="Instruções" sheetId="33" r:id="rId1"/>
    <sheet name="Menu" sheetId="29" r:id="rId2"/>
    <sheet name="Input" sheetId="27" r:id="rId3"/>
    <sheet name="5.CC Physical risk" sheetId="32" r:id="rId4"/>
  </sheets>
  <externalReferences>
    <externalReference r:id="rId5"/>
  </externalReferences>
  <definedNames>
    <definedName name="_xlnm._FilterDatabase" localSheetId="3" hidden="1">'5.CC Physical risk'!$A$4:$Q$25</definedName>
    <definedName name="_xlnm._FilterDatabase" localSheetId="2" hidden="1">Input!$C$6:$M$6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32" l="1"/>
  <c r="B34" i="32"/>
  <c r="B33" i="32"/>
  <c r="B32" i="32"/>
  <c r="B31" i="32"/>
  <c r="B30" i="32"/>
  <c r="B29" i="32"/>
  <c r="B28" i="32"/>
  <c r="B27" i="32"/>
  <c r="B26" i="32"/>
  <c r="Q23" i="32"/>
  <c r="P23" i="32"/>
  <c r="O23" i="32"/>
  <c r="N23" i="32"/>
  <c r="M23" i="32"/>
  <c r="L23" i="32"/>
  <c r="K23" i="32"/>
  <c r="J23" i="32"/>
  <c r="I23" i="32"/>
  <c r="G23" i="32"/>
  <c r="F23" i="32"/>
  <c r="E23" i="32"/>
  <c r="D23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H23" i="32" l="1"/>
  <c r="F10" i="29" l="1"/>
</calcChain>
</file>

<file path=xl/sharedStrings.xml><?xml version="1.0" encoding="utf-8"?>
<sst xmlns="http://schemas.openxmlformats.org/spreadsheetml/2006/main" count="37741" uniqueCount="129">
  <si>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</si>
  <si>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</si>
  <si>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</si>
  <si>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</si>
  <si>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</si>
  <si>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</si>
  <si>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</si>
  <si>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</si>
  <si>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</si>
  <si>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</si>
  <si>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</si>
  <si>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</si>
  <si>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</t>
  </si>
  <si>
    <t>B</t>
  </si>
  <si>
    <t>C</t>
  </si>
  <si>
    <t>D</t>
  </si>
  <si>
    <t>E</t>
  </si>
  <si>
    <t>F</t>
  </si>
  <si>
    <t>G</t>
  </si>
  <si>
    <t>m</t>
  </si>
  <si>
    <t>n</t>
  </si>
  <si>
    <t>tipo_colateral</t>
  </si>
  <si>
    <t>amount</t>
  </si>
  <si>
    <t>Stock</t>
  </si>
  <si>
    <t>Garantia Residencial</t>
  </si>
  <si>
    <t>Garantia Comercial</t>
  </si>
  <si>
    <t>Sem Garantia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</si>
  <si>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</si>
  <si>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</si>
  <si>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</si>
  <si>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</si>
  <si>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</si>
  <si>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</si>
  <si>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</si>
  <si>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</si>
  <si>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</si>
  <si>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</si>
  <si>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</si>
  <si>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</si>
  <si>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</si>
  <si>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</si>
  <si>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</si>
  <si>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</si>
  <si>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</si>
  <si>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</si>
  <si>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</si>
  <si>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</si>
  <si>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</si>
  <si>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</si>
  <si>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</si>
  <si>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</si>
  <si>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</si>
  <si>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</si>
  <si>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</si>
  <si>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</si>
  <si>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</si>
  <si>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</si>
  <si>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acute_changes</t>
  </si>
  <si>
    <t>chronic_changes</t>
  </si>
  <si>
    <t>flag_physical_risk</t>
  </si>
  <si>
    <t>aveg_aux</t>
  </si>
  <si>
    <t>stage 1</t>
  </si>
  <si>
    <t>particulares</t>
  </si>
  <si>
    <t>imparidade</t>
  </si>
  <si>
    <t>N</t>
  </si>
  <si>
    <t>ACUT1</t>
  </si>
  <si>
    <t>CHRO2</t>
  </si>
  <si>
    <t>outras empresas nao financeiras</t>
  </si>
  <si>
    <t>valor bruto</t>
  </si>
  <si>
    <t>ACUT2</t>
  </si>
  <si>
    <t>stage 2</t>
  </si>
  <si>
    <t>stage 3</t>
  </si>
  <si>
    <t>Garantia Real</t>
  </si>
  <si>
    <t>CHRO1</t>
  </si>
  <si>
    <t>M</t>
  </si>
  <si>
    <t>L</t>
  </si>
  <si>
    <t>I</t>
  </si>
  <si>
    <t>J</t>
  </si>
  <si>
    <t>P</t>
  </si>
  <si>
    <t>Q</t>
  </si>
  <si>
    <t>S</t>
  </si>
  <si>
    <t>K</t>
  </si>
  <si>
    <t>H</t>
  </si>
  <si>
    <t>R</t>
  </si>
  <si>
    <t>outras instituicoes financeiras</t>
  </si>
  <si>
    <t>instituicoes de credito</t>
  </si>
  <si>
    <t>O</t>
  </si>
  <si>
    <t>U</t>
  </si>
  <si>
    <t>setor publico</t>
  </si>
  <si>
    <t>T</t>
  </si>
  <si>
    <t>Template 5: Banking book - Climate change physical risk: Exposures subject to physical risk</t>
  </si>
  <si>
    <t xml:space="preserve">o </t>
  </si>
  <si>
    <t>Variable: Geographical area subject to climate change physical risk - acute and chronic events</t>
  </si>
  <si>
    <t>Gross carrying amount (Mln EUR)</t>
  </si>
  <si>
    <t>of which exposures sensitive to impact from climate change physical events</t>
  </si>
  <si>
    <t>Breakdown by maturity bucket</t>
  </si>
  <si>
    <t>of which exposures sensitive to impact from chronic climate change events</t>
  </si>
  <si>
    <t>of which exposures sensitive to impact from acute climate change events</t>
  </si>
  <si>
    <t>of which exposures sensitive to impact both from chronic and acute climate change events</t>
  </si>
  <si>
    <t>Of which Stage 2 exposures</t>
  </si>
  <si>
    <t>Of which non-performing exposures</t>
  </si>
  <si>
    <t>Accumulated impairment, accumulated negative changes in fair value due to credit risk and provisions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</si>
  <si>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</si>
  <si>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</si>
  <si>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</si>
  <si>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</si>
  <si>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</si>
  <si>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Stage 2 exposures</t>
  </si>
  <si>
    <t>A - Agriculture, forestry and fishing</t>
  </si>
  <si>
    <t>B - Mining and quarrying</t>
  </si>
  <si>
    <t>C - Manufacturing</t>
  </si>
  <si>
    <t>D - Electricity, gas, steam and air conditioning supply</t>
  </si>
  <si>
    <t>E - Water supply; sewerage, waste management and remediation activities</t>
  </si>
  <si>
    <t>F - Construction</t>
  </si>
  <si>
    <t>G - Wholesale and retail trade; repair of motor vehicles and motorcycles</t>
  </si>
  <si>
    <t>H - Transportation and storage</t>
  </si>
  <si>
    <t>L - Real estate activities</t>
  </si>
  <si>
    <t>Loans collateralised by residential immovable property</t>
  </si>
  <si>
    <t>Loans collateralised by commercial immovable property</t>
  </si>
  <si>
    <t>Repossessed colalterals</t>
  </si>
  <si>
    <t>I - Accommodation and food service activities</t>
  </si>
  <si>
    <t>K - Financial and insurance activities</t>
  </si>
  <si>
    <t>J, M-U</t>
  </si>
  <si>
    <t>Exposures to other sectors (NACE codes J, M - U)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</si>
  <si>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"bu_esg_work.ag05_temp_cto_gra".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</si>
  <si>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5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"5.CC Physical risk".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</si>
  <si>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</si>
  <si>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"5.CC Physical risk"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</si>
  <si>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5_v1.0.sql".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</si>
</sst>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  <numFmt numFmtId="167" formatCode="_-* #,##0.0000_-;\-* #,##0.0000_-;_-* &quot;-&quot;??_-;_-@_-"/>
    <numFmt numFmtId="168" formatCode="_-* #,##0.00000_-;\-* #,##0.00000_-;_-* &quot;-&quot;??_-;_-@_-"/>
  </numFmts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</font>
    <font>
      <b/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21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1" xfId="0" applyFont="1" applyFill="1" applyBorder="1" applyAlignment="1">
      <alignment vertical="center" wrapText="1"/>
    </xf>
    <xf numFmtId="0" fontId="0" fillId="0" borderId="0" xfId="0"/>
    <xf numFmtId="0" fontId="0" fillId="3" borderId="0" xfId="0" applyFill="1"/>
    <xf numFmtId="0" fontId="8" fillId="3" borderId="0" xfId="0" applyFont="1" applyFill="1"/>
    <xf numFmtId="0" fontId="8" fillId="3" borderId="11" xfId="0" applyFont="1" applyFill="1" applyBorder="1"/>
    <xf numFmtId="0" fontId="8" fillId="0" borderId="0" xfId="0" applyFont="1" applyFill="1"/>
    <xf numFmtId="0" fontId="0" fillId="0" borderId="0" xfId="0" applyFill="1" applyBorder="1"/>
    <xf numFmtId="0" fontId="8" fillId="0" borderId="0" xfId="0" applyFont="1" applyFill="1" applyBorder="1"/>
    <xf numFmtId="0" fontId="0" fillId="0" borderId="0" xfId="0" applyFill="1"/>
    <xf numFmtId="0" fontId="7" fillId="5" borderId="22" xfId="0" applyFont="1" applyFill="1" applyBorder="1"/>
    <xf numFmtId="0" fontId="7" fillId="5" borderId="23" xfId="0" applyFont="1" applyFill="1" applyBorder="1"/>
    <xf numFmtId="4" fontId="7" fillId="5" borderId="22" xfId="0" applyNumberFormat="1" applyFont="1" applyFill="1" applyBorder="1"/>
    <xf numFmtId="0" fontId="18" fillId="0" borderId="0" xfId="0" applyFont="1" applyFill="1"/>
    <xf numFmtId="0" fontId="18" fillId="0" borderId="0" xfId="0" applyFont="1" applyFill="1" applyBorder="1"/>
    <xf numFmtId="0" fontId="17" fillId="0" borderId="0" xfId="0" applyFont="1" applyFill="1"/>
    <xf numFmtId="0" fontId="6" fillId="0" borderId="0" xfId="0" applyFont="1" applyFill="1" applyBorder="1" applyAlignment="1">
      <alignment vertical="center"/>
    </xf>
    <xf numFmtId="0" fontId="20" fillId="6" borderId="0" xfId="0" applyFont="1" applyFill="1" applyAlignment="1">
      <alignment horizontal="center" vertical="center" wrapText="1"/>
    </xf>
    <xf numFmtId="0" fontId="9" fillId="3" borderId="0" xfId="0" applyFont="1" applyFill="1"/>
    <xf numFmtId="0" fontId="9" fillId="0" borderId="0" xfId="0" applyFont="1"/>
    <xf numFmtId="0" fontId="9" fillId="0" borderId="0" xfId="0" applyFont="1" applyAlignment="1">
      <alignment horizontal="left" indent="1"/>
    </xf>
    <xf numFmtId="0" fontId="9" fillId="3" borderId="0" xfId="0" quotePrefix="1" applyFont="1" applyFill="1" applyAlignment="1">
      <alignment horizontal="left" indent="1"/>
    </xf>
    <xf numFmtId="0" fontId="23" fillId="5" borderId="24" xfId="0" applyFont="1" applyFill="1" applyBorder="1" applyAlignment="1">
      <alignment vertical="center"/>
    </xf>
    <xf numFmtId="0" fontId="7" fillId="5" borderId="24" xfId="0" applyFont="1" applyFill="1" applyBorder="1"/>
    <xf numFmtId="0" fontId="24" fillId="5" borderId="24" xfId="0" applyFont="1" applyFill="1" applyBorder="1"/>
    <xf numFmtId="0" fontId="13" fillId="3" borderId="0" xfId="0" applyFont="1" applyFill="1" applyBorder="1" applyProtection="1"/>
    <xf numFmtId="0" fontId="0" fillId="3" borderId="0" xfId="0" applyFill="1" applyProtection="1">
      <protection locked="0"/>
    </xf>
    <xf numFmtId="0" fontId="8" fillId="3" borderId="0" xfId="0" applyFont="1" applyFill="1" applyProtection="1">
      <protection locked="0"/>
    </xf>
    <xf numFmtId="0" fontId="8" fillId="3" borderId="11" xfId="0" applyFont="1" applyFill="1" applyBorder="1" applyProtection="1">
      <protection locked="0"/>
    </xf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0" fontId="10" fillId="0" borderId="12" xfId="0" applyFont="1" applyFill="1" applyBorder="1" applyProtection="1">
      <protection locked="0"/>
    </xf>
    <xf numFmtId="0" fontId="9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1" fillId="0" borderId="0" xfId="0" applyFont="1" applyFill="1" applyProtection="1">
      <protection locked="0"/>
    </xf>
    <xf numFmtId="0" fontId="10" fillId="0" borderId="0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9" fillId="3" borderId="13" xfId="0" applyFont="1" applyFill="1" applyBorder="1" applyProtection="1">
      <protection locked="0"/>
    </xf>
    <xf numFmtId="0" fontId="9" fillId="3" borderId="14" xfId="0" applyFont="1" applyFill="1" applyBorder="1" applyProtection="1">
      <protection locked="0"/>
    </xf>
    <xf numFmtId="0" fontId="9" fillId="3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16" xfId="0" applyFont="1" applyFill="1" applyBorder="1" applyProtection="1">
      <protection locked="0"/>
    </xf>
    <xf numFmtId="0" fontId="12" fillId="3" borderId="0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 applyProtection="1">
      <alignment horizontal="centerContinuous"/>
      <protection locked="0"/>
    </xf>
    <xf numFmtId="14" fontId="12" fillId="4" borderId="17" xfId="0" applyNumberFormat="1" applyFont="1" applyFill="1" applyBorder="1" applyAlignment="1" applyProtection="1">
      <alignment horizontal="centerContinuous" wrapText="1"/>
      <protection locked="0"/>
    </xf>
    <xf numFmtId="0" fontId="0" fillId="3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3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19" xfId="0" applyFont="1" applyFill="1" applyBorder="1" applyProtection="1">
      <protection locked="0"/>
    </xf>
    <xf numFmtId="0" fontId="0" fillId="3" borderId="20" xfId="0" applyFont="1" applyFill="1" applyBorder="1" applyProtection="1">
      <protection locked="0"/>
    </xf>
    <xf numFmtId="0" fontId="0" fillId="3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5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18" xfId="0" applyFont="1" applyFill="1" applyBorder="1" applyProtection="1"/>
    <xf numFmtId="0" fontId="3" fillId="2" borderId="0" xfId="0" applyFont="1" applyFill="1"/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 wrapText="1"/>
    </xf>
    <xf numFmtId="0" fontId="1" fillId="2" borderId="0" xfId="0" applyFont="1" applyFill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25" fillId="2" borderId="8" xfId="0" applyFont="1" applyFill="1" applyBorder="1"/>
    <xf numFmtId="0" fontId="1" fillId="0" borderId="2" xfId="0" applyFont="1" applyBorder="1" applyAlignment="1">
      <alignment vertical="center" wrapText="1"/>
    </xf>
    <xf numFmtId="0" fontId="4" fillId="0" borderId="0" xfId="0" applyFont="1" applyFill="1"/>
    <xf numFmtId="0" fontId="16" fillId="0" borderId="0" xfId="0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vertical="center"/>
    </xf>
    <xf numFmtId="0" fontId="3" fillId="0" borderId="0" xfId="0" applyFont="1" applyFill="1"/>
    <xf numFmtId="0" fontId="3" fillId="2" borderId="2" xfId="0" applyFont="1" applyFill="1" applyBorder="1" applyAlignment="1">
      <alignment vertical="top"/>
    </xf>
    <xf numFmtId="0" fontId="16" fillId="0" borderId="0" xfId="0" quotePrefix="1" applyFont="1" applyFill="1"/>
    <xf numFmtId="0" fontId="16" fillId="2" borderId="0" xfId="0" applyFont="1" applyFill="1"/>
    <xf numFmtId="0" fontId="25" fillId="2" borderId="0" xfId="0" applyFont="1" applyFill="1"/>
    <xf numFmtId="0" fontId="25" fillId="0" borderId="0" xfId="0" applyFont="1" applyFill="1"/>
    <xf numFmtId="164" fontId="16" fillId="0" borderId="0" xfId="1" applyNumberFormat="1" applyFont="1" applyFill="1" applyBorder="1" applyAlignment="1">
      <alignment vertical="center"/>
    </xf>
    <xf numFmtId="164" fontId="16" fillId="2" borderId="0" xfId="1" applyNumberFormat="1" applyFont="1" applyFill="1" applyBorder="1" applyAlignment="1">
      <alignment vertical="center"/>
    </xf>
    <xf numFmtId="0" fontId="26" fillId="0" borderId="0" xfId="0" applyFont="1" applyFill="1" applyBorder="1"/>
    <xf numFmtId="3" fontId="1" fillId="2" borderId="0" xfId="0" applyNumberFormat="1" applyFont="1" applyFill="1"/>
    <xf numFmtId="164" fontId="1" fillId="0" borderId="0" xfId="1" applyNumberFormat="1" applyFont="1" applyFill="1" applyBorder="1" applyAlignment="1">
      <alignment vertical="center" wrapText="1"/>
    </xf>
    <xf numFmtId="164" fontId="1" fillId="0" borderId="0" xfId="1" applyNumberFormat="1" applyFont="1" applyFill="1" applyBorder="1" applyAlignment="1">
      <alignment vertical="center"/>
    </xf>
    <xf numFmtId="164" fontId="1" fillId="2" borderId="0" xfId="1" applyNumberFormat="1" applyFont="1" applyFill="1" applyBorder="1" applyAlignment="1">
      <alignment vertical="center"/>
    </xf>
    <xf numFmtId="164" fontId="1" fillId="2" borderId="0" xfId="1" quotePrefix="1" applyNumberFormat="1" applyFont="1" applyFill="1" applyBorder="1" applyAlignment="1">
      <alignment vertical="center"/>
    </xf>
    <xf numFmtId="4" fontId="3" fillId="2" borderId="0" xfId="0" applyNumberFormat="1" applyFont="1" applyFill="1"/>
    <xf numFmtId="164" fontId="3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/>
    </xf>
    <xf numFmtId="164" fontId="4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 wrapText="1"/>
    </xf>
    <xf numFmtId="164" fontId="3" fillId="2" borderId="0" xfId="0" applyNumberFormat="1" applyFont="1" applyFill="1"/>
    <xf numFmtId="164" fontId="3" fillId="0" borderId="2" xfId="1" applyNumberFormat="1" applyFont="1" applyFill="1" applyBorder="1" applyAlignment="1">
      <alignment vertical="center"/>
    </xf>
    <xf numFmtId="4" fontId="0" fillId="0" borderId="0" xfId="0" applyNumberFormat="1"/>
    <xf numFmtId="164" fontId="3" fillId="0" borderId="0" xfId="1" applyNumberFormat="1" applyFont="1" applyFill="1" applyBorder="1" applyAlignment="1">
      <alignment vertical="center"/>
    </xf>
    <xf numFmtId="43" fontId="3" fillId="0" borderId="0" xfId="1" applyNumberFormat="1" applyFont="1" applyFill="1" applyBorder="1" applyAlignment="1">
      <alignment vertical="center"/>
    </xf>
    <xf numFmtId="165" fontId="3" fillId="0" borderId="2" xfId="1" applyNumberFormat="1" applyFont="1" applyFill="1" applyBorder="1" applyAlignment="1">
      <alignment vertical="center"/>
    </xf>
    <xf numFmtId="166" fontId="3" fillId="0" borderId="0" xfId="1" applyNumberFormat="1" applyFont="1" applyFill="1" applyBorder="1" applyAlignment="1">
      <alignment vertical="center"/>
    </xf>
    <xf numFmtId="167" fontId="3" fillId="0" borderId="2" xfId="1" applyNumberFormat="1" applyFont="1" applyFill="1" applyBorder="1" applyAlignment="1">
      <alignment vertical="center"/>
    </xf>
    <xf numFmtId="168" fontId="3" fillId="0" borderId="0" xfId="1" applyNumberFormat="1" applyFont="1" applyFill="1" applyBorder="1" applyAlignment="1">
      <alignment vertical="center"/>
    </xf>
    <xf numFmtId="0" fontId="16" fillId="7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indent="1"/>
    </xf>
    <xf numFmtId="0" fontId="16" fillId="5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</cellXfs>
  <cellStyles count="2">
    <cellStyle name="Comma" xfId="1" builtinId="3"/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4" customWidth="1"/>
    <col min="3" max="4" width="7.6640625" style="4" customWidth="1"/>
    <col min="5" max="5" width="0.44140625" style="4" customWidth="1"/>
    <col min="6" max="6" width="7.6640625" style="4" customWidth="1"/>
    <col min="7" max="7" width="0.44140625" style="4" customWidth="1"/>
    <col min="8" max="20" width="10.6640625" style="4" customWidth="1"/>
    <col min="21" max="21" width="8.6640625" style="4" customWidth="1"/>
    <col min="22" max="22" width="3.6640625" style="4" customWidth="1"/>
    <col min="23" max="16384" width="0" style="4" hidden="1"/>
  </cols>
  <sheetData>
    <row r="1" spans="1:16384" s="5" customFormat="1" ht="14.4" x14ac:dyDescent="0.3"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5" customFormat="1" ht="14.4" x14ac:dyDescent="0.3"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5" customFormat="1" ht="14.4" x14ac:dyDescent="0.3"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5" customFormat="1" ht="15" thickBot="1" x14ac:dyDescent="0.3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ht="15" thickTop="1" x14ac:dyDescent="0.3">
      <c r="A5" s="15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16384" s="11" customFormat="1" ht="15" customHeight="1" x14ac:dyDescent="0.3">
      <c r="A6" s="8"/>
      <c r="B6" s="24" t="s">
        <v>126</v>
      </c>
      <c r="C6" s="25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10"/>
    </row>
    <row r="7" spans="1:16384" s="11" customFormat="1" ht="7.95" customHeight="1" x14ac:dyDescent="0.3">
      <c r="A7" s="8"/>
      <c r="B7" s="18"/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16384" s="17" customFormat="1" ht="14.4" x14ac:dyDescent="0.3">
      <c r="A8" s="15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3" t="s">
        <v>31</v>
      </c>
      <c r="C24" s="103"/>
      <c r="D24" s="103"/>
      <c r="E24" s="19"/>
      <c r="F24" s="104" t="s">
        <v>128</v>
      </c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20"/>
      <c r="R24" s="20"/>
      <c r="S24" s="20"/>
      <c r="T24" s="20"/>
    </row>
    <row r="25" spans="2:20" ht="13.2" customHeight="1" x14ac:dyDescent="0.3">
      <c r="B25" s="103"/>
      <c r="C25" s="103"/>
      <c r="D25" s="103"/>
      <c r="E25" s="19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20"/>
      <c r="R25" s="20"/>
      <c r="S25" s="20"/>
      <c r="T25" s="20"/>
    </row>
    <row r="26" spans="2:20" ht="7.95" customHeight="1" x14ac:dyDescent="0.3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</row>
    <row r="27" spans="2:20" ht="12" customHeight="1" x14ac:dyDescent="0.3">
      <c r="B27" s="21"/>
      <c r="C27" s="101" t="s">
        <v>32</v>
      </c>
      <c r="D27" s="101"/>
      <c r="E27" s="101"/>
      <c r="F27" s="101"/>
      <c r="G27" s="19"/>
      <c r="H27" s="102" t="s">
        <v>124</v>
      </c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2:20" ht="12" customHeight="1" x14ac:dyDescent="0.3">
      <c r="B28" s="21"/>
      <c r="C28" s="101"/>
      <c r="D28" s="101"/>
      <c r="E28" s="101"/>
      <c r="F28" s="101"/>
      <c r="G28" s="19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2:20" ht="3" customHeight="1" x14ac:dyDescent="0.3">
      <c r="B29" s="21"/>
      <c r="C29" s="22"/>
      <c r="D29" s="22"/>
      <c r="E29" s="22"/>
      <c r="F29" s="22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</row>
    <row r="30" spans="2:20" ht="12" customHeight="1" x14ac:dyDescent="0.3">
      <c r="B30" s="21"/>
      <c r="C30" s="101" t="s">
        <v>33</v>
      </c>
      <c r="D30" s="101"/>
      <c r="E30" s="101"/>
      <c r="F30" s="101"/>
      <c r="G30" s="19"/>
      <c r="H30" s="23" t="s">
        <v>51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</row>
    <row r="31" spans="2:20" ht="12" customHeight="1" x14ac:dyDescent="0.3">
      <c r="B31" s="21"/>
      <c r="C31" s="101"/>
      <c r="D31" s="101"/>
      <c r="E31" s="101"/>
      <c r="F31" s="101"/>
      <c r="G31" s="19"/>
      <c r="H31" s="23" t="s">
        <v>34</v>
      </c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</row>
    <row r="32" spans="2:20" ht="12" customHeight="1" x14ac:dyDescent="0.3">
      <c r="B32" s="21"/>
      <c r="C32" s="101"/>
      <c r="D32" s="101"/>
      <c r="E32" s="101"/>
      <c r="F32" s="101"/>
      <c r="G32" s="19"/>
      <c r="H32" s="23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</row>
    <row r="33" spans="2:20" ht="12" customHeight="1" x14ac:dyDescent="0.3">
      <c r="B33" s="21"/>
      <c r="C33" s="101"/>
      <c r="D33" s="101"/>
      <c r="E33" s="101"/>
      <c r="F33" s="101"/>
      <c r="G33" s="19"/>
      <c r="H33" s="23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</row>
    <row r="34" spans="2:20" ht="12" customHeight="1" x14ac:dyDescent="0.3">
      <c r="B34" s="21"/>
      <c r="C34" s="101"/>
      <c r="D34" s="101"/>
      <c r="E34" s="101"/>
      <c r="F34" s="101"/>
      <c r="G34" s="19"/>
      <c r="H34" s="23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</row>
    <row r="35" spans="2:20" ht="12" customHeight="1" x14ac:dyDescent="0.3">
      <c r="B35" s="21"/>
      <c r="C35" s="101"/>
      <c r="D35" s="101"/>
      <c r="E35" s="101"/>
      <c r="F35" s="101"/>
      <c r="G35" s="19"/>
      <c r="H35" s="23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</row>
    <row r="36" spans="2:20" ht="12" customHeight="1" x14ac:dyDescent="0.3">
      <c r="B36" s="21"/>
      <c r="C36" s="101"/>
      <c r="D36" s="101"/>
      <c r="E36" s="101"/>
      <c r="F36" s="101"/>
      <c r="G36" s="19"/>
      <c r="H36" s="23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</row>
    <row r="37" spans="2:20" ht="3" customHeight="1" x14ac:dyDescent="0.3"/>
    <row r="38" spans="2:20" ht="12" customHeight="1" x14ac:dyDescent="0.3">
      <c r="B38" s="21"/>
      <c r="C38" s="101" t="s">
        <v>35</v>
      </c>
      <c r="D38" s="101"/>
      <c r="E38" s="101"/>
      <c r="F38" s="101"/>
      <c r="G38" s="19"/>
      <c r="H38" s="23" t="s">
        <v>36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</row>
    <row r="39" spans="2:20" ht="12" customHeight="1" x14ac:dyDescent="0.3">
      <c r="B39" s="21"/>
      <c r="C39" s="101"/>
      <c r="D39" s="101"/>
      <c r="E39" s="101"/>
      <c r="F39" s="101"/>
      <c r="G39" s="19"/>
      <c r="H39" s="23" t="s">
        <v>37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</row>
    <row r="40" spans="2:20" ht="3" customHeight="1" x14ac:dyDescent="0.3"/>
    <row r="41" spans="2:20" ht="12" customHeight="1" x14ac:dyDescent="0.3">
      <c r="B41" s="21"/>
      <c r="C41" s="101" t="s">
        <v>38</v>
      </c>
      <c r="D41" s="101"/>
      <c r="E41" s="101"/>
      <c r="F41" s="101"/>
      <c r="G41" s="19"/>
      <c r="H41" s="23" t="s">
        <v>39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</row>
    <row r="42" spans="2:20" ht="12" customHeight="1" x14ac:dyDescent="0.3">
      <c r="B42" s="21"/>
      <c r="C42" s="101"/>
      <c r="D42" s="101"/>
      <c r="E42" s="101"/>
      <c r="F42" s="101"/>
      <c r="G42" s="19"/>
      <c r="H42" s="23" t="s">
        <v>40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</row>
    <row r="43" spans="2:20" ht="10.199999999999999" customHeight="1" x14ac:dyDescent="0.3"/>
    <row r="44" spans="2:20" ht="13.2" customHeight="1" x14ac:dyDescent="0.3">
      <c r="B44" s="103" t="s">
        <v>41</v>
      </c>
      <c r="C44" s="103"/>
      <c r="D44" s="103"/>
      <c r="E44" s="19"/>
      <c r="F44" s="104" t="s">
        <v>48</v>
      </c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20"/>
      <c r="R44" s="20"/>
      <c r="S44" s="20"/>
      <c r="T44" s="20"/>
    </row>
    <row r="45" spans="2:20" ht="13.2" customHeight="1" x14ac:dyDescent="0.3">
      <c r="B45" s="103"/>
      <c r="C45" s="103"/>
      <c r="D45" s="103"/>
      <c r="E45" s="19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20"/>
      <c r="R45" s="20"/>
      <c r="S45" s="20"/>
      <c r="T45" s="20"/>
    </row>
    <row r="46" spans="2:20" ht="7.95" customHeight="1" x14ac:dyDescent="0.3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</row>
    <row r="47" spans="2:20" ht="12" customHeight="1" x14ac:dyDescent="0.3">
      <c r="B47" s="21"/>
      <c r="C47" s="101" t="s">
        <v>42</v>
      </c>
      <c r="D47" s="101"/>
      <c r="E47" s="101"/>
      <c r="F47" s="101"/>
      <c r="G47" s="19"/>
      <c r="H47" s="102" t="s">
        <v>43</v>
      </c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</row>
    <row r="48" spans="2:20" ht="12" customHeight="1" x14ac:dyDescent="0.3">
      <c r="B48" s="21"/>
      <c r="C48" s="101"/>
      <c r="D48" s="101"/>
      <c r="E48" s="101"/>
      <c r="F48" s="101"/>
      <c r="G48" s="19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</row>
    <row r="49" spans="2:20" ht="3" customHeight="1" x14ac:dyDescent="0.3"/>
    <row r="50" spans="2:20" ht="12" customHeight="1" x14ac:dyDescent="0.3">
      <c r="B50" s="21"/>
      <c r="C50" s="101" t="s">
        <v>44</v>
      </c>
      <c r="D50" s="101"/>
      <c r="E50" s="101"/>
      <c r="F50" s="101"/>
      <c r="G50" s="19"/>
      <c r="H50" s="102" t="s">
        <v>49</v>
      </c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</row>
    <row r="51" spans="2:20" ht="12" customHeight="1" x14ac:dyDescent="0.3">
      <c r="B51" s="21"/>
      <c r="C51" s="101"/>
      <c r="D51" s="101"/>
      <c r="E51" s="101"/>
      <c r="F51" s="101"/>
      <c r="G51" s="19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</row>
    <row r="52" spans="2:20" ht="3" customHeight="1" x14ac:dyDescent="0.3"/>
    <row r="53" spans="2:20" ht="12" customHeight="1" x14ac:dyDescent="0.3">
      <c r="B53" s="21"/>
      <c r="C53" s="101" t="s">
        <v>45</v>
      </c>
      <c r="D53" s="101"/>
      <c r="E53" s="101"/>
      <c r="F53" s="101"/>
      <c r="G53" s="19"/>
      <c r="H53" s="102" t="s">
        <v>50</v>
      </c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</row>
    <row r="54" spans="2:20" ht="12" customHeight="1" x14ac:dyDescent="0.3">
      <c r="B54" s="21"/>
      <c r="C54" s="101"/>
      <c r="D54" s="101"/>
      <c r="E54" s="101"/>
      <c r="F54" s="101"/>
      <c r="G54" s="19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</row>
    <row r="55" spans="2:20" ht="3" customHeight="1" x14ac:dyDescent="0.3"/>
    <row r="56" spans="2:20" ht="12" customHeight="1" x14ac:dyDescent="0.3">
      <c r="B56" s="21"/>
      <c r="C56" s="101" t="s">
        <v>46</v>
      </c>
      <c r="D56" s="101"/>
      <c r="E56" s="101"/>
      <c r="F56" s="101"/>
      <c r="G56" s="19"/>
      <c r="H56" s="102" t="s">
        <v>125</v>
      </c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</row>
    <row r="57" spans="2:20" ht="12" customHeight="1" x14ac:dyDescent="0.3">
      <c r="B57" s="21"/>
      <c r="C57" s="101"/>
      <c r="D57" s="101"/>
      <c r="E57" s="101"/>
      <c r="F57" s="101"/>
      <c r="G57" s="19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</row>
    <row r="58" spans="2:20" ht="10.199999999999999" customHeight="1" x14ac:dyDescent="0.3"/>
    <row r="59" spans="2:20" ht="13.2" customHeight="1" x14ac:dyDescent="0.3">
      <c r="B59" s="103" t="s">
        <v>47</v>
      </c>
      <c r="C59" s="103"/>
      <c r="D59" s="103"/>
      <c r="E59" s="19"/>
      <c r="F59" s="104" t="s">
        <v>127</v>
      </c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20"/>
      <c r="R59" s="20"/>
      <c r="S59" s="20"/>
      <c r="T59" s="20"/>
    </row>
    <row r="60" spans="2:20" ht="13.2" customHeight="1" x14ac:dyDescent="0.3">
      <c r="B60" s="103"/>
      <c r="C60" s="103"/>
      <c r="D60" s="103"/>
      <c r="E60" s="19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20"/>
      <c r="R60" s="20"/>
      <c r="S60" s="20"/>
      <c r="T60" s="20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6" customWidth="1"/>
    <col min="3" max="4" width="10.6640625" style="56" customWidth="1"/>
    <col min="5" max="5" width="5.6640625" style="56" customWidth="1"/>
    <col min="6" max="6" width="10.6640625" style="56" customWidth="1"/>
    <col min="7" max="7" width="8.6640625" style="56" customWidth="1"/>
    <col min="8" max="8" width="3.6640625" style="56" customWidth="1"/>
    <col min="9" max="13" width="10.6640625" style="56" hidden="1" customWidth="1"/>
    <col min="14" max="16384" width="8.77734375" style="56" hidden="1"/>
  </cols>
  <sheetData>
    <row r="1" spans="1:8" s="28" customFormat="1" ht="14.4" x14ac:dyDescent="0.3"/>
    <row r="2" spans="1:8" s="28" customFormat="1" ht="4.95" customHeight="1" x14ac:dyDescent="0.3"/>
    <row r="3" spans="1:8" s="28" customFormat="1" ht="14.4" x14ac:dyDescent="0.3"/>
    <row r="4" spans="1:8" s="28" customFormat="1" ht="4.95" customHeight="1" thickBot="1" x14ac:dyDescent="0.35">
      <c r="A4" s="29"/>
      <c r="B4" s="30"/>
      <c r="C4" s="30"/>
      <c r="D4" s="30"/>
      <c r="E4" s="30"/>
      <c r="F4" s="30"/>
      <c r="G4" s="30"/>
    </row>
    <row r="5" spans="1:8" s="28" customFormat="1" ht="7.95" customHeight="1" thickTop="1" x14ac:dyDescent="0.3">
      <c r="A5" s="31"/>
      <c r="B5" s="31"/>
      <c r="C5" s="31"/>
      <c r="D5" s="31"/>
      <c r="E5" s="31"/>
      <c r="F5" s="31"/>
      <c r="G5" s="31"/>
      <c r="H5" s="31"/>
    </row>
    <row r="6" spans="1:8" s="36" customFormat="1" ht="14.4" x14ac:dyDescent="0.3">
      <c r="A6" s="32"/>
      <c r="B6" s="33" t="s">
        <v>27</v>
      </c>
      <c r="C6" s="34"/>
      <c r="D6" s="34"/>
      <c r="E6" s="34"/>
      <c r="F6" s="34"/>
      <c r="G6" s="34"/>
      <c r="H6" s="35"/>
    </row>
    <row r="7" spans="1:8" s="36" customFormat="1" ht="4.05" customHeight="1" x14ac:dyDescent="0.3">
      <c r="A7" s="32"/>
      <c r="B7" s="37"/>
      <c r="C7" s="38"/>
      <c r="D7" s="38"/>
      <c r="E7" s="38"/>
      <c r="F7" s="38"/>
      <c r="G7" s="38"/>
      <c r="H7" s="35"/>
    </row>
    <row r="8" spans="1:8" s="36" customFormat="1" ht="7.95" customHeight="1" x14ac:dyDescent="0.3">
      <c r="A8" s="32"/>
      <c r="B8" s="39"/>
      <c r="C8" s="40"/>
      <c r="D8" s="40"/>
      <c r="E8" s="40"/>
      <c r="F8" s="40"/>
      <c r="G8" s="41"/>
      <c r="H8" s="35"/>
    </row>
    <row r="9" spans="1:8" s="49" customFormat="1" ht="14.4" x14ac:dyDescent="0.3">
      <c r="A9" s="42"/>
      <c r="B9" s="43"/>
      <c r="C9" s="44" t="s">
        <v>28</v>
      </c>
      <c r="D9" s="44"/>
      <c r="E9" s="45"/>
      <c r="F9" s="46">
        <v>45657</v>
      </c>
      <c r="G9" s="47"/>
      <c r="H9" s="48"/>
    </row>
    <row r="10" spans="1:8" s="49" customFormat="1" ht="7.95" customHeight="1" x14ac:dyDescent="0.3">
      <c r="A10" s="42"/>
      <c r="B10" s="43"/>
      <c r="C10" s="50"/>
      <c r="D10" s="50"/>
      <c r="E10" s="58"/>
      <c r="F10" s="27" t="str">
        <f>YEAR(F9)&amp;"-"&amp;TEXT(MONTH(F9),"00")&amp;"-"&amp;TEXT(DAY(F9),"00")</f>
        <v>2024-12-31</v>
      </c>
      <c r="G10" s="59"/>
      <c r="H10" s="48"/>
    </row>
    <row r="11" spans="1:8" s="49" customFormat="1" ht="7.95" customHeight="1" x14ac:dyDescent="0.3">
      <c r="A11" s="42"/>
      <c r="B11" s="43"/>
      <c r="C11" s="51"/>
      <c r="D11" s="51"/>
      <c r="E11" s="51"/>
      <c r="F11" s="51"/>
      <c r="G11" s="47"/>
      <c r="H11" s="48"/>
    </row>
    <row r="12" spans="1:8" s="49" customFormat="1" ht="14.4" x14ac:dyDescent="0.3">
      <c r="A12" s="42"/>
      <c r="B12" s="43"/>
      <c r="C12" s="44" t="s">
        <v>29</v>
      </c>
      <c r="D12" s="44"/>
      <c r="E12" s="45"/>
      <c r="F12" s="45"/>
      <c r="G12" s="47"/>
      <c r="H12" s="48"/>
    </row>
    <row r="13" spans="1:8" s="49" customFormat="1" ht="7.95" customHeight="1" x14ac:dyDescent="0.3">
      <c r="A13" s="42"/>
      <c r="B13" s="43"/>
      <c r="C13" s="51"/>
      <c r="D13" s="51"/>
      <c r="E13" s="51"/>
      <c r="F13" s="51"/>
      <c r="G13" s="47"/>
      <c r="H13" s="48"/>
    </row>
    <row r="14" spans="1:8" s="49" customFormat="1" ht="7.95" customHeight="1" x14ac:dyDescent="0.3">
      <c r="A14" s="42"/>
      <c r="B14" s="43"/>
      <c r="C14" s="51"/>
      <c r="D14" s="51"/>
      <c r="E14" s="51"/>
      <c r="F14" s="51"/>
      <c r="G14" s="47"/>
      <c r="H14" s="48"/>
    </row>
    <row r="15" spans="1:8" s="49" customFormat="1" ht="14.4" x14ac:dyDescent="0.3">
      <c r="A15" s="42"/>
      <c r="B15" s="43"/>
      <c r="C15" s="44" t="s">
        <v>30</v>
      </c>
      <c r="D15" s="44"/>
      <c r="E15" s="45"/>
      <c r="F15" s="45"/>
      <c r="G15" s="47"/>
      <c r="H15" s="48"/>
    </row>
    <row r="16" spans="1:8" s="49" customFormat="1" ht="7.95" customHeight="1" x14ac:dyDescent="0.3">
      <c r="A16" s="42"/>
      <c r="B16" s="43"/>
      <c r="C16" s="51"/>
      <c r="D16" s="51"/>
      <c r="E16" s="51"/>
      <c r="F16" s="51"/>
      <c r="G16" s="47"/>
      <c r="H16" s="48"/>
    </row>
    <row r="17" spans="1:8" s="49" customFormat="1" ht="7.95" customHeight="1" x14ac:dyDescent="0.3">
      <c r="A17" s="42"/>
      <c r="B17" s="52"/>
      <c r="C17" s="53"/>
      <c r="D17" s="53"/>
      <c r="E17" s="53"/>
      <c r="F17" s="53"/>
      <c r="G17" s="54"/>
      <c r="H17" s="48"/>
    </row>
    <row r="18" spans="1:8" s="49" customFormat="1" ht="14.4" x14ac:dyDescent="0.3">
      <c r="A18" s="42"/>
      <c r="B18" s="42"/>
      <c r="C18" s="42"/>
      <c r="D18" s="42"/>
      <c r="E18" s="42"/>
      <c r="F18" s="42"/>
      <c r="G18" s="42"/>
      <c r="H18" s="48"/>
    </row>
    <row r="19" spans="1:8" ht="14.4" hidden="1" x14ac:dyDescent="0.3">
      <c r="A19" s="55"/>
      <c r="B19" s="55"/>
      <c r="C19" s="55"/>
      <c r="D19" s="55"/>
      <c r="E19" s="55"/>
      <c r="F19" s="55"/>
      <c r="G19" s="55"/>
    </row>
    <row r="20" spans="1:8" ht="14.4" hidden="1" x14ac:dyDescent="0.3">
      <c r="A20" s="55"/>
      <c r="B20" s="55"/>
      <c r="C20" s="55"/>
      <c r="D20" s="55"/>
      <c r="E20" s="55"/>
      <c r="F20" s="55"/>
      <c r="G20" s="55"/>
    </row>
    <row r="21" spans="1:8" ht="14.4" hidden="1" x14ac:dyDescent="0.3">
      <c r="A21" s="55"/>
      <c r="B21" s="55"/>
      <c r="C21" s="55"/>
      <c r="D21" s="55"/>
      <c r="E21" s="55"/>
      <c r="F21" s="55"/>
      <c r="G21" s="55"/>
    </row>
    <row r="22" spans="1:8" ht="14.4" hidden="1" x14ac:dyDescent="0.3">
      <c r="B22" s="55"/>
      <c r="C22" s="55"/>
      <c r="D22" s="55"/>
      <c r="E22" s="55"/>
      <c r="F22" s="57"/>
      <c r="G22" s="57"/>
    </row>
    <row r="23" spans="1:8" ht="14.4" hidden="1" x14ac:dyDescent="0.3">
      <c r="B23" s="55"/>
      <c r="C23" s="55"/>
      <c r="D23" s="55"/>
      <c r="E23" s="55"/>
      <c r="F23" s="55"/>
      <c r="G23" s="55"/>
    </row>
    <row r="24" spans="1:8" ht="14.4" hidden="1" x14ac:dyDescent="0.3">
      <c r="B24" s="55"/>
      <c r="C24" s="55"/>
      <c r="D24" s="55"/>
      <c r="E24" s="55"/>
      <c r="F24" s="55"/>
      <c r="G24" s="55"/>
    </row>
    <row r="25" spans="1:8" ht="14.4" hidden="1" x14ac:dyDescent="0.3">
      <c r="B25" s="55"/>
      <c r="C25" s="55"/>
      <c r="D25" s="55"/>
      <c r="E25" s="55"/>
      <c r="F25" s="55"/>
      <c r="G25" s="55"/>
    </row>
    <row r="26" spans="1:8" ht="14.4" hidden="1" x14ac:dyDescent="0.3">
      <c r="B26" s="55"/>
      <c r="C26" s="55"/>
      <c r="D26" s="55"/>
      <c r="E26" s="55"/>
      <c r="F26" s="55"/>
      <c r="G26" s="55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5632"/>
  <sheetViews>
    <sheetView showGridLines="0" workbookViewId="0">
      <pane ySplit="4" topLeftCell="A5" activePane="bottomLeft" state="frozen"/>
      <selection pane="bottomLeft" activeCell="C7" sqref="C7:M5631"/>
    </sheetView>
  </sheetViews>
  <sheetFormatPr defaultColWidth="0" defaultRowHeight="14.4" zeroHeight="1" x14ac:dyDescent="0.3"/>
  <cols>
    <col min="1" max="2" width="3.6640625" style="4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4" customWidth="1"/>
    <col min="12" max="13" width="14.77734375" customWidth="1"/>
    <col min="14" max="15" width="3.6640625" customWidth="1"/>
    <col min="16" max="16384" width="8.77734375" hidden="1"/>
  </cols>
  <sheetData>
    <row r="1" spans="1:15" s="4" customForma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1:15" s="4" customFormat="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s="4" customForma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 s="4" customFormat="1" ht="15" thickBot="1" x14ac:dyDescent="0.3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5"/>
    </row>
    <row r="5" spans="1:15" s="11" customFormat="1" ht="15" thickTop="1" x14ac:dyDescent="0.3">
      <c r="A5" s="8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1:15" x14ac:dyDescent="0.3">
      <c r="C6" s="12" t="s">
        <v>52</v>
      </c>
      <c r="D6" s="13" t="s">
        <v>53</v>
      </c>
      <c r="E6" s="12" t="s">
        <v>54</v>
      </c>
      <c r="F6" s="13" t="s">
        <v>21</v>
      </c>
      <c r="G6" s="12" t="s">
        <v>55</v>
      </c>
      <c r="H6" s="12" t="s">
        <v>56</v>
      </c>
      <c r="I6" s="12" t="s">
        <v>57</v>
      </c>
      <c r="J6" s="12" t="s">
        <v>58</v>
      </c>
      <c r="K6" s="12" t="s">
        <v>59</v>
      </c>
      <c r="L6" s="14" t="s">
        <v>22</v>
      </c>
      <c r="M6" s="13" t="s">
        <v>60</v>
      </c>
      <c r="N6" s="4"/>
    </row>
    <row r="7" spans="1:15" x14ac:dyDescent="0.3">
      <c r="C7" t="s">
        <v>70</v>
      </c>
      <c r="D7" t="s">
        <v>67</v>
      </c>
      <c r="E7" t="s">
        <v>63</v>
      </c>
      <c r="F7" t="s">
        <v>72</v>
      </c>
      <c r="G7" s="4">
        <v>-1</v>
      </c>
      <c r="H7" s="4" t="s">
        <v>64</v>
      </c>
      <c r="I7" s="4" t="s">
        <v>69</v>
      </c>
      <c r="J7" s="4" t="s">
        <v>66</v>
      </c>
      <c r="K7" s="4">
        <v>0</v>
      </c>
      <c r="L7" s="94">
        <v>-839</v>
      </c>
      <c r="M7" s="94">
        <v>0</v>
      </c>
    </row>
    <row r="8" spans="1:15" x14ac:dyDescent="0.3">
      <c r="C8" t="s">
        <v>70</v>
      </c>
      <c r="D8" t="s">
        <v>67</v>
      </c>
      <c r="E8" t="s">
        <v>68</v>
      </c>
      <c r="F8" t="s">
        <v>26</v>
      </c>
      <c r="G8" s="4">
        <v>4</v>
      </c>
      <c r="H8" s="4" t="s">
        <v>12</v>
      </c>
      <c r="I8" s="4" t="s">
        <v>69</v>
      </c>
      <c r="J8" s="4" t="s">
        <v>73</v>
      </c>
      <c r="K8" s="4">
        <v>1</v>
      </c>
      <c r="L8" s="94">
        <v>824580</v>
      </c>
      <c r="M8" s="94">
        <v>3298320</v>
      </c>
    </row>
    <row r="9" spans="1:15" x14ac:dyDescent="0.3">
      <c r="C9" t="s">
        <v>61</v>
      </c>
      <c r="D9" t="s">
        <v>67</v>
      </c>
      <c r="E9" t="s">
        <v>68</v>
      </c>
      <c r="F9" t="s">
        <v>25</v>
      </c>
      <c r="G9" s="4">
        <v>16</v>
      </c>
      <c r="H9" s="4" t="s">
        <v>18</v>
      </c>
      <c r="I9" s="4" t="s">
        <v>69</v>
      </c>
      <c r="J9" s="4" t="s">
        <v>66</v>
      </c>
      <c r="K9" s="4">
        <v>0</v>
      </c>
      <c r="L9" s="94">
        <v>1154600</v>
      </c>
      <c r="M9" s="94">
        <v>18473600</v>
      </c>
    </row>
    <row r="10" spans="1:15" x14ac:dyDescent="0.3">
      <c r="C10" t="s">
        <v>70</v>
      </c>
      <c r="D10" t="s">
        <v>67</v>
      </c>
      <c r="E10" t="s">
        <v>68</v>
      </c>
      <c r="F10" t="s">
        <v>25</v>
      </c>
      <c r="G10" s="4">
        <v>16</v>
      </c>
      <c r="H10" s="4" t="s">
        <v>14</v>
      </c>
      <c r="I10" s="4" t="s">
        <v>69</v>
      </c>
      <c r="J10" s="4" t="s">
        <v>66</v>
      </c>
      <c r="K10" s="4">
        <v>1</v>
      </c>
      <c r="L10" s="94">
        <v>478576</v>
      </c>
      <c r="M10" s="94">
        <v>7657216</v>
      </c>
    </row>
    <row r="11" spans="1:15" x14ac:dyDescent="0.3">
      <c r="C11" t="s">
        <v>61</v>
      </c>
      <c r="D11" t="s">
        <v>67</v>
      </c>
      <c r="E11" t="s">
        <v>63</v>
      </c>
      <c r="F11" t="s">
        <v>26</v>
      </c>
      <c r="G11" s="4">
        <v>1</v>
      </c>
      <c r="H11" s="4" t="s">
        <v>12</v>
      </c>
      <c r="I11" s="4" t="s">
        <v>69</v>
      </c>
      <c r="J11" s="4" t="s">
        <v>66</v>
      </c>
      <c r="K11" s="4">
        <v>0</v>
      </c>
      <c r="L11" s="94">
        <v>-9002</v>
      </c>
      <c r="M11" s="94">
        <v>0</v>
      </c>
    </row>
    <row r="12" spans="1:15" x14ac:dyDescent="0.3">
      <c r="C12" t="s">
        <v>70</v>
      </c>
      <c r="D12" t="s">
        <v>67</v>
      </c>
      <c r="E12" t="s">
        <v>68</v>
      </c>
      <c r="F12" t="s">
        <v>25</v>
      </c>
      <c r="G12" s="4">
        <v>10</v>
      </c>
      <c r="H12" s="4" t="s">
        <v>18</v>
      </c>
      <c r="I12" s="4" t="s">
        <v>69</v>
      </c>
      <c r="J12" s="4" t="s">
        <v>66</v>
      </c>
      <c r="K12" s="4">
        <v>1</v>
      </c>
      <c r="L12" s="94">
        <v>170117</v>
      </c>
      <c r="M12" s="94">
        <v>1701170</v>
      </c>
    </row>
    <row r="13" spans="1:15" x14ac:dyDescent="0.3">
      <c r="C13" t="s">
        <v>70</v>
      </c>
      <c r="D13" t="s">
        <v>67</v>
      </c>
      <c r="E13" t="s">
        <v>68</v>
      </c>
      <c r="F13" t="s">
        <v>26</v>
      </c>
      <c r="G13" s="4">
        <v>4</v>
      </c>
      <c r="H13" s="4" t="s">
        <v>17</v>
      </c>
      <c r="I13" s="4" t="s">
        <v>65</v>
      </c>
      <c r="J13" s="4" t="s">
        <v>66</v>
      </c>
      <c r="K13" s="4">
        <v>1</v>
      </c>
      <c r="L13" s="94">
        <v>23755</v>
      </c>
      <c r="M13" s="94">
        <v>95020</v>
      </c>
    </row>
    <row r="14" spans="1:15" x14ac:dyDescent="0.3">
      <c r="C14" t="s">
        <v>70</v>
      </c>
      <c r="D14" t="s">
        <v>67</v>
      </c>
      <c r="E14" t="s">
        <v>68</v>
      </c>
      <c r="F14" t="s">
        <v>25</v>
      </c>
      <c r="G14" s="4">
        <v>17</v>
      </c>
      <c r="H14" s="4" t="s">
        <v>74</v>
      </c>
      <c r="I14" s="4" t="s">
        <v>69</v>
      </c>
      <c r="J14" s="4" t="s">
        <v>66</v>
      </c>
      <c r="K14" s="4">
        <v>0</v>
      </c>
      <c r="L14" s="94">
        <v>59206</v>
      </c>
      <c r="M14" s="94">
        <v>1006502</v>
      </c>
    </row>
    <row r="15" spans="1:15" x14ac:dyDescent="0.3">
      <c r="C15" t="s">
        <v>71</v>
      </c>
      <c r="D15" t="s">
        <v>62</v>
      </c>
      <c r="E15" t="s">
        <v>68</v>
      </c>
      <c r="F15" t="s">
        <v>24</v>
      </c>
      <c r="G15" s="4">
        <v>17</v>
      </c>
      <c r="I15" s="4" t="s">
        <v>65</v>
      </c>
      <c r="J15" s="4" t="s">
        <v>66</v>
      </c>
      <c r="K15" s="4">
        <v>1</v>
      </c>
      <c r="L15" s="94">
        <v>32428</v>
      </c>
      <c r="M15" s="94">
        <v>551276</v>
      </c>
    </row>
    <row r="16" spans="1:15" x14ac:dyDescent="0.3">
      <c r="C16" t="s">
        <v>70</v>
      </c>
      <c r="D16" t="s">
        <v>67</v>
      </c>
      <c r="E16" t="s">
        <v>63</v>
      </c>
      <c r="F16" t="s">
        <v>25</v>
      </c>
      <c r="G16" s="4">
        <v>6</v>
      </c>
      <c r="H16" s="4" t="s">
        <v>74</v>
      </c>
      <c r="I16" s="4" t="s">
        <v>69</v>
      </c>
      <c r="J16" s="4" t="s">
        <v>66</v>
      </c>
      <c r="K16" s="4">
        <v>0</v>
      </c>
      <c r="L16" s="94">
        <v>-24573</v>
      </c>
      <c r="M16" s="94">
        <v>0</v>
      </c>
    </row>
    <row r="17" spans="3:13" x14ac:dyDescent="0.3">
      <c r="C17" t="s">
        <v>61</v>
      </c>
      <c r="D17" t="s">
        <v>67</v>
      </c>
      <c r="E17" t="s">
        <v>68</v>
      </c>
      <c r="F17" t="s">
        <v>72</v>
      </c>
      <c r="G17" s="4">
        <v>1</v>
      </c>
      <c r="H17" s="4" t="s">
        <v>78</v>
      </c>
      <c r="I17" s="4" t="s">
        <v>69</v>
      </c>
      <c r="J17" s="4" t="s">
        <v>66</v>
      </c>
      <c r="K17" s="4">
        <v>0</v>
      </c>
      <c r="L17" s="94">
        <v>110041</v>
      </c>
      <c r="M17" s="94">
        <v>110041</v>
      </c>
    </row>
    <row r="18" spans="3:13" x14ac:dyDescent="0.3">
      <c r="C18" t="s">
        <v>61</v>
      </c>
      <c r="D18" t="s">
        <v>67</v>
      </c>
      <c r="E18" t="s">
        <v>63</v>
      </c>
      <c r="F18" t="s">
        <v>25</v>
      </c>
      <c r="G18" s="4">
        <v>6</v>
      </c>
      <c r="H18" s="4" t="s">
        <v>75</v>
      </c>
      <c r="I18" s="4" t="s">
        <v>69</v>
      </c>
      <c r="J18" s="4" t="s">
        <v>66</v>
      </c>
      <c r="K18" s="4">
        <v>0</v>
      </c>
      <c r="L18" s="94">
        <v>-101850</v>
      </c>
      <c r="M18" s="94">
        <v>0</v>
      </c>
    </row>
    <row r="19" spans="3:13" x14ac:dyDescent="0.3">
      <c r="C19" t="s">
        <v>70</v>
      </c>
      <c r="D19" t="s">
        <v>67</v>
      </c>
      <c r="E19" t="s">
        <v>63</v>
      </c>
      <c r="F19" t="s">
        <v>26</v>
      </c>
      <c r="G19" s="4">
        <v>3</v>
      </c>
      <c r="H19" s="4" t="s">
        <v>82</v>
      </c>
      <c r="I19" s="4" t="s">
        <v>69</v>
      </c>
      <c r="J19" s="4" t="s">
        <v>66</v>
      </c>
      <c r="K19" s="4">
        <v>0</v>
      </c>
      <c r="L19" s="94">
        <v>-434540</v>
      </c>
      <c r="M19" s="94">
        <v>0</v>
      </c>
    </row>
    <row r="20" spans="3:13" x14ac:dyDescent="0.3">
      <c r="C20" t="s">
        <v>71</v>
      </c>
      <c r="D20" t="s">
        <v>67</v>
      </c>
      <c r="E20" t="s">
        <v>63</v>
      </c>
      <c r="F20" t="s">
        <v>26</v>
      </c>
      <c r="G20" s="4">
        <v>-4</v>
      </c>
      <c r="H20" s="4" t="s">
        <v>77</v>
      </c>
      <c r="I20" s="4" t="s">
        <v>69</v>
      </c>
      <c r="J20" s="4" t="s">
        <v>66</v>
      </c>
      <c r="K20" s="4">
        <v>0</v>
      </c>
      <c r="L20" s="94">
        <v>-321209</v>
      </c>
      <c r="M20" s="94">
        <v>0</v>
      </c>
    </row>
    <row r="21" spans="3:13" x14ac:dyDescent="0.3">
      <c r="C21" t="s">
        <v>70</v>
      </c>
      <c r="D21" t="s">
        <v>67</v>
      </c>
      <c r="E21" t="s">
        <v>68</v>
      </c>
      <c r="F21" t="s">
        <v>26</v>
      </c>
      <c r="G21" s="4">
        <v>5</v>
      </c>
      <c r="H21" s="4" t="s">
        <v>16</v>
      </c>
      <c r="I21" s="4" t="s">
        <v>65</v>
      </c>
      <c r="J21" s="4" t="s">
        <v>66</v>
      </c>
      <c r="K21" s="4">
        <v>1</v>
      </c>
      <c r="L21" s="94">
        <v>258445</v>
      </c>
      <c r="M21" s="94">
        <v>1292225</v>
      </c>
    </row>
    <row r="22" spans="3:13" x14ac:dyDescent="0.3">
      <c r="C22" t="s">
        <v>71</v>
      </c>
      <c r="D22" t="s">
        <v>62</v>
      </c>
      <c r="E22" t="s">
        <v>63</v>
      </c>
      <c r="F22" t="s">
        <v>24</v>
      </c>
      <c r="G22" s="4">
        <v>39</v>
      </c>
      <c r="I22" s="4" t="s">
        <v>69</v>
      </c>
      <c r="J22" s="4" t="s">
        <v>66</v>
      </c>
      <c r="K22" s="4">
        <v>0</v>
      </c>
      <c r="L22" s="94">
        <v>-495013</v>
      </c>
      <c r="M22" s="94">
        <v>0</v>
      </c>
    </row>
    <row r="23" spans="3:13" x14ac:dyDescent="0.3">
      <c r="C23" t="s">
        <v>61</v>
      </c>
      <c r="D23" t="s">
        <v>67</v>
      </c>
      <c r="E23" t="s">
        <v>63</v>
      </c>
      <c r="F23" t="s">
        <v>25</v>
      </c>
      <c r="G23" s="4">
        <v>-4</v>
      </c>
      <c r="H23" s="4" t="s">
        <v>74</v>
      </c>
      <c r="I23" s="4" t="s">
        <v>69</v>
      </c>
      <c r="J23" s="4" t="s">
        <v>66</v>
      </c>
      <c r="K23" s="4">
        <v>0</v>
      </c>
      <c r="L23" s="94">
        <v>0</v>
      </c>
      <c r="M23" s="94">
        <v>0</v>
      </c>
    </row>
    <row r="24" spans="3:13" x14ac:dyDescent="0.3">
      <c r="C24" t="s">
        <v>61</v>
      </c>
      <c r="D24" t="s">
        <v>67</v>
      </c>
      <c r="E24" t="s">
        <v>68</v>
      </c>
      <c r="F24" t="s">
        <v>26</v>
      </c>
      <c r="G24" s="4">
        <v>3</v>
      </c>
      <c r="H24" s="4" t="s">
        <v>12</v>
      </c>
      <c r="I24" s="4" t="s">
        <v>69</v>
      </c>
      <c r="J24" s="4" t="s">
        <v>66</v>
      </c>
      <c r="K24" s="4">
        <v>0</v>
      </c>
      <c r="L24" s="94">
        <v>2770415</v>
      </c>
      <c r="M24" s="94">
        <v>8311245</v>
      </c>
    </row>
    <row r="25" spans="3:13" x14ac:dyDescent="0.3">
      <c r="C25" t="s">
        <v>71</v>
      </c>
      <c r="D25" t="s">
        <v>67</v>
      </c>
      <c r="E25" t="s">
        <v>63</v>
      </c>
      <c r="F25" t="s">
        <v>26</v>
      </c>
      <c r="G25" s="4">
        <v>-1</v>
      </c>
      <c r="H25" s="4" t="s">
        <v>76</v>
      </c>
      <c r="I25" s="4" t="s">
        <v>69</v>
      </c>
      <c r="J25" s="4" t="s">
        <v>66</v>
      </c>
      <c r="K25" s="4">
        <v>0</v>
      </c>
      <c r="L25" s="94">
        <v>-1960843</v>
      </c>
      <c r="M25" s="94">
        <v>0</v>
      </c>
    </row>
    <row r="26" spans="3:13" x14ac:dyDescent="0.3">
      <c r="C26" t="s">
        <v>61</v>
      </c>
      <c r="D26" t="s">
        <v>67</v>
      </c>
      <c r="E26" t="s">
        <v>68</v>
      </c>
      <c r="F26" t="s">
        <v>72</v>
      </c>
      <c r="G26" s="4">
        <v>6</v>
      </c>
      <c r="H26" s="4" t="s">
        <v>82</v>
      </c>
      <c r="I26" s="4" t="s">
        <v>69</v>
      </c>
      <c r="J26" s="4" t="s">
        <v>66</v>
      </c>
      <c r="K26" s="4">
        <v>0</v>
      </c>
      <c r="L26" s="94">
        <v>1402838</v>
      </c>
      <c r="M26" s="94">
        <v>8417028</v>
      </c>
    </row>
    <row r="27" spans="3:13" x14ac:dyDescent="0.3">
      <c r="C27" t="s">
        <v>70</v>
      </c>
      <c r="D27" t="s">
        <v>67</v>
      </c>
      <c r="E27" t="s">
        <v>68</v>
      </c>
      <c r="F27" t="s">
        <v>72</v>
      </c>
      <c r="G27" s="4">
        <v>1</v>
      </c>
      <c r="H27" s="4" t="s">
        <v>18</v>
      </c>
      <c r="I27" s="4" t="s">
        <v>69</v>
      </c>
      <c r="J27" s="4" t="s">
        <v>73</v>
      </c>
      <c r="K27" s="4">
        <v>1</v>
      </c>
      <c r="L27" s="94">
        <v>71556</v>
      </c>
      <c r="M27" s="94">
        <v>71556</v>
      </c>
    </row>
    <row r="28" spans="3:13" x14ac:dyDescent="0.3">
      <c r="C28" t="s">
        <v>70</v>
      </c>
      <c r="D28" t="s">
        <v>67</v>
      </c>
      <c r="E28" t="s">
        <v>68</v>
      </c>
      <c r="F28" t="s">
        <v>25</v>
      </c>
      <c r="G28" s="4">
        <v>-4</v>
      </c>
      <c r="H28" s="4" t="s">
        <v>17</v>
      </c>
      <c r="I28" s="4" t="s">
        <v>69</v>
      </c>
      <c r="J28" s="4" t="s">
        <v>66</v>
      </c>
      <c r="K28" s="4">
        <v>0</v>
      </c>
      <c r="L28" s="94">
        <v>60932</v>
      </c>
      <c r="M28" s="94">
        <v>0</v>
      </c>
    </row>
    <row r="29" spans="3:13" x14ac:dyDescent="0.3">
      <c r="C29" t="s">
        <v>61</v>
      </c>
      <c r="D29" t="s">
        <v>67</v>
      </c>
      <c r="E29" t="s">
        <v>63</v>
      </c>
      <c r="F29" t="s">
        <v>26</v>
      </c>
      <c r="G29" s="4">
        <v>-1</v>
      </c>
      <c r="H29" s="4" t="s">
        <v>81</v>
      </c>
      <c r="I29" s="4" t="s">
        <v>69</v>
      </c>
      <c r="J29" s="4" t="s">
        <v>66</v>
      </c>
      <c r="K29" s="4">
        <v>0</v>
      </c>
      <c r="L29" s="94">
        <v>-2301</v>
      </c>
      <c r="M29" s="94">
        <v>0</v>
      </c>
    </row>
    <row r="30" spans="3:13" x14ac:dyDescent="0.3">
      <c r="C30" t="s">
        <v>61</v>
      </c>
      <c r="D30" t="s">
        <v>67</v>
      </c>
      <c r="E30" t="s">
        <v>68</v>
      </c>
      <c r="F30" t="s">
        <v>72</v>
      </c>
      <c r="G30" s="4">
        <v>7</v>
      </c>
      <c r="H30" s="4" t="s">
        <v>12</v>
      </c>
      <c r="I30" s="4" t="s">
        <v>69</v>
      </c>
      <c r="J30" s="4" t="s">
        <v>73</v>
      </c>
      <c r="K30" s="4">
        <v>1</v>
      </c>
      <c r="L30" s="94">
        <v>1304233</v>
      </c>
      <c r="M30" s="94">
        <v>9129631</v>
      </c>
    </row>
    <row r="31" spans="3:13" x14ac:dyDescent="0.3">
      <c r="C31" t="s">
        <v>70</v>
      </c>
      <c r="D31" t="s">
        <v>67</v>
      </c>
      <c r="E31" t="s">
        <v>63</v>
      </c>
      <c r="F31" t="s">
        <v>25</v>
      </c>
      <c r="G31" s="4">
        <v>1</v>
      </c>
      <c r="H31" s="4" t="s">
        <v>14</v>
      </c>
      <c r="I31" s="4" t="s">
        <v>69</v>
      </c>
      <c r="J31" s="4" t="s">
        <v>66</v>
      </c>
      <c r="K31" s="4">
        <v>0</v>
      </c>
      <c r="L31" s="94">
        <v>-2595</v>
      </c>
      <c r="M31" s="94">
        <v>0</v>
      </c>
    </row>
    <row r="32" spans="3:13" x14ac:dyDescent="0.3">
      <c r="C32" t="s">
        <v>61</v>
      </c>
      <c r="D32" t="s">
        <v>67</v>
      </c>
      <c r="E32" t="s">
        <v>63</v>
      </c>
      <c r="F32" t="s">
        <v>25</v>
      </c>
      <c r="G32" s="4">
        <v>8</v>
      </c>
      <c r="H32" s="4" t="s">
        <v>16</v>
      </c>
      <c r="I32" s="4" t="s">
        <v>69</v>
      </c>
      <c r="J32" s="4" t="s">
        <v>66</v>
      </c>
      <c r="K32" s="4">
        <v>0</v>
      </c>
      <c r="L32" s="94">
        <v>-1295</v>
      </c>
      <c r="M32" s="94">
        <v>0</v>
      </c>
    </row>
    <row r="33" spans="3:13" x14ac:dyDescent="0.3">
      <c r="C33" t="s">
        <v>61</v>
      </c>
      <c r="D33" t="s">
        <v>67</v>
      </c>
      <c r="E33" t="s">
        <v>63</v>
      </c>
      <c r="F33" t="s">
        <v>25</v>
      </c>
      <c r="G33" s="4">
        <v>5</v>
      </c>
      <c r="H33" s="4" t="s">
        <v>17</v>
      </c>
      <c r="I33" s="4" t="s">
        <v>69</v>
      </c>
      <c r="J33" s="4" t="s">
        <v>66</v>
      </c>
      <c r="K33" s="4">
        <v>1</v>
      </c>
      <c r="L33" s="94">
        <v>-41</v>
      </c>
      <c r="M33" s="94">
        <v>0</v>
      </c>
    </row>
    <row r="34" spans="3:13" x14ac:dyDescent="0.3">
      <c r="C34" t="s">
        <v>61</v>
      </c>
      <c r="D34" t="s">
        <v>67</v>
      </c>
      <c r="E34" t="s">
        <v>63</v>
      </c>
      <c r="F34" t="s">
        <v>72</v>
      </c>
      <c r="G34" s="4">
        <v>-1</v>
      </c>
      <c r="H34" s="4" t="s">
        <v>64</v>
      </c>
      <c r="I34" s="4" t="s">
        <v>69</v>
      </c>
      <c r="J34" s="4" t="s">
        <v>66</v>
      </c>
      <c r="K34" s="4">
        <v>0</v>
      </c>
      <c r="L34" s="94">
        <v>-656</v>
      </c>
      <c r="M34" s="94">
        <v>0</v>
      </c>
    </row>
    <row r="35" spans="3:13" x14ac:dyDescent="0.3">
      <c r="C35" t="s">
        <v>71</v>
      </c>
      <c r="D35" t="s">
        <v>67</v>
      </c>
      <c r="E35" t="s">
        <v>63</v>
      </c>
      <c r="F35" t="s">
        <v>72</v>
      </c>
      <c r="G35" s="4">
        <v>3</v>
      </c>
      <c r="H35" s="4" t="s">
        <v>83</v>
      </c>
      <c r="I35" s="4" t="s">
        <v>69</v>
      </c>
      <c r="J35" s="4" t="s">
        <v>66</v>
      </c>
      <c r="K35" s="4">
        <v>0</v>
      </c>
      <c r="L35" s="94">
        <v>-32824</v>
      </c>
      <c r="M35" s="94">
        <v>0</v>
      </c>
    </row>
    <row r="36" spans="3:13" x14ac:dyDescent="0.3">
      <c r="C36" t="s">
        <v>70</v>
      </c>
      <c r="D36" t="s">
        <v>67</v>
      </c>
      <c r="E36" t="s">
        <v>63</v>
      </c>
      <c r="F36" t="s">
        <v>25</v>
      </c>
      <c r="G36" s="4">
        <v>5</v>
      </c>
      <c r="H36" s="4" t="s">
        <v>18</v>
      </c>
      <c r="I36" s="4" t="s">
        <v>69</v>
      </c>
      <c r="J36" s="4" t="s">
        <v>66</v>
      </c>
      <c r="K36" s="4">
        <v>1</v>
      </c>
      <c r="L36" s="94">
        <v>-1298</v>
      </c>
      <c r="M36" s="94">
        <v>0</v>
      </c>
    </row>
    <row r="37" spans="3:13" x14ac:dyDescent="0.3">
      <c r="C37" t="s">
        <v>71</v>
      </c>
      <c r="D37" t="s">
        <v>67</v>
      </c>
      <c r="E37" t="s">
        <v>68</v>
      </c>
      <c r="F37" t="s">
        <v>26</v>
      </c>
      <c r="G37" s="4">
        <v>4</v>
      </c>
      <c r="H37" s="4" t="s">
        <v>17</v>
      </c>
      <c r="I37" s="4" t="s">
        <v>69</v>
      </c>
      <c r="J37" s="4" t="s">
        <v>66</v>
      </c>
      <c r="K37" s="4">
        <v>0</v>
      </c>
      <c r="L37" s="94">
        <v>1024281</v>
      </c>
      <c r="M37" s="94">
        <v>4097124</v>
      </c>
    </row>
    <row r="38" spans="3:13" x14ac:dyDescent="0.3">
      <c r="C38" t="s">
        <v>61</v>
      </c>
      <c r="D38" t="s">
        <v>67</v>
      </c>
      <c r="E38" t="s">
        <v>68</v>
      </c>
      <c r="F38" t="s">
        <v>25</v>
      </c>
      <c r="G38" s="4">
        <v>4</v>
      </c>
      <c r="H38" s="4" t="s">
        <v>14</v>
      </c>
      <c r="I38" s="4" t="s">
        <v>69</v>
      </c>
      <c r="J38" s="4" t="s">
        <v>66</v>
      </c>
      <c r="K38" s="4">
        <v>1</v>
      </c>
      <c r="L38" s="94">
        <v>2907645</v>
      </c>
      <c r="M38" s="94">
        <v>11630580</v>
      </c>
    </row>
    <row r="39" spans="3:13" x14ac:dyDescent="0.3">
      <c r="C39" t="s">
        <v>70</v>
      </c>
      <c r="D39" t="s">
        <v>67</v>
      </c>
      <c r="E39" t="s">
        <v>68</v>
      </c>
      <c r="F39" t="s">
        <v>72</v>
      </c>
      <c r="G39" s="4">
        <v>2</v>
      </c>
      <c r="H39" s="4" t="s">
        <v>74</v>
      </c>
      <c r="I39" s="4" t="s">
        <v>69</v>
      </c>
      <c r="J39" s="4" t="s">
        <v>66</v>
      </c>
      <c r="K39" s="4">
        <v>0</v>
      </c>
      <c r="L39" s="94">
        <v>503250</v>
      </c>
      <c r="M39" s="94">
        <v>1006500</v>
      </c>
    </row>
    <row r="40" spans="3:13" x14ac:dyDescent="0.3">
      <c r="C40" t="s">
        <v>70</v>
      </c>
      <c r="D40" t="s">
        <v>67</v>
      </c>
      <c r="E40" t="s">
        <v>68</v>
      </c>
      <c r="F40" t="s">
        <v>25</v>
      </c>
      <c r="G40" s="4">
        <v>4</v>
      </c>
      <c r="H40" s="4" t="s">
        <v>18</v>
      </c>
      <c r="I40" s="4" t="s">
        <v>69</v>
      </c>
      <c r="J40" s="4" t="s">
        <v>66</v>
      </c>
      <c r="K40" s="4">
        <v>0</v>
      </c>
      <c r="L40" s="94">
        <v>1135074</v>
      </c>
      <c r="M40" s="94">
        <v>4540296</v>
      </c>
    </row>
    <row r="41" spans="3:13" x14ac:dyDescent="0.3">
      <c r="C41" t="s">
        <v>71</v>
      </c>
      <c r="D41" t="s">
        <v>67</v>
      </c>
      <c r="E41" t="s">
        <v>68</v>
      </c>
      <c r="F41" t="s">
        <v>72</v>
      </c>
      <c r="G41" s="4">
        <v>3</v>
      </c>
      <c r="H41" s="4" t="s">
        <v>64</v>
      </c>
      <c r="I41" s="4" t="s">
        <v>69</v>
      </c>
      <c r="J41" s="4" t="s">
        <v>66</v>
      </c>
      <c r="K41" s="4">
        <v>0</v>
      </c>
      <c r="L41" s="94">
        <v>111740</v>
      </c>
      <c r="M41" s="94">
        <v>335220</v>
      </c>
    </row>
    <row r="42" spans="3:13" x14ac:dyDescent="0.3">
      <c r="C42" t="s">
        <v>61</v>
      </c>
      <c r="D42" t="s">
        <v>67</v>
      </c>
      <c r="E42" t="s">
        <v>63</v>
      </c>
      <c r="F42" t="s">
        <v>25</v>
      </c>
      <c r="G42" s="4">
        <v>11</v>
      </c>
      <c r="H42" s="4" t="s">
        <v>76</v>
      </c>
      <c r="I42" s="4" t="s">
        <v>69</v>
      </c>
      <c r="J42" s="4" t="s">
        <v>66</v>
      </c>
      <c r="K42" s="4">
        <v>0</v>
      </c>
      <c r="L42" s="94">
        <v>-98309</v>
      </c>
      <c r="M42" s="94">
        <v>0</v>
      </c>
    </row>
    <row r="43" spans="3:13" x14ac:dyDescent="0.3">
      <c r="C43" t="s">
        <v>70</v>
      </c>
      <c r="D43" t="s">
        <v>62</v>
      </c>
      <c r="E43" t="s">
        <v>68</v>
      </c>
      <c r="F43" t="s">
        <v>24</v>
      </c>
      <c r="G43" s="4">
        <v>37</v>
      </c>
      <c r="I43" s="4" t="s">
        <v>69</v>
      </c>
      <c r="J43" s="4" t="s">
        <v>66</v>
      </c>
      <c r="K43" s="4">
        <v>0</v>
      </c>
      <c r="L43" s="94">
        <v>67290603</v>
      </c>
      <c r="M43" s="94">
        <v>2489752311</v>
      </c>
    </row>
    <row r="44" spans="3:13" x14ac:dyDescent="0.3">
      <c r="C44" t="s">
        <v>61</v>
      </c>
      <c r="D44" t="s">
        <v>67</v>
      </c>
      <c r="E44" t="s">
        <v>68</v>
      </c>
      <c r="F44" t="s">
        <v>26</v>
      </c>
      <c r="G44" s="4">
        <v>-1</v>
      </c>
      <c r="H44" s="4" t="s">
        <v>14</v>
      </c>
      <c r="I44" s="4" t="s">
        <v>69</v>
      </c>
      <c r="J44" s="4" t="s">
        <v>66</v>
      </c>
      <c r="K44" s="4">
        <v>0</v>
      </c>
      <c r="L44" s="94">
        <v>75940862</v>
      </c>
      <c r="M44" s="94">
        <v>0</v>
      </c>
    </row>
    <row r="45" spans="3:13" x14ac:dyDescent="0.3">
      <c r="C45" t="s">
        <v>61</v>
      </c>
      <c r="D45" t="s">
        <v>67</v>
      </c>
      <c r="E45" t="s">
        <v>63</v>
      </c>
      <c r="F45" t="s">
        <v>26</v>
      </c>
      <c r="G45" s="4">
        <v>0</v>
      </c>
      <c r="H45" s="4" t="s">
        <v>77</v>
      </c>
      <c r="I45" s="4" t="s">
        <v>69</v>
      </c>
      <c r="J45" s="4" t="s">
        <v>66</v>
      </c>
      <c r="K45" s="4">
        <v>0</v>
      </c>
      <c r="L45" s="94">
        <v>-67480</v>
      </c>
      <c r="M45" s="94">
        <v>0</v>
      </c>
    </row>
    <row r="46" spans="3:13" x14ac:dyDescent="0.3">
      <c r="C46" t="s">
        <v>71</v>
      </c>
      <c r="D46" t="s">
        <v>62</v>
      </c>
      <c r="E46" t="s">
        <v>68</v>
      </c>
      <c r="F46" t="s">
        <v>24</v>
      </c>
      <c r="G46" s="4">
        <v>29</v>
      </c>
      <c r="I46" s="4" t="s">
        <v>69</v>
      </c>
      <c r="J46" s="4" t="s">
        <v>66</v>
      </c>
      <c r="K46" s="4">
        <v>1</v>
      </c>
      <c r="L46" s="94">
        <v>47410</v>
      </c>
      <c r="M46" s="94">
        <v>1374890</v>
      </c>
    </row>
    <row r="47" spans="3:13" x14ac:dyDescent="0.3">
      <c r="C47" t="s">
        <v>70</v>
      </c>
      <c r="D47" t="s">
        <v>67</v>
      </c>
      <c r="E47" t="s">
        <v>63</v>
      </c>
      <c r="F47" t="s">
        <v>72</v>
      </c>
      <c r="G47" s="4">
        <v>1</v>
      </c>
      <c r="H47" s="4" t="s">
        <v>17</v>
      </c>
      <c r="I47" s="4" t="s">
        <v>69</v>
      </c>
      <c r="J47" s="4" t="s">
        <v>66</v>
      </c>
      <c r="K47" s="4">
        <v>0</v>
      </c>
      <c r="L47" s="94">
        <v>-29777</v>
      </c>
      <c r="M47" s="94">
        <v>0</v>
      </c>
    </row>
    <row r="48" spans="3:13" x14ac:dyDescent="0.3">
      <c r="C48" t="s">
        <v>61</v>
      </c>
      <c r="D48" t="s">
        <v>67</v>
      </c>
      <c r="E48" t="s">
        <v>68</v>
      </c>
      <c r="F48" t="s">
        <v>25</v>
      </c>
      <c r="G48" s="4">
        <v>7</v>
      </c>
      <c r="H48" s="4" t="s">
        <v>18</v>
      </c>
      <c r="I48" s="4" t="s">
        <v>65</v>
      </c>
      <c r="J48" s="4" t="s">
        <v>66</v>
      </c>
      <c r="K48" s="4">
        <v>1</v>
      </c>
      <c r="L48" s="94">
        <v>71745</v>
      </c>
      <c r="M48" s="94">
        <v>502215</v>
      </c>
    </row>
    <row r="49" spans="3:13" x14ac:dyDescent="0.3">
      <c r="C49" t="s">
        <v>70</v>
      </c>
      <c r="D49" t="s">
        <v>67</v>
      </c>
      <c r="E49" t="s">
        <v>63</v>
      </c>
      <c r="F49" t="s">
        <v>26</v>
      </c>
      <c r="G49" s="4">
        <v>2</v>
      </c>
      <c r="H49" s="4" t="s">
        <v>18</v>
      </c>
      <c r="I49" s="4" t="s">
        <v>69</v>
      </c>
      <c r="J49" s="4" t="s">
        <v>73</v>
      </c>
      <c r="K49" s="4">
        <v>1</v>
      </c>
      <c r="L49" s="94">
        <v>-98308</v>
      </c>
      <c r="M49" s="94">
        <v>0</v>
      </c>
    </row>
    <row r="50" spans="3:13" x14ac:dyDescent="0.3">
      <c r="C50" t="s">
        <v>71</v>
      </c>
      <c r="D50" t="s">
        <v>67</v>
      </c>
      <c r="E50" t="s">
        <v>68</v>
      </c>
      <c r="F50" t="s">
        <v>25</v>
      </c>
      <c r="G50" s="4">
        <v>6</v>
      </c>
      <c r="H50" s="4" t="s">
        <v>17</v>
      </c>
      <c r="I50" s="4" t="s">
        <v>69</v>
      </c>
      <c r="J50" s="4" t="s">
        <v>66</v>
      </c>
      <c r="K50" s="4">
        <v>0</v>
      </c>
      <c r="L50" s="94">
        <v>169548</v>
      </c>
      <c r="M50" s="94">
        <v>1017288</v>
      </c>
    </row>
    <row r="51" spans="3:13" x14ac:dyDescent="0.3">
      <c r="C51" t="s">
        <v>61</v>
      </c>
      <c r="D51" t="s">
        <v>67</v>
      </c>
      <c r="E51" t="s">
        <v>63</v>
      </c>
      <c r="F51" t="s">
        <v>26</v>
      </c>
      <c r="G51" s="4">
        <v>0</v>
      </c>
      <c r="H51" s="4" t="s">
        <v>12</v>
      </c>
      <c r="I51" s="4" t="s">
        <v>65</v>
      </c>
      <c r="J51" s="4" t="s">
        <v>73</v>
      </c>
      <c r="K51" s="4">
        <v>1</v>
      </c>
      <c r="L51" s="94">
        <v>-724</v>
      </c>
      <c r="M51" s="94">
        <v>0</v>
      </c>
    </row>
    <row r="52" spans="3:13" x14ac:dyDescent="0.3">
      <c r="C52" t="s">
        <v>70</v>
      </c>
      <c r="D52" t="s">
        <v>62</v>
      </c>
      <c r="E52" t="s">
        <v>68</v>
      </c>
      <c r="F52" t="s">
        <v>24</v>
      </c>
      <c r="G52" s="4">
        <v>39</v>
      </c>
      <c r="I52" s="4" t="s">
        <v>65</v>
      </c>
      <c r="J52" s="4" t="s">
        <v>66</v>
      </c>
      <c r="K52" s="4">
        <v>1</v>
      </c>
      <c r="L52" s="94">
        <v>556514</v>
      </c>
      <c r="M52" s="94">
        <v>21704046</v>
      </c>
    </row>
    <row r="53" spans="3:13" x14ac:dyDescent="0.3">
      <c r="C53" t="s">
        <v>70</v>
      </c>
      <c r="D53" t="s">
        <v>62</v>
      </c>
      <c r="E53" t="s">
        <v>68</v>
      </c>
      <c r="F53" t="s">
        <v>24</v>
      </c>
      <c r="G53" s="4">
        <v>11</v>
      </c>
      <c r="I53" s="4" t="s">
        <v>69</v>
      </c>
      <c r="J53" s="4" t="s">
        <v>66</v>
      </c>
      <c r="K53" s="4">
        <v>1</v>
      </c>
      <c r="L53" s="94">
        <v>229278</v>
      </c>
      <c r="M53" s="94">
        <v>2522058</v>
      </c>
    </row>
    <row r="54" spans="3:13" x14ac:dyDescent="0.3">
      <c r="C54" t="s">
        <v>71</v>
      </c>
      <c r="D54" t="s">
        <v>67</v>
      </c>
      <c r="E54" t="s">
        <v>68</v>
      </c>
      <c r="F54" t="s">
        <v>26</v>
      </c>
      <c r="G54" s="4">
        <v>2</v>
      </c>
      <c r="H54" s="4" t="s">
        <v>14</v>
      </c>
      <c r="I54" s="4" t="s">
        <v>69</v>
      </c>
      <c r="J54" s="4" t="s">
        <v>66</v>
      </c>
      <c r="K54" s="4">
        <v>0</v>
      </c>
      <c r="L54" s="94">
        <v>4392465</v>
      </c>
      <c r="M54" s="94">
        <v>8784930</v>
      </c>
    </row>
    <row r="55" spans="3:13" x14ac:dyDescent="0.3">
      <c r="C55" t="s">
        <v>71</v>
      </c>
      <c r="D55" t="s">
        <v>67</v>
      </c>
      <c r="E55" t="s">
        <v>63</v>
      </c>
      <c r="F55" t="s">
        <v>25</v>
      </c>
      <c r="G55" s="4">
        <v>11</v>
      </c>
      <c r="H55" s="4" t="s">
        <v>80</v>
      </c>
      <c r="I55" s="4" t="s">
        <v>69</v>
      </c>
      <c r="J55" s="4" t="s">
        <v>66</v>
      </c>
      <c r="K55" s="4">
        <v>0</v>
      </c>
      <c r="L55" s="94">
        <v>-22652</v>
      </c>
      <c r="M55" s="94">
        <v>0</v>
      </c>
    </row>
    <row r="56" spans="3:13" x14ac:dyDescent="0.3">
      <c r="C56" t="s">
        <v>71</v>
      </c>
      <c r="D56" t="s">
        <v>85</v>
      </c>
      <c r="E56" t="s">
        <v>68</v>
      </c>
      <c r="F56" t="s">
        <v>25</v>
      </c>
      <c r="G56" s="4">
        <v>13</v>
      </c>
      <c r="H56" s="4" t="s">
        <v>81</v>
      </c>
      <c r="I56" s="4" t="s">
        <v>69</v>
      </c>
      <c r="J56" s="4" t="s">
        <v>66</v>
      </c>
      <c r="K56" s="4">
        <v>0</v>
      </c>
      <c r="L56" s="94">
        <v>372596</v>
      </c>
      <c r="M56" s="94">
        <v>4843748</v>
      </c>
    </row>
    <row r="57" spans="3:13" x14ac:dyDescent="0.3">
      <c r="C57" t="s">
        <v>71</v>
      </c>
      <c r="D57" t="s">
        <v>67</v>
      </c>
      <c r="E57" t="s">
        <v>68</v>
      </c>
      <c r="F57" t="s">
        <v>26</v>
      </c>
      <c r="G57" s="4">
        <v>-4</v>
      </c>
      <c r="H57" s="4" t="s">
        <v>18</v>
      </c>
      <c r="I57" s="4" t="s">
        <v>69</v>
      </c>
      <c r="J57" s="4" t="s">
        <v>73</v>
      </c>
      <c r="K57" s="4">
        <v>1</v>
      </c>
      <c r="L57" s="94">
        <v>106157</v>
      </c>
      <c r="M57" s="94">
        <v>0</v>
      </c>
    </row>
    <row r="58" spans="3:13" x14ac:dyDescent="0.3">
      <c r="C58" t="s">
        <v>70</v>
      </c>
      <c r="D58" t="s">
        <v>84</v>
      </c>
      <c r="E58" t="s">
        <v>63</v>
      </c>
      <c r="F58" t="s">
        <v>25</v>
      </c>
      <c r="G58" s="4">
        <v>7</v>
      </c>
      <c r="H58" s="4" t="s">
        <v>81</v>
      </c>
      <c r="I58" s="4" t="s">
        <v>69</v>
      </c>
      <c r="J58" s="4" t="s">
        <v>66</v>
      </c>
      <c r="K58" s="4">
        <v>0</v>
      </c>
      <c r="L58" s="94">
        <v>-10654</v>
      </c>
      <c r="M58" s="94">
        <v>0</v>
      </c>
    </row>
    <row r="59" spans="3:13" x14ac:dyDescent="0.3">
      <c r="C59" t="s">
        <v>71</v>
      </c>
      <c r="D59" t="s">
        <v>67</v>
      </c>
      <c r="E59" t="s">
        <v>63</v>
      </c>
      <c r="F59" t="s">
        <v>26</v>
      </c>
      <c r="G59" s="4">
        <v>14</v>
      </c>
      <c r="H59" s="4" t="s">
        <v>14</v>
      </c>
      <c r="I59" s="4" t="s">
        <v>69</v>
      </c>
      <c r="J59" s="4" t="s">
        <v>66</v>
      </c>
      <c r="K59" s="4">
        <v>0</v>
      </c>
      <c r="L59" s="94">
        <v>-1134019</v>
      </c>
      <c r="M59" s="94">
        <v>0</v>
      </c>
    </row>
    <row r="60" spans="3:13" x14ac:dyDescent="0.3">
      <c r="C60" t="s">
        <v>70</v>
      </c>
      <c r="D60" t="s">
        <v>67</v>
      </c>
      <c r="E60" t="s">
        <v>63</v>
      </c>
      <c r="F60" t="s">
        <v>26</v>
      </c>
      <c r="G60" s="4">
        <v>5</v>
      </c>
      <c r="H60" s="4" t="s">
        <v>12</v>
      </c>
      <c r="I60" s="4" t="s">
        <v>69</v>
      </c>
      <c r="J60" s="4" t="s">
        <v>66</v>
      </c>
      <c r="K60" s="4">
        <v>0</v>
      </c>
      <c r="L60" s="94">
        <v>-18419</v>
      </c>
      <c r="M60" s="94">
        <v>0</v>
      </c>
    </row>
    <row r="61" spans="3:13" x14ac:dyDescent="0.3">
      <c r="C61" t="s">
        <v>61</v>
      </c>
      <c r="D61" t="s">
        <v>67</v>
      </c>
      <c r="E61" t="s">
        <v>68</v>
      </c>
      <c r="F61" t="s">
        <v>26</v>
      </c>
      <c r="G61" s="4">
        <v>1</v>
      </c>
      <c r="H61" s="4" t="s">
        <v>13</v>
      </c>
      <c r="I61" s="4" t="s">
        <v>69</v>
      </c>
      <c r="J61" s="4" t="s">
        <v>73</v>
      </c>
      <c r="K61" s="4">
        <v>1</v>
      </c>
      <c r="L61" s="94">
        <v>353956</v>
      </c>
      <c r="M61" s="94">
        <v>353956</v>
      </c>
    </row>
    <row r="62" spans="3:13" x14ac:dyDescent="0.3">
      <c r="C62" t="s">
        <v>61</v>
      </c>
      <c r="D62" t="s">
        <v>67</v>
      </c>
      <c r="E62" t="s">
        <v>68</v>
      </c>
      <c r="F62" t="s">
        <v>25</v>
      </c>
      <c r="G62" s="4">
        <v>5</v>
      </c>
      <c r="H62" s="4" t="s">
        <v>14</v>
      </c>
      <c r="I62" s="4" t="s">
        <v>69</v>
      </c>
      <c r="J62" s="4" t="s">
        <v>66</v>
      </c>
      <c r="K62" s="4">
        <v>1</v>
      </c>
      <c r="L62" s="94">
        <v>2330092</v>
      </c>
      <c r="M62" s="94">
        <v>11650460</v>
      </c>
    </row>
    <row r="63" spans="3:13" x14ac:dyDescent="0.3">
      <c r="C63" t="s">
        <v>61</v>
      </c>
      <c r="D63" t="s">
        <v>67</v>
      </c>
      <c r="E63" t="s">
        <v>68</v>
      </c>
      <c r="F63" t="s">
        <v>26</v>
      </c>
      <c r="G63" s="4">
        <v>11</v>
      </c>
      <c r="H63" s="4" t="s">
        <v>64</v>
      </c>
      <c r="I63" s="4" t="s">
        <v>69</v>
      </c>
      <c r="J63" s="4" t="s">
        <v>66</v>
      </c>
      <c r="K63" s="4">
        <v>0</v>
      </c>
      <c r="L63" s="94">
        <v>114365</v>
      </c>
      <c r="M63" s="94">
        <v>1258015</v>
      </c>
    </row>
    <row r="64" spans="3:13" x14ac:dyDescent="0.3">
      <c r="C64" t="s">
        <v>61</v>
      </c>
      <c r="D64" t="s">
        <v>67</v>
      </c>
      <c r="E64" t="s">
        <v>68</v>
      </c>
      <c r="F64" t="s">
        <v>26</v>
      </c>
      <c r="G64" s="4">
        <v>0</v>
      </c>
      <c r="H64" s="4" t="s">
        <v>89</v>
      </c>
      <c r="I64" s="4" t="s">
        <v>69</v>
      </c>
      <c r="J64" s="4" t="s">
        <v>66</v>
      </c>
      <c r="K64" s="4">
        <v>0</v>
      </c>
      <c r="L64" s="94">
        <v>29873</v>
      </c>
      <c r="M64" s="94">
        <v>0</v>
      </c>
    </row>
    <row r="65" spans="3:13" x14ac:dyDescent="0.3">
      <c r="C65" t="s">
        <v>70</v>
      </c>
      <c r="D65" t="s">
        <v>67</v>
      </c>
      <c r="E65" t="s">
        <v>68</v>
      </c>
      <c r="F65" t="s">
        <v>25</v>
      </c>
      <c r="G65" s="4">
        <v>2</v>
      </c>
      <c r="H65" s="4" t="s">
        <v>14</v>
      </c>
      <c r="I65" s="4" t="s">
        <v>69</v>
      </c>
      <c r="J65" s="4" t="s">
        <v>66</v>
      </c>
      <c r="K65" s="4">
        <v>0</v>
      </c>
      <c r="L65" s="94">
        <v>293769</v>
      </c>
      <c r="M65" s="94">
        <v>587538</v>
      </c>
    </row>
    <row r="66" spans="3:13" x14ac:dyDescent="0.3">
      <c r="C66" t="s">
        <v>70</v>
      </c>
      <c r="D66" t="s">
        <v>67</v>
      </c>
      <c r="E66" t="s">
        <v>68</v>
      </c>
      <c r="F66" t="s">
        <v>25</v>
      </c>
      <c r="G66" s="4">
        <v>11</v>
      </c>
      <c r="H66" s="4" t="s">
        <v>78</v>
      </c>
      <c r="I66" s="4" t="s">
        <v>69</v>
      </c>
      <c r="J66" s="4" t="s">
        <v>66</v>
      </c>
      <c r="K66" s="4">
        <v>0</v>
      </c>
      <c r="L66" s="94">
        <v>102746</v>
      </c>
      <c r="M66" s="94">
        <v>1130206</v>
      </c>
    </row>
    <row r="67" spans="3:13" x14ac:dyDescent="0.3">
      <c r="C67" t="s">
        <v>61</v>
      </c>
      <c r="D67" t="s">
        <v>67</v>
      </c>
      <c r="E67" t="s">
        <v>63</v>
      </c>
      <c r="F67" t="s">
        <v>25</v>
      </c>
      <c r="G67" s="4">
        <v>0</v>
      </c>
      <c r="H67" s="4" t="s">
        <v>12</v>
      </c>
      <c r="I67" s="4" t="s">
        <v>69</v>
      </c>
      <c r="J67" s="4" t="s">
        <v>66</v>
      </c>
      <c r="K67" s="4">
        <v>1</v>
      </c>
      <c r="L67" s="94">
        <v>-14</v>
      </c>
      <c r="M67" s="94">
        <v>0</v>
      </c>
    </row>
    <row r="68" spans="3:13" x14ac:dyDescent="0.3">
      <c r="C68" t="s">
        <v>61</v>
      </c>
      <c r="D68" t="s">
        <v>67</v>
      </c>
      <c r="E68" t="s">
        <v>68</v>
      </c>
      <c r="F68" t="s">
        <v>25</v>
      </c>
      <c r="G68" s="4">
        <v>2</v>
      </c>
      <c r="H68" s="4" t="s">
        <v>18</v>
      </c>
      <c r="I68" s="4" t="s">
        <v>69</v>
      </c>
      <c r="J68" s="4" t="s">
        <v>66</v>
      </c>
      <c r="K68" s="4">
        <v>1</v>
      </c>
      <c r="L68" s="94">
        <v>1638291</v>
      </c>
      <c r="M68" s="94">
        <v>3276582</v>
      </c>
    </row>
    <row r="69" spans="3:13" x14ac:dyDescent="0.3">
      <c r="C69" t="s">
        <v>61</v>
      </c>
      <c r="D69" t="s">
        <v>62</v>
      </c>
      <c r="E69" t="s">
        <v>68</v>
      </c>
      <c r="F69" t="s">
        <v>24</v>
      </c>
      <c r="G69" s="4">
        <v>39</v>
      </c>
      <c r="I69" s="4" t="s">
        <v>69</v>
      </c>
      <c r="J69" s="4" t="s">
        <v>66</v>
      </c>
      <c r="K69" s="4">
        <v>0</v>
      </c>
      <c r="L69" s="94">
        <v>390351290</v>
      </c>
      <c r="M69" s="94">
        <v>15223700310</v>
      </c>
    </row>
    <row r="70" spans="3:13" x14ac:dyDescent="0.3">
      <c r="C70" t="s">
        <v>70</v>
      </c>
      <c r="D70" t="s">
        <v>67</v>
      </c>
      <c r="E70" t="s">
        <v>63</v>
      </c>
      <c r="F70" t="s">
        <v>25</v>
      </c>
      <c r="G70" s="4">
        <v>6</v>
      </c>
      <c r="H70" s="4" t="s">
        <v>80</v>
      </c>
      <c r="I70" s="4" t="s">
        <v>69</v>
      </c>
      <c r="J70" s="4" t="s">
        <v>66</v>
      </c>
      <c r="K70" s="4">
        <v>0</v>
      </c>
      <c r="L70" s="94">
        <v>-266</v>
      </c>
      <c r="M70" s="94">
        <v>0</v>
      </c>
    </row>
    <row r="71" spans="3:13" x14ac:dyDescent="0.3">
      <c r="C71" t="s">
        <v>71</v>
      </c>
      <c r="D71" t="s">
        <v>67</v>
      </c>
      <c r="E71" t="s">
        <v>68</v>
      </c>
      <c r="F71" t="s">
        <v>26</v>
      </c>
      <c r="G71" s="4">
        <v>9</v>
      </c>
      <c r="H71" s="4" t="s">
        <v>18</v>
      </c>
      <c r="I71" s="4" t="s">
        <v>69</v>
      </c>
      <c r="J71" s="4" t="s">
        <v>66</v>
      </c>
      <c r="K71" s="4">
        <v>0</v>
      </c>
      <c r="L71" s="94">
        <v>4715721</v>
      </c>
      <c r="M71" s="94">
        <v>42441489</v>
      </c>
    </row>
    <row r="72" spans="3:13" x14ac:dyDescent="0.3">
      <c r="C72" t="s">
        <v>61</v>
      </c>
      <c r="D72" t="s">
        <v>67</v>
      </c>
      <c r="E72" t="s">
        <v>63</v>
      </c>
      <c r="F72" t="s">
        <v>25</v>
      </c>
      <c r="G72" s="4">
        <v>6</v>
      </c>
      <c r="H72" s="4" t="s">
        <v>83</v>
      </c>
      <c r="I72" s="4" t="s">
        <v>69</v>
      </c>
      <c r="J72" s="4" t="s">
        <v>66</v>
      </c>
      <c r="K72" s="4">
        <v>0</v>
      </c>
      <c r="L72" s="94">
        <v>-344</v>
      </c>
      <c r="M72" s="94">
        <v>0</v>
      </c>
    </row>
    <row r="73" spans="3:13" x14ac:dyDescent="0.3">
      <c r="C73" t="s">
        <v>61</v>
      </c>
      <c r="D73" t="s">
        <v>67</v>
      </c>
      <c r="E73" t="s">
        <v>63</v>
      </c>
      <c r="F73" t="s">
        <v>26</v>
      </c>
      <c r="G73" s="4">
        <v>3</v>
      </c>
      <c r="H73" s="4" t="s">
        <v>13</v>
      </c>
      <c r="I73" s="4" t="s">
        <v>69</v>
      </c>
      <c r="J73" s="4" t="s">
        <v>73</v>
      </c>
      <c r="K73" s="4">
        <v>1</v>
      </c>
      <c r="L73" s="94">
        <v>-3457</v>
      </c>
      <c r="M73" s="94">
        <v>0</v>
      </c>
    </row>
    <row r="74" spans="3:13" x14ac:dyDescent="0.3">
      <c r="C74" t="s">
        <v>71</v>
      </c>
      <c r="D74" t="s">
        <v>67</v>
      </c>
      <c r="E74" t="s">
        <v>68</v>
      </c>
      <c r="F74" t="s">
        <v>26</v>
      </c>
      <c r="G74" s="4">
        <v>6</v>
      </c>
      <c r="H74" s="4" t="s">
        <v>64</v>
      </c>
      <c r="I74" s="4" t="s">
        <v>69</v>
      </c>
      <c r="J74" s="4" t="s">
        <v>66</v>
      </c>
      <c r="K74" s="4">
        <v>0</v>
      </c>
      <c r="L74" s="94">
        <v>18128</v>
      </c>
      <c r="M74" s="94">
        <v>108768</v>
      </c>
    </row>
    <row r="75" spans="3:13" x14ac:dyDescent="0.3">
      <c r="C75" t="s">
        <v>70</v>
      </c>
      <c r="D75" t="s">
        <v>67</v>
      </c>
      <c r="E75" t="s">
        <v>68</v>
      </c>
      <c r="F75" t="s">
        <v>26</v>
      </c>
      <c r="G75" s="4">
        <v>2</v>
      </c>
      <c r="H75" s="4" t="s">
        <v>14</v>
      </c>
      <c r="I75" s="4" t="s">
        <v>65</v>
      </c>
      <c r="J75" s="4" t="s">
        <v>66</v>
      </c>
      <c r="K75" s="4">
        <v>1</v>
      </c>
      <c r="L75" s="94">
        <v>29954</v>
      </c>
      <c r="M75" s="94">
        <v>59908</v>
      </c>
    </row>
    <row r="76" spans="3:13" x14ac:dyDescent="0.3">
      <c r="C76" t="s">
        <v>71</v>
      </c>
      <c r="D76" t="s">
        <v>67</v>
      </c>
      <c r="E76" t="s">
        <v>63</v>
      </c>
      <c r="F76" t="s">
        <v>26</v>
      </c>
      <c r="G76" s="4">
        <v>-4</v>
      </c>
      <c r="H76" s="4" t="s">
        <v>12</v>
      </c>
      <c r="I76" s="4" t="s">
        <v>65</v>
      </c>
      <c r="J76" s="4" t="s">
        <v>73</v>
      </c>
      <c r="K76" s="4">
        <v>1</v>
      </c>
      <c r="L76" s="94">
        <v>-221145</v>
      </c>
      <c r="M76" s="94">
        <v>0</v>
      </c>
    </row>
    <row r="77" spans="3:13" x14ac:dyDescent="0.3">
      <c r="C77" t="s">
        <v>61</v>
      </c>
      <c r="D77" t="s">
        <v>67</v>
      </c>
      <c r="E77" t="s">
        <v>68</v>
      </c>
      <c r="F77" t="s">
        <v>26</v>
      </c>
      <c r="G77" s="4">
        <v>7</v>
      </c>
      <c r="H77" s="4" t="s">
        <v>18</v>
      </c>
      <c r="I77" s="4" t="s">
        <v>69</v>
      </c>
      <c r="J77" s="4" t="s">
        <v>66</v>
      </c>
      <c r="K77" s="4">
        <v>0</v>
      </c>
      <c r="L77" s="94">
        <v>6046684</v>
      </c>
      <c r="M77" s="94">
        <v>42326788</v>
      </c>
    </row>
    <row r="78" spans="3:13" x14ac:dyDescent="0.3">
      <c r="C78" t="s">
        <v>61</v>
      </c>
      <c r="D78" t="s">
        <v>67</v>
      </c>
      <c r="E78" t="s">
        <v>63</v>
      </c>
      <c r="F78" t="s">
        <v>26</v>
      </c>
      <c r="G78" s="4">
        <v>0</v>
      </c>
      <c r="H78" s="4" t="s">
        <v>89</v>
      </c>
      <c r="I78" s="4" t="s">
        <v>69</v>
      </c>
      <c r="J78" s="4" t="s">
        <v>66</v>
      </c>
      <c r="K78" s="4">
        <v>0</v>
      </c>
      <c r="L78" s="94">
        <v>-335</v>
      </c>
      <c r="M78" s="94">
        <v>0</v>
      </c>
    </row>
    <row r="79" spans="3:13" x14ac:dyDescent="0.3">
      <c r="C79" t="s">
        <v>61</v>
      </c>
      <c r="D79" t="s">
        <v>67</v>
      </c>
      <c r="E79" t="s">
        <v>68</v>
      </c>
      <c r="F79" t="s">
        <v>72</v>
      </c>
      <c r="G79" s="4">
        <v>3</v>
      </c>
      <c r="H79" s="4" t="s">
        <v>16</v>
      </c>
      <c r="I79" s="4" t="s">
        <v>69</v>
      </c>
      <c r="J79" s="4" t="s">
        <v>66</v>
      </c>
      <c r="K79" s="4">
        <v>0</v>
      </c>
      <c r="L79" s="94">
        <v>355675</v>
      </c>
      <c r="M79" s="94">
        <v>1067025</v>
      </c>
    </row>
    <row r="80" spans="3:13" x14ac:dyDescent="0.3">
      <c r="C80" t="s">
        <v>70</v>
      </c>
      <c r="D80" t="s">
        <v>67</v>
      </c>
      <c r="E80" t="s">
        <v>68</v>
      </c>
      <c r="F80" t="s">
        <v>72</v>
      </c>
      <c r="G80" s="4">
        <v>-1</v>
      </c>
      <c r="H80" s="4" t="s">
        <v>14</v>
      </c>
      <c r="I80" s="4" t="s">
        <v>69</v>
      </c>
      <c r="J80" s="4" t="s">
        <v>66</v>
      </c>
      <c r="K80" s="4">
        <v>0</v>
      </c>
      <c r="L80" s="94">
        <v>1189626</v>
      </c>
      <c r="M80" s="94">
        <v>0</v>
      </c>
    </row>
    <row r="81" spans="3:13" x14ac:dyDescent="0.3">
      <c r="C81" t="s">
        <v>61</v>
      </c>
      <c r="D81" t="s">
        <v>67</v>
      </c>
      <c r="E81" t="s">
        <v>63</v>
      </c>
      <c r="F81" t="s">
        <v>25</v>
      </c>
      <c r="G81" s="4">
        <v>12</v>
      </c>
      <c r="H81" s="4" t="s">
        <v>82</v>
      </c>
      <c r="I81" s="4" t="s">
        <v>69</v>
      </c>
      <c r="J81" s="4" t="s">
        <v>66</v>
      </c>
      <c r="K81" s="4">
        <v>0</v>
      </c>
      <c r="L81" s="94">
        <v>-568</v>
      </c>
      <c r="M81" s="94">
        <v>0</v>
      </c>
    </row>
    <row r="82" spans="3:13" x14ac:dyDescent="0.3">
      <c r="C82" t="s">
        <v>70</v>
      </c>
      <c r="D82" t="s">
        <v>67</v>
      </c>
      <c r="E82" t="s">
        <v>68</v>
      </c>
      <c r="F82" t="s">
        <v>26</v>
      </c>
      <c r="G82" s="4">
        <v>1</v>
      </c>
      <c r="H82" s="4" t="s">
        <v>86</v>
      </c>
      <c r="I82" s="4" t="s">
        <v>69</v>
      </c>
      <c r="J82" s="4" t="s">
        <v>66</v>
      </c>
      <c r="K82" s="4">
        <v>0</v>
      </c>
      <c r="L82" s="94">
        <v>29643</v>
      </c>
      <c r="M82" s="94">
        <v>29643</v>
      </c>
    </row>
    <row r="83" spans="3:13" x14ac:dyDescent="0.3">
      <c r="C83" t="s">
        <v>71</v>
      </c>
      <c r="D83" t="s">
        <v>67</v>
      </c>
      <c r="E83" t="s">
        <v>68</v>
      </c>
      <c r="F83" t="s">
        <v>26</v>
      </c>
      <c r="G83" s="4">
        <v>8</v>
      </c>
      <c r="H83" s="4" t="s">
        <v>14</v>
      </c>
      <c r="I83" s="4" t="s">
        <v>69</v>
      </c>
      <c r="J83" s="4" t="s">
        <v>66</v>
      </c>
      <c r="K83" s="4">
        <v>0</v>
      </c>
      <c r="L83" s="94">
        <v>1073286</v>
      </c>
      <c r="M83" s="94">
        <v>8586288</v>
      </c>
    </row>
    <row r="84" spans="3:13" x14ac:dyDescent="0.3">
      <c r="C84" t="s">
        <v>71</v>
      </c>
      <c r="D84" t="s">
        <v>67</v>
      </c>
      <c r="E84" t="s">
        <v>63</v>
      </c>
      <c r="F84" t="s">
        <v>26</v>
      </c>
      <c r="G84" s="4">
        <v>8</v>
      </c>
      <c r="H84" s="4" t="s">
        <v>16</v>
      </c>
      <c r="I84" s="4" t="s">
        <v>69</v>
      </c>
      <c r="J84" s="4" t="s">
        <v>66</v>
      </c>
      <c r="K84" s="4">
        <v>0</v>
      </c>
      <c r="L84" s="94">
        <v>-407175</v>
      </c>
      <c r="M84" s="94">
        <v>0</v>
      </c>
    </row>
    <row r="85" spans="3:13" x14ac:dyDescent="0.3">
      <c r="C85" t="s">
        <v>61</v>
      </c>
      <c r="D85" t="s">
        <v>67</v>
      </c>
      <c r="E85" t="s">
        <v>68</v>
      </c>
      <c r="F85" t="s">
        <v>25</v>
      </c>
      <c r="G85" s="4">
        <v>15</v>
      </c>
      <c r="H85" s="4" t="s">
        <v>76</v>
      </c>
      <c r="I85" s="4" t="s">
        <v>69</v>
      </c>
      <c r="J85" s="4" t="s">
        <v>66</v>
      </c>
      <c r="K85" s="4">
        <v>0</v>
      </c>
      <c r="L85" s="94">
        <v>38950614</v>
      </c>
      <c r="M85" s="94">
        <v>584259210</v>
      </c>
    </row>
    <row r="86" spans="3:13" x14ac:dyDescent="0.3">
      <c r="C86" t="s">
        <v>61</v>
      </c>
      <c r="D86" t="s">
        <v>67</v>
      </c>
      <c r="E86" t="s">
        <v>63</v>
      </c>
      <c r="F86" t="s">
        <v>25</v>
      </c>
      <c r="G86" s="4">
        <v>3</v>
      </c>
      <c r="H86" s="4" t="s">
        <v>14</v>
      </c>
      <c r="I86" s="4" t="s">
        <v>69</v>
      </c>
      <c r="J86" s="4" t="s">
        <v>66</v>
      </c>
      <c r="K86" s="4">
        <v>1</v>
      </c>
      <c r="L86" s="94">
        <v>-1987</v>
      </c>
      <c r="M86" s="94">
        <v>0</v>
      </c>
    </row>
    <row r="87" spans="3:13" x14ac:dyDescent="0.3">
      <c r="C87" t="s">
        <v>71</v>
      </c>
      <c r="D87" t="s">
        <v>67</v>
      </c>
      <c r="E87" t="s">
        <v>68</v>
      </c>
      <c r="F87" t="s">
        <v>26</v>
      </c>
      <c r="G87" s="4">
        <v>7</v>
      </c>
      <c r="H87" s="4" t="s">
        <v>74</v>
      </c>
      <c r="I87" s="4" t="s">
        <v>69</v>
      </c>
      <c r="J87" s="4" t="s">
        <v>66</v>
      </c>
      <c r="K87" s="4">
        <v>0</v>
      </c>
      <c r="L87" s="94">
        <v>273084</v>
      </c>
      <c r="M87" s="94">
        <v>1911588</v>
      </c>
    </row>
    <row r="88" spans="3:13" x14ac:dyDescent="0.3">
      <c r="C88" t="s">
        <v>61</v>
      </c>
      <c r="D88" t="s">
        <v>67</v>
      </c>
      <c r="E88" t="s">
        <v>68</v>
      </c>
      <c r="F88" t="s">
        <v>25</v>
      </c>
      <c r="G88" s="4">
        <v>-1</v>
      </c>
      <c r="H88" s="4" t="s">
        <v>17</v>
      </c>
      <c r="I88" s="4" t="s">
        <v>69</v>
      </c>
      <c r="J88" s="4" t="s">
        <v>66</v>
      </c>
      <c r="K88" s="4">
        <v>0</v>
      </c>
      <c r="L88" s="94">
        <v>2780867</v>
      </c>
      <c r="M88" s="94">
        <v>0</v>
      </c>
    </row>
    <row r="89" spans="3:13" x14ac:dyDescent="0.3">
      <c r="C89" t="s">
        <v>70</v>
      </c>
      <c r="D89" t="s">
        <v>67</v>
      </c>
      <c r="E89" t="s">
        <v>68</v>
      </c>
      <c r="F89" t="s">
        <v>25</v>
      </c>
      <c r="G89" s="4">
        <v>-1</v>
      </c>
      <c r="H89" s="4" t="s">
        <v>13</v>
      </c>
      <c r="I89" s="4" t="s">
        <v>69</v>
      </c>
      <c r="J89" s="4" t="s">
        <v>66</v>
      </c>
      <c r="K89" s="4">
        <v>1</v>
      </c>
      <c r="L89" s="94">
        <v>1</v>
      </c>
      <c r="M89" s="94">
        <v>0</v>
      </c>
    </row>
    <row r="90" spans="3:13" x14ac:dyDescent="0.3">
      <c r="C90" t="s">
        <v>70</v>
      </c>
      <c r="D90" t="s">
        <v>62</v>
      </c>
      <c r="E90" t="s">
        <v>68</v>
      </c>
      <c r="F90" t="s">
        <v>24</v>
      </c>
      <c r="G90" s="4">
        <v>13</v>
      </c>
      <c r="I90" s="4" t="s">
        <v>65</v>
      </c>
      <c r="J90" s="4" t="s">
        <v>66</v>
      </c>
      <c r="K90" s="4">
        <v>1</v>
      </c>
      <c r="L90" s="94">
        <v>297707</v>
      </c>
      <c r="M90" s="94">
        <v>3870191</v>
      </c>
    </row>
    <row r="91" spans="3:13" x14ac:dyDescent="0.3">
      <c r="C91" t="s">
        <v>61</v>
      </c>
      <c r="D91" t="s">
        <v>67</v>
      </c>
      <c r="E91" t="s">
        <v>68</v>
      </c>
      <c r="F91" t="s">
        <v>26</v>
      </c>
      <c r="G91" s="4">
        <v>0</v>
      </c>
      <c r="H91" s="4" t="s">
        <v>14</v>
      </c>
      <c r="I91" s="4" t="s">
        <v>65</v>
      </c>
      <c r="J91" s="4" t="s">
        <v>73</v>
      </c>
      <c r="K91" s="4">
        <v>1</v>
      </c>
      <c r="L91" s="94">
        <v>12894306</v>
      </c>
      <c r="M91" s="94">
        <v>0</v>
      </c>
    </row>
    <row r="92" spans="3:13" x14ac:dyDescent="0.3">
      <c r="C92" t="s">
        <v>61</v>
      </c>
      <c r="D92" t="s">
        <v>67</v>
      </c>
      <c r="E92" t="s">
        <v>68</v>
      </c>
      <c r="F92" t="s">
        <v>26</v>
      </c>
      <c r="G92" s="4">
        <v>8</v>
      </c>
      <c r="H92" s="4" t="s">
        <v>76</v>
      </c>
      <c r="I92" s="4" t="s">
        <v>69</v>
      </c>
      <c r="J92" s="4" t="s">
        <v>66</v>
      </c>
      <c r="K92" s="4">
        <v>0</v>
      </c>
      <c r="L92" s="94">
        <v>2904891</v>
      </c>
      <c r="M92" s="94">
        <v>23239128</v>
      </c>
    </row>
    <row r="93" spans="3:13" x14ac:dyDescent="0.3">
      <c r="C93" t="s">
        <v>61</v>
      </c>
      <c r="D93" t="s">
        <v>67</v>
      </c>
      <c r="E93" t="s">
        <v>63</v>
      </c>
      <c r="F93" t="s">
        <v>25</v>
      </c>
      <c r="G93" s="4">
        <v>11</v>
      </c>
      <c r="H93" s="4" t="s">
        <v>14</v>
      </c>
      <c r="I93" s="4" t="s">
        <v>65</v>
      </c>
      <c r="J93" s="4" t="s">
        <v>66</v>
      </c>
      <c r="K93" s="4">
        <v>1</v>
      </c>
      <c r="L93" s="94">
        <v>-2829</v>
      </c>
      <c r="M93" s="94">
        <v>0</v>
      </c>
    </row>
    <row r="94" spans="3:13" x14ac:dyDescent="0.3">
      <c r="C94" t="s">
        <v>70</v>
      </c>
      <c r="D94" t="s">
        <v>67</v>
      </c>
      <c r="E94" t="s">
        <v>68</v>
      </c>
      <c r="F94" t="s">
        <v>72</v>
      </c>
      <c r="G94" s="4">
        <v>2</v>
      </c>
      <c r="H94" s="4" t="s">
        <v>80</v>
      </c>
      <c r="I94" s="4" t="s">
        <v>69</v>
      </c>
      <c r="J94" s="4" t="s">
        <v>66</v>
      </c>
      <c r="K94" s="4">
        <v>0</v>
      </c>
      <c r="L94" s="94">
        <v>88202</v>
      </c>
      <c r="M94" s="94">
        <v>176404</v>
      </c>
    </row>
    <row r="95" spans="3:13" x14ac:dyDescent="0.3">
      <c r="C95" t="s">
        <v>71</v>
      </c>
      <c r="D95" t="s">
        <v>62</v>
      </c>
      <c r="E95" t="s">
        <v>63</v>
      </c>
      <c r="F95" t="s">
        <v>24</v>
      </c>
      <c r="G95" s="4">
        <v>35</v>
      </c>
      <c r="I95" s="4" t="s">
        <v>69</v>
      </c>
      <c r="J95" s="4" t="s">
        <v>66</v>
      </c>
      <c r="K95" s="4">
        <v>0</v>
      </c>
      <c r="L95" s="94">
        <v>-1836196</v>
      </c>
      <c r="M95" s="94">
        <v>0</v>
      </c>
    </row>
    <row r="96" spans="3:13" x14ac:dyDescent="0.3">
      <c r="C96" t="s">
        <v>61</v>
      </c>
      <c r="D96" t="s">
        <v>67</v>
      </c>
      <c r="E96" t="s">
        <v>68</v>
      </c>
      <c r="F96" t="s">
        <v>25</v>
      </c>
      <c r="G96" s="4">
        <v>20</v>
      </c>
      <c r="H96" s="4" t="s">
        <v>18</v>
      </c>
      <c r="I96" s="4" t="s">
        <v>69</v>
      </c>
      <c r="J96" s="4" t="s">
        <v>66</v>
      </c>
      <c r="K96" s="4">
        <v>0</v>
      </c>
      <c r="L96" s="94">
        <v>153301</v>
      </c>
      <c r="M96" s="94">
        <v>3066020</v>
      </c>
    </row>
    <row r="97" spans="3:13" x14ac:dyDescent="0.3">
      <c r="C97" t="s">
        <v>61</v>
      </c>
      <c r="D97" t="s">
        <v>67</v>
      </c>
      <c r="E97" t="s">
        <v>68</v>
      </c>
      <c r="F97" t="s">
        <v>25</v>
      </c>
      <c r="G97" s="4">
        <v>10</v>
      </c>
      <c r="H97" s="4" t="s">
        <v>80</v>
      </c>
      <c r="I97" s="4" t="s">
        <v>69</v>
      </c>
      <c r="J97" s="4" t="s">
        <v>66</v>
      </c>
      <c r="K97" s="4">
        <v>0</v>
      </c>
      <c r="L97" s="94">
        <v>7247609</v>
      </c>
      <c r="M97" s="94">
        <v>72476090</v>
      </c>
    </row>
    <row r="98" spans="3:13" x14ac:dyDescent="0.3">
      <c r="C98" t="s">
        <v>70</v>
      </c>
      <c r="D98" t="s">
        <v>67</v>
      </c>
      <c r="E98" t="s">
        <v>63</v>
      </c>
      <c r="F98" t="s">
        <v>26</v>
      </c>
      <c r="G98" s="4">
        <v>4</v>
      </c>
      <c r="H98" s="4" t="s">
        <v>17</v>
      </c>
      <c r="I98" s="4" t="s">
        <v>69</v>
      </c>
      <c r="J98" s="4" t="s">
        <v>73</v>
      </c>
      <c r="K98" s="4">
        <v>1</v>
      </c>
      <c r="L98" s="94">
        <v>-5600</v>
      </c>
      <c r="M98" s="94">
        <v>0</v>
      </c>
    </row>
    <row r="99" spans="3:13" x14ac:dyDescent="0.3">
      <c r="C99" t="s">
        <v>61</v>
      </c>
      <c r="D99" t="s">
        <v>67</v>
      </c>
      <c r="E99" t="s">
        <v>63</v>
      </c>
      <c r="F99" t="s">
        <v>26</v>
      </c>
      <c r="G99" s="4">
        <v>4</v>
      </c>
      <c r="H99" s="4" t="s">
        <v>83</v>
      </c>
      <c r="I99" s="4" t="s">
        <v>69</v>
      </c>
      <c r="J99" s="4" t="s">
        <v>66</v>
      </c>
      <c r="K99" s="4">
        <v>0</v>
      </c>
      <c r="L99" s="94">
        <v>-7551</v>
      </c>
      <c r="M99" s="94">
        <v>0</v>
      </c>
    </row>
    <row r="100" spans="3:13" x14ac:dyDescent="0.3">
      <c r="C100" t="s">
        <v>70</v>
      </c>
      <c r="D100" t="s">
        <v>62</v>
      </c>
      <c r="E100" t="s">
        <v>63</v>
      </c>
      <c r="F100" t="s">
        <v>24</v>
      </c>
      <c r="G100" s="4">
        <v>44</v>
      </c>
      <c r="I100" s="4" t="s">
        <v>65</v>
      </c>
      <c r="J100" s="4" t="s">
        <v>66</v>
      </c>
      <c r="K100" s="4">
        <v>1</v>
      </c>
      <c r="L100" s="94">
        <v>-6353</v>
      </c>
      <c r="M100" s="94">
        <v>0</v>
      </c>
    </row>
    <row r="101" spans="3:13" x14ac:dyDescent="0.3">
      <c r="C101" t="s">
        <v>61</v>
      </c>
      <c r="D101" t="s">
        <v>67</v>
      </c>
      <c r="E101" t="s">
        <v>68</v>
      </c>
      <c r="F101" t="s">
        <v>26</v>
      </c>
      <c r="G101" s="4">
        <v>-4</v>
      </c>
      <c r="H101" s="4" t="s">
        <v>14</v>
      </c>
      <c r="I101" s="4" t="s">
        <v>69</v>
      </c>
      <c r="J101" s="4" t="s">
        <v>73</v>
      </c>
      <c r="K101" s="4">
        <v>1</v>
      </c>
      <c r="L101" s="94">
        <v>12146</v>
      </c>
      <c r="M101" s="94">
        <v>0</v>
      </c>
    </row>
    <row r="102" spans="3:13" x14ac:dyDescent="0.3">
      <c r="C102" t="s">
        <v>61</v>
      </c>
      <c r="D102" t="s">
        <v>67</v>
      </c>
      <c r="E102" t="s">
        <v>68</v>
      </c>
      <c r="F102" t="s">
        <v>72</v>
      </c>
      <c r="G102" s="4">
        <v>-4</v>
      </c>
      <c r="H102" s="4" t="s">
        <v>14</v>
      </c>
      <c r="I102" s="4" t="s">
        <v>69</v>
      </c>
      <c r="J102" s="4" t="s">
        <v>66</v>
      </c>
      <c r="K102" s="4">
        <v>0</v>
      </c>
      <c r="L102" s="94">
        <v>155</v>
      </c>
      <c r="M102" s="94">
        <v>0</v>
      </c>
    </row>
    <row r="103" spans="3:13" x14ac:dyDescent="0.3">
      <c r="C103" t="s">
        <v>61</v>
      </c>
      <c r="D103" t="s">
        <v>84</v>
      </c>
      <c r="E103" t="s">
        <v>63</v>
      </c>
      <c r="F103" t="s">
        <v>25</v>
      </c>
      <c r="G103" s="4">
        <v>3</v>
      </c>
      <c r="H103" s="4" t="s">
        <v>75</v>
      </c>
      <c r="I103" s="4" t="s">
        <v>69</v>
      </c>
      <c r="J103" s="4" t="s">
        <v>66</v>
      </c>
      <c r="K103" s="4">
        <v>0</v>
      </c>
      <c r="L103" s="94">
        <v>-7551</v>
      </c>
      <c r="M103" s="94">
        <v>0</v>
      </c>
    </row>
    <row r="104" spans="3:13" x14ac:dyDescent="0.3">
      <c r="C104" t="s">
        <v>61</v>
      </c>
      <c r="D104" t="s">
        <v>62</v>
      </c>
      <c r="E104" t="s">
        <v>63</v>
      </c>
      <c r="F104" t="s">
        <v>24</v>
      </c>
      <c r="G104" s="4">
        <v>23</v>
      </c>
      <c r="I104" s="4" t="s">
        <v>69</v>
      </c>
      <c r="J104" s="4" t="s">
        <v>66</v>
      </c>
      <c r="K104" s="4">
        <v>0</v>
      </c>
      <c r="L104" s="94">
        <v>-294395</v>
      </c>
      <c r="M104" s="94">
        <v>0</v>
      </c>
    </row>
    <row r="105" spans="3:13" x14ac:dyDescent="0.3">
      <c r="C105" t="s">
        <v>70</v>
      </c>
      <c r="D105" t="s">
        <v>67</v>
      </c>
      <c r="E105" t="s">
        <v>63</v>
      </c>
      <c r="F105" t="s">
        <v>25</v>
      </c>
      <c r="G105" s="4">
        <v>9</v>
      </c>
      <c r="H105" s="4" t="s">
        <v>12</v>
      </c>
      <c r="I105" s="4" t="s">
        <v>69</v>
      </c>
      <c r="J105" s="4" t="s">
        <v>66</v>
      </c>
      <c r="K105" s="4">
        <v>1</v>
      </c>
      <c r="L105" s="94">
        <v>-28628</v>
      </c>
      <c r="M105" s="94">
        <v>0</v>
      </c>
    </row>
    <row r="106" spans="3:13" x14ac:dyDescent="0.3">
      <c r="C106" t="s">
        <v>70</v>
      </c>
      <c r="D106" t="s">
        <v>67</v>
      </c>
      <c r="E106" t="s">
        <v>68</v>
      </c>
      <c r="F106" t="s">
        <v>25</v>
      </c>
      <c r="G106" s="4">
        <v>5</v>
      </c>
      <c r="H106" s="4" t="s">
        <v>76</v>
      </c>
      <c r="I106" s="4" t="s">
        <v>69</v>
      </c>
      <c r="J106" s="4" t="s">
        <v>66</v>
      </c>
      <c r="K106" s="4">
        <v>0</v>
      </c>
      <c r="L106" s="94">
        <v>2834390</v>
      </c>
      <c r="M106" s="94">
        <v>14171950</v>
      </c>
    </row>
    <row r="107" spans="3:13" x14ac:dyDescent="0.3">
      <c r="C107" t="s">
        <v>70</v>
      </c>
      <c r="D107" t="s">
        <v>62</v>
      </c>
      <c r="E107" t="s">
        <v>63</v>
      </c>
      <c r="F107" t="s">
        <v>24</v>
      </c>
      <c r="G107" s="4">
        <v>31</v>
      </c>
      <c r="I107" s="4" t="s">
        <v>69</v>
      </c>
      <c r="J107" s="4" t="s">
        <v>66</v>
      </c>
      <c r="K107" s="4">
        <v>0</v>
      </c>
      <c r="L107" s="94">
        <v>-1082672</v>
      </c>
      <c r="M107" s="94">
        <v>0</v>
      </c>
    </row>
    <row r="108" spans="3:13" x14ac:dyDescent="0.3">
      <c r="C108" t="s">
        <v>61</v>
      </c>
      <c r="D108" t="s">
        <v>67</v>
      </c>
      <c r="E108" t="s">
        <v>63</v>
      </c>
      <c r="F108" t="s">
        <v>26</v>
      </c>
      <c r="G108" s="4">
        <v>1</v>
      </c>
      <c r="H108" s="4" t="s">
        <v>79</v>
      </c>
      <c r="I108" s="4" t="s">
        <v>69</v>
      </c>
      <c r="J108" s="4" t="s">
        <v>66</v>
      </c>
      <c r="K108" s="4">
        <v>0</v>
      </c>
      <c r="L108" s="94">
        <v>-36568</v>
      </c>
      <c r="M108" s="94">
        <v>0</v>
      </c>
    </row>
    <row r="109" spans="3:13" x14ac:dyDescent="0.3">
      <c r="C109" t="s">
        <v>61</v>
      </c>
      <c r="D109" t="s">
        <v>67</v>
      </c>
      <c r="E109" t="s">
        <v>68</v>
      </c>
      <c r="F109" t="s">
        <v>25</v>
      </c>
      <c r="G109" s="4">
        <v>6</v>
      </c>
      <c r="H109" s="4" t="s">
        <v>64</v>
      </c>
      <c r="I109" s="4" t="s">
        <v>69</v>
      </c>
      <c r="J109" s="4" t="s">
        <v>66</v>
      </c>
      <c r="K109" s="4">
        <v>0</v>
      </c>
      <c r="L109" s="94">
        <v>3383108</v>
      </c>
      <c r="M109" s="94">
        <v>20298648</v>
      </c>
    </row>
    <row r="110" spans="3:13" x14ac:dyDescent="0.3">
      <c r="C110" t="s">
        <v>61</v>
      </c>
      <c r="D110" t="s">
        <v>62</v>
      </c>
      <c r="E110" t="s">
        <v>63</v>
      </c>
      <c r="F110" t="s">
        <v>24</v>
      </c>
      <c r="G110" s="4">
        <v>2</v>
      </c>
      <c r="I110" s="4" t="s">
        <v>69</v>
      </c>
      <c r="J110" s="4" t="s">
        <v>66</v>
      </c>
      <c r="K110" s="4">
        <v>1</v>
      </c>
      <c r="L110" s="94">
        <v>-54</v>
      </c>
      <c r="M110" s="94">
        <v>0</v>
      </c>
    </row>
    <row r="111" spans="3:13" x14ac:dyDescent="0.3">
      <c r="C111" t="s">
        <v>71</v>
      </c>
      <c r="D111" t="s">
        <v>67</v>
      </c>
      <c r="E111" t="s">
        <v>68</v>
      </c>
      <c r="F111" t="s">
        <v>25</v>
      </c>
      <c r="G111" s="4">
        <v>3</v>
      </c>
      <c r="H111" s="4" t="s">
        <v>75</v>
      </c>
      <c r="I111" s="4" t="s">
        <v>69</v>
      </c>
      <c r="J111" s="4" t="s">
        <v>66</v>
      </c>
      <c r="K111" s="4">
        <v>0</v>
      </c>
      <c r="L111" s="94">
        <v>788606</v>
      </c>
      <c r="M111" s="94">
        <v>2365818</v>
      </c>
    </row>
    <row r="112" spans="3:13" x14ac:dyDescent="0.3">
      <c r="C112" t="s">
        <v>61</v>
      </c>
      <c r="D112" t="s">
        <v>67</v>
      </c>
      <c r="E112" t="s">
        <v>68</v>
      </c>
      <c r="F112" t="s">
        <v>26</v>
      </c>
      <c r="G112" s="4">
        <v>9</v>
      </c>
      <c r="H112" s="4" t="s">
        <v>14</v>
      </c>
      <c r="I112" s="4" t="s">
        <v>69</v>
      </c>
      <c r="J112" s="4" t="s">
        <v>66</v>
      </c>
      <c r="K112" s="4">
        <v>0</v>
      </c>
      <c r="L112" s="94">
        <v>31627392</v>
      </c>
      <c r="M112" s="94">
        <v>284646528</v>
      </c>
    </row>
    <row r="113" spans="3:13" x14ac:dyDescent="0.3">
      <c r="C113" t="s">
        <v>70</v>
      </c>
      <c r="D113" t="s">
        <v>67</v>
      </c>
      <c r="E113" t="s">
        <v>68</v>
      </c>
      <c r="F113" t="s">
        <v>26</v>
      </c>
      <c r="G113" s="4">
        <v>6</v>
      </c>
      <c r="H113" s="4" t="s">
        <v>18</v>
      </c>
      <c r="I113" s="4" t="s">
        <v>69</v>
      </c>
      <c r="J113" s="4" t="s">
        <v>73</v>
      </c>
      <c r="K113" s="4">
        <v>1</v>
      </c>
      <c r="L113" s="94">
        <v>800846</v>
      </c>
      <c r="M113" s="94">
        <v>4805076</v>
      </c>
    </row>
    <row r="114" spans="3:13" x14ac:dyDescent="0.3">
      <c r="C114" t="s">
        <v>71</v>
      </c>
      <c r="D114" t="s">
        <v>67</v>
      </c>
      <c r="E114" t="s">
        <v>68</v>
      </c>
      <c r="F114" t="s">
        <v>25</v>
      </c>
      <c r="G114" s="4">
        <v>0</v>
      </c>
      <c r="H114" s="4" t="s">
        <v>17</v>
      </c>
      <c r="I114" s="4" t="s">
        <v>69</v>
      </c>
      <c r="J114" s="4" t="s">
        <v>66</v>
      </c>
      <c r="K114" s="4">
        <v>1</v>
      </c>
      <c r="L114" s="94">
        <v>25291</v>
      </c>
      <c r="M114" s="94">
        <v>0</v>
      </c>
    </row>
    <row r="115" spans="3:13" x14ac:dyDescent="0.3">
      <c r="C115" t="s">
        <v>71</v>
      </c>
      <c r="D115" t="s">
        <v>67</v>
      </c>
      <c r="E115" t="s">
        <v>68</v>
      </c>
      <c r="F115" t="s">
        <v>26</v>
      </c>
      <c r="G115" s="4">
        <v>0</v>
      </c>
      <c r="H115" s="4" t="s">
        <v>78</v>
      </c>
      <c r="I115" s="4" t="s">
        <v>69</v>
      </c>
      <c r="J115" s="4" t="s">
        <v>66</v>
      </c>
      <c r="K115" s="4">
        <v>0</v>
      </c>
      <c r="L115" s="94">
        <v>6541</v>
      </c>
      <c r="M115" s="94">
        <v>0</v>
      </c>
    </row>
    <row r="116" spans="3:13" x14ac:dyDescent="0.3">
      <c r="C116" t="s">
        <v>71</v>
      </c>
      <c r="D116" t="s">
        <v>67</v>
      </c>
      <c r="E116" t="s">
        <v>68</v>
      </c>
      <c r="F116" t="s">
        <v>26</v>
      </c>
      <c r="G116" s="4">
        <v>11</v>
      </c>
      <c r="H116" s="4" t="s">
        <v>77</v>
      </c>
      <c r="I116" s="4" t="s">
        <v>69</v>
      </c>
      <c r="J116" s="4" t="s">
        <v>66</v>
      </c>
      <c r="K116" s="4">
        <v>0</v>
      </c>
      <c r="L116" s="94">
        <v>43020</v>
      </c>
      <c r="M116" s="94">
        <v>473220</v>
      </c>
    </row>
    <row r="117" spans="3:13" x14ac:dyDescent="0.3">
      <c r="C117" t="s">
        <v>70</v>
      </c>
      <c r="D117" t="s">
        <v>62</v>
      </c>
      <c r="E117" t="s">
        <v>63</v>
      </c>
      <c r="F117" t="s">
        <v>24</v>
      </c>
      <c r="G117" s="4">
        <v>3</v>
      </c>
      <c r="I117" s="4" t="s">
        <v>69</v>
      </c>
      <c r="J117" s="4" t="s">
        <v>66</v>
      </c>
      <c r="K117" s="4">
        <v>1</v>
      </c>
      <c r="L117" s="94">
        <v>-5580</v>
      </c>
      <c r="M117" s="94">
        <v>0</v>
      </c>
    </row>
    <row r="118" spans="3:13" x14ac:dyDescent="0.3">
      <c r="C118" t="s">
        <v>70</v>
      </c>
      <c r="D118" t="s">
        <v>67</v>
      </c>
      <c r="E118" t="s">
        <v>63</v>
      </c>
      <c r="F118" t="s">
        <v>26</v>
      </c>
      <c r="G118" s="4">
        <v>5</v>
      </c>
      <c r="H118" s="4" t="s">
        <v>86</v>
      </c>
      <c r="I118" s="4" t="s">
        <v>69</v>
      </c>
      <c r="J118" s="4" t="s">
        <v>66</v>
      </c>
      <c r="K118" s="4">
        <v>0</v>
      </c>
      <c r="L118" s="94">
        <v>-2312</v>
      </c>
      <c r="M118" s="94">
        <v>0</v>
      </c>
    </row>
    <row r="119" spans="3:13" x14ac:dyDescent="0.3">
      <c r="C119" t="s">
        <v>61</v>
      </c>
      <c r="D119" t="s">
        <v>67</v>
      </c>
      <c r="E119" t="s">
        <v>68</v>
      </c>
      <c r="F119" t="s">
        <v>72</v>
      </c>
      <c r="G119" s="4">
        <v>5</v>
      </c>
      <c r="H119" s="4" t="s">
        <v>78</v>
      </c>
      <c r="I119" s="4" t="s">
        <v>69</v>
      </c>
      <c r="J119" s="4" t="s">
        <v>66</v>
      </c>
      <c r="K119" s="4">
        <v>0</v>
      </c>
      <c r="L119" s="94">
        <v>87358</v>
      </c>
      <c r="M119" s="94">
        <v>436790</v>
      </c>
    </row>
    <row r="120" spans="3:13" x14ac:dyDescent="0.3">
      <c r="C120" t="s">
        <v>71</v>
      </c>
      <c r="D120" t="s">
        <v>67</v>
      </c>
      <c r="E120" t="s">
        <v>68</v>
      </c>
      <c r="F120" t="s">
        <v>26</v>
      </c>
      <c r="G120" s="4">
        <v>2</v>
      </c>
      <c r="H120" s="4" t="s">
        <v>74</v>
      </c>
      <c r="I120" s="4" t="s">
        <v>69</v>
      </c>
      <c r="J120" s="4" t="s">
        <v>66</v>
      </c>
      <c r="K120" s="4">
        <v>0</v>
      </c>
      <c r="L120" s="94">
        <v>517347</v>
      </c>
      <c r="M120" s="94">
        <v>1034694</v>
      </c>
    </row>
    <row r="121" spans="3:13" x14ac:dyDescent="0.3">
      <c r="C121" t="s">
        <v>70</v>
      </c>
      <c r="D121" t="s">
        <v>67</v>
      </c>
      <c r="E121" t="s">
        <v>63</v>
      </c>
      <c r="F121" t="s">
        <v>26</v>
      </c>
      <c r="G121" s="4">
        <v>-1</v>
      </c>
      <c r="H121" s="4" t="s">
        <v>82</v>
      </c>
      <c r="I121" s="4" t="s">
        <v>65</v>
      </c>
      <c r="J121" s="4" t="s">
        <v>66</v>
      </c>
      <c r="K121" s="4">
        <v>1</v>
      </c>
      <c r="L121" s="94">
        <v>-16582</v>
      </c>
      <c r="M121" s="94">
        <v>0</v>
      </c>
    </row>
    <row r="122" spans="3:13" x14ac:dyDescent="0.3">
      <c r="C122" t="s">
        <v>61</v>
      </c>
      <c r="D122" t="s">
        <v>62</v>
      </c>
      <c r="E122" t="s">
        <v>68</v>
      </c>
      <c r="F122" t="s">
        <v>24</v>
      </c>
      <c r="G122" s="4">
        <v>45</v>
      </c>
      <c r="I122" s="4" t="s">
        <v>69</v>
      </c>
      <c r="J122" s="4" t="s">
        <v>66</v>
      </c>
      <c r="K122" s="4">
        <v>0</v>
      </c>
      <c r="L122" s="94">
        <v>1606622</v>
      </c>
      <c r="M122" s="94">
        <v>72297990</v>
      </c>
    </row>
    <row r="123" spans="3:13" x14ac:dyDescent="0.3">
      <c r="C123" t="s">
        <v>71</v>
      </c>
      <c r="D123" t="s">
        <v>62</v>
      </c>
      <c r="E123" t="s">
        <v>63</v>
      </c>
      <c r="F123" t="s">
        <v>24</v>
      </c>
      <c r="G123" s="4">
        <v>31</v>
      </c>
      <c r="I123" s="4" t="s">
        <v>69</v>
      </c>
      <c r="J123" s="4" t="s">
        <v>66</v>
      </c>
      <c r="K123" s="4">
        <v>0</v>
      </c>
      <c r="L123" s="94">
        <v>-1147750</v>
      </c>
      <c r="M123" s="94">
        <v>0</v>
      </c>
    </row>
    <row r="124" spans="3:13" x14ac:dyDescent="0.3">
      <c r="C124" t="s">
        <v>70</v>
      </c>
      <c r="D124" t="s">
        <v>67</v>
      </c>
      <c r="E124" t="s">
        <v>63</v>
      </c>
      <c r="F124" t="s">
        <v>25</v>
      </c>
      <c r="G124" s="4">
        <v>15</v>
      </c>
      <c r="H124" s="4" t="s">
        <v>81</v>
      </c>
      <c r="I124" s="4" t="s">
        <v>69</v>
      </c>
      <c r="J124" s="4" t="s">
        <v>66</v>
      </c>
      <c r="K124" s="4">
        <v>0</v>
      </c>
      <c r="L124" s="94">
        <v>-5753</v>
      </c>
      <c r="M124" s="94">
        <v>0</v>
      </c>
    </row>
    <row r="125" spans="3:13" x14ac:dyDescent="0.3">
      <c r="C125" t="s">
        <v>61</v>
      </c>
      <c r="D125" t="s">
        <v>67</v>
      </c>
      <c r="E125" t="s">
        <v>68</v>
      </c>
      <c r="F125" t="s">
        <v>25</v>
      </c>
      <c r="G125" s="4">
        <v>-1</v>
      </c>
      <c r="H125" s="4" t="s">
        <v>82</v>
      </c>
      <c r="I125" s="4" t="s">
        <v>69</v>
      </c>
      <c r="J125" s="4" t="s">
        <v>66</v>
      </c>
      <c r="K125" s="4">
        <v>0</v>
      </c>
      <c r="L125" s="94">
        <v>10</v>
      </c>
      <c r="M125" s="94">
        <v>0</v>
      </c>
    </row>
    <row r="126" spans="3:13" x14ac:dyDescent="0.3">
      <c r="C126" t="s">
        <v>71</v>
      </c>
      <c r="D126" t="s">
        <v>67</v>
      </c>
      <c r="E126" t="s">
        <v>68</v>
      </c>
      <c r="F126" t="s">
        <v>26</v>
      </c>
      <c r="G126" s="4">
        <v>7</v>
      </c>
      <c r="H126" s="4" t="s">
        <v>14</v>
      </c>
      <c r="I126" s="4" t="s">
        <v>69</v>
      </c>
      <c r="J126" s="4" t="s">
        <v>66</v>
      </c>
      <c r="K126" s="4">
        <v>0</v>
      </c>
      <c r="L126" s="94">
        <v>802235</v>
      </c>
      <c r="M126" s="94">
        <v>5615645</v>
      </c>
    </row>
    <row r="127" spans="3:13" x14ac:dyDescent="0.3">
      <c r="C127" t="s">
        <v>61</v>
      </c>
      <c r="D127" t="s">
        <v>67</v>
      </c>
      <c r="E127" t="s">
        <v>68</v>
      </c>
      <c r="F127" t="s">
        <v>26</v>
      </c>
      <c r="G127" s="4">
        <v>6</v>
      </c>
      <c r="H127" s="4" t="s">
        <v>77</v>
      </c>
      <c r="I127" s="4" t="s">
        <v>69</v>
      </c>
      <c r="J127" s="4" t="s">
        <v>66</v>
      </c>
      <c r="K127" s="4">
        <v>0</v>
      </c>
      <c r="L127" s="94">
        <v>33909</v>
      </c>
      <c r="M127" s="94">
        <v>203454</v>
      </c>
    </row>
    <row r="128" spans="3:13" x14ac:dyDescent="0.3">
      <c r="C128" t="s">
        <v>61</v>
      </c>
      <c r="D128" t="s">
        <v>67</v>
      </c>
      <c r="E128" t="s">
        <v>68</v>
      </c>
      <c r="F128" t="s">
        <v>72</v>
      </c>
      <c r="G128" s="4">
        <v>9</v>
      </c>
      <c r="H128" s="4" t="s">
        <v>74</v>
      </c>
      <c r="I128" s="4" t="s">
        <v>69</v>
      </c>
      <c r="J128" s="4" t="s">
        <v>66</v>
      </c>
      <c r="K128" s="4">
        <v>0</v>
      </c>
      <c r="L128" s="94">
        <v>501781</v>
      </c>
      <c r="M128" s="94">
        <v>4516029</v>
      </c>
    </row>
    <row r="129" spans="3:13" x14ac:dyDescent="0.3">
      <c r="C129" t="s">
        <v>61</v>
      </c>
      <c r="D129" t="s">
        <v>62</v>
      </c>
      <c r="E129" t="s">
        <v>63</v>
      </c>
      <c r="F129" t="s">
        <v>25</v>
      </c>
      <c r="G129" s="4">
        <v>31</v>
      </c>
      <c r="I129" s="4" t="s">
        <v>65</v>
      </c>
      <c r="J129" s="4" t="s">
        <v>66</v>
      </c>
      <c r="K129" s="4">
        <v>1</v>
      </c>
      <c r="L129" s="94">
        <v>-206</v>
      </c>
      <c r="M129" s="94">
        <v>0</v>
      </c>
    </row>
    <row r="130" spans="3:13" x14ac:dyDescent="0.3">
      <c r="C130" t="s">
        <v>61</v>
      </c>
      <c r="D130" t="s">
        <v>62</v>
      </c>
      <c r="E130" t="s">
        <v>63</v>
      </c>
      <c r="F130" t="s">
        <v>25</v>
      </c>
      <c r="G130" s="4">
        <v>-4</v>
      </c>
      <c r="I130" s="4" t="s">
        <v>69</v>
      </c>
      <c r="J130" s="4" t="s">
        <v>66</v>
      </c>
      <c r="K130" s="4">
        <v>0</v>
      </c>
      <c r="L130" s="94">
        <v>-405</v>
      </c>
      <c r="M130" s="94">
        <v>0</v>
      </c>
    </row>
    <row r="131" spans="3:13" x14ac:dyDescent="0.3">
      <c r="C131" t="s">
        <v>61</v>
      </c>
      <c r="D131" t="s">
        <v>62</v>
      </c>
      <c r="E131" t="s">
        <v>63</v>
      </c>
      <c r="F131" t="s">
        <v>24</v>
      </c>
      <c r="G131" s="4">
        <v>38</v>
      </c>
      <c r="I131" s="4" t="s">
        <v>69</v>
      </c>
      <c r="J131" s="4" t="s">
        <v>66</v>
      </c>
      <c r="K131" s="4">
        <v>1</v>
      </c>
      <c r="L131" s="94">
        <v>-420</v>
      </c>
      <c r="M131" s="94">
        <v>0</v>
      </c>
    </row>
    <row r="132" spans="3:13" x14ac:dyDescent="0.3">
      <c r="C132" t="s">
        <v>71</v>
      </c>
      <c r="D132" t="s">
        <v>67</v>
      </c>
      <c r="E132" t="s">
        <v>63</v>
      </c>
      <c r="F132" t="s">
        <v>26</v>
      </c>
      <c r="G132" s="4">
        <v>1</v>
      </c>
      <c r="H132" s="4" t="s">
        <v>80</v>
      </c>
      <c r="I132" s="4" t="s">
        <v>69</v>
      </c>
      <c r="J132" s="4" t="s">
        <v>66</v>
      </c>
      <c r="K132" s="4">
        <v>0</v>
      </c>
      <c r="L132" s="94">
        <v>-158055</v>
      </c>
      <c r="M132" s="94">
        <v>0</v>
      </c>
    </row>
    <row r="133" spans="3:13" x14ac:dyDescent="0.3">
      <c r="C133" t="s">
        <v>70</v>
      </c>
      <c r="D133" t="s">
        <v>62</v>
      </c>
      <c r="E133" t="s">
        <v>63</v>
      </c>
      <c r="F133" t="s">
        <v>24</v>
      </c>
      <c r="G133" s="4">
        <v>14</v>
      </c>
      <c r="I133" s="4" t="s">
        <v>69</v>
      </c>
      <c r="J133" s="4" t="s">
        <v>66</v>
      </c>
      <c r="K133" s="4">
        <v>1</v>
      </c>
      <c r="L133" s="94">
        <v>-2247</v>
      </c>
      <c r="M133" s="94">
        <v>0</v>
      </c>
    </row>
    <row r="134" spans="3:13" x14ac:dyDescent="0.3">
      <c r="C134" t="s">
        <v>70</v>
      </c>
      <c r="D134" t="s">
        <v>67</v>
      </c>
      <c r="E134" t="s">
        <v>68</v>
      </c>
      <c r="F134" t="s">
        <v>72</v>
      </c>
      <c r="G134" s="4">
        <v>4</v>
      </c>
      <c r="H134" s="4" t="s">
        <v>64</v>
      </c>
      <c r="I134" s="4" t="s">
        <v>69</v>
      </c>
      <c r="J134" s="4" t="s">
        <v>66</v>
      </c>
      <c r="K134" s="4">
        <v>0</v>
      </c>
      <c r="L134" s="94">
        <v>511674</v>
      </c>
      <c r="M134" s="94">
        <v>2046696</v>
      </c>
    </row>
    <row r="135" spans="3:13" x14ac:dyDescent="0.3">
      <c r="C135" t="s">
        <v>61</v>
      </c>
      <c r="D135" t="s">
        <v>62</v>
      </c>
      <c r="E135" t="s">
        <v>63</v>
      </c>
      <c r="F135" t="s">
        <v>24</v>
      </c>
      <c r="G135" s="4">
        <v>10</v>
      </c>
      <c r="I135" s="4" t="s">
        <v>69</v>
      </c>
      <c r="J135" s="4" t="s">
        <v>66</v>
      </c>
      <c r="K135" s="4">
        <v>1</v>
      </c>
      <c r="L135" s="94">
        <v>-849</v>
      </c>
      <c r="M135" s="94">
        <v>0</v>
      </c>
    </row>
    <row r="136" spans="3:13" x14ac:dyDescent="0.3">
      <c r="C136" t="s">
        <v>61</v>
      </c>
      <c r="D136" t="s">
        <v>67</v>
      </c>
      <c r="E136" t="s">
        <v>68</v>
      </c>
      <c r="F136" t="s">
        <v>25</v>
      </c>
      <c r="G136" s="4">
        <v>15</v>
      </c>
      <c r="H136" s="4" t="s">
        <v>18</v>
      </c>
      <c r="I136" s="4" t="s">
        <v>69</v>
      </c>
      <c r="J136" s="4" t="s">
        <v>66</v>
      </c>
      <c r="K136" s="4">
        <v>0</v>
      </c>
      <c r="L136" s="94">
        <v>2798367</v>
      </c>
      <c r="M136" s="94">
        <v>41975505</v>
      </c>
    </row>
    <row r="137" spans="3:13" x14ac:dyDescent="0.3">
      <c r="C137" t="s">
        <v>70</v>
      </c>
      <c r="D137" t="s">
        <v>67</v>
      </c>
      <c r="E137" t="s">
        <v>68</v>
      </c>
      <c r="F137" t="s">
        <v>72</v>
      </c>
      <c r="G137" s="4">
        <v>5</v>
      </c>
      <c r="H137" s="4" t="s">
        <v>18</v>
      </c>
      <c r="I137" s="4" t="s">
        <v>69</v>
      </c>
      <c r="J137" s="4" t="s">
        <v>73</v>
      </c>
      <c r="K137" s="4">
        <v>1</v>
      </c>
      <c r="L137" s="94">
        <v>279381</v>
      </c>
      <c r="M137" s="94">
        <v>1396905</v>
      </c>
    </row>
    <row r="138" spans="3:13" x14ac:dyDescent="0.3">
      <c r="C138" t="s">
        <v>71</v>
      </c>
      <c r="D138" t="s">
        <v>67</v>
      </c>
      <c r="E138" t="s">
        <v>68</v>
      </c>
      <c r="F138" t="s">
        <v>26</v>
      </c>
      <c r="G138" s="4">
        <v>8</v>
      </c>
      <c r="H138" s="4" t="s">
        <v>74</v>
      </c>
      <c r="I138" s="4" t="s">
        <v>69</v>
      </c>
      <c r="J138" s="4" t="s">
        <v>66</v>
      </c>
      <c r="K138" s="4">
        <v>0</v>
      </c>
      <c r="L138" s="94">
        <v>539849</v>
      </c>
      <c r="M138" s="94">
        <v>4318792</v>
      </c>
    </row>
    <row r="139" spans="3:13" x14ac:dyDescent="0.3">
      <c r="C139" t="s">
        <v>61</v>
      </c>
      <c r="D139" t="s">
        <v>67</v>
      </c>
      <c r="E139" t="s">
        <v>63</v>
      </c>
      <c r="F139" t="s">
        <v>25</v>
      </c>
      <c r="G139" s="4">
        <v>1</v>
      </c>
      <c r="H139" s="4" t="s">
        <v>17</v>
      </c>
      <c r="I139" s="4" t="s">
        <v>65</v>
      </c>
      <c r="J139" s="4" t="s">
        <v>66</v>
      </c>
      <c r="K139" s="4">
        <v>1</v>
      </c>
      <c r="L139" s="94">
        <v>-1176</v>
      </c>
      <c r="M139" s="94">
        <v>0</v>
      </c>
    </row>
    <row r="140" spans="3:13" x14ac:dyDescent="0.3">
      <c r="C140" t="s">
        <v>70</v>
      </c>
      <c r="D140" t="s">
        <v>67</v>
      </c>
      <c r="E140" t="s">
        <v>63</v>
      </c>
      <c r="F140" t="s">
        <v>26</v>
      </c>
      <c r="G140" s="4">
        <v>6</v>
      </c>
      <c r="H140" s="4" t="s">
        <v>76</v>
      </c>
      <c r="I140" s="4" t="s">
        <v>69</v>
      </c>
      <c r="J140" s="4" t="s">
        <v>66</v>
      </c>
      <c r="K140" s="4">
        <v>0</v>
      </c>
      <c r="L140" s="94">
        <v>-62073</v>
      </c>
      <c r="M140" s="94">
        <v>0</v>
      </c>
    </row>
    <row r="141" spans="3:13" x14ac:dyDescent="0.3">
      <c r="C141" t="s">
        <v>61</v>
      </c>
      <c r="D141" t="s">
        <v>67</v>
      </c>
      <c r="E141" t="s">
        <v>63</v>
      </c>
      <c r="F141" t="s">
        <v>72</v>
      </c>
      <c r="G141" s="4">
        <v>3</v>
      </c>
      <c r="H141" s="4" t="s">
        <v>13</v>
      </c>
      <c r="I141" s="4" t="s">
        <v>69</v>
      </c>
      <c r="J141" s="4" t="s">
        <v>73</v>
      </c>
      <c r="K141" s="4">
        <v>1</v>
      </c>
      <c r="L141" s="94">
        <v>-599</v>
      </c>
      <c r="M141" s="94">
        <v>0</v>
      </c>
    </row>
    <row r="142" spans="3:13" x14ac:dyDescent="0.3">
      <c r="C142" t="s">
        <v>71</v>
      </c>
      <c r="D142" t="s">
        <v>67</v>
      </c>
      <c r="E142" t="s">
        <v>63</v>
      </c>
      <c r="F142" t="s">
        <v>26</v>
      </c>
      <c r="G142" s="4">
        <v>4</v>
      </c>
      <c r="H142" s="4" t="s">
        <v>78</v>
      </c>
      <c r="I142" s="4" t="s">
        <v>69</v>
      </c>
      <c r="J142" s="4" t="s">
        <v>66</v>
      </c>
      <c r="K142" s="4">
        <v>0</v>
      </c>
      <c r="L142" s="94">
        <v>-108257</v>
      </c>
      <c r="M142" s="94">
        <v>0</v>
      </c>
    </row>
    <row r="143" spans="3:13" x14ac:dyDescent="0.3">
      <c r="C143" t="s">
        <v>61</v>
      </c>
      <c r="D143" t="s">
        <v>67</v>
      </c>
      <c r="E143" t="s">
        <v>68</v>
      </c>
      <c r="F143" t="s">
        <v>72</v>
      </c>
      <c r="G143" s="4">
        <v>0</v>
      </c>
      <c r="H143" s="4" t="s">
        <v>77</v>
      </c>
      <c r="I143" s="4" t="s">
        <v>69</v>
      </c>
      <c r="J143" s="4" t="s">
        <v>66</v>
      </c>
      <c r="K143" s="4">
        <v>0</v>
      </c>
      <c r="L143" s="94">
        <v>58557</v>
      </c>
      <c r="M143" s="94">
        <v>0</v>
      </c>
    </row>
    <row r="144" spans="3:13" x14ac:dyDescent="0.3">
      <c r="C144" t="s">
        <v>70</v>
      </c>
      <c r="D144" t="s">
        <v>67</v>
      </c>
      <c r="E144" t="s">
        <v>68</v>
      </c>
      <c r="F144" t="s">
        <v>72</v>
      </c>
      <c r="G144" s="4">
        <v>-1</v>
      </c>
      <c r="H144" s="4" t="s">
        <v>74</v>
      </c>
      <c r="I144" s="4" t="s">
        <v>69</v>
      </c>
      <c r="J144" s="4" t="s">
        <v>66</v>
      </c>
      <c r="K144" s="4">
        <v>0</v>
      </c>
      <c r="L144" s="94">
        <v>505197</v>
      </c>
      <c r="M144" s="94">
        <v>0</v>
      </c>
    </row>
    <row r="145" spans="3:13" x14ac:dyDescent="0.3">
      <c r="C145" t="s">
        <v>61</v>
      </c>
      <c r="D145" t="s">
        <v>67</v>
      </c>
      <c r="E145" t="s">
        <v>68</v>
      </c>
      <c r="F145" t="s">
        <v>72</v>
      </c>
      <c r="G145" s="4">
        <v>-1</v>
      </c>
      <c r="H145" s="4" t="s">
        <v>15</v>
      </c>
      <c r="I145" s="4" t="s">
        <v>69</v>
      </c>
      <c r="J145" s="4" t="s">
        <v>73</v>
      </c>
      <c r="K145" s="4">
        <v>1</v>
      </c>
      <c r="L145" s="94">
        <v>140475</v>
      </c>
      <c r="M145" s="94">
        <v>0</v>
      </c>
    </row>
    <row r="146" spans="3:13" x14ac:dyDescent="0.3">
      <c r="C146" t="s">
        <v>70</v>
      </c>
      <c r="D146" t="s">
        <v>67</v>
      </c>
      <c r="E146" t="s">
        <v>68</v>
      </c>
      <c r="F146" t="s">
        <v>72</v>
      </c>
      <c r="G146" s="4">
        <v>3</v>
      </c>
      <c r="H146" s="4" t="s">
        <v>13</v>
      </c>
      <c r="I146" s="4" t="s">
        <v>69</v>
      </c>
      <c r="J146" s="4" t="s">
        <v>73</v>
      </c>
      <c r="K146" s="4">
        <v>1</v>
      </c>
      <c r="L146" s="94">
        <v>177420</v>
      </c>
      <c r="M146" s="94">
        <v>532260</v>
      </c>
    </row>
    <row r="147" spans="3:13" x14ac:dyDescent="0.3">
      <c r="C147" t="s">
        <v>71</v>
      </c>
      <c r="D147" t="s">
        <v>67</v>
      </c>
      <c r="E147" t="s">
        <v>68</v>
      </c>
      <c r="F147" t="s">
        <v>72</v>
      </c>
      <c r="G147" s="4">
        <v>2</v>
      </c>
      <c r="H147" s="4" t="s">
        <v>12</v>
      </c>
      <c r="I147" s="4" t="s">
        <v>69</v>
      </c>
      <c r="J147" s="4" t="s">
        <v>73</v>
      </c>
      <c r="K147" s="4">
        <v>1</v>
      </c>
      <c r="L147" s="94">
        <v>10527</v>
      </c>
      <c r="M147" s="94">
        <v>21054</v>
      </c>
    </row>
    <row r="148" spans="3:13" x14ac:dyDescent="0.3">
      <c r="C148" t="s">
        <v>70</v>
      </c>
      <c r="D148" t="s">
        <v>67</v>
      </c>
      <c r="E148" t="s">
        <v>68</v>
      </c>
      <c r="F148" t="s">
        <v>72</v>
      </c>
      <c r="G148" s="4">
        <v>0</v>
      </c>
      <c r="H148" s="4" t="s">
        <v>14</v>
      </c>
      <c r="I148" s="4" t="s">
        <v>69</v>
      </c>
      <c r="J148" s="4" t="s">
        <v>73</v>
      </c>
      <c r="K148" s="4">
        <v>1</v>
      </c>
      <c r="L148" s="94">
        <v>148237</v>
      </c>
      <c r="M148" s="94">
        <v>0</v>
      </c>
    </row>
    <row r="149" spans="3:13" x14ac:dyDescent="0.3">
      <c r="C149" t="s">
        <v>61</v>
      </c>
      <c r="D149" t="s">
        <v>67</v>
      </c>
      <c r="E149" t="s">
        <v>68</v>
      </c>
      <c r="F149" t="s">
        <v>25</v>
      </c>
      <c r="G149" s="4">
        <v>6</v>
      </c>
      <c r="H149" s="4" t="s">
        <v>78</v>
      </c>
      <c r="I149" s="4" t="s">
        <v>69</v>
      </c>
      <c r="J149" s="4" t="s">
        <v>66</v>
      </c>
      <c r="K149" s="4">
        <v>0</v>
      </c>
      <c r="L149" s="94">
        <v>7743104</v>
      </c>
      <c r="M149" s="94">
        <v>46458624</v>
      </c>
    </row>
    <row r="150" spans="3:13" x14ac:dyDescent="0.3">
      <c r="C150" t="s">
        <v>61</v>
      </c>
      <c r="D150" t="s">
        <v>67</v>
      </c>
      <c r="E150" t="s">
        <v>63</v>
      </c>
      <c r="F150" t="s">
        <v>25</v>
      </c>
      <c r="G150" s="4">
        <v>-4</v>
      </c>
      <c r="H150" s="4" t="s">
        <v>14</v>
      </c>
      <c r="I150" s="4" t="s">
        <v>69</v>
      </c>
      <c r="J150" s="4" t="s">
        <v>66</v>
      </c>
      <c r="K150" s="4">
        <v>0</v>
      </c>
      <c r="L150" s="94">
        <v>0</v>
      </c>
      <c r="M150" s="94">
        <v>0</v>
      </c>
    </row>
    <row r="151" spans="3:13" x14ac:dyDescent="0.3">
      <c r="C151" t="s">
        <v>70</v>
      </c>
      <c r="D151" t="s">
        <v>67</v>
      </c>
      <c r="E151" t="s">
        <v>63</v>
      </c>
      <c r="F151" t="s">
        <v>72</v>
      </c>
      <c r="G151" s="4">
        <v>2</v>
      </c>
      <c r="H151" s="4" t="s">
        <v>15</v>
      </c>
      <c r="I151" s="4" t="s">
        <v>69</v>
      </c>
      <c r="J151" s="4" t="s">
        <v>73</v>
      </c>
      <c r="K151" s="4">
        <v>1</v>
      </c>
      <c r="L151" s="94">
        <v>-2215</v>
      </c>
      <c r="M151" s="94">
        <v>0</v>
      </c>
    </row>
    <row r="152" spans="3:13" x14ac:dyDescent="0.3">
      <c r="C152" t="s">
        <v>71</v>
      </c>
      <c r="D152" t="s">
        <v>62</v>
      </c>
      <c r="E152" t="s">
        <v>68</v>
      </c>
      <c r="F152" t="s">
        <v>24</v>
      </c>
      <c r="G152" s="4">
        <v>2</v>
      </c>
      <c r="I152" s="4" t="s">
        <v>69</v>
      </c>
      <c r="J152" s="4" t="s">
        <v>66</v>
      </c>
      <c r="K152" s="4">
        <v>0</v>
      </c>
      <c r="L152" s="94">
        <v>292839</v>
      </c>
      <c r="M152" s="94">
        <v>585678</v>
      </c>
    </row>
    <row r="153" spans="3:13" x14ac:dyDescent="0.3">
      <c r="C153" t="s">
        <v>71</v>
      </c>
      <c r="D153" t="s">
        <v>67</v>
      </c>
      <c r="E153" t="s">
        <v>63</v>
      </c>
      <c r="F153" t="s">
        <v>26</v>
      </c>
      <c r="G153" s="4">
        <v>7</v>
      </c>
      <c r="H153" s="4" t="s">
        <v>82</v>
      </c>
      <c r="I153" s="4" t="s">
        <v>69</v>
      </c>
      <c r="J153" s="4" t="s">
        <v>66</v>
      </c>
      <c r="K153" s="4">
        <v>0</v>
      </c>
      <c r="L153" s="94">
        <v>-2174400</v>
      </c>
      <c r="M153" s="94">
        <v>0</v>
      </c>
    </row>
    <row r="154" spans="3:13" x14ac:dyDescent="0.3">
      <c r="C154" t="s">
        <v>71</v>
      </c>
      <c r="D154" t="s">
        <v>67</v>
      </c>
      <c r="E154" t="s">
        <v>68</v>
      </c>
      <c r="F154" t="s">
        <v>72</v>
      </c>
      <c r="G154" s="4">
        <v>2</v>
      </c>
      <c r="H154" s="4" t="s">
        <v>17</v>
      </c>
      <c r="I154" s="4" t="s">
        <v>65</v>
      </c>
      <c r="J154" s="4" t="s">
        <v>66</v>
      </c>
      <c r="K154" s="4">
        <v>1</v>
      </c>
      <c r="L154" s="94">
        <v>9759</v>
      </c>
      <c r="M154" s="94">
        <v>19518</v>
      </c>
    </row>
    <row r="155" spans="3:13" x14ac:dyDescent="0.3">
      <c r="C155" t="s">
        <v>70</v>
      </c>
      <c r="D155" t="s">
        <v>67</v>
      </c>
      <c r="E155" t="s">
        <v>68</v>
      </c>
      <c r="F155" t="s">
        <v>25</v>
      </c>
      <c r="G155" s="4">
        <v>12</v>
      </c>
      <c r="H155" s="4" t="s">
        <v>77</v>
      </c>
      <c r="I155" s="4" t="s">
        <v>69</v>
      </c>
      <c r="J155" s="4" t="s">
        <v>66</v>
      </c>
      <c r="K155" s="4">
        <v>0</v>
      </c>
      <c r="L155" s="94">
        <v>89790</v>
      </c>
      <c r="M155" s="94">
        <v>1077480</v>
      </c>
    </row>
    <row r="156" spans="3:13" x14ac:dyDescent="0.3">
      <c r="C156" t="s">
        <v>71</v>
      </c>
      <c r="D156" t="s">
        <v>62</v>
      </c>
      <c r="E156" t="s">
        <v>63</v>
      </c>
      <c r="F156" t="s">
        <v>24</v>
      </c>
      <c r="G156" s="4">
        <v>29</v>
      </c>
      <c r="I156" s="4" t="s">
        <v>69</v>
      </c>
      <c r="J156" s="4" t="s">
        <v>66</v>
      </c>
      <c r="K156" s="4">
        <v>0</v>
      </c>
      <c r="L156" s="94">
        <v>-2945547</v>
      </c>
      <c r="M156" s="94">
        <v>0</v>
      </c>
    </row>
    <row r="157" spans="3:13" x14ac:dyDescent="0.3">
      <c r="C157" t="s">
        <v>61</v>
      </c>
      <c r="D157" t="s">
        <v>67</v>
      </c>
      <c r="E157" t="s">
        <v>68</v>
      </c>
      <c r="F157" t="s">
        <v>72</v>
      </c>
      <c r="G157" s="4">
        <v>4</v>
      </c>
      <c r="H157" s="4" t="s">
        <v>18</v>
      </c>
      <c r="I157" s="4" t="s">
        <v>69</v>
      </c>
      <c r="J157" s="4" t="s">
        <v>73</v>
      </c>
      <c r="K157" s="4">
        <v>1</v>
      </c>
      <c r="L157" s="94">
        <v>1275726</v>
      </c>
      <c r="M157" s="94">
        <v>5102904</v>
      </c>
    </row>
    <row r="158" spans="3:13" x14ac:dyDescent="0.3">
      <c r="C158" t="s">
        <v>71</v>
      </c>
      <c r="D158" t="s">
        <v>62</v>
      </c>
      <c r="E158" t="s">
        <v>63</v>
      </c>
      <c r="F158" t="s">
        <v>25</v>
      </c>
      <c r="G158" s="4">
        <v>16</v>
      </c>
      <c r="I158" s="4" t="s">
        <v>69</v>
      </c>
      <c r="J158" s="4" t="s">
        <v>66</v>
      </c>
      <c r="K158" s="4">
        <v>0</v>
      </c>
      <c r="L158" s="94">
        <v>-21865</v>
      </c>
      <c r="M158" s="94">
        <v>0</v>
      </c>
    </row>
    <row r="159" spans="3:13" x14ac:dyDescent="0.3">
      <c r="C159" t="s">
        <v>61</v>
      </c>
      <c r="D159" t="s">
        <v>67</v>
      </c>
      <c r="E159" t="s">
        <v>68</v>
      </c>
      <c r="F159" t="s">
        <v>25</v>
      </c>
      <c r="G159" s="4">
        <v>13</v>
      </c>
      <c r="H159" s="4" t="s">
        <v>18</v>
      </c>
      <c r="I159" s="4" t="s">
        <v>69</v>
      </c>
      <c r="J159" s="4" t="s">
        <v>66</v>
      </c>
      <c r="K159" s="4">
        <v>0</v>
      </c>
      <c r="L159" s="94">
        <v>1604919</v>
      </c>
      <c r="M159" s="94">
        <v>20863947</v>
      </c>
    </row>
    <row r="160" spans="3:13" x14ac:dyDescent="0.3">
      <c r="C160" t="s">
        <v>71</v>
      </c>
      <c r="D160" t="s">
        <v>67</v>
      </c>
      <c r="E160" t="s">
        <v>68</v>
      </c>
      <c r="F160" t="s">
        <v>26</v>
      </c>
      <c r="G160" s="4">
        <v>2</v>
      </c>
      <c r="H160" s="4" t="s">
        <v>80</v>
      </c>
      <c r="I160" s="4" t="s">
        <v>69</v>
      </c>
      <c r="J160" s="4" t="s">
        <v>66</v>
      </c>
      <c r="K160" s="4">
        <v>0</v>
      </c>
      <c r="L160" s="94">
        <v>221182</v>
      </c>
      <c r="M160" s="94">
        <v>442364</v>
      </c>
    </row>
    <row r="161" spans="3:13" x14ac:dyDescent="0.3">
      <c r="C161" t="s">
        <v>61</v>
      </c>
      <c r="D161" t="s">
        <v>62</v>
      </c>
      <c r="E161" t="s">
        <v>63</v>
      </c>
      <c r="F161" t="s">
        <v>24</v>
      </c>
      <c r="G161" s="4">
        <v>11</v>
      </c>
      <c r="I161" s="4" t="s">
        <v>69</v>
      </c>
      <c r="J161" s="4" t="s">
        <v>66</v>
      </c>
      <c r="K161" s="4">
        <v>1</v>
      </c>
      <c r="L161" s="94">
        <v>-676</v>
      </c>
      <c r="M161" s="94">
        <v>0</v>
      </c>
    </row>
    <row r="162" spans="3:13" x14ac:dyDescent="0.3">
      <c r="C162" t="s">
        <v>71</v>
      </c>
      <c r="D162" t="s">
        <v>67</v>
      </c>
      <c r="E162" t="s">
        <v>68</v>
      </c>
      <c r="F162" t="s">
        <v>26</v>
      </c>
      <c r="G162" s="4">
        <v>3</v>
      </c>
      <c r="H162" s="4" t="s">
        <v>16</v>
      </c>
      <c r="I162" s="4" t="s">
        <v>69</v>
      </c>
      <c r="J162" s="4" t="s">
        <v>66</v>
      </c>
      <c r="K162" s="4">
        <v>0</v>
      </c>
      <c r="L162" s="94">
        <v>335216</v>
      </c>
      <c r="M162" s="94">
        <v>1005648</v>
      </c>
    </row>
    <row r="163" spans="3:13" x14ac:dyDescent="0.3">
      <c r="C163" t="s">
        <v>61</v>
      </c>
      <c r="D163" t="s">
        <v>62</v>
      </c>
      <c r="E163" t="s">
        <v>68</v>
      </c>
      <c r="F163" t="s">
        <v>24</v>
      </c>
      <c r="G163" s="4">
        <v>9</v>
      </c>
      <c r="I163" s="4" t="s">
        <v>69</v>
      </c>
      <c r="J163" s="4" t="s">
        <v>66</v>
      </c>
      <c r="K163" s="4">
        <v>1</v>
      </c>
      <c r="L163" s="94">
        <v>1343982</v>
      </c>
      <c r="M163" s="94">
        <v>12095838</v>
      </c>
    </row>
    <row r="164" spans="3:13" x14ac:dyDescent="0.3">
      <c r="C164" t="s">
        <v>71</v>
      </c>
      <c r="D164" t="s">
        <v>67</v>
      </c>
      <c r="E164" t="s">
        <v>63</v>
      </c>
      <c r="F164" t="s">
        <v>72</v>
      </c>
      <c r="G164" s="4">
        <v>0</v>
      </c>
      <c r="H164" s="4" t="s">
        <v>64</v>
      </c>
      <c r="I164" s="4" t="s">
        <v>69</v>
      </c>
      <c r="J164" s="4" t="s">
        <v>66</v>
      </c>
      <c r="K164" s="4">
        <v>0</v>
      </c>
      <c r="L164" s="94">
        <v>-15992</v>
      </c>
      <c r="M164" s="94">
        <v>0</v>
      </c>
    </row>
    <row r="165" spans="3:13" x14ac:dyDescent="0.3">
      <c r="C165" t="s">
        <v>70</v>
      </c>
      <c r="D165" t="s">
        <v>62</v>
      </c>
      <c r="E165" t="s">
        <v>63</v>
      </c>
      <c r="F165" t="s">
        <v>24</v>
      </c>
      <c r="G165" s="4">
        <v>15</v>
      </c>
      <c r="I165" s="4" t="s">
        <v>69</v>
      </c>
      <c r="J165" s="4" t="s">
        <v>66</v>
      </c>
      <c r="K165" s="4">
        <v>1</v>
      </c>
      <c r="L165" s="94">
        <v>-1432</v>
      </c>
      <c r="M165" s="94">
        <v>0</v>
      </c>
    </row>
    <row r="166" spans="3:13" x14ac:dyDescent="0.3">
      <c r="C166" t="s">
        <v>70</v>
      </c>
      <c r="D166" t="s">
        <v>67</v>
      </c>
      <c r="E166" t="s">
        <v>63</v>
      </c>
      <c r="F166" t="s">
        <v>25</v>
      </c>
      <c r="G166" s="4">
        <v>4</v>
      </c>
      <c r="H166" s="4" t="s">
        <v>14</v>
      </c>
      <c r="I166" s="4" t="s">
        <v>69</v>
      </c>
      <c r="J166" s="4" t="s">
        <v>73</v>
      </c>
      <c r="K166" s="4">
        <v>1</v>
      </c>
      <c r="L166" s="94">
        <v>-6836</v>
      </c>
      <c r="M166" s="94">
        <v>0</v>
      </c>
    </row>
    <row r="167" spans="3:13" x14ac:dyDescent="0.3">
      <c r="C167" t="s">
        <v>61</v>
      </c>
      <c r="D167" t="s">
        <v>67</v>
      </c>
      <c r="E167" t="s">
        <v>63</v>
      </c>
      <c r="F167" t="s">
        <v>26</v>
      </c>
      <c r="G167" s="4">
        <v>4</v>
      </c>
      <c r="H167" s="4" t="s">
        <v>75</v>
      </c>
      <c r="I167" s="4" t="s">
        <v>69</v>
      </c>
      <c r="J167" s="4" t="s">
        <v>66</v>
      </c>
      <c r="K167" s="4">
        <v>0</v>
      </c>
      <c r="L167" s="94">
        <v>-20441</v>
      </c>
      <c r="M167" s="94">
        <v>0</v>
      </c>
    </row>
    <row r="168" spans="3:13" x14ac:dyDescent="0.3">
      <c r="C168" t="s">
        <v>70</v>
      </c>
      <c r="D168" t="s">
        <v>67</v>
      </c>
      <c r="E168" t="s">
        <v>63</v>
      </c>
      <c r="F168" t="s">
        <v>26</v>
      </c>
      <c r="G168" s="4">
        <v>3</v>
      </c>
      <c r="H168" s="4" t="s">
        <v>17</v>
      </c>
      <c r="I168" s="4" t="s">
        <v>69</v>
      </c>
      <c r="J168" s="4" t="s">
        <v>66</v>
      </c>
      <c r="K168" s="4">
        <v>0</v>
      </c>
      <c r="L168" s="94">
        <v>-750885</v>
      </c>
      <c r="M168" s="94">
        <v>0</v>
      </c>
    </row>
    <row r="169" spans="3:13" x14ac:dyDescent="0.3">
      <c r="C169" t="s">
        <v>70</v>
      </c>
      <c r="D169" t="s">
        <v>62</v>
      </c>
      <c r="E169" t="s">
        <v>68</v>
      </c>
      <c r="F169" t="s">
        <v>25</v>
      </c>
      <c r="G169" s="4">
        <v>7</v>
      </c>
      <c r="I169" s="4" t="s">
        <v>69</v>
      </c>
      <c r="J169" s="4" t="s">
        <v>66</v>
      </c>
      <c r="K169" s="4">
        <v>0</v>
      </c>
      <c r="L169" s="94">
        <v>604966</v>
      </c>
      <c r="M169" s="94">
        <v>4234762</v>
      </c>
    </row>
    <row r="170" spans="3:13" x14ac:dyDescent="0.3">
      <c r="C170" t="s">
        <v>61</v>
      </c>
      <c r="D170" t="s">
        <v>67</v>
      </c>
      <c r="E170" t="s">
        <v>63</v>
      </c>
      <c r="F170" t="s">
        <v>26</v>
      </c>
      <c r="G170" s="4">
        <v>9</v>
      </c>
      <c r="H170" s="4" t="s">
        <v>76</v>
      </c>
      <c r="I170" s="4" t="s">
        <v>69</v>
      </c>
      <c r="J170" s="4" t="s">
        <v>66</v>
      </c>
      <c r="K170" s="4">
        <v>0</v>
      </c>
      <c r="L170" s="94">
        <v>-10448</v>
      </c>
      <c r="M170" s="94">
        <v>0</v>
      </c>
    </row>
    <row r="171" spans="3:13" x14ac:dyDescent="0.3">
      <c r="C171" t="s">
        <v>70</v>
      </c>
      <c r="D171" t="s">
        <v>67</v>
      </c>
      <c r="E171" t="s">
        <v>63</v>
      </c>
      <c r="F171" t="s">
        <v>26</v>
      </c>
      <c r="G171" s="4">
        <v>8</v>
      </c>
      <c r="H171" s="4" t="s">
        <v>14</v>
      </c>
      <c r="I171" s="4" t="s">
        <v>69</v>
      </c>
      <c r="J171" s="4" t="s">
        <v>73</v>
      </c>
      <c r="K171" s="4">
        <v>1</v>
      </c>
      <c r="L171" s="94">
        <v>-73695</v>
      </c>
      <c r="M171" s="94">
        <v>0</v>
      </c>
    </row>
    <row r="172" spans="3:13" x14ac:dyDescent="0.3">
      <c r="C172" t="s">
        <v>71</v>
      </c>
      <c r="D172" t="s">
        <v>67</v>
      </c>
      <c r="E172" t="s">
        <v>68</v>
      </c>
      <c r="F172" t="s">
        <v>25</v>
      </c>
      <c r="G172" s="4">
        <v>-1</v>
      </c>
      <c r="H172" s="4" t="s">
        <v>64</v>
      </c>
      <c r="I172" s="4" t="s">
        <v>69</v>
      </c>
      <c r="J172" s="4" t="s">
        <v>66</v>
      </c>
      <c r="K172" s="4">
        <v>0</v>
      </c>
      <c r="L172" s="94">
        <v>16492</v>
      </c>
      <c r="M172" s="94">
        <v>0</v>
      </c>
    </row>
    <row r="173" spans="3:13" x14ac:dyDescent="0.3">
      <c r="C173" t="s">
        <v>61</v>
      </c>
      <c r="D173" t="s">
        <v>67</v>
      </c>
      <c r="E173" t="s">
        <v>68</v>
      </c>
      <c r="F173" t="s">
        <v>26</v>
      </c>
      <c r="G173" s="4">
        <v>4</v>
      </c>
      <c r="H173" s="4" t="s">
        <v>13</v>
      </c>
      <c r="I173" s="4" t="s">
        <v>69</v>
      </c>
      <c r="J173" s="4" t="s">
        <v>66</v>
      </c>
      <c r="K173" s="4">
        <v>0</v>
      </c>
      <c r="L173" s="94">
        <v>98104</v>
      </c>
      <c r="M173" s="94">
        <v>392416</v>
      </c>
    </row>
    <row r="174" spans="3:13" x14ac:dyDescent="0.3">
      <c r="C174" t="s">
        <v>70</v>
      </c>
      <c r="D174" t="s">
        <v>67</v>
      </c>
      <c r="E174" t="s">
        <v>63</v>
      </c>
      <c r="F174" t="s">
        <v>72</v>
      </c>
      <c r="G174" s="4">
        <v>1</v>
      </c>
      <c r="H174" s="4" t="s">
        <v>82</v>
      </c>
      <c r="I174" s="4" t="s">
        <v>69</v>
      </c>
      <c r="J174" s="4" t="s">
        <v>66</v>
      </c>
      <c r="K174" s="4">
        <v>0</v>
      </c>
      <c r="L174" s="94">
        <v>-33055</v>
      </c>
      <c r="M174" s="94">
        <v>0</v>
      </c>
    </row>
    <row r="175" spans="3:13" x14ac:dyDescent="0.3">
      <c r="C175" t="s">
        <v>71</v>
      </c>
      <c r="D175" t="s">
        <v>67</v>
      </c>
      <c r="E175" t="s">
        <v>63</v>
      </c>
      <c r="F175" t="s">
        <v>25</v>
      </c>
      <c r="G175" s="4">
        <v>-4</v>
      </c>
      <c r="H175" s="4" t="s">
        <v>18</v>
      </c>
      <c r="I175" s="4" t="s">
        <v>69</v>
      </c>
      <c r="J175" s="4" t="s">
        <v>66</v>
      </c>
      <c r="K175" s="4">
        <v>0</v>
      </c>
      <c r="L175" s="94">
        <v>-198436</v>
      </c>
      <c r="M175" s="94">
        <v>0</v>
      </c>
    </row>
    <row r="176" spans="3:13" x14ac:dyDescent="0.3">
      <c r="C176" t="s">
        <v>61</v>
      </c>
      <c r="D176" t="s">
        <v>67</v>
      </c>
      <c r="E176" t="s">
        <v>68</v>
      </c>
      <c r="F176" t="s">
        <v>25</v>
      </c>
      <c r="G176" s="4">
        <v>7</v>
      </c>
      <c r="H176" s="4" t="s">
        <v>76</v>
      </c>
      <c r="I176" s="4" t="s">
        <v>65</v>
      </c>
      <c r="J176" s="4" t="s">
        <v>66</v>
      </c>
      <c r="K176" s="4">
        <v>1</v>
      </c>
      <c r="L176" s="94">
        <v>375447</v>
      </c>
      <c r="M176" s="94">
        <v>2628129</v>
      </c>
    </row>
    <row r="177" spans="3:13" x14ac:dyDescent="0.3">
      <c r="C177" t="s">
        <v>70</v>
      </c>
      <c r="D177" t="s">
        <v>67</v>
      </c>
      <c r="E177" t="s">
        <v>68</v>
      </c>
      <c r="F177" t="s">
        <v>72</v>
      </c>
      <c r="G177" s="4">
        <v>4</v>
      </c>
      <c r="H177" s="4" t="s">
        <v>78</v>
      </c>
      <c r="I177" s="4" t="s">
        <v>69</v>
      </c>
      <c r="J177" s="4" t="s">
        <v>66</v>
      </c>
      <c r="K177" s="4">
        <v>0</v>
      </c>
      <c r="L177" s="94">
        <v>90791</v>
      </c>
      <c r="M177" s="94">
        <v>363164</v>
      </c>
    </row>
    <row r="178" spans="3:13" x14ac:dyDescent="0.3">
      <c r="C178" t="s">
        <v>71</v>
      </c>
      <c r="D178" t="s">
        <v>67</v>
      </c>
      <c r="E178" t="s">
        <v>63</v>
      </c>
      <c r="F178" t="s">
        <v>26</v>
      </c>
      <c r="G178" s="4">
        <v>4</v>
      </c>
      <c r="H178" s="4" t="s">
        <v>64</v>
      </c>
      <c r="I178" s="4" t="s">
        <v>69</v>
      </c>
      <c r="J178" s="4" t="s">
        <v>66</v>
      </c>
      <c r="K178" s="4">
        <v>0</v>
      </c>
      <c r="L178" s="94">
        <v>-105133</v>
      </c>
      <c r="M178" s="94">
        <v>0</v>
      </c>
    </row>
    <row r="179" spans="3:13" x14ac:dyDescent="0.3">
      <c r="C179" t="s">
        <v>70</v>
      </c>
      <c r="D179" t="s">
        <v>62</v>
      </c>
      <c r="E179" t="s">
        <v>63</v>
      </c>
      <c r="F179" t="s">
        <v>24</v>
      </c>
      <c r="G179" s="4">
        <v>29</v>
      </c>
      <c r="I179" s="4" t="s">
        <v>69</v>
      </c>
      <c r="J179" s="4" t="s">
        <v>66</v>
      </c>
      <c r="K179" s="4">
        <v>0</v>
      </c>
      <c r="L179" s="94">
        <v>-1826647</v>
      </c>
      <c r="M179" s="94">
        <v>0</v>
      </c>
    </row>
    <row r="180" spans="3:13" x14ac:dyDescent="0.3">
      <c r="C180" t="s">
        <v>70</v>
      </c>
      <c r="D180" t="s">
        <v>67</v>
      </c>
      <c r="E180" t="s">
        <v>63</v>
      </c>
      <c r="F180" t="s">
        <v>25</v>
      </c>
      <c r="G180" s="4">
        <v>2</v>
      </c>
      <c r="H180" s="4" t="s">
        <v>12</v>
      </c>
      <c r="I180" s="4" t="s">
        <v>69</v>
      </c>
      <c r="J180" s="4" t="s">
        <v>66</v>
      </c>
      <c r="K180" s="4">
        <v>1</v>
      </c>
      <c r="L180" s="94">
        <v>-1207</v>
      </c>
      <c r="M180" s="94">
        <v>0</v>
      </c>
    </row>
    <row r="181" spans="3:13" x14ac:dyDescent="0.3">
      <c r="C181" t="s">
        <v>61</v>
      </c>
      <c r="D181" t="s">
        <v>67</v>
      </c>
      <c r="E181" t="s">
        <v>68</v>
      </c>
      <c r="F181" t="s">
        <v>25</v>
      </c>
      <c r="G181" s="4">
        <v>7</v>
      </c>
      <c r="H181" s="4" t="s">
        <v>64</v>
      </c>
      <c r="I181" s="4" t="s">
        <v>69</v>
      </c>
      <c r="J181" s="4" t="s">
        <v>66</v>
      </c>
      <c r="K181" s="4">
        <v>0</v>
      </c>
      <c r="L181" s="94">
        <v>506793</v>
      </c>
      <c r="M181" s="94">
        <v>3547551</v>
      </c>
    </row>
    <row r="182" spans="3:13" x14ac:dyDescent="0.3">
      <c r="C182" t="s">
        <v>70</v>
      </c>
      <c r="D182" t="s">
        <v>67</v>
      </c>
      <c r="E182" t="s">
        <v>63</v>
      </c>
      <c r="F182" t="s">
        <v>25</v>
      </c>
      <c r="G182" s="4">
        <v>11</v>
      </c>
      <c r="H182" s="4" t="s">
        <v>17</v>
      </c>
      <c r="I182" s="4" t="s">
        <v>69</v>
      </c>
      <c r="J182" s="4" t="s">
        <v>66</v>
      </c>
      <c r="K182" s="4">
        <v>0</v>
      </c>
      <c r="L182" s="94">
        <v>-54020</v>
      </c>
      <c r="M182" s="94">
        <v>0</v>
      </c>
    </row>
    <row r="183" spans="3:13" x14ac:dyDescent="0.3">
      <c r="C183" t="s">
        <v>61</v>
      </c>
      <c r="D183" t="s">
        <v>67</v>
      </c>
      <c r="E183" t="s">
        <v>63</v>
      </c>
      <c r="F183" t="s">
        <v>26</v>
      </c>
      <c r="G183" s="4">
        <v>0</v>
      </c>
      <c r="H183" s="4" t="s">
        <v>15</v>
      </c>
      <c r="I183" s="4" t="s">
        <v>69</v>
      </c>
      <c r="J183" s="4" t="s">
        <v>66</v>
      </c>
      <c r="K183" s="4">
        <v>0</v>
      </c>
      <c r="L183" s="94">
        <v>-50586</v>
      </c>
      <c r="M183" s="94">
        <v>0</v>
      </c>
    </row>
    <row r="184" spans="3:13" x14ac:dyDescent="0.3">
      <c r="C184" t="s">
        <v>61</v>
      </c>
      <c r="D184" t="s">
        <v>84</v>
      </c>
      <c r="E184" t="s">
        <v>63</v>
      </c>
      <c r="F184" t="s">
        <v>25</v>
      </c>
      <c r="G184" s="4">
        <v>13</v>
      </c>
      <c r="H184" s="4" t="s">
        <v>75</v>
      </c>
      <c r="I184" s="4" t="s">
        <v>69</v>
      </c>
      <c r="J184" s="4" t="s">
        <v>66</v>
      </c>
      <c r="K184" s="4">
        <v>0</v>
      </c>
      <c r="L184" s="94">
        <v>-17604</v>
      </c>
      <c r="M184" s="94">
        <v>0</v>
      </c>
    </row>
    <row r="185" spans="3:13" x14ac:dyDescent="0.3">
      <c r="C185" t="s">
        <v>61</v>
      </c>
      <c r="D185" t="s">
        <v>67</v>
      </c>
      <c r="E185" t="s">
        <v>63</v>
      </c>
      <c r="F185" t="s">
        <v>25</v>
      </c>
      <c r="G185" s="4">
        <v>8</v>
      </c>
      <c r="H185" s="4" t="s">
        <v>81</v>
      </c>
      <c r="I185" s="4" t="s">
        <v>69</v>
      </c>
      <c r="J185" s="4" t="s">
        <v>66</v>
      </c>
      <c r="K185" s="4">
        <v>0</v>
      </c>
      <c r="L185" s="94">
        <v>-739</v>
      </c>
      <c r="M185" s="94">
        <v>0</v>
      </c>
    </row>
    <row r="186" spans="3:13" x14ac:dyDescent="0.3">
      <c r="C186" t="s">
        <v>71</v>
      </c>
      <c r="D186" t="s">
        <v>67</v>
      </c>
      <c r="E186" t="s">
        <v>63</v>
      </c>
      <c r="F186" t="s">
        <v>25</v>
      </c>
      <c r="G186" s="4">
        <v>6</v>
      </c>
      <c r="H186" s="4" t="s">
        <v>17</v>
      </c>
      <c r="I186" s="4" t="s">
        <v>69</v>
      </c>
      <c r="J186" s="4" t="s">
        <v>66</v>
      </c>
      <c r="K186" s="4">
        <v>0</v>
      </c>
      <c r="L186" s="94">
        <v>-118181</v>
      </c>
      <c r="M186" s="94">
        <v>0</v>
      </c>
    </row>
    <row r="187" spans="3:13" x14ac:dyDescent="0.3">
      <c r="C187" t="s">
        <v>61</v>
      </c>
      <c r="D187" t="s">
        <v>62</v>
      </c>
      <c r="E187" t="s">
        <v>68</v>
      </c>
      <c r="F187" t="s">
        <v>25</v>
      </c>
      <c r="G187" s="4">
        <v>12</v>
      </c>
      <c r="I187" s="4" t="s">
        <v>69</v>
      </c>
      <c r="J187" s="4" t="s">
        <v>66</v>
      </c>
      <c r="K187" s="4">
        <v>0</v>
      </c>
      <c r="L187" s="94">
        <v>8803670</v>
      </c>
      <c r="M187" s="94">
        <v>105644040</v>
      </c>
    </row>
    <row r="188" spans="3:13" x14ac:dyDescent="0.3">
      <c r="C188" t="s">
        <v>70</v>
      </c>
      <c r="D188" t="s">
        <v>62</v>
      </c>
      <c r="E188" t="s">
        <v>63</v>
      </c>
      <c r="F188" t="s">
        <v>25</v>
      </c>
      <c r="G188" s="4">
        <v>24</v>
      </c>
      <c r="I188" s="4" t="s">
        <v>69</v>
      </c>
      <c r="J188" s="4" t="s">
        <v>66</v>
      </c>
      <c r="K188" s="4">
        <v>0</v>
      </c>
      <c r="L188" s="94">
        <v>-222</v>
      </c>
      <c r="M188" s="94">
        <v>0</v>
      </c>
    </row>
    <row r="189" spans="3:13" x14ac:dyDescent="0.3">
      <c r="C189" t="s">
        <v>70</v>
      </c>
      <c r="D189" t="s">
        <v>67</v>
      </c>
      <c r="E189" t="s">
        <v>68</v>
      </c>
      <c r="F189" t="s">
        <v>25</v>
      </c>
      <c r="G189" s="4">
        <v>-4</v>
      </c>
      <c r="H189" s="4" t="s">
        <v>82</v>
      </c>
      <c r="I189" s="4" t="s">
        <v>69</v>
      </c>
      <c r="J189" s="4" t="s">
        <v>66</v>
      </c>
      <c r="K189" s="4">
        <v>0</v>
      </c>
      <c r="L189" s="94">
        <v>191057</v>
      </c>
      <c r="M189" s="94">
        <v>0</v>
      </c>
    </row>
    <row r="190" spans="3:13" x14ac:dyDescent="0.3">
      <c r="C190" t="s">
        <v>71</v>
      </c>
      <c r="D190" t="s">
        <v>67</v>
      </c>
      <c r="E190" t="s">
        <v>63</v>
      </c>
      <c r="F190" t="s">
        <v>72</v>
      </c>
      <c r="G190" s="4">
        <v>-4</v>
      </c>
      <c r="H190" s="4" t="s">
        <v>12</v>
      </c>
      <c r="I190" s="4" t="s">
        <v>65</v>
      </c>
      <c r="J190" s="4" t="s">
        <v>73</v>
      </c>
      <c r="K190" s="4">
        <v>1</v>
      </c>
      <c r="L190" s="94">
        <v>-1681</v>
      </c>
      <c r="M190" s="94">
        <v>0</v>
      </c>
    </row>
    <row r="191" spans="3:13" x14ac:dyDescent="0.3">
      <c r="C191" t="s">
        <v>61</v>
      </c>
      <c r="D191" t="s">
        <v>67</v>
      </c>
      <c r="E191" t="s">
        <v>68</v>
      </c>
      <c r="F191" t="s">
        <v>72</v>
      </c>
      <c r="G191" s="4">
        <v>8</v>
      </c>
      <c r="H191" s="4" t="s">
        <v>64</v>
      </c>
      <c r="I191" s="4" t="s">
        <v>69</v>
      </c>
      <c r="J191" s="4" t="s">
        <v>66</v>
      </c>
      <c r="K191" s="4">
        <v>0</v>
      </c>
      <c r="L191" s="94">
        <v>4308217</v>
      </c>
      <c r="M191" s="94">
        <v>34465736</v>
      </c>
    </row>
    <row r="192" spans="3:13" x14ac:dyDescent="0.3">
      <c r="C192" t="s">
        <v>61</v>
      </c>
      <c r="D192" t="s">
        <v>67</v>
      </c>
      <c r="E192" t="s">
        <v>63</v>
      </c>
      <c r="F192" t="s">
        <v>25</v>
      </c>
      <c r="G192" s="4">
        <v>1</v>
      </c>
      <c r="H192" s="4" t="s">
        <v>75</v>
      </c>
      <c r="I192" s="4" t="s">
        <v>69</v>
      </c>
      <c r="J192" s="4" t="s">
        <v>66</v>
      </c>
      <c r="K192" s="4">
        <v>0</v>
      </c>
      <c r="L192" s="94">
        <v>-126262</v>
      </c>
      <c r="M192" s="94">
        <v>0</v>
      </c>
    </row>
    <row r="193" spans="3:13" x14ac:dyDescent="0.3">
      <c r="C193" t="s">
        <v>70</v>
      </c>
      <c r="D193" t="s">
        <v>67</v>
      </c>
      <c r="E193" t="s">
        <v>63</v>
      </c>
      <c r="F193" t="s">
        <v>25</v>
      </c>
      <c r="G193" s="4">
        <v>1</v>
      </c>
      <c r="H193" s="4" t="s">
        <v>74</v>
      </c>
      <c r="I193" s="4" t="s">
        <v>69</v>
      </c>
      <c r="J193" s="4" t="s">
        <v>66</v>
      </c>
      <c r="K193" s="4">
        <v>0</v>
      </c>
      <c r="L193" s="94">
        <v>-3677</v>
      </c>
      <c r="M193" s="94">
        <v>0</v>
      </c>
    </row>
    <row r="194" spans="3:13" x14ac:dyDescent="0.3">
      <c r="C194" t="s">
        <v>71</v>
      </c>
      <c r="D194" t="s">
        <v>67</v>
      </c>
      <c r="E194" t="s">
        <v>63</v>
      </c>
      <c r="F194" t="s">
        <v>26</v>
      </c>
      <c r="G194" s="4">
        <v>2</v>
      </c>
      <c r="H194" s="4" t="s">
        <v>79</v>
      </c>
      <c r="I194" s="4" t="s">
        <v>69</v>
      </c>
      <c r="J194" s="4" t="s">
        <v>66</v>
      </c>
      <c r="K194" s="4">
        <v>0</v>
      </c>
      <c r="L194" s="94">
        <v>-477421</v>
      </c>
      <c r="M194" s="94">
        <v>0</v>
      </c>
    </row>
    <row r="195" spans="3:13" x14ac:dyDescent="0.3">
      <c r="C195" t="s">
        <v>61</v>
      </c>
      <c r="D195" t="s">
        <v>67</v>
      </c>
      <c r="E195" t="s">
        <v>68</v>
      </c>
      <c r="F195" t="s">
        <v>72</v>
      </c>
      <c r="G195" s="4">
        <v>-4</v>
      </c>
      <c r="H195" s="4" t="s">
        <v>80</v>
      </c>
      <c r="I195" s="4" t="s">
        <v>69</v>
      </c>
      <c r="J195" s="4" t="s">
        <v>66</v>
      </c>
      <c r="K195" s="4">
        <v>0</v>
      </c>
      <c r="L195" s="94">
        <v>73</v>
      </c>
      <c r="M195" s="94">
        <v>0</v>
      </c>
    </row>
    <row r="196" spans="3:13" x14ac:dyDescent="0.3">
      <c r="C196" t="s">
        <v>71</v>
      </c>
      <c r="D196" t="s">
        <v>67</v>
      </c>
      <c r="E196" t="s">
        <v>63</v>
      </c>
      <c r="F196" t="s">
        <v>25</v>
      </c>
      <c r="G196" s="4">
        <v>1</v>
      </c>
      <c r="H196" s="4" t="s">
        <v>17</v>
      </c>
      <c r="I196" s="4" t="s">
        <v>69</v>
      </c>
      <c r="J196" s="4" t="s">
        <v>66</v>
      </c>
      <c r="K196" s="4">
        <v>0</v>
      </c>
      <c r="L196" s="94">
        <v>-37515</v>
      </c>
      <c r="M196" s="94">
        <v>0</v>
      </c>
    </row>
    <row r="197" spans="3:13" x14ac:dyDescent="0.3">
      <c r="C197" t="s">
        <v>61</v>
      </c>
      <c r="D197" t="s">
        <v>67</v>
      </c>
      <c r="E197" t="s">
        <v>68</v>
      </c>
      <c r="F197" t="s">
        <v>72</v>
      </c>
      <c r="G197" s="4">
        <v>0</v>
      </c>
      <c r="H197" s="4" t="s">
        <v>17</v>
      </c>
      <c r="I197" s="4" t="s">
        <v>65</v>
      </c>
      <c r="J197" s="4" t="s">
        <v>73</v>
      </c>
      <c r="K197" s="4">
        <v>1</v>
      </c>
      <c r="L197" s="94">
        <v>205199</v>
      </c>
      <c r="M197" s="94">
        <v>0</v>
      </c>
    </row>
    <row r="198" spans="3:13" x14ac:dyDescent="0.3">
      <c r="C198" t="s">
        <v>70</v>
      </c>
      <c r="D198" t="s">
        <v>67</v>
      </c>
      <c r="E198" t="s">
        <v>68</v>
      </c>
      <c r="F198" t="s">
        <v>25</v>
      </c>
      <c r="G198" s="4">
        <v>11</v>
      </c>
      <c r="H198" s="4" t="s">
        <v>64</v>
      </c>
      <c r="I198" s="4" t="s">
        <v>69</v>
      </c>
      <c r="J198" s="4" t="s">
        <v>66</v>
      </c>
      <c r="K198" s="4">
        <v>0</v>
      </c>
      <c r="L198" s="94">
        <v>17576146</v>
      </c>
      <c r="M198" s="94">
        <v>193337606</v>
      </c>
    </row>
    <row r="199" spans="3:13" x14ac:dyDescent="0.3">
      <c r="C199" t="s">
        <v>61</v>
      </c>
      <c r="D199" t="s">
        <v>67</v>
      </c>
      <c r="E199" t="s">
        <v>68</v>
      </c>
      <c r="F199" t="s">
        <v>26</v>
      </c>
      <c r="G199" s="4">
        <v>0</v>
      </c>
      <c r="H199" s="4" t="s">
        <v>77</v>
      </c>
      <c r="I199" s="4" t="s">
        <v>69</v>
      </c>
      <c r="J199" s="4" t="s">
        <v>66</v>
      </c>
      <c r="K199" s="4">
        <v>0</v>
      </c>
      <c r="L199" s="94">
        <v>33502671</v>
      </c>
      <c r="M199" s="94">
        <v>0</v>
      </c>
    </row>
    <row r="200" spans="3:13" x14ac:dyDescent="0.3">
      <c r="C200" t="s">
        <v>61</v>
      </c>
      <c r="D200" t="s">
        <v>67</v>
      </c>
      <c r="E200" t="s">
        <v>68</v>
      </c>
      <c r="F200" t="s">
        <v>25</v>
      </c>
      <c r="G200" s="4">
        <v>10</v>
      </c>
      <c r="H200" s="4" t="s">
        <v>14</v>
      </c>
      <c r="I200" s="4" t="s">
        <v>69</v>
      </c>
      <c r="J200" s="4" t="s">
        <v>66</v>
      </c>
      <c r="K200" s="4">
        <v>0</v>
      </c>
      <c r="L200" s="94">
        <v>2799688</v>
      </c>
      <c r="M200" s="94">
        <v>27996880</v>
      </c>
    </row>
    <row r="201" spans="3:13" x14ac:dyDescent="0.3">
      <c r="C201" t="s">
        <v>71</v>
      </c>
      <c r="D201" t="s">
        <v>67</v>
      </c>
      <c r="E201" t="s">
        <v>63</v>
      </c>
      <c r="F201" t="s">
        <v>26</v>
      </c>
      <c r="G201" s="4">
        <v>0</v>
      </c>
      <c r="H201" s="4" t="s">
        <v>82</v>
      </c>
      <c r="I201" s="4" t="s">
        <v>69</v>
      </c>
      <c r="J201" s="4" t="s">
        <v>66</v>
      </c>
      <c r="K201" s="4">
        <v>0</v>
      </c>
      <c r="L201" s="94">
        <v>-132607</v>
      </c>
      <c r="M201" s="94">
        <v>0</v>
      </c>
    </row>
    <row r="202" spans="3:13" x14ac:dyDescent="0.3">
      <c r="C202" t="s">
        <v>61</v>
      </c>
      <c r="D202" t="s">
        <v>67</v>
      </c>
      <c r="E202" t="s">
        <v>63</v>
      </c>
      <c r="F202" t="s">
        <v>26</v>
      </c>
      <c r="G202" s="4">
        <v>4</v>
      </c>
      <c r="H202" s="4" t="s">
        <v>13</v>
      </c>
      <c r="I202" s="4" t="s">
        <v>69</v>
      </c>
      <c r="J202" s="4" t="s">
        <v>66</v>
      </c>
      <c r="K202" s="4">
        <v>0</v>
      </c>
      <c r="L202" s="94">
        <v>-657</v>
      </c>
      <c r="M202" s="94">
        <v>0</v>
      </c>
    </row>
    <row r="203" spans="3:13" x14ac:dyDescent="0.3">
      <c r="C203" t="s">
        <v>71</v>
      </c>
      <c r="D203" t="s">
        <v>67</v>
      </c>
      <c r="E203" t="s">
        <v>63</v>
      </c>
      <c r="F203" t="s">
        <v>72</v>
      </c>
      <c r="G203" s="4">
        <v>4</v>
      </c>
      <c r="H203" s="4" t="s">
        <v>75</v>
      </c>
      <c r="I203" s="4" t="s">
        <v>69</v>
      </c>
      <c r="J203" s="4" t="s">
        <v>66</v>
      </c>
      <c r="K203" s="4">
        <v>0</v>
      </c>
      <c r="L203" s="94">
        <v>-27685</v>
      </c>
      <c r="M203" s="94">
        <v>0</v>
      </c>
    </row>
    <row r="204" spans="3:13" x14ac:dyDescent="0.3">
      <c r="C204" t="s">
        <v>71</v>
      </c>
      <c r="D204" t="s">
        <v>67</v>
      </c>
      <c r="E204" t="s">
        <v>63</v>
      </c>
      <c r="F204" t="s">
        <v>26</v>
      </c>
      <c r="G204" s="4">
        <v>7</v>
      </c>
      <c r="H204" s="4" t="s">
        <v>17</v>
      </c>
      <c r="I204" s="4" t="s">
        <v>69</v>
      </c>
      <c r="J204" s="4" t="s">
        <v>66</v>
      </c>
      <c r="K204" s="4">
        <v>0</v>
      </c>
      <c r="L204" s="94">
        <v>-30301</v>
      </c>
      <c r="M204" s="94">
        <v>0</v>
      </c>
    </row>
    <row r="205" spans="3:13" x14ac:dyDescent="0.3">
      <c r="C205" t="s">
        <v>70</v>
      </c>
      <c r="D205" t="s">
        <v>67</v>
      </c>
      <c r="E205" t="s">
        <v>68</v>
      </c>
      <c r="F205" t="s">
        <v>26</v>
      </c>
      <c r="G205" s="4">
        <v>1</v>
      </c>
      <c r="H205" s="4" t="s">
        <v>17</v>
      </c>
      <c r="I205" s="4" t="s">
        <v>65</v>
      </c>
      <c r="J205" s="4" t="s">
        <v>73</v>
      </c>
      <c r="K205" s="4">
        <v>1</v>
      </c>
      <c r="L205" s="94">
        <v>93897</v>
      </c>
      <c r="M205" s="94">
        <v>93897</v>
      </c>
    </row>
    <row r="206" spans="3:13" x14ac:dyDescent="0.3">
      <c r="C206" t="s">
        <v>71</v>
      </c>
      <c r="D206" t="s">
        <v>67</v>
      </c>
      <c r="E206" t="s">
        <v>68</v>
      </c>
      <c r="F206" t="s">
        <v>72</v>
      </c>
      <c r="G206" s="4">
        <v>2</v>
      </c>
      <c r="H206" s="4" t="s">
        <v>82</v>
      </c>
      <c r="I206" s="4" t="s">
        <v>65</v>
      </c>
      <c r="J206" s="4" t="s">
        <v>66</v>
      </c>
      <c r="K206" s="4">
        <v>1</v>
      </c>
      <c r="L206" s="94">
        <v>163862</v>
      </c>
      <c r="M206" s="94">
        <v>327724</v>
      </c>
    </row>
    <row r="207" spans="3:13" x14ac:dyDescent="0.3">
      <c r="C207" t="s">
        <v>61</v>
      </c>
      <c r="D207" t="s">
        <v>67</v>
      </c>
      <c r="E207" t="s">
        <v>63</v>
      </c>
      <c r="F207" t="s">
        <v>72</v>
      </c>
      <c r="G207" s="4">
        <v>1</v>
      </c>
      <c r="H207" s="4" t="s">
        <v>17</v>
      </c>
      <c r="I207" s="4" t="s">
        <v>69</v>
      </c>
      <c r="J207" s="4" t="s">
        <v>66</v>
      </c>
      <c r="K207" s="4">
        <v>0</v>
      </c>
      <c r="L207" s="94">
        <v>-10983</v>
      </c>
      <c r="M207" s="94">
        <v>0</v>
      </c>
    </row>
    <row r="208" spans="3:13" x14ac:dyDescent="0.3">
      <c r="C208" t="s">
        <v>71</v>
      </c>
      <c r="D208" t="s">
        <v>67</v>
      </c>
      <c r="E208" t="s">
        <v>68</v>
      </c>
      <c r="F208" t="s">
        <v>72</v>
      </c>
      <c r="G208" s="4">
        <v>1</v>
      </c>
      <c r="H208" s="4" t="s">
        <v>16</v>
      </c>
      <c r="I208" s="4" t="s">
        <v>69</v>
      </c>
      <c r="J208" s="4" t="s">
        <v>66</v>
      </c>
      <c r="K208" s="4">
        <v>0</v>
      </c>
      <c r="L208" s="94">
        <v>1996</v>
      </c>
      <c r="M208" s="94">
        <v>1996</v>
      </c>
    </row>
    <row r="209" spans="3:13" x14ac:dyDescent="0.3">
      <c r="C209" t="s">
        <v>61</v>
      </c>
      <c r="D209" t="s">
        <v>67</v>
      </c>
      <c r="E209" t="s">
        <v>63</v>
      </c>
      <c r="F209" t="s">
        <v>25</v>
      </c>
      <c r="G209" s="4">
        <v>13</v>
      </c>
      <c r="H209" s="4" t="s">
        <v>14</v>
      </c>
      <c r="I209" s="4" t="s">
        <v>69</v>
      </c>
      <c r="J209" s="4" t="s">
        <v>66</v>
      </c>
      <c r="K209" s="4">
        <v>1</v>
      </c>
      <c r="L209" s="94">
        <v>-1557</v>
      </c>
      <c r="M209" s="94">
        <v>0</v>
      </c>
    </row>
    <row r="210" spans="3:13" x14ac:dyDescent="0.3">
      <c r="C210" t="s">
        <v>61</v>
      </c>
      <c r="D210" t="s">
        <v>67</v>
      </c>
      <c r="E210" t="s">
        <v>68</v>
      </c>
      <c r="F210" t="s">
        <v>25</v>
      </c>
      <c r="G210" s="4">
        <v>13</v>
      </c>
      <c r="H210" s="4" t="s">
        <v>76</v>
      </c>
      <c r="I210" s="4" t="s">
        <v>69</v>
      </c>
      <c r="J210" s="4" t="s">
        <v>66</v>
      </c>
      <c r="K210" s="4">
        <v>0</v>
      </c>
      <c r="L210" s="94">
        <v>5875732</v>
      </c>
      <c r="M210" s="94">
        <v>76384516</v>
      </c>
    </row>
    <row r="211" spans="3:13" x14ac:dyDescent="0.3">
      <c r="C211" t="s">
        <v>61</v>
      </c>
      <c r="D211" t="s">
        <v>62</v>
      </c>
      <c r="E211" t="s">
        <v>63</v>
      </c>
      <c r="F211" t="s">
        <v>25</v>
      </c>
      <c r="G211" s="4">
        <v>25</v>
      </c>
      <c r="I211" s="4" t="s">
        <v>69</v>
      </c>
      <c r="J211" s="4" t="s">
        <v>66</v>
      </c>
      <c r="K211" s="4">
        <v>0</v>
      </c>
      <c r="L211" s="94">
        <v>-192</v>
      </c>
      <c r="M211" s="94">
        <v>0</v>
      </c>
    </row>
    <row r="212" spans="3:13" x14ac:dyDescent="0.3">
      <c r="C212" t="s">
        <v>71</v>
      </c>
      <c r="D212" t="s">
        <v>67</v>
      </c>
      <c r="E212" t="s">
        <v>68</v>
      </c>
      <c r="F212" t="s">
        <v>72</v>
      </c>
      <c r="G212" s="4">
        <v>-4</v>
      </c>
      <c r="H212" s="4" t="s">
        <v>17</v>
      </c>
      <c r="I212" s="4" t="s">
        <v>69</v>
      </c>
      <c r="J212" s="4" t="s">
        <v>66</v>
      </c>
      <c r="K212" s="4">
        <v>0</v>
      </c>
      <c r="L212" s="94">
        <v>540563</v>
      </c>
      <c r="M212" s="94">
        <v>0</v>
      </c>
    </row>
    <row r="213" spans="3:13" x14ac:dyDescent="0.3">
      <c r="C213" t="s">
        <v>61</v>
      </c>
      <c r="D213" t="s">
        <v>67</v>
      </c>
      <c r="E213" t="s">
        <v>63</v>
      </c>
      <c r="F213" t="s">
        <v>26</v>
      </c>
      <c r="G213" s="4">
        <v>2</v>
      </c>
      <c r="H213" s="4" t="s">
        <v>17</v>
      </c>
      <c r="I213" s="4" t="s">
        <v>65</v>
      </c>
      <c r="J213" s="4" t="s">
        <v>73</v>
      </c>
      <c r="K213" s="4">
        <v>1</v>
      </c>
      <c r="L213" s="94">
        <v>-5648</v>
      </c>
      <c r="M213" s="94">
        <v>0</v>
      </c>
    </row>
    <row r="214" spans="3:13" x14ac:dyDescent="0.3">
      <c r="C214" t="s">
        <v>70</v>
      </c>
      <c r="D214" t="s">
        <v>67</v>
      </c>
      <c r="E214" t="s">
        <v>63</v>
      </c>
      <c r="F214" t="s">
        <v>25</v>
      </c>
      <c r="G214" s="4">
        <v>-4</v>
      </c>
      <c r="H214" s="4" t="s">
        <v>75</v>
      </c>
      <c r="I214" s="4" t="s">
        <v>69</v>
      </c>
      <c r="J214" s="4" t="s">
        <v>66</v>
      </c>
      <c r="K214" s="4">
        <v>0</v>
      </c>
      <c r="L214" s="94">
        <v>-132</v>
      </c>
      <c r="M214" s="94">
        <v>0</v>
      </c>
    </row>
    <row r="215" spans="3:13" x14ac:dyDescent="0.3">
      <c r="C215" t="s">
        <v>61</v>
      </c>
      <c r="D215" t="s">
        <v>62</v>
      </c>
      <c r="E215" t="s">
        <v>68</v>
      </c>
      <c r="F215" t="s">
        <v>25</v>
      </c>
      <c r="G215" s="4">
        <v>17</v>
      </c>
      <c r="I215" s="4" t="s">
        <v>69</v>
      </c>
      <c r="J215" s="4" t="s">
        <v>66</v>
      </c>
      <c r="K215" s="4">
        <v>0</v>
      </c>
      <c r="L215" s="94">
        <v>902192</v>
      </c>
      <c r="M215" s="94">
        <v>15337264</v>
      </c>
    </row>
    <row r="216" spans="3:13" x14ac:dyDescent="0.3">
      <c r="C216" t="s">
        <v>71</v>
      </c>
      <c r="D216" t="s">
        <v>67</v>
      </c>
      <c r="E216" t="s">
        <v>68</v>
      </c>
      <c r="F216" t="s">
        <v>26</v>
      </c>
      <c r="G216" s="4">
        <v>-1</v>
      </c>
      <c r="H216" s="4" t="s">
        <v>76</v>
      </c>
      <c r="I216" s="4" t="s">
        <v>69</v>
      </c>
      <c r="J216" s="4" t="s">
        <v>66</v>
      </c>
      <c r="K216" s="4">
        <v>0</v>
      </c>
      <c r="L216" s="94">
        <v>2537387</v>
      </c>
      <c r="M216" s="94">
        <v>0</v>
      </c>
    </row>
    <row r="217" spans="3:13" x14ac:dyDescent="0.3">
      <c r="C217" t="s">
        <v>61</v>
      </c>
      <c r="D217" t="s">
        <v>67</v>
      </c>
      <c r="E217" t="s">
        <v>63</v>
      </c>
      <c r="F217" t="s">
        <v>25</v>
      </c>
      <c r="G217" s="4">
        <v>-1</v>
      </c>
      <c r="H217" s="4" t="s">
        <v>78</v>
      </c>
      <c r="I217" s="4" t="s">
        <v>69</v>
      </c>
      <c r="J217" s="4" t="s">
        <v>66</v>
      </c>
      <c r="K217" s="4">
        <v>0</v>
      </c>
      <c r="L217" s="94">
        <v>-1567</v>
      </c>
      <c r="M217" s="94">
        <v>0</v>
      </c>
    </row>
    <row r="218" spans="3:13" x14ac:dyDescent="0.3">
      <c r="C218" t="s">
        <v>61</v>
      </c>
      <c r="D218" t="s">
        <v>62</v>
      </c>
      <c r="E218" t="s">
        <v>68</v>
      </c>
      <c r="F218" t="s">
        <v>24</v>
      </c>
      <c r="G218" s="4">
        <v>37</v>
      </c>
      <c r="I218" s="4" t="s">
        <v>65</v>
      </c>
      <c r="J218" s="4" t="s">
        <v>66</v>
      </c>
      <c r="K218" s="4">
        <v>1</v>
      </c>
      <c r="L218" s="94">
        <v>19223514</v>
      </c>
      <c r="M218" s="94">
        <v>711270018</v>
      </c>
    </row>
    <row r="219" spans="3:13" x14ac:dyDescent="0.3">
      <c r="C219" t="s">
        <v>70</v>
      </c>
      <c r="D219" t="s">
        <v>67</v>
      </c>
      <c r="E219" t="s">
        <v>68</v>
      </c>
      <c r="F219" t="s">
        <v>26</v>
      </c>
      <c r="G219" s="4">
        <v>0</v>
      </c>
      <c r="H219" s="4" t="s">
        <v>18</v>
      </c>
      <c r="I219" s="4" t="s">
        <v>69</v>
      </c>
      <c r="J219" s="4" t="s">
        <v>73</v>
      </c>
      <c r="K219" s="4">
        <v>1</v>
      </c>
      <c r="L219" s="94">
        <v>768364</v>
      </c>
      <c r="M219" s="94">
        <v>0</v>
      </c>
    </row>
    <row r="220" spans="3:13" x14ac:dyDescent="0.3">
      <c r="C220" t="s">
        <v>70</v>
      </c>
      <c r="D220" t="s">
        <v>62</v>
      </c>
      <c r="E220" t="s">
        <v>68</v>
      </c>
      <c r="F220" t="s">
        <v>24</v>
      </c>
      <c r="G220" s="4">
        <v>34</v>
      </c>
      <c r="I220" s="4" t="s">
        <v>69</v>
      </c>
      <c r="J220" s="4" t="s">
        <v>73</v>
      </c>
      <c r="K220" s="4">
        <v>1</v>
      </c>
      <c r="L220" s="94">
        <v>6301</v>
      </c>
      <c r="M220" s="94">
        <v>214234</v>
      </c>
    </row>
    <row r="221" spans="3:13" x14ac:dyDescent="0.3">
      <c r="C221" t="s">
        <v>70</v>
      </c>
      <c r="D221" t="s">
        <v>67</v>
      </c>
      <c r="E221" t="s">
        <v>63</v>
      </c>
      <c r="F221" t="s">
        <v>25</v>
      </c>
      <c r="G221" s="4">
        <v>11</v>
      </c>
      <c r="H221" s="4" t="s">
        <v>82</v>
      </c>
      <c r="I221" s="4" t="s">
        <v>69</v>
      </c>
      <c r="J221" s="4" t="s">
        <v>66</v>
      </c>
      <c r="K221" s="4">
        <v>0</v>
      </c>
      <c r="L221" s="94">
        <v>-7330</v>
      </c>
      <c r="M221" s="94">
        <v>0</v>
      </c>
    </row>
    <row r="222" spans="3:13" x14ac:dyDescent="0.3">
      <c r="C222" t="s">
        <v>61</v>
      </c>
      <c r="D222" t="s">
        <v>84</v>
      </c>
      <c r="E222" t="s">
        <v>68</v>
      </c>
      <c r="F222" t="s">
        <v>25</v>
      </c>
      <c r="G222" s="4">
        <v>2</v>
      </c>
      <c r="H222" s="4" t="s">
        <v>76</v>
      </c>
      <c r="I222" s="4" t="s">
        <v>69</v>
      </c>
      <c r="J222" s="4" t="s">
        <v>66</v>
      </c>
      <c r="K222" s="4">
        <v>0</v>
      </c>
      <c r="L222" s="94">
        <v>13594120</v>
      </c>
      <c r="M222" s="94">
        <v>27188240</v>
      </c>
    </row>
    <row r="223" spans="3:13" x14ac:dyDescent="0.3">
      <c r="C223" t="s">
        <v>61</v>
      </c>
      <c r="D223" t="s">
        <v>67</v>
      </c>
      <c r="E223" t="s">
        <v>68</v>
      </c>
      <c r="F223" t="s">
        <v>26</v>
      </c>
      <c r="G223" s="4">
        <v>4</v>
      </c>
      <c r="H223" s="4" t="s">
        <v>75</v>
      </c>
      <c r="I223" s="4" t="s">
        <v>69</v>
      </c>
      <c r="J223" s="4" t="s">
        <v>66</v>
      </c>
      <c r="K223" s="4">
        <v>0</v>
      </c>
      <c r="L223" s="94">
        <v>8701639</v>
      </c>
      <c r="M223" s="94">
        <v>34806556</v>
      </c>
    </row>
    <row r="224" spans="3:13" x14ac:dyDescent="0.3">
      <c r="C224" t="s">
        <v>71</v>
      </c>
      <c r="D224" t="s">
        <v>67</v>
      </c>
      <c r="E224" t="s">
        <v>63</v>
      </c>
      <c r="F224" t="s">
        <v>26</v>
      </c>
      <c r="G224" s="4">
        <v>1</v>
      </c>
      <c r="H224" s="4" t="s">
        <v>14</v>
      </c>
      <c r="I224" s="4" t="s">
        <v>69</v>
      </c>
      <c r="J224" s="4" t="s">
        <v>66</v>
      </c>
      <c r="K224" s="4">
        <v>0</v>
      </c>
      <c r="L224" s="94">
        <v>-1949722</v>
      </c>
      <c r="M224" s="94">
        <v>0</v>
      </c>
    </row>
    <row r="225" spans="3:13" x14ac:dyDescent="0.3">
      <c r="C225" t="s">
        <v>71</v>
      </c>
      <c r="D225" t="s">
        <v>67</v>
      </c>
      <c r="E225" t="s">
        <v>63</v>
      </c>
      <c r="F225" t="s">
        <v>25</v>
      </c>
      <c r="G225" s="4">
        <v>-4</v>
      </c>
      <c r="H225" s="4" t="s">
        <v>76</v>
      </c>
      <c r="I225" s="4" t="s">
        <v>69</v>
      </c>
      <c r="J225" s="4" t="s">
        <v>66</v>
      </c>
      <c r="K225" s="4">
        <v>0</v>
      </c>
      <c r="L225" s="94">
        <v>-114805</v>
      </c>
      <c r="M225" s="94">
        <v>0</v>
      </c>
    </row>
    <row r="226" spans="3:13" x14ac:dyDescent="0.3">
      <c r="C226" t="s">
        <v>61</v>
      </c>
      <c r="D226" t="s">
        <v>67</v>
      </c>
      <c r="E226" t="s">
        <v>63</v>
      </c>
      <c r="F226" t="s">
        <v>26</v>
      </c>
      <c r="G226" s="4">
        <v>2</v>
      </c>
      <c r="H226" s="4" t="s">
        <v>80</v>
      </c>
      <c r="I226" s="4" t="s">
        <v>69</v>
      </c>
      <c r="J226" s="4" t="s">
        <v>66</v>
      </c>
      <c r="K226" s="4">
        <v>0</v>
      </c>
      <c r="L226" s="94">
        <v>-15900</v>
      </c>
      <c r="M226" s="94">
        <v>0</v>
      </c>
    </row>
    <row r="227" spans="3:13" x14ac:dyDescent="0.3">
      <c r="C227" t="s">
        <v>70</v>
      </c>
      <c r="D227" t="s">
        <v>67</v>
      </c>
      <c r="E227" t="s">
        <v>63</v>
      </c>
      <c r="F227" t="s">
        <v>25</v>
      </c>
      <c r="G227" s="4">
        <v>17</v>
      </c>
      <c r="H227" s="4" t="s">
        <v>74</v>
      </c>
      <c r="I227" s="4" t="s">
        <v>69</v>
      </c>
      <c r="J227" s="4" t="s">
        <v>66</v>
      </c>
      <c r="K227" s="4">
        <v>0</v>
      </c>
      <c r="L227" s="94">
        <v>-463</v>
      </c>
      <c r="M227" s="94">
        <v>0</v>
      </c>
    </row>
    <row r="228" spans="3:13" x14ac:dyDescent="0.3">
      <c r="C228" t="s">
        <v>70</v>
      </c>
      <c r="D228" t="s">
        <v>67</v>
      </c>
      <c r="E228" t="s">
        <v>68</v>
      </c>
      <c r="F228" t="s">
        <v>26</v>
      </c>
      <c r="G228" s="4">
        <v>1</v>
      </c>
      <c r="H228" s="4" t="s">
        <v>79</v>
      </c>
      <c r="I228" s="4" t="s">
        <v>69</v>
      </c>
      <c r="J228" s="4" t="s">
        <v>66</v>
      </c>
      <c r="K228" s="4">
        <v>0</v>
      </c>
      <c r="L228" s="94">
        <v>1758078</v>
      </c>
      <c r="M228" s="94">
        <v>1758078</v>
      </c>
    </row>
    <row r="229" spans="3:13" x14ac:dyDescent="0.3">
      <c r="C229" t="s">
        <v>61</v>
      </c>
      <c r="D229" t="s">
        <v>67</v>
      </c>
      <c r="E229" t="s">
        <v>63</v>
      </c>
      <c r="F229" t="s">
        <v>25</v>
      </c>
      <c r="G229" s="4">
        <v>17</v>
      </c>
      <c r="H229" s="4" t="s">
        <v>75</v>
      </c>
      <c r="I229" s="4" t="s">
        <v>69</v>
      </c>
      <c r="J229" s="4" t="s">
        <v>66</v>
      </c>
      <c r="K229" s="4">
        <v>0</v>
      </c>
      <c r="L229" s="94">
        <v>-5789</v>
      </c>
      <c r="M229" s="94">
        <v>0</v>
      </c>
    </row>
    <row r="230" spans="3:13" x14ac:dyDescent="0.3">
      <c r="C230" t="s">
        <v>71</v>
      </c>
      <c r="D230" t="s">
        <v>67</v>
      </c>
      <c r="E230" t="s">
        <v>68</v>
      </c>
      <c r="F230" t="s">
        <v>26</v>
      </c>
      <c r="G230" s="4">
        <v>5</v>
      </c>
      <c r="H230" s="4" t="s">
        <v>16</v>
      </c>
      <c r="I230" s="4" t="s">
        <v>69</v>
      </c>
      <c r="J230" s="4" t="s">
        <v>66</v>
      </c>
      <c r="K230" s="4">
        <v>0</v>
      </c>
      <c r="L230" s="94">
        <v>23149</v>
      </c>
      <c r="M230" s="94">
        <v>115745</v>
      </c>
    </row>
    <row r="231" spans="3:13" x14ac:dyDescent="0.3">
      <c r="C231" t="s">
        <v>70</v>
      </c>
      <c r="D231" t="s">
        <v>62</v>
      </c>
      <c r="E231" t="s">
        <v>63</v>
      </c>
      <c r="F231" t="s">
        <v>24</v>
      </c>
      <c r="G231" s="4">
        <v>39</v>
      </c>
      <c r="I231" s="4" t="s">
        <v>69</v>
      </c>
      <c r="J231" s="4" t="s">
        <v>66</v>
      </c>
      <c r="K231" s="4">
        <v>0</v>
      </c>
      <c r="L231" s="94">
        <v>-789463</v>
      </c>
      <c r="M231" s="94">
        <v>0</v>
      </c>
    </row>
    <row r="232" spans="3:13" x14ac:dyDescent="0.3">
      <c r="C232" t="s">
        <v>71</v>
      </c>
      <c r="D232" t="s">
        <v>67</v>
      </c>
      <c r="E232" t="s">
        <v>68</v>
      </c>
      <c r="F232" t="s">
        <v>26</v>
      </c>
      <c r="G232" s="4">
        <v>1</v>
      </c>
      <c r="H232" s="4" t="s">
        <v>82</v>
      </c>
      <c r="I232" s="4" t="s">
        <v>69</v>
      </c>
      <c r="J232" s="4" t="s">
        <v>73</v>
      </c>
      <c r="K232" s="4">
        <v>1</v>
      </c>
      <c r="L232" s="94">
        <v>18347</v>
      </c>
      <c r="M232" s="94">
        <v>18347</v>
      </c>
    </row>
    <row r="233" spans="3:13" x14ac:dyDescent="0.3">
      <c r="C233" t="s">
        <v>61</v>
      </c>
      <c r="D233" t="s">
        <v>67</v>
      </c>
      <c r="E233" t="s">
        <v>68</v>
      </c>
      <c r="F233" t="s">
        <v>25</v>
      </c>
      <c r="G233" s="4">
        <v>6</v>
      </c>
      <c r="H233" s="4" t="s">
        <v>18</v>
      </c>
      <c r="I233" s="4" t="s">
        <v>65</v>
      </c>
      <c r="J233" s="4" t="s">
        <v>66</v>
      </c>
      <c r="K233" s="4">
        <v>1</v>
      </c>
      <c r="L233" s="94">
        <v>166662</v>
      </c>
      <c r="M233" s="94">
        <v>999972</v>
      </c>
    </row>
    <row r="234" spans="3:13" x14ac:dyDescent="0.3">
      <c r="C234" t="s">
        <v>61</v>
      </c>
      <c r="D234" t="s">
        <v>67</v>
      </c>
      <c r="E234" t="s">
        <v>68</v>
      </c>
      <c r="F234" t="s">
        <v>26</v>
      </c>
      <c r="G234" s="4">
        <v>9</v>
      </c>
      <c r="H234" s="4" t="s">
        <v>74</v>
      </c>
      <c r="I234" s="4" t="s">
        <v>69</v>
      </c>
      <c r="J234" s="4" t="s">
        <v>66</v>
      </c>
      <c r="K234" s="4">
        <v>0</v>
      </c>
      <c r="L234" s="94">
        <v>235138</v>
      </c>
      <c r="M234" s="94">
        <v>2116242</v>
      </c>
    </row>
    <row r="235" spans="3:13" x14ac:dyDescent="0.3">
      <c r="C235" t="s">
        <v>70</v>
      </c>
      <c r="D235" t="s">
        <v>67</v>
      </c>
      <c r="E235" t="s">
        <v>63</v>
      </c>
      <c r="F235" t="s">
        <v>25</v>
      </c>
      <c r="G235" s="4">
        <v>10</v>
      </c>
      <c r="H235" s="4" t="s">
        <v>14</v>
      </c>
      <c r="I235" s="4" t="s">
        <v>69</v>
      </c>
      <c r="J235" s="4" t="s">
        <v>66</v>
      </c>
      <c r="K235" s="4">
        <v>1</v>
      </c>
      <c r="L235" s="94">
        <v>-32635</v>
      </c>
      <c r="M235" s="94">
        <v>0</v>
      </c>
    </row>
    <row r="236" spans="3:13" x14ac:dyDescent="0.3">
      <c r="C236" t="s">
        <v>61</v>
      </c>
      <c r="D236" t="s">
        <v>67</v>
      </c>
      <c r="E236" t="s">
        <v>63</v>
      </c>
      <c r="F236" t="s">
        <v>25</v>
      </c>
      <c r="G236" s="4">
        <v>-4</v>
      </c>
      <c r="H236" s="4" t="s">
        <v>80</v>
      </c>
      <c r="I236" s="4" t="s">
        <v>69</v>
      </c>
      <c r="J236" s="4" t="s">
        <v>66</v>
      </c>
      <c r="K236" s="4">
        <v>0</v>
      </c>
      <c r="L236" s="94">
        <v>-22</v>
      </c>
      <c r="M236" s="94">
        <v>0</v>
      </c>
    </row>
    <row r="237" spans="3:13" x14ac:dyDescent="0.3">
      <c r="C237" t="s">
        <v>70</v>
      </c>
      <c r="D237" t="s">
        <v>67</v>
      </c>
      <c r="E237" t="s">
        <v>63</v>
      </c>
      <c r="F237" t="s">
        <v>25</v>
      </c>
      <c r="G237" s="4">
        <v>-4</v>
      </c>
      <c r="H237" s="4" t="s">
        <v>83</v>
      </c>
      <c r="I237" s="4" t="s">
        <v>69</v>
      </c>
      <c r="J237" s="4" t="s">
        <v>66</v>
      </c>
      <c r="K237" s="4">
        <v>0</v>
      </c>
      <c r="L237" s="94">
        <v>-9</v>
      </c>
      <c r="M237" s="94">
        <v>0</v>
      </c>
    </row>
    <row r="238" spans="3:13" x14ac:dyDescent="0.3">
      <c r="C238" t="s">
        <v>70</v>
      </c>
      <c r="D238" t="s">
        <v>67</v>
      </c>
      <c r="E238" t="s">
        <v>63</v>
      </c>
      <c r="F238" t="s">
        <v>72</v>
      </c>
      <c r="G238" s="4">
        <v>-1</v>
      </c>
      <c r="H238" s="4" t="s">
        <v>78</v>
      </c>
      <c r="I238" s="4" t="s">
        <v>69</v>
      </c>
      <c r="J238" s="4" t="s">
        <v>66</v>
      </c>
      <c r="K238" s="4">
        <v>0</v>
      </c>
      <c r="L238" s="94">
        <v>-1064</v>
      </c>
      <c r="M238" s="94">
        <v>0</v>
      </c>
    </row>
    <row r="239" spans="3:13" x14ac:dyDescent="0.3">
      <c r="C239" t="s">
        <v>61</v>
      </c>
      <c r="D239" t="s">
        <v>67</v>
      </c>
      <c r="E239" t="s">
        <v>63</v>
      </c>
      <c r="F239" t="s">
        <v>26</v>
      </c>
      <c r="G239" s="4">
        <v>8</v>
      </c>
      <c r="H239" s="4" t="s">
        <v>18</v>
      </c>
      <c r="I239" s="4" t="s">
        <v>69</v>
      </c>
      <c r="J239" s="4" t="s">
        <v>66</v>
      </c>
      <c r="K239" s="4">
        <v>0</v>
      </c>
      <c r="L239" s="94">
        <v>-4756</v>
      </c>
      <c r="M239" s="94">
        <v>0</v>
      </c>
    </row>
    <row r="240" spans="3:13" x14ac:dyDescent="0.3">
      <c r="C240" t="s">
        <v>61</v>
      </c>
      <c r="D240" t="s">
        <v>67</v>
      </c>
      <c r="E240" t="s">
        <v>68</v>
      </c>
      <c r="F240" t="s">
        <v>72</v>
      </c>
      <c r="G240" s="4">
        <v>-4</v>
      </c>
      <c r="H240" s="4" t="s">
        <v>74</v>
      </c>
      <c r="I240" s="4" t="s">
        <v>69</v>
      </c>
      <c r="J240" s="4" t="s">
        <v>66</v>
      </c>
      <c r="K240" s="4">
        <v>0</v>
      </c>
      <c r="L240" s="94">
        <v>238</v>
      </c>
      <c r="M240" s="94">
        <v>0</v>
      </c>
    </row>
    <row r="241" spans="3:13" x14ac:dyDescent="0.3">
      <c r="C241" t="s">
        <v>61</v>
      </c>
      <c r="D241" t="s">
        <v>67</v>
      </c>
      <c r="E241" t="s">
        <v>68</v>
      </c>
      <c r="F241" t="s">
        <v>26</v>
      </c>
      <c r="G241" s="4">
        <v>2</v>
      </c>
      <c r="H241" s="4" t="s">
        <v>76</v>
      </c>
      <c r="I241" s="4" t="s">
        <v>69</v>
      </c>
      <c r="J241" s="4" t="s">
        <v>66</v>
      </c>
      <c r="K241" s="4">
        <v>0</v>
      </c>
      <c r="L241" s="94">
        <v>34336844</v>
      </c>
      <c r="M241" s="94">
        <v>68673688</v>
      </c>
    </row>
    <row r="242" spans="3:13" x14ac:dyDescent="0.3">
      <c r="C242" t="s">
        <v>71</v>
      </c>
      <c r="D242" t="s">
        <v>62</v>
      </c>
      <c r="E242" t="s">
        <v>63</v>
      </c>
      <c r="F242" t="s">
        <v>25</v>
      </c>
      <c r="G242" s="4">
        <v>7</v>
      </c>
      <c r="I242" s="4" t="s">
        <v>69</v>
      </c>
      <c r="J242" s="4" t="s">
        <v>66</v>
      </c>
      <c r="K242" s="4">
        <v>0</v>
      </c>
      <c r="L242" s="94">
        <v>-151883</v>
      </c>
      <c r="M242" s="94">
        <v>0</v>
      </c>
    </row>
    <row r="243" spans="3:13" x14ac:dyDescent="0.3">
      <c r="C243" t="s">
        <v>61</v>
      </c>
      <c r="D243" t="s">
        <v>67</v>
      </c>
      <c r="E243" t="s">
        <v>63</v>
      </c>
      <c r="F243" t="s">
        <v>26</v>
      </c>
      <c r="G243" s="4">
        <v>3</v>
      </c>
      <c r="H243" s="4" t="s">
        <v>16</v>
      </c>
      <c r="I243" s="4" t="s">
        <v>65</v>
      </c>
      <c r="J243" s="4" t="s">
        <v>66</v>
      </c>
      <c r="K243" s="4">
        <v>1</v>
      </c>
      <c r="L243" s="94">
        <v>-220</v>
      </c>
      <c r="M243" s="94">
        <v>0</v>
      </c>
    </row>
    <row r="244" spans="3:13" x14ac:dyDescent="0.3">
      <c r="C244" t="s">
        <v>70</v>
      </c>
      <c r="D244" t="s">
        <v>67</v>
      </c>
      <c r="E244" t="s">
        <v>68</v>
      </c>
      <c r="F244" t="s">
        <v>25</v>
      </c>
      <c r="G244" s="4">
        <v>5</v>
      </c>
      <c r="H244" s="4" t="s">
        <v>18</v>
      </c>
      <c r="I244" s="4" t="s">
        <v>69</v>
      </c>
      <c r="J244" s="4" t="s">
        <v>66</v>
      </c>
      <c r="K244" s="4">
        <v>0</v>
      </c>
      <c r="L244" s="94">
        <v>2371345</v>
      </c>
      <c r="M244" s="94">
        <v>11856725</v>
      </c>
    </row>
    <row r="245" spans="3:13" x14ac:dyDescent="0.3">
      <c r="C245" t="s">
        <v>61</v>
      </c>
      <c r="D245" t="s">
        <v>67</v>
      </c>
      <c r="E245" t="s">
        <v>68</v>
      </c>
      <c r="F245" t="s">
        <v>26</v>
      </c>
      <c r="G245" s="4">
        <v>5</v>
      </c>
      <c r="H245" s="4" t="s">
        <v>17</v>
      </c>
      <c r="I245" s="4" t="s">
        <v>65</v>
      </c>
      <c r="J245" s="4" t="s">
        <v>73</v>
      </c>
      <c r="K245" s="4">
        <v>1</v>
      </c>
      <c r="L245" s="94">
        <v>3804666</v>
      </c>
      <c r="M245" s="94">
        <v>19023330</v>
      </c>
    </row>
    <row r="246" spans="3:13" x14ac:dyDescent="0.3">
      <c r="C246" t="s">
        <v>70</v>
      </c>
      <c r="D246" t="s">
        <v>62</v>
      </c>
      <c r="E246" t="s">
        <v>63</v>
      </c>
      <c r="F246" t="s">
        <v>24</v>
      </c>
      <c r="G246" s="4">
        <v>35</v>
      </c>
      <c r="I246" s="4" t="s">
        <v>69</v>
      </c>
      <c r="J246" s="4" t="s">
        <v>66</v>
      </c>
      <c r="K246" s="4">
        <v>0</v>
      </c>
      <c r="L246" s="94">
        <v>-1627100</v>
      </c>
      <c r="M246" s="94">
        <v>0</v>
      </c>
    </row>
    <row r="247" spans="3:13" x14ac:dyDescent="0.3">
      <c r="C247" t="s">
        <v>70</v>
      </c>
      <c r="D247" t="s">
        <v>67</v>
      </c>
      <c r="E247" t="s">
        <v>68</v>
      </c>
      <c r="F247" t="s">
        <v>72</v>
      </c>
      <c r="G247" s="4">
        <v>7</v>
      </c>
      <c r="H247" s="4" t="s">
        <v>82</v>
      </c>
      <c r="I247" s="4" t="s">
        <v>69</v>
      </c>
      <c r="J247" s="4" t="s">
        <v>66</v>
      </c>
      <c r="K247" s="4">
        <v>0</v>
      </c>
      <c r="L247" s="94">
        <v>676599</v>
      </c>
      <c r="M247" s="94">
        <v>4736193</v>
      </c>
    </row>
    <row r="248" spans="3:13" x14ac:dyDescent="0.3">
      <c r="C248" t="s">
        <v>71</v>
      </c>
      <c r="D248" t="s">
        <v>67</v>
      </c>
      <c r="E248" t="s">
        <v>63</v>
      </c>
      <c r="F248" t="s">
        <v>72</v>
      </c>
      <c r="G248" s="4">
        <v>4</v>
      </c>
      <c r="H248" s="4" t="s">
        <v>83</v>
      </c>
      <c r="I248" s="4" t="s">
        <v>69</v>
      </c>
      <c r="J248" s="4" t="s">
        <v>66</v>
      </c>
      <c r="K248" s="4">
        <v>0</v>
      </c>
      <c r="L248" s="94">
        <v>-42039</v>
      </c>
      <c r="M248" s="94">
        <v>0</v>
      </c>
    </row>
    <row r="249" spans="3:13" x14ac:dyDescent="0.3">
      <c r="C249" t="s">
        <v>70</v>
      </c>
      <c r="D249" t="s">
        <v>67</v>
      </c>
      <c r="E249" t="s">
        <v>68</v>
      </c>
      <c r="F249" t="s">
        <v>72</v>
      </c>
      <c r="G249" s="4">
        <v>6</v>
      </c>
      <c r="H249" s="4" t="s">
        <v>12</v>
      </c>
      <c r="I249" s="4" t="s">
        <v>69</v>
      </c>
      <c r="J249" s="4" t="s">
        <v>73</v>
      </c>
      <c r="K249" s="4">
        <v>1</v>
      </c>
      <c r="L249" s="94">
        <v>87642</v>
      </c>
      <c r="M249" s="94">
        <v>525852</v>
      </c>
    </row>
    <row r="250" spans="3:13" x14ac:dyDescent="0.3">
      <c r="C250" t="s">
        <v>61</v>
      </c>
      <c r="D250" t="s">
        <v>67</v>
      </c>
      <c r="E250" t="s">
        <v>68</v>
      </c>
      <c r="F250" t="s">
        <v>72</v>
      </c>
      <c r="G250" s="4">
        <v>1</v>
      </c>
      <c r="H250" s="4" t="s">
        <v>64</v>
      </c>
      <c r="I250" s="4" t="s">
        <v>69</v>
      </c>
      <c r="J250" s="4" t="s">
        <v>66</v>
      </c>
      <c r="K250" s="4">
        <v>0</v>
      </c>
      <c r="L250" s="94">
        <v>29634234</v>
      </c>
      <c r="M250" s="94">
        <v>29634234</v>
      </c>
    </row>
    <row r="251" spans="3:13" x14ac:dyDescent="0.3">
      <c r="C251" t="s">
        <v>71</v>
      </c>
      <c r="D251" t="s">
        <v>62</v>
      </c>
      <c r="E251" t="s">
        <v>68</v>
      </c>
      <c r="F251" t="s">
        <v>25</v>
      </c>
      <c r="G251" s="4">
        <v>6</v>
      </c>
      <c r="I251" s="4" t="s">
        <v>69</v>
      </c>
      <c r="J251" s="4" t="s">
        <v>66</v>
      </c>
      <c r="K251" s="4">
        <v>0</v>
      </c>
      <c r="L251" s="94">
        <v>27048</v>
      </c>
      <c r="M251" s="94">
        <v>162288</v>
      </c>
    </row>
    <row r="252" spans="3:13" x14ac:dyDescent="0.3">
      <c r="C252" t="s">
        <v>61</v>
      </c>
      <c r="D252" t="s">
        <v>67</v>
      </c>
      <c r="E252" t="s">
        <v>68</v>
      </c>
      <c r="F252" t="s">
        <v>72</v>
      </c>
      <c r="G252" s="4">
        <v>0</v>
      </c>
      <c r="H252" s="4" t="s">
        <v>15</v>
      </c>
      <c r="I252" s="4" t="s">
        <v>69</v>
      </c>
      <c r="J252" s="4" t="s">
        <v>66</v>
      </c>
      <c r="K252" s="4">
        <v>0</v>
      </c>
      <c r="L252" s="94">
        <v>4770</v>
      </c>
      <c r="M252" s="94">
        <v>0</v>
      </c>
    </row>
    <row r="253" spans="3:13" x14ac:dyDescent="0.3">
      <c r="C253" t="s">
        <v>61</v>
      </c>
      <c r="D253" t="s">
        <v>67</v>
      </c>
      <c r="E253" t="s">
        <v>68</v>
      </c>
      <c r="F253" t="s">
        <v>26</v>
      </c>
      <c r="G253" s="4">
        <v>4</v>
      </c>
      <c r="H253" s="4" t="s">
        <v>83</v>
      </c>
      <c r="I253" s="4" t="s">
        <v>69</v>
      </c>
      <c r="J253" s="4" t="s">
        <v>66</v>
      </c>
      <c r="K253" s="4">
        <v>0</v>
      </c>
      <c r="L253" s="94">
        <v>2602414</v>
      </c>
      <c r="M253" s="94">
        <v>10409656</v>
      </c>
    </row>
    <row r="254" spans="3:13" x14ac:dyDescent="0.3">
      <c r="C254" t="s">
        <v>61</v>
      </c>
      <c r="D254" t="s">
        <v>62</v>
      </c>
      <c r="E254" t="s">
        <v>68</v>
      </c>
      <c r="F254" t="s">
        <v>24</v>
      </c>
      <c r="G254" s="4">
        <v>13</v>
      </c>
      <c r="I254" s="4" t="s">
        <v>69</v>
      </c>
      <c r="J254" s="4" t="s">
        <v>66</v>
      </c>
      <c r="K254" s="4">
        <v>0</v>
      </c>
      <c r="L254" s="94">
        <v>201537710</v>
      </c>
      <c r="M254" s="94">
        <v>2619990230</v>
      </c>
    </row>
    <row r="255" spans="3:13" x14ac:dyDescent="0.3">
      <c r="C255" t="s">
        <v>70</v>
      </c>
      <c r="D255" t="s">
        <v>67</v>
      </c>
      <c r="E255" t="s">
        <v>68</v>
      </c>
      <c r="F255" t="s">
        <v>26</v>
      </c>
      <c r="G255" s="4">
        <v>2</v>
      </c>
      <c r="H255" s="4" t="s">
        <v>15</v>
      </c>
      <c r="I255" s="4" t="s">
        <v>69</v>
      </c>
      <c r="J255" s="4" t="s">
        <v>73</v>
      </c>
      <c r="K255" s="4">
        <v>1</v>
      </c>
      <c r="L255" s="94">
        <v>15816</v>
      </c>
      <c r="M255" s="94">
        <v>31632</v>
      </c>
    </row>
    <row r="256" spans="3:13" x14ac:dyDescent="0.3">
      <c r="C256" t="s">
        <v>70</v>
      </c>
      <c r="D256" t="s">
        <v>67</v>
      </c>
      <c r="E256" t="s">
        <v>63</v>
      </c>
      <c r="F256" t="s">
        <v>25</v>
      </c>
      <c r="G256" s="4">
        <v>12</v>
      </c>
      <c r="H256" s="4" t="s">
        <v>76</v>
      </c>
      <c r="I256" s="4" t="s">
        <v>69</v>
      </c>
      <c r="J256" s="4" t="s">
        <v>66</v>
      </c>
      <c r="K256" s="4">
        <v>0</v>
      </c>
      <c r="L256" s="94">
        <v>-60568</v>
      </c>
      <c r="M256" s="94">
        <v>0</v>
      </c>
    </row>
    <row r="257" spans="3:13" x14ac:dyDescent="0.3">
      <c r="C257" t="s">
        <v>70</v>
      </c>
      <c r="D257" t="s">
        <v>62</v>
      </c>
      <c r="E257" t="s">
        <v>63</v>
      </c>
      <c r="F257" t="s">
        <v>25</v>
      </c>
      <c r="G257" s="4">
        <v>5</v>
      </c>
      <c r="I257" s="4" t="s">
        <v>69</v>
      </c>
      <c r="J257" s="4" t="s">
        <v>66</v>
      </c>
      <c r="K257" s="4">
        <v>0</v>
      </c>
      <c r="L257" s="94">
        <v>-79403</v>
      </c>
      <c r="M257" s="94">
        <v>0</v>
      </c>
    </row>
    <row r="258" spans="3:13" x14ac:dyDescent="0.3">
      <c r="C258" t="s">
        <v>70</v>
      </c>
      <c r="D258" t="s">
        <v>67</v>
      </c>
      <c r="E258" t="s">
        <v>63</v>
      </c>
      <c r="F258" t="s">
        <v>72</v>
      </c>
      <c r="G258" s="4">
        <v>5</v>
      </c>
      <c r="H258" s="4" t="s">
        <v>13</v>
      </c>
      <c r="I258" s="4" t="s">
        <v>69</v>
      </c>
      <c r="J258" s="4" t="s">
        <v>73</v>
      </c>
      <c r="K258" s="4">
        <v>1</v>
      </c>
      <c r="L258" s="94">
        <v>-7179</v>
      </c>
      <c r="M258" s="94">
        <v>0</v>
      </c>
    </row>
    <row r="259" spans="3:13" x14ac:dyDescent="0.3">
      <c r="C259" t="s">
        <v>61</v>
      </c>
      <c r="D259" t="s">
        <v>67</v>
      </c>
      <c r="E259" t="s">
        <v>63</v>
      </c>
      <c r="F259" t="s">
        <v>26</v>
      </c>
      <c r="G259" s="4">
        <v>2</v>
      </c>
      <c r="H259" s="4" t="s">
        <v>74</v>
      </c>
      <c r="I259" s="4" t="s">
        <v>69</v>
      </c>
      <c r="J259" s="4" t="s">
        <v>66</v>
      </c>
      <c r="K259" s="4">
        <v>0</v>
      </c>
      <c r="L259" s="94">
        <v>-87598</v>
      </c>
      <c r="M259" s="94">
        <v>0</v>
      </c>
    </row>
    <row r="260" spans="3:13" x14ac:dyDescent="0.3">
      <c r="C260" t="s">
        <v>70</v>
      </c>
      <c r="D260" t="s">
        <v>67</v>
      </c>
      <c r="E260" t="s">
        <v>63</v>
      </c>
      <c r="F260" t="s">
        <v>26</v>
      </c>
      <c r="G260" s="4">
        <v>0</v>
      </c>
      <c r="H260" s="4" t="s">
        <v>18</v>
      </c>
      <c r="I260" s="4" t="s">
        <v>65</v>
      </c>
      <c r="J260" s="4" t="s">
        <v>66</v>
      </c>
      <c r="K260" s="4">
        <v>1</v>
      </c>
      <c r="L260" s="94">
        <v>-142</v>
      </c>
      <c r="M260" s="94">
        <v>0</v>
      </c>
    </row>
    <row r="261" spans="3:13" x14ac:dyDescent="0.3">
      <c r="C261" t="s">
        <v>70</v>
      </c>
      <c r="D261" t="s">
        <v>67</v>
      </c>
      <c r="E261" t="s">
        <v>63</v>
      </c>
      <c r="F261" t="s">
        <v>26</v>
      </c>
      <c r="G261" s="4">
        <v>6</v>
      </c>
      <c r="H261" s="4" t="s">
        <v>18</v>
      </c>
      <c r="I261" s="4" t="s">
        <v>69</v>
      </c>
      <c r="J261" s="4" t="s">
        <v>66</v>
      </c>
      <c r="K261" s="4">
        <v>0</v>
      </c>
      <c r="L261" s="94">
        <v>-271743</v>
      </c>
      <c r="M261" s="94">
        <v>0</v>
      </c>
    </row>
    <row r="262" spans="3:13" x14ac:dyDescent="0.3">
      <c r="C262" t="s">
        <v>71</v>
      </c>
      <c r="D262" t="s">
        <v>67</v>
      </c>
      <c r="E262" t="s">
        <v>63</v>
      </c>
      <c r="F262" t="s">
        <v>25</v>
      </c>
      <c r="G262" s="4">
        <v>-4</v>
      </c>
      <c r="H262" s="4" t="s">
        <v>14</v>
      </c>
      <c r="I262" s="4" t="s">
        <v>65</v>
      </c>
      <c r="J262" s="4" t="s">
        <v>66</v>
      </c>
      <c r="K262" s="4">
        <v>1</v>
      </c>
      <c r="L262" s="94">
        <v>-20650</v>
      </c>
      <c r="M262" s="94">
        <v>0</v>
      </c>
    </row>
    <row r="263" spans="3:13" x14ac:dyDescent="0.3">
      <c r="C263" t="s">
        <v>61</v>
      </c>
      <c r="D263" t="s">
        <v>67</v>
      </c>
      <c r="E263" t="s">
        <v>63</v>
      </c>
      <c r="F263" t="s">
        <v>26</v>
      </c>
      <c r="G263" s="4">
        <v>-1</v>
      </c>
      <c r="H263" s="4" t="s">
        <v>87</v>
      </c>
      <c r="I263" s="4" t="s">
        <v>69</v>
      </c>
      <c r="J263" s="4" t="s">
        <v>66</v>
      </c>
      <c r="K263" s="4">
        <v>0</v>
      </c>
      <c r="L263" s="94">
        <v>-1</v>
      </c>
      <c r="M263" s="94">
        <v>0</v>
      </c>
    </row>
    <row r="264" spans="3:13" x14ac:dyDescent="0.3">
      <c r="C264" t="s">
        <v>61</v>
      </c>
      <c r="D264" t="s">
        <v>67</v>
      </c>
      <c r="E264" t="s">
        <v>68</v>
      </c>
      <c r="F264" t="s">
        <v>25</v>
      </c>
      <c r="G264" s="4">
        <v>8</v>
      </c>
      <c r="H264" s="4" t="s">
        <v>14</v>
      </c>
      <c r="I264" s="4" t="s">
        <v>69</v>
      </c>
      <c r="J264" s="4" t="s">
        <v>66</v>
      </c>
      <c r="K264" s="4">
        <v>0</v>
      </c>
      <c r="L264" s="94">
        <v>3056005</v>
      </c>
      <c r="M264" s="94">
        <v>24448040</v>
      </c>
    </row>
    <row r="265" spans="3:13" x14ac:dyDescent="0.3">
      <c r="C265" t="s">
        <v>70</v>
      </c>
      <c r="D265" t="s">
        <v>67</v>
      </c>
      <c r="E265" t="s">
        <v>63</v>
      </c>
      <c r="F265" t="s">
        <v>26</v>
      </c>
      <c r="G265" s="4">
        <v>-1</v>
      </c>
      <c r="H265" s="4" t="s">
        <v>12</v>
      </c>
      <c r="I265" s="4" t="s">
        <v>69</v>
      </c>
      <c r="J265" s="4" t="s">
        <v>73</v>
      </c>
      <c r="K265" s="4">
        <v>1</v>
      </c>
      <c r="L265" s="94">
        <v>-299925</v>
      </c>
      <c r="M265" s="94">
        <v>0</v>
      </c>
    </row>
    <row r="266" spans="3:13" x14ac:dyDescent="0.3">
      <c r="C266" t="s">
        <v>70</v>
      </c>
      <c r="D266" t="s">
        <v>62</v>
      </c>
      <c r="E266" t="s">
        <v>68</v>
      </c>
      <c r="F266" t="s">
        <v>25</v>
      </c>
      <c r="G266" s="4">
        <v>6</v>
      </c>
      <c r="I266" s="4" t="s">
        <v>69</v>
      </c>
      <c r="J266" s="4" t="s">
        <v>66</v>
      </c>
      <c r="K266" s="4">
        <v>1</v>
      </c>
      <c r="L266" s="94">
        <v>41989</v>
      </c>
      <c r="M266" s="94">
        <v>251934</v>
      </c>
    </row>
    <row r="267" spans="3:13" x14ac:dyDescent="0.3">
      <c r="C267" t="s">
        <v>71</v>
      </c>
      <c r="D267" t="s">
        <v>62</v>
      </c>
      <c r="E267" t="s">
        <v>68</v>
      </c>
      <c r="F267" t="s">
        <v>24</v>
      </c>
      <c r="G267" s="4">
        <v>3</v>
      </c>
      <c r="I267" s="4" t="s">
        <v>69</v>
      </c>
      <c r="J267" s="4" t="s">
        <v>66</v>
      </c>
      <c r="K267" s="4">
        <v>1</v>
      </c>
      <c r="L267" s="94">
        <v>12188</v>
      </c>
      <c r="M267" s="94">
        <v>36564</v>
      </c>
    </row>
    <row r="268" spans="3:13" x14ac:dyDescent="0.3">
      <c r="C268" t="s">
        <v>61</v>
      </c>
      <c r="D268" t="s">
        <v>84</v>
      </c>
      <c r="E268" t="s">
        <v>63</v>
      </c>
      <c r="F268" t="s">
        <v>25</v>
      </c>
      <c r="G268" s="4">
        <v>16</v>
      </c>
      <c r="H268" s="4" t="s">
        <v>81</v>
      </c>
      <c r="I268" s="4" t="s">
        <v>69</v>
      </c>
      <c r="J268" s="4" t="s">
        <v>66</v>
      </c>
      <c r="K268" s="4">
        <v>0</v>
      </c>
      <c r="L268" s="94">
        <v>-6165</v>
      </c>
      <c r="M268" s="94">
        <v>0</v>
      </c>
    </row>
    <row r="269" spans="3:13" x14ac:dyDescent="0.3">
      <c r="C269" t="s">
        <v>71</v>
      </c>
      <c r="D269" t="s">
        <v>67</v>
      </c>
      <c r="E269" t="s">
        <v>63</v>
      </c>
      <c r="F269" t="s">
        <v>72</v>
      </c>
      <c r="G269" s="4">
        <v>3</v>
      </c>
      <c r="H269" s="4" t="s">
        <v>75</v>
      </c>
      <c r="I269" s="4" t="s">
        <v>69</v>
      </c>
      <c r="J269" s="4" t="s">
        <v>66</v>
      </c>
      <c r="K269" s="4">
        <v>0</v>
      </c>
      <c r="L269" s="94">
        <v>-23595</v>
      </c>
      <c r="M269" s="94">
        <v>0</v>
      </c>
    </row>
    <row r="270" spans="3:13" x14ac:dyDescent="0.3">
      <c r="C270" t="s">
        <v>70</v>
      </c>
      <c r="D270" t="s">
        <v>67</v>
      </c>
      <c r="E270" t="s">
        <v>63</v>
      </c>
      <c r="F270" t="s">
        <v>26</v>
      </c>
      <c r="G270" s="4">
        <v>-1</v>
      </c>
      <c r="H270" s="4" t="s">
        <v>17</v>
      </c>
      <c r="I270" s="4" t="s">
        <v>65</v>
      </c>
      <c r="J270" s="4" t="s">
        <v>66</v>
      </c>
      <c r="K270" s="4">
        <v>1</v>
      </c>
      <c r="L270" s="94">
        <v>-26721</v>
      </c>
      <c r="M270" s="94">
        <v>0</v>
      </c>
    </row>
    <row r="271" spans="3:13" x14ac:dyDescent="0.3">
      <c r="C271" t="s">
        <v>70</v>
      </c>
      <c r="D271" t="s">
        <v>67</v>
      </c>
      <c r="E271" t="s">
        <v>63</v>
      </c>
      <c r="F271" t="s">
        <v>26</v>
      </c>
      <c r="G271" s="4">
        <v>3</v>
      </c>
      <c r="H271" s="4" t="s">
        <v>14</v>
      </c>
      <c r="I271" s="4" t="s">
        <v>65</v>
      </c>
      <c r="J271" s="4" t="s">
        <v>73</v>
      </c>
      <c r="K271" s="4">
        <v>1</v>
      </c>
      <c r="L271" s="94">
        <v>-1544</v>
      </c>
      <c r="M271" s="94">
        <v>0</v>
      </c>
    </row>
    <row r="272" spans="3:13" x14ac:dyDescent="0.3">
      <c r="C272" t="s">
        <v>61</v>
      </c>
      <c r="D272" t="s">
        <v>67</v>
      </c>
      <c r="E272" t="s">
        <v>68</v>
      </c>
      <c r="F272" t="s">
        <v>26</v>
      </c>
      <c r="G272" s="4">
        <v>5</v>
      </c>
      <c r="H272" s="4" t="s">
        <v>79</v>
      </c>
      <c r="I272" s="4" t="s">
        <v>69</v>
      </c>
      <c r="J272" s="4" t="s">
        <v>66</v>
      </c>
      <c r="K272" s="4">
        <v>0</v>
      </c>
      <c r="L272" s="94">
        <v>4587404</v>
      </c>
      <c r="M272" s="94">
        <v>22937020</v>
      </c>
    </row>
    <row r="273" spans="3:13" x14ac:dyDescent="0.3">
      <c r="C273" t="s">
        <v>61</v>
      </c>
      <c r="D273" t="s">
        <v>67</v>
      </c>
      <c r="E273" t="s">
        <v>68</v>
      </c>
      <c r="F273" t="s">
        <v>25</v>
      </c>
      <c r="G273" s="4">
        <v>1</v>
      </c>
      <c r="H273" s="4" t="s">
        <v>18</v>
      </c>
      <c r="I273" s="4" t="s">
        <v>69</v>
      </c>
      <c r="J273" s="4" t="s">
        <v>66</v>
      </c>
      <c r="K273" s="4">
        <v>0</v>
      </c>
      <c r="L273" s="94">
        <v>3276106</v>
      </c>
      <c r="M273" s="94">
        <v>3276106</v>
      </c>
    </row>
    <row r="274" spans="3:13" x14ac:dyDescent="0.3">
      <c r="C274" t="s">
        <v>71</v>
      </c>
      <c r="D274" t="s">
        <v>62</v>
      </c>
      <c r="E274" t="s">
        <v>68</v>
      </c>
      <c r="F274" t="s">
        <v>24</v>
      </c>
      <c r="G274" s="4">
        <v>16</v>
      </c>
      <c r="I274" s="4" t="s">
        <v>69</v>
      </c>
      <c r="J274" s="4" t="s">
        <v>66</v>
      </c>
      <c r="K274" s="4">
        <v>0</v>
      </c>
      <c r="L274" s="94">
        <v>4474378</v>
      </c>
      <c r="M274" s="94">
        <v>71590048</v>
      </c>
    </row>
    <row r="275" spans="3:13" x14ac:dyDescent="0.3">
      <c r="C275" t="s">
        <v>70</v>
      </c>
      <c r="D275" t="s">
        <v>67</v>
      </c>
      <c r="E275" t="s">
        <v>68</v>
      </c>
      <c r="F275" t="s">
        <v>25</v>
      </c>
      <c r="G275" s="4">
        <v>1</v>
      </c>
      <c r="H275" s="4" t="s">
        <v>14</v>
      </c>
      <c r="I275" s="4" t="s">
        <v>69</v>
      </c>
      <c r="J275" s="4" t="s">
        <v>66</v>
      </c>
      <c r="K275" s="4">
        <v>1</v>
      </c>
      <c r="L275" s="94">
        <v>1327505</v>
      </c>
      <c r="M275" s="94">
        <v>1327505</v>
      </c>
    </row>
    <row r="276" spans="3:13" x14ac:dyDescent="0.3">
      <c r="C276" t="s">
        <v>70</v>
      </c>
      <c r="D276" t="s">
        <v>67</v>
      </c>
      <c r="E276" t="s">
        <v>68</v>
      </c>
      <c r="F276" t="s">
        <v>25</v>
      </c>
      <c r="G276" s="4">
        <v>2</v>
      </c>
      <c r="H276" s="4" t="s">
        <v>74</v>
      </c>
      <c r="I276" s="4" t="s">
        <v>69</v>
      </c>
      <c r="J276" s="4" t="s">
        <v>66</v>
      </c>
      <c r="K276" s="4">
        <v>0</v>
      </c>
      <c r="L276" s="94">
        <v>32390</v>
      </c>
      <c r="M276" s="94">
        <v>64780</v>
      </c>
    </row>
    <row r="277" spans="3:13" x14ac:dyDescent="0.3">
      <c r="C277" t="s">
        <v>70</v>
      </c>
      <c r="D277" t="s">
        <v>67</v>
      </c>
      <c r="E277" t="s">
        <v>68</v>
      </c>
      <c r="F277" t="s">
        <v>72</v>
      </c>
      <c r="G277" s="4">
        <v>7</v>
      </c>
      <c r="H277" s="4" t="s">
        <v>17</v>
      </c>
      <c r="I277" s="4" t="s">
        <v>69</v>
      </c>
      <c r="J277" s="4" t="s">
        <v>66</v>
      </c>
      <c r="K277" s="4">
        <v>0</v>
      </c>
      <c r="L277" s="94">
        <v>226719</v>
      </c>
      <c r="M277" s="94">
        <v>1587033</v>
      </c>
    </row>
    <row r="278" spans="3:13" x14ac:dyDescent="0.3">
      <c r="C278" t="s">
        <v>71</v>
      </c>
      <c r="D278" t="s">
        <v>67</v>
      </c>
      <c r="E278" t="s">
        <v>68</v>
      </c>
      <c r="F278" t="s">
        <v>25</v>
      </c>
      <c r="G278" s="4">
        <v>1</v>
      </c>
      <c r="H278" s="4" t="s">
        <v>79</v>
      </c>
      <c r="I278" s="4" t="s">
        <v>69</v>
      </c>
      <c r="J278" s="4" t="s">
        <v>66</v>
      </c>
      <c r="K278" s="4">
        <v>0</v>
      </c>
      <c r="L278" s="94">
        <v>3195</v>
      </c>
      <c r="M278" s="94">
        <v>3195</v>
      </c>
    </row>
    <row r="279" spans="3:13" x14ac:dyDescent="0.3">
      <c r="C279" t="s">
        <v>71</v>
      </c>
      <c r="D279" t="s">
        <v>67</v>
      </c>
      <c r="E279" t="s">
        <v>63</v>
      </c>
      <c r="F279" t="s">
        <v>72</v>
      </c>
      <c r="G279" s="4">
        <v>5</v>
      </c>
      <c r="H279" s="4" t="s">
        <v>75</v>
      </c>
      <c r="I279" s="4" t="s">
        <v>69</v>
      </c>
      <c r="J279" s="4" t="s">
        <v>66</v>
      </c>
      <c r="K279" s="4">
        <v>0</v>
      </c>
      <c r="L279" s="94">
        <v>-25202</v>
      </c>
      <c r="M279" s="94">
        <v>0</v>
      </c>
    </row>
    <row r="280" spans="3:13" x14ac:dyDescent="0.3">
      <c r="C280" t="s">
        <v>71</v>
      </c>
      <c r="D280" t="s">
        <v>67</v>
      </c>
      <c r="E280" t="s">
        <v>63</v>
      </c>
      <c r="F280" t="s">
        <v>72</v>
      </c>
      <c r="G280" s="4">
        <v>0</v>
      </c>
      <c r="H280" s="4" t="s">
        <v>78</v>
      </c>
      <c r="I280" s="4" t="s">
        <v>69</v>
      </c>
      <c r="J280" s="4" t="s">
        <v>66</v>
      </c>
      <c r="K280" s="4">
        <v>0</v>
      </c>
      <c r="L280" s="94">
        <v>-3734</v>
      </c>
      <c r="M280" s="94">
        <v>0</v>
      </c>
    </row>
    <row r="281" spans="3:13" x14ac:dyDescent="0.3">
      <c r="C281" t="s">
        <v>71</v>
      </c>
      <c r="D281" t="s">
        <v>62</v>
      </c>
      <c r="E281" t="s">
        <v>68</v>
      </c>
      <c r="F281" t="s">
        <v>24</v>
      </c>
      <c r="G281" s="4">
        <v>21</v>
      </c>
      <c r="I281" s="4" t="s">
        <v>69</v>
      </c>
      <c r="J281" s="4" t="s">
        <v>66</v>
      </c>
      <c r="K281" s="4">
        <v>0</v>
      </c>
      <c r="L281" s="94">
        <v>8970997</v>
      </c>
      <c r="M281" s="94">
        <v>188390937</v>
      </c>
    </row>
    <row r="282" spans="3:13" x14ac:dyDescent="0.3">
      <c r="C282" t="s">
        <v>71</v>
      </c>
      <c r="D282" t="s">
        <v>67</v>
      </c>
      <c r="E282" t="s">
        <v>63</v>
      </c>
      <c r="F282" t="s">
        <v>26</v>
      </c>
      <c r="G282" s="4">
        <v>2</v>
      </c>
      <c r="H282" s="4" t="s">
        <v>12</v>
      </c>
      <c r="I282" s="4" t="s">
        <v>69</v>
      </c>
      <c r="J282" s="4" t="s">
        <v>66</v>
      </c>
      <c r="K282" s="4">
        <v>0</v>
      </c>
      <c r="L282" s="94">
        <v>-66700</v>
      </c>
      <c r="M282" s="94">
        <v>0</v>
      </c>
    </row>
    <row r="283" spans="3:13" x14ac:dyDescent="0.3">
      <c r="C283" t="s">
        <v>70</v>
      </c>
      <c r="D283" t="s">
        <v>84</v>
      </c>
      <c r="E283" t="s">
        <v>63</v>
      </c>
      <c r="F283" t="s">
        <v>25</v>
      </c>
      <c r="G283" s="4">
        <v>3</v>
      </c>
      <c r="H283" s="4" t="s">
        <v>74</v>
      </c>
      <c r="I283" s="4" t="s">
        <v>69</v>
      </c>
      <c r="J283" s="4" t="s">
        <v>66</v>
      </c>
      <c r="K283" s="4">
        <v>0</v>
      </c>
      <c r="L283" s="94">
        <v>-2595</v>
      </c>
      <c r="M283" s="94">
        <v>0</v>
      </c>
    </row>
    <row r="284" spans="3:13" x14ac:dyDescent="0.3">
      <c r="C284" t="s">
        <v>61</v>
      </c>
      <c r="D284" t="s">
        <v>67</v>
      </c>
      <c r="E284" t="s">
        <v>63</v>
      </c>
      <c r="F284" t="s">
        <v>26</v>
      </c>
      <c r="G284" s="4">
        <v>8</v>
      </c>
      <c r="H284" s="4" t="s">
        <v>76</v>
      </c>
      <c r="I284" s="4" t="s">
        <v>69</v>
      </c>
      <c r="J284" s="4" t="s">
        <v>66</v>
      </c>
      <c r="K284" s="4">
        <v>0</v>
      </c>
      <c r="L284" s="94">
        <v>-6934</v>
      </c>
      <c r="M284" s="94">
        <v>0</v>
      </c>
    </row>
    <row r="285" spans="3:13" x14ac:dyDescent="0.3">
      <c r="C285" t="s">
        <v>70</v>
      </c>
      <c r="D285" t="s">
        <v>67</v>
      </c>
      <c r="E285" t="s">
        <v>63</v>
      </c>
      <c r="F285" t="s">
        <v>26</v>
      </c>
      <c r="G285" s="4">
        <v>9</v>
      </c>
      <c r="H285" s="4" t="s">
        <v>14</v>
      </c>
      <c r="I285" s="4" t="s">
        <v>69</v>
      </c>
      <c r="J285" s="4" t="s">
        <v>73</v>
      </c>
      <c r="K285" s="4">
        <v>1</v>
      </c>
      <c r="L285" s="94">
        <v>-23338</v>
      </c>
      <c r="M285" s="94">
        <v>0</v>
      </c>
    </row>
    <row r="286" spans="3:13" x14ac:dyDescent="0.3">
      <c r="C286" t="s">
        <v>61</v>
      </c>
      <c r="D286" t="s">
        <v>67</v>
      </c>
      <c r="E286" t="s">
        <v>68</v>
      </c>
      <c r="F286" t="s">
        <v>26</v>
      </c>
      <c r="G286" s="4">
        <v>2</v>
      </c>
      <c r="H286" s="4" t="s">
        <v>18</v>
      </c>
      <c r="I286" s="4" t="s">
        <v>69</v>
      </c>
      <c r="J286" s="4" t="s">
        <v>66</v>
      </c>
      <c r="K286" s="4">
        <v>0</v>
      </c>
      <c r="L286" s="94">
        <v>79418492</v>
      </c>
      <c r="M286" s="94">
        <v>158836984</v>
      </c>
    </row>
    <row r="287" spans="3:13" x14ac:dyDescent="0.3">
      <c r="C287" t="s">
        <v>70</v>
      </c>
      <c r="D287" t="s">
        <v>67</v>
      </c>
      <c r="E287" t="s">
        <v>63</v>
      </c>
      <c r="F287" t="s">
        <v>72</v>
      </c>
      <c r="G287" s="4">
        <v>3</v>
      </c>
      <c r="H287" s="4" t="s">
        <v>13</v>
      </c>
      <c r="I287" s="4" t="s">
        <v>69</v>
      </c>
      <c r="J287" s="4" t="s">
        <v>73</v>
      </c>
      <c r="K287" s="4">
        <v>1</v>
      </c>
      <c r="L287" s="94">
        <v>-5733</v>
      </c>
      <c r="M287" s="94">
        <v>0</v>
      </c>
    </row>
    <row r="288" spans="3:13" x14ac:dyDescent="0.3">
      <c r="C288" t="s">
        <v>70</v>
      </c>
      <c r="D288" t="s">
        <v>67</v>
      </c>
      <c r="E288" t="s">
        <v>63</v>
      </c>
      <c r="F288" t="s">
        <v>25</v>
      </c>
      <c r="G288" s="4">
        <v>4</v>
      </c>
      <c r="H288" s="4" t="s">
        <v>64</v>
      </c>
      <c r="I288" s="4" t="s">
        <v>69</v>
      </c>
      <c r="J288" s="4" t="s">
        <v>66</v>
      </c>
      <c r="K288" s="4">
        <v>0</v>
      </c>
      <c r="L288" s="94">
        <v>-1061</v>
      </c>
      <c r="M288" s="94">
        <v>0</v>
      </c>
    </row>
    <row r="289" spans="3:13" x14ac:dyDescent="0.3">
      <c r="C289" t="s">
        <v>61</v>
      </c>
      <c r="D289" t="s">
        <v>67</v>
      </c>
      <c r="E289" t="s">
        <v>68</v>
      </c>
      <c r="F289" t="s">
        <v>26</v>
      </c>
      <c r="G289" s="4">
        <v>3</v>
      </c>
      <c r="H289" s="4" t="s">
        <v>79</v>
      </c>
      <c r="I289" s="4" t="s">
        <v>69</v>
      </c>
      <c r="J289" s="4" t="s">
        <v>66</v>
      </c>
      <c r="K289" s="4">
        <v>0</v>
      </c>
      <c r="L289" s="94">
        <v>9458195</v>
      </c>
      <c r="M289" s="94">
        <v>28374585</v>
      </c>
    </row>
    <row r="290" spans="3:13" x14ac:dyDescent="0.3">
      <c r="C290" t="s">
        <v>70</v>
      </c>
      <c r="D290" t="s">
        <v>67</v>
      </c>
      <c r="E290" t="s">
        <v>68</v>
      </c>
      <c r="F290" t="s">
        <v>72</v>
      </c>
      <c r="G290" s="4">
        <v>2</v>
      </c>
      <c r="H290" s="4" t="s">
        <v>12</v>
      </c>
      <c r="I290" s="4" t="s">
        <v>65</v>
      </c>
      <c r="J290" s="4" t="s">
        <v>73</v>
      </c>
      <c r="K290" s="4">
        <v>1</v>
      </c>
      <c r="L290" s="94">
        <v>53449</v>
      </c>
      <c r="M290" s="94">
        <v>106898</v>
      </c>
    </row>
    <row r="291" spans="3:13" x14ac:dyDescent="0.3">
      <c r="C291" t="s">
        <v>71</v>
      </c>
      <c r="D291" t="s">
        <v>67</v>
      </c>
      <c r="E291" t="s">
        <v>68</v>
      </c>
      <c r="F291" t="s">
        <v>26</v>
      </c>
      <c r="G291" s="4">
        <v>1</v>
      </c>
      <c r="H291" s="4" t="s">
        <v>17</v>
      </c>
      <c r="I291" s="4" t="s">
        <v>69</v>
      </c>
      <c r="J291" s="4" t="s">
        <v>73</v>
      </c>
      <c r="K291" s="4">
        <v>1</v>
      </c>
      <c r="L291" s="94">
        <v>89791</v>
      </c>
      <c r="M291" s="94">
        <v>89791</v>
      </c>
    </row>
    <row r="292" spans="3:13" x14ac:dyDescent="0.3">
      <c r="C292" t="s">
        <v>71</v>
      </c>
      <c r="D292" t="s">
        <v>67</v>
      </c>
      <c r="E292" t="s">
        <v>68</v>
      </c>
      <c r="F292" t="s">
        <v>25</v>
      </c>
      <c r="G292" s="4">
        <v>7</v>
      </c>
      <c r="H292" s="4" t="s">
        <v>82</v>
      </c>
      <c r="I292" s="4" t="s">
        <v>69</v>
      </c>
      <c r="J292" s="4" t="s">
        <v>66</v>
      </c>
      <c r="K292" s="4">
        <v>0</v>
      </c>
      <c r="L292" s="94">
        <v>602049</v>
      </c>
      <c r="M292" s="94">
        <v>4214343</v>
      </c>
    </row>
    <row r="293" spans="3:13" x14ac:dyDescent="0.3">
      <c r="C293" t="s">
        <v>70</v>
      </c>
      <c r="D293" t="s">
        <v>67</v>
      </c>
      <c r="E293" t="s">
        <v>68</v>
      </c>
      <c r="F293" t="s">
        <v>25</v>
      </c>
      <c r="G293" s="4">
        <v>-4</v>
      </c>
      <c r="H293" s="4" t="s">
        <v>79</v>
      </c>
      <c r="I293" s="4" t="s">
        <v>65</v>
      </c>
      <c r="J293" s="4" t="s">
        <v>66</v>
      </c>
      <c r="K293" s="4">
        <v>1</v>
      </c>
      <c r="L293" s="94">
        <v>377</v>
      </c>
      <c r="M293" s="94">
        <v>0</v>
      </c>
    </row>
    <row r="294" spans="3:13" x14ac:dyDescent="0.3">
      <c r="C294" t="s">
        <v>61</v>
      </c>
      <c r="D294" t="s">
        <v>67</v>
      </c>
      <c r="E294" t="s">
        <v>68</v>
      </c>
      <c r="F294" t="s">
        <v>26</v>
      </c>
      <c r="G294" s="4">
        <v>8</v>
      </c>
      <c r="H294" s="4" t="s">
        <v>18</v>
      </c>
      <c r="I294" s="4" t="s">
        <v>69</v>
      </c>
      <c r="J294" s="4" t="s">
        <v>66</v>
      </c>
      <c r="K294" s="4">
        <v>0</v>
      </c>
      <c r="L294" s="94">
        <v>3176526</v>
      </c>
      <c r="M294" s="94">
        <v>25412208</v>
      </c>
    </row>
    <row r="295" spans="3:13" x14ac:dyDescent="0.3">
      <c r="C295" t="s">
        <v>61</v>
      </c>
      <c r="D295" t="s">
        <v>67</v>
      </c>
      <c r="E295" t="s">
        <v>68</v>
      </c>
      <c r="F295" t="s">
        <v>25</v>
      </c>
      <c r="G295" s="4">
        <v>1</v>
      </c>
      <c r="H295" s="4" t="s">
        <v>76</v>
      </c>
      <c r="I295" s="4" t="s">
        <v>69</v>
      </c>
      <c r="J295" s="4" t="s">
        <v>66</v>
      </c>
      <c r="K295" s="4">
        <v>0</v>
      </c>
      <c r="L295" s="94">
        <v>18093633</v>
      </c>
      <c r="M295" s="94">
        <v>18093633</v>
      </c>
    </row>
    <row r="296" spans="3:13" x14ac:dyDescent="0.3">
      <c r="C296" t="s">
        <v>70</v>
      </c>
      <c r="D296" t="s">
        <v>62</v>
      </c>
      <c r="E296" t="s">
        <v>63</v>
      </c>
      <c r="F296" t="s">
        <v>25</v>
      </c>
      <c r="G296" s="4">
        <v>9</v>
      </c>
      <c r="I296" s="4" t="s">
        <v>69</v>
      </c>
      <c r="J296" s="4" t="s">
        <v>66</v>
      </c>
      <c r="K296" s="4">
        <v>0</v>
      </c>
      <c r="L296" s="94">
        <v>-24174</v>
      </c>
      <c r="M296" s="94">
        <v>0</v>
      </c>
    </row>
    <row r="297" spans="3:13" x14ac:dyDescent="0.3">
      <c r="C297" t="s">
        <v>61</v>
      </c>
      <c r="D297" t="s">
        <v>67</v>
      </c>
      <c r="E297" t="s">
        <v>63</v>
      </c>
      <c r="F297" t="s">
        <v>26</v>
      </c>
      <c r="G297" s="4">
        <v>1</v>
      </c>
      <c r="H297" s="4" t="s">
        <v>15</v>
      </c>
      <c r="I297" s="4" t="s">
        <v>65</v>
      </c>
      <c r="J297" s="4" t="s">
        <v>73</v>
      </c>
      <c r="K297" s="4">
        <v>1</v>
      </c>
      <c r="L297" s="94">
        <v>-121</v>
      </c>
      <c r="M297" s="94">
        <v>0</v>
      </c>
    </row>
    <row r="298" spans="3:13" x14ac:dyDescent="0.3">
      <c r="C298" t="s">
        <v>61</v>
      </c>
      <c r="D298" t="s">
        <v>88</v>
      </c>
      <c r="E298" t="s">
        <v>68</v>
      </c>
      <c r="F298" t="s">
        <v>25</v>
      </c>
      <c r="G298" s="4">
        <v>3</v>
      </c>
      <c r="H298" s="4" t="s">
        <v>74</v>
      </c>
      <c r="I298" s="4" t="s">
        <v>69</v>
      </c>
      <c r="J298" s="4" t="s">
        <v>66</v>
      </c>
      <c r="K298" s="4">
        <v>0</v>
      </c>
      <c r="L298" s="94">
        <v>142145</v>
      </c>
      <c r="M298" s="94">
        <v>426435</v>
      </c>
    </row>
    <row r="299" spans="3:13" x14ac:dyDescent="0.3">
      <c r="C299" t="s">
        <v>61</v>
      </c>
      <c r="D299" t="s">
        <v>67</v>
      </c>
      <c r="E299" t="s">
        <v>68</v>
      </c>
      <c r="F299" t="s">
        <v>25</v>
      </c>
      <c r="G299" s="4">
        <v>8</v>
      </c>
      <c r="H299" s="4" t="s">
        <v>74</v>
      </c>
      <c r="I299" s="4" t="s">
        <v>69</v>
      </c>
      <c r="J299" s="4" t="s">
        <v>66</v>
      </c>
      <c r="K299" s="4">
        <v>0</v>
      </c>
      <c r="L299" s="94">
        <v>3413846</v>
      </c>
      <c r="M299" s="94">
        <v>27310768</v>
      </c>
    </row>
    <row r="300" spans="3:13" x14ac:dyDescent="0.3">
      <c r="C300" t="s">
        <v>61</v>
      </c>
      <c r="D300" t="s">
        <v>62</v>
      </c>
      <c r="E300" t="s">
        <v>63</v>
      </c>
      <c r="F300" t="s">
        <v>24</v>
      </c>
      <c r="G300" s="4">
        <v>22</v>
      </c>
      <c r="I300" s="4" t="s">
        <v>65</v>
      </c>
      <c r="J300" s="4" t="s">
        <v>73</v>
      </c>
      <c r="K300" s="4">
        <v>1</v>
      </c>
      <c r="L300" s="94">
        <v>0</v>
      </c>
      <c r="M300" s="94">
        <v>0</v>
      </c>
    </row>
    <row r="301" spans="3:13" x14ac:dyDescent="0.3">
      <c r="C301" t="s">
        <v>61</v>
      </c>
      <c r="D301" t="s">
        <v>67</v>
      </c>
      <c r="E301" t="s">
        <v>63</v>
      </c>
      <c r="F301" t="s">
        <v>25</v>
      </c>
      <c r="G301" s="4">
        <v>1</v>
      </c>
      <c r="H301" s="4" t="s">
        <v>83</v>
      </c>
      <c r="I301" s="4" t="s">
        <v>69</v>
      </c>
      <c r="J301" s="4" t="s">
        <v>66</v>
      </c>
      <c r="K301" s="4">
        <v>0</v>
      </c>
      <c r="L301" s="94">
        <v>-25</v>
      </c>
      <c r="M301" s="94">
        <v>0</v>
      </c>
    </row>
    <row r="302" spans="3:13" x14ac:dyDescent="0.3">
      <c r="C302" t="s">
        <v>70</v>
      </c>
      <c r="D302" t="s">
        <v>67</v>
      </c>
      <c r="E302" t="s">
        <v>63</v>
      </c>
      <c r="F302" t="s">
        <v>25</v>
      </c>
      <c r="G302" s="4">
        <v>1</v>
      </c>
      <c r="H302" s="4" t="s">
        <v>80</v>
      </c>
      <c r="I302" s="4" t="s">
        <v>69</v>
      </c>
      <c r="J302" s="4" t="s">
        <v>66</v>
      </c>
      <c r="K302" s="4">
        <v>0</v>
      </c>
      <c r="L302" s="94">
        <v>-116</v>
      </c>
      <c r="M302" s="94">
        <v>0</v>
      </c>
    </row>
    <row r="303" spans="3:13" x14ac:dyDescent="0.3">
      <c r="C303" t="s">
        <v>61</v>
      </c>
      <c r="D303" t="s">
        <v>67</v>
      </c>
      <c r="E303" t="s">
        <v>63</v>
      </c>
      <c r="F303" t="s">
        <v>25</v>
      </c>
      <c r="G303" s="4">
        <v>12</v>
      </c>
      <c r="H303" s="4" t="s">
        <v>17</v>
      </c>
      <c r="I303" s="4" t="s">
        <v>69</v>
      </c>
      <c r="J303" s="4" t="s">
        <v>66</v>
      </c>
      <c r="K303" s="4">
        <v>0</v>
      </c>
      <c r="L303" s="94">
        <v>-9268</v>
      </c>
      <c r="M303" s="94">
        <v>0</v>
      </c>
    </row>
    <row r="304" spans="3:13" x14ac:dyDescent="0.3">
      <c r="C304" t="s">
        <v>71</v>
      </c>
      <c r="D304" t="s">
        <v>62</v>
      </c>
      <c r="E304" t="s">
        <v>63</v>
      </c>
      <c r="F304" t="s">
        <v>24</v>
      </c>
      <c r="G304" s="4">
        <v>3</v>
      </c>
      <c r="I304" s="4" t="s">
        <v>69</v>
      </c>
      <c r="J304" s="4" t="s">
        <v>66</v>
      </c>
      <c r="K304" s="4">
        <v>1</v>
      </c>
      <c r="L304" s="94">
        <v>-12188</v>
      </c>
      <c r="M304" s="94">
        <v>0</v>
      </c>
    </row>
    <row r="305" spans="3:13" x14ac:dyDescent="0.3">
      <c r="C305" t="s">
        <v>70</v>
      </c>
      <c r="D305" t="s">
        <v>67</v>
      </c>
      <c r="E305" t="s">
        <v>63</v>
      </c>
      <c r="F305" t="s">
        <v>25</v>
      </c>
      <c r="G305" s="4">
        <v>12</v>
      </c>
      <c r="H305" s="4" t="s">
        <v>18</v>
      </c>
      <c r="I305" s="4" t="s">
        <v>69</v>
      </c>
      <c r="J305" s="4" t="s">
        <v>66</v>
      </c>
      <c r="K305" s="4">
        <v>0</v>
      </c>
      <c r="L305" s="94">
        <v>-279314</v>
      </c>
      <c r="M305" s="94">
        <v>0</v>
      </c>
    </row>
    <row r="306" spans="3:13" x14ac:dyDescent="0.3">
      <c r="C306" t="s">
        <v>61</v>
      </c>
      <c r="D306" t="s">
        <v>67</v>
      </c>
      <c r="E306" t="s">
        <v>63</v>
      </c>
      <c r="F306" t="s">
        <v>26</v>
      </c>
      <c r="G306" s="4">
        <v>2</v>
      </c>
      <c r="H306" s="4" t="s">
        <v>14</v>
      </c>
      <c r="I306" s="4" t="s">
        <v>69</v>
      </c>
      <c r="J306" s="4" t="s">
        <v>66</v>
      </c>
      <c r="K306" s="4">
        <v>0</v>
      </c>
      <c r="L306" s="94">
        <v>-201316</v>
      </c>
      <c r="M306" s="94">
        <v>0</v>
      </c>
    </row>
    <row r="307" spans="3:13" x14ac:dyDescent="0.3">
      <c r="C307" t="s">
        <v>70</v>
      </c>
      <c r="D307" t="s">
        <v>67</v>
      </c>
      <c r="E307" t="s">
        <v>68</v>
      </c>
      <c r="F307" t="s">
        <v>26</v>
      </c>
      <c r="G307" s="4">
        <v>1</v>
      </c>
      <c r="H307" s="4" t="s">
        <v>12</v>
      </c>
      <c r="I307" s="4" t="s">
        <v>69</v>
      </c>
      <c r="J307" s="4" t="s">
        <v>66</v>
      </c>
      <c r="K307" s="4">
        <v>0</v>
      </c>
      <c r="L307" s="94">
        <v>732409</v>
      </c>
      <c r="M307" s="94">
        <v>732409</v>
      </c>
    </row>
    <row r="308" spans="3:13" x14ac:dyDescent="0.3">
      <c r="C308" t="s">
        <v>70</v>
      </c>
      <c r="D308" t="s">
        <v>62</v>
      </c>
      <c r="E308" t="s">
        <v>68</v>
      </c>
      <c r="F308" t="s">
        <v>25</v>
      </c>
      <c r="G308" s="4">
        <v>-1</v>
      </c>
      <c r="I308" s="4" t="s">
        <v>69</v>
      </c>
      <c r="J308" s="4" t="s">
        <v>66</v>
      </c>
      <c r="K308" s="4">
        <v>0</v>
      </c>
      <c r="L308" s="94">
        <v>10834</v>
      </c>
      <c r="M308" s="94">
        <v>0</v>
      </c>
    </row>
    <row r="309" spans="3:13" x14ac:dyDescent="0.3">
      <c r="C309" t="s">
        <v>61</v>
      </c>
      <c r="D309" t="s">
        <v>67</v>
      </c>
      <c r="E309" t="s">
        <v>68</v>
      </c>
      <c r="F309" t="s">
        <v>26</v>
      </c>
      <c r="G309" s="4">
        <v>-1</v>
      </c>
      <c r="H309" s="4" t="s">
        <v>80</v>
      </c>
      <c r="I309" s="4" t="s">
        <v>69</v>
      </c>
      <c r="J309" s="4" t="s">
        <v>66</v>
      </c>
      <c r="K309" s="4">
        <v>0</v>
      </c>
      <c r="L309" s="94">
        <v>3579735</v>
      </c>
      <c r="M309" s="94">
        <v>0</v>
      </c>
    </row>
    <row r="310" spans="3:13" x14ac:dyDescent="0.3">
      <c r="C310" t="s">
        <v>61</v>
      </c>
      <c r="D310" t="s">
        <v>67</v>
      </c>
      <c r="E310" t="s">
        <v>68</v>
      </c>
      <c r="F310" t="s">
        <v>25</v>
      </c>
      <c r="G310" s="4">
        <v>7</v>
      </c>
      <c r="H310" s="4" t="s">
        <v>78</v>
      </c>
      <c r="I310" s="4" t="s">
        <v>69</v>
      </c>
      <c r="J310" s="4" t="s">
        <v>66</v>
      </c>
      <c r="K310" s="4">
        <v>0</v>
      </c>
      <c r="L310" s="94">
        <v>681712</v>
      </c>
      <c r="M310" s="94">
        <v>4771984</v>
      </c>
    </row>
    <row r="311" spans="3:13" x14ac:dyDescent="0.3">
      <c r="C311" t="s">
        <v>61</v>
      </c>
      <c r="D311" t="s">
        <v>67</v>
      </c>
      <c r="E311" t="s">
        <v>68</v>
      </c>
      <c r="F311" t="s">
        <v>26</v>
      </c>
      <c r="G311" s="4">
        <v>3</v>
      </c>
      <c r="H311" s="4" t="s">
        <v>17</v>
      </c>
      <c r="I311" s="4" t="s">
        <v>65</v>
      </c>
      <c r="J311" s="4" t="s">
        <v>73</v>
      </c>
      <c r="K311" s="4">
        <v>1</v>
      </c>
      <c r="L311" s="94">
        <v>2449373</v>
      </c>
      <c r="M311" s="94">
        <v>7348119</v>
      </c>
    </row>
    <row r="312" spans="3:13" x14ac:dyDescent="0.3">
      <c r="C312" t="s">
        <v>71</v>
      </c>
      <c r="D312" t="s">
        <v>62</v>
      </c>
      <c r="E312" t="s">
        <v>63</v>
      </c>
      <c r="F312" t="s">
        <v>24</v>
      </c>
      <c r="G312" s="4">
        <v>19</v>
      </c>
      <c r="I312" s="4" t="s">
        <v>69</v>
      </c>
      <c r="J312" s="4" t="s">
        <v>73</v>
      </c>
      <c r="K312" s="4">
        <v>1</v>
      </c>
      <c r="L312" s="94">
        <v>-1681</v>
      </c>
      <c r="M312" s="94">
        <v>0</v>
      </c>
    </row>
    <row r="313" spans="3:13" x14ac:dyDescent="0.3">
      <c r="C313" t="s">
        <v>70</v>
      </c>
      <c r="D313" t="s">
        <v>67</v>
      </c>
      <c r="E313" t="s">
        <v>68</v>
      </c>
      <c r="F313" t="s">
        <v>26</v>
      </c>
      <c r="G313" s="4">
        <v>-4</v>
      </c>
      <c r="H313" s="4" t="s">
        <v>64</v>
      </c>
      <c r="I313" s="4" t="s">
        <v>69</v>
      </c>
      <c r="J313" s="4" t="s">
        <v>66</v>
      </c>
      <c r="K313" s="4">
        <v>0</v>
      </c>
      <c r="L313" s="94">
        <v>3520</v>
      </c>
      <c r="M313" s="94">
        <v>0</v>
      </c>
    </row>
    <row r="314" spans="3:13" x14ac:dyDescent="0.3">
      <c r="C314" t="s">
        <v>61</v>
      </c>
      <c r="D314" t="s">
        <v>67</v>
      </c>
      <c r="E314" t="s">
        <v>68</v>
      </c>
      <c r="F314" t="s">
        <v>26</v>
      </c>
      <c r="G314" s="4">
        <v>7</v>
      </c>
      <c r="H314" s="4" t="s">
        <v>76</v>
      </c>
      <c r="I314" s="4" t="s">
        <v>69</v>
      </c>
      <c r="J314" s="4" t="s">
        <v>66</v>
      </c>
      <c r="K314" s="4">
        <v>0</v>
      </c>
      <c r="L314" s="94">
        <v>4192739</v>
      </c>
      <c r="M314" s="94">
        <v>29349173</v>
      </c>
    </row>
    <row r="315" spans="3:13" x14ac:dyDescent="0.3">
      <c r="C315" t="s">
        <v>71</v>
      </c>
      <c r="D315" t="s">
        <v>67</v>
      </c>
      <c r="E315" t="s">
        <v>68</v>
      </c>
      <c r="F315" t="s">
        <v>72</v>
      </c>
      <c r="G315" s="4">
        <v>-4</v>
      </c>
      <c r="H315" s="4" t="s">
        <v>82</v>
      </c>
      <c r="I315" s="4" t="s">
        <v>69</v>
      </c>
      <c r="J315" s="4" t="s">
        <v>66</v>
      </c>
      <c r="K315" s="4">
        <v>0</v>
      </c>
      <c r="L315" s="94">
        <v>1282377</v>
      </c>
      <c r="M315" s="94">
        <v>0</v>
      </c>
    </row>
    <row r="316" spans="3:13" x14ac:dyDescent="0.3">
      <c r="C316" t="s">
        <v>71</v>
      </c>
      <c r="D316" t="s">
        <v>62</v>
      </c>
      <c r="E316" t="s">
        <v>68</v>
      </c>
      <c r="F316" t="s">
        <v>24</v>
      </c>
      <c r="G316" s="4">
        <v>24</v>
      </c>
      <c r="I316" s="4" t="s">
        <v>69</v>
      </c>
      <c r="J316" s="4" t="s">
        <v>66</v>
      </c>
      <c r="K316" s="4">
        <v>1</v>
      </c>
      <c r="L316" s="94">
        <v>48098</v>
      </c>
      <c r="M316" s="94">
        <v>1154352</v>
      </c>
    </row>
    <row r="317" spans="3:13" x14ac:dyDescent="0.3">
      <c r="C317" t="s">
        <v>71</v>
      </c>
      <c r="D317" t="s">
        <v>67</v>
      </c>
      <c r="E317" t="s">
        <v>68</v>
      </c>
      <c r="F317" t="s">
        <v>26</v>
      </c>
      <c r="G317" s="4">
        <v>0</v>
      </c>
      <c r="H317" s="4" t="s">
        <v>64</v>
      </c>
      <c r="I317" s="4" t="s">
        <v>69</v>
      </c>
      <c r="J317" s="4" t="s">
        <v>66</v>
      </c>
      <c r="K317" s="4">
        <v>0</v>
      </c>
      <c r="L317" s="94">
        <v>13591</v>
      </c>
      <c r="M317" s="94">
        <v>0</v>
      </c>
    </row>
    <row r="318" spans="3:13" x14ac:dyDescent="0.3">
      <c r="C318" t="s">
        <v>61</v>
      </c>
      <c r="D318" t="s">
        <v>67</v>
      </c>
      <c r="E318" t="s">
        <v>63</v>
      </c>
      <c r="F318" t="s">
        <v>25</v>
      </c>
      <c r="G318" s="4">
        <v>4</v>
      </c>
      <c r="H318" s="4" t="s">
        <v>79</v>
      </c>
      <c r="I318" s="4" t="s">
        <v>69</v>
      </c>
      <c r="J318" s="4" t="s">
        <v>66</v>
      </c>
      <c r="K318" s="4">
        <v>0</v>
      </c>
      <c r="L318" s="94">
        <v>-2519</v>
      </c>
      <c r="M318" s="94">
        <v>0</v>
      </c>
    </row>
    <row r="319" spans="3:13" x14ac:dyDescent="0.3">
      <c r="C319" t="s">
        <v>71</v>
      </c>
      <c r="D319" t="s">
        <v>67</v>
      </c>
      <c r="E319" t="s">
        <v>63</v>
      </c>
      <c r="F319" t="s">
        <v>26</v>
      </c>
      <c r="G319" s="4">
        <v>-1</v>
      </c>
      <c r="H319" s="4" t="s">
        <v>18</v>
      </c>
      <c r="I319" s="4" t="s">
        <v>69</v>
      </c>
      <c r="J319" s="4" t="s">
        <v>66</v>
      </c>
      <c r="K319" s="4">
        <v>0</v>
      </c>
      <c r="L319" s="94">
        <v>-8059349</v>
      </c>
      <c r="M319" s="94">
        <v>0</v>
      </c>
    </row>
    <row r="320" spans="3:13" x14ac:dyDescent="0.3">
      <c r="C320" t="s">
        <v>61</v>
      </c>
      <c r="D320" t="s">
        <v>67</v>
      </c>
      <c r="E320" t="s">
        <v>68</v>
      </c>
      <c r="F320" t="s">
        <v>26</v>
      </c>
      <c r="G320" s="4">
        <v>3</v>
      </c>
      <c r="H320" s="4" t="s">
        <v>86</v>
      </c>
      <c r="I320" s="4" t="s">
        <v>69</v>
      </c>
      <c r="J320" s="4" t="s">
        <v>66</v>
      </c>
      <c r="K320" s="4">
        <v>0</v>
      </c>
      <c r="L320" s="94">
        <v>73104</v>
      </c>
      <c r="M320" s="94">
        <v>219312</v>
      </c>
    </row>
    <row r="321" spans="3:13" x14ac:dyDescent="0.3">
      <c r="C321" t="s">
        <v>70</v>
      </c>
      <c r="D321" t="s">
        <v>67</v>
      </c>
      <c r="E321" t="s">
        <v>63</v>
      </c>
      <c r="F321" t="s">
        <v>26</v>
      </c>
      <c r="G321" s="4">
        <v>5</v>
      </c>
      <c r="H321" s="4" t="s">
        <v>79</v>
      </c>
      <c r="I321" s="4" t="s">
        <v>69</v>
      </c>
      <c r="J321" s="4" t="s">
        <v>66</v>
      </c>
      <c r="K321" s="4">
        <v>0</v>
      </c>
      <c r="L321" s="94">
        <v>-33978</v>
      </c>
      <c r="M321" s="94">
        <v>0</v>
      </c>
    </row>
    <row r="322" spans="3:13" x14ac:dyDescent="0.3">
      <c r="C322" t="s">
        <v>61</v>
      </c>
      <c r="D322" t="s">
        <v>67</v>
      </c>
      <c r="E322" t="s">
        <v>68</v>
      </c>
      <c r="F322" t="s">
        <v>72</v>
      </c>
      <c r="G322" s="4">
        <v>5</v>
      </c>
      <c r="H322" s="4" t="s">
        <v>64</v>
      </c>
      <c r="I322" s="4" t="s">
        <v>69</v>
      </c>
      <c r="J322" s="4" t="s">
        <v>66</v>
      </c>
      <c r="K322" s="4">
        <v>0</v>
      </c>
      <c r="L322" s="94">
        <v>4071772</v>
      </c>
      <c r="M322" s="94">
        <v>20358860</v>
      </c>
    </row>
    <row r="323" spans="3:13" x14ac:dyDescent="0.3">
      <c r="C323" t="s">
        <v>61</v>
      </c>
      <c r="D323" t="s">
        <v>67</v>
      </c>
      <c r="E323" t="s">
        <v>63</v>
      </c>
      <c r="F323" t="s">
        <v>72</v>
      </c>
      <c r="G323" s="4">
        <v>1</v>
      </c>
      <c r="H323" s="4" t="s">
        <v>82</v>
      </c>
      <c r="I323" s="4" t="s">
        <v>69</v>
      </c>
      <c r="J323" s="4" t="s">
        <v>66</v>
      </c>
      <c r="K323" s="4">
        <v>0</v>
      </c>
      <c r="L323" s="94">
        <v>-19160</v>
      </c>
      <c r="M323" s="94">
        <v>0</v>
      </c>
    </row>
    <row r="324" spans="3:13" x14ac:dyDescent="0.3">
      <c r="C324" t="s">
        <v>61</v>
      </c>
      <c r="D324" t="s">
        <v>67</v>
      </c>
      <c r="E324" t="s">
        <v>68</v>
      </c>
      <c r="F324" t="s">
        <v>72</v>
      </c>
      <c r="G324" s="4">
        <v>-1</v>
      </c>
      <c r="H324" s="4" t="s">
        <v>14</v>
      </c>
      <c r="I324" s="4" t="s">
        <v>65</v>
      </c>
      <c r="J324" s="4" t="s">
        <v>66</v>
      </c>
      <c r="K324" s="4">
        <v>1</v>
      </c>
      <c r="L324" s="94">
        <v>101247</v>
      </c>
      <c r="M324" s="94">
        <v>0</v>
      </c>
    </row>
    <row r="325" spans="3:13" x14ac:dyDescent="0.3">
      <c r="C325" t="s">
        <v>70</v>
      </c>
      <c r="D325" t="s">
        <v>62</v>
      </c>
      <c r="E325" t="s">
        <v>68</v>
      </c>
      <c r="F325" t="s">
        <v>24</v>
      </c>
      <c r="G325" s="4">
        <v>47</v>
      </c>
      <c r="I325" s="4" t="s">
        <v>69</v>
      </c>
      <c r="J325" s="4" t="s">
        <v>66</v>
      </c>
      <c r="K325" s="4">
        <v>0</v>
      </c>
      <c r="L325" s="94">
        <v>228045</v>
      </c>
      <c r="M325" s="94">
        <v>10718115</v>
      </c>
    </row>
    <row r="326" spans="3:13" x14ac:dyDescent="0.3">
      <c r="C326" t="s">
        <v>61</v>
      </c>
      <c r="D326" t="s">
        <v>62</v>
      </c>
      <c r="E326" t="s">
        <v>68</v>
      </c>
      <c r="F326" t="s">
        <v>25</v>
      </c>
      <c r="G326" s="4">
        <v>3</v>
      </c>
      <c r="I326" s="4" t="s">
        <v>69</v>
      </c>
      <c r="J326" s="4" t="s">
        <v>66</v>
      </c>
      <c r="K326" s="4">
        <v>0</v>
      </c>
      <c r="L326" s="94">
        <v>15818319</v>
      </c>
      <c r="M326" s="94">
        <v>47454957</v>
      </c>
    </row>
    <row r="327" spans="3:13" x14ac:dyDescent="0.3">
      <c r="C327" t="s">
        <v>61</v>
      </c>
      <c r="D327" t="s">
        <v>67</v>
      </c>
      <c r="E327" t="s">
        <v>63</v>
      </c>
      <c r="F327" t="s">
        <v>72</v>
      </c>
      <c r="G327" s="4">
        <v>4</v>
      </c>
      <c r="H327" s="4" t="s">
        <v>13</v>
      </c>
      <c r="I327" s="4" t="s">
        <v>69</v>
      </c>
      <c r="J327" s="4" t="s">
        <v>73</v>
      </c>
      <c r="K327" s="4">
        <v>1</v>
      </c>
      <c r="L327" s="94">
        <v>-765</v>
      </c>
      <c r="M327" s="94">
        <v>0</v>
      </c>
    </row>
    <row r="328" spans="3:13" x14ac:dyDescent="0.3">
      <c r="C328" t="s">
        <v>71</v>
      </c>
      <c r="D328" t="s">
        <v>67</v>
      </c>
      <c r="E328" t="s">
        <v>63</v>
      </c>
      <c r="F328" t="s">
        <v>26</v>
      </c>
      <c r="G328" s="4">
        <v>-4</v>
      </c>
      <c r="H328" s="4" t="s">
        <v>15</v>
      </c>
      <c r="I328" s="4" t="s">
        <v>69</v>
      </c>
      <c r="J328" s="4" t="s">
        <v>66</v>
      </c>
      <c r="K328" s="4">
        <v>0</v>
      </c>
      <c r="L328" s="94">
        <v>-42866</v>
      </c>
      <c r="M328" s="94">
        <v>0</v>
      </c>
    </row>
    <row r="329" spans="3:13" x14ac:dyDescent="0.3">
      <c r="C329" t="s">
        <v>61</v>
      </c>
      <c r="D329" t="s">
        <v>67</v>
      </c>
      <c r="E329" t="s">
        <v>68</v>
      </c>
      <c r="F329" t="s">
        <v>26</v>
      </c>
      <c r="G329" s="4">
        <v>0</v>
      </c>
      <c r="H329" s="4" t="s">
        <v>15</v>
      </c>
      <c r="I329" s="4" t="s">
        <v>69</v>
      </c>
      <c r="J329" s="4" t="s">
        <v>66</v>
      </c>
      <c r="K329" s="4">
        <v>0</v>
      </c>
      <c r="L329" s="94">
        <v>56370497</v>
      </c>
      <c r="M329" s="94">
        <v>0</v>
      </c>
    </row>
    <row r="330" spans="3:13" x14ac:dyDescent="0.3">
      <c r="C330" t="s">
        <v>70</v>
      </c>
      <c r="D330" t="s">
        <v>67</v>
      </c>
      <c r="E330" t="s">
        <v>68</v>
      </c>
      <c r="F330" t="s">
        <v>25</v>
      </c>
      <c r="G330" s="4">
        <v>2</v>
      </c>
      <c r="H330" s="4" t="s">
        <v>80</v>
      </c>
      <c r="I330" s="4" t="s">
        <v>69</v>
      </c>
      <c r="J330" s="4" t="s">
        <v>66</v>
      </c>
      <c r="K330" s="4">
        <v>0</v>
      </c>
      <c r="L330" s="94">
        <v>150232</v>
      </c>
      <c r="M330" s="94">
        <v>300464</v>
      </c>
    </row>
    <row r="331" spans="3:13" x14ac:dyDescent="0.3">
      <c r="C331" t="s">
        <v>61</v>
      </c>
      <c r="D331" t="s">
        <v>67</v>
      </c>
      <c r="E331" t="s">
        <v>68</v>
      </c>
      <c r="F331" t="s">
        <v>25</v>
      </c>
      <c r="G331" s="4">
        <v>10</v>
      </c>
      <c r="H331" s="4" t="s">
        <v>74</v>
      </c>
      <c r="I331" s="4" t="s">
        <v>69</v>
      </c>
      <c r="J331" s="4" t="s">
        <v>66</v>
      </c>
      <c r="K331" s="4">
        <v>0</v>
      </c>
      <c r="L331" s="94">
        <v>3186523</v>
      </c>
      <c r="M331" s="94">
        <v>31865230</v>
      </c>
    </row>
    <row r="332" spans="3:13" x14ac:dyDescent="0.3">
      <c r="C332" t="s">
        <v>71</v>
      </c>
      <c r="D332" t="s">
        <v>67</v>
      </c>
      <c r="E332" t="s">
        <v>63</v>
      </c>
      <c r="F332" t="s">
        <v>26</v>
      </c>
      <c r="G332" s="4">
        <v>0</v>
      </c>
      <c r="H332" s="4" t="s">
        <v>17</v>
      </c>
      <c r="I332" s="4" t="s">
        <v>69</v>
      </c>
      <c r="J332" s="4" t="s">
        <v>66</v>
      </c>
      <c r="K332" s="4">
        <v>0</v>
      </c>
      <c r="L332" s="94">
        <v>-491595</v>
      </c>
      <c r="M332" s="94">
        <v>0</v>
      </c>
    </row>
    <row r="333" spans="3:13" x14ac:dyDescent="0.3">
      <c r="C333" t="s">
        <v>70</v>
      </c>
      <c r="D333" t="s">
        <v>67</v>
      </c>
      <c r="E333" t="s">
        <v>63</v>
      </c>
      <c r="F333" t="s">
        <v>25</v>
      </c>
      <c r="G333" s="4">
        <v>6</v>
      </c>
      <c r="H333" s="4" t="s">
        <v>14</v>
      </c>
      <c r="I333" s="4" t="s">
        <v>69</v>
      </c>
      <c r="J333" s="4" t="s">
        <v>66</v>
      </c>
      <c r="K333" s="4">
        <v>0</v>
      </c>
      <c r="L333" s="94">
        <v>-77265</v>
      </c>
      <c r="M333" s="94">
        <v>0</v>
      </c>
    </row>
    <row r="334" spans="3:13" x14ac:dyDescent="0.3">
      <c r="C334" t="s">
        <v>61</v>
      </c>
      <c r="D334" t="s">
        <v>62</v>
      </c>
      <c r="E334" t="s">
        <v>63</v>
      </c>
      <c r="F334" t="s">
        <v>24</v>
      </c>
      <c r="G334" s="4">
        <v>34</v>
      </c>
      <c r="I334" s="4" t="s">
        <v>69</v>
      </c>
      <c r="J334" s="4" t="s">
        <v>66</v>
      </c>
      <c r="K334" s="4">
        <v>1</v>
      </c>
      <c r="L334" s="94">
        <v>-549</v>
      </c>
      <c r="M334" s="94">
        <v>0</v>
      </c>
    </row>
    <row r="335" spans="3:13" x14ac:dyDescent="0.3">
      <c r="C335" t="s">
        <v>61</v>
      </c>
      <c r="D335" t="s">
        <v>67</v>
      </c>
      <c r="E335" t="s">
        <v>63</v>
      </c>
      <c r="F335" t="s">
        <v>25</v>
      </c>
      <c r="G335" s="4">
        <v>14</v>
      </c>
      <c r="H335" s="4" t="s">
        <v>12</v>
      </c>
      <c r="I335" s="4" t="s">
        <v>69</v>
      </c>
      <c r="J335" s="4" t="s">
        <v>66</v>
      </c>
      <c r="K335" s="4">
        <v>1</v>
      </c>
      <c r="L335" s="94">
        <v>-33646</v>
      </c>
      <c r="M335" s="94">
        <v>0</v>
      </c>
    </row>
    <row r="336" spans="3:13" x14ac:dyDescent="0.3">
      <c r="C336" t="s">
        <v>70</v>
      </c>
      <c r="D336" t="s">
        <v>67</v>
      </c>
      <c r="E336" t="s">
        <v>68</v>
      </c>
      <c r="F336" t="s">
        <v>26</v>
      </c>
      <c r="G336" s="4">
        <v>-1</v>
      </c>
      <c r="H336" s="4" t="s">
        <v>18</v>
      </c>
      <c r="I336" s="4" t="s">
        <v>65</v>
      </c>
      <c r="J336" s="4" t="s">
        <v>66</v>
      </c>
      <c r="K336" s="4">
        <v>1</v>
      </c>
      <c r="L336" s="94">
        <v>587948</v>
      </c>
      <c r="M336" s="94">
        <v>0</v>
      </c>
    </row>
    <row r="337" spans="3:13" x14ac:dyDescent="0.3">
      <c r="C337" t="s">
        <v>71</v>
      </c>
      <c r="D337" t="s">
        <v>67</v>
      </c>
      <c r="E337" t="s">
        <v>63</v>
      </c>
      <c r="F337" t="s">
        <v>25</v>
      </c>
      <c r="G337" s="4">
        <v>1</v>
      </c>
      <c r="H337" s="4" t="s">
        <v>82</v>
      </c>
      <c r="I337" s="4" t="s">
        <v>69</v>
      </c>
      <c r="J337" s="4" t="s">
        <v>66</v>
      </c>
      <c r="K337" s="4">
        <v>0</v>
      </c>
      <c r="L337" s="94">
        <v>-12276</v>
      </c>
      <c r="M337" s="94">
        <v>0</v>
      </c>
    </row>
    <row r="338" spans="3:13" x14ac:dyDescent="0.3">
      <c r="C338" t="s">
        <v>71</v>
      </c>
      <c r="D338" t="s">
        <v>67</v>
      </c>
      <c r="E338" t="s">
        <v>63</v>
      </c>
      <c r="F338" t="s">
        <v>26</v>
      </c>
      <c r="G338" s="4">
        <v>6</v>
      </c>
      <c r="H338" s="4" t="s">
        <v>12</v>
      </c>
      <c r="I338" s="4" t="s">
        <v>69</v>
      </c>
      <c r="J338" s="4" t="s">
        <v>73</v>
      </c>
      <c r="K338" s="4">
        <v>1</v>
      </c>
      <c r="L338" s="94">
        <v>-7802</v>
      </c>
      <c r="M338" s="94">
        <v>0</v>
      </c>
    </row>
    <row r="339" spans="3:13" x14ac:dyDescent="0.3">
      <c r="C339" t="s">
        <v>61</v>
      </c>
      <c r="D339" t="s">
        <v>67</v>
      </c>
      <c r="E339" t="s">
        <v>68</v>
      </c>
      <c r="F339" t="s">
        <v>25</v>
      </c>
      <c r="G339" s="4">
        <v>16</v>
      </c>
      <c r="H339" s="4" t="s">
        <v>76</v>
      </c>
      <c r="I339" s="4" t="s">
        <v>69</v>
      </c>
      <c r="J339" s="4" t="s">
        <v>66</v>
      </c>
      <c r="K339" s="4">
        <v>0</v>
      </c>
      <c r="L339" s="94">
        <v>11826865</v>
      </c>
      <c r="M339" s="94">
        <v>189229840</v>
      </c>
    </row>
    <row r="340" spans="3:13" x14ac:dyDescent="0.3">
      <c r="C340" t="s">
        <v>61</v>
      </c>
      <c r="D340" t="s">
        <v>67</v>
      </c>
      <c r="E340" t="s">
        <v>63</v>
      </c>
      <c r="F340" t="s">
        <v>72</v>
      </c>
      <c r="G340" s="4">
        <v>1</v>
      </c>
      <c r="H340" s="4" t="s">
        <v>14</v>
      </c>
      <c r="I340" s="4" t="s">
        <v>65</v>
      </c>
      <c r="J340" s="4" t="s">
        <v>73</v>
      </c>
      <c r="K340" s="4">
        <v>1</v>
      </c>
      <c r="L340" s="94">
        <v>-120</v>
      </c>
      <c r="M340" s="94">
        <v>0</v>
      </c>
    </row>
    <row r="341" spans="3:13" x14ac:dyDescent="0.3">
      <c r="C341" t="s">
        <v>70</v>
      </c>
      <c r="D341" t="s">
        <v>62</v>
      </c>
      <c r="E341" t="s">
        <v>63</v>
      </c>
      <c r="F341" t="s">
        <v>24</v>
      </c>
      <c r="G341" s="4">
        <v>40</v>
      </c>
      <c r="I341" s="4" t="s">
        <v>65</v>
      </c>
      <c r="J341" s="4" t="s">
        <v>66</v>
      </c>
      <c r="K341" s="4">
        <v>1</v>
      </c>
      <c r="L341" s="94">
        <v>-8383</v>
      </c>
      <c r="M341" s="94">
        <v>0</v>
      </c>
    </row>
    <row r="342" spans="3:13" x14ac:dyDescent="0.3">
      <c r="C342" t="s">
        <v>61</v>
      </c>
      <c r="D342" t="s">
        <v>62</v>
      </c>
      <c r="E342" t="s">
        <v>68</v>
      </c>
      <c r="F342" t="s">
        <v>24</v>
      </c>
      <c r="G342" s="4">
        <v>15</v>
      </c>
      <c r="I342" s="4" t="s">
        <v>65</v>
      </c>
      <c r="J342" s="4" t="s">
        <v>66</v>
      </c>
      <c r="K342" s="4">
        <v>1</v>
      </c>
      <c r="L342" s="94">
        <v>3960755</v>
      </c>
      <c r="M342" s="94">
        <v>59411325</v>
      </c>
    </row>
    <row r="343" spans="3:13" x14ac:dyDescent="0.3">
      <c r="C343" t="s">
        <v>71</v>
      </c>
      <c r="D343" t="s">
        <v>67</v>
      </c>
      <c r="E343" t="s">
        <v>63</v>
      </c>
      <c r="F343" t="s">
        <v>26</v>
      </c>
      <c r="G343" s="4">
        <v>1</v>
      </c>
      <c r="H343" s="4" t="s">
        <v>74</v>
      </c>
      <c r="I343" s="4" t="s">
        <v>69</v>
      </c>
      <c r="J343" s="4" t="s">
        <v>66</v>
      </c>
      <c r="K343" s="4">
        <v>0</v>
      </c>
      <c r="L343" s="94">
        <v>-2215794</v>
      </c>
      <c r="M343" s="94">
        <v>0</v>
      </c>
    </row>
    <row r="344" spans="3:13" x14ac:dyDescent="0.3">
      <c r="C344" t="s">
        <v>70</v>
      </c>
      <c r="D344" t="s">
        <v>67</v>
      </c>
      <c r="E344" t="s">
        <v>63</v>
      </c>
      <c r="F344" t="s">
        <v>72</v>
      </c>
      <c r="G344" s="4">
        <v>4</v>
      </c>
      <c r="H344" s="4" t="s">
        <v>13</v>
      </c>
      <c r="I344" s="4" t="s">
        <v>69</v>
      </c>
      <c r="J344" s="4" t="s">
        <v>73</v>
      </c>
      <c r="K344" s="4">
        <v>1</v>
      </c>
      <c r="L344" s="94">
        <v>-3632</v>
      </c>
      <c r="M344" s="94">
        <v>0</v>
      </c>
    </row>
    <row r="345" spans="3:13" x14ac:dyDescent="0.3">
      <c r="C345" t="s">
        <v>61</v>
      </c>
      <c r="D345" t="s">
        <v>67</v>
      </c>
      <c r="E345" t="s">
        <v>63</v>
      </c>
      <c r="F345" t="s">
        <v>26</v>
      </c>
      <c r="G345" s="4">
        <v>6</v>
      </c>
      <c r="H345" s="4" t="s">
        <v>14</v>
      </c>
      <c r="I345" s="4" t="s">
        <v>69</v>
      </c>
      <c r="J345" s="4" t="s">
        <v>73</v>
      </c>
      <c r="K345" s="4">
        <v>1</v>
      </c>
      <c r="L345" s="94">
        <v>-68586</v>
      </c>
      <c r="M345" s="94">
        <v>0</v>
      </c>
    </row>
    <row r="346" spans="3:13" x14ac:dyDescent="0.3">
      <c r="C346" t="s">
        <v>61</v>
      </c>
      <c r="D346" t="s">
        <v>67</v>
      </c>
      <c r="E346" t="s">
        <v>68</v>
      </c>
      <c r="F346" t="s">
        <v>25</v>
      </c>
      <c r="G346" s="4">
        <v>3</v>
      </c>
      <c r="H346" s="4" t="s">
        <v>77</v>
      </c>
      <c r="I346" s="4" t="s">
        <v>69</v>
      </c>
      <c r="J346" s="4" t="s">
        <v>66</v>
      </c>
      <c r="K346" s="4">
        <v>0</v>
      </c>
      <c r="L346" s="94">
        <v>138484</v>
      </c>
      <c r="M346" s="94">
        <v>415452</v>
      </c>
    </row>
    <row r="347" spans="3:13" x14ac:dyDescent="0.3">
      <c r="C347" t="s">
        <v>61</v>
      </c>
      <c r="D347" t="s">
        <v>67</v>
      </c>
      <c r="E347" t="s">
        <v>63</v>
      </c>
      <c r="F347" t="s">
        <v>25</v>
      </c>
      <c r="G347" s="4">
        <v>11</v>
      </c>
      <c r="H347" s="4" t="s">
        <v>18</v>
      </c>
      <c r="I347" s="4" t="s">
        <v>69</v>
      </c>
      <c r="J347" s="4" t="s">
        <v>66</v>
      </c>
      <c r="K347" s="4">
        <v>0</v>
      </c>
      <c r="L347" s="94">
        <v>-11116</v>
      </c>
      <c r="M347" s="94">
        <v>0</v>
      </c>
    </row>
    <row r="348" spans="3:13" x14ac:dyDescent="0.3">
      <c r="C348" t="s">
        <v>61</v>
      </c>
      <c r="D348" t="s">
        <v>67</v>
      </c>
      <c r="E348" t="s">
        <v>68</v>
      </c>
      <c r="F348" t="s">
        <v>26</v>
      </c>
      <c r="G348" s="4">
        <v>-1</v>
      </c>
      <c r="H348" s="4" t="s">
        <v>74</v>
      </c>
      <c r="I348" s="4" t="s">
        <v>69</v>
      </c>
      <c r="J348" s="4" t="s">
        <v>66</v>
      </c>
      <c r="K348" s="4">
        <v>0</v>
      </c>
      <c r="L348" s="94">
        <v>77130736</v>
      </c>
      <c r="M348" s="94">
        <v>0</v>
      </c>
    </row>
    <row r="349" spans="3:13" x14ac:dyDescent="0.3">
      <c r="C349" t="s">
        <v>61</v>
      </c>
      <c r="D349" t="s">
        <v>62</v>
      </c>
      <c r="E349" t="s">
        <v>63</v>
      </c>
      <c r="F349" t="s">
        <v>24</v>
      </c>
      <c r="G349" s="4">
        <v>21</v>
      </c>
      <c r="I349" s="4" t="s">
        <v>69</v>
      </c>
      <c r="J349" s="4" t="s">
        <v>66</v>
      </c>
      <c r="K349" s="4">
        <v>0</v>
      </c>
      <c r="L349" s="94">
        <v>-370739</v>
      </c>
      <c r="M349" s="94">
        <v>0</v>
      </c>
    </row>
    <row r="350" spans="3:13" x14ac:dyDescent="0.3">
      <c r="C350" t="s">
        <v>71</v>
      </c>
      <c r="D350" t="s">
        <v>67</v>
      </c>
      <c r="E350" t="s">
        <v>63</v>
      </c>
      <c r="F350" t="s">
        <v>72</v>
      </c>
      <c r="G350" s="4">
        <v>-4</v>
      </c>
      <c r="H350" s="4" t="s">
        <v>77</v>
      </c>
      <c r="I350" s="4" t="s">
        <v>69</v>
      </c>
      <c r="J350" s="4" t="s">
        <v>66</v>
      </c>
      <c r="K350" s="4">
        <v>0</v>
      </c>
      <c r="L350" s="94">
        <v>-29846</v>
      </c>
      <c r="M350" s="94">
        <v>0</v>
      </c>
    </row>
    <row r="351" spans="3:13" x14ac:dyDescent="0.3">
      <c r="C351" t="s">
        <v>71</v>
      </c>
      <c r="D351" t="s">
        <v>62</v>
      </c>
      <c r="E351" t="s">
        <v>63</v>
      </c>
      <c r="F351" t="s">
        <v>24</v>
      </c>
      <c r="G351" s="4">
        <v>15</v>
      </c>
      <c r="I351" s="4" t="s">
        <v>69</v>
      </c>
      <c r="J351" s="4" t="s">
        <v>66</v>
      </c>
      <c r="K351" s="4">
        <v>1</v>
      </c>
      <c r="L351" s="94">
        <v>-47418</v>
      </c>
      <c r="M351" s="94">
        <v>0</v>
      </c>
    </row>
    <row r="352" spans="3:13" x14ac:dyDescent="0.3">
      <c r="C352" t="s">
        <v>61</v>
      </c>
      <c r="D352" t="s">
        <v>67</v>
      </c>
      <c r="E352" t="s">
        <v>68</v>
      </c>
      <c r="F352" t="s">
        <v>26</v>
      </c>
      <c r="G352" s="4">
        <v>5</v>
      </c>
      <c r="H352" s="4" t="s">
        <v>12</v>
      </c>
      <c r="I352" s="4" t="s">
        <v>69</v>
      </c>
      <c r="J352" s="4" t="s">
        <v>66</v>
      </c>
      <c r="K352" s="4">
        <v>0</v>
      </c>
      <c r="L352" s="94">
        <v>718269</v>
      </c>
      <c r="M352" s="94">
        <v>3591345</v>
      </c>
    </row>
    <row r="353" spans="3:13" x14ac:dyDescent="0.3">
      <c r="C353" t="s">
        <v>71</v>
      </c>
      <c r="D353" t="s">
        <v>62</v>
      </c>
      <c r="E353" t="s">
        <v>68</v>
      </c>
      <c r="F353" t="s">
        <v>24</v>
      </c>
      <c r="G353" s="4">
        <v>20</v>
      </c>
      <c r="I353" s="4" t="s">
        <v>65</v>
      </c>
      <c r="J353" s="4" t="s">
        <v>66</v>
      </c>
      <c r="K353" s="4">
        <v>1</v>
      </c>
      <c r="L353" s="94">
        <v>57680</v>
      </c>
      <c r="M353" s="94">
        <v>1153600</v>
      </c>
    </row>
    <row r="354" spans="3:13" x14ac:dyDescent="0.3">
      <c r="C354" t="s">
        <v>70</v>
      </c>
      <c r="D354" t="s">
        <v>67</v>
      </c>
      <c r="E354" t="s">
        <v>68</v>
      </c>
      <c r="F354" t="s">
        <v>25</v>
      </c>
      <c r="G354" s="4">
        <v>4</v>
      </c>
      <c r="H354" s="4" t="s">
        <v>76</v>
      </c>
      <c r="I354" s="4" t="s">
        <v>69</v>
      </c>
      <c r="J354" s="4" t="s">
        <v>66</v>
      </c>
      <c r="K354" s="4">
        <v>0</v>
      </c>
      <c r="L354" s="94">
        <v>1459115</v>
      </c>
      <c r="M354" s="94">
        <v>5836460</v>
      </c>
    </row>
    <row r="355" spans="3:13" x14ac:dyDescent="0.3">
      <c r="C355" t="s">
        <v>71</v>
      </c>
      <c r="D355" t="s">
        <v>67</v>
      </c>
      <c r="E355" t="s">
        <v>68</v>
      </c>
      <c r="F355" t="s">
        <v>26</v>
      </c>
      <c r="G355" s="4">
        <v>4</v>
      </c>
      <c r="H355" s="4" t="s">
        <v>82</v>
      </c>
      <c r="I355" s="4" t="s">
        <v>69</v>
      </c>
      <c r="J355" s="4" t="s">
        <v>66</v>
      </c>
      <c r="K355" s="4">
        <v>0</v>
      </c>
      <c r="L355" s="94">
        <v>353830</v>
      </c>
      <c r="M355" s="94">
        <v>1415320</v>
      </c>
    </row>
    <row r="356" spans="3:13" x14ac:dyDescent="0.3">
      <c r="C356" t="s">
        <v>70</v>
      </c>
      <c r="D356" t="s">
        <v>67</v>
      </c>
      <c r="E356" t="s">
        <v>68</v>
      </c>
      <c r="F356" t="s">
        <v>72</v>
      </c>
      <c r="G356" s="4">
        <v>2</v>
      </c>
      <c r="H356" s="4" t="s">
        <v>14</v>
      </c>
      <c r="I356" s="4" t="s">
        <v>69</v>
      </c>
      <c r="J356" s="4" t="s">
        <v>66</v>
      </c>
      <c r="K356" s="4">
        <v>0</v>
      </c>
      <c r="L356" s="94">
        <v>890145</v>
      </c>
      <c r="M356" s="94">
        <v>1780290</v>
      </c>
    </row>
    <row r="357" spans="3:13" x14ac:dyDescent="0.3">
      <c r="C357" t="s">
        <v>70</v>
      </c>
      <c r="D357" t="s">
        <v>62</v>
      </c>
      <c r="E357" t="s">
        <v>68</v>
      </c>
      <c r="F357" t="s">
        <v>24</v>
      </c>
      <c r="G357" s="4">
        <v>-1</v>
      </c>
      <c r="I357" s="4" t="s">
        <v>69</v>
      </c>
      <c r="J357" s="4" t="s">
        <v>66</v>
      </c>
      <c r="K357" s="4">
        <v>0</v>
      </c>
      <c r="L357" s="94">
        <v>63615</v>
      </c>
      <c r="M357" s="94">
        <v>0</v>
      </c>
    </row>
    <row r="358" spans="3:13" x14ac:dyDescent="0.3">
      <c r="C358" t="s">
        <v>61</v>
      </c>
      <c r="D358" t="s">
        <v>67</v>
      </c>
      <c r="E358" t="s">
        <v>68</v>
      </c>
      <c r="F358" t="s">
        <v>72</v>
      </c>
      <c r="G358" s="4">
        <v>6</v>
      </c>
      <c r="H358" s="4" t="s">
        <v>17</v>
      </c>
      <c r="I358" s="4" t="s">
        <v>69</v>
      </c>
      <c r="J358" s="4" t="s">
        <v>66</v>
      </c>
      <c r="K358" s="4">
        <v>0</v>
      </c>
      <c r="L358" s="94">
        <v>772199</v>
      </c>
      <c r="M358" s="94">
        <v>4633194</v>
      </c>
    </row>
    <row r="359" spans="3:13" x14ac:dyDescent="0.3">
      <c r="C359" t="s">
        <v>70</v>
      </c>
      <c r="D359" t="s">
        <v>62</v>
      </c>
      <c r="E359" t="s">
        <v>68</v>
      </c>
      <c r="F359" t="s">
        <v>24</v>
      </c>
      <c r="G359" s="4">
        <v>15</v>
      </c>
      <c r="I359" s="4" t="s">
        <v>69</v>
      </c>
      <c r="J359" s="4" t="s">
        <v>66</v>
      </c>
      <c r="K359" s="4">
        <v>0</v>
      </c>
      <c r="L359" s="94">
        <v>22246585</v>
      </c>
      <c r="M359" s="94">
        <v>333698775</v>
      </c>
    </row>
    <row r="360" spans="3:13" x14ac:dyDescent="0.3">
      <c r="C360" t="s">
        <v>71</v>
      </c>
      <c r="D360" t="s">
        <v>67</v>
      </c>
      <c r="E360" t="s">
        <v>63</v>
      </c>
      <c r="F360" t="s">
        <v>26</v>
      </c>
      <c r="G360" s="4">
        <v>5</v>
      </c>
      <c r="H360" s="4" t="s">
        <v>18</v>
      </c>
      <c r="I360" s="4" t="s">
        <v>69</v>
      </c>
      <c r="J360" s="4" t="s">
        <v>73</v>
      </c>
      <c r="K360" s="4">
        <v>1</v>
      </c>
      <c r="L360" s="94">
        <v>-18663</v>
      </c>
      <c r="M360" s="94">
        <v>0</v>
      </c>
    </row>
    <row r="361" spans="3:13" x14ac:dyDescent="0.3">
      <c r="C361" t="s">
        <v>61</v>
      </c>
      <c r="D361" t="s">
        <v>67</v>
      </c>
      <c r="E361" t="s">
        <v>63</v>
      </c>
      <c r="F361" t="s">
        <v>26</v>
      </c>
      <c r="G361" s="4">
        <v>-1</v>
      </c>
      <c r="H361" s="4" t="s">
        <v>16</v>
      </c>
      <c r="I361" s="4" t="s">
        <v>69</v>
      </c>
      <c r="J361" s="4" t="s">
        <v>66</v>
      </c>
      <c r="K361" s="4">
        <v>0</v>
      </c>
      <c r="L361" s="94">
        <v>-36947</v>
      </c>
      <c r="M361" s="94">
        <v>0</v>
      </c>
    </row>
    <row r="362" spans="3:13" x14ac:dyDescent="0.3">
      <c r="C362" t="s">
        <v>61</v>
      </c>
      <c r="D362" t="s">
        <v>67</v>
      </c>
      <c r="E362" t="s">
        <v>68</v>
      </c>
      <c r="F362" t="s">
        <v>25</v>
      </c>
      <c r="G362" s="4">
        <v>8</v>
      </c>
      <c r="H362" s="4" t="s">
        <v>80</v>
      </c>
      <c r="I362" s="4" t="s">
        <v>69</v>
      </c>
      <c r="J362" s="4" t="s">
        <v>66</v>
      </c>
      <c r="K362" s="4">
        <v>0</v>
      </c>
      <c r="L362" s="94">
        <v>666753</v>
      </c>
      <c r="M362" s="94">
        <v>5334024</v>
      </c>
    </row>
    <row r="363" spans="3:13" x14ac:dyDescent="0.3">
      <c r="C363" t="s">
        <v>61</v>
      </c>
      <c r="D363" t="s">
        <v>67</v>
      </c>
      <c r="E363" t="s">
        <v>68</v>
      </c>
      <c r="F363" t="s">
        <v>26</v>
      </c>
      <c r="G363" s="4">
        <v>14</v>
      </c>
      <c r="H363" s="4" t="s">
        <v>75</v>
      </c>
      <c r="I363" s="4" t="s">
        <v>69</v>
      </c>
      <c r="J363" s="4" t="s">
        <v>66</v>
      </c>
      <c r="K363" s="4">
        <v>0</v>
      </c>
      <c r="L363" s="94">
        <v>130326</v>
      </c>
      <c r="M363" s="94">
        <v>1824564</v>
      </c>
    </row>
    <row r="364" spans="3:13" x14ac:dyDescent="0.3">
      <c r="C364" t="s">
        <v>71</v>
      </c>
      <c r="D364" t="s">
        <v>67</v>
      </c>
      <c r="E364" t="s">
        <v>68</v>
      </c>
      <c r="F364" t="s">
        <v>26</v>
      </c>
      <c r="G364" s="4">
        <v>-1</v>
      </c>
      <c r="H364" s="4" t="s">
        <v>18</v>
      </c>
      <c r="I364" s="4" t="s">
        <v>69</v>
      </c>
      <c r="J364" s="4" t="s">
        <v>66</v>
      </c>
      <c r="K364" s="4">
        <v>0</v>
      </c>
      <c r="L364" s="94">
        <v>10568204</v>
      </c>
      <c r="M364" s="94">
        <v>0</v>
      </c>
    </row>
    <row r="365" spans="3:13" x14ac:dyDescent="0.3">
      <c r="C365" t="s">
        <v>70</v>
      </c>
      <c r="D365" t="s">
        <v>67</v>
      </c>
      <c r="E365" t="s">
        <v>68</v>
      </c>
      <c r="F365" t="s">
        <v>26</v>
      </c>
      <c r="G365" s="4">
        <v>3</v>
      </c>
      <c r="H365" s="4" t="s">
        <v>13</v>
      </c>
      <c r="I365" s="4" t="s">
        <v>69</v>
      </c>
      <c r="J365" s="4" t="s">
        <v>73</v>
      </c>
      <c r="K365" s="4">
        <v>1</v>
      </c>
      <c r="L365" s="94">
        <v>138364</v>
      </c>
      <c r="M365" s="94">
        <v>415092</v>
      </c>
    </row>
    <row r="366" spans="3:13" x14ac:dyDescent="0.3">
      <c r="C366" t="s">
        <v>61</v>
      </c>
      <c r="D366" t="s">
        <v>67</v>
      </c>
      <c r="E366" t="s">
        <v>68</v>
      </c>
      <c r="F366" t="s">
        <v>26</v>
      </c>
      <c r="G366" s="4">
        <v>-1</v>
      </c>
      <c r="H366" s="4" t="s">
        <v>86</v>
      </c>
      <c r="I366" s="4" t="s">
        <v>69</v>
      </c>
      <c r="J366" s="4" t="s">
        <v>66</v>
      </c>
      <c r="K366" s="4">
        <v>0</v>
      </c>
      <c r="L366" s="94">
        <v>209</v>
      </c>
      <c r="M366" s="94">
        <v>0</v>
      </c>
    </row>
    <row r="367" spans="3:13" x14ac:dyDescent="0.3">
      <c r="C367" t="s">
        <v>70</v>
      </c>
      <c r="D367" t="s">
        <v>67</v>
      </c>
      <c r="E367" t="s">
        <v>63</v>
      </c>
      <c r="F367" t="s">
        <v>25</v>
      </c>
      <c r="G367" s="4">
        <v>2</v>
      </c>
      <c r="H367" s="4" t="s">
        <v>14</v>
      </c>
      <c r="I367" s="4" t="s">
        <v>69</v>
      </c>
      <c r="J367" s="4" t="s">
        <v>66</v>
      </c>
      <c r="K367" s="4">
        <v>1</v>
      </c>
      <c r="L367" s="94">
        <v>-3759</v>
      </c>
      <c r="M367" s="94">
        <v>0</v>
      </c>
    </row>
    <row r="368" spans="3:13" x14ac:dyDescent="0.3">
      <c r="C368" t="s">
        <v>61</v>
      </c>
      <c r="D368" t="s">
        <v>67</v>
      </c>
      <c r="E368" t="s">
        <v>63</v>
      </c>
      <c r="F368" t="s">
        <v>25</v>
      </c>
      <c r="G368" s="4">
        <v>11</v>
      </c>
      <c r="H368" s="4" t="s">
        <v>16</v>
      </c>
      <c r="I368" s="4" t="s">
        <v>69</v>
      </c>
      <c r="J368" s="4" t="s">
        <v>66</v>
      </c>
      <c r="K368" s="4">
        <v>0</v>
      </c>
      <c r="L368" s="94">
        <v>-384</v>
      </c>
      <c r="M368" s="94">
        <v>0</v>
      </c>
    </row>
    <row r="369" spans="3:13" x14ac:dyDescent="0.3">
      <c r="C369" t="s">
        <v>71</v>
      </c>
      <c r="D369" t="s">
        <v>67</v>
      </c>
      <c r="E369" t="s">
        <v>63</v>
      </c>
      <c r="F369" t="s">
        <v>26</v>
      </c>
      <c r="G369" s="4">
        <v>4</v>
      </c>
      <c r="H369" s="4" t="s">
        <v>75</v>
      </c>
      <c r="I369" s="4" t="s">
        <v>69</v>
      </c>
      <c r="J369" s="4" t="s">
        <v>66</v>
      </c>
      <c r="K369" s="4">
        <v>0</v>
      </c>
      <c r="L369" s="94">
        <v>-756678</v>
      </c>
      <c r="M369" s="94">
        <v>0</v>
      </c>
    </row>
    <row r="370" spans="3:13" x14ac:dyDescent="0.3">
      <c r="C370" t="s">
        <v>71</v>
      </c>
      <c r="D370" t="s">
        <v>62</v>
      </c>
      <c r="E370" t="s">
        <v>68</v>
      </c>
      <c r="F370" t="s">
        <v>24</v>
      </c>
      <c r="G370" s="4">
        <v>26</v>
      </c>
      <c r="I370" s="4" t="s">
        <v>65</v>
      </c>
      <c r="J370" s="4" t="s">
        <v>66</v>
      </c>
      <c r="K370" s="4">
        <v>1</v>
      </c>
      <c r="L370" s="94">
        <v>140732</v>
      </c>
      <c r="M370" s="94">
        <v>3659032</v>
      </c>
    </row>
    <row r="371" spans="3:13" x14ac:dyDescent="0.3">
      <c r="C371" t="s">
        <v>71</v>
      </c>
      <c r="D371" t="s">
        <v>67</v>
      </c>
      <c r="E371" t="s">
        <v>63</v>
      </c>
      <c r="F371" t="s">
        <v>72</v>
      </c>
      <c r="G371" s="4">
        <v>-4</v>
      </c>
      <c r="H371" s="4" t="s">
        <v>82</v>
      </c>
      <c r="I371" s="4" t="s">
        <v>69</v>
      </c>
      <c r="J371" s="4" t="s">
        <v>66</v>
      </c>
      <c r="K371" s="4">
        <v>0</v>
      </c>
      <c r="L371" s="94">
        <v>-1096396</v>
      </c>
      <c r="M371" s="94">
        <v>0</v>
      </c>
    </row>
    <row r="372" spans="3:13" x14ac:dyDescent="0.3">
      <c r="C372" t="s">
        <v>70</v>
      </c>
      <c r="D372" t="s">
        <v>67</v>
      </c>
      <c r="E372" t="s">
        <v>68</v>
      </c>
      <c r="F372" t="s">
        <v>72</v>
      </c>
      <c r="G372" s="4">
        <v>-1</v>
      </c>
      <c r="H372" s="4" t="s">
        <v>79</v>
      </c>
      <c r="I372" s="4" t="s">
        <v>69</v>
      </c>
      <c r="J372" s="4" t="s">
        <v>66</v>
      </c>
      <c r="K372" s="4">
        <v>0</v>
      </c>
      <c r="L372" s="94">
        <v>15016</v>
      </c>
      <c r="M372" s="94">
        <v>0</v>
      </c>
    </row>
    <row r="373" spans="3:13" x14ac:dyDescent="0.3">
      <c r="C373" t="s">
        <v>61</v>
      </c>
      <c r="D373" t="s">
        <v>67</v>
      </c>
      <c r="E373" t="s">
        <v>63</v>
      </c>
      <c r="F373" t="s">
        <v>26</v>
      </c>
      <c r="G373" s="4">
        <v>0</v>
      </c>
      <c r="H373" s="4" t="s">
        <v>17</v>
      </c>
      <c r="I373" s="4" t="s">
        <v>69</v>
      </c>
      <c r="J373" s="4" t="s">
        <v>66</v>
      </c>
      <c r="K373" s="4">
        <v>0</v>
      </c>
      <c r="L373" s="94">
        <v>-450665</v>
      </c>
      <c r="M373" s="94">
        <v>0</v>
      </c>
    </row>
    <row r="374" spans="3:13" x14ac:dyDescent="0.3">
      <c r="C374" t="s">
        <v>71</v>
      </c>
      <c r="D374" t="s">
        <v>62</v>
      </c>
      <c r="E374" t="s">
        <v>63</v>
      </c>
      <c r="F374" t="s">
        <v>24</v>
      </c>
      <c r="G374" s="4">
        <v>11</v>
      </c>
      <c r="I374" s="4" t="s">
        <v>69</v>
      </c>
      <c r="J374" s="4" t="s">
        <v>66</v>
      </c>
      <c r="K374" s="4">
        <v>1</v>
      </c>
      <c r="L374" s="94">
        <v>-7554</v>
      </c>
      <c r="M374" s="94">
        <v>0</v>
      </c>
    </row>
    <row r="375" spans="3:13" x14ac:dyDescent="0.3">
      <c r="C375" t="s">
        <v>70</v>
      </c>
      <c r="D375" t="s">
        <v>67</v>
      </c>
      <c r="E375" t="s">
        <v>63</v>
      </c>
      <c r="F375" t="s">
        <v>26</v>
      </c>
      <c r="G375" s="4">
        <v>5</v>
      </c>
      <c r="H375" s="4" t="s">
        <v>17</v>
      </c>
      <c r="I375" s="4" t="s">
        <v>65</v>
      </c>
      <c r="J375" s="4" t="s">
        <v>73</v>
      </c>
      <c r="K375" s="4">
        <v>1</v>
      </c>
      <c r="L375" s="94">
        <v>-16367</v>
      </c>
      <c r="M375" s="94">
        <v>0</v>
      </c>
    </row>
    <row r="376" spans="3:13" x14ac:dyDescent="0.3">
      <c r="C376" t="s">
        <v>70</v>
      </c>
      <c r="D376" t="s">
        <v>67</v>
      </c>
      <c r="E376" t="s">
        <v>68</v>
      </c>
      <c r="F376" t="s">
        <v>25</v>
      </c>
      <c r="G376" s="4">
        <v>0</v>
      </c>
      <c r="H376" s="4" t="s">
        <v>17</v>
      </c>
      <c r="I376" s="4" t="s">
        <v>69</v>
      </c>
      <c r="J376" s="4" t="s">
        <v>66</v>
      </c>
      <c r="K376" s="4">
        <v>0</v>
      </c>
      <c r="L376" s="94">
        <v>4520781</v>
      </c>
      <c r="M376" s="94">
        <v>0</v>
      </c>
    </row>
    <row r="377" spans="3:13" x14ac:dyDescent="0.3">
      <c r="C377" t="s">
        <v>61</v>
      </c>
      <c r="D377" t="s">
        <v>67</v>
      </c>
      <c r="E377" t="s">
        <v>68</v>
      </c>
      <c r="F377" t="s">
        <v>25</v>
      </c>
      <c r="G377" s="4">
        <v>3</v>
      </c>
      <c r="H377" s="4" t="s">
        <v>82</v>
      </c>
      <c r="I377" s="4" t="s">
        <v>69</v>
      </c>
      <c r="J377" s="4" t="s">
        <v>66</v>
      </c>
      <c r="K377" s="4">
        <v>0</v>
      </c>
      <c r="L377" s="94">
        <v>573860</v>
      </c>
      <c r="M377" s="94">
        <v>1721580</v>
      </c>
    </row>
    <row r="378" spans="3:13" x14ac:dyDescent="0.3">
      <c r="C378" t="s">
        <v>71</v>
      </c>
      <c r="D378" t="s">
        <v>67</v>
      </c>
      <c r="E378" t="s">
        <v>68</v>
      </c>
      <c r="F378" t="s">
        <v>26</v>
      </c>
      <c r="G378" s="4">
        <v>5</v>
      </c>
      <c r="H378" s="4" t="s">
        <v>76</v>
      </c>
      <c r="I378" s="4" t="s">
        <v>69</v>
      </c>
      <c r="J378" s="4" t="s">
        <v>66</v>
      </c>
      <c r="K378" s="4">
        <v>0</v>
      </c>
      <c r="L378" s="94">
        <v>194436</v>
      </c>
      <c r="M378" s="94">
        <v>972180</v>
      </c>
    </row>
    <row r="379" spans="3:13" x14ac:dyDescent="0.3">
      <c r="C379" t="s">
        <v>70</v>
      </c>
      <c r="D379" t="s">
        <v>62</v>
      </c>
      <c r="E379" t="s">
        <v>68</v>
      </c>
      <c r="F379" t="s">
        <v>24</v>
      </c>
      <c r="G379" s="4">
        <v>8</v>
      </c>
      <c r="I379" s="4" t="s">
        <v>69</v>
      </c>
      <c r="J379" s="4" t="s">
        <v>66</v>
      </c>
      <c r="K379" s="4">
        <v>0</v>
      </c>
      <c r="L379" s="94">
        <v>19849709</v>
      </c>
      <c r="M379" s="94">
        <v>158797672</v>
      </c>
    </row>
    <row r="380" spans="3:13" x14ac:dyDescent="0.3">
      <c r="C380" t="s">
        <v>61</v>
      </c>
      <c r="D380" t="s">
        <v>67</v>
      </c>
      <c r="E380" t="s">
        <v>63</v>
      </c>
      <c r="F380" t="s">
        <v>26</v>
      </c>
      <c r="G380" s="4">
        <v>15</v>
      </c>
      <c r="H380" s="4" t="s">
        <v>74</v>
      </c>
      <c r="I380" s="4" t="s">
        <v>69</v>
      </c>
      <c r="J380" s="4" t="s">
        <v>66</v>
      </c>
      <c r="K380" s="4">
        <v>0</v>
      </c>
      <c r="L380" s="94">
        <v>-36688</v>
      </c>
      <c r="M380" s="94">
        <v>0</v>
      </c>
    </row>
    <row r="381" spans="3:13" x14ac:dyDescent="0.3">
      <c r="C381" t="s">
        <v>61</v>
      </c>
      <c r="D381" t="s">
        <v>67</v>
      </c>
      <c r="E381" t="s">
        <v>63</v>
      </c>
      <c r="F381" t="s">
        <v>26</v>
      </c>
      <c r="G381" s="4">
        <v>-1</v>
      </c>
      <c r="H381" s="4" t="s">
        <v>18</v>
      </c>
      <c r="I381" s="4" t="s">
        <v>69</v>
      </c>
      <c r="J381" s="4" t="s">
        <v>66</v>
      </c>
      <c r="K381" s="4">
        <v>0</v>
      </c>
      <c r="L381" s="94">
        <v>-1195919</v>
      </c>
      <c r="M381" s="94">
        <v>0</v>
      </c>
    </row>
    <row r="382" spans="3:13" x14ac:dyDescent="0.3">
      <c r="C382" t="s">
        <v>71</v>
      </c>
      <c r="D382" t="s">
        <v>67</v>
      </c>
      <c r="E382" t="s">
        <v>68</v>
      </c>
      <c r="F382" t="s">
        <v>26</v>
      </c>
      <c r="G382" s="4">
        <v>12</v>
      </c>
      <c r="H382" s="4" t="s">
        <v>18</v>
      </c>
      <c r="I382" s="4" t="s">
        <v>69</v>
      </c>
      <c r="J382" s="4" t="s">
        <v>66</v>
      </c>
      <c r="K382" s="4">
        <v>0</v>
      </c>
      <c r="L382" s="94">
        <v>34379</v>
      </c>
      <c r="M382" s="94">
        <v>412548</v>
      </c>
    </row>
    <row r="383" spans="3:13" x14ac:dyDescent="0.3">
      <c r="C383" t="s">
        <v>70</v>
      </c>
      <c r="D383" t="s">
        <v>67</v>
      </c>
      <c r="E383" t="s">
        <v>68</v>
      </c>
      <c r="F383" t="s">
        <v>25</v>
      </c>
      <c r="G383" s="4">
        <v>-4</v>
      </c>
      <c r="H383" s="4" t="s">
        <v>77</v>
      </c>
      <c r="I383" s="4" t="s">
        <v>69</v>
      </c>
      <c r="J383" s="4" t="s">
        <v>66</v>
      </c>
      <c r="K383" s="4">
        <v>0</v>
      </c>
      <c r="L383" s="94">
        <v>2265</v>
      </c>
      <c r="M383" s="94">
        <v>0</v>
      </c>
    </row>
    <row r="384" spans="3:13" x14ac:dyDescent="0.3">
      <c r="C384" t="s">
        <v>61</v>
      </c>
      <c r="D384" t="s">
        <v>67</v>
      </c>
      <c r="E384" t="s">
        <v>63</v>
      </c>
      <c r="F384" t="s">
        <v>25</v>
      </c>
      <c r="G384" s="4">
        <v>1</v>
      </c>
      <c r="H384" s="4" t="s">
        <v>64</v>
      </c>
      <c r="I384" s="4" t="s">
        <v>69</v>
      </c>
      <c r="J384" s="4" t="s">
        <v>66</v>
      </c>
      <c r="K384" s="4">
        <v>0</v>
      </c>
      <c r="L384" s="94">
        <v>-231</v>
      </c>
      <c r="M384" s="94">
        <v>0</v>
      </c>
    </row>
    <row r="385" spans="3:13" x14ac:dyDescent="0.3">
      <c r="C385" t="s">
        <v>70</v>
      </c>
      <c r="D385" t="s">
        <v>67</v>
      </c>
      <c r="E385" t="s">
        <v>63</v>
      </c>
      <c r="F385" t="s">
        <v>25</v>
      </c>
      <c r="G385" s="4">
        <v>8</v>
      </c>
      <c r="H385" s="4" t="s">
        <v>82</v>
      </c>
      <c r="I385" s="4" t="s">
        <v>69</v>
      </c>
      <c r="J385" s="4" t="s">
        <v>66</v>
      </c>
      <c r="K385" s="4">
        <v>0</v>
      </c>
      <c r="L385" s="94">
        <v>-8732</v>
      </c>
      <c r="M385" s="94">
        <v>0</v>
      </c>
    </row>
    <row r="386" spans="3:13" x14ac:dyDescent="0.3">
      <c r="C386" t="s">
        <v>61</v>
      </c>
      <c r="D386" t="s">
        <v>67</v>
      </c>
      <c r="E386" t="s">
        <v>68</v>
      </c>
      <c r="F386" t="s">
        <v>26</v>
      </c>
      <c r="G386" s="4">
        <v>5</v>
      </c>
      <c r="H386" s="4" t="s">
        <v>14</v>
      </c>
      <c r="I386" s="4" t="s">
        <v>69</v>
      </c>
      <c r="J386" s="4" t="s">
        <v>66</v>
      </c>
      <c r="K386" s="4">
        <v>0</v>
      </c>
      <c r="L386" s="94">
        <v>13533428</v>
      </c>
      <c r="M386" s="94">
        <v>67667140</v>
      </c>
    </row>
    <row r="387" spans="3:13" x14ac:dyDescent="0.3">
      <c r="C387" t="s">
        <v>61</v>
      </c>
      <c r="D387" t="s">
        <v>67</v>
      </c>
      <c r="E387" t="s">
        <v>63</v>
      </c>
      <c r="F387" t="s">
        <v>72</v>
      </c>
      <c r="G387" s="4">
        <v>-1</v>
      </c>
      <c r="H387" s="4" t="s">
        <v>13</v>
      </c>
      <c r="I387" s="4" t="s">
        <v>69</v>
      </c>
      <c r="J387" s="4" t="s">
        <v>66</v>
      </c>
      <c r="K387" s="4">
        <v>0</v>
      </c>
      <c r="L387" s="94">
        <v>-7</v>
      </c>
      <c r="M387" s="94">
        <v>0</v>
      </c>
    </row>
    <row r="388" spans="3:13" x14ac:dyDescent="0.3">
      <c r="C388" t="s">
        <v>61</v>
      </c>
      <c r="D388" t="s">
        <v>67</v>
      </c>
      <c r="E388" t="s">
        <v>63</v>
      </c>
      <c r="F388" t="s">
        <v>25</v>
      </c>
      <c r="G388" s="4">
        <v>8</v>
      </c>
      <c r="H388" s="4" t="s">
        <v>76</v>
      </c>
      <c r="I388" s="4" t="s">
        <v>69</v>
      </c>
      <c r="J388" s="4" t="s">
        <v>66</v>
      </c>
      <c r="K388" s="4">
        <v>0</v>
      </c>
      <c r="L388" s="94">
        <v>-50412</v>
      </c>
      <c r="M388" s="94">
        <v>0</v>
      </c>
    </row>
    <row r="389" spans="3:13" x14ac:dyDescent="0.3">
      <c r="C389" t="s">
        <v>70</v>
      </c>
      <c r="D389" t="s">
        <v>67</v>
      </c>
      <c r="E389" t="s">
        <v>63</v>
      </c>
      <c r="F389" t="s">
        <v>72</v>
      </c>
      <c r="G389" s="4">
        <v>1</v>
      </c>
      <c r="H389" s="4" t="s">
        <v>12</v>
      </c>
      <c r="I389" s="4" t="s">
        <v>65</v>
      </c>
      <c r="J389" s="4" t="s">
        <v>73</v>
      </c>
      <c r="K389" s="4">
        <v>1</v>
      </c>
      <c r="L389" s="94">
        <v>-321</v>
      </c>
      <c r="M389" s="94">
        <v>0</v>
      </c>
    </row>
    <row r="390" spans="3:13" x14ac:dyDescent="0.3">
      <c r="C390" t="s">
        <v>61</v>
      </c>
      <c r="D390" t="s">
        <v>67</v>
      </c>
      <c r="E390" t="s">
        <v>63</v>
      </c>
      <c r="F390" t="s">
        <v>26</v>
      </c>
      <c r="G390" s="4">
        <v>7</v>
      </c>
      <c r="H390" s="4" t="s">
        <v>82</v>
      </c>
      <c r="I390" s="4" t="s">
        <v>69</v>
      </c>
      <c r="J390" s="4" t="s">
        <v>66</v>
      </c>
      <c r="K390" s="4">
        <v>0</v>
      </c>
      <c r="L390" s="94">
        <v>-131717</v>
      </c>
      <c r="M390" s="94">
        <v>0</v>
      </c>
    </row>
    <row r="391" spans="3:13" x14ac:dyDescent="0.3">
      <c r="C391" t="s">
        <v>71</v>
      </c>
      <c r="D391" t="s">
        <v>67</v>
      </c>
      <c r="E391" t="s">
        <v>63</v>
      </c>
      <c r="F391" t="s">
        <v>72</v>
      </c>
      <c r="G391" s="4">
        <v>2</v>
      </c>
      <c r="H391" s="4" t="s">
        <v>17</v>
      </c>
      <c r="I391" s="4" t="s">
        <v>69</v>
      </c>
      <c r="J391" s="4" t="s">
        <v>66</v>
      </c>
      <c r="K391" s="4">
        <v>0</v>
      </c>
      <c r="L391" s="94">
        <v>-107762</v>
      </c>
      <c r="M391" s="94">
        <v>0</v>
      </c>
    </row>
    <row r="392" spans="3:13" x14ac:dyDescent="0.3">
      <c r="C392" t="s">
        <v>70</v>
      </c>
      <c r="D392" t="s">
        <v>67</v>
      </c>
      <c r="E392" t="s">
        <v>68</v>
      </c>
      <c r="F392" t="s">
        <v>72</v>
      </c>
      <c r="G392" s="4">
        <v>2</v>
      </c>
      <c r="H392" s="4" t="s">
        <v>12</v>
      </c>
      <c r="I392" s="4" t="s">
        <v>69</v>
      </c>
      <c r="J392" s="4" t="s">
        <v>66</v>
      </c>
      <c r="K392" s="4">
        <v>0</v>
      </c>
      <c r="L392" s="94">
        <v>105090</v>
      </c>
      <c r="M392" s="94">
        <v>210180</v>
      </c>
    </row>
    <row r="393" spans="3:13" x14ac:dyDescent="0.3">
      <c r="C393" t="s">
        <v>71</v>
      </c>
      <c r="D393" t="s">
        <v>67</v>
      </c>
      <c r="E393" t="s">
        <v>68</v>
      </c>
      <c r="F393" t="s">
        <v>26</v>
      </c>
      <c r="G393" s="4">
        <v>4</v>
      </c>
      <c r="H393" s="4" t="s">
        <v>77</v>
      </c>
      <c r="I393" s="4" t="s">
        <v>69</v>
      </c>
      <c r="J393" s="4" t="s">
        <v>66</v>
      </c>
      <c r="K393" s="4">
        <v>0</v>
      </c>
      <c r="L393" s="94">
        <v>251840</v>
      </c>
      <c r="M393" s="94">
        <v>1007360</v>
      </c>
    </row>
    <row r="394" spans="3:13" x14ac:dyDescent="0.3">
      <c r="C394" t="s">
        <v>71</v>
      </c>
      <c r="D394" t="s">
        <v>67</v>
      </c>
      <c r="E394" t="s">
        <v>68</v>
      </c>
      <c r="F394" t="s">
        <v>26</v>
      </c>
      <c r="G394" s="4">
        <v>13</v>
      </c>
      <c r="H394" s="4" t="s">
        <v>14</v>
      </c>
      <c r="I394" s="4" t="s">
        <v>69</v>
      </c>
      <c r="J394" s="4" t="s">
        <v>66</v>
      </c>
      <c r="K394" s="4">
        <v>0</v>
      </c>
      <c r="L394" s="94">
        <v>183974</v>
      </c>
      <c r="M394" s="94">
        <v>2391662</v>
      </c>
    </row>
    <row r="395" spans="3:13" x14ac:dyDescent="0.3">
      <c r="C395" t="s">
        <v>61</v>
      </c>
      <c r="D395" t="s">
        <v>62</v>
      </c>
      <c r="E395" t="s">
        <v>68</v>
      </c>
      <c r="F395" t="s">
        <v>24</v>
      </c>
      <c r="G395" s="4">
        <v>14</v>
      </c>
      <c r="I395" s="4" t="s">
        <v>69</v>
      </c>
      <c r="J395" s="4" t="s">
        <v>66</v>
      </c>
      <c r="K395" s="4">
        <v>1</v>
      </c>
      <c r="L395" s="94">
        <v>1948348</v>
      </c>
      <c r="M395" s="94">
        <v>27276872</v>
      </c>
    </row>
    <row r="396" spans="3:13" x14ac:dyDescent="0.3">
      <c r="C396" t="s">
        <v>71</v>
      </c>
      <c r="D396" t="s">
        <v>67</v>
      </c>
      <c r="E396" t="s">
        <v>68</v>
      </c>
      <c r="F396" t="s">
        <v>72</v>
      </c>
      <c r="G396" s="4">
        <v>1</v>
      </c>
      <c r="H396" s="4" t="s">
        <v>76</v>
      </c>
      <c r="I396" s="4" t="s">
        <v>69</v>
      </c>
      <c r="J396" s="4" t="s">
        <v>66</v>
      </c>
      <c r="K396" s="4">
        <v>0</v>
      </c>
      <c r="L396" s="94">
        <v>58471</v>
      </c>
      <c r="M396" s="94">
        <v>58471</v>
      </c>
    </row>
    <row r="397" spans="3:13" x14ac:dyDescent="0.3">
      <c r="C397" t="s">
        <v>70</v>
      </c>
      <c r="D397" t="s">
        <v>67</v>
      </c>
      <c r="E397" t="s">
        <v>68</v>
      </c>
      <c r="F397" t="s">
        <v>72</v>
      </c>
      <c r="G397" s="4">
        <v>0</v>
      </c>
      <c r="H397" s="4" t="s">
        <v>12</v>
      </c>
      <c r="I397" s="4" t="s">
        <v>69</v>
      </c>
      <c r="J397" s="4" t="s">
        <v>73</v>
      </c>
      <c r="K397" s="4">
        <v>1</v>
      </c>
      <c r="L397" s="94">
        <v>53734</v>
      </c>
      <c r="M397" s="94">
        <v>0</v>
      </c>
    </row>
    <row r="398" spans="3:13" x14ac:dyDescent="0.3">
      <c r="C398" t="s">
        <v>61</v>
      </c>
      <c r="D398" t="s">
        <v>67</v>
      </c>
      <c r="E398" t="s">
        <v>68</v>
      </c>
      <c r="F398" t="s">
        <v>72</v>
      </c>
      <c r="G398" s="4">
        <v>-1</v>
      </c>
      <c r="H398" s="4" t="s">
        <v>17</v>
      </c>
      <c r="I398" s="4" t="s">
        <v>69</v>
      </c>
      <c r="J398" s="4" t="s">
        <v>73</v>
      </c>
      <c r="K398" s="4">
        <v>1</v>
      </c>
      <c r="L398" s="94">
        <v>501753</v>
      </c>
      <c r="M398" s="94">
        <v>0</v>
      </c>
    </row>
    <row r="399" spans="3:13" x14ac:dyDescent="0.3">
      <c r="C399" t="s">
        <v>61</v>
      </c>
      <c r="D399" t="s">
        <v>67</v>
      </c>
      <c r="E399" t="s">
        <v>68</v>
      </c>
      <c r="F399" t="s">
        <v>26</v>
      </c>
      <c r="G399" s="4">
        <v>3</v>
      </c>
      <c r="H399" s="4" t="s">
        <v>74</v>
      </c>
      <c r="I399" s="4" t="s">
        <v>69</v>
      </c>
      <c r="J399" s="4" t="s">
        <v>66</v>
      </c>
      <c r="K399" s="4">
        <v>0</v>
      </c>
      <c r="L399" s="94">
        <v>120497854</v>
      </c>
      <c r="M399" s="94">
        <v>361493562</v>
      </c>
    </row>
    <row r="400" spans="3:13" x14ac:dyDescent="0.3">
      <c r="C400" t="s">
        <v>71</v>
      </c>
      <c r="D400" t="s">
        <v>67</v>
      </c>
      <c r="E400" t="s">
        <v>63</v>
      </c>
      <c r="F400" t="s">
        <v>26</v>
      </c>
      <c r="G400" s="4">
        <v>-1</v>
      </c>
      <c r="H400" s="4" t="s">
        <v>16</v>
      </c>
      <c r="I400" s="4" t="s">
        <v>69</v>
      </c>
      <c r="J400" s="4" t="s">
        <v>66</v>
      </c>
      <c r="K400" s="4">
        <v>0</v>
      </c>
      <c r="L400" s="94">
        <v>-57871</v>
      </c>
      <c r="M400" s="94">
        <v>0</v>
      </c>
    </row>
    <row r="401" spans="3:13" x14ac:dyDescent="0.3">
      <c r="C401" t="s">
        <v>70</v>
      </c>
      <c r="D401" t="s">
        <v>67</v>
      </c>
      <c r="E401" t="s">
        <v>63</v>
      </c>
      <c r="F401" t="s">
        <v>26</v>
      </c>
      <c r="G401" s="4">
        <v>5</v>
      </c>
      <c r="H401" s="4" t="s">
        <v>80</v>
      </c>
      <c r="I401" s="4" t="s">
        <v>69</v>
      </c>
      <c r="J401" s="4" t="s">
        <v>66</v>
      </c>
      <c r="K401" s="4">
        <v>0</v>
      </c>
      <c r="L401" s="94">
        <v>-23333</v>
      </c>
      <c r="M401" s="94">
        <v>0</v>
      </c>
    </row>
    <row r="402" spans="3:13" x14ac:dyDescent="0.3">
      <c r="C402" t="s">
        <v>70</v>
      </c>
      <c r="D402" t="s">
        <v>67</v>
      </c>
      <c r="E402" t="s">
        <v>63</v>
      </c>
      <c r="F402" t="s">
        <v>72</v>
      </c>
      <c r="G402" s="4">
        <v>2</v>
      </c>
      <c r="H402" s="4" t="s">
        <v>17</v>
      </c>
      <c r="I402" s="4" t="s">
        <v>69</v>
      </c>
      <c r="J402" s="4" t="s">
        <v>73</v>
      </c>
      <c r="K402" s="4">
        <v>1</v>
      </c>
      <c r="L402" s="94">
        <v>-395</v>
      </c>
      <c r="M402" s="94">
        <v>0</v>
      </c>
    </row>
    <row r="403" spans="3:13" x14ac:dyDescent="0.3">
      <c r="C403" t="s">
        <v>70</v>
      </c>
      <c r="D403" t="s">
        <v>67</v>
      </c>
      <c r="E403" t="s">
        <v>63</v>
      </c>
      <c r="F403" t="s">
        <v>26</v>
      </c>
      <c r="G403" s="4">
        <v>8</v>
      </c>
      <c r="H403" s="4" t="s">
        <v>12</v>
      </c>
      <c r="I403" s="4" t="s">
        <v>69</v>
      </c>
      <c r="J403" s="4" t="s">
        <v>73</v>
      </c>
      <c r="K403" s="4">
        <v>1</v>
      </c>
      <c r="L403" s="94">
        <v>-7395</v>
      </c>
      <c r="M403" s="94">
        <v>0</v>
      </c>
    </row>
    <row r="404" spans="3:13" x14ac:dyDescent="0.3">
      <c r="C404" t="s">
        <v>70</v>
      </c>
      <c r="D404" t="s">
        <v>62</v>
      </c>
      <c r="E404" t="s">
        <v>68</v>
      </c>
      <c r="F404" t="s">
        <v>24</v>
      </c>
      <c r="G404" s="4">
        <v>5</v>
      </c>
      <c r="I404" s="4" t="s">
        <v>65</v>
      </c>
      <c r="J404" s="4" t="s">
        <v>66</v>
      </c>
      <c r="K404" s="4">
        <v>1</v>
      </c>
      <c r="L404" s="94">
        <v>126520</v>
      </c>
      <c r="M404" s="94">
        <v>632600</v>
      </c>
    </row>
    <row r="405" spans="3:13" x14ac:dyDescent="0.3">
      <c r="C405" t="s">
        <v>71</v>
      </c>
      <c r="D405" t="s">
        <v>62</v>
      </c>
      <c r="E405" t="s">
        <v>63</v>
      </c>
      <c r="F405" t="s">
        <v>24</v>
      </c>
      <c r="G405" s="4">
        <v>21</v>
      </c>
      <c r="I405" s="4" t="s">
        <v>69</v>
      </c>
      <c r="J405" s="4" t="s">
        <v>66</v>
      </c>
      <c r="K405" s="4">
        <v>0</v>
      </c>
      <c r="L405" s="94">
        <v>-2762160</v>
      </c>
      <c r="M405" s="94">
        <v>0</v>
      </c>
    </row>
    <row r="406" spans="3:13" x14ac:dyDescent="0.3">
      <c r="C406" t="s">
        <v>61</v>
      </c>
      <c r="D406" t="s">
        <v>67</v>
      </c>
      <c r="E406" t="s">
        <v>63</v>
      </c>
      <c r="F406" t="s">
        <v>72</v>
      </c>
      <c r="G406" s="4">
        <v>1</v>
      </c>
      <c r="H406" s="4" t="s">
        <v>12</v>
      </c>
      <c r="I406" s="4" t="s">
        <v>65</v>
      </c>
      <c r="J406" s="4" t="s">
        <v>73</v>
      </c>
      <c r="K406" s="4">
        <v>1</v>
      </c>
      <c r="L406" s="94">
        <v>-410</v>
      </c>
      <c r="M406" s="94">
        <v>0</v>
      </c>
    </row>
    <row r="407" spans="3:13" x14ac:dyDescent="0.3">
      <c r="C407" t="s">
        <v>71</v>
      </c>
      <c r="D407" t="s">
        <v>67</v>
      </c>
      <c r="E407" t="s">
        <v>68</v>
      </c>
      <c r="F407" t="s">
        <v>25</v>
      </c>
      <c r="G407" s="4">
        <v>-1</v>
      </c>
      <c r="H407" s="4" t="s">
        <v>75</v>
      </c>
      <c r="I407" s="4" t="s">
        <v>69</v>
      </c>
      <c r="J407" s="4" t="s">
        <v>66</v>
      </c>
      <c r="K407" s="4">
        <v>0</v>
      </c>
      <c r="L407" s="94">
        <v>2</v>
      </c>
      <c r="M407" s="94">
        <v>0</v>
      </c>
    </row>
    <row r="408" spans="3:13" x14ac:dyDescent="0.3">
      <c r="D408" t="s">
        <v>67</v>
      </c>
      <c r="E408" t="s">
        <v>68</v>
      </c>
      <c r="G408" s="4">
        <v>-3</v>
      </c>
      <c r="H408" s="4" t="s">
        <v>80</v>
      </c>
      <c r="I408" s="4" t="s">
        <v>69</v>
      </c>
      <c r="J408" s="4" t="s">
        <v>66</v>
      </c>
      <c r="K408" s="4">
        <v>0</v>
      </c>
      <c r="L408" s="94">
        <v>22684</v>
      </c>
      <c r="M408" s="94">
        <v>0</v>
      </c>
    </row>
    <row r="409" spans="3:13" x14ac:dyDescent="0.3">
      <c r="C409" t="s">
        <v>71</v>
      </c>
      <c r="D409" t="s">
        <v>67</v>
      </c>
      <c r="E409" t="s">
        <v>68</v>
      </c>
      <c r="F409" t="s">
        <v>26</v>
      </c>
      <c r="G409" s="4">
        <v>3</v>
      </c>
      <c r="H409" s="4" t="s">
        <v>18</v>
      </c>
      <c r="I409" s="4" t="s">
        <v>69</v>
      </c>
      <c r="J409" s="4" t="s">
        <v>66</v>
      </c>
      <c r="K409" s="4">
        <v>0</v>
      </c>
      <c r="L409" s="94">
        <v>4062801</v>
      </c>
      <c r="M409" s="94">
        <v>12188403</v>
      </c>
    </row>
    <row r="410" spans="3:13" x14ac:dyDescent="0.3">
      <c r="C410" t="s">
        <v>70</v>
      </c>
      <c r="D410" t="s">
        <v>67</v>
      </c>
      <c r="E410" t="s">
        <v>68</v>
      </c>
      <c r="F410" t="s">
        <v>26</v>
      </c>
      <c r="G410" s="4">
        <v>-1</v>
      </c>
      <c r="H410" s="4" t="s">
        <v>13</v>
      </c>
      <c r="I410" s="4" t="s">
        <v>69</v>
      </c>
      <c r="J410" s="4" t="s">
        <v>73</v>
      </c>
      <c r="K410" s="4">
        <v>1</v>
      </c>
      <c r="L410" s="94">
        <v>574222</v>
      </c>
      <c r="M410" s="94">
        <v>0</v>
      </c>
    </row>
    <row r="411" spans="3:13" x14ac:dyDescent="0.3">
      <c r="C411" t="s">
        <v>61</v>
      </c>
      <c r="D411" t="s">
        <v>67</v>
      </c>
      <c r="E411" t="s">
        <v>68</v>
      </c>
      <c r="F411" t="s">
        <v>25</v>
      </c>
      <c r="G411" s="4">
        <v>11</v>
      </c>
      <c r="H411" s="4" t="s">
        <v>17</v>
      </c>
      <c r="I411" s="4" t="s">
        <v>69</v>
      </c>
      <c r="J411" s="4" t="s">
        <v>66</v>
      </c>
      <c r="K411" s="4">
        <v>1</v>
      </c>
      <c r="L411" s="94">
        <v>247245</v>
      </c>
      <c r="M411" s="94">
        <v>2719695</v>
      </c>
    </row>
    <row r="412" spans="3:13" x14ac:dyDescent="0.3">
      <c r="C412" t="s">
        <v>71</v>
      </c>
      <c r="D412" t="s">
        <v>67</v>
      </c>
      <c r="E412" t="s">
        <v>63</v>
      </c>
      <c r="F412" t="s">
        <v>72</v>
      </c>
      <c r="G412" s="4">
        <v>7</v>
      </c>
      <c r="H412" s="4" t="s">
        <v>82</v>
      </c>
      <c r="I412" s="4" t="s">
        <v>69</v>
      </c>
      <c r="J412" s="4" t="s">
        <v>66</v>
      </c>
      <c r="K412" s="4">
        <v>0</v>
      </c>
      <c r="L412" s="94">
        <v>-5030</v>
      </c>
      <c r="M412" s="94">
        <v>0</v>
      </c>
    </row>
    <row r="413" spans="3:13" x14ac:dyDescent="0.3">
      <c r="C413" t="s">
        <v>71</v>
      </c>
      <c r="D413" t="s">
        <v>67</v>
      </c>
      <c r="E413" t="s">
        <v>63</v>
      </c>
      <c r="F413" t="s">
        <v>25</v>
      </c>
      <c r="G413" s="4">
        <v>8</v>
      </c>
      <c r="H413" s="4" t="s">
        <v>74</v>
      </c>
      <c r="I413" s="4" t="s">
        <v>69</v>
      </c>
      <c r="J413" s="4" t="s">
        <v>66</v>
      </c>
      <c r="K413" s="4">
        <v>0</v>
      </c>
      <c r="L413" s="94">
        <v>-32401</v>
      </c>
      <c r="M413" s="94">
        <v>0</v>
      </c>
    </row>
    <row r="414" spans="3:13" x14ac:dyDescent="0.3">
      <c r="C414" t="s">
        <v>71</v>
      </c>
      <c r="D414" t="s">
        <v>62</v>
      </c>
      <c r="E414" t="s">
        <v>68</v>
      </c>
      <c r="F414" t="s">
        <v>24</v>
      </c>
      <c r="G414" s="4">
        <v>34</v>
      </c>
      <c r="I414" s="4" t="s">
        <v>65</v>
      </c>
      <c r="J414" s="4" t="s">
        <v>66</v>
      </c>
      <c r="K414" s="4">
        <v>1</v>
      </c>
      <c r="L414" s="94">
        <v>224194</v>
      </c>
      <c r="M414" s="94">
        <v>7622596</v>
      </c>
    </row>
    <row r="415" spans="3:13" x14ac:dyDescent="0.3">
      <c r="C415" t="s">
        <v>61</v>
      </c>
      <c r="D415" t="s">
        <v>67</v>
      </c>
      <c r="E415" t="s">
        <v>68</v>
      </c>
      <c r="F415" t="s">
        <v>25</v>
      </c>
      <c r="G415" s="4">
        <v>19</v>
      </c>
      <c r="H415" s="4" t="s">
        <v>75</v>
      </c>
      <c r="I415" s="4" t="s">
        <v>69</v>
      </c>
      <c r="J415" s="4" t="s">
        <v>66</v>
      </c>
      <c r="K415" s="4">
        <v>0</v>
      </c>
      <c r="L415" s="94">
        <v>5747036</v>
      </c>
      <c r="M415" s="94">
        <v>109193684</v>
      </c>
    </row>
    <row r="416" spans="3:13" x14ac:dyDescent="0.3">
      <c r="C416" t="s">
        <v>61</v>
      </c>
      <c r="D416" t="s">
        <v>67</v>
      </c>
      <c r="E416" t="s">
        <v>63</v>
      </c>
      <c r="F416" t="s">
        <v>26</v>
      </c>
      <c r="G416" s="4">
        <v>4</v>
      </c>
      <c r="H416" s="4" t="s">
        <v>64</v>
      </c>
      <c r="I416" s="4" t="s">
        <v>69</v>
      </c>
      <c r="J416" s="4" t="s">
        <v>66</v>
      </c>
      <c r="K416" s="4">
        <v>0</v>
      </c>
      <c r="L416" s="94">
        <v>-23927</v>
      </c>
      <c r="M416" s="94">
        <v>0</v>
      </c>
    </row>
    <row r="417" spans="3:13" x14ac:dyDescent="0.3">
      <c r="C417" t="s">
        <v>61</v>
      </c>
      <c r="D417" t="s">
        <v>88</v>
      </c>
      <c r="E417" t="s">
        <v>68</v>
      </c>
      <c r="F417" t="s">
        <v>25</v>
      </c>
      <c r="G417" s="4">
        <v>3</v>
      </c>
      <c r="H417" s="4" t="s">
        <v>86</v>
      </c>
      <c r="I417" s="4" t="s">
        <v>69</v>
      </c>
      <c r="J417" s="4" t="s">
        <v>66</v>
      </c>
      <c r="K417" s="4">
        <v>0</v>
      </c>
      <c r="L417" s="94">
        <v>80638</v>
      </c>
      <c r="M417" s="94">
        <v>241914</v>
      </c>
    </row>
    <row r="418" spans="3:13" x14ac:dyDescent="0.3">
      <c r="C418" t="s">
        <v>61</v>
      </c>
      <c r="D418" t="s">
        <v>67</v>
      </c>
      <c r="E418" t="s">
        <v>68</v>
      </c>
      <c r="F418" t="s">
        <v>25</v>
      </c>
      <c r="G418" s="4">
        <v>-1</v>
      </c>
      <c r="H418" s="4" t="s">
        <v>77</v>
      </c>
      <c r="I418" s="4" t="s">
        <v>69</v>
      </c>
      <c r="J418" s="4" t="s">
        <v>66</v>
      </c>
      <c r="K418" s="4">
        <v>0</v>
      </c>
      <c r="L418" s="94">
        <v>200652</v>
      </c>
      <c r="M418" s="94">
        <v>0</v>
      </c>
    </row>
    <row r="419" spans="3:13" x14ac:dyDescent="0.3">
      <c r="C419" t="s">
        <v>70</v>
      </c>
      <c r="D419" t="s">
        <v>67</v>
      </c>
      <c r="E419" t="s">
        <v>63</v>
      </c>
      <c r="F419" t="s">
        <v>25</v>
      </c>
      <c r="G419" s="4">
        <v>15</v>
      </c>
      <c r="H419" s="4" t="s">
        <v>76</v>
      </c>
      <c r="I419" s="4" t="s">
        <v>69</v>
      </c>
      <c r="J419" s="4" t="s">
        <v>66</v>
      </c>
      <c r="K419" s="4">
        <v>0</v>
      </c>
      <c r="L419" s="94">
        <v>-45327</v>
      </c>
      <c r="M419" s="94">
        <v>0</v>
      </c>
    </row>
    <row r="420" spans="3:13" x14ac:dyDescent="0.3">
      <c r="C420" t="s">
        <v>61</v>
      </c>
      <c r="D420" t="s">
        <v>67</v>
      </c>
      <c r="E420" t="s">
        <v>63</v>
      </c>
      <c r="F420" t="s">
        <v>26</v>
      </c>
      <c r="G420" s="4">
        <v>1</v>
      </c>
      <c r="H420" s="4" t="s">
        <v>17</v>
      </c>
      <c r="I420" s="4" t="s">
        <v>65</v>
      </c>
      <c r="J420" s="4" t="s">
        <v>73</v>
      </c>
      <c r="K420" s="4">
        <v>1</v>
      </c>
      <c r="L420" s="94">
        <v>-2386</v>
      </c>
      <c r="M420" s="94">
        <v>0</v>
      </c>
    </row>
    <row r="421" spans="3:13" x14ac:dyDescent="0.3">
      <c r="C421" t="s">
        <v>70</v>
      </c>
      <c r="D421" t="s">
        <v>62</v>
      </c>
      <c r="E421" t="s">
        <v>68</v>
      </c>
      <c r="F421" t="s">
        <v>25</v>
      </c>
      <c r="G421" s="4">
        <v>0</v>
      </c>
      <c r="I421" s="4" t="s">
        <v>65</v>
      </c>
      <c r="J421" s="4" t="s">
        <v>66</v>
      </c>
      <c r="K421" s="4">
        <v>1</v>
      </c>
      <c r="L421" s="94">
        <v>1981</v>
      </c>
      <c r="M421" s="94">
        <v>0</v>
      </c>
    </row>
    <row r="422" spans="3:13" x14ac:dyDescent="0.3">
      <c r="C422" t="s">
        <v>61</v>
      </c>
      <c r="D422" t="s">
        <v>67</v>
      </c>
      <c r="E422" t="s">
        <v>63</v>
      </c>
      <c r="F422" t="s">
        <v>25</v>
      </c>
      <c r="G422" s="4">
        <v>15</v>
      </c>
      <c r="H422" s="4" t="s">
        <v>82</v>
      </c>
      <c r="I422" s="4" t="s">
        <v>69</v>
      </c>
      <c r="J422" s="4" t="s">
        <v>66</v>
      </c>
      <c r="K422" s="4">
        <v>0</v>
      </c>
      <c r="L422" s="94">
        <v>-3956</v>
      </c>
      <c r="M422" s="94">
        <v>0</v>
      </c>
    </row>
    <row r="423" spans="3:13" x14ac:dyDescent="0.3">
      <c r="C423" t="s">
        <v>61</v>
      </c>
      <c r="D423" t="s">
        <v>67</v>
      </c>
      <c r="E423" t="s">
        <v>68</v>
      </c>
      <c r="F423" t="s">
        <v>25</v>
      </c>
      <c r="G423" s="4">
        <v>9</v>
      </c>
      <c r="H423" s="4" t="s">
        <v>17</v>
      </c>
      <c r="I423" s="4" t="s">
        <v>69</v>
      </c>
      <c r="J423" s="4" t="s">
        <v>66</v>
      </c>
      <c r="K423" s="4">
        <v>1</v>
      </c>
      <c r="L423" s="94">
        <v>280890</v>
      </c>
      <c r="M423" s="94">
        <v>2528010</v>
      </c>
    </row>
    <row r="424" spans="3:13" x14ac:dyDescent="0.3">
      <c r="C424" t="s">
        <v>71</v>
      </c>
      <c r="D424" t="s">
        <v>62</v>
      </c>
      <c r="E424" t="s">
        <v>63</v>
      </c>
      <c r="F424" t="s">
        <v>24</v>
      </c>
      <c r="G424" s="4">
        <v>2</v>
      </c>
      <c r="I424" s="4" t="s">
        <v>69</v>
      </c>
      <c r="J424" s="4" t="s">
        <v>66</v>
      </c>
      <c r="K424" s="4">
        <v>1</v>
      </c>
      <c r="L424" s="94">
        <v>0</v>
      </c>
      <c r="M424" s="94">
        <v>0</v>
      </c>
    </row>
    <row r="425" spans="3:13" x14ac:dyDescent="0.3">
      <c r="C425" t="s">
        <v>70</v>
      </c>
      <c r="D425" t="s">
        <v>62</v>
      </c>
      <c r="E425" t="s">
        <v>63</v>
      </c>
      <c r="F425" t="s">
        <v>24</v>
      </c>
      <c r="G425" s="4">
        <v>38</v>
      </c>
      <c r="I425" s="4" t="s">
        <v>69</v>
      </c>
      <c r="J425" s="4" t="s">
        <v>66</v>
      </c>
      <c r="K425" s="4">
        <v>1</v>
      </c>
      <c r="L425" s="94">
        <v>-1397</v>
      </c>
      <c r="M425" s="94">
        <v>0</v>
      </c>
    </row>
    <row r="426" spans="3:13" x14ac:dyDescent="0.3">
      <c r="C426" t="s">
        <v>61</v>
      </c>
      <c r="D426" t="s">
        <v>67</v>
      </c>
      <c r="E426" t="s">
        <v>68</v>
      </c>
      <c r="F426" t="s">
        <v>26</v>
      </c>
      <c r="G426" s="4">
        <v>-1</v>
      </c>
      <c r="H426" s="4" t="s">
        <v>79</v>
      </c>
      <c r="I426" s="4" t="s">
        <v>69</v>
      </c>
      <c r="J426" s="4" t="s">
        <v>66</v>
      </c>
      <c r="K426" s="4">
        <v>0</v>
      </c>
      <c r="L426" s="94">
        <v>11770684</v>
      </c>
      <c r="M426" s="94">
        <v>0</v>
      </c>
    </row>
    <row r="427" spans="3:13" x14ac:dyDescent="0.3">
      <c r="C427" t="s">
        <v>70</v>
      </c>
      <c r="D427" t="s">
        <v>67</v>
      </c>
      <c r="E427" t="s">
        <v>68</v>
      </c>
      <c r="F427" t="s">
        <v>26</v>
      </c>
      <c r="G427" s="4">
        <v>-4</v>
      </c>
      <c r="H427" s="4" t="s">
        <v>75</v>
      </c>
      <c r="I427" s="4" t="s">
        <v>69</v>
      </c>
      <c r="J427" s="4" t="s">
        <v>66</v>
      </c>
      <c r="K427" s="4">
        <v>0</v>
      </c>
      <c r="L427" s="94">
        <v>39380</v>
      </c>
      <c r="M427" s="94">
        <v>0</v>
      </c>
    </row>
    <row r="428" spans="3:13" x14ac:dyDescent="0.3">
      <c r="C428" t="s">
        <v>61</v>
      </c>
      <c r="D428" t="s">
        <v>67</v>
      </c>
      <c r="E428" t="s">
        <v>68</v>
      </c>
      <c r="F428" t="s">
        <v>72</v>
      </c>
      <c r="G428" s="4">
        <v>3</v>
      </c>
      <c r="H428" s="4" t="s">
        <v>76</v>
      </c>
      <c r="I428" s="4" t="s">
        <v>69</v>
      </c>
      <c r="J428" s="4" t="s">
        <v>66</v>
      </c>
      <c r="K428" s="4">
        <v>0</v>
      </c>
      <c r="L428" s="94">
        <v>1991392</v>
      </c>
      <c r="M428" s="94">
        <v>5974176</v>
      </c>
    </row>
    <row r="429" spans="3:13" x14ac:dyDescent="0.3">
      <c r="C429" t="s">
        <v>61</v>
      </c>
      <c r="D429" t="s">
        <v>67</v>
      </c>
      <c r="E429" t="s">
        <v>68</v>
      </c>
      <c r="F429" t="s">
        <v>72</v>
      </c>
      <c r="G429" s="4">
        <v>0</v>
      </c>
      <c r="H429" s="4" t="s">
        <v>82</v>
      </c>
      <c r="I429" s="4" t="s">
        <v>69</v>
      </c>
      <c r="J429" s="4" t="s">
        <v>66</v>
      </c>
      <c r="K429" s="4">
        <v>0</v>
      </c>
      <c r="L429" s="94">
        <v>1365839</v>
      </c>
      <c r="M429" s="94">
        <v>0</v>
      </c>
    </row>
    <row r="430" spans="3:13" x14ac:dyDescent="0.3">
      <c r="C430" t="s">
        <v>71</v>
      </c>
      <c r="D430" t="s">
        <v>67</v>
      </c>
      <c r="E430" t="s">
        <v>63</v>
      </c>
      <c r="F430" t="s">
        <v>26</v>
      </c>
      <c r="G430" s="4">
        <v>1</v>
      </c>
      <c r="H430" s="4" t="s">
        <v>79</v>
      </c>
      <c r="I430" s="4" t="s">
        <v>69</v>
      </c>
      <c r="J430" s="4" t="s">
        <v>66</v>
      </c>
      <c r="K430" s="4">
        <v>0</v>
      </c>
      <c r="L430" s="94">
        <v>-61205</v>
      </c>
      <c r="M430" s="94">
        <v>0</v>
      </c>
    </row>
    <row r="431" spans="3:13" x14ac:dyDescent="0.3">
      <c r="C431" t="s">
        <v>70</v>
      </c>
      <c r="D431" t="s">
        <v>67</v>
      </c>
      <c r="E431" t="s">
        <v>63</v>
      </c>
      <c r="F431" t="s">
        <v>25</v>
      </c>
      <c r="G431" s="4">
        <v>7</v>
      </c>
      <c r="H431" s="4" t="s">
        <v>17</v>
      </c>
      <c r="I431" s="4" t="s">
        <v>69</v>
      </c>
      <c r="J431" s="4" t="s">
        <v>66</v>
      </c>
      <c r="K431" s="4">
        <v>1</v>
      </c>
      <c r="L431" s="94">
        <v>-11477</v>
      </c>
      <c r="M431" s="94">
        <v>0</v>
      </c>
    </row>
    <row r="432" spans="3:13" x14ac:dyDescent="0.3">
      <c r="C432" t="s">
        <v>70</v>
      </c>
      <c r="D432" t="s">
        <v>67</v>
      </c>
      <c r="E432" t="s">
        <v>68</v>
      </c>
      <c r="F432" t="s">
        <v>26</v>
      </c>
      <c r="G432" s="4">
        <v>2</v>
      </c>
      <c r="H432" s="4" t="s">
        <v>82</v>
      </c>
      <c r="I432" s="4" t="s">
        <v>69</v>
      </c>
      <c r="J432" s="4" t="s">
        <v>73</v>
      </c>
      <c r="K432" s="4">
        <v>1</v>
      </c>
      <c r="L432" s="94">
        <v>33991</v>
      </c>
      <c r="M432" s="94">
        <v>67982</v>
      </c>
    </row>
    <row r="433" spans="3:13" x14ac:dyDescent="0.3">
      <c r="C433" t="s">
        <v>61</v>
      </c>
      <c r="D433" t="s">
        <v>62</v>
      </c>
      <c r="E433" t="s">
        <v>68</v>
      </c>
      <c r="F433" t="s">
        <v>25</v>
      </c>
      <c r="G433" s="4">
        <v>11</v>
      </c>
      <c r="I433" s="4" t="s">
        <v>69</v>
      </c>
      <c r="J433" s="4" t="s">
        <v>66</v>
      </c>
      <c r="K433" s="4">
        <v>1</v>
      </c>
      <c r="L433" s="94">
        <v>64191</v>
      </c>
      <c r="M433" s="94">
        <v>706101</v>
      </c>
    </row>
    <row r="434" spans="3:13" x14ac:dyDescent="0.3">
      <c r="C434" t="s">
        <v>61</v>
      </c>
      <c r="D434" t="s">
        <v>67</v>
      </c>
      <c r="E434" t="s">
        <v>68</v>
      </c>
      <c r="F434" t="s">
        <v>26</v>
      </c>
      <c r="G434" s="4">
        <v>10</v>
      </c>
      <c r="H434" s="4" t="s">
        <v>17</v>
      </c>
      <c r="I434" s="4" t="s">
        <v>69</v>
      </c>
      <c r="J434" s="4" t="s">
        <v>66</v>
      </c>
      <c r="K434" s="4">
        <v>0</v>
      </c>
      <c r="L434" s="94">
        <v>1704043</v>
      </c>
      <c r="M434" s="94">
        <v>17040430</v>
      </c>
    </row>
    <row r="435" spans="3:13" x14ac:dyDescent="0.3">
      <c r="C435" t="s">
        <v>71</v>
      </c>
      <c r="D435" t="s">
        <v>67</v>
      </c>
      <c r="E435" t="s">
        <v>63</v>
      </c>
      <c r="F435" t="s">
        <v>25</v>
      </c>
      <c r="G435" s="4">
        <v>-1</v>
      </c>
      <c r="H435" s="4" t="s">
        <v>17</v>
      </c>
      <c r="I435" s="4" t="s">
        <v>69</v>
      </c>
      <c r="J435" s="4" t="s">
        <v>66</v>
      </c>
      <c r="K435" s="4">
        <v>0</v>
      </c>
      <c r="L435" s="94">
        <v>-4349</v>
      </c>
      <c r="M435" s="94">
        <v>0</v>
      </c>
    </row>
    <row r="436" spans="3:13" x14ac:dyDescent="0.3">
      <c r="C436" t="s">
        <v>71</v>
      </c>
      <c r="D436" t="s">
        <v>67</v>
      </c>
      <c r="E436" t="s">
        <v>63</v>
      </c>
      <c r="F436" t="s">
        <v>26</v>
      </c>
      <c r="G436" s="4">
        <v>2</v>
      </c>
      <c r="H436" s="4" t="s">
        <v>14</v>
      </c>
      <c r="I436" s="4" t="s">
        <v>69</v>
      </c>
      <c r="J436" s="4" t="s">
        <v>66</v>
      </c>
      <c r="K436" s="4">
        <v>0</v>
      </c>
      <c r="L436" s="94">
        <v>-2925854</v>
      </c>
      <c r="M436" s="94">
        <v>0</v>
      </c>
    </row>
    <row r="437" spans="3:13" x14ac:dyDescent="0.3">
      <c r="C437" t="s">
        <v>61</v>
      </c>
      <c r="D437" t="s">
        <v>62</v>
      </c>
      <c r="E437" t="s">
        <v>63</v>
      </c>
      <c r="F437" t="s">
        <v>24</v>
      </c>
      <c r="G437" s="4">
        <v>19</v>
      </c>
      <c r="I437" s="4" t="s">
        <v>69</v>
      </c>
      <c r="J437" s="4" t="s">
        <v>73</v>
      </c>
      <c r="K437" s="4">
        <v>1</v>
      </c>
      <c r="L437" s="94">
        <v>-7</v>
      </c>
      <c r="M437" s="94">
        <v>0</v>
      </c>
    </row>
    <row r="438" spans="3:13" x14ac:dyDescent="0.3">
      <c r="C438" t="s">
        <v>71</v>
      </c>
      <c r="D438" t="s">
        <v>62</v>
      </c>
      <c r="E438" t="s">
        <v>68</v>
      </c>
      <c r="F438" t="s">
        <v>25</v>
      </c>
      <c r="G438" s="4">
        <v>18</v>
      </c>
      <c r="I438" s="4" t="s">
        <v>69</v>
      </c>
      <c r="J438" s="4" t="s">
        <v>66</v>
      </c>
      <c r="K438" s="4">
        <v>0</v>
      </c>
      <c r="L438" s="94">
        <v>27004</v>
      </c>
      <c r="M438" s="94">
        <v>486072</v>
      </c>
    </row>
    <row r="439" spans="3:13" x14ac:dyDescent="0.3">
      <c r="C439" t="s">
        <v>70</v>
      </c>
      <c r="D439" t="s">
        <v>67</v>
      </c>
      <c r="E439" t="s">
        <v>63</v>
      </c>
      <c r="F439" t="s">
        <v>26</v>
      </c>
      <c r="G439" s="4">
        <v>1</v>
      </c>
      <c r="H439" s="4" t="s">
        <v>18</v>
      </c>
      <c r="I439" s="4" t="s">
        <v>69</v>
      </c>
      <c r="J439" s="4" t="s">
        <v>73</v>
      </c>
      <c r="K439" s="4">
        <v>1</v>
      </c>
      <c r="L439" s="94">
        <v>-27592</v>
      </c>
      <c r="M439" s="94">
        <v>0</v>
      </c>
    </row>
    <row r="440" spans="3:13" x14ac:dyDescent="0.3">
      <c r="C440" t="s">
        <v>61</v>
      </c>
      <c r="D440" t="s">
        <v>67</v>
      </c>
      <c r="E440" t="s">
        <v>63</v>
      </c>
      <c r="F440" t="s">
        <v>26</v>
      </c>
      <c r="G440" s="4">
        <v>1</v>
      </c>
      <c r="H440" s="4" t="s">
        <v>80</v>
      </c>
      <c r="I440" s="4" t="s">
        <v>69</v>
      </c>
      <c r="J440" s="4" t="s">
        <v>66</v>
      </c>
      <c r="K440" s="4">
        <v>0</v>
      </c>
      <c r="L440" s="94">
        <v>-5694</v>
      </c>
      <c r="M440" s="94">
        <v>0</v>
      </c>
    </row>
    <row r="441" spans="3:13" x14ac:dyDescent="0.3">
      <c r="C441" t="s">
        <v>61</v>
      </c>
      <c r="D441" t="s">
        <v>67</v>
      </c>
      <c r="E441" t="s">
        <v>68</v>
      </c>
      <c r="F441" t="s">
        <v>25</v>
      </c>
      <c r="G441" s="4">
        <v>10</v>
      </c>
      <c r="H441" s="4" t="s">
        <v>79</v>
      </c>
      <c r="I441" s="4" t="s">
        <v>69</v>
      </c>
      <c r="J441" s="4" t="s">
        <v>66</v>
      </c>
      <c r="K441" s="4">
        <v>0</v>
      </c>
      <c r="L441" s="94">
        <v>6974898</v>
      </c>
      <c r="M441" s="94">
        <v>69748980</v>
      </c>
    </row>
    <row r="442" spans="3:13" x14ac:dyDescent="0.3">
      <c r="C442" t="s">
        <v>61</v>
      </c>
      <c r="D442" t="s">
        <v>67</v>
      </c>
      <c r="E442" t="s">
        <v>68</v>
      </c>
      <c r="F442" t="s">
        <v>72</v>
      </c>
      <c r="G442" s="4">
        <v>1</v>
      </c>
      <c r="H442" s="4" t="s">
        <v>13</v>
      </c>
      <c r="I442" s="4" t="s">
        <v>69</v>
      </c>
      <c r="J442" s="4" t="s">
        <v>66</v>
      </c>
      <c r="K442" s="4">
        <v>0</v>
      </c>
      <c r="L442" s="94">
        <v>126949</v>
      </c>
      <c r="M442" s="94">
        <v>126949</v>
      </c>
    </row>
    <row r="443" spans="3:13" x14ac:dyDescent="0.3">
      <c r="C443" t="s">
        <v>71</v>
      </c>
      <c r="D443" t="s">
        <v>62</v>
      </c>
      <c r="E443" t="s">
        <v>63</v>
      </c>
      <c r="F443" t="s">
        <v>24</v>
      </c>
      <c r="G443" s="4">
        <v>10</v>
      </c>
      <c r="I443" s="4" t="s">
        <v>69</v>
      </c>
      <c r="J443" s="4" t="s">
        <v>66</v>
      </c>
      <c r="K443" s="4">
        <v>1</v>
      </c>
      <c r="L443" s="94">
        <v>-48951</v>
      </c>
      <c r="M443" s="94">
        <v>0</v>
      </c>
    </row>
    <row r="444" spans="3:13" x14ac:dyDescent="0.3">
      <c r="C444" t="s">
        <v>71</v>
      </c>
      <c r="D444" t="s">
        <v>67</v>
      </c>
      <c r="E444" t="s">
        <v>68</v>
      </c>
      <c r="F444" t="s">
        <v>72</v>
      </c>
      <c r="G444" s="4">
        <v>0</v>
      </c>
      <c r="H444" s="4" t="s">
        <v>12</v>
      </c>
      <c r="I444" s="4" t="s">
        <v>65</v>
      </c>
      <c r="J444" s="4" t="s">
        <v>73</v>
      </c>
      <c r="K444" s="4">
        <v>1</v>
      </c>
      <c r="L444" s="94">
        <v>5813</v>
      </c>
      <c r="M444" s="94">
        <v>0</v>
      </c>
    </row>
    <row r="445" spans="3:13" x14ac:dyDescent="0.3">
      <c r="C445" t="s">
        <v>71</v>
      </c>
      <c r="D445" t="s">
        <v>67</v>
      </c>
      <c r="E445" t="s">
        <v>68</v>
      </c>
      <c r="F445" t="s">
        <v>25</v>
      </c>
      <c r="G445" s="4">
        <v>3</v>
      </c>
      <c r="H445" s="4" t="s">
        <v>76</v>
      </c>
      <c r="I445" s="4" t="s">
        <v>65</v>
      </c>
      <c r="J445" s="4" t="s">
        <v>66</v>
      </c>
      <c r="K445" s="4">
        <v>1</v>
      </c>
      <c r="L445" s="94">
        <v>24109</v>
      </c>
      <c r="M445" s="94">
        <v>72327</v>
      </c>
    </row>
    <row r="446" spans="3:13" x14ac:dyDescent="0.3">
      <c r="C446" t="s">
        <v>61</v>
      </c>
      <c r="D446" t="s">
        <v>62</v>
      </c>
      <c r="E446" t="s">
        <v>63</v>
      </c>
      <c r="F446" t="s">
        <v>24</v>
      </c>
      <c r="G446" s="4">
        <v>31</v>
      </c>
      <c r="I446" s="4" t="s">
        <v>69</v>
      </c>
      <c r="J446" s="4" t="s">
        <v>66</v>
      </c>
      <c r="K446" s="4">
        <v>0</v>
      </c>
      <c r="L446" s="94">
        <v>-334272</v>
      </c>
      <c r="M446" s="94">
        <v>0</v>
      </c>
    </row>
    <row r="447" spans="3:13" x14ac:dyDescent="0.3">
      <c r="C447" t="s">
        <v>61</v>
      </c>
      <c r="D447" t="s">
        <v>85</v>
      </c>
      <c r="E447" t="s">
        <v>63</v>
      </c>
      <c r="F447" t="s">
        <v>25</v>
      </c>
      <c r="G447" s="4">
        <v>1</v>
      </c>
      <c r="H447" s="4" t="s">
        <v>81</v>
      </c>
      <c r="I447" s="4" t="s">
        <v>69</v>
      </c>
      <c r="J447" s="4" t="s">
        <v>66</v>
      </c>
      <c r="K447" s="4">
        <v>0</v>
      </c>
      <c r="L447" s="94">
        <v>-12</v>
      </c>
      <c r="M447" s="94">
        <v>0</v>
      </c>
    </row>
    <row r="448" spans="3:13" x14ac:dyDescent="0.3">
      <c r="C448" t="s">
        <v>61</v>
      </c>
      <c r="D448" t="s">
        <v>67</v>
      </c>
      <c r="E448" t="s">
        <v>68</v>
      </c>
      <c r="F448" t="s">
        <v>26</v>
      </c>
      <c r="G448" s="4">
        <v>-1</v>
      </c>
      <c r="H448" s="4" t="s">
        <v>17</v>
      </c>
      <c r="I448" s="4" t="s">
        <v>65</v>
      </c>
      <c r="J448" s="4" t="s">
        <v>73</v>
      </c>
      <c r="K448" s="4">
        <v>1</v>
      </c>
      <c r="L448" s="94">
        <v>1264747</v>
      </c>
      <c r="M448" s="94">
        <v>0</v>
      </c>
    </row>
    <row r="449" spans="3:13" x14ac:dyDescent="0.3">
      <c r="C449" t="s">
        <v>61</v>
      </c>
      <c r="D449" t="s">
        <v>67</v>
      </c>
      <c r="E449" t="s">
        <v>68</v>
      </c>
      <c r="F449" t="s">
        <v>26</v>
      </c>
      <c r="G449" s="4">
        <v>3</v>
      </c>
      <c r="H449" s="4" t="s">
        <v>80</v>
      </c>
      <c r="I449" s="4" t="s">
        <v>69</v>
      </c>
      <c r="J449" s="4" t="s">
        <v>66</v>
      </c>
      <c r="K449" s="4">
        <v>0</v>
      </c>
      <c r="L449" s="94">
        <v>1794781</v>
      </c>
      <c r="M449" s="94">
        <v>5384343</v>
      </c>
    </row>
    <row r="450" spans="3:13" x14ac:dyDescent="0.3">
      <c r="C450" t="s">
        <v>61</v>
      </c>
      <c r="D450" t="s">
        <v>67</v>
      </c>
      <c r="E450" t="s">
        <v>63</v>
      </c>
      <c r="F450" t="s">
        <v>25</v>
      </c>
      <c r="G450" s="4">
        <v>4</v>
      </c>
      <c r="H450" s="4" t="s">
        <v>74</v>
      </c>
      <c r="I450" s="4" t="s">
        <v>69</v>
      </c>
      <c r="J450" s="4" t="s">
        <v>66</v>
      </c>
      <c r="K450" s="4">
        <v>0</v>
      </c>
      <c r="L450" s="94">
        <v>-9179</v>
      </c>
      <c r="M450" s="94">
        <v>0</v>
      </c>
    </row>
    <row r="451" spans="3:13" x14ac:dyDescent="0.3">
      <c r="C451" t="s">
        <v>71</v>
      </c>
      <c r="D451" t="s">
        <v>67</v>
      </c>
      <c r="E451" t="s">
        <v>63</v>
      </c>
      <c r="F451" t="s">
        <v>25</v>
      </c>
      <c r="G451" s="4">
        <v>7</v>
      </c>
      <c r="H451" s="4" t="s">
        <v>14</v>
      </c>
      <c r="I451" s="4" t="s">
        <v>69</v>
      </c>
      <c r="J451" s="4" t="s">
        <v>66</v>
      </c>
      <c r="K451" s="4">
        <v>1</v>
      </c>
      <c r="L451" s="94">
        <v>-154647</v>
      </c>
      <c r="M451" s="94">
        <v>0</v>
      </c>
    </row>
    <row r="452" spans="3:13" x14ac:dyDescent="0.3">
      <c r="C452" t="s">
        <v>71</v>
      </c>
      <c r="D452" t="s">
        <v>67</v>
      </c>
      <c r="E452" t="s">
        <v>68</v>
      </c>
      <c r="F452" t="s">
        <v>26</v>
      </c>
      <c r="G452" s="4">
        <v>0</v>
      </c>
      <c r="H452" s="4" t="s">
        <v>83</v>
      </c>
      <c r="I452" s="4" t="s">
        <v>69</v>
      </c>
      <c r="J452" s="4" t="s">
        <v>66</v>
      </c>
      <c r="K452" s="4">
        <v>0</v>
      </c>
      <c r="L452" s="94">
        <v>38837</v>
      </c>
      <c r="M452" s="94">
        <v>0</v>
      </c>
    </row>
    <row r="453" spans="3:13" x14ac:dyDescent="0.3">
      <c r="C453" t="s">
        <v>70</v>
      </c>
      <c r="D453" t="s">
        <v>67</v>
      </c>
      <c r="E453" t="s">
        <v>63</v>
      </c>
      <c r="F453" t="s">
        <v>25</v>
      </c>
      <c r="G453" s="4">
        <v>4</v>
      </c>
      <c r="H453" s="4" t="s">
        <v>75</v>
      </c>
      <c r="I453" s="4" t="s">
        <v>69</v>
      </c>
      <c r="J453" s="4" t="s">
        <v>66</v>
      </c>
      <c r="K453" s="4">
        <v>0</v>
      </c>
      <c r="L453" s="94">
        <v>-268796</v>
      </c>
      <c r="M453" s="94">
        <v>0</v>
      </c>
    </row>
    <row r="454" spans="3:13" x14ac:dyDescent="0.3">
      <c r="C454" t="s">
        <v>71</v>
      </c>
      <c r="D454" t="s">
        <v>62</v>
      </c>
      <c r="E454" t="s">
        <v>63</v>
      </c>
      <c r="F454" t="s">
        <v>25</v>
      </c>
      <c r="G454" s="4">
        <v>19</v>
      </c>
      <c r="I454" s="4" t="s">
        <v>69</v>
      </c>
      <c r="J454" s="4" t="s">
        <v>66</v>
      </c>
      <c r="K454" s="4">
        <v>0</v>
      </c>
      <c r="L454" s="94">
        <v>-114202</v>
      </c>
      <c r="M454" s="94">
        <v>0</v>
      </c>
    </row>
    <row r="455" spans="3:13" x14ac:dyDescent="0.3">
      <c r="C455" t="s">
        <v>61</v>
      </c>
      <c r="D455" t="s">
        <v>67</v>
      </c>
      <c r="E455" t="s">
        <v>68</v>
      </c>
      <c r="F455" t="s">
        <v>72</v>
      </c>
      <c r="G455" s="4">
        <v>6</v>
      </c>
      <c r="H455" s="4" t="s">
        <v>17</v>
      </c>
      <c r="I455" s="4" t="s">
        <v>65</v>
      </c>
      <c r="J455" s="4" t="s">
        <v>73</v>
      </c>
      <c r="K455" s="4">
        <v>1</v>
      </c>
      <c r="L455" s="94">
        <v>91942</v>
      </c>
      <c r="M455" s="94">
        <v>551652</v>
      </c>
    </row>
    <row r="456" spans="3:13" x14ac:dyDescent="0.3">
      <c r="C456" t="s">
        <v>70</v>
      </c>
      <c r="D456" t="s">
        <v>62</v>
      </c>
      <c r="E456" t="s">
        <v>63</v>
      </c>
      <c r="F456" t="s">
        <v>25</v>
      </c>
      <c r="G456" s="4">
        <v>6</v>
      </c>
      <c r="I456" s="4" t="s">
        <v>69</v>
      </c>
      <c r="J456" s="4" t="s">
        <v>66</v>
      </c>
      <c r="K456" s="4">
        <v>1</v>
      </c>
      <c r="L456" s="94">
        <v>-1396</v>
      </c>
      <c r="M456" s="94">
        <v>0</v>
      </c>
    </row>
    <row r="457" spans="3:13" x14ac:dyDescent="0.3">
      <c r="C457" t="s">
        <v>61</v>
      </c>
      <c r="D457" t="s">
        <v>67</v>
      </c>
      <c r="E457" t="s">
        <v>68</v>
      </c>
      <c r="F457" t="s">
        <v>26</v>
      </c>
      <c r="G457" s="4">
        <v>10</v>
      </c>
      <c r="H457" s="4" t="s">
        <v>82</v>
      </c>
      <c r="I457" s="4" t="s">
        <v>69</v>
      </c>
      <c r="J457" s="4" t="s">
        <v>66</v>
      </c>
      <c r="K457" s="4">
        <v>0</v>
      </c>
      <c r="L457" s="94">
        <v>1177433</v>
      </c>
      <c r="M457" s="94">
        <v>11774330</v>
      </c>
    </row>
    <row r="458" spans="3:13" x14ac:dyDescent="0.3">
      <c r="C458" t="s">
        <v>61</v>
      </c>
      <c r="D458" t="s">
        <v>67</v>
      </c>
      <c r="E458" t="s">
        <v>68</v>
      </c>
      <c r="F458" t="s">
        <v>26</v>
      </c>
      <c r="G458" s="4">
        <v>4</v>
      </c>
      <c r="H458" s="4" t="s">
        <v>78</v>
      </c>
      <c r="I458" s="4" t="s">
        <v>69</v>
      </c>
      <c r="J458" s="4" t="s">
        <v>66</v>
      </c>
      <c r="K458" s="4">
        <v>0</v>
      </c>
      <c r="L458" s="94">
        <v>1820843</v>
      </c>
      <c r="M458" s="94">
        <v>7283372</v>
      </c>
    </row>
    <row r="459" spans="3:13" x14ac:dyDescent="0.3">
      <c r="C459" t="s">
        <v>71</v>
      </c>
      <c r="D459" t="s">
        <v>62</v>
      </c>
      <c r="E459" t="s">
        <v>63</v>
      </c>
      <c r="F459" t="s">
        <v>25</v>
      </c>
      <c r="G459" s="4">
        <v>34</v>
      </c>
      <c r="I459" s="4" t="s">
        <v>69</v>
      </c>
      <c r="J459" s="4" t="s">
        <v>66</v>
      </c>
      <c r="K459" s="4">
        <v>0</v>
      </c>
      <c r="L459" s="94">
        <v>-32484</v>
      </c>
      <c r="M459" s="94">
        <v>0</v>
      </c>
    </row>
    <row r="460" spans="3:13" x14ac:dyDescent="0.3">
      <c r="C460" t="s">
        <v>70</v>
      </c>
      <c r="D460" t="s">
        <v>62</v>
      </c>
      <c r="E460" t="s">
        <v>68</v>
      </c>
      <c r="F460" t="s">
        <v>24</v>
      </c>
      <c r="G460" s="4">
        <v>10</v>
      </c>
      <c r="I460" s="4" t="s">
        <v>65</v>
      </c>
      <c r="J460" s="4" t="s">
        <v>66</v>
      </c>
      <c r="K460" s="4">
        <v>1</v>
      </c>
      <c r="L460" s="94">
        <v>316943</v>
      </c>
      <c r="M460" s="94">
        <v>3169430</v>
      </c>
    </row>
    <row r="461" spans="3:13" x14ac:dyDescent="0.3">
      <c r="C461" t="s">
        <v>70</v>
      </c>
      <c r="D461" t="s">
        <v>67</v>
      </c>
      <c r="E461" t="s">
        <v>68</v>
      </c>
      <c r="F461" t="s">
        <v>25</v>
      </c>
      <c r="G461" s="4">
        <v>14</v>
      </c>
      <c r="H461" s="4" t="s">
        <v>17</v>
      </c>
      <c r="I461" s="4" t="s">
        <v>69</v>
      </c>
      <c r="J461" s="4" t="s">
        <v>66</v>
      </c>
      <c r="K461" s="4">
        <v>0</v>
      </c>
      <c r="L461" s="94">
        <v>1232667</v>
      </c>
      <c r="M461" s="94">
        <v>17257338</v>
      </c>
    </row>
    <row r="462" spans="3:13" x14ac:dyDescent="0.3">
      <c r="C462" t="s">
        <v>71</v>
      </c>
      <c r="D462" t="s">
        <v>67</v>
      </c>
      <c r="E462" t="s">
        <v>63</v>
      </c>
      <c r="F462" t="s">
        <v>26</v>
      </c>
      <c r="G462" s="4">
        <v>3</v>
      </c>
      <c r="H462" s="4" t="s">
        <v>13</v>
      </c>
      <c r="I462" s="4" t="s">
        <v>69</v>
      </c>
      <c r="J462" s="4" t="s">
        <v>73</v>
      </c>
      <c r="K462" s="4">
        <v>1</v>
      </c>
      <c r="L462" s="94">
        <v>-261098</v>
      </c>
      <c r="M462" s="94">
        <v>0</v>
      </c>
    </row>
    <row r="463" spans="3:13" x14ac:dyDescent="0.3">
      <c r="C463" t="s">
        <v>70</v>
      </c>
      <c r="D463" t="s">
        <v>67</v>
      </c>
      <c r="E463" t="s">
        <v>68</v>
      </c>
      <c r="F463" t="s">
        <v>26</v>
      </c>
      <c r="G463" s="4">
        <v>11</v>
      </c>
      <c r="H463" s="4" t="s">
        <v>12</v>
      </c>
      <c r="I463" s="4" t="s">
        <v>69</v>
      </c>
      <c r="J463" s="4" t="s">
        <v>73</v>
      </c>
      <c r="K463" s="4">
        <v>1</v>
      </c>
      <c r="L463" s="94">
        <v>140148</v>
      </c>
      <c r="M463" s="94">
        <v>1541628</v>
      </c>
    </row>
    <row r="464" spans="3:13" x14ac:dyDescent="0.3">
      <c r="C464" t="s">
        <v>61</v>
      </c>
      <c r="D464" t="s">
        <v>84</v>
      </c>
      <c r="E464" t="s">
        <v>68</v>
      </c>
      <c r="F464" t="s">
        <v>25</v>
      </c>
      <c r="G464" s="4">
        <v>12</v>
      </c>
      <c r="H464" s="4" t="s">
        <v>75</v>
      </c>
      <c r="I464" s="4" t="s">
        <v>69</v>
      </c>
      <c r="J464" s="4" t="s">
        <v>66</v>
      </c>
      <c r="K464" s="4">
        <v>0</v>
      </c>
      <c r="L464" s="94">
        <v>14087542</v>
      </c>
      <c r="M464" s="94">
        <v>169050504</v>
      </c>
    </row>
    <row r="465" spans="3:13" x14ac:dyDescent="0.3">
      <c r="C465" t="s">
        <v>70</v>
      </c>
      <c r="D465" t="s">
        <v>67</v>
      </c>
      <c r="E465" t="s">
        <v>63</v>
      </c>
      <c r="F465" t="s">
        <v>26</v>
      </c>
      <c r="G465" s="4">
        <v>3</v>
      </c>
      <c r="H465" s="4" t="s">
        <v>12</v>
      </c>
      <c r="I465" s="4" t="s">
        <v>65</v>
      </c>
      <c r="J465" s="4" t="s">
        <v>73</v>
      </c>
      <c r="K465" s="4">
        <v>1</v>
      </c>
      <c r="L465" s="94">
        <v>-49131</v>
      </c>
      <c r="M465" s="94">
        <v>0</v>
      </c>
    </row>
    <row r="466" spans="3:13" x14ac:dyDescent="0.3">
      <c r="C466" t="s">
        <v>61</v>
      </c>
      <c r="D466" t="s">
        <v>67</v>
      </c>
      <c r="E466" t="s">
        <v>63</v>
      </c>
      <c r="F466" t="s">
        <v>72</v>
      </c>
      <c r="G466" s="4">
        <v>-1</v>
      </c>
      <c r="H466" s="4" t="s">
        <v>83</v>
      </c>
      <c r="I466" s="4" t="s">
        <v>69</v>
      </c>
      <c r="J466" s="4" t="s">
        <v>66</v>
      </c>
      <c r="K466" s="4">
        <v>0</v>
      </c>
      <c r="L466" s="94">
        <v>-165</v>
      </c>
      <c r="M466" s="94">
        <v>0</v>
      </c>
    </row>
    <row r="467" spans="3:13" x14ac:dyDescent="0.3">
      <c r="C467" t="s">
        <v>71</v>
      </c>
      <c r="D467" t="s">
        <v>67</v>
      </c>
      <c r="E467" t="s">
        <v>68</v>
      </c>
      <c r="F467" t="s">
        <v>25</v>
      </c>
      <c r="G467" s="4">
        <v>10</v>
      </c>
      <c r="H467" s="4" t="s">
        <v>18</v>
      </c>
      <c r="I467" s="4" t="s">
        <v>69</v>
      </c>
      <c r="J467" s="4" t="s">
        <v>66</v>
      </c>
      <c r="K467" s="4">
        <v>0</v>
      </c>
      <c r="L467" s="94">
        <v>179815</v>
      </c>
      <c r="M467" s="94">
        <v>1798150</v>
      </c>
    </row>
    <row r="468" spans="3:13" x14ac:dyDescent="0.3">
      <c r="C468" t="s">
        <v>70</v>
      </c>
      <c r="D468" t="s">
        <v>67</v>
      </c>
      <c r="E468" t="s">
        <v>63</v>
      </c>
      <c r="F468" t="s">
        <v>26</v>
      </c>
      <c r="G468" s="4">
        <v>-1</v>
      </c>
      <c r="H468" s="4" t="s">
        <v>14</v>
      </c>
      <c r="I468" s="4" t="s">
        <v>69</v>
      </c>
      <c r="J468" s="4" t="s">
        <v>73</v>
      </c>
      <c r="K468" s="4">
        <v>1</v>
      </c>
      <c r="L468" s="94">
        <v>-980718</v>
      </c>
      <c r="M468" s="94">
        <v>0</v>
      </c>
    </row>
    <row r="469" spans="3:13" x14ac:dyDescent="0.3">
      <c r="C469" t="s">
        <v>61</v>
      </c>
      <c r="D469" t="s">
        <v>67</v>
      </c>
      <c r="E469" t="s">
        <v>68</v>
      </c>
      <c r="F469" t="s">
        <v>25</v>
      </c>
      <c r="G469" s="4">
        <v>8</v>
      </c>
      <c r="H469" s="4" t="s">
        <v>12</v>
      </c>
      <c r="I469" s="4" t="s">
        <v>69</v>
      </c>
      <c r="J469" s="4" t="s">
        <v>66</v>
      </c>
      <c r="K469" s="4">
        <v>0</v>
      </c>
      <c r="L469" s="94">
        <v>725015</v>
      </c>
      <c r="M469" s="94">
        <v>5800120</v>
      </c>
    </row>
    <row r="470" spans="3:13" x14ac:dyDescent="0.3">
      <c r="C470" t="s">
        <v>61</v>
      </c>
      <c r="D470" t="s">
        <v>67</v>
      </c>
      <c r="E470" t="s">
        <v>63</v>
      </c>
      <c r="F470" t="s">
        <v>25</v>
      </c>
      <c r="G470" s="4">
        <v>15</v>
      </c>
      <c r="H470" s="4" t="s">
        <v>17</v>
      </c>
      <c r="I470" s="4" t="s">
        <v>69</v>
      </c>
      <c r="J470" s="4" t="s">
        <v>66</v>
      </c>
      <c r="K470" s="4">
        <v>0</v>
      </c>
      <c r="L470" s="94">
        <v>-37055</v>
      </c>
      <c r="M470" s="94">
        <v>0</v>
      </c>
    </row>
    <row r="471" spans="3:13" x14ac:dyDescent="0.3">
      <c r="C471" t="s">
        <v>61</v>
      </c>
      <c r="D471" t="s">
        <v>67</v>
      </c>
      <c r="E471" t="s">
        <v>63</v>
      </c>
      <c r="F471" t="s">
        <v>25</v>
      </c>
      <c r="G471" s="4">
        <v>-1</v>
      </c>
      <c r="H471" s="4" t="s">
        <v>75</v>
      </c>
      <c r="I471" s="4" t="s">
        <v>69</v>
      </c>
      <c r="J471" s="4" t="s">
        <v>66</v>
      </c>
      <c r="K471" s="4">
        <v>0</v>
      </c>
      <c r="L471" s="94">
        <v>-12917</v>
      </c>
      <c r="M471" s="94">
        <v>0</v>
      </c>
    </row>
    <row r="472" spans="3:13" x14ac:dyDescent="0.3">
      <c r="C472" t="s">
        <v>71</v>
      </c>
      <c r="D472" t="s">
        <v>67</v>
      </c>
      <c r="E472" t="s">
        <v>68</v>
      </c>
      <c r="F472" t="s">
        <v>26</v>
      </c>
      <c r="G472" s="4">
        <v>-1</v>
      </c>
      <c r="H472" s="4" t="s">
        <v>87</v>
      </c>
      <c r="I472" s="4" t="s">
        <v>69</v>
      </c>
      <c r="J472" s="4" t="s">
        <v>66</v>
      </c>
      <c r="K472" s="4">
        <v>0</v>
      </c>
      <c r="L472" s="94">
        <v>0</v>
      </c>
      <c r="M472" s="94">
        <v>0</v>
      </c>
    </row>
    <row r="473" spans="3:13" x14ac:dyDescent="0.3">
      <c r="C473" t="s">
        <v>61</v>
      </c>
      <c r="D473" t="s">
        <v>67</v>
      </c>
      <c r="E473" t="s">
        <v>68</v>
      </c>
      <c r="F473" t="s">
        <v>26</v>
      </c>
      <c r="G473" s="4">
        <v>6</v>
      </c>
      <c r="H473" s="4" t="s">
        <v>17</v>
      </c>
      <c r="I473" s="4" t="s">
        <v>69</v>
      </c>
      <c r="J473" s="4" t="s">
        <v>66</v>
      </c>
      <c r="K473" s="4">
        <v>0</v>
      </c>
      <c r="L473" s="94">
        <v>259552</v>
      </c>
      <c r="M473" s="94">
        <v>1557312</v>
      </c>
    </row>
    <row r="474" spans="3:13" x14ac:dyDescent="0.3">
      <c r="C474" t="s">
        <v>61</v>
      </c>
      <c r="D474" t="s">
        <v>62</v>
      </c>
      <c r="E474" t="s">
        <v>68</v>
      </c>
      <c r="F474" t="s">
        <v>24</v>
      </c>
      <c r="G474" s="4">
        <v>10</v>
      </c>
      <c r="I474" s="4" t="s">
        <v>69</v>
      </c>
      <c r="J474" s="4" t="s">
        <v>66</v>
      </c>
      <c r="K474" s="4">
        <v>0</v>
      </c>
      <c r="L474" s="94">
        <v>182149243</v>
      </c>
      <c r="M474" s="94">
        <v>1821492430</v>
      </c>
    </row>
    <row r="475" spans="3:13" x14ac:dyDescent="0.3">
      <c r="C475" t="s">
        <v>70</v>
      </c>
      <c r="D475" t="s">
        <v>67</v>
      </c>
      <c r="E475" t="s">
        <v>68</v>
      </c>
      <c r="F475" t="s">
        <v>25</v>
      </c>
      <c r="G475" s="4">
        <v>6</v>
      </c>
      <c r="H475" s="4" t="s">
        <v>17</v>
      </c>
      <c r="I475" s="4" t="s">
        <v>69</v>
      </c>
      <c r="J475" s="4" t="s">
        <v>66</v>
      </c>
      <c r="K475" s="4">
        <v>1</v>
      </c>
      <c r="L475" s="94">
        <v>22165</v>
      </c>
      <c r="M475" s="94">
        <v>132990</v>
      </c>
    </row>
    <row r="476" spans="3:13" x14ac:dyDescent="0.3">
      <c r="C476" t="s">
        <v>61</v>
      </c>
      <c r="D476" t="s">
        <v>62</v>
      </c>
      <c r="E476" t="s">
        <v>68</v>
      </c>
      <c r="F476" t="s">
        <v>24</v>
      </c>
      <c r="G476" s="4">
        <v>4</v>
      </c>
      <c r="I476" s="4" t="s">
        <v>65</v>
      </c>
      <c r="J476" s="4" t="s">
        <v>66</v>
      </c>
      <c r="K476" s="4">
        <v>1</v>
      </c>
      <c r="L476" s="94">
        <v>758401</v>
      </c>
      <c r="M476" s="94">
        <v>3033604</v>
      </c>
    </row>
    <row r="477" spans="3:13" x14ac:dyDescent="0.3">
      <c r="C477" t="s">
        <v>71</v>
      </c>
      <c r="D477" t="s">
        <v>67</v>
      </c>
      <c r="E477" t="s">
        <v>63</v>
      </c>
      <c r="F477" t="s">
        <v>26</v>
      </c>
      <c r="G477" s="4">
        <v>-1</v>
      </c>
      <c r="H477" s="4" t="s">
        <v>87</v>
      </c>
      <c r="I477" s="4" t="s">
        <v>69</v>
      </c>
      <c r="J477" s="4" t="s">
        <v>66</v>
      </c>
      <c r="K477" s="4">
        <v>0</v>
      </c>
      <c r="L477" s="94">
        <v>0</v>
      </c>
      <c r="M477" s="94">
        <v>0</v>
      </c>
    </row>
    <row r="478" spans="3:13" x14ac:dyDescent="0.3">
      <c r="C478" t="s">
        <v>61</v>
      </c>
      <c r="D478" t="s">
        <v>67</v>
      </c>
      <c r="E478" t="s">
        <v>63</v>
      </c>
      <c r="F478" t="s">
        <v>25</v>
      </c>
      <c r="G478" s="4">
        <v>4</v>
      </c>
      <c r="H478" s="4" t="s">
        <v>14</v>
      </c>
      <c r="I478" s="4" t="s">
        <v>69</v>
      </c>
      <c r="J478" s="4" t="s">
        <v>66</v>
      </c>
      <c r="K478" s="4">
        <v>0</v>
      </c>
      <c r="L478" s="94">
        <v>-7807</v>
      </c>
      <c r="M478" s="94">
        <v>0</v>
      </c>
    </row>
    <row r="479" spans="3:13" x14ac:dyDescent="0.3">
      <c r="C479" t="s">
        <v>70</v>
      </c>
      <c r="D479" t="s">
        <v>67</v>
      </c>
      <c r="E479" t="s">
        <v>63</v>
      </c>
      <c r="F479" t="s">
        <v>26</v>
      </c>
      <c r="G479" s="4">
        <v>5</v>
      </c>
      <c r="H479" s="4" t="s">
        <v>14</v>
      </c>
      <c r="I479" s="4" t="s">
        <v>69</v>
      </c>
      <c r="J479" s="4" t="s">
        <v>66</v>
      </c>
      <c r="K479" s="4">
        <v>0</v>
      </c>
      <c r="L479" s="94">
        <v>-231011</v>
      </c>
      <c r="M479" s="94">
        <v>0</v>
      </c>
    </row>
    <row r="480" spans="3:13" x14ac:dyDescent="0.3">
      <c r="C480" t="s">
        <v>61</v>
      </c>
      <c r="D480" t="s">
        <v>67</v>
      </c>
      <c r="E480" t="s">
        <v>63</v>
      </c>
      <c r="F480" t="s">
        <v>25</v>
      </c>
      <c r="G480" s="4">
        <v>6</v>
      </c>
      <c r="H480" s="4" t="s">
        <v>14</v>
      </c>
      <c r="I480" s="4" t="s">
        <v>69</v>
      </c>
      <c r="J480" s="4" t="s">
        <v>73</v>
      </c>
      <c r="K480" s="4">
        <v>1</v>
      </c>
      <c r="L480" s="94">
        <v>-40</v>
      </c>
      <c r="M480" s="94">
        <v>0</v>
      </c>
    </row>
    <row r="481" spans="3:13" x14ac:dyDescent="0.3">
      <c r="C481" t="s">
        <v>61</v>
      </c>
      <c r="D481" t="s">
        <v>62</v>
      </c>
      <c r="E481" t="s">
        <v>63</v>
      </c>
      <c r="F481" t="s">
        <v>24</v>
      </c>
      <c r="G481" s="4">
        <v>35</v>
      </c>
      <c r="I481" s="4" t="s">
        <v>69</v>
      </c>
      <c r="J481" s="4" t="s">
        <v>66</v>
      </c>
      <c r="K481" s="4">
        <v>0</v>
      </c>
      <c r="L481" s="94">
        <v>-759740</v>
      </c>
      <c r="M481" s="94">
        <v>0</v>
      </c>
    </row>
    <row r="482" spans="3:13" x14ac:dyDescent="0.3">
      <c r="C482" t="s">
        <v>70</v>
      </c>
      <c r="D482" t="s">
        <v>67</v>
      </c>
      <c r="E482" t="s">
        <v>63</v>
      </c>
      <c r="F482" t="s">
        <v>25</v>
      </c>
      <c r="G482" s="4">
        <v>10</v>
      </c>
      <c r="H482" s="4" t="s">
        <v>12</v>
      </c>
      <c r="I482" s="4" t="s">
        <v>69</v>
      </c>
      <c r="J482" s="4" t="s">
        <v>66</v>
      </c>
      <c r="K482" s="4">
        <v>1</v>
      </c>
      <c r="L482" s="94">
        <v>-50874</v>
      </c>
      <c r="M482" s="94">
        <v>0</v>
      </c>
    </row>
    <row r="483" spans="3:13" x14ac:dyDescent="0.3">
      <c r="C483" t="s">
        <v>61</v>
      </c>
      <c r="D483" t="s">
        <v>67</v>
      </c>
      <c r="E483" t="s">
        <v>63</v>
      </c>
      <c r="F483" t="s">
        <v>26</v>
      </c>
      <c r="G483" s="4">
        <v>0</v>
      </c>
      <c r="H483" s="4" t="s">
        <v>14</v>
      </c>
      <c r="I483" s="4" t="s">
        <v>65</v>
      </c>
      <c r="J483" s="4" t="s">
        <v>73</v>
      </c>
      <c r="K483" s="4">
        <v>1</v>
      </c>
      <c r="L483" s="94">
        <v>-21928</v>
      </c>
      <c r="M483" s="94">
        <v>0</v>
      </c>
    </row>
    <row r="484" spans="3:13" x14ac:dyDescent="0.3">
      <c r="C484" t="s">
        <v>61</v>
      </c>
      <c r="D484" t="s">
        <v>62</v>
      </c>
      <c r="E484" t="s">
        <v>63</v>
      </c>
      <c r="F484" t="s">
        <v>25</v>
      </c>
      <c r="G484" s="4">
        <v>26</v>
      </c>
      <c r="I484" s="4" t="s">
        <v>69</v>
      </c>
      <c r="J484" s="4" t="s">
        <v>66</v>
      </c>
      <c r="K484" s="4">
        <v>0</v>
      </c>
      <c r="L484" s="94">
        <v>-475</v>
      </c>
      <c r="M484" s="94">
        <v>0</v>
      </c>
    </row>
    <row r="485" spans="3:13" x14ac:dyDescent="0.3">
      <c r="C485" t="s">
        <v>71</v>
      </c>
      <c r="D485" t="s">
        <v>67</v>
      </c>
      <c r="E485" t="s">
        <v>68</v>
      </c>
      <c r="F485" t="s">
        <v>26</v>
      </c>
      <c r="G485" s="4">
        <v>2</v>
      </c>
      <c r="H485" s="4" t="s">
        <v>12</v>
      </c>
      <c r="I485" s="4" t="s">
        <v>69</v>
      </c>
      <c r="J485" s="4" t="s">
        <v>66</v>
      </c>
      <c r="K485" s="4">
        <v>0</v>
      </c>
      <c r="L485" s="94">
        <v>82528</v>
      </c>
      <c r="M485" s="94">
        <v>165056</v>
      </c>
    </row>
    <row r="486" spans="3:13" x14ac:dyDescent="0.3">
      <c r="C486" t="s">
        <v>70</v>
      </c>
      <c r="D486" t="s">
        <v>67</v>
      </c>
      <c r="E486" t="s">
        <v>68</v>
      </c>
      <c r="F486" t="s">
        <v>72</v>
      </c>
      <c r="G486" s="4">
        <v>7</v>
      </c>
      <c r="H486" s="4" t="s">
        <v>77</v>
      </c>
      <c r="I486" s="4" t="s">
        <v>69</v>
      </c>
      <c r="J486" s="4" t="s">
        <v>66</v>
      </c>
      <c r="K486" s="4">
        <v>0</v>
      </c>
      <c r="L486" s="94">
        <v>117012</v>
      </c>
      <c r="M486" s="94">
        <v>819084</v>
      </c>
    </row>
    <row r="487" spans="3:13" x14ac:dyDescent="0.3">
      <c r="C487" t="s">
        <v>70</v>
      </c>
      <c r="D487" t="s">
        <v>62</v>
      </c>
      <c r="E487" t="s">
        <v>68</v>
      </c>
      <c r="F487" t="s">
        <v>24</v>
      </c>
      <c r="G487" s="4">
        <v>12</v>
      </c>
      <c r="I487" s="4" t="s">
        <v>69</v>
      </c>
      <c r="J487" s="4" t="s">
        <v>66</v>
      </c>
      <c r="K487" s="4">
        <v>1</v>
      </c>
      <c r="L487" s="94">
        <v>124032</v>
      </c>
      <c r="M487" s="94">
        <v>1488384</v>
      </c>
    </row>
    <row r="488" spans="3:13" x14ac:dyDescent="0.3">
      <c r="C488" t="s">
        <v>61</v>
      </c>
      <c r="D488" t="s">
        <v>67</v>
      </c>
      <c r="E488" t="s">
        <v>63</v>
      </c>
      <c r="F488" t="s">
        <v>25</v>
      </c>
      <c r="G488" s="4">
        <v>0</v>
      </c>
      <c r="H488" s="4" t="s">
        <v>14</v>
      </c>
      <c r="I488" s="4" t="s">
        <v>69</v>
      </c>
      <c r="J488" s="4" t="s">
        <v>66</v>
      </c>
      <c r="K488" s="4">
        <v>1</v>
      </c>
      <c r="L488" s="94">
        <v>-541</v>
      </c>
      <c r="M488" s="94">
        <v>0</v>
      </c>
    </row>
    <row r="489" spans="3:13" x14ac:dyDescent="0.3">
      <c r="C489" t="s">
        <v>70</v>
      </c>
      <c r="D489" t="s">
        <v>67</v>
      </c>
      <c r="E489" t="s">
        <v>68</v>
      </c>
      <c r="F489" t="s">
        <v>72</v>
      </c>
      <c r="G489" s="4">
        <v>6</v>
      </c>
      <c r="H489" s="4" t="s">
        <v>14</v>
      </c>
      <c r="I489" s="4" t="s">
        <v>69</v>
      </c>
      <c r="J489" s="4" t="s">
        <v>73</v>
      </c>
      <c r="K489" s="4">
        <v>1</v>
      </c>
      <c r="L489" s="94">
        <v>145215</v>
      </c>
      <c r="M489" s="94">
        <v>871290</v>
      </c>
    </row>
    <row r="490" spans="3:13" x14ac:dyDescent="0.3">
      <c r="C490" t="s">
        <v>61</v>
      </c>
      <c r="D490" t="s">
        <v>67</v>
      </c>
      <c r="E490" t="s">
        <v>68</v>
      </c>
      <c r="F490" t="s">
        <v>26</v>
      </c>
      <c r="G490" s="4">
        <v>1</v>
      </c>
      <c r="H490" s="4" t="s">
        <v>18</v>
      </c>
      <c r="I490" s="4" t="s">
        <v>65</v>
      </c>
      <c r="J490" s="4" t="s">
        <v>66</v>
      </c>
      <c r="K490" s="4">
        <v>1</v>
      </c>
      <c r="L490" s="94">
        <v>185677</v>
      </c>
      <c r="M490" s="94">
        <v>185677</v>
      </c>
    </row>
    <row r="491" spans="3:13" x14ac:dyDescent="0.3">
      <c r="C491" t="s">
        <v>61</v>
      </c>
      <c r="D491" t="s">
        <v>67</v>
      </c>
      <c r="E491" t="s">
        <v>63</v>
      </c>
      <c r="F491" t="s">
        <v>25</v>
      </c>
      <c r="G491" s="4">
        <v>6</v>
      </c>
      <c r="H491" s="4" t="s">
        <v>78</v>
      </c>
      <c r="I491" s="4" t="s">
        <v>69</v>
      </c>
      <c r="J491" s="4" t="s">
        <v>66</v>
      </c>
      <c r="K491" s="4">
        <v>0</v>
      </c>
      <c r="L491" s="94">
        <v>-5859</v>
      </c>
      <c r="M491" s="94">
        <v>0</v>
      </c>
    </row>
    <row r="492" spans="3:13" x14ac:dyDescent="0.3">
      <c r="C492" t="s">
        <v>61</v>
      </c>
      <c r="D492" t="s">
        <v>67</v>
      </c>
      <c r="E492" t="s">
        <v>68</v>
      </c>
      <c r="F492" t="s">
        <v>72</v>
      </c>
      <c r="G492" s="4">
        <v>1</v>
      </c>
      <c r="H492" s="4" t="s">
        <v>75</v>
      </c>
      <c r="I492" s="4" t="s">
        <v>69</v>
      </c>
      <c r="J492" s="4" t="s">
        <v>66</v>
      </c>
      <c r="K492" s="4">
        <v>0</v>
      </c>
      <c r="L492" s="94">
        <v>3752250</v>
      </c>
      <c r="M492" s="94">
        <v>3752250</v>
      </c>
    </row>
    <row r="493" spans="3:13" x14ac:dyDescent="0.3">
      <c r="C493" t="s">
        <v>61</v>
      </c>
      <c r="D493" t="s">
        <v>67</v>
      </c>
      <c r="E493" t="s">
        <v>68</v>
      </c>
      <c r="F493" t="s">
        <v>25</v>
      </c>
      <c r="G493" s="4">
        <v>5</v>
      </c>
      <c r="H493" s="4" t="s">
        <v>12</v>
      </c>
      <c r="I493" s="4" t="s">
        <v>69</v>
      </c>
      <c r="J493" s="4" t="s">
        <v>66</v>
      </c>
      <c r="K493" s="4">
        <v>1</v>
      </c>
      <c r="L493" s="94">
        <v>13545544</v>
      </c>
      <c r="M493" s="94">
        <v>67727720</v>
      </c>
    </row>
    <row r="494" spans="3:13" x14ac:dyDescent="0.3">
      <c r="D494" t="s">
        <v>67</v>
      </c>
      <c r="E494" t="s">
        <v>68</v>
      </c>
      <c r="G494" s="4">
        <v>-3</v>
      </c>
      <c r="H494" s="4" t="s">
        <v>14</v>
      </c>
      <c r="I494" s="4" t="s">
        <v>69</v>
      </c>
      <c r="J494" s="4" t="s">
        <v>66</v>
      </c>
      <c r="K494" s="4">
        <v>0</v>
      </c>
      <c r="L494" s="94">
        <v>35578</v>
      </c>
      <c r="M494" s="94">
        <v>0</v>
      </c>
    </row>
    <row r="495" spans="3:13" x14ac:dyDescent="0.3">
      <c r="C495" t="s">
        <v>70</v>
      </c>
      <c r="D495" t="s">
        <v>67</v>
      </c>
      <c r="E495" t="s">
        <v>63</v>
      </c>
      <c r="F495" t="s">
        <v>25</v>
      </c>
      <c r="G495" s="4">
        <v>8</v>
      </c>
      <c r="H495" s="4" t="s">
        <v>17</v>
      </c>
      <c r="I495" s="4" t="s">
        <v>69</v>
      </c>
      <c r="J495" s="4" t="s">
        <v>66</v>
      </c>
      <c r="K495" s="4">
        <v>0</v>
      </c>
      <c r="L495" s="94">
        <v>-33355</v>
      </c>
      <c r="M495" s="94">
        <v>0</v>
      </c>
    </row>
    <row r="496" spans="3:13" x14ac:dyDescent="0.3">
      <c r="C496" t="s">
        <v>61</v>
      </c>
      <c r="D496" t="s">
        <v>84</v>
      </c>
      <c r="E496" t="s">
        <v>63</v>
      </c>
      <c r="F496" t="s">
        <v>25</v>
      </c>
      <c r="G496" s="4">
        <v>14</v>
      </c>
      <c r="H496" s="4" t="s">
        <v>75</v>
      </c>
      <c r="I496" s="4" t="s">
        <v>69</v>
      </c>
      <c r="J496" s="4" t="s">
        <v>66</v>
      </c>
      <c r="K496" s="4">
        <v>0</v>
      </c>
      <c r="L496" s="94">
        <v>-2561</v>
      </c>
      <c r="M496" s="94">
        <v>0</v>
      </c>
    </row>
    <row r="497" spans="3:13" x14ac:dyDescent="0.3">
      <c r="C497" t="s">
        <v>70</v>
      </c>
      <c r="D497" t="s">
        <v>62</v>
      </c>
      <c r="E497" t="s">
        <v>63</v>
      </c>
      <c r="F497" t="s">
        <v>24</v>
      </c>
      <c r="G497" s="4">
        <v>55</v>
      </c>
      <c r="I497" s="4" t="s">
        <v>69</v>
      </c>
      <c r="J497" s="4" t="s">
        <v>66</v>
      </c>
      <c r="K497" s="4">
        <v>0</v>
      </c>
      <c r="L497" s="94">
        <v>-800</v>
      </c>
      <c r="M497" s="94">
        <v>0</v>
      </c>
    </row>
    <row r="498" spans="3:13" x14ac:dyDescent="0.3">
      <c r="C498" t="s">
        <v>61</v>
      </c>
      <c r="D498" t="s">
        <v>67</v>
      </c>
      <c r="E498" t="s">
        <v>63</v>
      </c>
      <c r="F498" t="s">
        <v>26</v>
      </c>
      <c r="G498" s="4">
        <v>7</v>
      </c>
      <c r="H498" s="4" t="s">
        <v>17</v>
      </c>
      <c r="I498" s="4" t="s">
        <v>69</v>
      </c>
      <c r="J498" s="4" t="s">
        <v>66</v>
      </c>
      <c r="K498" s="4">
        <v>0</v>
      </c>
      <c r="L498" s="94">
        <v>-3163</v>
      </c>
      <c r="M498" s="94">
        <v>0</v>
      </c>
    </row>
    <row r="499" spans="3:13" x14ac:dyDescent="0.3">
      <c r="C499" t="s">
        <v>70</v>
      </c>
      <c r="D499" t="s">
        <v>67</v>
      </c>
      <c r="E499" t="s">
        <v>68</v>
      </c>
      <c r="F499" t="s">
        <v>72</v>
      </c>
      <c r="G499" s="4">
        <v>-4</v>
      </c>
      <c r="H499" s="4" t="s">
        <v>17</v>
      </c>
      <c r="I499" s="4" t="s">
        <v>69</v>
      </c>
      <c r="J499" s="4" t="s">
        <v>73</v>
      </c>
      <c r="K499" s="4">
        <v>1</v>
      </c>
      <c r="L499" s="94">
        <v>416</v>
      </c>
      <c r="M499" s="94">
        <v>0</v>
      </c>
    </row>
    <row r="500" spans="3:13" x14ac:dyDescent="0.3">
      <c r="C500" t="s">
        <v>71</v>
      </c>
      <c r="D500" t="s">
        <v>67</v>
      </c>
      <c r="E500" t="s">
        <v>63</v>
      </c>
      <c r="F500" t="s">
        <v>72</v>
      </c>
      <c r="G500" s="4">
        <v>2</v>
      </c>
      <c r="H500" s="4" t="s">
        <v>82</v>
      </c>
      <c r="I500" s="4" t="s">
        <v>69</v>
      </c>
      <c r="J500" s="4" t="s">
        <v>66</v>
      </c>
      <c r="K500" s="4">
        <v>0</v>
      </c>
      <c r="L500" s="94">
        <v>-98587</v>
      </c>
      <c r="M500" s="94">
        <v>0</v>
      </c>
    </row>
    <row r="501" spans="3:13" x14ac:dyDescent="0.3">
      <c r="C501" t="s">
        <v>61</v>
      </c>
      <c r="D501" t="s">
        <v>67</v>
      </c>
      <c r="E501" t="s">
        <v>63</v>
      </c>
      <c r="F501" t="s">
        <v>26</v>
      </c>
      <c r="G501" s="4">
        <v>-1</v>
      </c>
      <c r="H501" s="4" t="s">
        <v>76</v>
      </c>
      <c r="I501" s="4" t="s">
        <v>69</v>
      </c>
      <c r="J501" s="4" t="s">
        <v>66</v>
      </c>
      <c r="K501" s="4">
        <v>0</v>
      </c>
      <c r="L501" s="94">
        <v>-177030</v>
      </c>
      <c r="M501" s="94">
        <v>0</v>
      </c>
    </row>
    <row r="502" spans="3:13" x14ac:dyDescent="0.3">
      <c r="C502" t="s">
        <v>71</v>
      </c>
      <c r="D502" t="s">
        <v>67</v>
      </c>
      <c r="E502" t="s">
        <v>68</v>
      </c>
      <c r="F502" t="s">
        <v>25</v>
      </c>
      <c r="G502" s="4">
        <v>5</v>
      </c>
      <c r="H502" s="4" t="s">
        <v>18</v>
      </c>
      <c r="I502" s="4" t="s">
        <v>69</v>
      </c>
      <c r="J502" s="4" t="s">
        <v>66</v>
      </c>
      <c r="K502" s="4">
        <v>1</v>
      </c>
      <c r="L502" s="94">
        <v>71691</v>
      </c>
      <c r="M502" s="94">
        <v>358455</v>
      </c>
    </row>
    <row r="503" spans="3:13" x14ac:dyDescent="0.3">
      <c r="C503" t="s">
        <v>71</v>
      </c>
      <c r="D503" t="s">
        <v>67</v>
      </c>
      <c r="E503" t="s">
        <v>63</v>
      </c>
      <c r="F503" t="s">
        <v>26</v>
      </c>
      <c r="G503" s="4">
        <v>2</v>
      </c>
      <c r="H503" s="4" t="s">
        <v>17</v>
      </c>
      <c r="I503" s="4" t="s">
        <v>65</v>
      </c>
      <c r="J503" s="4" t="s">
        <v>73</v>
      </c>
      <c r="K503" s="4">
        <v>1</v>
      </c>
      <c r="L503" s="94">
        <v>-20461</v>
      </c>
      <c r="M503" s="94">
        <v>0</v>
      </c>
    </row>
    <row r="504" spans="3:13" x14ac:dyDescent="0.3">
      <c r="C504" t="s">
        <v>61</v>
      </c>
      <c r="D504" t="s">
        <v>67</v>
      </c>
      <c r="E504" t="s">
        <v>63</v>
      </c>
      <c r="F504" t="s">
        <v>25</v>
      </c>
      <c r="G504" s="4">
        <v>-1</v>
      </c>
      <c r="H504" s="4" t="s">
        <v>83</v>
      </c>
      <c r="I504" s="4" t="s">
        <v>69</v>
      </c>
      <c r="J504" s="4" t="s">
        <v>66</v>
      </c>
      <c r="K504" s="4">
        <v>0</v>
      </c>
      <c r="L504" s="94">
        <v>-820</v>
      </c>
      <c r="M504" s="94">
        <v>0</v>
      </c>
    </row>
    <row r="505" spans="3:13" x14ac:dyDescent="0.3">
      <c r="C505" t="s">
        <v>71</v>
      </c>
      <c r="D505" t="s">
        <v>67</v>
      </c>
      <c r="E505" t="s">
        <v>63</v>
      </c>
      <c r="F505" t="s">
        <v>26</v>
      </c>
      <c r="G505" s="4">
        <v>1</v>
      </c>
      <c r="H505" s="4" t="s">
        <v>12</v>
      </c>
      <c r="I505" s="4" t="s">
        <v>69</v>
      </c>
      <c r="J505" s="4" t="s">
        <v>66</v>
      </c>
      <c r="K505" s="4">
        <v>0</v>
      </c>
      <c r="L505" s="94">
        <v>-102120</v>
      </c>
      <c r="M505" s="94">
        <v>0</v>
      </c>
    </row>
    <row r="506" spans="3:13" x14ac:dyDescent="0.3">
      <c r="C506" t="s">
        <v>70</v>
      </c>
      <c r="D506" t="s">
        <v>67</v>
      </c>
      <c r="E506" t="s">
        <v>68</v>
      </c>
      <c r="F506" t="s">
        <v>25</v>
      </c>
      <c r="G506" s="4">
        <v>0</v>
      </c>
      <c r="H506" s="4" t="s">
        <v>82</v>
      </c>
      <c r="I506" s="4" t="s">
        <v>69</v>
      </c>
      <c r="J506" s="4" t="s">
        <v>66</v>
      </c>
      <c r="K506" s="4">
        <v>0</v>
      </c>
      <c r="L506" s="94">
        <v>24447</v>
      </c>
      <c r="M506" s="94">
        <v>0</v>
      </c>
    </row>
    <row r="507" spans="3:13" x14ac:dyDescent="0.3">
      <c r="C507" t="s">
        <v>70</v>
      </c>
      <c r="D507" t="s">
        <v>67</v>
      </c>
      <c r="E507" t="s">
        <v>68</v>
      </c>
      <c r="F507" t="s">
        <v>26</v>
      </c>
      <c r="G507" s="4">
        <v>1</v>
      </c>
      <c r="H507" s="4" t="s">
        <v>80</v>
      </c>
      <c r="I507" s="4" t="s">
        <v>69</v>
      </c>
      <c r="J507" s="4" t="s">
        <v>66</v>
      </c>
      <c r="K507" s="4">
        <v>0</v>
      </c>
      <c r="L507" s="94">
        <v>298436</v>
      </c>
      <c r="M507" s="94">
        <v>298436</v>
      </c>
    </row>
    <row r="508" spans="3:13" x14ac:dyDescent="0.3">
      <c r="C508" t="s">
        <v>61</v>
      </c>
      <c r="D508" t="s">
        <v>67</v>
      </c>
      <c r="E508" t="s">
        <v>63</v>
      </c>
      <c r="F508" t="s">
        <v>26</v>
      </c>
      <c r="G508" s="4">
        <v>2</v>
      </c>
      <c r="H508" s="4" t="s">
        <v>79</v>
      </c>
      <c r="I508" s="4" t="s">
        <v>69</v>
      </c>
      <c r="J508" s="4" t="s">
        <v>66</v>
      </c>
      <c r="K508" s="4">
        <v>0</v>
      </c>
      <c r="L508" s="94">
        <v>-48750</v>
      </c>
      <c r="M508" s="94">
        <v>0</v>
      </c>
    </row>
    <row r="509" spans="3:13" x14ac:dyDescent="0.3">
      <c r="C509" t="s">
        <v>71</v>
      </c>
      <c r="D509" t="s">
        <v>67</v>
      </c>
      <c r="E509" t="s">
        <v>63</v>
      </c>
      <c r="F509" t="s">
        <v>72</v>
      </c>
      <c r="G509" s="4">
        <v>-4</v>
      </c>
      <c r="H509" s="4" t="s">
        <v>17</v>
      </c>
      <c r="I509" s="4" t="s">
        <v>69</v>
      </c>
      <c r="J509" s="4" t="s">
        <v>66</v>
      </c>
      <c r="K509" s="4">
        <v>0</v>
      </c>
      <c r="L509" s="94">
        <v>-431608</v>
      </c>
      <c r="M509" s="94">
        <v>0</v>
      </c>
    </row>
    <row r="510" spans="3:13" x14ac:dyDescent="0.3">
      <c r="C510" t="s">
        <v>61</v>
      </c>
      <c r="D510" t="s">
        <v>84</v>
      </c>
      <c r="E510" t="s">
        <v>68</v>
      </c>
      <c r="F510" t="s">
        <v>25</v>
      </c>
      <c r="G510" s="4">
        <v>2</v>
      </c>
      <c r="H510" s="4" t="s">
        <v>81</v>
      </c>
      <c r="I510" s="4" t="s">
        <v>69</v>
      </c>
      <c r="J510" s="4" t="s">
        <v>66</v>
      </c>
      <c r="K510" s="4">
        <v>0</v>
      </c>
      <c r="L510" s="94">
        <v>19254529</v>
      </c>
      <c r="M510" s="94">
        <v>38509058</v>
      </c>
    </row>
    <row r="511" spans="3:13" x14ac:dyDescent="0.3">
      <c r="C511" t="s">
        <v>71</v>
      </c>
      <c r="D511" t="s">
        <v>62</v>
      </c>
      <c r="E511" t="s">
        <v>68</v>
      </c>
      <c r="F511" t="s">
        <v>25</v>
      </c>
      <c r="G511" s="4">
        <v>1</v>
      </c>
      <c r="I511" s="4" t="s">
        <v>69</v>
      </c>
      <c r="J511" s="4" t="s">
        <v>66</v>
      </c>
      <c r="K511" s="4">
        <v>0</v>
      </c>
      <c r="L511" s="94">
        <v>15548</v>
      </c>
      <c r="M511" s="94">
        <v>15548</v>
      </c>
    </row>
    <row r="512" spans="3:13" x14ac:dyDescent="0.3">
      <c r="C512" t="s">
        <v>71</v>
      </c>
      <c r="D512" t="s">
        <v>67</v>
      </c>
      <c r="E512" t="s">
        <v>68</v>
      </c>
      <c r="F512" t="s">
        <v>25</v>
      </c>
      <c r="G512" s="4">
        <v>1</v>
      </c>
      <c r="H512" s="4" t="s">
        <v>14</v>
      </c>
      <c r="I512" s="4" t="s">
        <v>69</v>
      </c>
      <c r="J512" s="4" t="s">
        <v>66</v>
      </c>
      <c r="K512" s="4">
        <v>0</v>
      </c>
      <c r="L512" s="94">
        <v>261749</v>
      </c>
      <c r="M512" s="94">
        <v>261749</v>
      </c>
    </row>
    <row r="513" spans="3:13" x14ac:dyDescent="0.3">
      <c r="C513" t="s">
        <v>71</v>
      </c>
      <c r="D513" t="s">
        <v>67</v>
      </c>
      <c r="E513" t="s">
        <v>63</v>
      </c>
      <c r="F513" t="s">
        <v>26</v>
      </c>
      <c r="G513" s="4">
        <v>0</v>
      </c>
      <c r="H513" s="4" t="s">
        <v>77</v>
      </c>
      <c r="I513" s="4" t="s">
        <v>69</v>
      </c>
      <c r="J513" s="4" t="s">
        <v>66</v>
      </c>
      <c r="K513" s="4">
        <v>0</v>
      </c>
      <c r="L513" s="94">
        <v>-105122</v>
      </c>
      <c r="M513" s="94">
        <v>0</v>
      </c>
    </row>
    <row r="514" spans="3:13" x14ac:dyDescent="0.3">
      <c r="C514" t="s">
        <v>71</v>
      </c>
      <c r="D514" t="s">
        <v>67</v>
      </c>
      <c r="E514" t="s">
        <v>68</v>
      </c>
      <c r="F514" t="s">
        <v>26</v>
      </c>
      <c r="G514" s="4">
        <v>3</v>
      </c>
      <c r="H514" s="4" t="s">
        <v>76</v>
      </c>
      <c r="I514" s="4" t="s">
        <v>69</v>
      </c>
      <c r="J514" s="4" t="s">
        <v>66</v>
      </c>
      <c r="K514" s="4">
        <v>0</v>
      </c>
      <c r="L514" s="94">
        <v>1109683</v>
      </c>
      <c r="M514" s="94">
        <v>3329049</v>
      </c>
    </row>
    <row r="515" spans="3:13" x14ac:dyDescent="0.3">
      <c r="C515" t="s">
        <v>71</v>
      </c>
      <c r="D515" t="s">
        <v>67</v>
      </c>
      <c r="E515" t="s">
        <v>68</v>
      </c>
      <c r="F515" t="s">
        <v>25</v>
      </c>
      <c r="G515" s="4">
        <v>1</v>
      </c>
      <c r="H515" s="4" t="s">
        <v>14</v>
      </c>
      <c r="I515" s="4" t="s">
        <v>69</v>
      </c>
      <c r="J515" s="4" t="s">
        <v>73</v>
      </c>
      <c r="K515" s="4">
        <v>1</v>
      </c>
      <c r="L515" s="94">
        <v>339154</v>
      </c>
      <c r="M515" s="94">
        <v>339154</v>
      </c>
    </row>
    <row r="516" spans="3:13" x14ac:dyDescent="0.3">
      <c r="C516" t="s">
        <v>70</v>
      </c>
      <c r="D516" t="s">
        <v>62</v>
      </c>
      <c r="E516" t="s">
        <v>68</v>
      </c>
      <c r="F516" t="s">
        <v>25</v>
      </c>
      <c r="G516" s="4">
        <v>22</v>
      </c>
      <c r="I516" s="4" t="s">
        <v>69</v>
      </c>
      <c r="J516" s="4" t="s">
        <v>66</v>
      </c>
      <c r="K516" s="4">
        <v>0</v>
      </c>
      <c r="L516" s="94">
        <v>191075</v>
      </c>
      <c r="M516" s="94">
        <v>4203650</v>
      </c>
    </row>
    <row r="517" spans="3:13" x14ac:dyDescent="0.3">
      <c r="C517" t="s">
        <v>61</v>
      </c>
      <c r="D517" t="s">
        <v>62</v>
      </c>
      <c r="E517" t="s">
        <v>68</v>
      </c>
      <c r="F517" t="s">
        <v>25</v>
      </c>
      <c r="G517" s="4">
        <v>0</v>
      </c>
      <c r="I517" s="4" t="s">
        <v>69</v>
      </c>
      <c r="J517" s="4" t="s">
        <v>66</v>
      </c>
      <c r="K517" s="4">
        <v>1</v>
      </c>
      <c r="L517" s="94">
        <v>34312</v>
      </c>
      <c r="M517" s="94">
        <v>0</v>
      </c>
    </row>
    <row r="518" spans="3:13" x14ac:dyDescent="0.3">
      <c r="C518" t="s">
        <v>70</v>
      </c>
      <c r="D518" t="s">
        <v>67</v>
      </c>
      <c r="E518" t="s">
        <v>68</v>
      </c>
      <c r="F518" t="s">
        <v>25</v>
      </c>
      <c r="G518" s="4">
        <v>11</v>
      </c>
      <c r="H518" s="4" t="s">
        <v>75</v>
      </c>
      <c r="I518" s="4" t="s">
        <v>69</v>
      </c>
      <c r="J518" s="4" t="s">
        <v>66</v>
      </c>
      <c r="K518" s="4">
        <v>0</v>
      </c>
      <c r="L518" s="94">
        <v>4406937</v>
      </c>
      <c r="M518" s="94">
        <v>48476307</v>
      </c>
    </row>
    <row r="519" spans="3:13" x14ac:dyDescent="0.3">
      <c r="C519" t="s">
        <v>61</v>
      </c>
      <c r="D519" t="s">
        <v>67</v>
      </c>
      <c r="E519" t="s">
        <v>68</v>
      </c>
      <c r="F519" t="s">
        <v>72</v>
      </c>
      <c r="G519" s="4">
        <v>1</v>
      </c>
      <c r="H519" s="4" t="s">
        <v>83</v>
      </c>
      <c r="I519" s="4" t="s">
        <v>69</v>
      </c>
      <c r="J519" s="4" t="s">
        <v>66</v>
      </c>
      <c r="K519" s="4">
        <v>0</v>
      </c>
      <c r="L519" s="94">
        <v>205819</v>
      </c>
      <c r="M519" s="94">
        <v>205819</v>
      </c>
    </row>
    <row r="520" spans="3:13" x14ac:dyDescent="0.3">
      <c r="C520" t="s">
        <v>71</v>
      </c>
      <c r="D520" t="s">
        <v>67</v>
      </c>
      <c r="E520" t="s">
        <v>63</v>
      </c>
      <c r="F520" t="s">
        <v>25</v>
      </c>
      <c r="G520" s="4">
        <v>8</v>
      </c>
      <c r="H520" s="4" t="s">
        <v>14</v>
      </c>
      <c r="I520" s="4" t="s">
        <v>69</v>
      </c>
      <c r="J520" s="4" t="s">
        <v>66</v>
      </c>
      <c r="K520" s="4">
        <v>0</v>
      </c>
      <c r="L520" s="94">
        <v>-561933</v>
      </c>
      <c r="M520" s="94">
        <v>0</v>
      </c>
    </row>
    <row r="521" spans="3:13" x14ac:dyDescent="0.3">
      <c r="C521" t="s">
        <v>71</v>
      </c>
      <c r="D521" t="s">
        <v>67</v>
      </c>
      <c r="E521" t="s">
        <v>68</v>
      </c>
      <c r="F521" t="s">
        <v>26</v>
      </c>
      <c r="G521" s="4">
        <v>7</v>
      </c>
      <c r="H521" s="4" t="s">
        <v>17</v>
      </c>
      <c r="I521" s="4" t="s">
        <v>65</v>
      </c>
      <c r="J521" s="4" t="s">
        <v>73</v>
      </c>
      <c r="K521" s="4">
        <v>1</v>
      </c>
      <c r="L521" s="94">
        <v>12474</v>
      </c>
      <c r="M521" s="94">
        <v>87318</v>
      </c>
    </row>
    <row r="522" spans="3:13" x14ac:dyDescent="0.3">
      <c r="C522" t="s">
        <v>61</v>
      </c>
      <c r="D522" t="s">
        <v>67</v>
      </c>
      <c r="E522" t="s">
        <v>63</v>
      </c>
      <c r="F522" t="s">
        <v>25</v>
      </c>
      <c r="G522" s="4">
        <v>6</v>
      </c>
      <c r="H522" s="4" t="s">
        <v>64</v>
      </c>
      <c r="I522" s="4" t="s">
        <v>69</v>
      </c>
      <c r="J522" s="4" t="s">
        <v>66</v>
      </c>
      <c r="K522" s="4">
        <v>0</v>
      </c>
      <c r="L522" s="94">
        <v>-8788</v>
      </c>
      <c r="M522" s="94">
        <v>0</v>
      </c>
    </row>
    <row r="523" spans="3:13" x14ac:dyDescent="0.3">
      <c r="C523" t="s">
        <v>71</v>
      </c>
      <c r="D523" t="s">
        <v>67</v>
      </c>
      <c r="E523" t="s">
        <v>63</v>
      </c>
      <c r="F523" t="s">
        <v>72</v>
      </c>
      <c r="G523" s="4">
        <v>4</v>
      </c>
      <c r="H523" s="4" t="s">
        <v>64</v>
      </c>
      <c r="I523" s="4" t="s">
        <v>69</v>
      </c>
      <c r="J523" s="4" t="s">
        <v>66</v>
      </c>
      <c r="K523" s="4">
        <v>0</v>
      </c>
      <c r="L523" s="94">
        <v>-24357</v>
      </c>
      <c r="M523" s="94">
        <v>0</v>
      </c>
    </row>
    <row r="524" spans="3:13" x14ac:dyDescent="0.3">
      <c r="C524" t="s">
        <v>61</v>
      </c>
      <c r="D524" t="s">
        <v>67</v>
      </c>
      <c r="E524" t="s">
        <v>68</v>
      </c>
      <c r="F524" t="s">
        <v>26</v>
      </c>
      <c r="G524" s="4">
        <v>2</v>
      </c>
      <c r="H524" s="4" t="s">
        <v>87</v>
      </c>
      <c r="I524" s="4" t="s">
        <v>69</v>
      </c>
      <c r="J524" s="4" t="s">
        <v>66</v>
      </c>
      <c r="K524" s="4">
        <v>0</v>
      </c>
      <c r="L524" s="94">
        <v>113065</v>
      </c>
      <c r="M524" s="94">
        <v>226130</v>
      </c>
    </row>
    <row r="525" spans="3:13" x14ac:dyDescent="0.3">
      <c r="C525" t="s">
        <v>71</v>
      </c>
      <c r="D525" t="s">
        <v>67</v>
      </c>
      <c r="E525" t="s">
        <v>63</v>
      </c>
      <c r="F525" t="s">
        <v>72</v>
      </c>
      <c r="G525" s="4">
        <v>1</v>
      </c>
      <c r="H525" s="4" t="s">
        <v>14</v>
      </c>
      <c r="I525" s="4" t="s">
        <v>65</v>
      </c>
      <c r="J525" s="4" t="s">
        <v>66</v>
      </c>
      <c r="K525" s="4">
        <v>1</v>
      </c>
      <c r="L525" s="94">
        <v>-16314</v>
      </c>
      <c r="M525" s="94">
        <v>0</v>
      </c>
    </row>
    <row r="526" spans="3:13" x14ac:dyDescent="0.3">
      <c r="C526" t="s">
        <v>70</v>
      </c>
      <c r="D526" t="s">
        <v>67</v>
      </c>
      <c r="E526" t="s">
        <v>63</v>
      </c>
      <c r="F526" t="s">
        <v>72</v>
      </c>
      <c r="G526" s="4">
        <v>-1</v>
      </c>
      <c r="H526" s="4" t="s">
        <v>75</v>
      </c>
      <c r="I526" s="4" t="s">
        <v>69</v>
      </c>
      <c r="J526" s="4" t="s">
        <v>66</v>
      </c>
      <c r="K526" s="4">
        <v>0</v>
      </c>
      <c r="L526" s="94">
        <v>-39128</v>
      </c>
      <c r="M526" s="94">
        <v>0</v>
      </c>
    </row>
    <row r="527" spans="3:13" x14ac:dyDescent="0.3">
      <c r="C527" t="s">
        <v>71</v>
      </c>
      <c r="D527" t="s">
        <v>67</v>
      </c>
      <c r="E527" t="s">
        <v>68</v>
      </c>
      <c r="F527" t="s">
        <v>25</v>
      </c>
      <c r="G527" s="4">
        <v>8</v>
      </c>
      <c r="H527" s="4" t="s">
        <v>18</v>
      </c>
      <c r="I527" s="4" t="s">
        <v>69</v>
      </c>
      <c r="J527" s="4" t="s">
        <v>66</v>
      </c>
      <c r="K527" s="4">
        <v>0</v>
      </c>
      <c r="L527" s="94">
        <v>191262</v>
      </c>
      <c r="M527" s="94">
        <v>1530096</v>
      </c>
    </row>
    <row r="528" spans="3:13" x14ac:dyDescent="0.3">
      <c r="C528" t="s">
        <v>70</v>
      </c>
      <c r="D528" t="s">
        <v>67</v>
      </c>
      <c r="E528" t="s">
        <v>68</v>
      </c>
      <c r="F528" t="s">
        <v>25</v>
      </c>
      <c r="G528" s="4">
        <v>16</v>
      </c>
      <c r="H528" s="4" t="s">
        <v>12</v>
      </c>
      <c r="I528" s="4" t="s">
        <v>69</v>
      </c>
      <c r="J528" s="4" t="s">
        <v>66</v>
      </c>
      <c r="K528" s="4">
        <v>1</v>
      </c>
      <c r="L528" s="94">
        <v>486827</v>
      </c>
      <c r="M528" s="94">
        <v>7789232</v>
      </c>
    </row>
    <row r="529" spans="3:13" x14ac:dyDescent="0.3">
      <c r="C529" t="s">
        <v>61</v>
      </c>
      <c r="D529" t="s">
        <v>62</v>
      </c>
      <c r="E529" t="s">
        <v>68</v>
      </c>
      <c r="F529" t="s">
        <v>25</v>
      </c>
      <c r="G529" s="4">
        <v>18</v>
      </c>
      <c r="I529" s="4" t="s">
        <v>65</v>
      </c>
      <c r="J529" s="4" t="s">
        <v>66</v>
      </c>
      <c r="K529" s="4">
        <v>1</v>
      </c>
      <c r="L529" s="94">
        <v>25730</v>
      </c>
      <c r="M529" s="94">
        <v>463140</v>
      </c>
    </row>
    <row r="530" spans="3:13" x14ac:dyDescent="0.3">
      <c r="C530" t="s">
        <v>61</v>
      </c>
      <c r="D530" t="s">
        <v>67</v>
      </c>
      <c r="E530" t="s">
        <v>68</v>
      </c>
      <c r="F530" t="s">
        <v>26</v>
      </c>
      <c r="G530" s="4">
        <v>9</v>
      </c>
      <c r="H530" s="4" t="s">
        <v>79</v>
      </c>
      <c r="I530" s="4" t="s">
        <v>69</v>
      </c>
      <c r="J530" s="4" t="s">
        <v>66</v>
      </c>
      <c r="K530" s="4">
        <v>0</v>
      </c>
      <c r="L530" s="94">
        <v>419973</v>
      </c>
      <c r="M530" s="94">
        <v>3779757</v>
      </c>
    </row>
    <row r="531" spans="3:13" x14ac:dyDescent="0.3">
      <c r="C531" t="s">
        <v>70</v>
      </c>
      <c r="D531" t="s">
        <v>62</v>
      </c>
      <c r="E531" t="s">
        <v>68</v>
      </c>
      <c r="F531" t="s">
        <v>25</v>
      </c>
      <c r="G531" s="4">
        <v>1</v>
      </c>
      <c r="I531" s="4" t="s">
        <v>69</v>
      </c>
      <c r="J531" s="4" t="s">
        <v>66</v>
      </c>
      <c r="K531" s="4">
        <v>1</v>
      </c>
      <c r="L531" s="94">
        <v>547</v>
      </c>
      <c r="M531" s="94">
        <v>547</v>
      </c>
    </row>
    <row r="532" spans="3:13" x14ac:dyDescent="0.3">
      <c r="C532" t="s">
        <v>61</v>
      </c>
      <c r="D532" t="s">
        <v>67</v>
      </c>
      <c r="E532" t="s">
        <v>68</v>
      </c>
      <c r="F532" t="s">
        <v>26</v>
      </c>
      <c r="G532" s="4">
        <v>3</v>
      </c>
      <c r="H532" s="4" t="s">
        <v>14</v>
      </c>
      <c r="I532" s="4" t="s">
        <v>69</v>
      </c>
      <c r="J532" s="4" t="s">
        <v>66</v>
      </c>
      <c r="K532" s="4">
        <v>0</v>
      </c>
      <c r="L532" s="94">
        <v>36149613</v>
      </c>
      <c r="M532" s="94">
        <v>108448839</v>
      </c>
    </row>
    <row r="533" spans="3:13" x14ac:dyDescent="0.3">
      <c r="C533" t="s">
        <v>61</v>
      </c>
      <c r="D533" t="s">
        <v>62</v>
      </c>
      <c r="E533" t="s">
        <v>68</v>
      </c>
      <c r="F533" t="s">
        <v>25</v>
      </c>
      <c r="G533" s="4">
        <v>9</v>
      </c>
      <c r="I533" s="4" t="s">
        <v>69</v>
      </c>
      <c r="J533" s="4" t="s">
        <v>66</v>
      </c>
      <c r="K533" s="4">
        <v>0</v>
      </c>
      <c r="L533" s="94">
        <v>4780299</v>
      </c>
      <c r="M533" s="94">
        <v>43022691</v>
      </c>
    </row>
    <row r="534" spans="3:13" x14ac:dyDescent="0.3">
      <c r="C534" t="s">
        <v>61</v>
      </c>
      <c r="D534" t="s">
        <v>67</v>
      </c>
      <c r="E534" t="s">
        <v>63</v>
      </c>
      <c r="F534" t="s">
        <v>72</v>
      </c>
      <c r="G534" s="4">
        <v>1</v>
      </c>
      <c r="H534" s="4" t="s">
        <v>15</v>
      </c>
      <c r="I534" s="4" t="s">
        <v>69</v>
      </c>
      <c r="J534" s="4" t="s">
        <v>66</v>
      </c>
      <c r="K534" s="4">
        <v>0</v>
      </c>
      <c r="L534" s="94">
        <v>-46</v>
      </c>
      <c r="M534" s="94">
        <v>0</v>
      </c>
    </row>
    <row r="535" spans="3:13" x14ac:dyDescent="0.3">
      <c r="C535" t="s">
        <v>61</v>
      </c>
      <c r="D535" t="s">
        <v>67</v>
      </c>
      <c r="E535" t="s">
        <v>63</v>
      </c>
      <c r="F535" t="s">
        <v>72</v>
      </c>
      <c r="G535" s="4">
        <v>7</v>
      </c>
      <c r="H535" s="4" t="s">
        <v>17</v>
      </c>
      <c r="I535" s="4" t="s">
        <v>69</v>
      </c>
      <c r="J535" s="4" t="s">
        <v>73</v>
      </c>
      <c r="K535" s="4">
        <v>1</v>
      </c>
      <c r="L535" s="94">
        <v>-222</v>
      </c>
      <c r="M535" s="94">
        <v>0</v>
      </c>
    </row>
    <row r="536" spans="3:13" x14ac:dyDescent="0.3">
      <c r="C536" t="s">
        <v>70</v>
      </c>
      <c r="D536" t="s">
        <v>67</v>
      </c>
      <c r="E536" t="s">
        <v>68</v>
      </c>
      <c r="F536" t="s">
        <v>25</v>
      </c>
      <c r="G536" s="4">
        <v>12</v>
      </c>
      <c r="H536" s="4" t="s">
        <v>17</v>
      </c>
      <c r="I536" s="4" t="s">
        <v>69</v>
      </c>
      <c r="J536" s="4" t="s">
        <v>66</v>
      </c>
      <c r="K536" s="4">
        <v>0</v>
      </c>
      <c r="L536" s="94">
        <v>1096489</v>
      </c>
      <c r="M536" s="94">
        <v>13157868</v>
      </c>
    </row>
    <row r="537" spans="3:13" x14ac:dyDescent="0.3">
      <c r="C537" t="s">
        <v>71</v>
      </c>
      <c r="D537" t="s">
        <v>67</v>
      </c>
      <c r="E537" t="s">
        <v>68</v>
      </c>
      <c r="F537" t="s">
        <v>25</v>
      </c>
      <c r="G537" s="4">
        <v>-1</v>
      </c>
      <c r="H537" s="4" t="s">
        <v>17</v>
      </c>
      <c r="I537" s="4" t="s">
        <v>69</v>
      </c>
      <c r="J537" s="4" t="s">
        <v>66</v>
      </c>
      <c r="K537" s="4">
        <v>1</v>
      </c>
      <c r="L537" s="94">
        <v>158</v>
      </c>
      <c r="M537" s="94">
        <v>0</v>
      </c>
    </row>
    <row r="538" spans="3:13" x14ac:dyDescent="0.3">
      <c r="C538" t="s">
        <v>70</v>
      </c>
      <c r="D538" t="s">
        <v>67</v>
      </c>
      <c r="E538" t="s">
        <v>63</v>
      </c>
      <c r="F538" t="s">
        <v>26</v>
      </c>
      <c r="G538" s="4">
        <v>-4</v>
      </c>
      <c r="H538" s="4" t="s">
        <v>82</v>
      </c>
      <c r="I538" s="4" t="s">
        <v>69</v>
      </c>
      <c r="J538" s="4" t="s">
        <v>66</v>
      </c>
      <c r="K538" s="4">
        <v>0</v>
      </c>
      <c r="L538" s="94">
        <v>-18268</v>
      </c>
      <c r="M538" s="94">
        <v>0</v>
      </c>
    </row>
    <row r="539" spans="3:13" x14ac:dyDescent="0.3">
      <c r="C539" t="s">
        <v>61</v>
      </c>
      <c r="D539" t="s">
        <v>67</v>
      </c>
      <c r="E539" t="s">
        <v>68</v>
      </c>
      <c r="F539" t="s">
        <v>25</v>
      </c>
      <c r="G539" s="4">
        <v>18</v>
      </c>
      <c r="H539" s="4" t="s">
        <v>82</v>
      </c>
      <c r="I539" s="4" t="s">
        <v>69</v>
      </c>
      <c r="J539" s="4" t="s">
        <v>66</v>
      </c>
      <c r="K539" s="4">
        <v>0</v>
      </c>
      <c r="L539" s="94">
        <v>349653</v>
      </c>
      <c r="M539" s="94">
        <v>6293754</v>
      </c>
    </row>
    <row r="540" spans="3:13" x14ac:dyDescent="0.3">
      <c r="C540" t="s">
        <v>61</v>
      </c>
      <c r="D540" t="s">
        <v>67</v>
      </c>
      <c r="E540" t="s">
        <v>68</v>
      </c>
      <c r="F540" t="s">
        <v>72</v>
      </c>
      <c r="G540" s="4">
        <v>3</v>
      </c>
      <c r="H540" s="4" t="s">
        <v>17</v>
      </c>
      <c r="I540" s="4" t="s">
        <v>69</v>
      </c>
      <c r="J540" s="4" t="s">
        <v>73</v>
      </c>
      <c r="K540" s="4">
        <v>1</v>
      </c>
      <c r="L540" s="94">
        <v>332307</v>
      </c>
      <c r="M540" s="94">
        <v>996921</v>
      </c>
    </row>
    <row r="541" spans="3:13" x14ac:dyDescent="0.3">
      <c r="C541" t="s">
        <v>61</v>
      </c>
      <c r="D541" t="s">
        <v>67</v>
      </c>
      <c r="E541" t="s">
        <v>63</v>
      </c>
      <c r="F541" t="s">
        <v>25</v>
      </c>
      <c r="G541" s="4">
        <v>19</v>
      </c>
      <c r="H541" s="4" t="s">
        <v>75</v>
      </c>
      <c r="I541" s="4" t="s">
        <v>69</v>
      </c>
      <c r="J541" s="4" t="s">
        <v>66</v>
      </c>
      <c r="K541" s="4">
        <v>0</v>
      </c>
      <c r="L541" s="94">
        <v>-9370</v>
      </c>
      <c r="M541" s="94">
        <v>0</v>
      </c>
    </row>
    <row r="542" spans="3:13" x14ac:dyDescent="0.3">
      <c r="C542" t="s">
        <v>61</v>
      </c>
      <c r="D542" t="s">
        <v>67</v>
      </c>
      <c r="E542" t="s">
        <v>68</v>
      </c>
      <c r="F542" t="s">
        <v>72</v>
      </c>
      <c r="G542" s="4">
        <v>0</v>
      </c>
      <c r="H542" s="4" t="s">
        <v>18</v>
      </c>
      <c r="I542" s="4" t="s">
        <v>69</v>
      </c>
      <c r="J542" s="4" t="s">
        <v>73</v>
      </c>
      <c r="K542" s="4">
        <v>1</v>
      </c>
      <c r="L542" s="94">
        <v>210456</v>
      </c>
      <c r="M542" s="94">
        <v>0</v>
      </c>
    </row>
    <row r="543" spans="3:13" x14ac:dyDescent="0.3">
      <c r="C543" t="s">
        <v>70</v>
      </c>
      <c r="D543" t="s">
        <v>67</v>
      </c>
      <c r="E543" t="s">
        <v>63</v>
      </c>
      <c r="F543" t="s">
        <v>25</v>
      </c>
      <c r="G543" s="4">
        <v>10</v>
      </c>
      <c r="H543" s="4" t="s">
        <v>82</v>
      </c>
      <c r="I543" s="4" t="s">
        <v>69</v>
      </c>
      <c r="J543" s="4" t="s">
        <v>66</v>
      </c>
      <c r="K543" s="4">
        <v>0</v>
      </c>
      <c r="L543" s="94">
        <v>-13480</v>
      </c>
      <c r="M543" s="94">
        <v>0</v>
      </c>
    </row>
    <row r="544" spans="3:13" x14ac:dyDescent="0.3">
      <c r="C544" t="s">
        <v>70</v>
      </c>
      <c r="D544" t="s">
        <v>67</v>
      </c>
      <c r="E544" t="s">
        <v>68</v>
      </c>
      <c r="F544" t="s">
        <v>72</v>
      </c>
      <c r="G544" s="4">
        <v>4</v>
      </c>
      <c r="H544" s="4" t="s">
        <v>14</v>
      </c>
      <c r="I544" s="4" t="s">
        <v>69</v>
      </c>
      <c r="J544" s="4" t="s">
        <v>73</v>
      </c>
      <c r="K544" s="4">
        <v>1</v>
      </c>
      <c r="L544" s="94">
        <v>2242614</v>
      </c>
      <c r="M544" s="94">
        <v>8970456</v>
      </c>
    </row>
    <row r="545" spans="3:13" x14ac:dyDescent="0.3">
      <c r="C545" t="s">
        <v>61</v>
      </c>
      <c r="D545" t="s">
        <v>67</v>
      </c>
      <c r="E545" t="s">
        <v>63</v>
      </c>
      <c r="F545" t="s">
        <v>72</v>
      </c>
      <c r="G545" s="4">
        <v>7</v>
      </c>
      <c r="H545" s="4" t="s">
        <v>64</v>
      </c>
      <c r="I545" s="4" t="s">
        <v>69</v>
      </c>
      <c r="J545" s="4" t="s">
        <v>66</v>
      </c>
      <c r="K545" s="4">
        <v>0</v>
      </c>
      <c r="L545" s="94">
        <v>-4643</v>
      </c>
      <c r="M545" s="94">
        <v>0</v>
      </c>
    </row>
    <row r="546" spans="3:13" x14ac:dyDescent="0.3">
      <c r="C546" t="s">
        <v>61</v>
      </c>
      <c r="D546" t="s">
        <v>67</v>
      </c>
      <c r="E546" t="s">
        <v>63</v>
      </c>
      <c r="F546" t="s">
        <v>25</v>
      </c>
      <c r="G546" s="4">
        <v>10</v>
      </c>
      <c r="H546" s="4" t="s">
        <v>76</v>
      </c>
      <c r="I546" s="4" t="s">
        <v>69</v>
      </c>
      <c r="J546" s="4" t="s">
        <v>66</v>
      </c>
      <c r="K546" s="4">
        <v>0</v>
      </c>
      <c r="L546" s="94">
        <v>-67602</v>
      </c>
      <c r="M546" s="94">
        <v>0</v>
      </c>
    </row>
    <row r="547" spans="3:13" x14ac:dyDescent="0.3">
      <c r="C547" t="s">
        <v>70</v>
      </c>
      <c r="D547" t="s">
        <v>67</v>
      </c>
      <c r="E547" t="s">
        <v>68</v>
      </c>
      <c r="F547" t="s">
        <v>72</v>
      </c>
      <c r="G547" s="4">
        <v>5</v>
      </c>
      <c r="H547" s="4" t="s">
        <v>77</v>
      </c>
      <c r="I547" s="4" t="s">
        <v>69</v>
      </c>
      <c r="J547" s="4" t="s">
        <v>66</v>
      </c>
      <c r="K547" s="4">
        <v>0</v>
      </c>
      <c r="L547" s="94">
        <v>548927</v>
      </c>
      <c r="M547" s="94">
        <v>2744635</v>
      </c>
    </row>
    <row r="548" spans="3:13" x14ac:dyDescent="0.3">
      <c r="C548" t="s">
        <v>70</v>
      </c>
      <c r="D548" t="s">
        <v>67</v>
      </c>
      <c r="E548" t="s">
        <v>68</v>
      </c>
      <c r="F548" t="s">
        <v>25</v>
      </c>
      <c r="G548" s="4">
        <v>10</v>
      </c>
      <c r="H548" s="4" t="s">
        <v>12</v>
      </c>
      <c r="I548" s="4" t="s">
        <v>69</v>
      </c>
      <c r="J548" s="4" t="s">
        <v>66</v>
      </c>
      <c r="K548" s="4">
        <v>0</v>
      </c>
      <c r="L548" s="94">
        <v>79407</v>
      </c>
      <c r="M548" s="94">
        <v>794070</v>
      </c>
    </row>
    <row r="549" spans="3:13" x14ac:dyDescent="0.3">
      <c r="C549" t="s">
        <v>61</v>
      </c>
      <c r="D549" t="s">
        <v>67</v>
      </c>
      <c r="E549" t="s">
        <v>68</v>
      </c>
      <c r="F549" t="s">
        <v>25</v>
      </c>
      <c r="G549" s="4">
        <v>11</v>
      </c>
      <c r="H549" s="4" t="s">
        <v>75</v>
      </c>
      <c r="I549" s="4" t="s">
        <v>69</v>
      </c>
      <c r="J549" s="4" t="s">
        <v>66</v>
      </c>
      <c r="K549" s="4">
        <v>0</v>
      </c>
      <c r="L549" s="94">
        <v>33931520</v>
      </c>
      <c r="M549" s="94">
        <v>373246720</v>
      </c>
    </row>
    <row r="550" spans="3:13" x14ac:dyDescent="0.3">
      <c r="C550" t="s">
        <v>61</v>
      </c>
      <c r="D550" t="s">
        <v>67</v>
      </c>
      <c r="E550" t="s">
        <v>63</v>
      </c>
      <c r="F550" t="s">
        <v>72</v>
      </c>
      <c r="G550" s="4">
        <v>4</v>
      </c>
      <c r="H550" s="4" t="s">
        <v>17</v>
      </c>
      <c r="I550" s="4" t="s">
        <v>69</v>
      </c>
      <c r="J550" s="4" t="s">
        <v>66</v>
      </c>
      <c r="K550" s="4">
        <v>0</v>
      </c>
      <c r="L550" s="94">
        <v>-27478</v>
      </c>
      <c r="M550" s="94">
        <v>0</v>
      </c>
    </row>
    <row r="551" spans="3:13" x14ac:dyDescent="0.3">
      <c r="C551" t="s">
        <v>61</v>
      </c>
      <c r="D551" t="s">
        <v>62</v>
      </c>
      <c r="E551" t="s">
        <v>63</v>
      </c>
      <c r="F551" t="s">
        <v>24</v>
      </c>
      <c r="G551" s="4">
        <v>41</v>
      </c>
      <c r="I551" s="4" t="s">
        <v>65</v>
      </c>
      <c r="J551" s="4" t="s">
        <v>66</v>
      </c>
      <c r="K551" s="4">
        <v>1</v>
      </c>
      <c r="L551" s="94">
        <v>-391</v>
      </c>
      <c r="M551" s="94">
        <v>0</v>
      </c>
    </row>
    <row r="552" spans="3:13" x14ac:dyDescent="0.3">
      <c r="C552" t="s">
        <v>61</v>
      </c>
      <c r="D552" t="s">
        <v>67</v>
      </c>
      <c r="E552" t="s">
        <v>68</v>
      </c>
      <c r="F552" t="s">
        <v>25</v>
      </c>
      <c r="G552" s="4">
        <v>12</v>
      </c>
      <c r="H552" s="4" t="s">
        <v>17</v>
      </c>
      <c r="I552" s="4" t="s">
        <v>69</v>
      </c>
      <c r="J552" s="4" t="s">
        <v>66</v>
      </c>
      <c r="K552" s="4">
        <v>0</v>
      </c>
      <c r="L552" s="94">
        <v>4305215</v>
      </c>
      <c r="M552" s="94">
        <v>51662580</v>
      </c>
    </row>
    <row r="553" spans="3:13" x14ac:dyDescent="0.3">
      <c r="C553" t="s">
        <v>71</v>
      </c>
      <c r="D553" t="s">
        <v>67</v>
      </c>
      <c r="E553" t="s">
        <v>68</v>
      </c>
      <c r="F553" t="s">
        <v>26</v>
      </c>
      <c r="G553" s="4">
        <v>6</v>
      </c>
      <c r="H553" s="4" t="s">
        <v>17</v>
      </c>
      <c r="I553" s="4" t="s">
        <v>69</v>
      </c>
      <c r="J553" s="4" t="s">
        <v>73</v>
      </c>
      <c r="K553" s="4">
        <v>1</v>
      </c>
      <c r="L553" s="94">
        <v>50291</v>
      </c>
      <c r="M553" s="94">
        <v>301746</v>
      </c>
    </row>
    <row r="554" spans="3:13" x14ac:dyDescent="0.3">
      <c r="C554" t="s">
        <v>61</v>
      </c>
      <c r="D554" t="s">
        <v>67</v>
      </c>
      <c r="E554" t="s">
        <v>63</v>
      </c>
      <c r="F554" t="s">
        <v>25</v>
      </c>
      <c r="G554" s="4">
        <v>9</v>
      </c>
      <c r="H554" s="4" t="s">
        <v>16</v>
      </c>
      <c r="I554" s="4" t="s">
        <v>69</v>
      </c>
      <c r="J554" s="4" t="s">
        <v>66</v>
      </c>
      <c r="K554" s="4">
        <v>0</v>
      </c>
      <c r="L554" s="94">
        <v>-92</v>
      </c>
      <c r="M554" s="94">
        <v>0</v>
      </c>
    </row>
    <row r="555" spans="3:13" x14ac:dyDescent="0.3">
      <c r="C555" t="s">
        <v>61</v>
      </c>
      <c r="D555" t="s">
        <v>67</v>
      </c>
      <c r="E555" t="s">
        <v>63</v>
      </c>
      <c r="F555" t="s">
        <v>26</v>
      </c>
      <c r="G555" s="4">
        <v>2</v>
      </c>
      <c r="H555" s="4" t="s">
        <v>18</v>
      </c>
      <c r="I555" s="4" t="s">
        <v>69</v>
      </c>
      <c r="J555" s="4" t="s">
        <v>73</v>
      </c>
      <c r="K555" s="4">
        <v>1</v>
      </c>
      <c r="L555" s="94">
        <v>-27061</v>
      </c>
      <c r="M555" s="94">
        <v>0</v>
      </c>
    </row>
    <row r="556" spans="3:13" x14ac:dyDescent="0.3">
      <c r="C556" t="s">
        <v>70</v>
      </c>
      <c r="D556" t="s">
        <v>67</v>
      </c>
      <c r="E556" t="s">
        <v>63</v>
      </c>
      <c r="F556" t="s">
        <v>26</v>
      </c>
      <c r="G556" s="4">
        <v>2</v>
      </c>
      <c r="H556" s="4" t="s">
        <v>80</v>
      </c>
      <c r="I556" s="4" t="s">
        <v>69</v>
      </c>
      <c r="J556" s="4" t="s">
        <v>66</v>
      </c>
      <c r="K556" s="4">
        <v>0</v>
      </c>
      <c r="L556" s="94">
        <v>-59314</v>
      </c>
      <c r="M556" s="94">
        <v>0</v>
      </c>
    </row>
    <row r="557" spans="3:13" x14ac:dyDescent="0.3">
      <c r="C557" t="s">
        <v>71</v>
      </c>
      <c r="D557" t="s">
        <v>67</v>
      </c>
      <c r="E557" t="s">
        <v>63</v>
      </c>
      <c r="F557" t="s">
        <v>26</v>
      </c>
      <c r="G557" s="4">
        <v>3</v>
      </c>
      <c r="H557" s="4" t="s">
        <v>77</v>
      </c>
      <c r="I557" s="4" t="s">
        <v>69</v>
      </c>
      <c r="J557" s="4" t="s">
        <v>66</v>
      </c>
      <c r="K557" s="4">
        <v>0</v>
      </c>
      <c r="L557" s="94">
        <v>-145230</v>
      </c>
      <c r="M557" s="94">
        <v>0</v>
      </c>
    </row>
    <row r="558" spans="3:13" x14ac:dyDescent="0.3">
      <c r="C558" t="s">
        <v>70</v>
      </c>
      <c r="D558" t="s">
        <v>67</v>
      </c>
      <c r="E558" t="s">
        <v>63</v>
      </c>
      <c r="F558" t="s">
        <v>26</v>
      </c>
      <c r="G558" s="4">
        <v>0</v>
      </c>
      <c r="H558" s="4" t="s">
        <v>77</v>
      </c>
      <c r="I558" s="4" t="s">
        <v>69</v>
      </c>
      <c r="J558" s="4" t="s">
        <v>66</v>
      </c>
      <c r="K558" s="4">
        <v>0</v>
      </c>
      <c r="L558" s="94">
        <v>-33462</v>
      </c>
      <c r="M558" s="94">
        <v>0</v>
      </c>
    </row>
    <row r="559" spans="3:13" x14ac:dyDescent="0.3">
      <c r="C559" t="s">
        <v>70</v>
      </c>
      <c r="D559" t="s">
        <v>67</v>
      </c>
      <c r="E559" t="s">
        <v>63</v>
      </c>
      <c r="F559" t="s">
        <v>72</v>
      </c>
      <c r="G559" s="4">
        <v>7</v>
      </c>
      <c r="H559" s="4" t="s">
        <v>64</v>
      </c>
      <c r="I559" s="4" t="s">
        <v>69</v>
      </c>
      <c r="J559" s="4" t="s">
        <v>66</v>
      </c>
      <c r="K559" s="4">
        <v>0</v>
      </c>
      <c r="L559" s="94">
        <v>-9548</v>
      </c>
      <c r="M559" s="94">
        <v>0</v>
      </c>
    </row>
    <row r="560" spans="3:13" x14ac:dyDescent="0.3">
      <c r="C560" t="s">
        <v>70</v>
      </c>
      <c r="D560" t="s">
        <v>67</v>
      </c>
      <c r="E560" t="s">
        <v>63</v>
      </c>
      <c r="F560" t="s">
        <v>72</v>
      </c>
      <c r="G560" s="4">
        <v>0</v>
      </c>
      <c r="H560" s="4" t="s">
        <v>77</v>
      </c>
      <c r="I560" s="4" t="s">
        <v>69</v>
      </c>
      <c r="J560" s="4" t="s">
        <v>66</v>
      </c>
      <c r="K560" s="4">
        <v>0</v>
      </c>
      <c r="L560" s="94">
        <v>-35</v>
      </c>
      <c r="M560" s="94">
        <v>0</v>
      </c>
    </row>
    <row r="561" spans="3:13" x14ac:dyDescent="0.3">
      <c r="C561" t="s">
        <v>61</v>
      </c>
      <c r="D561" t="s">
        <v>62</v>
      </c>
      <c r="E561" t="s">
        <v>63</v>
      </c>
      <c r="F561" t="s">
        <v>25</v>
      </c>
      <c r="G561" s="4">
        <v>23</v>
      </c>
      <c r="I561" s="4" t="s">
        <v>69</v>
      </c>
      <c r="J561" s="4" t="s">
        <v>66</v>
      </c>
      <c r="K561" s="4">
        <v>0</v>
      </c>
      <c r="L561" s="94">
        <v>-607</v>
      </c>
      <c r="M561" s="94">
        <v>0</v>
      </c>
    </row>
    <row r="562" spans="3:13" x14ac:dyDescent="0.3">
      <c r="C562" t="s">
        <v>61</v>
      </c>
      <c r="D562" t="s">
        <v>67</v>
      </c>
      <c r="E562" t="s">
        <v>68</v>
      </c>
      <c r="F562" t="s">
        <v>26</v>
      </c>
      <c r="G562" s="4">
        <v>1</v>
      </c>
      <c r="H562" s="4" t="s">
        <v>77</v>
      </c>
      <c r="I562" s="4" t="s">
        <v>69</v>
      </c>
      <c r="J562" s="4" t="s">
        <v>66</v>
      </c>
      <c r="K562" s="4">
        <v>0</v>
      </c>
      <c r="L562" s="94">
        <v>5975321</v>
      </c>
      <c r="M562" s="94">
        <v>5975321</v>
      </c>
    </row>
    <row r="563" spans="3:13" x14ac:dyDescent="0.3">
      <c r="C563" t="s">
        <v>61</v>
      </c>
      <c r="D563" t="s">
        <v>67</v>
      </c>
      <c r="E563" t="s">
        <v>68</v>
      </c>
      <c r="F563" t="s">
        <v>25</v>
      </c>
      <c r="G563" s="4">
        <v>9</v>
      </c>
      <c r="H563" s="4" t="s">
        <v>83</v>
      </c>
      <c r="I563" s="4" t="s">
        <v>69</v>
      </c>
      <c r="J563" s="4" t="s">
        <v>66</v>
      </c>
      <c r="K563" s="4">
        <v>0</v>
      </c>
      <c r="L563" s="94">
        <v>1252602</v>
      </c>
      <c r="M563" s="94">
        <v>11273418</v>
      </c>
    </row>
    <row r="564" spans="3:13" x14ac:dyDescent="0.3">
      <c r="C564" t="s">
        <v>61</v>
      </c>
      <c r="D564" t="s">
        <v>67</v>
      </c>
      <c r="E564" t="s">
        <v>63</v>
      </c>
      <c r="F564" t="s">
        <v>25</v>
      </c>
      <c r="G564" s="4">
        <v>12</v>
      </c>
      <c r="H564" s="4" t="s">
        <v>14</v>
      </c>
      <c r="I564" s="4" t="s">
        <v>69</v>
      </c>
      <c r="J564" s="4" t="s">
        <v>66</v>
      </c>
      <c r="K564" s="4">
        <v>1</v>
      </c>
      <c r="L564" s="94">
        <v>-5147</v>
      </c>
      <c r="M564" s="94">
        <v>0</v>
      </c>
    </row>
    <row r="565" spans="3:13" x14ac:dyDescent="0.3">
      <c r="C565" t="s">
        <v>70</v>
      </c>
      <c r="D565" t="s">
        <v>67</v>
      </c>
      <c r="E565" t="s">
        <v>63</v>
      </c>
      <c r="F565" t="s">
        <v>26</v>
      </c>
      <c r="G565" s="4">
        <v>1</v>
      </c>
      <c r="H565" s="4" t="s">
        <v>12</v>
      </c>
      <c r="I565" s="4" t="s">
        <v>69</v>
      </c>
      <c r="J565" s="4" t="s">
        <v>66</v>
      </c>
      <c r="K565" s="4">
        <v>0</v>
      </c>
      <c r="L565" s="94">
        <v>-24401</v>
      </c>
      <c r="M565" s="94">
        <v>0</v>
      </c>
    </row>
    <row r="566" spans="3:13" x14ac:dyDescent="0.3">
      <c r="C566" t="s">
        <v>61</v>
      </c>
      <c r="D566" t="s">
        <v>67</v>
      </c>
      <c r="E566" t="s">
        <v>68</v>
      </c>
      <c r="F566" t="s">
        <v>25</v>
      </c>
      <c r="G566" s="4">
        <v>-4</v>
      </c>
      <c r="H566" s="4" t="s">
        <v>14</v>
      </c>
      <c r="I566" s="4" t="s">
        <v>65</v>
      </c>
      <c r="J566" s="4" t="s">
        <v>66</v>
      </c>
      <c r="K566" s="4">
        <v>1</v>
      </c>
      <c r="L566" s="94">
        <v>2953</v>
      </c>
      <c r="M566" s="94">
        <v>0</v>
      </c>
    </row>
    <row r="567" spans="3:13" x14ac:dyDescent="0.3">
      <c r="C567" t="s">
        <v>70</v>
      </c>
      <c r="D567" t="s">
        <v>67</v>
      </c>
      <c r="E567" t="s">
        <v>68</v>
      </c>
      <c r="F567" t="s">
        <v>26</v>
      </c>
      <c r="G567" s="4">
        <v>8</v>
      </c>
      <c r="H567" s="4" t="s">
        <v>75</v>
      </c>
      <c r="I567" s="4" t="s">
        <v>69</v>
      </c>
      <c r="J567" s="4" t="s">
        <v>66</v>
      </c>
      <c r="K567" s="4">
        <v>0</v>
      </c>
      <c r="L567" s="94">
        <v>114975</v>
      </c>
      <c r="M567" s="94">
        <v>919800</v>
      </c>
    </row>
    <row r="568" spans="3:13" x14ac:dyDescent="0.3">
      <c r="C568" t="s">
        <v>70</v>
      </c>
      <c r="D568" t="s">
        <v>67</v>
      </c>
      <c r="E568" t="s">
        <v>63</v>
      </c>
      <c r="F568" t="s">
        <v>72</v>
      </c>
      <c r="G568" s="4">
        <v>0</v>
      </c>
      <c r="H568" s="4" t="s">
        <v>12</v>
      </c>
      <c r="I568" s="4" t="s">
        <v>65</v>
      </c>
      <c r="J568" s="4" t="s">
        <v>73</v>
      </c>
      <c r="K568" s="4">
        <v>1</v>
      </c>
      <c r="L568" s="94">
        <v>-55</v>
      </c>
      <c r="M568" s="94">
        <v>0</v>
      </c>
    </row>
    <row r="569" spans="3:13" x14ac:dyDescent="0.3">
      <c r="C569" t="s">
        <v>61</v>
      </c>
      <c r="D569" t="s">
        <v>67</v>
      </c>
      <c r="E569" t="s">
        <v>63</v>
      </c>
      <c r="F569" t="s">
        <v>72</v>
      </c>
      <c r="G569" s="4">
        <v>-4</v>
      </c>
      <c r="H569" s="4" t="s">
        <v>64</v>
      </c>
      <c r="I569" s="4" t="s">
        <v>69</v>
      </c>
      <c r="J569" s="4" t="s">
        <v>66</v>
      </c>
      <c r="K569" s="4">
        <v>0</v>
      </c>
      <c r="L569" s="94">
        <v>-2</v>
      </c>
      <c r="M569" s="94">
        <v>0</v>
      </c>
    </row>
    <row r="570" spans="3:13" x14ac:dyDescent="0.3">
      <c r="C570" t="s">
        <v>61</v>
      </c>
      <c r="D570" t="s">
        <v>67</v>
      </c>
      <c r="E570" t="s">
        <v>63</v>
      </c>
      <c r="F570" t="s">
        <v>25</v>
      </c>
      <c r="G570" s="4">
        <v>3</v>
      </c>
      <c r="H570" s="4" t="s">
        <v>82</v>
      </c>
      <c r="I570" s="4" t="s">
        <v>69</v>
      </c>
      <c r="J570" s="4" t="s">
        <v>66</v>
      </c>
      <c r="K570" s="4">
        <v>0</v>
      </c>
      <c r="L570" s="94">
        <v>-382</v>
      </c>
      <c r="M570" s="94">
        <v>0</v>
      </c>
    </row>
    <row r="571" spans="3:13" x14ac:dyDescent="0.3">
      <c r="C571" t="s">
        <v>71</v>
      </c>
      <c r="D571" t="s">
        <v>62</v>
      </c>
      <c r="E571" t="s">
        <v>63</v>
      </c>
      <c r="F571" t="s">
        <v>25</v>
      </c>
      <c r="G571" s="4">
        <v>3</v>
      </c>
      <c r="I571" s="4" t="s">
        <v>69</v>
      </c>
      <c r="J571" s="4" t="s">
        <v>66</v>
      </c>
      <c r="K571" s="4">
        <v>0</v>
      </c>
      <c r="L571" s="94">
        <v>-1028738</v>
      </c>
      <c r="M571" s="94">
        <v>0</v>
      </c>
    </row>
    <row r="572" spans="3:13" x14ac:dyDescent="0.3">
      <c r="C572" t="s">
        <v>70</v>
      </c>
      <c r="D572" t="s">
        <v>62</v>
      </c>
      <c r="E572" t="s">
        <v>63</v>
      </c>
      <c r="F572" t="s">
        <v>25</v>
      </c>
      <c r="G572" s="4">
        <v>-4</v>
      </c>
      <c r="I572" s="4" t="s">
        <v>69</v>
      </c>
      <c r="J572" s="4" t="s">
        <v>66</v>
      </c>
      <c r="K572" s="4">
        <v>1</v>
      </c>
      <c r="L572" s="94">
        <v>-62</v>
      </c>
      <c r="M572" s="94">
        <v>0</v>
      </c>
    </row>
    <row r="573" spans="3:13" x14ac:dyDescent="0.3">
      <c r="C573" t="s">
        <v>71</v>
      </c>
      <c r="D573" t="s">
        <v>62</v>
      </c>
      <c r="E573" t="s">
        <v>68</v>
      </c>
      <c r="F573" t="s">
        <v>24</v>
      </c>
      <c r="G573" s="4">
        <v>44</v>
      </c>
      <c r="I573" s="4" t="s">
        <v>69</v>
      </c>
      <c r="J573" s="4" t="s">
        <v>66</v>
      </c>
      <c r="K573" s="4">
        <v>0</v>
      </c>
      <c r="L573" s="94">
        <v>109447</v>
      </c>
      <c r="M573" s="94">
        <v>4815668</v>
      </c>
    </row>
    <row r="574" spans="3:13" x14ac:dyDescent="0.3">
      <c r="C574" t="s">
        <v>70</v>
      </c>
      <c r="D574" t="s">
        <v>67</v>
      </c>
      <c r="E574" t="s">
        <v>68</v>
      </c>
      <c r="F574" t="s">
        <v>26</v>
      </c>
      <c r="G574" s="4">
        <v>0</v>
      </c>
      <c r="H574" s="4" t="s">
        <v>17</v>
      </c>
      <c r="I574" s="4" t="s">
        <v>65</v>
      </c>
      <c r="J574" s="4" t="s">
        <v>73</v>
      </c>
      <c r="K574" s="4">
        <v>1</v>
      </c>
      <c r="L574" s="94">
        <v>41419</v>
      </c>
      <c r="M574" s="94">
        <v>0</v>
      </c>
    </row>
    <row r="575" spans="3:13" x14ac:dyDescent="0.3">
      <c r="C575" t="s">
        <v>61</v>
      </c>
      <c r="D575" t="s">
        <v>67</v>
      </c>
      <c r="E575" t="s">
        <v>68</v>
      </c>
      <c r="F575" t="s">
        <v>25</v>
      </c>
      <c r="G575" s="4">
        <v>0</v>
      </c>
      <c r="H575" s="4" t="s">
        <v>82</v>
      </c>
      <c r="I575" s="4" t="s">
        <v>69</v>
      </c>
      <c r="J575" s="4" t="s">
        <v>66</v>
      </c>
      <c r="K575" s="4">
        <v>0</v>
      </c>
      <c r="L575" s="94">
        <v>18610</v>
      </c>
      <c r="M575" s="94">
        <v>0</v>
      </c>
    </row>
    <row r="576" spans="3:13" x14ac:dyDescent="0.3">
      <c r="C576" t="s">
        <v>61</v>
      </c>
      <c r="D576" t="s">
        <v>67</v>
      </c>
      <c r="E576" t="s">
        <v>68</v>
      </c>
      <c r="F576" t="s">
        <v>26</v>
      </c>
      <c r="G576" s="4">
        <v>4</v>
      </c>
      <c r="H576" s="4" t="s">
        <v>14</v>
      </c>
      <c r="I576" s="4" t="s">
        <v>65</v>
      </c>
      <c r="J576" s="4" t="s">
        <v>66</v>
      </c>
      <c r="K576" s="4">
        <v>1</v>
      </c>
      <c r="L576" s="94">
        <v>830293</v>
      </c>
      <c r="M576" s="94">
        <v>3321172</v>
      </c>
    </row>
    <row r="577" spans="3:13" x14ac:dyDescent="0.3">
      <c r="C577" t="s">
        <v>71</v>
      </c>
      <c r="D577" t="s">
        <v>67</v>
      </c>
      <c r="E577" t="s">
        <v>68</v>
      </c>
      <c r="F577" t="s">
        <v>26</v>
      </c>
      <c r="G577" s="4">
        <v>-4</v>
      </c>
      <c r="H577" s="4" t="s">
        <v>17</v>
      </c>
      <c r="I577" s="4" t="s">
        <v>65</v>
      </c>
      <c r="J577" s="4" t="s">
        <v>73</v>
      </c>
      <c r="K577" s="4">
        <v>1</v>
      </c>
      <c r="L577" s="94">
        <v>63454</v>
      </c>
      <c r="M577" s="94">
        <v>0</v>
      </c>
    </row>
    <row r="578" spans="3:13" x14ac:dyDescent="0.3">
      <c r="C578" t="s">
        <v>61</v>
      </c>
      <c r="D578" t="s">
        <v>62</v>
      </c>
      <c r="E578" t="s">
        <v>68</v>
      </c>
      <c r="F578" t="s">
        <v>25</v>
      </c>
      <c r="G578" s="4">
        <v>6</v>
      </c>
      <c r="I578" s="4" t="s">
        <v>69</v>
      </c>
      <c r="J578" s="4" t="s">
        <v>66</v>
      </c>
      <c r="K578" s="4">
        <v>0</v>
      </c>
      <c r="L578" s="94">
        <v>4961369</v>
      </c>
      <c r="M578" s="94">
        <v>29768214</v>
      </c>
    </row>
    <row r="579" spans="3:13" x14ac:dyDescent="0.3">
      <c r="C579" t="s">
        <v>61</v>
      </c>
      <c r="D579" t="s">
        <v>67</v>
      </c>
      <c r="E579" t="s">
        <v>63</v>
      </c>
      <c r="F579" t="s">
        <v>26</v>
      </c>
      <c r="G579" s="4">
        <v>6</v>
      </c>
      <c r="H579" s="4" t="s">
        <v>18</v>
      </c>
      <c r="I579" s="4" t="s">
        <v>69</v>
      </c>
      <c r="J579" s="4" t="s">
        <v>66</v>
      </c>
      <c r="K579" s="4">
        <v>0</v>
      </c>
      <c r="L579" s="94">
        <v>-36078</v>
      </c>
      <c r="M579" s="94">
        <v>0</v>
      </c>
    </row>
    <row r="580" spans="3:13" x14ac:dyDescent="0.3">
      <c r="C580" t="s">
        <v>71</v>
      </c>
      <c r="D580" t="s">
        <v>62</v>
      </c>
      <c r="E580" t="s">
        <v>68</v>
      </c>
      <c r="F580" t="s">
        <v>24</v>
      </c>
      <c r="G580" s="4">
        <v>16</v>
      </c>
      <c r="I580" s="4" t="s">
        <v>69</v>
      </c>
      <c r="J580" s="4" t="s">
        <v>66</v>
      </c>
      <c r="K580" s="4">
        <v>1</v>
      </c>
      <c r="L580" s="94">
        <v>164155</v>
      </c>
      <c r="M580" s="94">
        <v>2626480</v>
      </c>
    </row>
    <row r="581" spans="3:13" x14ac:dyDescent="0.3">
      <c r="C581" t="s">
        <v>61</v>
      </c>
      <c r="D581" t="s">
        <v>67</v>
      </c>
      <c r="E581" t="s">
        <v>63</v>
      </c>
      <c r="F581" t="s">
        <v>25</v>
      </c>
      <c r="G581" s="4">
        <v>6</v>
      </c>
      <c r="H581" s="4" t="s">
        <v>18</v>
      </c>
      <c r="I581" s="4" t="s">
        <v>69</v>
      </c>
      <c r="J581" s="4" t="s">
        <v>66</v>
      </c>
      <c r="K581" s="4">
        <v>1</v>
      </c>
      <c r="L581" s="94">
        <v>-1805</v>
      </c>
      <c r="M581" s="94">
        <v>0</v>
      </c>
    </row>
    <row r="582" spans="3:13" x14ac:dyDescent="0.3">
      <c r="C582" t="s">
        <v>61</v>
      </c>
      <c r="D582" t="s">
        <v>67</v>
      </c>
      <c r="E582" t="s">
        <v>68</v>
      </c>
      <c r="F582" t="s">
        <v>26</v>
      </c>
      <c r="G582" s="4">
        <v>4</v>
      </c>
      <c r="H582" s="4" t="s">
        <v>15</v>
      </c>
      <c r="I582" s="4" t="s">
        <v>69</v>
      </c>
      <c r="J582" s="4" t="s">
        <v>73</v>
      </c>
      <c r="K582" s="4">
        <v>1</v>
      </c>
      <c r="L582" s="94">
        <v>16780447</v>
      </c>
      <c r="M582" s="94">
        <v>67121788</v>
      </c>
    </row>
    <row r="583" spans="3:13" x14ac:dyDescent="0.3">
      <c r="C583" t="s">
        <v>61</v>
      </c>
      <c r="D583" t="s">
        <v>67</v>
      </c>
      <c r="E583" t="s">
        <v>68</v>
      </c>
      <c r="F583" t="s">
        <v>25</v>
      </c>
      <c r="G583" s="4">
        <v>6</v>
      </c>
      <c r="H583" s="4" t="s">
        <v>17</v>
      </c>
      <c r="I583" s="4" t="s">
        <v>69</v>
      </c>
      <c r="J583" s="4" t="s">
        <v>66</v>
      </c>
      <c r="K583" s="4">
        <v>1</v>
      </c>
      <c r="L583" s="94">
        <v>244987</v>
      </c>
      <c r="M583" s="94">
        <v>1469922</v>
      </c>
    </row>
    <row r="584" spans="3:13" x14ac:dyDescent="0.3">
      <c r="C584" t="s">
        <v>70</v>
      </c>
      <c r="D584" t="s">
        <v>67</v>
      </c>
      <c r="E584" t="s">
        <v>63</v>
      </c>
      <c r="F584" t="s">
        <v>25</v>
      </c>
      <c r="G584" s="4">
        <v>13</v>
      </c>
      <c r="H584" s="4" t="s">
        <v>76</v>
      </c>
      <c r="I584" s="4" t="s">
        <v>69</v>
      </c>
      <c r="J584" s="4" t="s">
        <v>66</v>
      </c>
      <c r="K584" s="4">
        <v>0</v>
      </c>
      <c r="L584" s="94">
        <v>-59427</v>
      </c>
      <c r="M584" s="94">
        <v>0</v>
      </c>
    </row>
    <row r="585" spans="3:13" x14ac:dyDescent="0.3">
      <c r="C585" t="s">
        <v>71</v>
      </c>
      <c r="D585" t="s">
        <v>67</v>
      </c>
      <c r="E585" t="s">
        <v>68</v>
      </c>
      <c r="F585" t="s">
        <v>26</v>
      </c>
      <c r="G585" s="4">
        <v>12</v>
      </c>
      <c r="H585" s="4" t="s">
        <v>14</v>
      </c>
      <c r="I585" s="4" t="s">
        <v>69</v>
      </c>
      <c r="J585" s="4" t="s">
        <v>73</v>
      </c>
      <c r="K585" s="4">
        <v>1</v>
      </c>
      <c r="L585" s="94">
        <v>991615</v>
      </c>
      <c r="M585" s="94">
        <v>11899380</v>
      </c>
    </row>
    <row r="586" spans="3:13" x14ac:dyDescent="0.3">
      <c r="C586" t="s">
        <v>61</v>
      </c>
      <c r="D586" t="s">
        <v>67</v>
      </c>
      <c r="E586" t="s">
        <v>68</v>
      </c>
      <c r="F586" t="s">
        <v>25</v>
      </c>
      <c r="G586" s="4">
        <v>5</v>
      </c>
      <c r="H586" s="4" t="s">
        <v>16</v>
      </c>
      <c r="I586" s="4" t="s">
        <v>69</v>
      </c>
      <c r="J586" s="4" t="s">
        <v>66</v>
      </c>
      <c r="K586" s="4">
        <v>0</v>
      </c>
      <c r="L586" s="94">
        <v>237460</v>
      </c>
      <c r="M586" s="94">
        <v>1187300</v>
      </c>
    </row>
    <row r="587" spans="3:13" x14ac:dyDescent="0.3">
      <c r="C587" t="s">
        <v>61</v>
      </c>
      <c r="D587" t="s">
        <v>67</v>
      </c>
      <c r="E587" t="s">
        <v>63</v>
      </c>
      <c r="F587" t="s">
        <v>25</v>
      </c>
      <c r="G587" s="4">
        <v>13</v>
      </c>
      <c r="H587" s="4" t="s">
        <v>82</v>
      </c>
      <c r="I587" s="4" t="s">
        <v>69</v>
      </c>
      <c r="J587" s="4" t="s">
        <v>66</v>
      </c>
      <c r="K587" s="4">
        <v>0</v>
      </c>
      <c r="L587" s="94">
        <v>-292</v>
      </c>
      <c r="M587" s="94">
        <v>0</v>
      </c>
    </row>
    <row r="588" spans="3:13" x14ac:dyDescent="0.3">
      <c r="C588" t="s">
        <v>70</v>
      </c>
      <c r="D588" t="s">
        <v>67</v>
      </c>
      <c r="E588" t="s">
        <v>63</v>
      </c>
      <c r="F588" t="s">
        <v>72</v>
      </c>
      <c r="G588" s="4">
        <v>3</v>
      </c>
      <c r="H588" s="4" t="s">
        <v>17</v>
      </c>
      <c r="I588" s="4" t="s">
        <v>69</v>
      </c>
      <c r="J588" s="4" t="s">
        <v>66</v>
      </c>
      <c r="K588" s="4">
        <v>0</v>
      </c>
      <c r="L588" s="94">
        <v>-106998</v>
      </c>
      <c r="M588" s="94">
        <v>0</v>
      </c>
    </row>
    <row r="589" spans="3:13" x14ac:dyDescent="0.3">
      <c r="C589" t="s">
        <v>61</v>
      </c>
      <c r="D589" t="s">
        <v>67</v>
      </c>
      <c r="E589" t="s">
        <v>68</v>
      </c>
      <c r="F589" t="s">
        <v>25</v>
      </c>
      <c r="G589" s="4">
        <v>17</v>
      </c>
      <c r="H589" s="4" t="s">
        <v>79</v>
      </c>
      <c r="I589" s="4" t="s">
        <v>69</v>
      </c>
      <c r="J589" s="4" t="s">
        <v>66</v>
      </c>
      <c r="K589" s="4">
        <v>0</v>
      </c>
      <c r="L589" s="94">
        <v>315165</v>
      </c>
      <c r="M589" s="94">
        <v>5357805</v>
      </c>
    </row>
    <row r="590" spans="3:13" x14ac:dyDescent="0.3">
      <c r="C590" t="s">
        <v>70</v>
      </c>
      <c r="D590" t="s">
        <v>67</v>
      </c>
      <c r="E590" t="s">
        <v>63</v>
      </c>
      <c r="F590" t="s">
        <v>25</v>
      </c>
      <c r="G590" s="4">
        <v>-4</v>
      </c>
      <c r="H590" s="4" t="s">
        <v>18</v>
      </c>
      <c r="I590" s="4" t="s">
        <v>69</v>
      </c>
      <c r="J590" s="4" t="s">
        <v>66</v>
      </c>
      <c r="K590" s="4">
        <v>1</v>
      </c>
      <c r="L590" s="94">
        <v>-13</v>
      </c>
      <c r="M590" s="94">
        <v>0</v>
      </c>
    </row>
    <row r="591" spans="3:13" x14ac:dyDescent="0.3">
      <c r="C591" t="s">
        <v>61</v>
      </c>
      <c r="D591" t="s">
        <v>67</v>
      </c>
      <c r="E591" t="s">
        <v>63</v>
      </c>
      <c r="F591" t="s">
        <v>72</v>
      </c>
      <c r="G591" s="4">
        <v>7</v>
      </c>
      <c r="H591" s="4" t="s">
        <v>78</v>
      </c>
      <c r="I591" s="4" t="s">
        <v>69</v>
      </c>
      <c r="J591" s="4" t="s">
        <v>66</v>
      </c>
      <c r="K591" s="4">
        <v>0</v>
      </c>
      <c r="L591" s="94">
        <v>-158</v>
      </c>
      <c r="M591" s="94">
        <v>0</v>
      </c>
    </row>
    <row r="592" spans="3:13" x14ac:dyDescent="0.3">
      <c r="C592" t="s">
        <v>71</v>
      </c>
      <c r="D592" t="s">
        <v>67</v>
      </c>
      <c r="E592" t="s">
        <v>63</v>
      </c>
      <c r="F592" t="s">
        <v>26</v>
      </c>
      <c r="G592" s="4">
        <v>5</v>
      </c>
      <c r="H592" s="4" t="s">
        <v>14</v>
      </c>
      <c r="I592" s="4" t="s">
        <v>69</v>
      </c>
      <c r="J592" s="4" t="s">
        <v>66</v>
      </c>
      <c r="K592" s="4">
        <v>0</v>
      </c>
      <c r="L592" s="94">
        <v>-1921913</v>
      </c>
      <c r="M592" s="94">
        <v>0</v>
      </c>
    </row>
    <row r="593" spans="3:13" x14ac:dyDescent="0.3">
      <c r="C593" t="s">
        <v>71</v>
      </c>
      <c r="D593" t="s">
        <v>67</v>
      </c>
      <c r="E593" t="s">
        <v>68</v>
      </c>
      <c r="F593" t="s">
        <v>26</v>
      </c>
      <c r="G593" s="4">
        <v>-1</v>
      </c>
      <c r="H593" s="4" t="s">
        <v>17</v>
      </c>
      <c r="I593" s="4" t="s">
        <v>65</v>
      </c>
      <c r="J593" s="4" t="s">
        <v>66</v>
      </c>
      <c r="K593" s="4">
        <v>1</v>
      </c>
      <c r="L593" s="94">
        <v>104334</v>
      </c>
      <c r="M593" s="94">
        <v>0</v>
      </c>
    </row>
    <row r="594" spans="3:13" x14ac:dyDescent="0.3">
      <c r="C594" t="s">
        <v>61</v>
      </c>
      <c r="D594" t="s">
        <v>62</v>
      </c>
      <c r="E594" t="s">
        <v>68</v>
      </c>
      <c r="F594" t="s">
        <v>24</v>
      </c>
      <c r="G594" s="4">
        <v>39</v>
      </c>
      <c r="I594" s="4" t="s">
        <v>69</v>
      </c>
      <c r="J594" s="4" t="s">
        <v>66</v>
      </c>
      <c r="K594" s="4">
        <v>1</v>
      </c>
      <c r="L594" s="94">
        <v>783057</v>
      </c>
      <c r="M594" s="94">
        <v>30539223</v>
      </c>
    </row>
    <row r="595" spans="3:13" x14ac:dyDescent="0.3">
      <c r="C595" t="s">
        <v>61</v>
      </c>
      <c r="D595" t="s">
        <v>84</v>
      </c>
      <c r="E595" t="s">
        <v>68</v>
      </c>
      <c r="F595" t="s">
        <v>25</v>
      </c>
      <c r="G595" s="4">
        <v>10</v>
      </c>
      <c r="H595" s="4" t="s">
        <v>81</v>
      </c>
      <c r="I595" s="4" t="s">
        <v>69</v>
      </c>
      <c r="J595" s="4" t="s">
        <v>66</v>
      </c>
      <c r="K595" s="4">
        <v>0</v>
      </c>
      <c r="L595" s="94">
        <v>151981</v>
      </c>
      <c r="M595" s="94">
        <v>1519810</v>
      </c>
    </row>
    <row r="596" spans="3:13" x14ac:dyDescent="0.3">
      <c r="C596" t="s">
        <v>61</v>
      </c>
      <c r="D596" t="s">
        <v>67</v>
      </c>
      <c r="E596" t="s">
        <v>63</v>
      </c>
      <c r="F596" t="s">
        <v>26</v>
      </c>
      <c r="G596" s="4">
        <v>5</v>
      </c>
      <c r="H596" s="4" t="s">
        <v>12</v>
      </c>
      <c r="I596" s="4" t="s">
        <v>69</v>
      </c>
      <c r="J596" s="4" t="s">
        <v>66</v>
      </c>
      <c r="K596" s="4">
        <v>0</v>
      </c>
      <c r="L596" s="94">
        <v>-1965</v>
      </c>
      <c r="M596" s="94">
        <v>0</v>
      </c>
    </row>
    <row r="597" spans="3:13" x14ac:dyDescent="0.3">
      <c r="C597" t="s">
        <v>71</v>
      </c>
      <c r="D597" t="s">
        <v>67</v>
      </c>
      <c r="E597" t="s">
        <v>63</v>
      </c>
      <c r="F597" t="s">
        <v>26</v>
      </c>
      <c r="G597" s="4">
        <v>-4</v>
      </c>
      <c r="H597" s="4" t="s">
        <v>18</v>
      </c>
      <c r="I597" s="4" t="s">
        <v>65</v>
      </c>
      <c r="J597" s="4" t="s">
        <v>66</v>
      </c>
      <c r="K597" s="4">
        <v>1</v>
      </c>
      <c r="L597" s="94">
        <v>-221</v>
      </c>
      <c r="M597" s="94">
        <v>0</v>
      </c>
    </row>
    <row r="598" spans="3:13" x14ac:dyDescent="0.3">
      <c r="C598" t="s">
        <v>61</v>
      </c>
      <c r="D598" t="s">
        <v>62</v>
      </c>
      <c r="E598" t="s">
        <v>68</v>
      </c>
      <c r="F598" t="s">
        <v>24</v>
      </c>
      <c r="G598" s="4">
        <v>11</v>
      </c>
      <c r="I598" s="4" t="s">
        <v>65</v>
      </c>
      <c r="J598" s="4" t="s">
        <v>66</v>
      </c>
      <c r="K598" s="4">
        <v>1</v>
      </c>
      <c r="L598" s="94">
        <v>2507563</v>
      </c>
      <c r="M598" s="94">
        <v>27583193</v>
      </c>
    </row>
    <row r="599" spans="3:13" x14ac:dyDescent="0.3">
      <c r="C599" t="s">
        <v>71</v>
      </c>
      <c r="D599" t="s">
        <v>67</v>
      </c>
      <c r="E599" t="s">
        <v>63</v>
      </c>
      <c r="F599" t="s">
        <v>26</v>
      </c>
      <c r="G599" s="4">
        <v>-1</v>
      </c>
      <c r="H599" s="4" t="s">
        <v>14</v>
      </c>
      <c r="I599" s="4" t="s">
        <v>69</v>
      </c>
      <c r="J599" s="4" t="s">
        <v>73</v>
      </c>
      <c r="K599" s="4">
        <v>1</v>
      </c>
      <c r="L599" s="94">
        <v>-3829780</v>
      </c>
      <c r="M599" s="94">
        <v>0</v>
      </c>
    </row>
    <row r="600" spans="3:13" x14ac:dyDescent="0.3">
      <c r="C600" t="s">
        <v>71</v>
      </c>
      <c r="D600" t="s">
        <v>67</v>
      </c>
      <c r="E600" t="s">
        <v>68</v>
      </c>
      <c r="F600" t="s">
        <v>26</v>
      </c>
      <c r="G600" s="4">
        <v>-4</v>
      </c>
      <c r="H600" s="4" t="s">
        <v>79</v>
      </c>
      <c r="I600" s="4" t="s">
        <v>69</v>
      </c>
      <c r="J600" s="4" t="s">
        <v>66</v>
      </c>
      <c r="K600" s="4">
        <v>0</v>
      </c>
      <c r="L600" s="94">
        <v>234564</v>
      </c>
      <c r="M600" s="94">
        <v>0</v>
      </c>
    </row>
    <row r="601" spans="3:13" x14ac:dyDescent="0.3">
      <c r="C601" t="s">
        <v>61</v>
      </c>
      <c r="D601" t="s">
        <v>67</v>
      </c>
      <c r="E601" t="s">
        <v>68</v>
      </c>
      <c r="F601" t="s">
        <v>25</v>
      </c>
      <c r="G601" s="4">
        <v>14</v>
      </c>
      <c r="H601" s="4" t="s">
        <v>17</v>
      </c>
      <c r="I601" s="4" t="s">
        <v>69</v>
      </c>
      <c r="J601" s="4" t="s">
        <v>66</v>
      </c>
      <c r="K601" s="4">
        <v>0</v>
      </c>
      <c r="L601" s="94">
        <v>798615</v>
      </c>
      <c r="M601" s="94">
        <v>11180610</v>
      </c>
    </row>
    <row r="602" spans="3:13" x14ac:dyDescent="0.3">
      <c r="C602" t="s">
        <v>61</v>
      </c>
      <c r="D602" t="s">
        <v>67</v>
      </c>
      <c r="E602" t="s">
        <v>63</v>
      </c>
      <c r="F602" t="s">
        <v>25</v>
      </c>
      <c r="G602" s="4">
        <v>5</v>
      </c>
      <c r="H602" s="4" t="s">
        <v>74</v>
      </c>
      <c r="I602" s="4" t="s">
        <v>69</v>
      </c>
      <c r="J602" s="4" t="s">
        <v>66</v>
      </c>
      <c r="K602" s="4">
        <v>0</v>
      </c>
      <c r="L602" s="94">
        <v>-8839</v>
      </c>
      <c r="M602" s="94">
        <v>0</v>
      </c>
    </row>
    <row r="603" spans="3:13" x14ac:dyDescent="0.3">
      <c r="C603" t="s">
        <v>71</v>
      </c>
      <c r="D603" t="s">
        <v>67</v>
      </c>
      <c r="E603" t="s">
        <v>63</v>
      </c>
      <c r="F603" t="s">
        <v>26</v>
      </c>
      <c r="G603" s="4">
        <v>3</v>
      </c>
      <c r="H603" s="4" t="s">
        <v>12</v>
      </c>
      <c r="I603" s="4" t="s">
        <v>65</v>
      </c>
      <c r="J603" s="4" t="s">
        <v>73</v>
      </c>
      <c r="K603" s="4">
        <v>1</v>
      </c>
      <c r="L603" s="94">
        <v>-7748</v>
      </c>
      <c r="M603" s="94">
        <v>0</v>
      </c>
    </row>
    <row r="604" spans="3:13" x14ac:dyDescent="0.3">
      <c r="C604" t="s">
        <v>70</v>
      </c>
      <c r="D604" t="s">
        <v>67</v>
      </c>
      <c r="E604" t="s">
        <v>63</v>
      </c>
      <c r="F604" t="s">
        <v>25</v>
      </c>
      <c r="G604" s="4">
        <v>5</v>
      </c>
      <c r="H604" s="4" t="s">
        <v>75</v>
      </c>
      <c r="I604" s="4" t="s">
        <v>69</v>
      </c>
      <c r="J604" s="4" t="s">
        <v>66</v>
      </c>
      <c r="K604" s="4">
        <v>0</v>
      </c>
      <c r="L604" s="94">
        <v>-181429</v>
      </c>
      <c r="M604" s="94">
        <v>0</v>
      </c>
    </row>
    <row r="605" spans="3:13" x14ac:dyDescent="0.3">
      <c r="C605" t="s">
        <v>61</v>
      </c>
      <c r="D605" t="s">
        <v>67</v>
      </c>
      <c r="E605" t="s">
        <v>68</v>
      </c>
      <c r="F605" t="s">
        <v>72</v>
      </c>
      <c r="G605" s="4">
        <v>5</v>
      </c>
      <c r="H605" s="4" t="s">
        <v>14</v>
      </c>
      <c r="I605" s="4" t="s">
        <v>69</v>
      </c>
      <c r="J605" s="4" t="s">
        <v>73</v>
      </c>
      <c r="K605" s="4">
        <v>1</v>
      </c>
      <c r="L605" s="94">
        <v>6358629</v>
      </c>
      <c r="M605" s="94">
        <v>31793145</v>
      </c>
    </row>
    <row r="606" spans="3:13" x14ac:dyDescent="0.3">
      <c r="C606" t="s">
        <v>70</v>
      </c>
      <c r="D606" t="s">
        <v>67</v>
      </c>
      <c r="E606" t="s">
        <v>63</v>
      </c>
      <c r="F606" t="s">
        <v>26</v>
      </c>
      <c r="G606" s="4">
        <v>3</v>
      </c>
      <c r="H606" s="4" t="s">
        <v>13</v>
      </c>
      <c r="I606" s="4" t="s">
        <v>69</v>
      </c>
      <c r="J606" s="4" t="s">
        <v>73</v>
      </c>
      <c r="K606" s="4">
        <v>1</v>
      </c>
      <c r="L606" s="94">
        <v>-6602</v>
      </c>
      <c r="M606" s="94">
        <v>0</v>
      </c>
    </row>
    <row r="607" spans="3:13" x14ac:dyDescent="0.3">
      <c r="C607" t="s">
        <v>61</v>
      </c>
      <c r="D607" t="s">
        <v>67</v>
      </c>
      <c r="E607" t="s">
        <v>68</v>
      </c>
      <c r="F607" t="s">
        <v>72</v>
      </c>
      <c r="G607" s="4">
        <v>4</v>
      </c>
      <c r="H607" s="4" t="s">
        <v>77</v>
      </c>
      <c r="I607" s="4" t="s">
        <v>69</v>
      </c>
      <c r="J607" s="4" t="s">
        <v>66</v>
      </c>
      <c r="K607" s="4">
        <v>0</v>
      </c>
      <c r="L607" s="94">
        <v>1121997</v>
      </c>
      <c r="M607" s="94">
        <v>4487988</v>
      </c>
    </row>
    <row r="608" spans="3:13" x14ac:dyDescent="0.3">
      <c r="C608" t="s">
        <v>70</v>
      </c>
      <c r="D608" t="s">
        <v>67</v>
      </c>
      <c r="E608" t="s">
        <v>63</v>
      </c>
      <c r="F608" t="s">
        <v>72</v>
      </c>
      <c r="G608" s="4">
        <v>5</v>
      </c>
      <c r="H608" s="4" t="s">
        <v>82</v>
      </c>
      <c r="I608" s="4" t="s">
        <v>69</v>
      </c>
      <c r="J608" s="4" t="s">
        <v>66</v>
      </c>
      <c r="K608" s="4">
        <v>0</v>
      </c>
      <c r="L608" s="94">
        <v>-149146</v>
      </c>
      <c r="M608" s="94">
        <v>0</v>
      </c>
    </row>
    <row r="609" spans="3:13" x14ac:dyDescent="0.3">
      <c r="C609" t="s">
        <v>71</v>
      </c>
      <c r="D609" t="s">
        <v>67</v>
      </c>
      <c r="E609" t="s">
        <v>68</v>
      </c>
      <c r="F609" t="s">
        <v>26</v>
      </c>
      <c r="G609" s="4">
        <v>3</v>
      </c>
      <c r="H609" s="4" t="s">
        <v>14</v>
      </c>
      <c r="I609" s="4" t="s">
        <v>69</v>
      </c>
      <c r="J609" s="4" t="s">
        <v>73</v>
      </c>
      <c r="K609" s="4">
        <v>1</v>
      </c>
      <c r="L609" s="94">
        <v>3414383</v>
      </c>
      <c r="M609" s="94">
        <v>10243149</v>
      </c>
    </row>
    <row r="610" spans="3:13" x14ac:dyDescent="0.3">
      <c r="C610" t="s">
        <v>61</v>
      </c>
      <c r="D610" t="s">
        <v>67</v>
      </c>
      <c r="E610" t="s">
        <v>68</v>
      </c>
      <c r="F610" t="s">
        <v>25</v>
      </c>
      <c r="G610" s="4">
        <v>1</v>
      </c>
      <c r="H610" s="4" t="s">
        <v>12</v>
      </c>
      <c r="I610" s="4" t="s">
        <v>69</v>
      </c>
      <c r="J610" s="4" t="s">
        <v>66</v>
      </c>
      <c r="K610" s="4">
        <v>1</v>
      </c>
      <c r="L610" s="94">
        <v>1381122</v>
      </c>
      <c r="M610" s="94">
        <v>1381122</v>
      </c>
    </row>
    <row r="611" spans="3:13" x14ac:dyDescent="0.3">
      <c r="C611" t="s">
        <v>70</v>
      </c>
      <c r="D611" t="s">
        <v>67</v>
      </c>
      <c r="E611" t="s">
        <v>68</v>
      </c>
      <c r="F611" t="s">
        <v>26</v>
      </c>
      <c r="G611" s="4">
        <v>-1</v>
      </c>
      <c r="H611" s="4" t="s">
        <v>17</v>
      </c>
      <c r="I611" s="4" t="s">
        <v>69</v>
      </c>
      <c r="J611" s="4" t="s">
        <v>66</v>
      </c>
      <c r="K611" s="4">
        <v>0</v>
      </c>
      <c r="L611" s="94">
        <v>19718704</v>
      </c>
      <c r="M611" s="94">
        <v>0</v>
      </c>
    </row>
    <row r="612" spans="3:13" x14ac:dyDescent="0.3">
      <c r="C612" t="s">
        <v>61</v>
      </c>
      <c r="D612" t="s">
        <v>62</v>
      </c>
      <c r="E612" t="s">
        <v>68</v>
      </c>
      <c r="F612" t="s">
        <v>25</v>
      </c>
      <c r="G612" s="4">
        <v>24</v>
      </c>
      <c r="I612" s="4" t="s">
        <v>69</v>
      </c>
      <c r="J612" s="4" t="s">
        <v>66</v>
      </c>
      <c r="K612" s="4">
        <v>0</v>
      </c>
      <c r="L612" s="94">
        <v>496124</v>
      </c>
      <c r="M612" s="94">
        <v>11906976</v>
      </c>
    </row>
    <row r="613" spans="3:13" x14ac:dyDescent="0.3">
      <c r="C613" t="s">
        <v>71</v>
      </c>
      <c r="D613" t="s">
        <v>67</v>
      </c>
      <c r="E613" t="s">
        <v>63</v>
      </c>
      <c r="F613" t="s">
        <v>25</v>
      </c>
      <c r="G613" s="4">
        <v>29</v>
      </c>
      <c r="H613" s="4" t="s">
        <v>76</v>
      </c>
      <c r="I613" s="4" t="s">
        <v>69</v>
      </c>
      <c r="J613" s="4" t="s">
        <v>66</v>
      </c>
      <c r="K613" s="4">
        <v>0</v>
      </c>
      <c r="L613" s="94">
        <v>-9166485</v>
      </c>
      <c r="M613" s="94">
        <v>0</v>
      </c>
    </row>
    <row r="614" spans="3:13" x14ac:dyDescent="0.3">
      <c r="C614" t="s">
        <v>71</v>
      </c>
      <c r="D614" t="s">
        <v>67</v>
      </c>
      <c r="E614" t="s">
        <v>68</v>
      </c>
      <c r="F614" t="s">
        <v>72</v>
      </c>
      <c r="G614" s="4">
        <v>2</v>
      </c>
      <c r="H614" s="4" t="s">
        <v>75</v>
      </c>
      <c r="I614" s="4" t="s">
        <v>69</v>
      </c>
      <c r="J614" s="4" t="s">
        <v>66</v>
      </c>
      <c r="K614" s="4">
        <v>0</v>
      </c>
      <c r="L614" s="94">
        <v>30391</v>
      </c>
      <c r="M614" s="94">
        <v>60782</v>
      </c>
    </row>
    <row r="615" spans="3:13" x14ac:dyDescent="0.3">
      <c r="C615" t="s">
        <v>61</v>
      </c>
      <c r="D615" t="s">
        <v>67</v>
      </c>
      <c r="E615" t="s">
        <v>63</v>
      </c>
      <c r="F615" t="s">
        <v>72</v>
      </c>
      <c r="G615" s="4">
        <v>3</v>
      </c>
      <c r="H615" s="4" t="s">
        <v>17</v>
      </c>
      <c r="I615" s="4" t="s">
        <v>69</v>
      </c>
      <c r="J615" s="4" t="s">
        <v>66</v>
      </c>
      <c r="K615" s="4">
        <v>0</v>
      </c>
      <c r="L615" s="94">
        <v>-25932</v>
      </c>
      <c r="M615" s="94">
        <v>0</v>
      </c>
    </row>
    <row r="616" spans="3:13" x14ac:dyDescent="0.3">
      <c r="C616" t="s">
        <v>70</v>
      </c>
      <c r="D616" t="s">
        <v>67</v>
      </c>
      <c r="E616" t="s">
        <v>63</v>
      </c>
      <c r="F616" t="s">
        <v>26</v>
      </c>
      <c r="G616" s="4">
        <v>8</v>
      </c>
      <c r="H616" s="4" t="s">
        <v>18</v>
      </c>
      <c r="I616" s="4" t="s">
        <v>69</v>
      </c>
      <c r="J616" s="4" t="s">
        <v>66</v>
      </c>
      <c r="K616" s="4">
        <v>0</v>
      </c>
      <c r="L616" s="94">
        <v>-256369</v>
      </c>
      <c r="M616" s="94">
        <v>0</v>
      </c>
    </row>
    <row r="617" spans="3:13" x14ac:dyDescent="0.3">
      <c r="C617" t="s">
        <v>61</v>
      </c>
      <c r="D617" t="s">
        <v>67</v>
      </c>
      <c r="E617" t="s">
        <v>68</v>
      </c>
      <c r="F617" t="s">
        <v>72</v>
      </c>
      <c r="G617" s="4">
        <v>-1</v>
      </c>
      <c r="H617" s="4" t="s">
        <v>76</v>
      </c>
      <c r="I617" s="4" t="s">
        <v>69</v>
      </c>
      <c r="J617" s="4" t="s">
        <v>66</v>
      </c>
      <c r="K617" s="4">
        <v>0</v>
      </c>
      <c r="L617" s="94">
        <v>1854842</v>
      </c>
      <c r="M617" s="94">
        <v>0</v>
      </c>
    </row>
    <row r="618" spans="3:13" x14ac:dyDescent="0.3">
      <c r="C618" t="s">
        <v>70</v>
      </c>
      <c r="D618" t="s">
        <v>62</v>
      </c>
      <c r="E618" t="s">
        <v>68</v>
      </c>
      <c r="F618" t="s">
        <v>24</v>
      </c>
      <c r="G618" s="4">
        <v>11</v>
      </c>
      <c r="I618" s="4" t="s">
        <v>69</v>
      </c>
      <c r="J618" s="4" t="s">
        <v>66</v>
      </c>
      <c r="K618" s="4">
        <v>0</v>
      </c>
      <c r="L618" s="94">
        <v>14687488</v>
      </c>
      <c r="M618" s="94">
        <v>161562368</v>
      </c>
    </row>
    <row r="619" spans="3:13" x14ac:dyDescent="0.3">
      <c r="C619" t="s">
        <v>71</v>
      </c>
      <c r="D619" t="s">
        <v>67</v>
      </c>
      <c r="E619" t="s">
        <v>63</v>
      </c>
      <c r="F619" t="s">
        <v>25</v>
      </c>
      <c r="G619" s="4">
        <v>-4</v>
      </c>
      <c r="H619" s="4" t="s">
        <v>13</v>
      </c>
      <c r="I619" s="4" t="s">
        <v>69</v>
      </c>
      <c r="J619" s="4" t="s">
        <v>66</v>
      </c>
      <c r="K619" s="4">
        <v>1</v>
      </c>
      <c r="L619" s="94">
        <v>-30666</v>
      </c>
      <c r="M619" s="94">
        <v>0</v>
      </c>
    </row>
    <row r="620" spans="3:13" x14ac:dyDescent="0.3">
      <c r="C620" t="s">
        <v>71</v>
      </c>
      <c r="D620" t="s">
        <v>67</v>
      </c>
      <c r="E620" t="s">
        <v>63</v>
      </c>
      <c r="F620" t="s">
        <v>26</v>
      </c>
      <c r="G620" s="4">
        <v>5</v>
      </c>
      <c r="H620" s="4" t="s">
        <v>74</v>
      </c>
      <c r="I620" s="4" t="s">
        <v>69</v>
      </c>
      <c r="J620" s="4" t="s">
        <v>66</v>
      </c>
      <c r="K620" s="4">
        <v>0</v>
      </c>
      <c r="L620" s="94">
        <v>-236926</v>
      </c>
      <c r="M620" s="94">
        <v>0</v>
      </c>
    </row>
    <row r="621" spans="3:13" x14ac:dyDescent="0.3">
      <c r="C621" t="s">
        <v>61</v>
      </c>
      <c r="D621" t="s">
        <v>67</v>
      </c>
      <c r="E621" t="s">
        <v>63</v>
      </c>
      <c r="F621" t="s">
        <v>72</v>
      </c>
      <c r="G621" s="4">
        <v>6</v>
      </c>
      <c r="H621" s="4" t="s">
        <v>64</v>
      </c>
      <c r="I621" s="4" t="s">
        <v>69</v>
      </c>
      <c r="J621" s="4" t="s">
        <v>66</v>
      </c>
      <c r="K621" s="4">
        <v>0</v>
      </c>
      <c r="L621" s="94">
        <v>-1131</v>
      </c>
      <c r="M621" s="94">
        <v>0</v>
      </c>
    </row>
    <row r="622" spans="3:13" x14ac:dyDescent="0.3">
      <c r="C622" t="s">
        <v>61</v>
      </c>
      <c r="D622" t="s">
        <v>67</v>
      </c>
      <c r="E622" t="s">
        <v>68</v>
      </c>
      <c r="F622" t="s">
        <v>25</v>
      </c>
      <c r="G622" s="4">
        <v>5</v>
      </c>
      <c r="H622" s="4" t="s">
        <v>75</v>
      </c>
      <c r="I622" s="4" t="s">
        <v>65</v>
      </c>
      <c r="J622" s="4" t="s">
        <v>66</v>
      </c>
      <c r="K622" s="4">
        <v>1</v>
      </c>
      <c r="L622" s="94">
        <v>478012</v>
      </c>
      <c r="M622" s="94">
        <v>2390060</v>
      </c>
    </row>
    <row r="623" spans="3:13" x14ac:dyDescent="0.3">
      <c r="C623" t="s">
        <v>70</v>
      </c>
      <c r="D623" t="s">
        <v>67</v>
      </c>
      <c r="E623" t="s">
        <v>68</v>
      </c>
      <c r="F623" t="s">
        <v>25</v>
      </c>
      <c r="G623" s="4">
        <v>10</v>
      </c>
      <c r="H623" s="4" t="s">
        <v>79</v>
      </c>
      <c r="I623" s="4" t="s">
        <v>69</v>
      </c>
      <c r="J623" s="4" t="s">
        <v>66</v>
      </c>
      <c r="K623" s="4">
        <v>0</v>
      </c>
      <c r="L623" s="94">
        <v>395986</v>
      </c>
      <c r="M623" s="94">
        <v>3959860</v>
      </c>
    </row>
    <row r="624" spans="3:13" x14ac:dyDescent="0.3">
      <c r="C624" t="s">
        <v>61</v>
      </c>
      <c r="D624" t="s">
        <v>67</v>
      </c>
      <c r="E624" t="s">
        <v>63</v>
      </c>
      <c r="F624" t="s">
        <v>72</v>
      </c>
      <c r="G624" s="4">
        <v>5</v>
      </c>
      <c r="H624" s="4" t="s">
        <v>17</v>
      </c>
      <c r="I624" s="4" t="s">
        <v>69</v>
      </c>
      <c r="J624" s="4" t="s">
        <v>66</v>
      </c>
      <c r="K624" s="4">
        <v>0</v>
      </c>
      <c r="L624" s="94">
        <v>-16479</v>
      </c>
      <c r="M624" s="94">
        <v>0</v>
      </c>
    </row>
    <row r="625" spans="3:13" x14ac:dyDescent="0.3">
      <c r="C625" t="s">
        <v>71</v>
      </c>
      <c r="D625" t="s">
        <v>67</v>
      </c>
      <c r="E625" t="s">
        <v>68</v>
      </c>
      <c r="F625" t="s">
        <v>26</v>
      </c>
      <c r="G625" s="4">
        <v>-1</v>
      </c>
      <c r="H625" s="4" t="s">
        <v>82</v>
      </c>
      <c r="I625" s="4" t="s">
        <v>65</v>
      </c>
      <c r="J625" s="4" t="s">
        <v>66</v>
      </c>
      <c r="K625" s="4">
        <v>1</v>
      </c>
      <c r="L625" s="94">
        <v>72241</v>
      </c>
      <c r="M625" s="94">
        <v>0</v>
      </c>
    </row>
    <row r="626" spans="3:13" x14ac:dyDescent="0.3">
      <c r="C626" t="s">
        <v>71</v>
      </c>
      <c r="D626" t="s">
        <v>67</v>
      </c>
      <c r="E626" t="s">
        <v>68</v>
      </c>
      <c r="F626" t="s">
        <v>25</v>
      </c>
      <c r="G626" s="4">
        <v>4</v>
      </c>
      <c r="H626" s="4" t="s">
        <v>74</v>
      </c>
      <c r="I626" s="4" t="s">
        <v>69</v>
      </c>
      <c r="J626" s="4" t="s">
        <v>66</v>
      </c>
      <c r="K626" s="4">
        <v>0</v>
      </c>
      <c r="L626" s="94">
        <v>36107</v>
      </c>
      <c r="M626" s="94">
        <v>144428</v>
      </c>
    </row>
    <row r="627" spans="3:13" x14ac:dyDescent="0.3">
      <c r="C627" t="s">
        <v>71</v>
      </c>
      <c r="D627" t="s">
        <v>85</v>
      </c>
      <c r="E627" t="s">
        <v>63</v>
      </c>
      <c r="F627" t="s">
        <v>25</v>
      </c>
      <c r="G627" s="4">
        <v>13</v>
      </c>
      <c r="H627" s="4" t="s">
        <v>81</v>
      </c>
      <c r="I627" s="4" t="s">
        <v>69</v>
      </c>
      <c r="J627" s="4" t="s">
        <v>66</v>
      </c>
      <c r="K627" s="4">
        <v>0</v>
      </c>
      <c r="L627" s="94">
        <v>-120622</v>
      </c>
      <c r="M627" s="94">
        <v>0</v>
      </c>
    </row>
    <row r="628" spans="3:13" x14ac:dyDescent="0.3">
      <c r="C628" t="s">
        <v>71</v>
      </c>
      <c r="D628" t="s">
        <v>62</v>
      </c>
      <c r="E628" t="s">
        <v>68</v>
      </c>
      <c r="F628" t="s">
        <v>24</v>
      </c>
      <c r="G628" s="4">
        <v>25</v>
      </c>
      <c r="I628" s="4" t="s">
        <v>65</v>
      </c>
      <c r="J628" s="4" t="s">
        <v>66</v>
      </c>
      <c r="K628" s="4">
        <v>1</v>
      </c>
      <c r="L628" s="94">
        <v>99468</v>
      </c>
      <c r="M628" s="94">
        <v>2486700</v>
      </c>
    </row>
    <row r="629" spans="3:13" x14ac:dyDescent="0.3">
      <c r="C629" t="s">
        <v>70</v>
      </c>
      <c r="D629" t="s">
        <v>62</v>
      </c>
      <c r="E629" t="s">
        <v>63</v>
      </c>
      <c r="F629" t="s">
        <v>24</v>
      </c>
      <c r="G629" s="4">
        <v>29</v>
      </c>
      <c r="I629" s="4" t="s">
        <v>69</v>
      </c>
      <c r="J629" s="4" t="s">
        <v>66</v>
      </c>
      <c r="K629" s="4">
        <v>1</v>
      </c>
      <c r="L629" s="94">
        <v>-10639</v>
      </c>
      <c r="M629" s="94">
        <v>0</v>
      </c>
    </row>
    <row r="630" spans="3:13" x14ac:dyDescent="0.3">
      <c r="C630" t="s">
        <v>71</v>
      </c>
      <c r="D630" t="s">
        <v>67</v>
      </c>
      <c r="E630" t="s">
        <v>63</v>
      </c>
      <c r="F630" t="s">
        <v>26</v>
      </c>
      <c r="G630" s="4">
        <v>11</v>
      </c>
      <c r="H630" s="4" t="s">
        <v>82</v>
      </c>
      <c r="I630" s="4" t="s">
        <v>69</v>
      </c>
      <c r="J630" s="4" t="s">
        <v>66</v>
      </c>
      <c r="K630" s="4">
        <v>0</v>
      </c>
      <c r="L630" s="94">
        <v>-12456154</v>
      </c>
      <c r="M630" s="94">
        <v>0</v>
      </c>
    </row>
    <row r="631" spans="3:13" x14ac:dyDescent="0.3">
      <c r="C631" t="s">
        <v>70</v>
      </c>
      <c r="D631" t="s">
        <v>67</v>
      </c>
      <c r="E631" t="s">
        <v>68</v>
      </c>
      <c r="F631" t="s">
        <v>26</v>
      </c>
      <c r="G631" s="4">
        <v>3</v>
      </c>
      <c r="H631" s="4" t="s">
        <v>77</v>
      </c>
      <c r="I631" s="4" t="s">
        <v>69</v>
      </c>
      <c r="J631" s="4" t="s">
        <v>66</v>
      </c>
      <c r="K631" s="4">
        <v>0</v>
      </c>
      <c r="L631" s="94">
        <v>1803411</v>
      </c>
      <c r="M631" s="94">
        <v>5410233</v>
      </c>
    </row>
    <row r="632" spans="3:13" x14ac:dyDescent="0.3">
      <c r="C632" t="s">
        <v>61</v>
      </c>
      <c r="D632" t="s">
        <v>67</v>
      </c>
      <c r="E632" t="s">
        <v>68</v>
      </c>
      <c r="F632" t="s">
        <v>26</v>
      </c>
      <c r="G632" s="4">
        <v>14</v>
      </c>
      <c r="H632" s="4" t="s">
        <v>15</v>
      </c>
      <c r="I632" s="4" t="s">
        <v>69</v>
      </c>
      <c r="J632" s="4" t="s">
        <v>73</v>
      </c>
      <c r="K632" s="4">
        <v>1</v>
      </c>
      <c r="L632" s="94">
        <v>500278</v>
      </c>
      <c r="M632" s="94">
        <v>7003892</v>
      </c>
    </row>
    <row r="633" spans="3:13" x14ac:dyDescent="0.3">
      <c r="C633" t="s">
        <v>61</v>
      </c>
      <c r="D633" t="s">
        <v>62</v>
      </c>
      <c r="E633" t="s">
        <v>63</v>
      </c>
      <c r="F633" t="s">
        <v>25</v>
      </c>
      <c r="G633" s="4">
        <v>17</v>
      </c>
      <c r="I633" s="4" t="s">
        <v>65</v>
      </c>
      <c r="J633" s="4" t="s">
        <v>66</v>
      </c>
      <c r="K633" s="4">
        <v>1</v>
      </c>
      <c r="L633" s="94">
        <v>-194</v>
      </c>
      <c r="M633" s="94">
        <v>0</v>
      </c>
    </row>
    <row r="634" spans="3:13" x14ac:dyDescent="0.3">
      <c r="C634" t="s">
        <v>71</v>
      </c>
      <c r="D634" t="s">
        <v>67</v>
      </c>
      <c r="E634" t="s">
        <v>63</v>
      </c>
      <c r="F634" t="s">
        <v>25</v>
      </c>
      <c r="G634" s="4">
        <v>5</v>
      </c>
      <c r="H634" s="4" t="s">
        <v>18</v>
      </c>
      <c r="I634" s="4" t="s">
        <v>69</v>
      </c>
      <c r="J634" s="4" t="s">
        <v>66</v>
      </c>
      <c r="K634" s="4">
        <v>0</v>
      </c>
      <c r="L634" s="94">
        <v>-349233</v>
      </c>
      <c r="M634" s="94">
        <v>0</v>
      </c>
    </row>
    <row r="635" spans="3:13" x14ac:dyDescent="0.3">
      <c r="C635" t="s">
        <v>61</v>
      </c>
      <c r="D635" t="s">
        <v>67</v>
      </c>
      <c r="E635" t="s">
        <v>63</v>
      </c>
      <c r="F635" t="s">
        <v>25</v>
      </c>
      <c r="G635" s="4">
        <v>14</v>
      </c>
      <c r="H635" s="4" t="s">
        <v>77</v>
      </c>
      <c r="I635" s="4" t="s">
        <v>69</v>
      </c>
      <c r="J635" s="4" t="s">
        <v>66</v>
      </c>
      <c r="K635" s="4">
        <v>0</v>
      </c>
      <c r="L635" s="94">
        <v>-1541</v>
      </c>
      <c r="M635" s="94">
        <v>0</v>
      </c>
    </row>
    <row r="636" spans="3:13" x14ac:dyDescent="0.3">
      <c r="C636" t="s">
        <v>71</v>
      </c>
      <c r="D636" t="s">
        <v>62</v>
      </c>
      <c r="E636" t="s">
        <v>63</v>
      </c>
      <c r="F636" t="s">
        <v>24</v>
      </c>
      <c r="G636" s="4">
        <v>15</v>
      </c>
      <c r="I636" s="4" t="s">
        <v>69</v>
      </c>
      <c r="J636" s="4" t="s">
        <v>66</v>
      </c>
      <c r="K636" s="4">
        <v>0</v>
      </c>
      <c r="L636" s="94">
        <v>-1423144</v>
      </c>
      <c r="M636" s="94">
        <v>0</v>
      </c>
    </row>
    <row r="637" spans="3:13" x14ac:dyDescent="0.3">
      <c r="C637" t="s">
        <v>70</v>
      </c>
      <c r="D637" t="s">
        <v>67</v>
      </c>
      <c r="E637" t="s">
        <v>68</v>
      </c>
      <c r="F637" t="s">
        <v>25</v>
      </c>
      <c r="G637" s="4">
        <v>6</v>
      </c>
      <c r="H637" s="4" t="s">
        <v>75</v>
      </c>
      <c r="I637" s="4" t="s">
        <v>69</v>
      </c>
      <c r="J637" s="4" t="s">
        <v>66</v>
      </c>
      <c r="K637" s="4">
        <v>0</v>
      </c>
      <c r="L637" s="94">
        <v>3652114</v>
      </c>
      <c r="M637" s="94">
        <v>21912684</v>
      </c>
    </row>
    <row r="638" spans="3:13" x14ac:dyDescent="0.3">
      <c r="C638" t="s">
        <v>70</v>
      </c>
      <c r="D638" t="s">
        <v>62</v>
      </c>
      <c r="E638" t="s">
        <v>63</v>
      </c>
      <c r="F638" t="s">
        <v>25</v>
      </c>
      <c r="G638" s="4">
        <v>14</v>
      </c>
      <c r="I638" s="4" t="s">
        <v>69</v>
      </c>
      <c r="J638" s="4" t="s">
        <v>66</v>
      </c>
      <c r="K638" s="4">
        <v>0</v>
      </c>
      <c r="L638" s="94">
        <v>-19388</v>
      </c>
      <c r="M638" s="94">
        <v>0</v>
      </c>
    </row>
    <row r="639" spans="3:13" x14ac:dyDescent="0.3">
      <c r="C639" t="s">
        <v>61</v>
      </c>
      <c r="D639" t="s">
        <v>67</v>
      </c>
      <c r="E639" t="s">
        <v>63</v>
      </c>
      <c r="F639" t="s">
        <v>25</v>
      </c>
      <c r="G639" s="4">
        <v>16</v>
      </c>
      <c r="H639" s="4" t="s">
        <v>79</v>
      </c>
      <c r="I639" s="4" t="s">
        <v>69</v>
      </c>
      <c r="J639" s="4" t="s">
        <v>66</v>
      </c>
      <c r="K639" s="4">
        <v>0</v>
      </c>
      <c r="L639" s="94">
        <v>-4255</v>
      </c>
      <c r="M639" s="94">
        <v>0</v>
      </c>
    </row>
    <row r="640" spans="3:13" x14ac:dyDescent="0.3">
      <c r="C640" t="s">
        <v>61</v>
      </c>
      <c r="D640" t="s">
        <v>67</v>
      </c>
      <c r="E640" t="s">
        <v>63</v>
      </c>
      <c r="F640" t="s">
        <v>25</v>
      </c>
      <c r="G640" s="4">
        <v>10</v>
      </c>
      <c r="H640" s="4" t="s">
        <v>74</v>
      </c>
      <c r="I640" s="4" t="s">
        <v>65</v>
      </c>
      <c r="J640" s="4" t="s">
        <v>66</v>
      </c>
      <c r="K640" s="4">
        <v>1</v>
      </c>
      <c r="L640" s="94">
        <v>-86</v>
      </c>
      <c r="M640" s="94">
        <v>0</v>
      </c>
    </row>
    <row r="641" spans="3:13" x14ac:dyDescent="0.3">
      <c r="C641" t="s">
        <v>71</v>
      </c>
      <c r="D641" t="s">
        <v>67</v>
      </c>
      <c r="E641" t="s">
        <v>63</v>
      </c>
      <c r="F641" t="s">
        <v>26</v>
      </c>
      <c r="G641" s="4">
        <v>1</v>
      </c>
      <c r="H641" s="4" t="s">
        <v>18</v>
      </c>
      <c r="I641" s="4" t="s">
        <v>69</v>
      </c>
      <c r="J641" s="4" t="s">
        <v>73</v>
      </c>
      <c r="K641" s="4">
        <v>1</v>
      </c>
      <c r="L641" s="94">
        <v>-85401</v>
      </c>
      <c r="M641" s="94">
        <v>0</v>
      </c>
    </row>
    <row r="642" spans="3:13" x14ac:dyDescent="0.3">
      <c r="C642" t="s">
        <v>70</v>
      </c>
      <c r="D642" t="s">
        <v>67</v>
      </c>
      <c r="E642" t="s">
        <v>63</v>
      </c>
      <c r="F642" t="s">
        <v>26</v>
      </c>
      <c r="G642" s="4">
        <v>2</v>
      </c>
      <c r="H642" s="4" t="s">
        <v>14</v>
      </c>
      <c r="I642" s="4" t="s">
        <v>69</v>
      </c>
      <c r="J642" s="4" t="s">
        <v>66</v>
      </c>
      <c r="K642" s="4">
        <v>0</v>
      </c>
      <c r="L642" s="94">
        <v>-515050</v>
      </c>
      <c r="M642" s="94">
        <v>0</v>
      </c>
    </row>
    <row r="643" spans="3:13" x14ac:dyDescent="0.3">
      <c r="C643" t="s">
        <v>70</v>
      </c>
      <c r="D643" t="s">
        <v>67</v>
      </c>
      <c r="E643" t="s">
        <v>68</v>
      </c>
      <c r="F643" t="s">
        <v>72</v>
      </c>
      <c r="G643" s="4">
        <v>2</v>
      </c>
      <c r="H643" s="4" t="s">
        <v>18</v>
      </c>
      <c r="I643" s="4" t="s">
        <v>65</v>
      </c>
      <c r="J643" s="4" t="s">
        <v>66</v>
      </c>
      <c r="K643" s="4">
        <v>1</v>
      </c>
      <c r="L643" s="94">
        <v>1920</v>
      </c>
      <c r="M643" s="94">
        <v>3840</v>
      </c>
    </row>
    <row r="644" spans="3:13" x14ac:dyDescent="0.3">
      <c r="C644" t="s">
        <v>71</v>
      </c>
      <c r="D644" t="s">
        <v>62</v>
      </c>
      <c r="E644" t="s">
        <v>63</v>
      </c>
      <c r="F644" t="s">
        <v>24</v>
      </c>
      <c r="G644" s="4">
        <v>16</v>
      </c>
      <c r="I644" s="4" t="s">
        <v>65</v>
      </c>
      <c r="J644" s="4" t="s">
        <v>66</v>
      </c>
      <c r="K644" s="4">
        <v>1</v>
      </c>
      <c r="L644" s="94">
        <v>-56798</v>
      </c>
      <c r="M644" s="94">
        <v>0</v>
      </c>
    </row>
    <row r="645" spans="3:13" x14ac:dyDescent="0.3">
      <c r="C645" t="s">
        <v>61</v>
      </c>
      <c r="D645" t="s">
        <v>67</v>
      </c>
      <c r="E645" t="s">
        <v>63</v>
      </c>
      <c r="F645" t="s">
        <v>26</v>
      </c>
      <c r="G645" s="4">
        <v>6</v>
      </c>
      <c r="H645" s="4" t="s">
        <v>76</v>
      </c>
      <c r="I645" s="4" t="s">
        <v>69</v>
      </c>
      <c r="J645" s="4" t="s">
        <v>66</v>
      </c>
      <c r="K645" s="4">
        <v>0</v>
      </c>
      <c r="L645" s="94">
        <v>-6501</v>
      </c>
      <c r="M645" s="94">
        <v>0</v>
      </c>
    </row>
    <row r="646" spans="3:13" x14ac:dyDescent="0.3">
      <c r="C646" t="s">
        <v>61</v>
      </c>
      <c r="D646" t="s">
        <v>67</v>
      </c>
      <c r="E646" t="s">
        <v>68</v>
      </c>
      <c r="F646" t="s">
        <v>72</v>
      </c>
      <c r="G646" s="4">
        <v>7</v>
      </c>
      <c r="H646" s="4" t="s">
        <v>75</v>
      </c>
      <c r="I646" s="4" t="s">
        <v>69</v>
      </c>
      <c r="J646" s="4" t="s">
        <v>66</v>
      </c>
      <c r="K646" s="4">
        <v>0</v>
      </c>
      <c r="L646" s="94">
        <v>2352191</v>
      </c>
      <c r="M646" s="94">
        <v>16465337</v>
      </c>
    </row>
    <row r="647" spans="3:13" x14ac:dyDescent="0.3">
      <c r="C647" t="s">
        <v>70</v>
      </c>
      <c r="D647" t="s">
        <v>62</v>
      </c>
      <c r="E647" t="s">
        <v>63</v>
      </c>
      <c r="F647" t="s">
        <v>24</v>
      </c>
      <c r="G647" s="4">
        <v>5</v>
      </c>
      <c r="I647" s="4" t="s">
        <v>65</v>
      </c>
      <c r="J647" s="4" t="s">
        <v>66</v>
      </c>
      <c r="K647" s="4">
        <v>1</v>
      </c>
      <c r="L647" s="94">
        <v>-2517</v>
      </c>
      <c r="M647" s="94">
        <v>0</v>
      </c>
    </row>
    <row r="648" spans="3:13" x14ac:dyDescent="0.3">
      <c r="C648" t="s">
        <v>70</v>
      </c>
      <c r="D648" t="s">
        <v>67</v>
      </c>
      <c r="E648" t="s">
        <v>63</v>
      </c>
      <c r="F648" t="s">
        <v>26</v>
      </c>
      <c r="G648" s="4">
        <v>8</v>
      </c>
      <c r="H648" s="4" t="s">
        <v>76</v>
      </c>
      <c r="I648" s="4" t="s">
        <v>69</v>
      </c>
      <c r="J648" s="4" t="s">
        <v>66</v>
      </c>
      <c r="K648" s="4">
        <v>0</v>
      </c>
      <c r="L648" s="94">
        <v>-119997</v>
      </c>
      <c r="M648" s="94">
        <v>0</v>
      </c>
    </row>
    <row r="649" spans="3:13" x14ac:dyDescent="0.3">
      <c r="C649" t="s">
        <v>70</v>
      </c>
      <c r="D649" t="s">
        <v>67</v>
      </c>
      <c r="E649" t="s">
        <v>63</v>
      </c>
      <c r="F649" t="s">
        <v>26</v>
      </c>
      <c r="G649" s="4">
        <v>1</v>
      </c>
      <c r="H649" s="4" t="s">
        <v>79</v>
      </c>
      <c r="I649" s="4" t="s">
        <v>69</v>
      </c>
      <c r="J649" s="4" t="s">
        <v>66</v>
      </c>
      <c r="K649" s="4">
        <v>0</v>
      </c>
      <c r="L649" s="94">
        <v>-61654</v>
      </c>
      <c r="M649" s="94">
        <v>0</v>
      </c>
    </row>
    <row r="650" spans="3:13" x14ac:dyDescent="0.3">
      <c r="C650" t="s">
        <v>61</v>
      </c>
      <c r="D650" t="s">
        <v>67</v>
      </c>
      <c r="E650" t="s">
        <v>63</v>
      </c>
      <c r="F650" t="s">
        <v>26</v>
      </c>
      <c r="G650" s="4">
        <v>4</v>
      </c>
      <c r="H650" s="4" t="s">
        <v>17</v>
      </c>
      <c r="I650" s="4" t="s">
        <v>69</v>
      </c>
      <c r="J650" s="4" t="s">
        <v>73</v>
      </c>
      <c r="K650" s="4">
        <v>1</v>
      </c>
      <c r="L650" s="94">
        <v>-1493</v>
      </c>
      <c r="M650" s="94">
        <v>0</v>
      </c>
    </row>
    <row r="651" spans="3:13" x14ac:dyDescent="0.3">
      <c r="C651" t="s">
        <v>71</v>
      </c>
      <c r="D651" t="s">
        <v>62</v>
      </c>
      <c r="E651" t="s">
        <v>63</v>
      </c>
      <c r="F651" t="s">
        <v>24</v>
      </c>
      <c r="G651" s="4">
        <v>29</v>
      </c>
      <c r="I651" s="4" t="s">
        <v>69</v>
      </c>
      <c r="J651" s="4" t="s">
        <v>66</v>
      </c>
      <c r="K651" s="4">
        <v>1</v>
      </c>
      <c r="L651" s="94">
        <v>-9260</v>
      </c>
      <c r="M651" s="94">
        <v>0</v>
      </c>
    </row>
    <row r="652" spans="3:13" x14ac:dyDescent="0.3">
      <c r="C652" t="s">
        <v>70</v>
      </c>
      <c r="D652" t="s">
        <v>67</v>
      </c>
      <c r="E652" t="s">
        <v>63</v>
      </c>
      <c r="F652" t="s">
        <v>72</v>
      </c>
      <c r="G652" s="4">
        <v>5</v>
      </c>
      <c r="H652" s="4" t="s">
        <v>17</v>
      </c>
      <c r="I652" s="4" t="s">
        <v>69</v>
      </c>
      <c r="J652" s="4" t="s">
        <v>66</v>
      </c>
      <c r="K652" s="4">
        <v>0</v>
      </c>
      <c r="L652" s="94">
        <v>-93209</v>
      </c>
      <c r="M652" s="94">
        <v>0</v>
      </c>
    </row>
    <row r="653" spans="3:13" x14ac:dyDescent="0.3">
      <c r="C653" t="s">
        <v>71</v>
      </c>
      <c r="D653" t="s">
        <v>62</v>
      </c>
      <c r="E653" t="s">
        <v>63</v>
      </c>
      <c r="F653" t="s">
        <v>25</v>
      </c>
      <c r="G653" s="4">
        <v>10</v>
      </c>
      <c r="I653" s="4" t="s">
        <v>69</v>
      </c>
      <c r="J653" s="4" t="s">
        <v>66</v>
      </c>
      <c r="K653" s="4">
        <v>0</v>
      </c>
      <c r="L653" s="94">
        <v>-6714</v>
      </c>
      <c r="M653" s="94">
        <v>0</v>
      </c>
    </row>
    <row r="654" spans="3:13" x14ac:dyDescent="0.3">
      <c r="C654" t="s">
        <v>61</v>
      </c>
      <c r="D654" t="s">
        <v>62</v>
      </c>
      <c r="E654" t="s">
        <v>68</v>
      </c>
      <c r="F654" t="s">
        <v>25</v>
      </c>
      <c r="G654" s="4">
        <v>17</v>
      </c>
      <c r="I654" s="4" t="s">
        <v>65</v>
      </c>
      <c r="J654" s="4" t="s">
        <v>66</v>
      </c>
      <c r="K654" s="4">
        <v>1</v>
      </c>
      <c r="L654" s="94">
        <v>24475</v>
      </c>
      <c r="M654" s="94">
        <v>416075</v>
      </c>
    </row>
    <row r="655" spans="3:13" x14ac:dyDescent="0.3">
      <c r="C655" t="s">
        <v>61</v>
      </c>
      <c r="D655" t="s">
        <v>67</v>
      </c>
      <c r="E655" t="s">
        <v>68</v>
      </c>
      <c r="F655" t="s">
        <v>25</v>
      </c>
      <c r="G655" s="4">
        <v>14</v>
      </c>
      <c r="H655" s="4" t="s">
        <v>82</v>
      </c>
      <c r="I655" s="4" t="s">
        <v>69</v>
      </c>
      <c r="J655" s="4" t="s">
        <v>66</v>
      </c>
      <c r="K655" s="4">
        <v>0</v>
      </c>
      <c r="L655" s="94">
        <v>428673</v>
      </c>
      <c r="M655" s="94">
        <v>6001422</v>
      </c>
    </row>
    <row r="656" spans="3:13" x14ac:dyDescent="0.3">
      <c r="C656" t="s">
        <v>70</v>
      </c>
      <c r="D656" t="s">
        <v>67</v>
      </c>
      <c r="E656" t="s">
        <v>68</v>
      </c>
      <c r="F656" t="s">
        <v>72</v>
      </c>
      <c r="G656" s="4">
        <v>6</v>
      </c>
      <c r="H656" s="4" t="s">
        <v>83</v>
      </c>
      <c r="I656" s="4" t="s">
        <v>69</v>
      </c>
      <c r="J656" s="4" t="s">
        <v>66</v>
      </c>
      <c r="K656" s="4">
        <v>0</v>
      </c>
      <c r="L656" s="94">
        <v>100997</v>
      </c>
      <c r="M656" s="94">
        <v>605982</v>
      </c>
    </row>
    <row r="657" spans="3:13" x14ac:dyDescent="0.3">
      <c r="C657" t="s">
        <v>71</v>
      </c>
      <c r="D657" t="s">
        <v>67</v>
      </c>
      <c r="E657" t="s">
        <v>63</v>
      </c>
      <c r="F657" t="s">
        <v>25</v>
      </c>
      <c r="G657" s="4">
        <v>14</v>
      </c>
      <c r="H657" s="4" t="s">
        <v>64</v>
      </c>
      <c r="I657" s="4" t="s">
        <v>69</v>
      </c>
      <c r="J657" s="4" t="s">
        <v>66</v>
      </c>
      <c r="K657" s="4">
        <v>0</v>
      </c>
      <c r="L657" s="94">
        <v>-48073</v>
      </c>
      <c r="M657" s="94">
        <v>0</v>
      </c>
    </row>
    <row r="658" spans="3:13" x14ac:dyDescent="0.3">
      <c r="C658" t="s">
        <v>61</v>
      </c>
      <c r="D658" t="s">
        <v>67</v>
      </c>
      <c r="E658" t="s">
        <v>63</v>
      </c>
      <c r="F658" t="s">
        <v>25</v>
      </c>
      <c r="G658" s="4">
        <v>5</v>
      </c>
      <c r="H658" s="4" t="s">
        <v>14</v>
      </c>
      <c r="I658" s="4" t="s">
        <v>69</v>
      </c>
      <c r="J658" s="4" t="s">
        <v>66</v>
      </c>
      <c r="K658" s="4">
        <v>0</v>
      </c>
      <c r="L658" s="94">
        <v>-17248</v>
      </c>
      <c r="M658" s="94">
        <v>0</v>
      </c>
    </row>
    <row r="659" spans="3:13" x14ac:dyDescent="0.3">
      <c r="C659" t="s">
        <v>71</v>
      </c>
      <c r="D659" t="s">
        <v>62</v>
      </c>
      <c r="E659" t="s">
        <v>68</v>
      </c>
      <c r="F659" t="s">
        <v>24</v>
      </c>
      <c r="G659" s="4">
        <v>36</v>
      </c>
      <c r="I659" s="4" t="s">
        <v>65</v>
      </c>
      <c r="J659" s="4" t="s">
        <v>66</v>
      </c>
      <c r="K659" s="4">
        <v>1</v>
      </c>
      <c r="L659" s="94">
        <v>142613</v>
      </c>
      <c r="M659" s="94">
        <v>5134068</v>
      </c>
    </row>
    <row r="660" spans="3:13" x14ac:dyDescent="0.3">
      <c r="C660" t="s">
        <v>71</v>
      </c>
      <c r="D660" t="s">
        <v>67</v>
      </c>
      <c r="E660" t="s">
        <v>68</v>
      </c>
      <c r="F660" t="s">
        <v>26</v>
      </c>
      <c r="G660" s="4">
        <v>0</v>
      </c>
      <c r="H660" s="4" t="s">
        <v>17</v>
      </c>
      <c r="I660" s="4" t="s">
        <v>69</v>
      </c>
      <c r="J660" s="4" t="s">
        <v>73</v>
      </c>
      <c r="K660" s="4">
        <v>1</v>
      </c>
      <c r="L660" s="94">
        <v>14818</v>
      </c>
      <c r="M660" s="94">
        <v>0</v>
      </c>
    </row>
    <row r="661" spans="3:13" x14ac:dyDescent="0.3">
      <c r="C661" t="s">
        <v>61</v>
      </c>
      <c r="D661" t="s">
        <v>62</v>
      </c>
      <c r="E661" t="s">
        <v>63</v>
      </c>
      <c r="F661" t="s">
        <v>24</v>
      </c>
      <c r="G661" s="4">
        <v>34</v>
      </c>
      <c r="I661" s="4" t="s">
        <v>69</v>
      </c>
      <c r="J661" s="4" t="s">
        <v>66</v>
      </c>
      <c r="K661" s="4">
        <v>0</v>
      </c>
      <c r="L661" s="94">
        <v>-566579</v>
      </c>
      <c r="M661" s="94">
        <v>0</v>
      </c>
    </row>
    <row r="662" spans="3:13" x14ac:dyDescent="0.3">
      <c r="C662" t="s">
        <v>61</v>
      </c>
      <c r="D662" t="s">
        <v>67</v>
      </c>
      <c r="E662" t="s">
        <v>63</v>
      </c>
      <c r="F662" t="s">
        <v>25</v>
      </c>
      <c r="G662" s="4">
        <v>1</v>
      </c>
      <c r="H662" s="4" t="s">
        <v>18</v>
      </c>
      <c r="I662" s="4" t="s">
        <v>69</v>
      </c>
      <c r="J662" s="4" t="s">
        <v>66</v>
      </c>
      <c r="K662" s="4">
        <v>1</v>
      </c>
      <c r="L662" s="94">
        <v>-390</v>
      </c>
      <c r="M662" s="94">
        <v>0</v>
      </c>
    </row>
    <row r="663" spans="3:13" x14ac:dyDescent="0.3">
      <c r="C663" t="s">
        <v>70</v>
      </c>
      <c r="D663" t="s">
        <v>62</v>
      </c>
      <c r="E663" t="s">
        <v>68</v>
      </c>
      <c r="F663" t="s">
        <v>24</v>
      </c>
      <c r="G663" s="4">
        <v>-4</v>
      </c>
      <c r="I663" s="4" t="s">
        <v>69</v>
      </c>
      <c r="J663" s="4" t="s">
        <v>66</v>
      </c>
      <c r="K663" s="4">
        <v>0</v>
      </c>
      <c r="L663" s="94">
        <v>1720</v>
      </c>
      <c r="M663" s="94">
        <v>0</v>
      </c>
    </row>
    <row r="664" spans="3:13" x14ac:dyDescent="0.3">
      <c r="C664" t="s">
        <v>70</v>
      </c>
      <c r="D664" t="s">
        <v>67</v>
      </c>
      <c r="E664" t="s">
        <v>63</v>
      </c>
      <c r="F664" t="s">
        <v>25</v>
      </c>
      <c r="G664" s="4">
        <v>1</v>
      </c>
      <c r="H664" s="4" t="s">
        <v>17</v>
      </c>
      <c r="I664" s="4" t="s">
        <v>69</v>
      </c>
      <c r="J664" s="4" t="s">
        <v>66</v>
      </c>
      <c r="K664" s="4">
        <v>1</v>
      </c>
      <c r="L664" s="94">
        <v>-1293</v>
      </c>
      <c r="M664" s="94">
        <v>0</v>
      </c>
    </row>
    <row r="665" spans="3:13" x14ac:dyDescent="0.3">
      <c r="C665" t="s">
        <v>71</v>
      </c>
      <c r="D665" t="s">
        <v>67</v>
      </c>
      <c r="E665" t="s">
        <v>68</v>
      </c>
      <c r="F665" t="s">
        <v>26</v>
      </c>
      <c r="G665" s="4">
        <v>1</v>
      </c>
      <c r="H665" s="4" t="s">
        <v>78</v>
      </c>
      <c r="I665" s="4" t="s">
        <v>69</v>
      </c>
      <c r="J665" s="4" t="s">
        <v>66</v>
      </c>
      <c r="K665" s="4">
        <v>0</v>
      </c>
      <c r="L665" s="94">
        <v>212366</v>
      </c>
      <c r="M665" s="94">
        <v>212366</v>
      </c>
    </row>
    <row r="666" spans="3:13" x14ac:dyDescent="0.3">
      <c r="C666" t="s">
        <v>70</v>
      </c>
      <c r="D666" t="s">
        <v>62</v>
      </c>
      <c r="E666" t="s">
        <v>68</v>
      </c>
      <c r="F666" t="s">
        <v>25</v>
      </c>
      <c r="G666" s="4">
        <v>21</v>
      </c>
      <c r="I666" s="4" t="s">
        <v>69</v>
      </c>
      <c r="J666" s="4" t="s">
        <v>66</v>
      </c>
      <c r="K666" s="4">
        <v>0</v>
      </c>
      <c r="L666" s="94">
        <v>193568</v>
      </c>
      <c r="M666" s="94">
        <v>4064928</v>
      </c>
    </row>
    <row r="667" spans="3:13" x14ac:dyDescent="0.3">
      <c r="C667" t="s">
        <v>70</v>
      </c>
      <c r="D667" t="s">
        <v>67</v>
      </c>
      <c r="E667" t="s">
        <v>68</v>
      </c>
      <c r="F667" t="s">
        <v>25</v>
      </c>
      <c r="G667" s="4">
        <v>7</v>
      </c>
      <c r="H667" s="4" t="s">
        <v>83</v>
      </c>
      <c r="I667" s="4" t="s">
        <v>69</v>
      </c>
      <c r="J667" s="4" t="s">
        <v>66</v>
      </c>
      <c r="K667" s="4">
        <v>0</v>
      </c>
      <c r="L667" s="94">
        <v>246888</v>
      </c>
      <c r="M667" s="94">
        <v>1728216</v>
      </c>
    </row>
    <row r="668" spans="3:13" x14ac:dyDescent="0.3">
      <c r="C668" t="s">
        <v>61</v>
      </c>
      <c r="D668" t="s">
        <v>62</v>
      </c>
      <c r="E668" t="s">
        <v>63</v>
      </c>
      <c r="F668" t="s">
        <v>24</v>
      </c>
      <c r="G668" s="4">
        <v>24</v>
      </c>
      <c r="I668" s="4" t="s">
        <v>65</v>
      </c>
      <c r="J668" s="4" t="s">
        <v>66</v>
      </c>
      <c r="K668" s="4">
        <v>1</v>
      </c>
      <c r="L668" s="94">
        <v>-3291</v>
      </c>
      <c r="M668" s="94">
        <v>0</v>
      </c>
    </row>
    <row r="669" spans="3:13" x14ac:dyDescent="0.3">
      <c r="C669" t="s">
        <v>70</v>
      </c>
      <c r="D669" t="s">
        <v>62</v>
      </c>
      <c r="E669" t="s">
        <v>68</v>
      </c>
      <c r="F669" t="s">
        <v>24</v>
      </c>
      <c r="G669" s="4">
        <v>15</v>
      </c>
      <c r="I669" s="4" t="s">
        <v>69</v>
      </c>
      <c r="J669" s="4" t="s">
        <v>66</v>
      </c>
      <c r="K669" s="4">
        <v>1</v>
      </c>
      <c r="L669" s="94">
        <v>203665</v>
      </c>
      <c r="M669" s="94">
        <v>3054975</v>
      </c>
    </row>
    <row r="670" spans="3:13" x14ac:dyDescent="0.3">
      <c r="C670" t="s">
        <v>61</v>
      </c>
      <c r="D670" t="s">
        <v>62</v>
      </c>
      <c r="E670" t="s">
        <v>63</v>
      </c>
      <c r="F670" t="s">
        <v>24</v>
      </c>
      <c r="G670" s="4">
        <v>12</v>
      </c>
      <c r="I670" s="4" t="s">
        <v>69</v>
      </c>
      <c r="J670" s="4" t="s">
        <v>73</v>
      </c>
      <c r="K670" s="4">
        <v>1</v>
      </c>
      <c r="L670" s="94">
        <v>-2</v>
      </c>
      <c r="M670" s="94">
        <v>0</v>
      </c>
    </row>
    <row r="671" spans="3:13" x14ac:dyDescent="0.3">
      <c r="C671" t="s">
        <v>71</v>
      </c>
      <c r="D671" t="s">
        <v>62</v>
      </c>
      <c r="E671" t="s">
        <v>68</v>
      </c>
      <c r="F671" t="s">
        <v>24</v>
      </c>
      <c r="G671" s="4">
        <v>38</v>
      </c>
      <c r="I671" s="4" t="s">
        <v>69</v>
      </c>
      <c r="J671" s="4" t="s">
        <v>66</v>
      </c>
      <c r="K671" s="4">
        <v>0</v>
      </c>
      <c r="L671" s="94">
        <v>6190374</v>
      </c>
      <c r="M671" s="94">
        <v>235234212</v>
      </c>
    </row>
    <row r="672" spans="3:13" x14ac:dyDescent="0.3">
      <c r="C672" t="s">
        <v>71</v>
      </c>
      <c r="D672" t="s">
        <v>62</v>
      </c>
      <c r="E672" t="s">
        <v>63</v>
      </c>
      <c r="F672" t="s">
        <v>24</v>
      </c>
      <c r="G672" s="4">
        <v>31</v>
      </c>
      <c r="I672" s="4" t="s">
        <v>69</v>
      </c>
      <c r="J672" s="4" t="s">
        <v>66</v>
      </c>
      <c r="K672" s="4">
        <v>1</v>
      </c>
      <c r="L672" s="94">
        <v>-2357</v>
      </c>
      <c r="M672" s="94">
        <v>0</v>
      </c>
    </row>
    <row r="673" spans="3:13" x14ac:dyDescent="0.3">
      <c r="C673" t="s">
        <v>70</v>
      </c>
      <c r="D673" t="s">
        <v>62</v>
      </c>
      <c r="E673" t="s">
        <v>63</v>
      </c>
      <c r="F673" t="s">
        <v>25</v>
      </c>
      <c r="G673" s="4">
        <v>22</v>
      </c>
      <c r="I673" s="4" t="s">
        <v>69</v>
      </c>
      <c r="J673" s="4" t="s">
        <v>66</v>
      </c>
      <c r="K673" s="4">
        <v>0</v>
      </c>
      <c r="L673" s="94">
        <v>-36863</v>
      </c>
      <c r="M673" s="94">
        <v>0</v>
      </c>
    </row>
    <row r="674" spans="3:13" x14ac:dyDescent="0.3">
      <c r="C674" t="s">
        <v>70</v>
      </c>
      <c r="D674" t="s">
        <v>62</v>
      </c>
      <c r="E674" t="s">
        <v>68</v>
      </c>
      <c r="F674" t="s">
        <v>24</v>
      </c>
      <c r="G674" s="4">
        <v>0</v>
      </c>
      <c r="I674" s="4" t="s">
        <v>69</v>
      </c>
      <c r="J674" s="4" t="s">
        <v>66</v>
      </c>
      <c r="K674" s="4">
        <v>0</v>
      </c>
      <c r="L674" s="94">
        <v>181547</v>
      </c>
      <c r="M674" s="94">
        <v>0</v>
      </c>
    </row>
    <row r="675" spans="3:13" x14ac:dyDescent="0.3">
      <c r="C675" t="s">
        <v>70</v>
      </c>
      <c r="D675" t="s">
        <v>67</v>
      </c>
      <c r="E675" t="s">
        <v>63</v>
      </c>
      <c r="F675" t="s">
        <v>25</v>
      </c>
      <c r="G675" s="4">
        <v>10</v>
      </c>
      <c r="H675" s="4" t="s">
        <v>17</v>
      </c>
      <c r="I675" s="4" t="s">
        <v>69</v>
      </c>
      <c r="J675" s="4" t="s">
        <v>66</v>
      </c>
      <c r="K675" s="4">
        <v>0</v>
      </c>
      <c r="L675" s="94">
        <v>-45833</v>
      </c>
      <c r="M675" s="94">
        <v>0</v>
      </c>
    </row>
    <row r="676" spans="3:13" x14ac:dyDescent="0.3">
      <c r="C676" t="s">
        <v>61</v>
      </c>
      <c r="D676" t="s">
        <v>67</v>
      </c>
      <c r="E676" t="s">
        <v>63</v>
      </c>
      <c r="F676" t="s">
        <v>72</v>
      </c>
      <c r="G676" s="4">
        <v>1</v>
      </c>
      <c r="H676" s="4" t="s">
        <v>13</v>
      </c>
      <c r="I676" s="4" t="s">
        <v>69</v>
      </c>
      <c r="J676" s="4" t="s">
        <v>73</v>
      </c>
      <c r="K676" s="4">
        <v>1</v>
      </c>
      <c r="L676" s="94">
        <v>-1352</v>
      </c>
      <c r="M676" s="94">
        <v>0</v>
      </c>
    </row>
    <row r="677" spans="3:13" x14ac:dyDescent="0.3">
      <c r="C677" t="s">
        <v>61</v>
      </c>
      <c r="D677" t="s">
        <v>67</v>
      </c>
      <c r="E677" t="s">
        <v>63</v>
      </c>
      <c r="F677" t="s">
        <v>72</v>
      </c>
      <c r="G677" s="4">
        <v>6</v>
      </c>
      <c r="H677" s="4" t="s">
        <v>78</v>
      </c>
      <c r="I677" s="4" t="s">
        <v>69</v>
      </c>
      <c r="J677" s="4" t="s">
        <v>66</v>
      </c>
      <c r="K677" s="4">
        <v>0</v>
      </c>
      <c r="L677" s="94">
        <v>-465</v>
      </c>
      <c r="M677" s="94">
        <v>0</v>
      </c>
    </row>
    <row r="678" spans="3:13" x14ac:dyDescent="0.3">
      <c r="C678" t="s">
        <v>70</v>
      </c>
      <c r="D678" t="s">
        <v>67</v>
      </c>
      <c r="E678" t="s">
        <v>63</v>
      </c>
      <c r="F678" t="s">
        <v>26</v>
      </c>
      <c r="G678" s="4">
        <v>-1</v>
      </c>
      <c r="H678" s="4" t="s">
        <v>16</v>
      </c>
      <c r="I678" s="4" t="s">
        <v>69</v>
      </c>
      <c r="J678" s="4" t="s">
        <v>66</v>
      </c>
      <c r="K678" s="4">
        <v>0</v>
      </c>
      <c r="L678" s="94">
        <v>-46663</v>
      </c>
      <c r="M678" s="94">
        <v>0</v>
      </c>
    </row>
    <row r="679" spans="3:13" x14ac:dyDescent="0.3">
      <c r="C679" t="s">
        <v>61</v>
      </c>
      <c r="D679" t="s">
        <v>67</v>
      </c>
      <c r="E679" t="s">
        <v>63</v>
      </c>
      <c r="F679" t="s">
        <v>72</v>
      </c>
      <c r="G679" s="4">
        <v>0</v>
      </c>
      <c r="H679" s="4" t="s">
        <v>15</v>
      </c>
      <c r="I679" s="4" t="s">
        <v>69</v>
      </c>
      <c r="J679" s="4" t="s">
        <v>66</v>
      </c>
      <c r="K679" s="4">
        <v>0</v>
      </c>
      <c r="L679" s="94">
        <v>-6</v>
      </c>
      <c r="M679" s="94">
        <v>0</v>
      </c>
    </row>
    <row r="680" spans="3:13" x14ac:dyDescent="0.3">
      <c r="C680" t="s">
        <v>71</v>
      </c>
      <c r="D680" t="s">
        <v>67</v>
      </c>
      <c r="E680" t="s">
        <v>63</v>
      </c>
      <c r="F680" t="s">
        <v>25</v>
      </c>
      <c r="G680" s="4">
        <v>2</v>
      </c>
      <c r="H680" s="4" t="s">
        <v>79</v>
      </c>
      <c r="I680" s="4" t="s">
        <v>69</v>
      </c>
      <c r="J680" s="4" t="s">
        <v>66</v>
      </c>
      <c r="K680" s="4">
        <v>0</v>
      </c>
      <c r="L680" s="94">
        <v>-87545</v>
      </c>
      <c r="M680" s="94">
        <v>0</v>
      </c>
    </row>
    <row r="681" spans="3:13" x14ac:dyDescent="0.3">
      <c r="C681" t="s">
        <v>70</v>
      </c>
      <c r="D681" t="s">
        <v>67</v>
      </c>
      <c r="E681" t="s">
        <v>63</v>
      </c>
      <c r="F681" t="s">
        <v>26</v>
      </c>
      <c r="G681" s="4">
        <v>-4</v>
      </c>
      <c r="H681" s="4" t="s">
        <v>17</v>
      </c>
      <c r="I681" s="4" t="s">
        <v>69</v>
      </c>
      <c r="J681" s="4" t="s">
        <v>66</v>
      </c>
      <c r="K681" s="4">
        <v>0</v>
      </c>
      <c r="L681" s="94">
        <v>-4998</v>
      </c>
      <c r="M681" s="94">
        <v>0</v>
      </c>
    </row>
    <row r="682" spans="3:13" x14ac:dyDescent="0.3">
      <c r="C682" t="s">
        <v>70</v>
      </c>
      <c r="D682" t="s">
        <v>67</v>
      </c>
      <c r="E682" t="s">
        <v>68</v>
      </c>
      <c r="F682" t="s">
        <v>26</v>
      </c>
      <c r="G682" s="4">
        <v>9</v>
      </c>
      <c r="H682" s="4" t="s">
        <v>17</v>
      </c>
      <c r="I682" s="4" t="s">
        <v>69</v>
      </c>
      <c r="J682" s="4" t="s">
        <v>66</v>
      </c>
      <c r="K682" s="4">
        <v>0</v>
      </c>
      <c r="L682" s="94">
        <v>13468</v>
      </c>
      <c r="M682" s="94">
        <v>121212</v>
      </c>
    </row>
    <row r="683" spans="3:13" x14ac:dyDescent="0.3">
      <c r="C683" t="s">
        <v>61</v>
      </c>
      <c r="D683" t="s">
        <v>62</v>
      </c>
      <c r="E683" t="s">
        <v>63</v>
      </c>
      <c r="F683" t="s">
        <v>24</v>
      </c>
      <c r="G683" s="4">
        <v>26</v>
      </c>
      <c r="I683" s="4" t="s">
        <v>65</v>
      </c>
      <c r="J683" s="4" t="s">
        <v>66</v>
      </c>
      <c r="K683" s="4">
        <v>1</v>
      </c>
      <c r="L683" s="94">
        <v>-8440</v>
      </c>
      <c r="M683" s="94">
        <v>0</v>
      </c>
    </row>
    <row r="684" spans="3:13" x14ac:dyDescent="0.3">
      <c r="C684" t="s">
        <v>61</v>
      </c>
      <c r="D684" t="s">
        <v>67</v>
      </c>
      <c r="E684" t="s">
        <v>68</v>
      </c>
      <c r="F684" t="s">
        <v>25</v>
      </c>
      <c r="G684" s="4">
        <v>18</v>
      </c>
      <c r="H684" s="4" t="s">
        <v>17</v>
      </c>
      <c r="I684" s="4" t="s">
        <v>69</v>
      </c>
      <c r="J684" s="4" t="s">
        <v>66</v>
      </c>
      <c r="K684" s="4">
        <v>0</v>
      </c>
      <c r="L684" s="94">
        <v>74280</v>
      </c>
      <c r="M684" s="94">
        <v>1337040</v>
      </c>
    </row>
    <row r="685" spans="3:13" x14ac:dyDescent="0.3">
      <c r="C685" t="s">
        <v>70</v>
      </c>
      <c r="D685" t="s">
        <v>67</v>
      </c>
      <c r="E685" t="s">
        <v>68</v>
      </c>
      <c r="F685" t="s">
        <v>25</v>
      </c>
      <c r="G685" s="4">
        <v>3</v>
      </c>
      <c r="H685" s="4" t="s">
        <v>82</v>
      </c>
      <c r="I685" s="4" t="s">
        <v>69</v>
      </c>
      <c r="J685" s="4" t="s">
        <v>66</v>
      </c>
      <c r="K685" s="4">
        <v>0</v>
      </c>
      <c r="L685" s="94">
        <v>80768</v>
      </c>
      <c r="M685" s="94">
        <v>242304</v>
      </c>
    </row>
    <row r="686" spans="3:13" x14ac:dyDescent="0.3">
      <c r="C686" t="s">
        <v>61</v>
      </c>
      <c r="D686" t="s">
        <v>67</v>
      </c>
      <c r="E686" t="s">
        <v>68</v>
      </c>
      <c r="F686" t="s">
        <v>25</v>
      </c>
      <c r="G686" s="4">
        <v>3</v>
      </c>
      <c r="H686" s="4" t="s">
        <v>75</v>
      </c>
      <c r="I686" s="4" t="s">
        <v>69</v>
      </c>
      <c r="J686" s="4" t="s">
        <v>66</v>
      </c>
      <c r="K686" s="4">
        <v>1</v>
      </c>
      <c r="L686" s="94">
        <v>80047</v>
      </c>
      <c r="M686" s="94">
        <v>240141</v>
      </c>
    </row>
    <row r="687" spans="3:13" x14ac:dyDescent="0.3">
      <c r="C687" t="s">
        <v>61</v>
      </c>
      <c r="D687" t="s">
        <v>67</v>
      </c>
      <c r="E687" t="s">
        <v>68</v>
      </c>
      <c r="F687" t="s">
        <v>72</v>
      </c>
      <c r="G687" s="4">
        <v>1</v>
      </c>
      <c r="H687" s="4" t="s">
        <v>14</v>
      </c>
      <c r="I687" s="4" t="s">
        <v>69</v>
      </c>
      <c r="J687" s="4" t="s">
        <v>73</v>
      </c>
      <c r="K687" s="4">
        <v>1</v>
      </c>
      <c r="L687" s="94">
        <v>3003031</v>
      </c>
      <c r="M687" s="94">
        <v>3003031</v>
      </c>
    </row>
    <row r="688" spans="3:13" x14ac:dyDescent="0.3">
      <c r="C688" t="s">
        <v>61</v>
      </c>
      <c r="D688" t="s">
        <v>67</v>
      </c>
      <c r="E688" t="s">
        <v>68</v>
      </c>
      <c r="F688" t="s">
        <v>25</v>
      </c>
      <c r="G688" s="4">
        <v>0</v>
      </c>
      <c r="H688" s="4" t="s">
        <v>17</v>
      </c>
      <c r="I688" s="4" t="s">
        <v>69</v>
      </c>
      <c r="J688" s="4" t="s">
        <v>66</v>
      </c>
      <c r="K688" s="4">
        <v>0</v>
      </c>
      <c r="L688" s="94">
        <v>27157092</v>
      </c>
      <c r="M688" s="94">
        <v>0</v>
      </c>
    </row>
    <row r="689" spans="3:13" x14ac:dyDescent="0.3">
      <c r="C689" t="s">
        <v>61</v>
      </c>
      <c r="D689" t="s">
        <v>67</v>
      </c>
      <c r="E689" t="s">
        <v>68</v>
      </c>
      <c r="F689" t="s">
        <v>72</v>
      </c>
      <c r="G689" s="4">
        <v>2</v>
      </c>
      <c r="H689" s="4" t="s">
        <v>76</v>
      </c>
      <c r="I689" s="4" t="s">
        <v>69</v>
      </c>
      <c r="J689" s="4" t="s">
        <v>66</v>
      </c>
      <c r="K689" s="4">
        <v>0</v>
      </c>
      <c r="L689" s="94">
        <v>2890819</v>
      </c>
      <c r="M689" s="94">
        <v>5781638</v>
      </c>
    </row>
    <row r="690" spans="3:13" x14ac:dyDescent="0.3">
      <c r="C690" t="s">
        <v>71</v>
      </c>
      <c r="D690" t="s">
        <v>62</v>
      </c>
      <c r="E690" t="s">
        <v>68</v>
      </c>
      <c r="F690" t="s">
        <v>25</v>
      </c>
      <c r="G690" s="4">
        <v>12</v>
      </c>
      <c r="I690" s="4" t="s">
        <v>69</v>
      </c>
      <c r="J690" s="4" t="s">
        <v>66</v>
      </c>
      <c r="K690" s="4">
        <v>0</v>
      </c>
      <c r="L690" s="94">
        <v>5589340</v>
      </c>
      <c r="M690" s="94">
        <v>67072080</v>
      </c>
    </row>
    <row r="691" spans="3:13" x14ac:dyDescent="0.3">
      <c r="C691" t="s">
        <v>61</v>
      </c>
      <c r="D691" t="s">
        <v>62</v>
      </c>
      <c r="E691" t="s">
        <v>68</v>
      </c>
      <c r="F691" t="s">
        <v>24</v>
      </c>
      <c r="G691" s="4">
        <v>9</v>
      </c>
      <c r="I691" s="4" t="s">
        <v>69</v>
      </c>
      <c r="J691" s="4" t="s">
        <v>66</v>
      </c>
      <c r="K691" s="4">
        <v>0</v>
      </c>
      <c r="L691" s="94">
        <v>184880575</v>
      </c>
      <c r="M691" s="94">
        <v>1663925175</v>
      </c>
    </row>
    <row r="692" spans="3:13" x14ac:dyDescent="0.3">
      <c r="C692" t="s">
        <v>70</v>
      </c>
      <c r="D692" t="s">
        <v>67</v>
      </c>
      <c r="E692" t="s">
        <v>68</v>
      </c>
      <c r="F692" t="s">
        <v>25</v>
      </c>
      <c r="G692" s="4">
        <v>7</v>
      </c>
      <c r="H692" s="4" t="s">
        <v>75</v>
      </c>
      <c r="I692" s="4" t="s">
        <v>69</v>
      </c>
      <c r="J692" s="4" t="s">
        <v>66</v>
      </c>
      <c r="K692" s="4">
        <v>0</v>
      </c>
      <c r="L692" s="94">
        <v>6496073</v>
      </c>
      <c r="M692" s="94">
        <v>45472511</v>
      </c>
    </row>
    <row r="693" spans="3:13" x14ac:dyDescent="0.3">
      <c r="C693" t="s">
        <v>70</v>
      </c>
      <c r="D693" t="s">
        <v>62</v>
      </c>
      <c r="E693" t="s">
        <v>63</v>
      </c>
      <c r="F693" t="s">
        <v>24</v>
      </c>
      <c r="G693" s="4">
        <v>31</v>
      </c>
      <c r="I693" s="4" t="s">
        <v>69</v>
      </c>
      <c r="J693" s="4" t="s">
        <v>66</v>
      </c>
      <c r="K693" s="4">
        <v>1</v>
      </c>
      <c r="L693" s="94">
        <v>-1968</v>
      </c>
      <c r="M693" s="94">
        <v>0</v>
      </c>
    </row>
    <row r="694" spans="3:13" x14ac:dyDescent="0.3">
      <c r="C694" t="s">
        <v>61</v>
      </c>
      <c r="D694" t="s">
        <v>62</v>
      </c>
      <c r="E694" t="s">
        <v>63</v>
      </c>
      <c r="F694" t="s">
        <v>24</v>
      </c>
      <c r="G694" s="4">
        <v>2</v>
      </c>
      <c r="I694" s="4" t="s">
        <v>69</v>
      </c>
      <c r="J694" s="4" t="s">
        <v>66</v>
      </c>
      <c r="K694" s="4">
        <v>0</v>
      </c>
      <c r="L694" s="94">
        <v>-9042</v>
      </c>
      <c r="M694" s="94">
        <v>0</v>
      </c>
    </row>
    <row r="695" spans="3:13" x14ac:dyDescent="0.3">
      <c r="C695" t="s">
        <v>70</v>
      </c>
      <c r="D695" t="s">
        <v>67</v>
      </c>
      <c r="E695" t="s">
        <v>68</v>
      </c>
      <c r="F695" t="s">
        <v>26</v>
      </c>
      <c r="G695" s="4">
        <v>3</v>
      </c>
      <c r="H695" s="4" t="s">
        <v>14</v>
      </c>
      <c r="I695" s="4" t="s">
        <v>65</v>
      </c>
      <c r="J695" s="4" t="s">
        <v>73</v>
      </c>
      <c r="K695" s="4">
        <v>1</v>
      </c>
      <c r="L695" s="94">
        <v>47947</v>
      </c>
      <c r="M695" s="94">
        <v>143841</v>
      </c>
    </row>
    <row r="696" spans="3:13" x14ac:dyDescent="0.3">
      <c r="C696" t="s">
        <v>61</v>
      </c>
      <c r="D696" t="s">
        <v>67</v>
      </c>
      <c r="E696" t="s">
        <v>63</v>
      </c>
      <c r="F696" t="s">
        <v>26</v>
      </c>
      <c r="G696" s="4">
        <v>8</v>
      </c>
      <c r="H696" s="4" t="s">
        <v>14</v>
      </c>
      <c r="I696" s="4" t="s">
        <v>69</v>
      </c>
      <c r="J696" s="4" t="s">
        <v>73</v>
      </c>
      <c r="K696" s="4">
        <v>1</v>
      </c>
      <c r="L696" s="94">
        <v>-744</v>
      </c>
      <c r="M696" s="94">
        <v>0</v>
      </c>
    </row>
    <row r="697" spans="3:13" x14ac:dyDescent="0.3">
      <c r="C697" t="s">
        <v>71</v>
      </c>
      <c r="D697" t="s">
        <v>62</v>
      </c>
      <c r="E697" t="s">
        <v>63</v>
      </c>
      <c r="F697" t="s">
        <v>25</v>
      </c>
      <c r="G697" s="4">
        <v>30</v>
      </c>
      <c r="I697" s="4" t="s">
        <v>69</v>
      </c>
      <c r="J697" s="4" t="s">
        <v>66</v>
      </c>
      <c r="K697" s="4">
        <v>0</v>
      </c>
      <c r="L697" s="94">
        <v>-74381</v>
      </c>
      <c r="M697" s="94">
        <v>0</v>
      </c>
    </row>
    <row r="698" spans="3:13" x14ac:dyDescent="0.3">
      <c r="C698" t="s">
        <v>61</v>
      </c>
      <c r="D698" t="s">
        <v>88</v>
      </c>
      <c r="E698" t="s">
        <v>68</v>
      </c>
      <c r="F698" t="s">
        <v>25</v>
      </c>
      <c r="G698" s="4">
        <v>5</v>
      </c>
      <c r="H698" s="4" t="s">
        <v>86</v>
      </c>
      <c r="I698" s="4" t="s">
        <v>69</v>
      </c>
      <c r="J698" s="4" t="s">
        <v>66</v>
      </c>
      <c r="K698" s="4">
        <v>0</v>
      </c>
      <c r="L698" s="94">
        <v>38712</v>
      </c>
      <c r="M698" s="94">
        <v>193560</v>
      </c>
    </row>
    <row r="699" spans="3:13" x14ac:dyDescent="0.3">
      <c r="C699" t="s">
        <v>70</v>
      </c>
      <c r="D699" t="s">
        <v>67</v>
      </c>
      <c r="E699" t="s">
        <v>68</v>
      </c>
      <c r="F699" t="s">
        <v>26</v>
      </c>
      <c r="G699" s="4">
        <v>7</v>
      </c>
      <c r="H699" s="4" t="s">
        <v>75</v>
      </c>
      <c r="I699" s="4" t="s">
        <v>69</v>
      </c>
      <c r="J699" s="4" t="s">
        <v>66</v>
      </c>
      <c r="K699" s="4">
        <v>0</v>
      </c>
      <c r="L699" s="94">
        <v>2278688</v>
      </c>
      <c r="M699" s="94">
        <v>15950816</v>
      </c>
    </row>
    <row r="700" spans="3:13" x14ac:dyDescent="0.3">
      <c r="C700" t="s">
        <v>61</v>
      </c>
      <c r="D700" t="s">
        <v>67</v>
      </c>
      <c r="E700" t="s">
        <v>63</v>
      </c>
      <c r="F700" t="s">
        <v>72</v>
      </c>
      <c r="G700" s="4">
        <v>2</v>
      </c>
      <c r="H700" s="4" t="s">
        <v>64</v>
      </c>
      <c r="I700" s="4" t="s">
        <v>69</v>
      </c>
      <c r="J700" s="4" t="s">
        <v>66</v>
      </c>
      <c r="K700" s="4">
        <v>0</v>
      </c>
      <c r="L700" s="94">
        <v>-16761</v>
      </c>
      <c r="M700" s="94">
        <v>0</v>
      </c>
    </row>
    <row r="701" spans="3:13" x14ac:dyDescent="0.3">
      <c r="C701" t="s">
        <v>70</v>
      </c>
      <c r="D701" t="s">
        <v>67</v>
      </c>
      <c r="E701" t="s">
        <v>63</v>
      </c>
      <c r="F701" t="s">
        <v>26</v>
      </c>
      <c r="G701" s="4">
        <v>1</v>
      </c>
      <c r="H701" s="4" t="s">
        <v>86</v>
      </c>
      <c r="I701" s="4" t="s">
        <v>69</v>
      </c>
      <c r="J701" s="4" t="s">
        <v>66</v>
      </c>
      <c r="K701" s="4">
        <v>0</v>
      </c>
      <c r="L701" s="94">
        <v>-201</v>
      </c>
      <c r="M701" s="94">
        <v>0</v>
      </c>
    </row>
    <row r="702" spans="3:13" x14ac:dyDescent="0.3">
      <c r="C702" t="s">
        <v>71</v>
      </c>
      <c r="D702" t="s">
        <v>62</v>
      </c>
      <c r="E702" t="s">
        <v>68</v>
      </c>
      <c r="F702" t="s">
        <v>24</v>
      </c>
      <c r="G702" s="4">
        <v>24</v>
      </c>
      <c r="I702" s="4" t="s">
        <v>69</v>
      </c>
      <c r="J702" s="4" t="s">
        <v>66</v>
      </c>
      <c r="K702" s="4">
        <v>0</v>
      </c>
      <c r="L702" s="94">
        <v>8050534</v>
      </c>
      <c r="M702" s="94">
        <v>193212816</v>
      </c>
    </row>
    <row r="703" spans="3:13" x14ac:dyDescent="0.3">
      <c r="C703" t="s">
        <v>71</v>
      </c>
      <c r="D703" t="s">
        <v>67</v>
      </c>
      <c r="E703" t="s">
        <v>63</v>
      </c>
      <c r="F703" t="s">
        <v>26</v>
      </c>
      <c r="G703" s="4">
        <v>2</v>
      </c>
      <c r="H703" s="4" t="s">
        <v>75</v>
      </c>
      <c r="I703" s="4" t="s">
        <v>65</v>
      </c>
      <c r="J703" s="4" t="s">
        <v>66</v>
      </c>
      <c r="K703" s="4">
        <v>1</v>
      </c>
      <c r="L703" s="94">
        <v>-4109</v>
      </c>
      <c r="M703" s="94">
        <v>0</v>
      </c>
    </row>
    <row r="704" spans="3:13" x14ac:dyDescent="0.3">
      <c r="C704" t="s">
        <v>70</v>
      </c>
      <c r="D704" t="s">
        <v>67</v>
      </c>
      <c r="E704" t="s">
        <v>63</v>
      </c>
      <c r="F704" t="s">
        <v>26</v>
      </c>
      <c r="G704" s="4">
        <v>4</v>
      </c>
      <c r="H704" s="4" t="s">
        <v>75</v>
      </c>
      <c r="I704" s="4" t="s">
        <v>69</v>
      </c>
      <c r="J704" s="4" t="s">
        <v>66</v>
      </c>
      <c r="K704" s="4">
        <v>0</v>
      </c>
      <c r="L704" s="94">
        <v>-77448</v>
      </c>
      <c r="M704" s="94">
        <v>0</v>
      </c>
    </row>
    <row r="705" spans="3:13" x14ac:dyDescent="0.3">
      <c r="C705" t="s">
        <v>70</v>
      </c>
      <c r="D705" t="s">
        <v>67</v>
      </c>
      <c r="E705" t="s">
        <v>68</v>
      </c>
      <c r="F705" t="s">
        <v>25</v>
      </c>
      <c r="G705" s="4">
        <v>8</v>
      </c>
      <c r="H705" s="4" t="s">
        <v>79</v>
      </c>
      <c r="I705" s="4" t="s">
        <v>69</v>
      </c>
      <c r="J705" s="4" t="s">
        <v>66</v>
      </c>
      <c r="K705" s="4">
        <v>0</v>
      </c>
      <c r="L705" s="94">
        <v>1220124</v>
      </c>
      <c r="M705" s="94">
        <v>9760992</v>
      </c>
    </row>
    <row r="706" spans="3:13" x14ac:dyDescent="0.3">
      <c r="C706" t="s">
        <v>70</v>
      </c>
      <c r="D706" t="s">
        <v>67</v>
      </c>
      <c r="E706" t="s">
        <v>63</v>
      </c>
      <c r="F706" t="s">
        <v>72</v>
      </c>
      <c r="G706" s="4">
        <v>4</v>
      </c>
      <c r="H706" s="4" t="s">
        <v>82</v>
      </c>
      <c r="I706" s="4" t="s">
        <v>69</v>
      </c>
      <c r="J706" s="4" t="s">
        <v>66</v>
      </c>
      <c r="K706" s="4">
        <v>0</v>
      </c>
      <c r="L706" s="94">
        <v>-163140</v>
      </c>
      <c r="M706" s="94">
        <v>0</v>
      </c>
    </row>
    <row r="707" spans="3:13" x14ac:dyDescent="0.3">
      <c r="C707" t="s">
        <v>71</v>
      </c>
      <c r="D707" t="s">
        <v>67</v>
      </c>
      <c r="E707" t="s">
        <v>68</v>
      </c>
      <c r="F707" t="s">
        <v>26</v>
      </c>
      <c r="G707" s="4">
        <v>1</v>
      </c>
      <c r="H707" s="4" t="s">
        <v>75</v>
      </c>
      <c r="I707" s="4" t="s">
        <v>69</v>
      </c>
      <c r="J707" s="4" t="s">
        <v>66</v>
      </c>
      <c r="K707" s="4">
        <v>0</v>
      </c>
      <c r="L707" s="94">
        <v>272090</v>
      </c>
      <c r="M707" s="94">
        <v>272090</v>
      </c>
    </row>
    <row r="708" spans="3:13" x14ac:dyDescent="0.3">
      <c r="C708" t="s">
        <v>70</v>
      </c>
      <c r="D708" t="s">
        <v>62</v>
      </c>
      <c r="E708" t="s">
        <v>68</v>
      </c>
      <c r="F708" t="s">
        <v>24</v>
      </c>
      <c r="G708" s="4">
        <v>14</v>
      </c>
      <c r="I708" s="4" t="s">
        <v>65</v>
      </c>
      <c r="J708" s="4" t="s">
        <v>66</v>
      </c>
      <c r="K708" s="4">
        <v>1</v>
      </c>
      <c r="L708" s="94">
        <v>293008</v>
      </c>
      <c r="M708" s="94">
        <v>4102112</v>
      </c>
    </row>
    <row r="709" spans="3:13" x14ac:dyDescent="0.3">
      <c r="C709" t="s">
        <v>70</v>
      </c>
      <c r="D709" t="s">
        <v>67</v>
      </c>
      <c r="E709" t="s">
        <v>63</v>
      </c>
      <c r="F709" t="s">
        <v>72</v>
      </c>
      <c r="G709" s="4">
        <v>4</v>
      </c>
      <c r="H709" s="4" t="s">
        <v>12</v>
      </c>
      <c r="I709" s="4" t="s">
        <v>65</v>
      </c>
      <c r="J709" s="4" t="s">
        <v>73</v>
      </c>
      <c r="K709" s="4">
        <v>1</v>
      </c>
      <c r="L709" s="94">
        <v>-207</v>
      </c>
      <c r="M709" s="94">
        <v>0</v>
      </c>
    </row>
    <row r="710" spans="3:13" x14ac:dyDescent="0.3">
      <c r="C710" t="s">
        <v>71</v>
      </c>
      <c r="D710" t="s">
        <v>62</v>
      </c>
      <c r="E710" t="s">
        <v>63</v>
      </c>
      <c r="F710" t="s">
        <v>24</v>
      </c>
      <c r="G710" s="4">
        <v>26</v>
      </c>
      <c r="I710" s="4" t="s">
        <v>65</v>
      </c>
      <c r="J710" s="4" t="s">
        <v>66</v>
      </c>
      <c r="K710" s="4">
        <v>1</v>
      </c>
      <c r="L710" s="94">
        <v>-38887</v>
      </c>
      <c r="M710" s="94">
        <v>0</v>
      </c>
    </row>
    <row r="711" spans="3:13" x14ac:dyDescent="0.3">
      <c r="C711" t="s">
        <v>71</v>
      </c>
      <c r="D711" t="s">
        <v>67</v>
      </c>
      <c r="E711" t="s">
        <v>68</v>
      </c>
      <c r="F711" t="s">
        <v>26</v>
      </c>
      <c r="G711" s="4">
        <v>2</v>
      </c>
      <c r="H711" s="4" t="s">
        <v>18</v>
      </c>
      <c r="I711" s="4" t="s">
        <v>69</v>
      </c>
      <c r="J711" s="4" t="s">
        <v>73</v>
      </c>
      <c r="K711" s="4">
        <v>1</v>
      </c>
      <c r="L711" s="94">
        <v>180901</v>
      </c>
      <c r="M711" s="94">
        <v>361802</v>
      </c>
    </row>
    <row r="712" spans="3:13" x14ac:dyDescent="0.3">
      <c r="C712" t="s">
        <v>71</v>
      </c>
      <c r="D712" t="s">
        <v>62</v>
      </c>
      <c r="E712" t="s">
        <v>63</v>
      </c>
      <c r="F712" t="s">
        <v>24</v>
      </c>
      <c r="G712" s="4">
        <v>38</v>
      </c>
      <c r="I712" s="4" t="s">
        <v>69</v>
      </c>
      <c r="J712" s="4" t="s">
        <v>66</v>
      </c>
      <c r="K712" s="4">
        <v>0</v>
      </c>
      <c r="L712" s="94">
        <v>-1282993</v>
      </c>
      <c r="M712" s="94">
        <v>0</v>
      </c>
    </row>
    <row r="713" spans="3:13" x14ac:dyDescent="0.3">
      <c r="C713" t="s">
        <v>71</v>
      </c>
      <c r="D713" t="s">
        <v>67</v>
      </c>
      <c r="E713" t="s">
        <v>68</v>
      </c>
      <c r="F713" t="s">
        <v>26</v>
      </c>
      <c r="G713" s="4">
        <v>-4</v>
      </c>
      <c r="H713" s="4" t="s">
        <v>14</v>
      </c>
      <c r="I713" s="4" t="s">
        <v>69</v>
      </c>
      <c r="J713" s="4" t="s">
        <v>66</v>
      </c>
      <c r="K713" s="4">
        <v>0</v>
      </c>
      <c r="L713" s="94">
        <v>7893221</v>
      </c>
      <c r="M713" s="94">
        <v>0</v>
      </c>
    </row>
    <row r="714" spans="3:13" x14ac:dyDescent="0.3">
      <c r="C714" t="s">
        <v>70</v>
      </c>
      <c r="D714" t="s">
        <v>67</v>
      </c>
      <c r="E714" t="s">
        <v>68</v>
      </c>
      <c r="F714" t="s">
        <v>72</v>
      </c>
      <c r="G714" s="4">
        <v>7</v>
      </c>
      <c r="H714" s="4" t="s">
        <v>18</v>
      </c>
      <c r="I714" s="4" t="s">
        <v>69</v>
      </c>
      <c r="J714" s="4" t="s">
        <v>73</v>
      </c>
      <c r="K714" s="4">
        <v>1</v>
      </c>
      <c r="L714" s="94">
        <v>53102</v>
      </c>
      <c r="M714" s="94">
        <v>371714</v>
      </c>
    </row>
    <row r="715" spans="3:13" x14ac:dyDescent="0.3">
      <c r="C715" t="s">
        <v>70</v>
      </c>
      <c r="D715" t="s">
        <v>62</v>
      </c>
      <c r="E715" t="s">
        <v>63</v>
      </c>
      <c r="F715" t="s">
        <v>24</v>
      </c>
      <c r="G715" s="4">
        <v>2</v>
      </c>
      <c r="I715" s="4" t="s">
        <v>69</v>
      </c>
      <c r="J715" s="4" t="s">
        <v>66</v>
      </c>
      <c r="K715" s="4">
        <v>0</v>
      </c>
      <c r="L715" s="94">
        <v>-130152</v>
      </c>
      <c r="M715" s="94">
        <v>0</v>
      </c>
    </row>
    <row r="716" spans="3:13" x14ac:dyDescent="0.3">
      <c r="C716" t="s">
        <v>71</v>
      </c>
      <c r="D716" t="s">
        <v>62</v>
      </c>
      <c r="E716" t="s">
        <v>63</v>
      </c>
      <c r="F716" t="s">
        <v>24</v>
      </c>
      <c r="G716" s="4">
        <v>10</v>
      </c>
      <c r="I716" s="4" t="s">
        <v>69</v>
      </c>
      <c r="J716" s="4" t="s">
        <v>66</v>
      </c>
      <c r="K716" s="4">
        <v>0</v>
      </c>
      <c r="L716" s="94">
        <v>-665015</v>
      </c>
      <c r="M716" s="94">
        <v>0</v>
      </c>
    </row>
    <row r="717" spans="3:13" x14ac:dyDescent="0.3">
      <c r="C717" t="s">
        <v>71</v>
      </c>
      <c r="D717" t="s">
        <v>62</v>
      </c>
      <c r="E717" t="s">
        <v>68</v>
      </c>
      <c r="F717" t="s">
        <v>24</v>
      </c>
      <c r="G717" s="4">
        <v>22</v>
      </c>
      <c r="I717" s="4" t="s">
        <v>69</v>
      </c>
      <c r="J717" s="4" t="s">
        <v>66</v>
      </c>
      <c r="K717" s="4">
        <v>0</v>
      </c>
      <c r="L717" s="94">
        <v>9816981</v>
      </c>
      <c r="M717" s="94">
        <v>215973582</v>
      </c>
    </row>
    <row r="718" spans="3:13" x14ac:dyDescent="0.3">
      <c r="C718" t="s">
        <v>61</v>
      </c>
      <c r="D718" t="s">
        <v>62</v>
      </c>
      <c r="E718" t="s">
        <v>63</v>
      </c>
      <c r="F718" t="s">
        <v>25</v>
      </c>
      <c r="G718" s="4">
        <v>6</v>
      </c>
      <c r="I718" s="4" t="s">
        <v>69</v>
      </c>
      <c r="J718" s="4" t="s">
        <v>66</v>
      </c>
      <c r="K718" s="4">
        <v>0</v>
      </c>
      <c r="L718" s="94">
        <v>-14832</v>
      </c>
      <c r="M718" s="94">
        <v>0</v>
      </c>
    </row>
    <row r="719" spans="3:13" x14ac:dyDescent="0.3">
      <c r="C719" t="s">
        <v>70</v>
      </c>
      <c r="D719" t="s">
        <v>67</v>
      </c>
      <c r="E719" t="s">
        <v>68</v>
      </c>
      <c r="F719" t="s">
        <v>26</v>
      </c>
      <c r="G719" s="4">
        <v>6</v>
      </c>
      <c r="H719" s="4" t="s">
        <v>74</v>
      </c>
      <c r="I719" s="4" t="s">
        <v>69</v>
      </c>
      <c r="J719" s="4" t="s">
        <v>66</v>
      </c>
      <c r="K719" s="4">
        <v>0</v>
      </c>
      <c r="L719" s="94">
        <v>512209</v>
      </c>
      <c r="M719" s="94">
        <v>3073254</v>
      </c>
    </row>
    <row r="720" spans="3:13" x14ac:dyDescent="0.3">
      <c r="C720" t="s">
        <v>70</v>
      </c>
      <c r="D720" t="s">
        <v>67</v>
      </c>
      <c r="E720" t="s">
        <v>63</v>
      </c>
      <c r="F720" t="s">
        <v>72</v>
      </c>
      <c r="G720" s="4">
        <v>6</v>
      </c>
      <c r="H720" s="4" t="s">
        <v>83</v>
      </c>
      <c r="I720" s="4" t="s">
        <v>69</v>
      </c>
      <c r="J720" s="4" t="s">
        <v>66</v>
      </c>
      <c r="K720" s="4">
        <v>0</v>
      </c>
      <c r="L720" s="94">
        <v>-5364</v>
      </c>
      <c r="M720" s="94">
        <v>0</v>
      </c>
    </row>
    <row r="721" spans="3:13" x14ac:dyDescent="0.3">
      <c r="C721" t="s">
        <v>70</v>
      </c>
      <c r="D721" t="s">
        <v>67</v>
      </c>
      <c r="E721" t="s">
        <v>63</v>
      </c>
      <c r="F721" t="s">
        <v>72</v>
      </c>
      <c r="G721" s="4">
        <v>4</v>
      </c>
      <c r="H721" s="4" t="s">
        <v>77</v>
      </c>
      <c r="I721" s="4" t="s">
        <v>69</v>
      </c>
      <c r="J721" s="4" t="s">
        <v>66</v>
      </c>
      <c r="K721" s="4">
        <v>0</v>
      </c>
      <c r="L721" s="94">
        <v>-12925</v>
      </c>
      <c r="M721" s="94">
        <v>0</v>
      </c>
    </row>
    <row r="722" spans="3:13" x14ac:dyDescent="0.3">
      <c r="C722" t="s">
        <v>70</v>
      </c>
      <c r="D722" t="s">
        <v>67</v>
      </c>
      <c r="E722" t="s">
        <v>63</v>
      </c>
      <c r="F722" t="s">
        <v>72</v>
      </c>
      <c r="G722" s="4">
        <v>0</v>
      </c>
      <c r="H722" s="4" t="s">
        <v>17</v>
      </c>
      <c r="I722" s="4" t="s">
        <v>69</v>
      </c>
      <c r="J722" s="4" t="s">
        <v>66</v>
      </c>
      <c r="K722" s="4">
        <v>0</v>
      </c>
      <c r="L722" s="94">
        <v>-17345</v>
      </c>
      <c r="M722" s="94">
        <v>0</v>
      </c>
    </row>
    <row r="723" spans="3:13" x14ac:dyDescent="0.3">
      <c r="C723" t="s">
        <v>70</v>
      </c>
      <c r="D723" t="s">
        <v>62</v>
      </c>
      <c r="E723" t="s">
        <v>63</v>
      </c>
      <c r="F723" t="s">
        <v>24</v>
      </c>
      <c r="G723" s="4">
        <v>23</v>
      </c>
      <c r="I723" s="4" t="s">
        <v>69</v>
      </c>
      <c r="J723" s="4" t="s">
        <v>66</v>
      </c>
      <c r="K723" s="4">
        <v>1</v>
      </c>
      <c r="L723" s="94">
        <v>-49195</v>
      </c>
      <c r="M723" s="94">
        <v>0</v>
      </c>
    </row>
    <row r="724" spans="3:13" x14ac:dyDescent="0.3">
      <c r="C724" t="s">
        <v>61</v>
      </c>
      <c r="D724" t="s">
        <v>67</v>
      </c>
      <c r="E724" t="s">
        <v>63</v>
      </c>
      <c r="F724" t="s">
        <v>26</v>
      </c>
      <c r="G724" s="4">
        <v>3</v>
      </c>
      <c r="H724" s="4" t="s">
        <v>15</v>
      </c>
      <c r="I724" s="4" t="s">
        <v>69</v>
      </c>
      <c r="J724" s="4" t="s">
        <v>66</v>
      </c>
      <c r="K724" s="4">
        <v>0</v>
      </c>
      <c r="L724" s="94">
        <v>-2610</v>
      </c>
      <c r="M724" s="94">
        <v>0</v>
      </c>
    </row>
    <row r="725" spans="3:13" x14ac:dyDescent="0.3">
      <c r="C725" t="s">
        <v>70</v>
      </c>
      <c r="D725" t="s">
        <v>67</v>
      </c>
      <c r="E725" t="s">
        <v>63</v>
      </c>
      <c r="F725" t="s">
        <v>26</v>
      </c>
      <c r="G725" s="4">
        <v>4</v>
      </c>
      <c r="H725" s="4" t="s">
        <v>64</v>
      </c>
      <c r="I725" s="4" t="s">
        <v>69</v>
      </c>
      <c r="J725" s="4" t="s">
        <v>66</v>
      </c>
      <c r="K725" s="4">
        <v>0</v>
      </c>
      <c r="L725" s="94">
        <v>-64076</v>
      </c>
      <c r="M725" s="94">
        <v>0</v>
      </c>
    </row>
    <row r="726" spans="3:13" x14ac:dyDescent="0.3">
      <c r="C726" t="s">
        <v>70</v>
      </c>
      <c r="D726" t="s">
        <v>67</v>
      </c>
      <c r="E726" t="s">
        <v>63</v>
      </c>
      <c r="F726" t="s">
        <v>25</v>
      </c>
      <c r="G726" s="4">
        <v>7</v>
      </c>
      <c r="H726" s="4" t="s">
        <v>74</v>
      </c>
      <c r="I726" s="4" t="s">
        <v>69</v>
      </c>
      <c r="J726" s="4" t="s">
        <v>66</v>
      </c>
      <c r="K726" s="4">
        <v>0</v>
      </c>
      <c r="L726" s="94">
        <v>-30730</v>
      </c>
      <c r="M726" s="94">
        <v>0</v>
      </c>
    </row>
    <row r="727" spans="3:13" x14ac:dyDescent="0.3">
      <c r="C727" t="s">
        <v>70</v>
      </c>
      <c r="D727" t="s">
        <v>67</v>
      </c>
      <c r="E727" t="s">
        <v>63</v>
      </c>
      <c r="F727" t="s">
        <v>26</v>
      </c>
      <c r="G727" s="4">
        <v>1</v>
      </c>
      <c r="H727" s="4" t="s">
        <v>74</v>
      </c>
      <c r="I727" s="4" t="s">
        <v>69</v>
      </c>
      <c r="J727" s="4" t="s">
        <v>66</v>
      </c>
      <c r="K727" s="4">
        <v>0</v>
      </c>
      <c r="L727" s="94">
        <v>-95885</v>
      </c>
      <c r="M727" s="94">
        <v>0</v>
      </c>
    </row>
    <row r="728" spans="3:13" x14ac:dyDescent="0.3">
      <c r="C728" t="s">
        <v>70</v>
      </c>
      <c r="D728" t="s">
        <v>67</v>
      </c>
      <c r="E728" t="s">
        <v>68</v>
      </c>
      <c r="F728" t="s">
        <v>26</v>
      </c>
      <c r="G728" s="4">
        <v>7</v>
      </c>
      <c r="H728" s="4" t="s">
        <v>64</v>
      </c>
      <c r="I728" s="4" t="s">
        <v>69</v>
      </c>
      <c r="J728" s="4" t="s">
        <v>66</v>
      </c>
      <c r="K728" s="4">
        <v>0</v>
      </c>
      <c r="L728" s="94">
        <v>277806</v>
      </c>
      <c r="M728" s="94">
        <v>1944642</v>
      </c>
    </row>
    <row r="729" spans="3:13" x14ac:dyDescent="0.3">
      <c r="C729" t="s">
        <v>61</v>
      </c>
      <c r="D729" t="s">
        <v>67</v>
      </c>
      <c r="E729" t="s">
        <v>63</v>
      </c>
      <c r="F729" t="s">
        <v>25</v>
      </c>
      <c r="G729" s="4">
        <v>9</v>
      </c>
      <c r="H729" s="4" t="s">
        <v>76</v>
      </c>
      <c r="I729" s="4" t="s">
        <v>69</v>
      </c>
      <c r="J729" s="4" t="s">
        <v>66</v>
      </c>
      <c r="K729" s="4">
        <v>0</v>
      </c>
      <c r="L729" s="94">
        <v>-64687</v>
      </c>
      <c r="M729" s="94">
        <v>0</v>
      </c>
    </row>
    <row r="730" spans="3:13" x14ac:dyDescent="0.3">
      <c r="C730" t="s">
        <v>61</v>
      </c>
      <c r="D730" t="s">
        <v>67</v>
      </c>
      <c r="E730" t="s">
        <v>68</v>
      </c>
      <c r="F730" t="s">
        <v>25</v>
      </c>
      <c r="G730" s="4">
        <v>12</v>
      </c>
      <c r="H730" s="4" t="s">
        <v>77</v>
      </c>
      <c r="I730" s="4" t="s">
        <v>69</v>
      </c>
      <c r="J730" s="4" t="s">
        <v>66</v>
      </c>
      <c r="K730" s="4">
        <v>0</v>
      </c>
      <c r="L730" s="94">
        <v>420091</v>
      </c>
      <c r="M730" s="94">
        <v>5041092</v>
      </c>
    </row>
    <row r="731" spans="3:13" x14ac:dyDescent="0.3">
      <c r="C731" t="s">
        <v>61</v>
      </c>
      <c r="D731" t="s">
        <v>62</v>
      </c>
      <c r="E731" t="s">
        <v>63</v>
      </c>
      <c r="F731" t="s">
        <v>24</v>
      </c>
      <c r="G731" s="4">
        <v>18</v>
      </c>
      <c r="I731" s="4" t="s">
        <v>65</v>
      </c>
      <c r="J731" s="4" t="s">
        <v>66</v>
      </c>
      <c r="K731" s="4">
        <v>1</v>
      </c>
      <c r="L731" s="94">
        <v>-1512</v>
      </c>
      <c r="M731" s="94">
        <v>0</v>
      </c>
    </row>
    <row r="732" spans="3:13" x14ac:dyDescent="0.3">
      <c r="C732" t="s">
        <v>61</v>
      </c>
      <c r="D732" t="s">
        <v>67</v>
      </c>
      <c r="E732" t="s">
        <v>63</v>
      </c>
      <c r="F732" t="s">
        <v>25</v>
      </c>
      <c r="G732" s="4">
        <v>16</v>
      </c>
      <c r="H732" s="4" t="s">
        <v>74</v>
      </c>
      <c r="I732" s="4" t="s">
        <v>69</v>
      </c>
      <c r="J732" s="4" t="s">
        <v>66</v>
      </c>
      <c r="K732" s="4">
        <v>0</v>
      </c>
      <c r="L732" s="94">
        <v>-781</v>
      </c>
      <c r="M732" s="94">
        <v>0</v>
      </c>
    </row>
    <row r="733" spans="3:13" x14ac:dyDescent="0.3">
      <c r="C733" t="s">
        <v>70</v>
      </c>
      <c r="D733" t="s">
        <v>67</v>
      </c>
      <c r="E733" t="s">
        <v>68</v>
      </c>
      <c r="F733" t="s">
        <v>25</v>
      </c>
      <c r="G733" s="4">
        <v>13</v>
      </c>
      <c r="H733" s="4" t="s">
        <v>18</v>
      </c>
      <c r="I733" s="4" t="s">
        <v>69</v>
      </c>
      <c r="J733" s="4" t="s">
        <v>66</v>
      </c>
      <c r="K733" s="4">
        <v>0</v>
      </c>
      <c r="L733" s="94">
        <v>2067859</v>
      </c>
      <c r="M733" s="94">
        <v>26882167</v>
      </c>
    </row>
    <row r="734" spans="3:13" x14ac:dyDescent="0.3">
      <c r="C734" t="s">
        <v>70</v>
      </c>
      <c r="D734" t="s">
        <v>67</v>
      </c>
      <c r="E734" t="s">
        <v>68</v>
      </c>
      <c r="F734" t="s">
        <v>72</v>
      </c>
      <c r="G734" s="4">
        <v>3</v>
      </c>
      <c r="H734" s="4" t="s">
        <v>12</v>
      </c>
      <c r="I734" s="4" t="s">
        <v>65</v>
      </c>
      <c r="J734" s="4" t="s">
        <v>73</v>
      </c>
      <c r="K734" s="4">
        <v>1</v>
      </c>
      <c r="L734" s="94">
        <v>181855</v>
      </c>
      <c r="M734" s="94">
        <v>545565</v>
      </c>
    </row>
    <row r="735" spans="3:13" x14ac:dyDescent="0.3">
      <c r="C735" t="s">
        <v>70</v>
      </c>
      <c r="D735" t="s">
        <v>62</v>
      </c>
      <c r="E735" t="s">
        <v>63</v>
      </c>
      <c r="F735" t="s">
        <v>24</v>
      </c>
      <c r="G735" s="4">
        <v>26</v>
      </c>
      <c r="I735" s="4" t="s">
        <v>65</v>
      </c>
      <c r="J735" s="4" t="s">
        <v>66</v>
      </c>
      <c r="K735" s="4">
        <v>1</v>
      </c>
      <c r="L735" s="94">
        <v>-16825</v>
      </c>
      <c r="M735" s="94">
        <v>0</v>
      </c>
    </row>
    <row r="736" spans="3:13" x14ac:dyDescent="0.3">
      <c r="C736" t="s">
        <v>61</v>
      </c>
      <c r="D736" t="s">
        <v>67</v>
      </c>
      <c r="E736" t="s">
        <v>68</v>
      </c>
      <c r="F736" t="s">
        <v>26</v>
      </c>
      <c r="G736" s="4">
        <v>7</v>
      </c>
      <c r="H736" s="4" t="s">
        <v>14</v>
      </c>
      <c r="I736" s="4" t="s">
        <v>69</v>
      </c>
      <c r="J736" s="4" t="s">
        <v>73</v>
      </c>
      <c r="K736" s="4">
        <v>1</v>
      </c>
      <c r="L736" s="94">
        <v>2798774</v>
      </c>
      <c r="M736" s="94">
        <v>19591418</v>
      </c>
    </row>
    <row r="737" spans="3:13" x14ac:dyDescent="0.3">
      <c r="C737" t="s">
        <v>61</v>
      </c>
      <c r="D737" t="s">
        <v>62</v>
      </c>
      <c r="E737" t="s">
        <v>68</v>
      </c>
      <c r="F737" t="s">
        <v>24</v>
      </c>
      <c r="G737" s="4">
        <v>43</v>
      </c>
      <c r="I737" s="4" t="s">
        <v>69</v>
      </c>
      <c r="J737" s="4" t="s">
        <v>66</v>
      </c>
      <c r="K737" s="4">
        <v>0</v>
      </c>
      <c r="L737" s="94">
        <v>19366254</v>
      </c>
      <c r="M737" s="94">
        <v>832748922</v>
      </c>
    </row>
    <row r="738" spans="3:13" x14ac:dyDescent="0.3">
      <c r="C738" t="s">
        <v>70</v>
      </c>
      <c r="D738" t="s">
        <v>62</v>
      </c>
      <c r="E738" t="s">
        <v>63</v>
      </c>
      <c r="F738" t="s">
        <v>24</v>
      </c>
      <c r="G738" s="4">
        <v>10</v>
      </c>
      <c r="I738" s="4" t="s">
        <v>69</v>
      </c>
      <c r="J738" s="4" t="s">
        <v>66</v>
      </c>
      <c r="K738" s="4">
        <v>0</v>
      </c>
      <c r="L738" s="94">
        <v>-420760</v>
      </c>
      <c r="M738" s="94">
        <v>0</v>
      </c>
    </row>
    <row r="739" spans="3:13" x14ac:dyDescent="0.3">
      <c r="C739" t="s">
        <v>71</v>
      </c>
      <c r="D739" t="s">
        <v>67</v>
      </c>
      <c r="E739" t="s">
        <v>63</v>
      </c>
      <c r="F739" t="s">
        <v>26</v>
      </c>
      <c r="G739" s="4">
        <v>3</v>
      </c>
      <c r="H739" s="4" t="s">
        <v>17</v>
      </c>
      <c r="I739" s="4" t="s">
        <v>69</v>
      </c>
      <c r="J739" s="4" t="s">
        <v>66</v>
      </c>
      <c r="K739" s="4">
        <v>0</v>
      </c>
      <c r="L739" s="94">
        <v>-1360508</v>
      </c>
      <c r="M739" s="94">
        <v>0</v>
      </c>
    </row>
    <row r="740" spans="3:13" x14ac:dyDescent="0.3">
      <c r="C740" t="s">
        <v>61</v>
      </c>
      <c r="D740" t="s">
        <v>67</v>
      </c>
      <c r="E740" t="s">
        <v>63</v>
      </c>
      <c r="F740" t="s">
        <v>72</v>
      </c>
      <c r="G740" s="4">
        <v>4</v>
      </c>
      <c r="H740" s="4" t="s">
        <v>12</v>
      </c>
      <c r="I740" s="4" t="s">
        <v>65</v>
      </c>
      <c r="J740" s="4" t="s">
        <v>73</v>
      </c>
      <c r="K740" s="4">
        <v>1</v>
      </c>
      <c r="L740" s="94">
        <v>-98</v>
      </c>
      <c r="M740" s="94">
        <v>0</v>
      </c>
    </row>
    <row r="741" spans="3:13" x14ac:dyDescent="0.3">
      <c r="C741" t="s">
        <v>70</v>
      </c>
      <c r="D741" t="s">
        <v>67</v>
      </c>
      <c r="E741" t="s">
        <v>63</v>
      </c>
      <c r="F741" t="s">
        <v>26</v>
      </c>
      <c r="G741" s="4">
        <v>0</v>
      </c>
      <c r="H741" s="4" t="s">
        <v>17</v>
      </c>
      <c r="I741" s="4" t="s">
        <v>69</v>
      </c>
      <c r="J741" s="4" t="s">
        <v>66</v>
      </c>
      <c r="K741" s="4">
        <v>0</v>
      </c>
      <c r="L741" s="94">
        <v>-131112</v>
      </c>
      <c r="M741" s="94">
        <v>0</v>
      </c>
    </row>
    <row r="742" spans="3:13" x14ac:dyDescent="0.3">
      <c r="C742" t="s">
        <v>70</v>
      </c>
      <c r="D742" t="s">
        <v>62</v>
      </c>
      <c r="E742" t="s">
        <v>63</v>
      </c>
      <c r="F742" t="s">
        <v>24</v>
      </c>
      <c r="G742" s="4">
        <v>38</v>
      </c>
      <c r="I742" s="4" t="s">
        <v>69</v>
      </c>
      <c r="J742" s="4" t="s">
        <v>66</v>
      </c>
      <c r="K742" s="4">
        <v>0</v>
      </c>
      <c r="L742" s="94">
        <v>-1202861</v>
      </c>
      <c r="M742" s="94">
        <v>0</v>
      </c>
    </row>
    <row r="743" spans="3:13" x14ac:dyDescent="0.3">
      <c r="C743" t="s">
        <v>70</v>
      </c>
      <c r="D743" t="s">
        <v>67</v>
      </c>
      <c r="E743" t="s">
        <v>63</v>
      </c>
      <c r="F743" t="s">
        <v>26</v>
      </c>
      <c r="G743" s="4">
        <v>6</v>
      </c>
      <c r="H743" s="4" t="s">
        <v>17</v>
      </c>
      <c r="I743" s="4" t="s">
        <v>65</v>
      </c>
      <c r="J743" s="4" t="s">
        <v>66</v>
      </c>
      <c r="K743" s="4">
        <v>1</v>
      </c>
      <c r="L743" s="94">
        <v>-30306</v>
      </c>
      <c r="M743" s="94">
        <v>0</v>
      </c>
    </row>
    <row r="744" spans="3:13" x14ac:dyDescent="0.3">
      <c r="C744" t="s">
        <v>71</v>
      </c>
      <c r="D744" t="s">
        <v>67</v>
      </c>
      <c r="E744" t="s">
        <v>68</v>
      </c>
      <c r="F744" t="s">
        <v>25</v>
      </c>
      <c r="G744" s="4">
        <v>9</v>
      </c>
      <c r="H744" s="4" t="s">
        <v>17</v>
      </c>
      <c r="I744" s="4" t="s">
        <v>69</v>
      </c>
      <c r="J744" s="4" t="s">
        <v>66</v>
      </c>
      <c r="K744" s="4">
        <v>0</v>
      </c>
      <c r="L744" s="94">
        <v>6038104</v>
      </c>
      <c r="M744" s="94">
        <v>54342936</v>
      </c>
    </row>
    <row r="745" spans="3:13" x14ac:dyDescent="0.3">
      <c r="C745" t="s">
        <v>61</v>
      </c>
      <c r="D745" t="s">
        <v>67</v>
      </c>
      <c r="E745" t="s">
        <v>68</v>
      </c>
      <c r="F745" t="s">
        <v>25</v>
      </c>
      <c r="G745" s="4">
        <v>11</v>
      </c>
      <c r="H745" s="4" t="s">
        <v>18</v>
      </c>
      <c r="I745" s="4" t="s">
        <v>65</v>
      </c>
      <c r="J745" s="4" t="s">
        <v>66</v>
      </c>
      <c r="K745" s="4">
        <v>1</v>
      </c>
      <c r="L745" s="94">
        <v>48251</v>
      </c>
      <c r="M745" s="94">
        <v>530761</v>
      </c>
    </row>
    <row r="746" spans="3:13" x14ac:dyDescent="0.3">
      <c r="C746" t="s">
        <v>70</v>
      </c>
      <c r="D746" t="s">
        <v>67</v>
      </c>
      <c r="E746" t="s">
        <v>68</v>
      </c>
      <c r="F746" t="s">
        <v>26</v>
      </c>
      <c r="G746" s="4">
        <v>-1</v>
      </c>
      <c r="H746" s="4" t="s">
        <v>14</v>
      </c>
      <c r="I746" s="4" t="s">
        <v>65</v>
      </c>
      <c r="J746" s="4" t="s">
        <v>73</v>
      </c>
      <c r="K746" s="4">
        <v>1</v>
      </c>
      <c r="L746" s="94">
        <v>20589</v>
      </c>
      <c r="M746" s="94">
        <v>0</v>
      </c>
    </row>
    <row r="747" spans="3:13" x14ac:dyDescent="0.3">
      <c r="C747" t="s">
        <v>70</v>
      </c>
      <c r="D747" t="s">
        <v>62</v>
      </c>
      <c r="E747" t="s">
        <v>68</v>
      </c>
      <c r="F747" t="s">
        <v>24</v>
      </c>
      <c r="G747" s="4">
        <v>8</v>
      </c>
      <c r="I747" s="4" t="s">
        <v>69</v>
      </c>
      <c r="J747" s="4" t="s">
        <v>66</v>
      </c>
      <c r="K747" s="4">
        <v>1</v>
      </c>
      <c r="L747" s="94">
        <v>141604</v>
      </c>
      <c r="M747" s="94">
        <v>1132832</v>
      </c>
    </row>
    <row r="748" spans="3:13" x14ac:dyDescent="0.3">
      <c r="C748" t="s">
        <v>70</v>
      </c>
      <c r="D748" t="s">
        <v>67</v>
      </c>
      <c r="E748" t="s">
        <v>63</v>
      </c>
      <c r="F748" t="s">
        <v>26</v>
      </c>
      <c r="G748" s="4">
        <v>7</v>
      </c>
      <c r="H748" s="4" t="s">
        <v>82</v>
      </c>
      <c r="I748" s="4" t="s">
        <v>69</v>
      </c>
      <c r="J748" s="4" t="s">
        <v>66</v>
      </c>
      <c r="K748" s="4">
        <v>0</v>
      </c>
      <c r="L748" s="94">
        <v>-52155</v>
      </c>
      <c r="M748" s="94">
        <v>0</v>
      </c>
    </row>
    <row r="749" spans="3:13" x14ac:dyDescent="0.3">
      <c r="C749" t="s">
        <v>61</v>
      </c>
      <c r="D749" t="s">
        <v>67</v>
      </c>
      <c r="E749" t="s">
        <v>63</v>
      </c>
      <c r="F749" t="s">
        <v>72</v>
      </c>
      <c r="G749" s="4">
        <v>6</v>
      </c>
      <c r="H749" s="4" t="s">
        <v>83</v>
      </c>
      <c r="I749" s="4" t="s">
        <v>69</v>
      </c>
      <c r="J749" s="4" t="s">
        <v>66</v>
      </c>
      <c r="K749" s="4">
        <v>0</v>
      </c>
      <c r="L749" s="94">
        <v>-2470</v>
      </c>
      <c r="M749" s="94">
        <v>0</v>
      </c>
    </row>
    <row r="750" spans="3:13" x14ac:dyDescent="0.3">
      <c r="C750" t="s">
        <v>70</v>
      </c>
      <c r="D750" t="s">
        <v>67</v>
      </c>
      <c r="E750" t="s">
        <v>63</v>
      </c>
      <c r="F750" t="s">
        <v>25</v>
      </c>
      <c r="G750" s="4">
        <v>4</v>
      </c>
      <c r="H750" s="4" t="s">
        <v>18</v>
      </c>
      <c r="I750" s="4" t="s">
        <v>69</v>
      </c>
      <c r="J750" s="4" t="s">
        <v>66</v>
      </c>
      <c r="K750" s="4">
        <v>1</v>
      </c>
      <c r="L750" s="94">
        <v>-6807</v>
      </c>
      <c r="M750" s="94">
        <v>0</v>
      </c>
    </row>
    <row r="751" spans="3:13" x14ac:dyDescent="0.3">
      <c r="C751" t="s">
        <v>61</v>
      </c>
      <c r="D751" t="s">
        <v>67</v>
      </c>
      <c r="E751" t="s">
        <v>63</v>
      </c>
      <c r="F751" t="s">
        <v>72</v>
      </c>
      <c r="G751" s="4">
        <v>4</v>
      </c>
      <c r="H751" s="4" t="s">
        <v>77</v>
      </c>
      <c r="I751" s="4" t="s">
        <v>69</v>
      </c>
      <c r="J751" s="4" t="s">
        <v>66</v>
      </c>
      <c r="K751" s="4">
        <v>0</v>
      </c>
      <c r="L751" s="94">
        <v>-2611</v>
      </c>
      <c r="M751" s="94">
        <v>0</v>
      </c>
    </row>
    <row r="752" spans="3:13" x14ac:dyDescent="0.3">
      <c r="C752" t="s">
        <v>61</v>
      </c>
      <c r="D752" t="s">
        <v>67</v>
      </c>
      <c r="E752" t="s">
        <v>68</v>
      </c>
      <c r="F752" t="s">
        <v>25</v>
      </c>
      <c r="G752" s="4">
        <v>2</v>
      </c>
      <c r="H752" s="4" t="s">
        <v>80</v>
      </c>
      <c r="I752" s="4" t="s">
        <v>69</v>
      </c>
      <c r="J752" s="4" t="s">
        <v>66</v>
      </c>
      <c r="K752" s="4">
        <v>0</v>
      </c>
      <c r="L752" s="94">
        <v>32947</v>
      </c>
      <c r="M752" s="94">
        <v>65894</v>
      </c>
    </row>
    <row r="753" spans="3:13" x14ac:dyDescent="0.3">
      <c r="C753" t="s">
        <v>61</v>
      </c>
      <c r="D753" t="s">
        <v>67</v>
      </c>
      <c r="E753" t="s">
        <v>63</v>
      </c>
      <c r="F753" t="s">
        <v>72</v>
      </c>
      <c r="G753" s="4">
        <v>0</v>
      </c>
      <c r="H753" s="4" t="s">
        <v>17</v>
      </c>
      <c r="I753" s="4" t="s">
        <v>69</v>
      </c>
      <c r="J753" s="4" t="s">
        <v>66</v>
      </c>
      <c r="K753" s="4">
        <v>0</v>
      </c>
      <c r="L753" s="94">
        <v>-2330</v>
      </c>
      <c r="M753" s="94">
        <v>0</v>
      </c>
    </row>
    <row r="754" spans="3:13" x14ac:dyDescent="0.3">
      <c r="C754" t="s">
        <v>70</v>
      </c>
      <c r="D754" t="s">
        <v>67</v>
      </c>
      <c r="E754" t="s">
        <v>68</v>
      </c>
      <c r="F754" t="s">
        <v>25</v>
      </c>
      <c r="G754" s="4">
        <v>10</v>
      </c>
      <c r="H754" s="4" t="s">
        <v>74</v>
      </c>
      <c r="I754" s="4" t="s">
        <v>69</v>
      </c>
      <c r="J754" s="4" t="s">
        <v>66</v>
      </c>
      <c r="K754" s="4">
        <v>0</v>
      </c>
      <c r="L754" s="94">
        <v>157458</v>
      </c>
      <c r="M754" s="94">
        <v>1574580</v>
      </c>
    </row>
    <row r="755" spans="3:13" x14ac:dyDescent="0.3">
      <c r="C755" t="s">
        <v>70</v>
      </c>
      <c r="D755" t="s">
        <v>67</v>
      </c>
      <c r="E755" t="s">
        <v>68</v>
      </c>
      <c r="F755" t="s">
        <v>26</v>
      </c>
      <c r="G755" s="4">
        <v>4</v>
      </c>
      <c r="H755" s="4" t="s">
        <v>16</v>
      </c>
      <c r="I755" s="4" t="s">
        <v>69</v>
      </c>
      <c r="J755" s="4" t="s">
        <v>66</v>
      </c>
      <c r="K755" s="4">
        <v>0</v>
      </c>
      <c r="L755" s="94">
        <v>447669</v>
      </c>
      <c r="M755" s="94">
        <v>1790676</v>
      </c>
    </row>
    <row r="756" spans="3:13" x14ac:dyDescent="0.3">
      <c r="C756" t="s">
        <v>61</v>
      </c>
      <c r="D756" t="s">
        <v>67</v>
      </c>
      <c r="E756" t="s">
        <v>68</v>
      </c>
      <c r="F756" t="s">
        <v>72</v>
      </c>
      <c r="G756" s="4">
        <v>4</v>
      </c>
      <c r="H756" s="4" t="s">
        <v>17</v>
      </c>
      <c r="I756" s="4" t="s">
        <v>69</v>
      </c>
      <c r="J756" s="4" t="s">
        <v>66</v>
      </c>
      <c r="K756" s="4">
        <v>0</v>
      </c>
      <c r="L756" s="94">
        <v>10195871</v>
      </c>
      <c r="M756" s="94">
        <v>40783484</v>
      </c>
    </row>
    <row r="757" spans="3:13" x14ac:dyDescent="0.3">
      <c r="C757" t="s">
        <v>71</v>
      </c>
      <c r="D757" t="s">
        <v>67</v>
      </c>
      <c r="E757" t="s">
        <v>68</v>
      </c>
      <c r="F757" t="s">
        <v>25</v>
      </c>
      <c r="G757" s="4">
        <v>5</v>
      </c>
      <c r="H757" s="4" t="s">
        <v>79</v>
      </c>
      <c r="I757" s="4" t="s">
        <v>69</v>
      </c>
      <c r="J757" s="4" t="s">
        <v>66</v>
      </c>
      <c r="K757" s="4">
        <v>0</v>
      </c>
      <c r="L757" s="94">
        <v>179041</v>
      </c>
      <c r="M757" s="94">
        <v>895205</v>
      </c>
    </row>
    <row r="758" spans="3:13" x14ac:dyDescent="0.3">
      <c r="C758" t="s">
        <v>61</v>
      </c>
      <c r="D758" t="s">
        <v>67</v>
      </c>
      <c r="E758" t="s">
        <v>63</v>
      </c>
      <c r="F758" t="s">
        <v>25</v>
      </c>
      <c r="G758" s="4">
        <v>2</v>
      </c>
      <c r="H758" s="4" t="s">
        <v>76</v>
      </c>
      <c r="I758" s="4" t="s">
        <v>69</v>
      </c>
      <c r="J758" s="4" t="s">
        <v>66</v>
      </c>
      <c r="K758" s="4">
        <v>0</v>
      </c>
      <c r="L758" s="94">
        <v>-127539</v>
      </c>
      <c r="M758" s="94">
        <v>0</v>
      </c>
    </row>
    <row r="759" spans="3:13" x14ac:dyDescent="0.3">
      <c r="C759" t="s">
        <v>61</v>
      </c>
      <c r="D759" t="s">
        <v>62</v>
      </c>
      <c r="E759" t="s">
        <v>63</v>
      </c>
      <c r="F759" t="s">
        <v>24</v>
      </c>
      <c r="G759" s="4">
        <v>16</v>
      </c>
      <c r="I759" s="4" t="s">
        <v>65</v>
      </c>
      <c r="J759" s="4" t="s">
        <v>66</v>
      </c>
      <c r="K759" s="4">
        <v>1</v>
      </c>
      <c r="L759" s="94">
        <v>-1460</v>
      </c>
      <c r="M759" s="94">
        <v>0</v>
      </c>
    </row>
    <row r="760" spans="3:13" x14ac:dyDescent="0.3">
      <c r="C760" t="s">
        <v>61</v>
      </c>
      <c r="D760" t="s">
        <v>67</v>
      </c>
      <c r="E760" t="s">
        <v>63</v>
      </c>
      <c r="F760" t="s">
        <v>26</v>
      </c>
      <c r="G760" s="4">
        <v>4</v>
      </c>
      <c r="H760" s="4" t="s">
        <v>15</v>
      </c>
      <c r="I760" s="4" t="s">
        <v>69</v>
      </c>
      <c r="J760" s="4" t="s">
        <v>73</v>
      </c>
      <c r="K760" s="4">
        <v>1</v>
      </c>
      <c r="L760" s="94">
        <v>-22858</v>
      </c>
      <c r="M760" s="94">
        <v>0</v>
      </c>
    </row>
    <row r="761" spans="3:13" x14ac:dyDescent="0.3">
      <c r="C761" t="s">
        <v>70</v>
      </c>
      <c r="D761" t="s">
        <v>67</v>
      </c>
      <c r="E761" t="s">
        <v>63</v>
      </c>
      <c r="F761" t="s">
        <v>26</v>
      </c>
      <c r="G761" s="4">
        <v>4</v>
      </c>
      <c r="H761" s="4" t="s">
        <v>78</v>
      </c>
      <c r="I761" s="4" t="s">
        <v>69</v>
      </c>
      <c r="J761" s="4" t="s">
        <v>66</v>
      </c>
      <c r="K761" s="4">
        <v>0</v>
      </c>
      <c r="L761" s="94">
        <v>-15136</v>
      </c>
      <c r="M761" s="94">
        <v>0</v>
      </c>
    </row>
    <row r="762" spans="3:13" x14ac:dyDescent="0.3">
      <c r="C762" t="s">
        <v>71</v>
      </c>
      <c r="D762" t="s">
        <v>67</v>
      </c>
      <c r="E762" t="s">
        <v>63</v>
      </c>
      <c r="F762" t="s">
        <v>26</v>
      </c>
      <c r="G762" s="4">
        <v>6</v>
      </c>
      <c r="H762" s="4" t="s">
        <v>76</v>
      </c>
      <c r="I762" s="4" t="s">
        <v>69</v>
      </c>
      <c r="J762" s="4" t="s">
        <v>66</v>
      </c>
      <c r="K762" s="4">
        <v>0</v>
      </c>
      <c r="L762" s="94">
        <v>-364881</v>
      </c>
      <c r="M762" s="94">
        <v>0</v>
      </c>
    </row>
    <row r="763" spans="3:13" x14ac:dyDescent="0.3">
      <c r="C763" t="s">
        <v>70</v>
      </c>
      <c r="D763" t="s">
        <v>67</v>
      </c>
      <c r="E763" t="s">
        <v>68</v>
      </c>
      <c r="F763" t="s">
        <v>25</v>
      </c>
      <c r="G763" s="4">
        <v>1</v>
      </c>
      <c r="H763" s="4" t="s">
        <v>76</v>
      </c>
      <c r="I763" s="4" t="s">
        <v>69</v>
      </c>
      <c r="J763" s="4" t="s">
        <v>66</v>
      </c>
      <c r="K763" s="4">
        <v>0</v>
      </c>
      <c r="L763" s="94">
        <v>377819</v>
      </c>
      <c r="M763" s="94">
        <v>377819</v>
      </c>
    </row>
    <row r="764" spans="3:13" x14ac:dyDescent="0.3">
      <c r="C764" t="s">
        <v>70</v>
      </c>
      <c r="D764" t="s">
        <v>67</v>
      </c>
      <c r="E764" t="s">
        <v>68</v>
      </c>
      <c r="F764" t="s">
        <v>25</v>
      </c>
      <c r="G764" s="4">
        <v>20</v>
      </c>
      <c r="H764" s="4" t="s">
        <v>76</v>
      </c>
      <c r="I764" s="4" t="s">
        <v>69</v>
      </c>
      <c r="J764" s="4" t="s">
        <v>66</v>
      </c>
      <c r="K764" s="4">
        <v>0</v>
      </c>
      <c r="L764" s="94">
        <v>885158</v>
      </c>
      <c r="M764" s="94">
        <v>17703160</v>
      </c>
    </row>
    <row r="765" spans="3:13" x14ac:dyDescent="0.3">
      <c r="C765" t="s">
        <v>61</v>
      </c>
      <c r="D765" t="s">
        <v>62</v>
      </c>
      <c r="E765" t="s">
        <v>63</v>
      </c>
      <c r="F765" t="s">
        <v>24</v>
      </c>
      <c r="G765" s="4">
        <v>15</v>
      </c>
      <c r="I765" s="4" t="s">
        <v>69</v>
      </c>
      <c r="J765" s="4" t="s">
        <v>66</v>
      </c>
      <c r="K765" s="4">
        <v>0</v>
      </c>
      <c r="L765" s="94">
        <v>-115384</v>
      </c>
      <c r="M765" s="94">
        <v>0</v>
      </c>
    </row>
    <row r="766" spans="3:13" x14ac:dyDescent="0.3">
      <c r="C766" t="s">
        <v>61</v>
      </c>
      <c r="D766" t="s">
        <v>67</v>
      </c>
      <c r="E766" t="s">
        <v>68</v>
      </c>
      <c r="F766" t="s">
        <v>72</v>
      </c>
      <c r="G766" s="4">
        <v>5</v>
      </c>
      <c r="H766" s="4" t="s">
        <v>82</v>
      </c>
      <c r="I766" s="4" t="s">
        <v>65</v>
      </c>
      <c r="J766" s="4" t="s">
        <v>66</v>
      </c>
      <c r="K766" s="4">
        <v>1</v>
      </c>
      <c r="L766" s="94">
        <v>1898449</v>
      </c>
      <c r="M766" s="94">
        <v>9492245</v>
      </c>
    </row>
    <row r="767" spans="3:13" x14ac:dyDescent="0.3">
      <c r="C767" t="s">
        <v>70</v>
      </c>
      <c r="D767" t="s">
        <v>62</v>
      </c>
      <c r="E767" t="s">
        <v>63</v>
      </c>
      <c r="F767" t="s">
        <v>24</v>
      </c>
      <c r="G767" s="4">
        <v>34</v>
      </c>
      <c r="I767" s="4" t="s">
        <v>69</v>
      </c>
      <c r="J767" s="4" t="s">
        <v>66</v>
      </c>
      <c r="K767" s="4">
        <v>0</v>
      </c>
      <c r="L767" s="94">
        <v>-1751124</v>
      </c>
      <c r="M767" s="94">
        <v>0</v>
      </c>
    </row>
    <row r="768" spans="3:13" x14ac:dyDescent="0.3">
      <c r="C768" t="s">
        <v>71</v>
      </c>
      <c r="D768" t="s">
        <v>67</v>
      </c>
      <c r="E768" t="s">
        <v>68</v>
      </c>
      <c r="F768" t="s">
        <v>26</v>
      </c>
      <c r="G768" s="4">
        <v>-1</v>
      </c>
      <c r="I768" s="4" t="s">
        <v>69</v>
      </c>
      <c r="J768" s="4" t="s">
        <v>66</v>
      </c>
      <c r="K768" s="4">
        <v>0</v>
      </c>
      <c r="L768" s="94">
        <v>9273</v>
      </c>
      <c r="M768" s="94">
        <v>0</v>
      </c>
    </row>
    <row r="769" spans="3:13" x14ac:dyDescent="0.3">
      <c r="C769" t="s">
        <v>61</v>
      </c>
      <c r="D769" t="s">
        <v>67</v>
      </c>
      <c r="E769" t="s">
        <v>63</v>
      </c>
      <c r="F769" t="s">
        <v>26</v>
      </c>
      <c r="G769" s="4">
        <v>1</v>
      </c>
      <c r="H769" s="4" t="s">
        <v>18</v>
      </c>
      <c r="I769" s="4" t="s">
        <v>69</v>
      </c>
      <c r="J769" s="4" t="s">
        <v>73</v>
      </c>
      <c r="K769" s="4">
        <v>1</v>
      </c>
      <c r="L769" s="94">
        <v>-21013</v>
      </c>
      <c r="M769" s="94">
        <v>0</v>
      </c>
    </row>
    <row r="770" spans="3:13" x14ac:dyDescent="0.3">
      <c r="C770" t="s">
        <v>61</v>
      </c>
      <c r="D770" t="s">
        <v>67</v>
      </c>
      <c r="E770" t="s">
        <v>68</v>
      </c>
      <c r="F770" t="s">
        <v>25</v>
      </c>
      <c r="G770" s="4">
        <v>9</v>
      </c>
      <c r="H770" s="4" t="s">
        <v>18</v>
      </c>
      <c r="I770" s="4" t="s">
        <v>65</v>
      </c>
      <c r="J770" s="4" t="s">
        <v>66</v>
      </c>
      <c r="K770" s="4">
        <v>1</v>
      </c>
      <c r="L770" s="94">
        <v>687647</v>
      </c>
      <c r="M770" s="94">
        <v>6188823</v>
      </c>
    </row>
    <row r="771" spans="3:13" x14ac:dyDescent="0.3">
      <c r="C771" t="s">
        <v>61</v>
      </c>
      <c r="D771" t="s">
        <v>67</v>
      </c>
      <c r="E771" t="s">
        <v>63</v>
      </c>
      <c r="F771" t="s">
        <v>72</v>
      </c>
      <c r="G771" s="4">
        <v>2</v>
      </c>
      <c r="H771" s="4" t="s">
        <v>83</v>
      </c>
      <c r="I771" s="4" t="s">
        <v>69</v>
      </c>
      <c r="J771" s="4" t="s">
        <v>66</v>
      </c>
      <c r="K771" s="4">
        <v>0</v>
      </c>
      <c r="L771" s="94">
        <v>-538</v>
      </c>
      <c r="M771" s="94">
        <v>0</v>
      </c>
    </row>
    <row r="772" spans="3:13" x14ac:dyDescent="0.3">
      <c r="C772" t="s">
        <v>70</v>
      </c>
      <c r="D772" t="s">
        <v>67</v>
      </c>
      <c r="E772" t="s">
        <v>68</v>
      </c>
      <c r="F772" t="s">
        <v>26</v>
      </c>
      <c r="G772" s="4">
        <v>7</v>
      </c>
      <c r="H772" s="4" t="s">
        <v>78</v>
      </c>
      <c r="I772" s="4" t="s">
        <v>69</v>
      </c>
      <c r="J772" s="4" t="s">
        <v>66</v>
      </c>
      <c r="K772" s="4">
        <v>0</v>
      </c>
      <c r="L772" s="94">
        <v>708588</v>
      </c>
      <c r="M772" s="94">
        <v>4960116</v>
      </c>
    </row>
    <row r="773" spans="3:13" x14ac:dyDescent="0.3">
      <c r="C773" t="s">
        <v>61</v>
      </c>
      <c r="D773" t="s">
        <v>62</v>
      </c>
      <c r="E773" t="s">
        <v>63</v>
      </c>
      <c r="F773" t="s">
        <v>24</v>
      </c>
      <c r="G773" s="4">
        <v>50</v>
      </c>
      <c r="I773" s="4" t="s">
        <v>69</v>
      </c>
      <c r="J773" s="4" t="s">
        <v>66</v>
      </c>
      <c r="K773" s="4">
        <v>0</v>
      </c>
      <c r="L773" s="94">
        <v>-72</v>
      </c>
      <c r="M773" s="94">
        <v>0</v>
      </c>
    </row>
    <row r="774" spans="3:13" x14ac:dyDescent="0.3">
      <c r="C774" t="s">
        <v>61</v>
      </c>
      <c r="D774" t="s">
        <v>67</v>
      </c>
      <c r="E774" t="s">
        <v>63</v>
      </c>
      <c r="F774" t="s">
        <v>25</v>
      </c>
      <c r="G774" s="4">
        <v>7</v>
      </c>
      <c r="H774" s="4" t="s">
        <v>83</v>
      </c>
      <c r="I774" s="4" t="s">
        <v>69</v>
      </c>
      <c r="J774" s="4" t="s">
        <v>66</v>
      </c>
      <c r="K774" s="4">
        <v>0</v>
      </c>
      <c r="L774" s="94">
        <v>-773</v>
      </c>
      <c r="M774" s="94">
        <v>0</v>
      </c>
    </row>
    <row r="775" spans="3:13" x14ac:dyDescent="0.3">
      <c r="C775" t="s">
        <v>71</v>
      </c>
      <c r="D775" t="s">
        <v>67</v>
      </c>
      <c r="E775" t="s">
        <v>68</v>
      </c>
      <c r="F775" t="s">
        <v>26</v>
      </c>
      <c r="G775" s="4">
        <v>1</v>
      </c>
      <c r="H775" s="4" t="s">
        <v>83</v>
      </c>
      <c r="I775" s="4" t="s">
        <v>69</v>
      </c>
      <c r="J775" s="4" t="s">
        <v>66</v>
      </c>
      <c r="K775" s="4">
        <v>0</v>
      </c>
      <c r="L775" s="94">
        <v>156015</v>
      </c>
      <c r="M775" s="94">
        <v>156015</v>
      </c>
    </row>
    <row r="776" spans="3:13" x14ac:dyDescent="0.3">
      <c r="C776" t="s">
        <v>70</v>
      </c>
      <c r="D776" t="s">
        <v>67</v>
      </c>
      <c r="E776" t="s">
        <v>68</v>
      </c>
      <c r="F776" t="s">
        <v>26</v>
      </c>
      <c r="G776" s="4">
        <v>5</v>
      </c>
      <c r="H776" s="4" t="s">
        <v>17</v>
      </c>
      <c r="I776" s="4" t="s">
        <v>69</v>
      </c>
      <c r="J776" s="4" t="s">
        <v>66</v>
      </c>
      <c r="K776" s="4">
        <v>0</v>
      </c>
      <c r="L776" s="94">
        <v>1242749</v>
      </c>
      <c r="M776" s="94">
        <v>6213745</v>
      </c>
    </row>
    <row r="777" spans="3:13" x14ac:dyDescent="0.3">
      <c r="C777" t="s">
        <v>61</v>
      </c>
      <c r="D777" t="s">
        <v>67</v>
      </c>
      <c r="E777" t="s">
        <v>63</v>
      </c>
      <c r="F777" t="s">
        <v>26</v>
      </c>
      <c r="G777" s="4">
        <v>5</v>
      </c>
      <c r="H777" s="4" t="s">
        <v>74</v>
      </c>
      <c r="I777" s="4" t="s">
        <v>69</v>
      </c>
      <c r="J777" s="4" t="s">
        <v>66</v>
      </c>
      <c r="K777" s="4">
        <v>0</v>
      </c>
      <c r="L777" s="94">
        <v>-171699</v>
      </c>
      <c r="M777" s="94">
        <v>0</v>
      </c>
    </row>
    <row r="778" spans="3:13" x14ac:dyDescent="0.3">
      <c r="C778" t="s">
        <v>71</v>
      </c>
      <c r="D778" t="s">
        <v>62</v>
      </c>
      <c r="E778" t="s">
        <v>63</v>
      </c>
      <c r="F778" t="s">
        <v>24</v>
      </c>
      <c r="G778" s="4">
        <v>21</v>
      </c>
      <c r="I778" s="4" t="s">
        <v>69</v>
      </c>
      <c r="J778" s="4" t="s">
        <v>66</v>
      </c>
      <c r="K778" s="4">
        <v>1</v>
      </c>
      <c r="L778" s="94">
        <v>-140788</v>
      </c>
      <c r="M778" s="94">
        <v>0</v>
      </c>
    </row>
    <row r="779" spans="3:13" x14ac:dyDescent="0.3">
      <c r="C779" t="s">
        <v>61</v>
      </c>
      <c r="D779" t="s">
        <v>67</v>
      </c>
      <c r="E779" t="s">
        <v>68</v>
      </c>
      <c r="F779" t="s">
        <v>25</v>
      </c>
      <c r="G779" s="4">
        <v>14</v>
      </c>
      <c r="H779" s="4" t="s">
        <v>77</v>
      </c>
      <c r="I779" s="4" t="s">
        <v>69</v>
      </c>
      <c r="J779" s="4" t="s">
        <v>66</v>
      </c>
      <c r="K779" s="4">
        <v>0</v>
      </c>
      <c r="L779" s="94">
        <v>499862</v>
      </c>
      <c r="M779" s="94">
        <v>6998068</v>
      </c>
    </row>
    <row r="780" spans="3:13" x14ac:dyDescent="0.3">
      <c r="C780" t="s">
        <v>70</v>
      </c>
      <c r="D780" t="s">
        <v>84</v>
      </c>
      <c r="E780" t="s">
        <v>63</v>
      </c>
      <c r="F780" t="s">
        <v>25</v>
      </c>
      <c r="G780" s="4">
        <v>6</v>
      </c>
      <c r="H780" s="4" t="s">
        <v>81</v>
      </c>
      <c r="I780" s="4" t="s">
        <v>69</v>
      </c>
      <c r="J780" s="4" t="s">
        <v>66</v>
      </c>
      <c r="K780" s="4">
        <v>0</v>
      </c>
      <c r="L780" s="94">
        <v>-480</v>
      </c>
      <c r="M780" s="94">
        <v>0</v>
      </c>
    </row>
    <row r="781" spans="3:13" x14ac:dyDescent="0.3">
      <c r="C781" t="s">
        <v>61</v>
      </c>
      <c r="D781" t="s">
        <v>67</v>
      </c>
      <c r="E781" t="s">
        <v>68</v>
      </c>
      <c r="F781" t="s">
        <v>25</v>
      </c>
      <c r="G781" s="4">
        <v>15</v>
      </c>
      <c r="H781" s="4" t="s">
        <v>14</v>
      </c>
      <c r="I781" s="4" t="s">
        <v>69</v>
      </c>
      <c r="J781" s="4" t="s">
        <v>66</v>
      </c>
      <c r="K781" s="4">
        <v>1</v>
      </c>
      <c r="L781" s="94">
        <v>4171111</v>
      </c>
      <c r="M781" s="94">
        <v>62566665</v>
      </c>
    </row>
    <row r="782" spans="3:13" x14ac:dyDescent="0.3">
      <c r="C782" t="s">
        <v>70</v>
      </c>
      <c r="D782" t="s">
        <v>67</v>
      </c>
      <c r="E782" t="s">
        <v>68</v>
      </c>
      <c r="F782" t="s">
        <v>25</v>
      </c>
      <c r="G782" s="4">
        <v>15</v>
      </c>
      <c r="H782" s="4" t="s">
        <v>18</v>
      </c>
      <c r="I782" s="4" t="s">
        <v>69</v>
      </c>
      <c r="J782" s="4" t="s">
        <v>66</v>
      </c>
      <c r="K782" s="4">
        <v>0</v>
      </c>
      <c r="L782" s="94">
        <v>761942</v>
      </c>
      <c r="M782" s="94">
        <v>11429130</v>
      </c>
    </row>
    <row r="783" spans="3:13" x14ac:dyDescent="0.3">
      <c r="C783" t="s">
        <v>61</v>
      </c>
      <c r="D783" t="s">
        <v>67</v>
      </c>
      <c r="E783" t="s">
        <v>63</v>
      </c>
      <c r="F783" t="s">
        <v>72</v>
      </c>
      <c r="G783" s="4">
        <v>3</v>
      </c>
      <c r="H783" s="4" t="s">
        <v>12</v>
      </c>
      <c r="I783" s="4" t="s">
        <v>65</v>
      </c>
      <c r="J783" s="4" t="s">
        <v>73</v>
      </c>
      <c r="K783" s="4">
        <v>1</v>
      </c>
      <c r="L783" s="94">
        <v>-979</v>
      </c>
      <c r="M783" s="94">
        <v>0</v>
      </c>
    </row>
    <row r="784" spans="3:13" x14ac:dyDescent="0.3">
      <c r="C784" t="s">
        <v>61</v>
      </c>
      <c r="D784" t="s">
        <v>62</v>
      </c>
      <c r="E784" t="s">
        <v>63</v>
      </c>
      <c r="F784" t="s">
        <v>24</v>
      </c>
      <c r="G784" s="4">
        <v>5</v>
      </c>
      <c r="I784" s="4" t="s">
        <v>65</v>
      </c>
      <c r="J784" s="4" t="s">
        <v>66</v>
      </c>
      <c r="K784" s="4">
        <v>1</v>
      </c>
      <c r="L784" s="94">
        <v>-414</v>
      </c>
      <c r="M784" s="94">
        <v>0</v>
      </c>
    </row>
    <row r="785" spans="3:13" x14ac:dyDescent="0.3">
      <c r="C785" t="s">
        <v>70</v>
      </c>
      <c r="D785" t="s">
        <v>67</v>
      </c>
      <c r="E785" t="s">
        <v>63</v>
      </c>
      <c r="F785" t="s">
        <v>72</v>
      </c>
      <c r="G785" s="4">
        <v>2</v>
      </c>
      <c r="H785" s="4" t="s">
        <v>83</v>
      </c>
      <c r="I785" s="4" t="s">
        <v>69</v>
      </c>
      <c r="J785" s="4" t="s">
        <v>66</v>
      </c>
      <c r="K785" s="4">
        <v>0</v>
      </c>
      <c r="L785" s="94">
        <v>-5495</v>
      </c>
      <c r="M785" s="94">
        <v>0</v>
      </c>
    </row>
    <row r="786" spans="3:13" x14ac:dyDescent="0.3">
      <c r="C786" t="s">
        <v>70</v>
      </c>
      <c r="D786" t="s">
        <v>62</v>
      </c>
      <c r="E786" t="s">
        <v>63</v>
      </c>
      <c r="F786" t="s">
        <v>24</v>
      </c>
      <c r="G786" s="4">
        <v>7</v>
      </c>
      <c r="I786" s="4" t="s">
        <v>65</v>
      </c>
      <c r="J786" s="4" t="s">
        <v>66</v>
      </c>
      <c r="K786" s="4">
        <v>1</v>
      </c>
      <c r="L786" s="94">
        <v>-7213</v>
      </c>
      <c r="M786" s="94">
        <v>0</v>
      </c>
    </row>
    <row r="787" spans="3:13" x14ac:dyDescent="0.3">
      <c r="C787" t="s">
        <v>71</v>
      </c>
      <c r="D787" t="s">
        <v>62</v>
      </c>
      <c r="E787" t="s">
        <v>63</v>
      </c>
      <c r="F787" t="s">
        <v>24</v>
      </c>
      <c r="G787" s="4">
        <v>24</v>
      </c>
      <c r="I787" s="4" t="s">
        <v>65</v>
      </c>
      <c r="J787" s="4" t="s">
        <v>66</v>
      </c>
      <c r="K787" s="4">
        <v>1</v>
      </c>
      <c r="L787" s="94">
        <v>-1989</v>
      </c>
      <c r="M787" s="94">
        <v>0</v>
      </c>
    </row>
    <row r="788" spans="3:13" x14ac:dyDescent="0.3">
      <c r="C788" t="s">
        <v>71</v>
      </c>
      <c r="D788" t="s">
        <v>67</v>
      </c>
      <c r="E788" t="s">
        <v>63</v>
      </c>
      <c r="F788" t="s">
        <v>26</v>
      </c>
      <c r="G788" s="4">
        <v>11</v>
      </c>
      <c r="H788" s="4" t="s">
        <v>77</v>
      </c>
      <c r="I788" s="4" t="s">
        <v>69</v>
      </c>
      <c r="J788" s="4" t="s">
        <v>66</v>
      </c>
      <c r="K788" s="4">
        <v>0</v>
      </c>
      <c r="L788" s="94">
        <v>-29981</v>
      </c>
      <c r="M788" s="94">
        <v>0</v>
      </c>
    </row>
    <row r="789" spans="3:13" x14ac:dyDescent="0.3">
      <c r="C789" t="s">
        <v>70</v>
      </c>
      <c r="D789" t="s">
        <v>62</v>
      </c>
      <c r="E789" t="s">
        <v>68</v>
      </c>
      <c r="F789" t="s">
        <v>25</v>
      </c>
      <c r="G789" s="4">
        <v>11</v>
      </c>
      <c r="I789" s="4" t="s">
        <v>69</v>
      </c>
      <c r="J789" s="4" t="s">
        <v>66</v>
      </c>
      <c r="K789" s="4">
        <v>0</v>
      </c>
      <c r="L789" s="94">
        <v>748608</v>
      </c>
      <c r="M789" s="94">
        <v>8234688</v>
      </c>
    </row>
    <row r="790" spans="3:13" x14ac:dyDescent="0.3">
      <c r="C790" t="s">
        <v>61</v>
      </c>
      <c r="D790" t="s">
        <v>67</v>
      </c>
      <c r="E790" t="s">
        <v>63</v>
      </c>
      <c r="F790" t="s">
        <v>72</v>
      </c>
      <c r="G790" s="4">
        <v>6</v>
      </c>
      <c r="H790" s="4" t="s">
        <v>75</v>
      </c>
      <c r="I790" s="4" t="s">
        <v>69</v>
      </c>
      <c r="J790" s="4" t="s">
        <v>66</v>
      </c>
      <c r="K790" s="4">
        <v>0</v>
      </c>
      <c r="L790" s="94">
        <v>-732</v>
      </c>
      <c r="M790" s="94">
        <v>0</v>
      </c>
    </row>
    <row r="791" spans="3:13" x14ac:dyDescent="0.3">
      <c r="C791" t="s">
        <v>70</v>
      </c>
      <c r="D791" t="s">
        <v>67</v>
      </c>
      <c r="E791" t="s">
        <v>63</v>
      </c>
      <c r="F791" t="s">
        <v>26</v>
      </c>
      <c r="G791" s="4">
        <v>1</v>
      </c>
      <c r="H791" s="4" t="s">
        <v>17</v>
      </c>
      <c r="I791" s="4" t="s">
        <v>65</v>
      </c>
      <c r="J791" s="4" t="s">
        <v>73</v>
      </c>
      <c r="K791" s="4">
        <v>1</v>
      </c>
      <c r="L791" s="94">
        <v>-6795</v>
      </c>
      <c r="M791" s="94">
        <v>0</v>
      </c>
    </row>
    <row r="792" spans="3:13" x14ac:dyDescent="0.3">
      <c r="C792" t="s">
        <v>61</v>
      </c>
      <c r="D792" t="s">
        <v>67</v>
      </c>
      <c r="E792" t="s">
        <v>68</v>
      </c>
      <c r="F792" t="s">
        <v>25</v>
      </c>
      <c r="G792" s="4">
        <v>2</v>
      </c>
      <c r="H792" s="4" t="s">
        <v>74</v>
      </c>
      <c r="I792" s="4" t="s">
        <v>69</v>
      </c>
      <c r="J792" s="4" t="s">
        <v>66</v>
      </c>
      <c r="K792" s="4">
        <v>0</v>
      </c>
      <c r="L792" s="94">
        <v>6606868</v>
      </c>
      <c r="M792" s="94">
        <v>13213736</v>
      </c>
    </row>
    <row r="793" spans="3:13" x14ac:dyDescent="0.3">
      <c r="C793" t="s">
        <v>71</v>
      </c>
      <c r="D793" t="s">
        <v>62</v>
      </c>
      <c r="E793" t="s">
        <v>63</v>
      </c>
      <c r="F793" t="s">
        <v>24</v>
      </c>
      <c r="G793" s="4">
        <v>34</v>
      </c>
      <c r="I793" s="4" t="s">
        <v>69</v>
      </c>
      <c r="J793" s="4" t="s">
        <v>66</v>
      </c>
      <c r="K793" s="4">
        <v>0</v>
      </c>
      <c r="L793" s="94">
        <v>-1241594</v>
      </c>
      <c r="M793" s="94">
        <v>0</v>
      </c>
    </row>
    <row r="794" spans="3:13" x14ac:dyDescent="0.3">
      <c r="C794" t="s">
        <v>70</v>
      </c>
      <c r="D794" t="s">
        <v>67</v>
      </c>
      <c r="E794" t="s">
        <v>68</v>
      </c>
      <c r="F794" t="s">
        <v>26</v>
      </c>
      <c r="G794" s="4">
        <v>0</v>
      </c>
      <c r="H794" s="4" t="s">
        <v>14</v>
      </c>
      <c r="I794" s="4" t="s">
        <v>69</v>
      </c>
      <c r="J794" s="4" t="s">
        <v>66</v>
      </c>
      <c r="K794" s="4">
        <v>0</v>
      </c>
      <c r="L794" s="94">
        <v>9769655</v>
      </c>
      <c r="M794" s="94">
        <v>0</v>
      </c>
    </row>
    <row r="795" spans="3:13" x14ac:dyDescent="0.3">
      <c r="C795" t="s">
        <v>70</v>
      </c>
      <c r="D795" t="s">
        <v>67</v>
      </c>
      <c r="E795" t="s">
        <v>68</v>
      </c>
      <c r="F795" t="s">
        <v>72</v>
      </c>
      <c r="G795" s="4">
        <v>1</v>
      </c>
      <c r="H795" s="4" t="s">
        <v>82</v>
      </c>
      <c r="I795" s="4" t="s">
        <v>69</v>
      </c>
      <c r="J795" s="4" t="s">
        <v>66</v>
      </c>
      <c r="K795" s="4">
        <v>0</v>
      </c>
      <c r="L795" s="94">
        <v>1089655</v>
      </c>
      <c r="M795" s="94">
        <v>1089655</v>
      </c>
    </row>
    <row r="796" spans="3:13" x14ac:dyDescent="0.3">
      <c r="C796" t="s">
        <v>70</v>
      </c>
      <c r="D796" t="s">
        <v>62</v>
      </c>
      <c r="E796" t="s">
        <v>63</v>
      </c>
      <c r="F796" t="s">
        <v>24</v>
      </c>
      <c r="G796" s="4">
        <v>21</v>
      </c>
      <c r="I796" s="4" t="s">
        <v>69</v>
      </c>
      <c r="J796" s="4" t="s">
        <v>66</v>
      </c>
      <c r="K796" s="4">
        <v>1</v>
      </c>
      <c r="L796" s="94">
        <v>-11211</v>
      </c>
      <c r="M796" s="94">
        <v>0</v>
      </c>
    </row>
    <row r="797" spans="3:13" x14ac:dyDescent="0.3">
      <c r="C797" t="s">
        <v>61</v>
      </c>
      <c r="D797" t="s">
        <v>67</v>
      </c>
      <c r="E797" t="s">
        <v>68</v>
      </c>
      <c r="F797" t="s">
        <v>26</v>
      </c>
      <c r="G797" s="4">
        <v>-1</v>
      </c>
      <c r="H797" s="4" t="s">
        <v>18</v>
      </c>
      <c r="I797" s="4" t="s">
        <v>69</v>
      </c>
      <c r="J797" s="4" t="s">
        <v>73</v>
      </c>
      <c r="K797" s="4">
        <v>1</v>
      </c>
      <c r="L797" s="94">
        <v>11606944</v>
      </c>
      <c r="M797" s="94">
        <v>0</v>
      </c>
    </row>
    <row r="798" spans="3:13" x14ac:dyDescent="0.3">
      <c r="C798" t="s">
        <v>61</v>
      </c>
      <c r="D798" t="s">
        <v>67</v>
      </c>
      <c r="E798" t="s">
        <v>63</v>
      </c>
      <c r="F798" t="s">
        <v>25</v>
      </c>
      <c r="G798" s="4">
        <v>16</v>
      </c>
      <c r="H798" s="4" t="s">
        <v>80</v>
      </c>
      <c r="I798" s="4" t="s">
        <v>69</v>
      </c>
      <c r="J798" s="4" t="s">
        <v>66</v>
      </c>
      <c r="K798" s="4">
        <v>0</v>
      </c>
      <c r="L798" s="94">
        <v>-2911</v>
      </c>
      <c r="M798" s="94">
        <v>0</v>
      </c>
    </row>
    <row r="799" spans="3:13" x14ac:dyDescent="0.3">
      <c r="C799" t="s">
        <v>71</v>
      </c>
      <c r="D799" t="s">
        <v>67</v>
      </c>
      <c r="E799" t="s">
        <v>63</v>
      </c>
      <c r="F799" t="s">
        <v>26</v>
      </c>
      <c r="G799" s="4">
        <v>9</v>
      </c>
      <c r="H799" s="4" t="s">
        <v>14</v>
      </c>
      <c r="I799" s="4" t="s">
        <v>69</v>
      </c>
      <c r="J799" s="4" t="s">
        <v>73</v>
      </c>
      <c r="K799" s="4">
        <v>1</v>
      </c>
      <c r="L799" s="94">
        <v>-671332</v>
      </c>
      <c r="M799" s="94">
        <v>0</v>
      </c>
    </row>
    <row r="800" spans="3:13" x14ac:dyDescent="0.3">
      <c r="C800" t="s">
        <v>61</v>
      </c>
      <c r="D800" t="s">
        <v>62</v>
      </c>
      <c r="E800" t="s">
        <v>63</v>
      </c>
      <c r="F800" t="s">
        <v>24</v>
      </c>
      <c r="G800" s="4">
        <v>29</v>
      </c>
      <c r="I800" s="4" t="s">
        <v>69</v>
      </c>
      <c r="J800" s="4" t="s">
        <v>66</v>
      </c>
      <c r="K800" s="4">
        <v>1</v>
      </c>
      <c r="L800" s="94">
        <v>-1056</v>
      </c>
      <c r="M800" s="94">
        <v>0</v>
      </c>
    </row>
    <row r="801" spans="3:13" x14ac:dyDescent="0.3">
      <c r="C801" t="s">
        <v>70</v>
      </c>
      <c r="D801" t="s">
        <v>67</v>
      </c>
      <c r="E801" t="s">
        <v>63</v>
      </c>
      <c r="F801" t="s">
        <v>26</v>
      </c>
      <c r="G801" s="4">
        <v>2</v>
      </c>
      <c r="H801" s="4" t="s">
        <v>12</v>
      </c>
      <c r="I801" s="4" t="s">
        <v>69</v>
      </c>
      <c r="J801" s="4" t="s">
        <v>66</v>
      </c>
      <c r="K801" s="4">
        <v>0</v>
      </c>
      <c r="L801" s="94">
        <v>-71018</v>
      </c>
      <c r="M801" s="94">
        <v>0</v>
      </c>
    </row>
    <row r="802" spans="3:13" x14ac:dyDescent="0.3">
      <c r="C802" t="s">
        <v>70</v>
      </c>
      <c r="D802" t="s">
        <v>62</v>
      </c>
      <c r="E802" t="s">
        <v>63</v>
      </c>
      <c r="F802" t="s">
        <v>25</v>
      </c>
      <c r="G802" s="4">
        <v>8</v>
      </c>
      <c r="I802" s="4" t="s">
        <v>69</v>
      </c>
      <c r="J802" s="4" t="s">
        <v>66</v>
      </c>
      <c r="K802" s="4">
        <v>1</v>
      </c>
      <c r="L802" s="94">
        <v>-2089</v>
      </c>
      <c r="M802" s="94">
        <v>0</v>
      </c>
    </row>
    <row r="803" spans="3:13" x14ac:dyDescent="0.3">
      <c r="C803" t="s">
        <v>70</v>
      </c>
      <c r="D803" t="s">
        <v>67</v>
      </c>
      <c r="E803" t="s">
        <v>68</v>
      </c>
      <c r="F803" t="s">
        <v>72</v>
      </c>
      <c r="G803" s="4">
        <v>-4</v>
      </c>
      <c r="H803" s="4" t="s">
        <v>81</v>
      </c>
      <c r="I803" s="4" t="s">
        <v>69</v>
      </c>
      <c r="J803" s="4" t="s">
        <v>66</v>
      </c>
      <c r="K803" s="4">
        <v>0</v>
      </c>
      <c r="L803" s="94">
        <v>91</v>
      </c>
      <c r="M803" s="94">
        <v>0</v>
      </c>
    </row>
    <row r="804" spans="3:13" x14ac:dyDescent="0.3">
      <c r="C804" t="s">
        <v>70</v>
      </c>
      <c r="D804" t="s">
        <v>67</v>
      </c>
      <c r="E804" t="s">
        <v>68</v>
      </c>
      <c r="F804" t="s">
        <v>72</v>
      </c>
      <c r="G804" s="4">
        <v>2</v>
      </c>
      <c r="H804" s="4" t="s">
        <v>13</v>
      </c>
      <c r="I804" s="4" t="s">
        <v>69</v>
      </c>
      <c r="J804" s="4" t="s">
        <v>73</v>
      </c>
      <c r="K804" s="4">
        <v>1</v>
      </c>
      <c r="L804" s="94">
        <v>67838</v>
      </c>
      <c r="M804" s="94">
        <v>135676</v>
      </c>
    </row>
    <row r="805" spans="3:13" x14ac:dyDescent="0.3">
      <c r="C805" t="s">
        <v>70</v>
      </c>
      <c r="D805" t="s">
        <v>62</v>
      </c>
      <c r="E805" t="s">
        <v>68</v>
      </c>
      <c r="F805" t="s">
        <v>24</v>
      </c>
      <c r="G805" s="4">
        <v>4</v>
      </c>
      <c r="I805" s="4" t="s">
        <v>69</v>
      </c>
      <c r="J805" s="4" t="s">
        <v>66</v>
      </c>
      <c r="K805" s="4">
        <v>1</v>
      </c>
      <c r="L805" s="94">
        <v>659515</v>
      </c>
      <c r="M805" s="94">
        <v>2638060</v>
      </c>
    </row>
    <row r="806" spans="3:13" x14ac:dyDescent="0.3">
      <c r="C806" t="s">
        <v>71</v>
      </c>
      <c r="D806" t="s">
        <v>67</v>
      </c>
      <c r="E806" t="s">
        <v>68</v>
      </c>
      <c r="F806" t="s">
        <v>26</v>
      </c>
      <c r="G806" s="4">
        <v>-4</v>
      </c>
      <c r="H806" s="4" t="s">
        <v>80</v>
      </c>
      <c r="I806" s="4" t="s">
        <v>69</v>
      </c>
      <c r="J806" s="4" t="s">
        <v>66</v>
      </c>
      <c r="K806" s="4">
        <v>0</v>
      </c>
      <c r="L806" s="94">
        <v>408491</v>
      </c>
      <c r="M806" s="94">
        <v>0</v>
      </c>
    </row>
    <row r="807" spans="3:13" x14ac:dyDescent="0.3">
      <c r="C807" t="s">
        <v>71</v>
      </c>
      <c r="D807" t="s">
        <v>67</v>
      </c>
      <c r="E807" t="s">
        <v>63</v>
      </c>
      <c r="F807" t="s">
        <v>26</v>
      </c>
      <c r="G807" s="4">
        <v>-4</v>
      </c>
      <c r="H807" s="4" t="s">
        <v>13</v>
      </c>
      <c r="I807" s="4" t="s">
        <v>69</v>
      </c>
      <c r="J807" s="4" t="s">
        <v>73</v>
      </c>
      <c r="K807" s="4">
        <v>1</v>
      </c>
      <c r="L807" s="94">
        <v>-12303</v>
      </c>
      <c r="M807" s="94">
        <v>0</v>
      </c>
    </row>
    <row r="808" spans="3:13" x14ac:dyDescent="0.3">
      <c r="C808" t="s">
        <v>71</v>
      </c>
      <c r="D808" t="s">
        <v>62</v>
      </c>
      <c r="E808" t="s">
        <v>68</v>
      </c>
      <c r="F808" t="s">
        <v>24</v>
      </c>
      <c r="G808" s="4">
        <v>18</v>
      </c>
      <c r="I808" s="4" t="s">
        <v>65</v>
      </c>
      <c r="J808" s="4" t="s">
        <v>66</v>
      </c>
      <c r="K808" s="4">
        <v>1</v>
      </c>
      <c r="L808" s="94">
        <v>484134</v>
      </c>
      <c r="M808" s="94">
        <v>8714412</v>
      </c>
    </row>
    <row r="809" spans="3:13" x14ac:dyDescent="0.3">
      <c r="C809" t="s">
        <v>70</v>
      </c>
      <c r="D809" t="s">
        <v>67</v>
      </c>
      <c r="E809" t="s">
        <v>68</v>
      </c>
      <c r="F809" t="s">
        <v>26</v>
      </c>
      <c r="G809" s="4">
        <v>5</v>
      </c>
      <c r="H809" s="4" t="s">
        <v>82</v>
      </c>
      <c r="I809" s="4" t="s">
        <v>69</v>
      </c>
      <c r="J809" s="4" t="s">
        <v>66</v>
      </c>
      <c r="K809" s="4">
        <v>0</v>
      </c>
      <c r="L809" s="94">
        <v>1285985</v>
      </c>
      <c r="M809" s="94">
        <v>6429925</v>
      </c>
    </row>
    <row r="810" spans="3:13" x14ac:dyDescent="0.3">
      <c r="C810" t="s">
        <v>61</v>
      </c>
      <c r="D810" t="s">
        <v>67</v>
      </c>
      <c r="E810" t="s">
        <v>63</v>
      </c>
      <c r="F810" t="s">
        <v>26</v>
      </c>
      <c r="G810" s="4">
        <v>5</v>
      </c>
      <c r="H810" s="4" t="s">
        <v>14</v>
      </c>
      <c r="I810" s="4" t="s">
        <v>69</v>
      </c>
      <c r="J810" s="4" t="s">
        <v>66</v>
      </c>
      <c r="K810" s="4">
        <v>0</v>
      </c>
      <c r="L810" s="94">
        <v>-24080</v>
      </c>
      <c r="M810" s="94">
        <v>0</v>
      </c>
    </row>
    <row r="811" spans="3:13" x14ac:dyDescent="0.3">
      <c r="C811" t="s">
        <v>61</v>
      </c>
      <c r="D811" t="s">
        <v>67</v>
      </c>
      <c r="E811" t="s">
        <v>68</v>
      </c>
      <c r="F811" t="s">
        <v>26</v>
      </c>
      <c r="G811" s="4">
        <v>3</v>
      </c>
      <c r="H811" s="4" t="s">
        <v>75</v>
      </c>
      <c r="I811" s="4" t="s">
        <v>65</v>
      </c>
      <c r="J811" s="4" t="s">
        <v>66</v>
      </c>
      <c r="K811" s="4">
        <v>1</v>
      </c>
      <c r="L811" s="94">
        <v>279732</v>
      </c>
      <c r="M811" s="94">
        <v>839196</v>
      </c>
    </row>
    <row r="812" spans="3:13" x14ac:dyDescent="0.3">
      <c r="C812" t="s">
        <v>71</v>
      </c>
      <c r="D812" t="s">
        <v>67</v>
      </c>
      <c r="E812" t="s">
        <v>68</v>
      </c>
      <c r="F812" t="s">
        <v>72</v>
      </c>
      <c r="G812" s="4">
        <v>2</v>
      </c>
      <c r="H812" s="4" t="s">
        <v>64</v>
      </c>
      <c r="I812" s="4" t="s">
        <v>69</v>
      </c>
      <c r="J812" s="4" t="s">
        <v>66</v>
      </c>
      <c r="K812" s="4">
        <v>0</v>
      </c>
      <c r="L812" s="94">
        <v>80101</v>
      </c>
      <c r="M812" s="94">
        <v>160202</v>
      </c>
    </row>
    <row r="813" spans="3:13" x14ac:dyDescent="0.3">
      <c r="C813" t="s">
        <v>70</v>
      </c>
      <c r="D813" t="s">
        <v>67</v>
      </c>
      <c r="E813" t="s">
        <v>68</v>
      </c>
      <c r="F813" t="s">
        <v>26</v>
      </c>
      <c r="G813" s="4">
        <v>-1</v>
      </c>
      <c r="H813" s="4" t="s">
        <v>15</v>
      </c>
      <c r="I813" s="4" t="s">
        <v>69</v>
      </c>
      <c r="J813" s="4" t="s">
        <v>66</v>
      </c>
      <c r="K813" s="4">
        <v>0</v>
      </c>
      <c r="L813" s="94">
        <v>104316</v>
      </c>
      <c r="M813" s="94">
        <v>0</v>
      </c>
    </row>
    <row r="814" spans="3:13" x14ac:dyDescent="0.3">
      <c r="C814" t="s">
        <v>70</v>
      </c>
      <c r="D814" t="s">
        <v>67</v>
      </c>
      <c r="E814" t="s">
        <v>68</v>
      </c>
      <c r="F814" t="s">
        <v>25</v>
      </c>
      <c r="G814" s="4">
        <v>1</v>
      </c>
      <c r="H814" s="4" t="s">
        <v>18</v>
      </c>
      <c r="I814" s="4" t="s">
        <v>69</v>
      </c>
      <c r="J814" s="4" t="s">
        <v>66</v>
      </c>
      <c r="K814" s="4">
        <v>0</v>
      </c>
      <c r="L814" s="94">
        <v>973981</v>
      </c>
      <c r="M814" s="94">
        <v>973981</v>
      </c>
    </row>
    <row r="815" spans="3:13" x14ac:dyDescent="0.3">
      <c r="C815" t="s">
        <v>71</v>
      </c>
      <c r="D815" t="s">
        <v>67</v>
      </c>
      <c r="E815" t="s">
        <v>63</v>
      </c>
      <c r="F815" t="s">
        <v>26</v>
      </c>
      <c r="G815" s="4">
        <v>0</v>
      </c>
      <c r="H815" s="4" t="s">
        <v>18</v>
      </c>
      <c r="I815" s="4" t="s">
        <v>65</v>
      </c>
      <c r="J815" s="4" t="s">
        <v>66</v>
      </c>
      <c r="K815" s="4">
        <v>1</v>
      </c>
      <c r="L815" s="94">
        <v>-24850</v>
      </c>
      <c r="M815" s="94">
        <v>0</v>
      </c>
    </row>
    <row r="816" spans="3:13" x14ac:dyDescent="0.3">
      <c r="C816" t="s">
        <v>61</v>
      </c>
      <c r="D816" t="s">
        <v>67</v>
      </c>
      <c r="E816" t="s">
        <v>68</v>
      </c>
      <c r="F816" t="s">
        <v>26</v>
      </c>
      <c r="G816" s="4">
        <v>0</v>
      </c>
      <c r="H816" s="4" t="s">
        <v>18</v>
      </c>
      <c r="I816" s="4" t="s">
        <v>65</v>
      </c>
      <c r="J816" s="4" t="s">
        <v>66</v>
      </c>
      <c r="K816" s="4">
        <v>1</v>
      </c>
      <c r="L816" s="94">
        <v>373205</v>
      </c>
      <c r="M816" s="94">
        <v>0</v>
      </c>
    </row>
    <row r="817" spans="3:13" x14ac:dyDescent="0.3">
      <c r="C817" t="s">
        <v>61</v>
      </c>
      <c r="D817" t="s">
        <v>67</v>
      </c>
      <c r="E817" t="s">
        <v>68</v>
      </c>
      <c r="F817" t="s">
        <v>25</v>
      </c>
      <c r="G817" s="4">
        <v>9</v>
      </c>
      <c r="H817" s="4" t="s">
        <v>64</v>
      </c>
      <c r="I817" s="4" t="s">
        <v>69</v>
      </c>
      <c r="J817" s="4" t="s">
        <v>66</v>
      </c>
      <c r="K817" s="4">
        <v>0</v>
      </c>
      <c r="L817" s="94">
        <v>7547191</v>
      </c>
      <c r="M817" s="94">
        <v>67924719</v>
      </c>
    </row>
    <row r="818" spans="3:13" x14ac:dyDescent="0.3">
      <c r="C818" t="s">
        <v>70</v>
      </c>
      <c r="D818" t="s">
        <v>67</v>
      </c>
      <c r="E818" t="s">
        <v>63</v>
      </c>
      <c r="F818" t="s">
        <v>72</v>
      </c>
      <c r="G818" s="4">
        <v>5</v>
      </c>
      <c r="H818" s="4" t="s">
        <v>77</v>
      </c>
      <c r="I818" s="4" t="s">
        <v>69</v>
      </c>
      <c r="J818" s="4" t="s">
        <v>66</v>
      </c>
      <c r="K818" s="4">
        <v>0</v>
      </c>
      <c r="L818" s="94">
        <v>-21494</v>
      </c>
      <c r="M818" s="94">
        <v>0</v>
      </c>
    </row>
    <row r="819" spans="3:13" x14ac:dyDescent="0.3">
      <c r="C819" t="s">
        <v>61</v>
      </c>
      <c r="D819" t="s">
        <v>67</v>
      </c>
      <c r="E819" t="s">
        <v>63</v>
      </c>
      <c r="F819" t="s">
        <v>25</v>
      </c>
      <c r="G819" s="4">
        <v>2</v>
      </c>
      <c r="H819" s="4" t="s">
        <v>18</v>
      </c>
      <c r="I819" s="4" t="s">
        <v>69</v>
      </c>
      <c r="J819" s="4" t="s">
        <v>66</v>
      </c>
      <c r="K819" s="4">
        <v>0</v>
      </c>
      <c r="L819" s="94">
        <v>-4007</v>
      </c>
      <c r="M819" s="94">
        <v>0</v>
      </c>
    </row>
    <row r="820" spans="3:13" x14ac:dyDescent="0.3">
      <c r="C820" t="s">
        <v>70</v>
      </c>
      <c r="D820" t="s">
        <v>67</v>
      </c>
      <c r="E820" t="s">
        <v>68</v>
      </c>
      <c r="F820" t="s">
        <v>25</v>
      </c>
      <c r="G820" s="4">
        <v>8</v>
      </c>
      <c r="H820" s="4" t="s">
        <v>14</v>
      </c>
      <c r="I820" s="4" t="s">
        <v>69</v>
      </c>
      <c r="J820" s="4" t="s">
        <v>66</v>
      </c>
      <c r="K820" s="4">
        <v>0</v>
      </c>
      <c r="L820" s="94">
        <v>936744</v>
      </c>
      <c r="M820" s="94">
        <v>7493952</v>
      </c>
    </row>
    <row r="821" spans="3:13" x14ac:dyDescent="0.3">
      <c r="C821" t="s">
        <v>70</v>
      </c>
      <c r="D821" t="s">
        <v>67</v>
      </c>
      <c r="E821" t="s">
        <v>63</v>
      </c>
      <c r="F821" t="s">
        <v>25</v>
      </c>
      <c r="G821" s="4">
        <v>2</v>
      </c>
      <c r="H821" s="4" t="s">
        <v>17</v>
      </c>
      <c r="I821" s="4" t="s">
        <v>69</v>
      </c>
      <c r="J821" s="4" t="s">
        <v>66</v>
      </c>
      <c r="K821" s="4">
        <v>0</v>
      </c>
      <c r="L821" s="94">
        <v>-13007</v>
      </c>
      <c r="M821" s="94">
        <v>0</v>
      </c>
    </row>
    <row r="822" spans="3:13" x14ac:dyDescent="0.3">
      <c r="C822" t="s">
        <v>61</v>
      </c>
      <c r="D822" t="s">
        <v>67</v>
      </c>
      <c r="E822" t="s">
        <v>68</v>
      </c>
      <c r="F822" t="s">
        <v>25</v>
      </c>
      <c r="G822" s="4">
        <v>8</v>
      </c>
      <c r="H822" s="4" t="s">
        <v>18</v>
      </c>
      <c r="I822" s="4" t="s">
        <v>69</v>
      </c>
      <c r="J822" s="4" t="s">
        <v>66</v>
      </c>
      <c r="K822" s="4">
        <v>1</v>
      </c>
      <c r="L822" s="94">
        <v>346914</v>
      </c>
      <c r="M822" s="94">
        <v>2775312</v>
      </c>
    </row>
    <row r="823" spans="3:13" x14ac:dyDescent="0.3">
      <c r="C823" t="s">
        <v>70</v>
      </c>
      <c r="D823" t="s">
        <v>67</v>
      </c>
      <c r="E823" t="s">
        <v>68</v>
      </c>
      <c r="F823" t="s">
        <v>25</v>
      </c>
      <c r="G823" s="4">
        <v>-1</v>
      </c>
      <c r="H823" s="4" t="s">
        <v>17</v>
      </c>
      <c r="I823" s="4" t="s">
        <v>69</v>
      </c>
      <c r="J823" s="4" t="s">
        <v>66</v>
      </c>
      <c r="K823" s="4">
        <v>0</v>
      </c>
      <c r="L823" s="94">
        <v>300332</v>
      </c>
      <c r="M823" s="94">
        <v>0</v>
      </c>
    </row>
    <row r="824" spans="3:13" x14ac:dyDescent="0.3">
      <c r="C824" t="s">
        <v>61</v>
      </c>
      <c r="D824" t="s">
        <v>62</v>
      </c>
      <c r="E824" t="s">
        <v>63</v>
      </c>
      <c r="F824" t="s">
        <v>24</v>
      </c>
      <c r="G824" s="4">
        <v>39</v>
      </c>
      <c r="I824" s="4" t="s">
        <v>69</v>
      </c>
      <c r="J824" s="4" t="s">
        <v>66</v>
      </c>
      <c r="K824" s="4">
        <v>1</v>
      </c>
      <c r="L824" s="94">
        <v>-208</v>
      </c>
      <c r="M824" s="94">
        <v>0</v>
      </c>
    </row>
    <row r="825" spans="3:13" x14ac:dyDescent="0.3">
      <c r="C825" t="s">
        <v>61</v>
      </c>
      <c r="D825" t="s">
        <v>67</v>
      </c>
      <c r="E825" t="s">
        <v>68</v>
      </c>
      <c r="F825" t="s">
        <v>26</v>
      </c>
      <c r="G825" s="4">
        <v>4</v>
      </c>
      <c r="H825" s="4" t="s">
        <v>17</v>
      </c>
      <c r="I825" s="4" t="s">
        <v>69</v>
      </c>
      <c r="J825" s="4" t="s">
        <v>73</v>
      </c>
      <c r="K825" s="4">
        <v>1</v>
      </c>
      <c r="L825" s="94">
        <v>1336910</v>
      </c>
      <c r="M825" s="94">
        <v>5347640</v>
      </c>
    </row>
    <row r="826" spans="3:13" x14ac:dyDescent="0.3">
      <c r="C826" t="s">
        <v>71</v>
      </c>
      <c r="D826" t="s">
        <v>67</v>
      </c>
      <c r="E826" t="s">
        <v>68</v>
      </c>
      <c r="F826" t="s">
        <v>25</v>
      </c>
      <c r="G826" s="4">
        <v>0</v>
      </c>
      <c r="H826" s="4" t="s">
        <v>75</v>
      </c>
      <c r="I826" s="4" t="s">
        <v>69</v>
      </c>
      <c r="J826" s="4" t="s">
        <v>66</v>
      </c>
      <c r="K826" s="4">
        <v>0</v>
      </c>
      <c r="L826" s="94">
        <v>494193</v>
      </c>
      <c r="M826" s="94">
        <v>0</v>
      </c>
    </row>
    <row r="827" spans="3:13" x14ac:dyDescent="0.3">
      <c r="C827" t="s">
        <v>70</v>
      </c>
      <c r="D827" t="s">
        <v>67</v>
      </c>
      <c r="E827" t="s">
        <v>68</v>
      </c>
      <c r="F827" t="s">
        <v>26</v>
      </c>
      <c r="G827" s="4">
        <v>2</v>
      </c>
      <c r="H827" s="4" t="s">
        <v>78</v>
      </c>
      <c r="I827" s="4" t="s">
        <v>69</v>
      </c>
      <c r="J827" s="4" t="s">
        <v>66</v>
      </c>
      <c r="K827" s="4">
        <v>0</v>
      </c>
      <c r="L827" s="94">
        <v>1203443</v>
      </c>
      <c r="M827" s="94">
        <v>2406886</v>
      </c>
    </row>
    <row r="828" spans="3:13" x14ac:dyDescent="0.3">
      <c r="C828" t="s">
        <v>61</v>
      </c>
      <c r="D828" t="s">
        <v>67</v>
      </c>
      <c r="E828" t="s">
        <v>63</v>
      </c>
      <c r="F828" t="s">
        <v>26</v>
      </c>
      <c r="G828" s="4">
        <v>0</v>
      </c>
      <c r="H828" s="4" t="s">
        <v>13</v>
      </c>
      <c r="I828" s="4" t="s">
        <v>69</v>
      </c>
      <c r="J828" s="4" t="s">
        <v>73</v>
      </c>
      <c r="K828" s="4">
        <v>1</v>
      </c>
      <c r="L828" s="94">
        <v>-10341</v>
      </c>
      <c r="M828" s="94">
        <v>0</v>
      </c>
    </row>
    <row r="829" spans="3:13" x14ac:dyDescent="0.3">
      <c r="C829" t="s">
        <v>70</v>
      </c>
      <c r="D829" t="s">
        <v>67</v>
      </c>
      <c r="E829" t="s">
        <v>63</v>
      </c>
      <c r="F829" t="s">
        <v>72</v>
      </c>
      <c r="G829" s="4">
        <v>-4</v>
      </c>
      <c r="H829" s="4" t="s">
        <v>83</v>
      </c>
      <c r="I829" s="4" t="s">
        <v>69</v>
      </c>
      <c r="J829" s="4" t="s">
        <v>66</v>
      </c>
      <c r="K829" s="4">
        <v>0</v>
      </c>
      <c r="L829" s="94">
        <v>-47</v>
      </c>
      <c r="M829" s="94">
        <v>0</v>
      </c>
    </row>
    <row r="830" spans="3:13" x14ac:dyDescent="0.3">
      <c r="C830" t="s">
        <v>70</v>
      </c>
      <c r="D830" t="s">
        <v>67</v>
      </c>
      <c r="E830" t="s">
        <v>68</v>
      </c>
      <c r="F830" t="s">
        <v>26</v>
      </c>
      <c r="G830" s="4">
        <v>0</v>
      </c>
      <c r="H830" s="4" t="s">
        <v>74</v>
      </c>
      <c r="I830" s="4" t="s">
        <v>69</v>
      </c>
      <c r="J830" s="4" t="s">
        <v>66</v>
      </c>
      <c r="K830" s="4">
        <v>0</v>
      </c>
      <c r="L830" s="94">
        <v>1433377</v>
      </c>
      <c r="M830" s="94">
        <v>0</v>
      </c>
    </row>
    <row r="831" spans="3:13" x14ac:dyDescent="0.3">
      <c r="C831" t="s">
        <v>61</v>
      </c>
      <c r="D831" t="s">
        <v>67</v>
      </c>
      <c r="E831" t="s">
        <v>68</v>
      </c>
      <c r="F831" t="s">
        <v>26</v>
      </c>
      <c r="G831" s="4">
        <v>4</v>
      </c>
      <c r="H831" s="4" t="s">
        <v>12</v>
      </c>
      <c r="I831" s="4" t="s">
        <v>65</v>
      </c>
      <c r="J831" s="4" t="s">
        <v>66</v>
      </c>
      <c r="K831" s="4">
        <v>1</v>
      </c>
      <c r="L831" s="94">
        <v>102265</v>
      </c>
      <c r="M831" s="94">
        <v>409060</v>
      </c>
    </row>
    <row r="832" spans="3:13" x14ac:dyDescent="0.3">
      <c r="C832" t="s">
        <v>61</v>
      </c>
      <c r="D832" t="s">
        <v>67</v>
      </c>
      <c r="E832" t="s">
        <v>63</v>
      </c>
      <c r="F832" t="s">
        <v>26</v>
      </c>
      <c r="G832" s="4">
        <v>6</v>
      </c>
      <c r="H832" s="4" t="s">
        <v>16</v>
      </c>
      <c r="I832" s="4" t="s">
        <v>69</v>
      </c>
      <c r="J832" s="4" t="s">
        <v>66</v>
      </c>
      <c r="K832" s="4">
        <v>0</v>
      </c>
      <c r="L832" s="94">
        <v>-5924</v>
      </c>
      <c r="M832" s="94">
        <v>0</v>
      </c>
    </row>
    <row r="833" spans="3:13" x14ac:dyDescent="0.3">
      <c r="C833" t="s">
        <v>61</v>
      </c>
      <c r="D833" t="s">
        <v>67</v>
      </c>
      <c r="E833" t="s">
        <v>63</v>
      </c>
      <c r="F833" t="s">
        <v>26</v>
      </c>
      <c r="G833" s="4">
        <v>-1</v>
      </c>
      <c r="H833" s="4" t="s">
        <v>14</v>
      </c>
      <c r="I833" s="4" t="s">
        <v>69</v>
      </c>
      <c r="J833" s="4" t="s">
        <v>73</v>
      </c>
      <c r="K833" s="4">
        <v>1</v>
      </c>
      <c r="L833" s="94">
        <v>-413964</v>
      </c>
      <c r="M833" s="94">
        <v>0</v>
      </c>
    </row>
    <row r="834" spans="3:13" x14ac:dyDescent="0.3">
      <c r="C834" t="s">
        <v>61</v>
      </c>
      <c r="D834" t="s">
        <v>67</v>
      </c>
      <c r="E834" t="s">
        <v>68</v>
      </c>
      <c r="F834" t="s">
        <v>25</v>
      </c>
      <c r="G834" s="4">
        <v>11</v>
      </c>
      <c r="H834" s="4" t="s">
        <v>78</v>
      </c>
      <c r="I834" s="4" t="s">
        <v>69</v>
      </c>
      <c r="J834" s="4" t="s">
        <v>66</v>
      </c>
      <c r="K834" s="4">
        <v>0</v>
      </c>
      <c r="L834" s="94">
        <v>1449107</v>
      </c>
      <c r="M834" s="94">
        <v>15940177</v>
      </c>
    </row>
    <row r="835" spans="3:13" x14ac:dyDescent="0.3">
      <c r="C835" t="s">
        <v>61</v>
      </c>
      <c r="D835" t="s">
        <v>67</v>
      </c>
      <c r="E835" t="s">
        <v>63</v>
      </c>
      <c r="F835" t="s">
        <v>72</v>
      </c>
      <c r="G835" s="4">
        <v>5</v>
      </c>
      <c r="H835" s="4" t="s">
        <v>77</v>
      </c>
      <c r="I835" s="4" t="s">
        <v>69</v>
      </c>
      <c r="J835" s="4" t="s">
        <v>66</v>
      </c>
      <c r="K835" s="4">
        <v>0</v>
      </c>
      <c r="L835" s="94">
        <v>-1822</v>
      </c>
      <c r="M835" s="94">
        <v>0</v>
      </c>
    </row>
    <row r="836" spans="3:13" x14ac:dyDescent="0.3">
      <c r="C836" t="s">
        <v>70</v>
      </c>
      <c r="D836" t="s">
        <v>62</v>
      </c>
      <c r="E836" t="s">
        <v>68</v>
      </c>
      <c r="F836" t="s">
        <v>24</v>
      </c>
      <c r="G836" s="4">
        <v>7</v>
      </c>
      <c r="I836" s="4" t="s">
        <v>65</v>
      </c>
      <c r="J836" s="4" t="s">
        <v>66</v>
      </c>
      <c r="K836" s="4">
        <v>1</v>
      </c>
      <c r="L836" s="94">
        <v>349518</v>
      </c>
      <c r="M836" s="94">
        <v>2446626</v>
      </c>
    </row>
    <row r="837" spans="3:13" x14ac:dyDescent="0.3">
      <c r="C837" t="s">
        <v>70</v>
      </c>
      <c r="D837" t="s">
        <v>67</v>
      </c>
      <c r="E837" t="s">
        <v>68</v>
      </c>
      <c r="F837" t="s">
        <v>25</v>
      </c>
      <c r="G837" s="4">
        <v>5</v>
      </c>
      <c r="H837" s="4" t="s">
        <v>14</v>
      </c>
      <c r="I837" s="4" t="s">
        <v>69</v>
      </c>
      <c r="J837" s="4" t="s">
        <v>66</v>
      </c>
      <c r="K837" s="4">
        <v>1</v>
      </c>
      <c r="L837" s="94">
        <v>843209</v>
      </c>
      <c r="M837" s="94">
        <v>4216045</v>
      </c>
    </row>
    <row r="838" spans="3:13" x14ac:dyDescent="0.3">
      <c r="C838" t="s">
        <v>71</v>
      </c>
      <c r="D838" t="s">
        <v>67</v>
      </c>
      <c r="E838" t="s">
        <v>63</v>
      </c>
      <c r="F838" t="s">
        <v>25</v>
      </c>
      <c r="G838" s="4">
        <v>2</v>
      </c>
      <c r="H838" s="4" t="s">
        <v>14</v>
      </c>
      <c r="I838" s="4" t="s">
        <v>69</v>
      </c>
      <c r="J838" s="4" t="s">
        <v>66</v>
      </c>
      <c r="K838" s="4">
        <v>0</v>
      </c>
      <c r="L838" s="94">
        <v>-2808991</v>
      </c>
      <c r="M838" s="94">
        <v>0</v>
      </c>
    </row>
    <row r="839" spans="3:13" x14ac:dyDescent="0.3">
      <c r="C839" t="s">
        <v>70</v>
      </c>
      <c r="D839" t="s">
        <v>67</v>
      </c>
      <c r="E839" t="s">
        <v>68</v>
      </c>
      <c r="F839" t="s">
        <v>26</v>
      </c>
      <c r="G839" s="4">
        <v>3</v>
      </c>
      <c r="H839" s="4" t="s">
        <v>17</v>
      </c>
      <c r="I839" s="4" t="s">
        <v>69</v>
      </c>
      <c r="J839" s="4" t="s">
        <v>66</v>
      </c>
      <c r="K839" s="4">
        <v>0</v>
      </c>
      <c r="L839" s="94">
        <v>16117692</v>
      </c>
      <c r="M839" s="94">
        <v>48353076</v>
      </c>
    </row>
    <row r="840" spans="3:13" x14ac:dyDescent="0.3">
      <c r="C840" t="s">
        <v>61</v>
      </c>
      <c r="D840" t="s">
        <v>67</v>
      </c>
      <c r="E840" t="s">
        <v>68</v>
      </c>
      <c r="F840" t="s">
        <v>25</v>
      </c>
      <c r="G840" s="4">
        <v>4</v>
      </c>
      <c r="H840" s="4" t="s">
        <v>18</v>
      </c>
      <c r="I840" s="4" t="s">
        <v>69</v>
      </c>
      <c r="J840" s="4" t="s">
        <v>66</v>
      </c>
      <c r="K840" s="4">
        <v>0</v>
      </c>
      <c r="L840" s="94">
        <v>6269154</v>
      </c>
      <c r="M840" s="94">
        <v>25076616</v>
      </c>
    </row>
    <row r="841" spans="3:13" x14ac:dyDescent="0.3">
      <c r="C841" t="s">
        <v>71</v>
      </c>
      <c r="D841" t="s">
        <v>67</v>
      </c>
      <c r="E841" t="s">
        <v>63</v>
      </c>
      <c r="F841" t="s">
        <v>26</v>
      </c>
      <c r="G841" s="4">
        <v>2</v>
      </c>
      <c r="H841" s="4" t="s">
        <v>18</v>
      </c>
      <c r="I841" s="4" t="s">
        <v>69</v>
      </c>
      <c r="J841" s="4" t="s">
        <v>73</v>
      </c>
      <c r="K841" s="4">
        <v>1</v>
      </c>
      <c r="L841" s="94">
        <v>-116221</v>
      </c>
      <c r="M841" s="94">
        <v>0</v>
      </c>
    </row>
    <row r="842" spans="3:13" x14ac:dyDescent="0.3">
      <c r="C842" t="s">
        <v>70</v>
      </c>
      <c r="D842" t="s">
        <v>67</v>
      </c>
      <c r="E842" t="s">
        <v>63</v>
      </c>
      <c r="F842" t="s">
        <v>26</v>
      </c>
      <c r="G842" s="4">
        <v>1</v>
      </c>
      <c r="H842" s="4" t="s">
        <v>14</v>
      </c>
      <c r="I842" s="4" t="s">
        <v>69</v>
      </c>
      <c r="J842" s="4" t="s">
        <v>66</v>
      </c>
      <c r="K842" s="4">
        <v>0</v>
      </c>
      <c r="L842" s="94">
        <v>-1052664</v>
      </c>
      <c r="M842" s="94">
        <v>0</v>
      </c>
    </row>
    <row r="843" spans="3:13" x14ac:dyDescent="0.3">
      <c r="C843" t="s">
        <v>70</v>
      </c>
      <c r="D843" t="s">
        <v>62</v>
      </c>
      <c r="E843" t="s">
        <v>68</v>
      </c>
      <c r="F843" t="s">
        <v>25</v>
      </c>
      <c r="G843" s="4">
        <v>9</v>
      </c>
      <c r="I843" s="4" t="s">
        <v>69</v>
      </c>
      <c r="J843" s="4" t="s">
        <v>66</v>
      </c>
      <c r="K843" s="4">
        <v>1</v>
      </c>
      <c r="L843" s="94">
        <v>167099</v>
      </c>
      <c r="M843" s="94">
        <v>1503891</v>
      </c>
    </row>
    <row r="844" spans="3:13" x14ac:dyDescent="0.3">
      <c r="C844" t="s">
        <v>61</v>
      </c>
      <c r="D844" t="s">
        <v>62</v>
      </c>
      <c r="E844" t="s">
        <v>68</v>
      </c>
      <c r="F844" t="s">
        <v>25</v>
      </c>
      <c r="G844" s="4">
        <v>1</v>
      </c>
      <c r="I844" s="4" t="s">
        <v>69</v>
      </c>
      <c r="J844" s="4" t="s">
        <v>66</v>
      </c>
      <c r="K844" s="4">
        <v>0</v>
      </c>
      <c r="L844" s="94">
        <v>2712183</v>
      </c>
      <c r="M844" s="94">
        <v>2712183</v>
      </c>
    </row>
    <row r="845" spans="3:13" x14ac:dyDescent="0.3">
      <c r="C845" t="s">
        <v>61</v>
      </c>
      <c r="D845" t="s">
        <v>62</v>
      </c>
      <c r="E845" t="s">
        <v>63</v>
      </c>
      <c r="F845" t="s">
        <v>24</v>
      </c>
      <c r="G845" s="4">
        <v>35</v>
      </c>
      <c r="I845" s="4" t="s">
        <v>69</v>
      </c>
      <c r="J845" s="4" t="s">
        <v>66</v>
      </c>
      <c r="K845" s="4">
        <v>1</v>
      </c>
      <c r="L845" s="94">
        <v>-825</v>
      </c>
      <c r="M845" s="94">
        <v>0</v>
      </c>
    </row>
    <row r="846" spans="3:13" x14ac:dyDescent="0.3">
      <c r="C846" t="s">
        <v>61</v>
      </c>
      <c r="D846" t="s">
        <v>67</v>
      </c>
      <c r="E846" t="s">
        <v>68</v>
      </c>
      <c r="F846" t="s">
        <v>26</v>
      </c>
      <c r="G846" s="4">
        <v>-4</v>
      </c>
      <c r="H846" s="4" t="s">
        <v>18</v>
      </c>
      <c r="I846" s="4" t="s">
        <v>69</v>
      </c>
      <c r="J846" s="4" t="s">
        <v>66</v>
      </c>
      <c r="K846" s="4">
        <v>0</v>
      </c>
      <c r="L846" s="94">
        <v>17853</v>
      </c>
      <c r="M846" s="94">
        <v>0</v>
      </c>
    </row>
    <row r="847" spans="3:13" x14ac:dyDescent="0.3">
      <c r="C847" t="s">
        <v>70</v>
      </c>
      <c r="D847" t="s">
        <v>67</v>
      </c>
      <c r="E847" t="s">
        <v>63</v>
      </c>
      <c r="F847" t="s">
        <v>72</v>
      </c>
      <c r="G847" s="4">
        <v>7</v>
      </c>
      <c r="H847" s="4" t="s">
        <v>75</v>
      </c>
      <c r="I847" s="4" t="s">
        <v>69</v>
      </c>
      <c r="J847" s="4" t="s">
        <v>66</v>
      </c>
      <c r="K847" s="4">
        <v>0</v>
      </c>
      <c r="L847" s="94">
        <v>-13235</v>
      </c>
      <c r="M847" s="94">
        <v>0</v>
      </c>
    </row>
    <row r="848" spans="3:13" x14ac:dyDescent="0.3">
      <c r="C848" t="s">
        <v>61</v>
      </c>
      <c r="D848" t="s">
        <v>62</v>
      </c>
      <c r="E848" t="s">
        <v>63</v>
      </c>
      <c r="F848" t="s">
        <v>25</v>
      </c>
      <c r="G848" s="4">
        <v>15</v>
      </c>
      <c r="I848" s="4" t="s">
        <v>69</v>
      </c>
      <c r="J848" s="4" t="s">
        <v>66</v>
      </c>
      <c r="K848" s="4">
        <v>0</v>
      </c>
      <c r="L848" s="94">
        <v>-3227</v>
      </c>
      <c r="M848" s="94">
        <v>0</v>
      </c>
    </row>
    <row r="849" spans="3:13" x14ac:dyDescent="0.3">
      <c r="C849" t="s">
        <v>61</v>
      </c>
      <c r="D849" t="s">
        <v>67</v>
      </c>
      <c r="E849" t="s">
        <v>68</v>
      </c>
      <c r="F849" t="s">
        <v>26</v>
      </c>
      <c r="G849" s="4">
        <v>2</v>
      </c>
      <c r="H849" s="4" t="s">
        <v>14</v>
      </c>
      <c r="I849" s="4" t="s">
        <v>69</v>
      </c>
      <c r="J849" s="4" t="s">
        <v>73</v>
      </c>
      <c r="K849" s="4">
        <v>1</v>
      </c>
      <c r="L849" s="94">
        <v>54669094</v>
      </c>
      <c r="M849" s="94">
        <v>109338188</v>
      </c>
    </row>
    <row r="850" spans="3:13" x14ac:dyDescent="0.3">
      <c r="C850" t="s">
        <v>61</v>
      </c>
      <c r="D850" t="s">
        <v>67</v>
      </c>
      <c r="E850" t="s">
        <v>63</v>
      </c>
      <c r="F850" t="s">
        <v>26</v>
      </c>
      <c r="G850" s="4">
        <v>8</v>
      </c>
      <c r="H850" s="4" t="s">
        <v>82</v>
      </c>
      <c r="I850" s="4" t="s">
        <v>65</v>
      </c>
      <c r="J850" s="4" t="s">
        <v>66</v>
      </c>
      <c r="K850" s="4">
        <v>1</v>
      </c>
      <c r="L850" s="94">
        <v>-159803</v>
      </c>
      <c r="M850" s="94">
        <v>0</v>
      </c>
    </row>
    <row r="851" spans="3:13" x14ac:dyDescent="0.3">
      <c r="C851" t="s">
        <v>61</v>
      </c>
      <c r="D851" t="s">
        <v>67</v>
      </c>
      <c r="E851" t="s">
        <v>63</v>
      </c>
      <c r="F851" t="s">
        <v>26</v>
      </c>
      <c r="G851" s="4">
        <v>3</v>
      </c>
      <c r="H851" s="4" t="s">
        <v>77</v>
      </c>
      <c r="I851" s="4" t="s">
        <v>69</v>
      </c>
      <c r="J851" s="4" t="s">
        <v>66</v>
      </c>
      <c r="K851" s="4">
        <v>0</v>
      </c>
      <c r="L851" s="94">
        <v>-64620</v>
      </c>
      <c r="M851" s="94">
        <v>0</v>
      </c>
    </row>
    <row r="852" spans="3:13" x14ac:dyDescent="0.3">
      <c r="C852" t="s">
        <v>61</v>
      </c>
      <c r="D852" t="s">
        <v>67</v>
      </c>
      <c r="E852" t="s">
        <v>68</v>
      </c>
      <c r="F852" t="s">
        <v>25</v>
      </c>
      <c r="G852" s="4">
        <v>-4</v>
      </c>
      <c r="H852" s="4" t="s">
        <v>17</v>
      </c>
      <c r="I852" s="4" t="s">
        <v>69</v>
      </c>
      <c r="J852" s="4" t="s">
        <v>66</v>
      </c>
      <c r="K852" s="4">
        <v>0</v>
      </c>
      <c r="L852" s="94">
        <v>136228</v>
      </c>
      <c r="M852" s="94">
        <v>0</v>
      </c>
    </row>
    <row r="853" spans="3:13" x14ac:dyDescent="0.3">
      <c r="C853" t="s">
        <v>70</v>
      </c>
      <c r="D853" t="s">
        <v>67</v>
      </c>
      <c r="E853" t="s">
        <v>63</v>
      </c>
      <c r="F853" t="s">
        <v>72</v>
      </c>
      <c r="G853" s="4">
        <v>4</v>
      </c>
      <c r="H853" s="4" t="s">
        <v>15</v>
      </c>
      <c r="I853" s="4" t="s">
        <v>69</v>
      </c>
      <c r="J853" s="4" t="s">
        <v>66</v>
      </c>
      <c r="K853" s="4">
        <v>0</v>
      </c>
      <c r="L853" s="94">
        <v>-2035</v>
      </c>
      <c r="M853" s="94">
        <v>0</v>
      </c>
    </row>
    <row r="854" spans="3:13" x14ac:dyDescent="0.3">
      <c r="C854" t="s">
        <v>61</v>
      </c>
      <c r="D854" t="s">
        <v>67</v>
      </c>
      <c r="E854" t="s">
        <v>68</v>
      </c>
      <c r="F854" t="s">
        <v>25</v>
      </c>
      <c r="G854" s="4">
        <v>9</v>
      </c>
      <c r="H854" s="4" t="s">
        <v>78</v>
      </c>
      <c r="I854" s="4" t="s">
        <v>69</v>
      </c>
      <c r="J854" s="4" t="s">
        <v>66</v>
      </c>
      <c r="K854" s="4">
        <v>0</v>
      </c>
      <c r="L854" s="94">
        <v>10632516</v>
      </c>
      <c r="M854" s="94">
        <v>95692644</v>
      </c>
    </row>
    <row r="855" spans="3:13" x14ac:dyDescent="0.3">
      <c r="C855" t="s">
        <v>61</v>
      </c>
      <c r="D855" t="s">
        <v>67</v>
      </c>
      <c r="E855" t="s">
        <v>68</v>
      </c>
      <c r="F855" t="s">
        <v>26</v>
      </c>
      <c r="G855" s="4">
        <v>1</v>
      </c>
      <c r="H855" s="4" t="s">
        <v>82</v>
      </c>
      <c r="I855" s="4" t="s">
        <v>69</v>
      </c>
      <c r="J855" s="4" t="s">
        <v>66</v>
      </c>
      <c r="K855" s="4">
        <v>0</v>
      </c>
      <c r="L855" s="94">
        <v>14547633</v>
      </c>
      <c r="M855" s="94">
        <v>14547633</v>
      </c>
    </row>
    <row r="856" spans="3:13" x14ac:dyDescent="0.3">
      <c r="C856" t="s">
        <v>61</v>
      </c>
      <c r="D856" t="s">
        <v>62</v>
      </c>
      <c r="E856" t="s">
        <v>68</v>
      </c>
      <c r="F856" t="s">
        <v>24</v>
      </c>
      <c r="G856" s="4">
        <v>33</v>
      </c>
      <c r="I856" s="4" t="s">
        <v>69</v>
      </c>
      <c r="J856" s="4" t="s">
        <v>66</v>
      </c>
      <c r="K856" s="4">
        <v>0</v>
      </c>
      <c r="L856" s="94">
        <v>1040501829</v>
      </c>
      <c r="M856" s="94">
        <v>34336560357</v>
      </c>
    </row>
    <row r="857" spans="3:13" x14ac:dyDescent="0.3">
      <c r="C857" t="s">
        <v>61</v>
      </c>
      <c r="D857" t="s">
        <v>62</v>
      </c>
      <c r="E857" t="s">
        <v>63</v>
      </c>
      <c r="F857" t="s">
        <v>25</v>
      </c>
      <c r="G857" s="4">
        <v>1</v>
      </c>
      <c r="I857" s="4" t="s">
        <v>69</v>
      </c>
      <c r="J857" s="4" t="s">
        <v>66</v>
      </c>
      <c r="K857" s="4">
        <v>1</v>
      </c>
      <c r="L857" s="94">
        <v>-44</v>
      </c>
      <c r="M857" s="94">
        <v>0</v>
      </c>
    </row>
    <row r="858" spans="3:13" x14ac:dyDescent="0.3">
      <c r="C858" t="s">
        <v>71</v>
      </c>
      <c r="D858" t="s">
        <v>67</v>
      </c>
      <c r="E858" t="s">
        <v>68</v>
      </c>
      <c r="F858" t="s">
        <v>26</v>
      </c>
      <c r="G858" s="4">
        <v>-4</v>
      </c>
      <c r="H858" s="4" t="s">
        <v>74</v>
      </c>
      <c r="I858" s="4" t="s">
        <v>69</v>
      </c>
      <c r="J858" s="4" t="s">
        <v>66</v>
      </c>
      <c r="K858" s="4">
        <v>0</v>
      </c>
      <c r="L858" s="94">
        <v>1257378</v>
      </c>
      <c r="M858" s="94">
        <v>0</v>
      </c>
    </row>
    <row r="859" spans="3:13" x14ac:dyDescent="0.3">
      <c r="C859" t="s">
        <v>61</v>
      </c>
      <c r="D859" t="s">
        <v>67</v>
      </c>
      <c r="E859" t="s">
        <v>63</v>
      </c>
      <c r="F859" t="s">
        <v>26</v>
      </c>
      <c r="G859" s="4">
        <v>10</v>
      </c>
      <c r="H859" s="4" t="s">
        <v>17</v>
      </c>
      <c r="I859" s="4" t="s">
        <v>69</v>
      </c>
      <c r="J859" s="4" t="s">
        <v>66</v>
      </c>
      <c r="K859" s="4">
        <v>0</v>
      </c>
      <c r="L859" s="94">
        <v>-1533</v>
      </c>
      <c r="M859" s="94">
        <v>0</v>
      </c>
    </row>
    <row r="860" spans="3:13" x14ac:dyDescent="0.3">
      <c r="C860" t="s">
        <v>70</v>
      </c>
      <c r="D860" t="s">
        <v>67</v>
      </c>
      <c r="E860" t="s">
        <v>68</v>
      </c>
      <c r="F860" t="s">
        <v>26</v>
      </c>
      <c r="G860" s="4">
        <v>6</v>
      </c>
      <c r="H860" s="4" t="s">
        <v>14</v>
      </c>
      <c r="I860" s="4" t="s">
        <v>69</v>
      </c>
      <c r="J860" s="4" t="s">
        <v>66</v>
      </c>
      <c r="K860" s="4">
        <v>0</v>
      </c>
      <c r="L860" s="94">
        <v>482137</v>
      </c>
      <c r="M860" s="94">
        <v>2892822</v>
      </c>
    </row>
    <row r="861" spans="3:13" x14ac:dyDescent="0.3">
      <c r="C861" t="s">
        <v>71</v>
      </c>
      <c r="D861" t="s">
        <v>62</v>
      </c>
      <c r="E861" t="s">
        <v>63</v>
      </c>
      <c r="F861" t="s">
        <v>24</v>
      </c>
      <c r="G861" s="4">
        <v>41</v>
      </c>
      <c r="I861" s="4" t="s">
        <v>65</v>
      </c>
      <c r="J861" s="4" t="s">
        <v>66</v>
      </c>
      <c r="K861" s="4">
        <v>1</v>
      </c>
      <c r="L861" s="94">
        <v>-28552</v>
      </c>
      <c r="M861" s="94">
        <v>0</v>
      </c>
    </row>
    <row r="862" spans="3:13" x14ac:dyDescent="0.3">
      <c r="C862" t="s">
        <v>71</v>
      </c>
      <c r="D862" t="s">
        <v>67</v>
      </c>
      <c r="E862" t="s">
        <v>68</v>
      </c>
      <c r="F862" t="s">
        <v>72</v>
      </c>
      <c r="G862" s="4">
        <v>4</v>
      </c>
      <c r="H862" s="4" t="s">
        <v>14</v>
      </c>
      <c r="I862" s="4" t="s">
        <v>69</v>
      </c>
      <c r="J862" s="4" t="s">
        <v>66</v>
      </c>
      <c r="K862" s="4">
        <v>0</v>
      </c>
      <c r="L862" s="94">
        <v>65450</v>
      </c>
      <c r="M862" s="94">
        <v>261800</v>
      </c>
    </row>
    <row r="863" spans="3:13" x14ac:dyDescent="0.3">
      <c r="C863" t="s">
        <v>61</v>
      </c>
      <c r="D863" t="s">
        <v>67</v>
      </c>
      <c r="E863" t="s">
        <v>68</v>
      </c>
      <c r="F863" t="s">
        <v>72</v>
      </c>
      <c r="G863" s="4">
        <v>2</v>
      </c>
      <c r="H863" s="4" t="s">
        <v>16</v>
      </c>
      <c r="I863" s="4" t="s">
        <v>69</v>
      </c>
      <c r="J863" s="4" t="s">
        <v>66</v>
      </c>
      <c r="K863" s="4">
        <v>0</v>
      </c>
      <c r="L863" s="94">
        <v>180561</v>
      </c>
      <c r="M863" s="94">
        <v>361122</v>
      </c>
    </row>
    <row r="864" spans="3:13" x14ac:dyDescent="0.3">
      <c r="C864" t="s">
        <v>70</v>
      </c>
      <c r="D864" t="s">
        <v>67</v>
      </c>
      <c r="E864" t="s">
        <v>63</v>
      </c>
      <c r="F864" t="s">
        <v>25</v>
      </c>
      <c r="G864" s="4">
        <v>-1</v>
      </c>
      <c r="H864" s="4" t="s">
        <v>17</v>
      </c>
      <c r="I864" s="4" t="s">
        <v>69</v>
      </c>
      <c r="J864" s="4" t="s">
        <v>66</v>
      </c>
      <c r="K864" s="4">
        <v>1</v>
      </c>
      <c r="L864" s="94">
        <v>0</v>
      </c>
      <c r="M864" s="94">
        <v>0</v>
      </c>
    </row>
    <row r="865" spans="3:13" x14ac:dyDescent="0.3">
      <c r="C865" t="s">
        <v>71</v>
      </c>
      <c r="D865" t="s">
        <v>67</v>
      </c>
      <c r="E865" t="s">
        <v>63</v>
      </c>
      <c r="F865" t="s">
        <v>25</v>
      </c>
      <c r="G865" s="4">
        <v>16</v>
      </c>
      <c r="H865" s="4" t="s">
        <v>18</v>
      </c>
      <c r="I865" s="4" t="s">
        <v>69</v>
      </c>
      <c r="J865" s="4" t="s">
        <v>66</v>
      </c>
      <c r="K865" s="4">
        <v>0</v>
      </c>
      <c r="L865" s="94">
        <v>-65486</v>
      </c>
      <c r="M865" s="94">
        <v>0</v>
      </c>
    </row>
    <row r="866" spans="3:13" x14ac:dyDescent="0.3">
      <c r="C866" t="s">
        <v>61</v>
      </c>
      <c r="D866" t="s">
        <v>67</v>
      </c>
      <c r="E866" t="s">
        <v>63</v>
      </c>
      <c r="F866" t="s">
        <v>25</v>
      </c>
      <c r="G866" s="4">
        <v>3</v>
      </c>
      <c r="H866" s="4" t="s">
        <v>77</v>
      </c>
      <c r="I866" s="4" t="s">
        <v>69</v>
      </c>
      <c r="J866" s="4" t="s">
        <v>66</v>
      </c>
      <c r="K866" s="4">
        <v>0</v>
      </c>
      <c r="L866" s="94">
        <v>-762</v>
      </c>
      <c r="M866" s="94">
        <v>0</v>
      </c>
    </row>
    <row r="867" spans="3:13" x14ac:dyDescent="0.3">
      <c r="C867" t="s">
        <v>71</v>
      </c>
      <c r="D867" t="s">
        <v>67</v>
      </c>
      <c r="E867" t="s">
        <v>63</v>
      </c>
      <c r="F867" t="s">
        <v>72</v>
      </c>
      <c r="G867" s="4">
        <v>2</v>
      </c>
      <c r="H867" s="4" t="s">
        <v>13</v>
      </c>
      <c r="I867" s="4" t="s">
        <v>69</v>
      </c>
      <c r="J867" s="4" t="s">
        <v>73</v>
      </c>
      <c r="K867" s="4">
        <v>1</v>
      </c>
      <c r="L867" s="94">
        <v>-180150</v>
      </c>
      <c r="M867" s="94">
        <v>0</v>
      </c>
    </row>
    <row r="868" spans="3:13" x14ac:dyDescent="0.3">
      <c r="C868" t="s">
        <v>61</v>
      </c>
      <c r="D868" t="s">
        <v>67</v>
      </c>
      <c r="E868" t="s">
        <v>63</v>
      </c>
      <c r="F868" t="s">
        <v>72</v>
      </c>
      <c r="G868" s="4">
        <v>-4</v>
      </c>
      <c r="H868" s="4" t="s">
        <v>75</v>
      </c>
      <c r="I868" s="4" t="s">
        <v>69</v>
      </c>
      <c r="J868" s="4" t="s">
        <v>66</v>
      </c>
      <c r="K868" s="4">
        <v>0</v>
      </c>
      <c r="L868" s="94">
        <v>-2</v>
      </c>
      <c r="M868" s="94">
        <v>0</v>
      </c>
    </row>
    <row r="869" spans="3:13" x14ac:dyDescent="0.3">
      <c r="C869" t="s">
        <v>61</v>
      </c>
      <c r="D869" t="s">
        <v>67</v>
      </c>
      <c r="E869" t="s">
        <v>68</v>
      </c>
      <c r="F869" t="s">
        <v>25</v>
      </c>
      <c r="G869" s="4">
        <v>17</v>
      </c>
      <c r="H869" s="4" t="s">
        <v>74</v>
      </c>
      <c r="I869" s="4" t="s">
        <v>69</v>
      </c>
      <c r="J869" s="4" t="s">
        <v>66</v>
      </c>
      <c r="K869" s="4">
        <v>0</v>
      </c>
      <c r="L869" s="94">
        <v>5357544</v>
      </c>
      <c r="M869" s="94">
        <v>91078248</v>
      </c>
    </row>
    <row r="870" spans="3:13" x14ac:dyDescent="0.3">
      <c r="C870" t="s">
        <v>70</v>
      </c>
      <c r="D870" t="s">
        <v>67</v>
      </c>
      <c r="E870" t="s">
        <v>68</v>
      </c>
      <c r="F870" t="s">
        <v>72</v>
      </c>
      <c r="G870" s="4">
        <v>4</v>
      </c>
      <c r="H870" s="4" t="s">
        <v>12</v>
      </c>
      <c r="I870" s="4" t="s">
        <v>69</v>
      </c>
      <c r="J870" s="4" t="s">
        <v>73</v>
      </c>
      <c r="K870" s="4">
        <v>1</v>
      </c>
      <c r="L870" s="94">
        <v>407907</v>
      </c>
      <c r="M870" s="94">
        <v>1631628</v>
      </c>
    </row>
    <row r="871" spans="3:13" x14ac:dyDescent="0.3">
      <c r="C871" t="s">
        <v>70</v>
      </c>
      <c r="D871" t="s">
        <v>67</v>
      </c>
      <c r="E871" t="s">
        <v>68</v>
      </c>
      <c r="F871" t="s">
        <v>25</v>
      </c>
      <c r="G871" s="4">
        <v>10</v>
      </c>
      <c r="H871" s="4" t="s">
        <v>14</v>
      </c>
      <c r="I871" s="4" t="s">
        <v>69</v>
      </c>
      <c r="J871" s="4" t="s">
        <v>73</v>
      </c>
      <c r="K871" s="4">
        <v>1</v>
      </c>
      <c r="L871" s="94">
        <v>4376</v>
      </c>
      <c r="M871" s="94">
        <v>43760</v>
      </c>
    </row>
    <row r="872" spans="3:13" x14ac:dyDescent="0.3">
      <c r="C872" t="s">
        <v>61</v>
      </c>
      <c r="D872" t="s">
        <v>67</v>
      </c>
      <c r="E872" t="s">
        <v>63</v>
      </c>
      <c r="F872" t="s">
        <v>72</v>
      </c>
      <c r="G872" s="4">
        <v>0</v>
      </c>
      <c r="H872" s="4" t="s">
        <v>82</v>
      </c>
      <c r="I872" s="4" t="s">
        <v>69</v>
      </c>
      <c r="J872" s="4" t="s">
        <v>66</v>
      </c>
      <c r="K872" s="4">
        <v>0</v>
      </c>
      <c r="L872" s="94">
        <v>-3235</v>
      </c>
      <c r="M872" s="94">
        <v>0</v>
      </c>
    </row>
    <row r="873" spans="3:13" x14ac:dyDescent="0.3">
      <c r="C873" t="s">
        <v>70</v>
      </c>
      <c r="D873" t="s">
        <v>67</v>
      </c>
      <c r="E873" t="s">
        <v>68</v>
      </c>
      <c r="F873" t="s">
        <v>25</v>
      </c>
      <c r="G873" s="4">
        <v>10</v>
      </c>
      <c r="H873" s="4" t="s">
        <v>14</v>
      </c>
      <c r="I873" s="4" t="s">
        <v>69</v>
      </c>
      <c r="J873" s="4" t="s">
        <v>66</v>
      </c>
      <c r="K873" s="4">
        <v>0</v>
      </c>
      <c r="L873" s="94">
        <v>188245</v>
      </c>
      <c r="M873" s="94">
        <v>1882450</v>
      </c>
    </row>
    <row r="874" spans="3:13" x14ac:dyDescent="0.3">
      <c r="C874" t="s">
        <v>61</v>
      </c>
      <c r="D874" t="s">
        <v>67</v>
      </c>
      <c r="E874" t="s">
        <v>68</v>
      </c>
      <c r="F874" t="s">
        <v>25</v>
      </c>
      <c r="G874" s="4">
        <v>10</v>
      </c>
      <c r="H874" s="4" t="s">
        <v>18</v>
      </c>
      <c r="I874" s="4" t="s">
        <v>69</v>
      </c>
      <c r="J874" s="4" t="s">
        <v>66</v>
      </c>
      <c r="K874" s="4">
        <v>1</v>
      </c>
      <c r="L874" s="94">
        <v>686864</v>
      </c>
      <c r="M874" s="94">
        <v>6868640</v>
      </c>
    </row>
    <row r="875" spans="3:13" x14ac:dyDescent="0.3">
      <c r="C875" t="s">
        <v>71</v>
      </c>
      <c r="D875" t="s">
        <v>67</v>
      </c>
      <c r="E875" t="s">
        <v>68</v>
      </c>
      <c r="F875" t="s">
        <v>25</v>
      </c>
      <c r="G875" s="4">
        <v>9</v>
      </c>
      <c r="H875" s="4" t="s">
        <v>82</v>
      </c>
      <c r="I875" s="4" t="s">
        <v>69</v>
      </c>
      <c r="J875" s="4" t="s">
        <v>66</v>
      </c>
      <c r="K875" s="4">
        <v>0</v>
      </c>
      <c r="L875" s="94">
        <v>265577</v>
      </c>
      <c r="M875" s="94">
        <v>2390193</v>
      </c>
    </row>
    <row r="876" spans="3:13" x14ac:dyDescent="0.3">
      <c r="C876" t="s">
        <v>71</v>
      </c>
      <c r="D876" t="s">
        <v>67</v>
      </c>
      <c r="E876" t="s">
        <v>68</v>
      </c>
      <c r="F876" t="s">
        <v>26</v>
      </c>
      <c r="G876" s="4">
        <v>7</v>
      </c>
      <c r="H876" s="4" t="s">
        <v>18</v>
      </c>
      <c r="I876" s="4" t="s">
        <v>69</v>
      </c>
      <c r="J876" s="4" t="s">
        <v>73</v>
      </c>
      <c r="K876" s="4">
        <v>1</v>
      </c>
      <c r="L876" s="94">
        <v>58004</v>
      </c>
      <c r="M876" s="94">
        <v>406028</v>
      </c>
    </row>
    <row r="877" spans="3:13" x14ac:dyDescent="0.3">
      <c r="C877" t="s">
        <v>70</v>
      </c>
      <c r="D877" t="s">
        <v>67</v>
      </c>
      <c r="E877" t="s">
        <v>63</v>
      </c>
      <c r="F877" t="s">
        <v>26</v>
      </c>
      <c r="G877" s="4">
        <v>7</v>
      </c>
      <c r="H877" s="4" t="s">
        <v>17</v>
      </c>
      <c r="I877" s="4" t="s">
        <v>69</v>
      </c>
      <c r="J877" s="4" t="s">
        <v>66</v>
      </c>
      <c r="K877" s="4">
        <v>0</v>
      </c>
      <c r="L877" s="94">
        <v>-3177</v>
      </c>
      <c r="M877" s="94">
        <v>0</v>
      </c>
    </row>
    <row r="878" spans="3:13" x14ac:dyDescent="0.3">
      <c r="C878" t="s">
        <v>61</v>
      </c>
      <c r="D878" t="s">
        <v>62</v>
      </c>
      <c r="E878" t="s">
        <v>68</v>
      </c>
      <c r="F878" t="s">
        <v>24</v>
      </c>
      <c r="G878" s="4">
        <v>1</v>
      </c>
      <c r="I878" s="4" t="s">
        <v>65</v>
      </c>
      <c r="J878" s="4" t="s">
        <v>66</v>
      </c>
      <c r="K878" s="4">
        <v>1</v>
      </c>
      <c r="L878" s="94">
        <v>146560</v>
      </c>
      <c r="M878" s="94">
        <v>146560</v>
      </c>
    </row>
    <row r="879" spans="3:13" x14ac:dyDescent="0.3">
      <c r="C879" t="s">
        <v>71</v>
      </c>
      <c r="D879" t="s">
        <v>67</v>
      </c>
      <c r="E879" t="s">
        <v>63</v>
      </c>
      <c r="F879" t="s">
        <v>26</v>
      </c>
      <c r="G879" s="4">
        <v>3</v>
      </c>
      <c r="H879" s="4" t="s">
        <v>82</v>
      </c>
      <c r="I879" s="4" t="s">
        <v>69</v>
      </c>
      <c r="J879" s="4" t="s">
        <v>66</v>
      </c>
      <c r="K879" s="4">
        <v>0</v>
      </c>
      <c r="L879" s="94">
        <v>-799077</v>
      </c>
      <c r="M879" s="94">
        <v>0</v>
      </c>
    </row>
    <row r="880" spans="3:13" x14ac:dyDescent="0.3">
      <c r="C880" t="s">
        <v>70</v>
      </c>
      <c r="D880" t="s">
        <v>62</v>
      </c>
      <c r="E880" t="s">
        <v>63</v>
      </c>
      <c r="F880" t="s">
        <v>24</v>
      </c>
      <c r="G880" s="4">
        <v>41</v>
      </c>
      <c r="I880" s="4" t="s">
        <v>65</v>
      </c>
      <c r="J880" s="4" t="s">
        <v>66</v>
      </c>
      <c r="K880" s="4">
        <v>1</v>
      </c>
      <c r="L880" s="94">
        <v>-7110</v>
      </c>
      <c r="M880" s="94">
        <v>0</v>
      </c>
    </row>
    <row r="881" spans="3:13" x14ac:dyDescent="0.3">
      <c r="C881" t="s">
        <v>71</v>
      </c>
      <c r="D881" t="s">
        <v>62</v>
      </c>
      <c r="E881" t="s">
        <v>68</v>
      </c>
      <c r="F881" t="s">
        <v>24</v>
      </c>
      <c r="G881" s="4">
        <v>19</v>
      </c>
      <c r="I881" s="4" t="s">
        <v>69</v>
      </c>
      <c r="J881" s="4" t="s">
        <v>66</v>
      </c>
      <c r="K881" s="4">
        <v>0</v>
      </c>
      <c r="L881" s="94">
        <v>7524244</v>
      </c>
      <c r="M881" s="94">
        <v>142960636</v>
      </c>
    </row>
    <row r="882" spans="3:13" x14ac:dyDescent="0.3">
      <c r="C882" t="s">
        <v>70</v>
      </c>
      <c r="D882" t="s">
        <v>62</v>
      </c>
      <c r="E882" t="s">
        <v>68</v>
      </c>
      <c r="F882" t="s">
        <v>24</v>
      </c>
      <c r="G882" s="4">
        <v>1</v>
      </c>
      <c r="I882" s="4" t="s">
        <v>69</v>
      </c>
      <c r="J882" s="4" t="s">
        <v>66</v>
      </c>
      <c r="K882" s="4">
        <v>0</v>
      </c>
      <c r="L882" s="94">
        <v>1132804</v>
      </c>
      <c r="M882" s="94">
        <v>1132804</v>
      </c>
    </row>
    <row r="883" spans="3:13" x14ac:dyDescent="0.3">
      <c r="C883" t="s">
        <v>70</v>
      </c>
      <c r="D883" t="s">
        <v>67</v>
      </c>
      <c r="E883" t="s">
        <v>63</v>
      </c>
      <c r="F883" t="s">
        <v>72</v>
      </c>
      <c r="G883" s="4">
        <v>-4</v>
      </c>
      <c r="H883" s="4" t="s">
        <v>75</v>
      </c>
      <c r="I883" s="4" t="s">
        <v>69</v>
      </c>
      <c r="J883" s="4" t="s">
        <v>66</v>
      </c>
      <c r="K883" s="4">
        <v>0</v>
      </c>
      <c r="L883" s="94">
        <v>-359</v>
      </c>
      <c r="M883" s="94">
        <v>0</v>
      </c>
    </row>
    <row r="884" spans="3:13" x14ac:dyDescent="0.3">
      <c r="C884" t="s">
        <v>70</v>
      </c>
      <c r="D884" t="s">
        <v>67</v>
      </c>
      <c r="E884" t="s">
        <v>68</v>
      </c>
      <c r="F884" t="s">
        <v>26</v>
      </c>
      <c r="G884" s="4">
        <v>5</v>
      </c>
      <c r="H884" s="4" t="s">
        <v>12</v>
      </c>
      <c r="I884" s="4" t="s">
        <v>65</v>
      </c>
      <c r="J884" s="4" t="s">
        <v>73</v>
      </c>
      <c r="K884" s="4">
        <v>1</v>
      </c>
      <c r="L884" s="94">
        <v>217167</v>
      </c>
      <c r="M884" s="94">
        <v>1085835</v>
      </c>
    </row>
    <row r="885" spans="3:13" x14ac:dyDescent="0.3">
      <c r="C885" t="s">
        <v>70</v>
      </c>
      <c r="D885" t="s">
        <v>67</v>
      </c>
      <c r="E885" t="s">
        <v>68</v>
      </c>
      <c r="F885" t="s">
        <v>26</v>
      </c>
      <c r="G885" s="4">
        <v>0</v>
      </c>
      <c r="H885" s="4" t="s">
        <v>80</v>
      </c>
      <c r="I885" s="4" t="s">
        <v>69</v>
      </c>
      <c r="J885" s="4" t="s">
        <v>66</v>
      </c>
      <c r="K885" s="4">
        <v>0</v>
      </c>
      <c r="L885" s="94">
        <v>61685</v>
      </c>
      <c r="M885" s="94">
        <v>0</v>
      </c>
    </row>
    <row r="886" spans="3:13" x14ac:dyDescent="0.3">
      <c r="C886" t="s">
        <v>70</v>
      </c>
      <c r="D886" t="s">
        <v>67</v>
      </c>
      <c r="E886" t="s">
        <v>68</v>
      </c>
      <c r="F886" t="s">
        <v>25</v>
      </c>
      <c r="G886" s="4">
        <v>13</v>
      </c>
      <c r="H886" s="4" t="s">
        <v>76</v>
      </c>
      <c r="I886" s="4" t="s">
        <v>69</v>
      </c>
      <c r="J886" s="4" t="s">
        <v>66</v>
      </c>
      <c r="K886" s="4">
        <v>0</v>
      </c>
      <c r="L886" s="94">
        <v>1494591</v>
      </c>
      <c r="M886" s="94">
        <v>19429683</v>
      </c>
    </row>
    <row r="887" spans="3:13" x14ac:dyDescent="0.3">
      <c r="C887" t="s">
        <v>70</v>
      </c>
      <c r="D887" t="s">
        <v>67</v>
      </c>
      <c r="E887" t="s">
        <v>63</v>
      </c>
      <c r="F887" t="s">
        <v>25</v>
      </c>
      <c r="G887" s="4">
        <v>9</v>
      </c>
      <c r="H887" s="4" t="s">
        <v>17</v>
      </c>
      <c r="I887" s="4" t="s">
        <v>69</v>
      </c>
      <c r="J887" s="4" t="s">
        <v>66</v>
      </c>
      <c r="K887" s="4">
        <v>0</v>
      </c>
      <c r="L887" s="94">
        <v>-141671</v>
      </c>
      <c r="M887" s="94">
        <v>0</v>
      </c>
    </row>
    <row r="888" spans="3:13" x14ac:dyDescent="0.3">
      <c r="C888" t="s">
        <v>70</v>
      </c>
      <c r="D888" t="s">
        <v>67</v>
      </c>
      <c r="E888" t="s">
        <v>63</v>
      </c>
      <c r="F888" t="s">
        <v>26</v>
      </c>
      <c r="G888" s="4">
        <v>2</v>
      </c>
      <c r="H888" s="4" t="s">
        <v>79</v>
      </c>
      <c r="I888" s="4" t="s">
        <v>69</v>
      </c>
      <c r="J888" s="4" t="s">
        <v>66</v>
      </c>
      <c r="K888" s="4">
        <v>0</v>
      </c>
      <c r="L888" s="94">
        <v>-164123</v>
      </c>
      <c r="M888" s="94">
        <v>0</v>
      </c>
    </row>
    <row r="889" spans="3:13" x14ac:dyDescent="0.3">
      <c r="C889" t="s">
        <v>61</v>
      </c>
      <c r="D889" t="s">
        <v>67</v>
      </c>
      <c r="E889" t="s">
        <v>63</v>
      </c>
      <c r="F889" t="s">
        <v>25</v>
      </c>
      <c r="G889" s="4">
        <v>6</v>
      </c>
      <c r="H889" s="4" t="s">
        <v>74</v>
      </c>
      <c r="I889" s="4" t="s">
        <v>69</v>
      </c>
      <c r="J889" s="4" t="s">
        <v>66</v>
      </c>
      <c r="K889" s="4">
        <v>0</v>
      </c>
      <c r="L889" s="94">
        <v>-4898</v>
      </c>
      <c r="M889" s="94">
        <v>0</v>
      </c>
    </row>
    <row r="890" spans="3:13" x14ac:dyDescent="0.3">
      <c r="C890" t="s">
        <v>61</v>
      </c>
      <c r="D890" t="s">
        <v>62</v>
      </c>
      <c r="E890" t="s">
        <v>63</v>
      </c>
      <c r="F890" t="s">
        <v>24</v>
      </c>
      <c r="G890" s="4">
        <v>41</v>
      </c>
      <c r="I890" s="4" t="s">
        <v>69</v>
      </c>
      <c r="J890" s="4" t="s">
        <v>66</v>
      </c>
      <c r="K890" s="4">
        <v>1</v>
      </c>
      <c r="L890" s="94">
        <v>-487</v>
      </c>
      <c r="M890" s="94">
        <v>0</v>
      </c>
    </row>
    <row r="891" spans="3:13" x14ac:dyDescent="0.3">
      <c r="C891" t="s">
        <v>70</v>
      </c>
      <c r="D891" t="s">
        <v>67</v>
      </c>
      <c r="E891" t="s">
        <v>68</v>
      </c>
      <c r="F891" t="s">
        <v>26</v>
      </c>
      <c r="G891" s="4">
        <v>-1</v>
      </c>
      <c r="H891" s="4" t="s">
        <v>82</v>
      </c>
      <c r="I891" s="4" t="s">
        <v>65</v>
      </c>
      <c r="J891" s="4" t="s">
        <v>66</v>
      </c>
      <c r="K891" s="4">
        <v>1</v>
      </c>
      <c r="L891" s="94">
        <v>165637</v>
      </c>
      <c r="M891" s="94">
        <v>0</v>
      </c>
    </row>
    <row r="892" spans="3:13" x14ac:dyDescent="0.3">
      <c r="C892" t="s">
        <v>71</v>
      </c>
      <c r="D892" t="s">
        <v>67</v>
      </c>
      <c r="E892" t="s">
        <v>63</v>
      </c>
      <c r="F892" t="s">
        <v>25</v>
      </c>
      <c r="G892" s="4">
        <v>1</v>
      </c>
      <c r="H892" s="4" t="s">
        <v>18</v>
      </c>
      <c r="I892" s="4" t="s">
        <v>69</v>
      </c>
      <c r="J892" s="4" t="s">
        <v>66</v>
      </c>
      <c r="K892" s="4">
        <v>0</v>
      </c>
      <c r="L892" s="94">
        <v>-22934</v>
      </c>
      <c r="M892" s="94">
        <v>0</v>
      </c>
    </row>
    <row r="893" spans="3:13" x14ac:dyDescent="0.3">
      <c r="C893" t="s">
        <v>61</v>
      </c>
      <c r="D893" t="s">
        <v>62</v>
      </c>
      <c r="E893" t="s">
        <v>63</v>
      </c>
      <c r="F893" t="s">
        <v>25</v>
      </c>
      <c r="G893" s="4">
        <v>3</v>
      </c>
      <c r="I893" s="4" t="s">
        <v>69</v>
      </c>
      <c r="J893" s="4" t="s">
        <v>66</v>
      </c>
      <c r="K893" s="4">
        <v>0</v>
      </c>
      <c r="L893" s="94">
        <v>-6826</v>
      </c>
      <c r="M893" s="94">
        <v>0</v>
      </c>
    </row>
    <row r="894" spans="3:13" x14ac:dyDescent="0.3">
      <c r="C894" t="s">
        <v>61</v>
      </c>
      <c r="D894" t="s">
        <v>67</v>
      </c>
      <c r="E894" t="s">
        <v>63</v>
      </c>
      <c r="F894" t="s">
        <v>72</v>
      </c>
      <c r="G894" s="4">
        <v>17</v>
      </c>
      <c r="H894" s="4" t="s">
        <v>80</v>
      </c>
      <c r="I894" s="4" t="s">
        <v>69</v>
      </c>
      <c r="J894" s="4" t="s">
        <v>66</v>
      </c>
      <c r="K894" s="4">
        <v>0</v>
      </c>
      <c r="L894" s="94">
        <v>-1464</v>
      </c>
      <c r="M894" s="94">
        <v>0</v>
      </c>
    </row>
    <row r="895" spans="3:13" x14ac:dyDescent="0.3">
      <c r="C895" t="s">
        <v>71</v>
      </c>
      <c r="D895" t="s">
        <v>67</v>
      </c>
      <c r="E895" t="s">
        <v>63</v>
      </c>
      <c r="F895" t="s">
        <v>26</v>
      </c>
      <c r="G895" s="4">
        <v>-1</v>
      </c>
      <c r="H895" s="4" t="s">
        <v>82</v>
      </c>
      <c r="I895" s="4" t="s">
        <v>69</v>
      </c>
      <c r="J895" s="4" t="s">
        <v>66</v>
      </c>
      <c r="K895" s="4">
        <v>0</v>
      </c>
      <c r="L895" s="94">
        <v>-1776787</v>
      </c>
      <c r="M895" s="94">
        <v>0</v>
      </c>
    </row>
    <row r="896" spans="3:13" x14ac:dyDescent="0.3">
      <c r="C896" t="s">
        <v>61</v>
      </c>
      <c r="D896" t="s">
        <v>67</v>
      </c>
      <c r="E896" t="s">
        <v>68</v>
      </c>
      <c r="F896" t="s">
        <v>72</v>
      </c>
      <c r="G896" s="4">
        <v>5</v>
      </c>
      <c r="H896" s="4" t="s">
        <v>12</v>
      </c>
      <c r="I896" s="4" t="s">
        <v>69</v>
      </c>
      <c r="J896" s="4" t="s">
        <v>66</v>
      </c>
      <c r="K896" s="4">
        <v>0</v>
      </c>
      <c r="L896" s="94">
        <v>240741</v>
      </c>
      <c r="M896" s="94">
        <v>1203705</v>
      </c>
    </row>
    <row r="897" spans="3:13" x14ac:dyDescent="0.3">
      <c r="C897" t="s">
        <v>71</v>
      </c>
      <c r="D897" t="s">
        <v>67</v>
      </c>
      <c r="E897" t="s">
        <v>63</v>
      </c>
      <c r="F897" t="s">
        <v>26</v>
      </c>
      <c r="G897" s="4">
        <v>7</v>
      </c>
      <c r="H897" s="4" t="s">
        <v>18</v>
      </c>
      <c r="I897" s="4" t="s">
        <v>69</v>
      </c>
      <c r="J897" s="4" t="s">
        <v>66</v>
      </c>
      <c r="K897" s="4">
        <v>0</v>
      </c>
      <c r="L897" s="94">
        <v>-685971</v>
      </c>
      <c r="M897" s="94">
        <v>0</v>
      </c>
    </row>
    <row r="898" spans="3:13" x14ac:dyDescent="0.3">
      <c r="C898" t="s">
        <v>61</v>
      </c>
      <c r="D898" t="s">
        <v>62</v>
      </c>
      <c r="E898" t="s">
        <v>68</v>
      </c>
      <c r="F898" t="s">
        <v>25</v>
      </c>
      <c r="G898" s="4">
        <v>21</v>
      </c>
      <c r="I898" s="4" t="s">
        <v>69</v>
      </c>
      <c r="J898" s="4" t="s">
        <v>66</v>
      </c>
      <c r="K898" s="4">
        <v>0</v>
      </c>
      <c r="L898" s="94">
        <v>867627</v>
      </c>
      <c r="M898" s="94">
        <v>18220167</v>
      </c>
    </row>
    <row r="899" spans="3:13" x14ac:dyDescent="0.3">
      <c r="C899" t="s">
        <v>70</v>
      </c>
      <c r="D899" t="s">
        <v>67</v>
      </c>
      <c r="E899" t="s">
        <v>68</v>
      </c>
      <c r="F899" t="s">
        <v>26</v>
      </c>
      <c r="G899" s="4">
        <v>5</v>
      </c>
      <c r="H899" s="4" t="s">
        <v>14</v>
      </c>
      <c r="I899" s="4" t="s">
        <v>69</v>
      </c>
      <c r="J899" s="4" t="s">
        <v>73</v>
      </c>
      <c r="K899" s="4">
        <v>1</v>
      </c>
      <c r="L899" s="94">
        <v>5464918</v>
      </c>
      <c r="M899" s="94">
        <v>27324590</v>
      </c>
    </row>
    <row r="900" spans="3:13" x14ac:dyDescent="0.3">
      <c r="C900" t="s">
        <v>61</v>
      </c>
      <c r="D900" t="s">
        <v>67</v>
      </c>
      <c r="E900" t="s">
        <v>63</v>
      </c>
      <c r="F900" t="s">
        <v>72</v>
      </c>
      <c r="G900" s="4">
        <v>1</v>
      </c>
      <c r="H900" s="4" t="s">
        <v>18</v>
      </c>
      <c r="I900" s="4" t="s">
        <v>69</v>
      </c>
      <c r="J900" s="4" t="s">
        <v>66</v>
      </c>
      <c r="K900" s="4">
        <v>0</v>
      </c>
      <c r="L900" s="94">
        <v>-9808</v>
      </c>
      <c r="M900" s="94">
        <v>0</v>
      </c>
    </row>
    <row r="901" spans="3:13" x14ac:dyDescent="0.3">
      <c r="C901" t="s">
        <v>61</v>
      </c>
      <c r="D901" t="s">
        <v>67</v>
      </c>
      <c r="E901" t="s">
        <v>68</v>
      </c>
      <c r="F901" t="s">
        <v>25</v>
      </c>
      <c r="G901" s="4">
        <v>12</v>
      </c>
      <c r="H901" s="4" t="s">
        <v>12</v>
      </c>
      <c r="I901" s="4" t="s">
        <v>69</v>
      </c>
      <c r="J901" s="4" t="s">
        <v>66</v>
      </c>
      <c r="K901" s="4">
        <v>1</v>
      </c>
      <c r="L901" s="94">
        <v>15724347</v>
      </c>
      <c r="M901" s="94">
        <v>188692164</v>
      </c>
    </row>
    <row r="902" spans="3:13" x14ac:dyDescent="0.3">
      <c r="C902" t="s">
        <v>61</v>
      </c>
      <c r="D902" t="s">
        <v>67</v>
      </c>
      <c r="E902" t="s">
        <v>63</v>
      </c>
      <c r="F902" t="s">
        <v>72</v>
      </c>
      <c r="G902" s="4">
        <v>0</v>
      </c>
      <c r="H902" s="4" t="s">
        <v>12</v>
      </c>
      <c r="I902" s="4" t="s">
        <v>69</v>
      </c>
      <c r="J902" s="4" t="s">
        <v>73</v>
      </c>
      <c r="K902" s="4">
        <v>1</v>
      </c>
      <c r="L902" s="94">
        <v>-122</v>
      </c>
      <c r="M902" s="94">
        <v>0</v>
      </c>
    </row>
    <row r="903" spans="3:13" x14ac:dyDescent="0.3">
      <c r="C903" t="s">
        <v>71</v>
      </c>
      <c r="D903" t="s">
        <v>67</v>
      </c>
      <c r="E903" t="s">
        <v>63</v>
      </c>
      <c r="F903" t="s">
        <v>25</v>
      </c>
      <c r="G903" s="4">
        <v>11</v>
      </c>
      <c r="H903" s="4" t="s">
        <v>75</v>
      </c>
      <c r="I903" s="4" t="s">
        <v>69</v>
      </c>
      <c r="J903" s="4" t="s">
        <v>66</v>
      </c>
      <c r="K903" s="4">
        <v>0</v>
      </c>
      <c r="L903" s="94">
        <v>-1402509</v>
      </c>
      <c r="M903" s="94">
        <v>0</v>
      </c>
    </row>
    <row r="904" spans="3:13" x14ac:dyDescent="0.3">
      <c r="C904" t="s">
        <v>61</v>
      </c>
      <c r="D904" t="s">
        <v>67</v>
      </c>
      <c r="E904" t="s">
        <v>63</v>
      </c>
      <c r="F904" t="s">
        <v>25</v>
      </c>
      <c r="G904" s="4">
        <v>5</v>
      </c>
      <c r="H904" s="4" t="s">
        <v>18</v>
      </c>
      <c r="I904" s="4" t="s">
        <v>69</v>
      </c>
      <c r="J904" s="4" t="s">
        <v>66</v>
      </c>
      <c r="K904" s="4">
        <v>1</v>
      </c>
      <c r="L904" s="94">
        <v>-496</v>
      </c>
      <c r="M904" s="94">
        <v>0</v>
      </c>
    </row>
    <row r="905" spans="3:13" x14ac:dyDescent="0.3">
      <c r="C905" t="s">
        <v>71</v>
      </c>
      <c r="D905" t="s">
        <v>67</v>
      </c>
      <c r="E905" t="s">
        <v>63</v>
      </c>
      <c r="F905" t="s">
        <v>25</v>
      </c>
      <c r="G905" s="4">
        <v>6</v>
      </c>
      <c r="H905" s="4" t="s">
        <v>76</v>
      </c>
      <c r="I905" s="4" t="s">
        <v>69</v>
      </c>
      <c r="J905" s="4" t="s">
        <v>66</v>
      </c>
      <c r="K905" s="4">
        <v>0</v>
      </c>
      <c r="L905" s="94">
        <v>-1095506</v>
      </c>
      <c r="M905" s="94">
        <v>0</v>
      </c>
    </row>
    <row r="906" spans="3:13" x14ac:dyDescent="0.3">
      <c r="C906" t="s">
        <v>70</v>
      </c>
      <c r="D906" t="s">
        <v>67</v>
      </c>
      <c r="E906" t="s">
        <v>63</v>
      </c>
      <c r="F906" t="s">
        <v>25</v>
      </c>
      <c r="G906" s="4">
        <v>5</v>
      </c>
      <c r="H906" s="4" t="s">
        <v>17</v>
      </c>
      <c r="I906" s="4" t="s">
        <v>69</v>
      </c>
      <c r="J906" s="4" t="s">
        <v>66</v>
      </c>
      <c r="K906" s="4">
        <v>1</v>
      </c>
      <c r="L906" s="94">
        <v>-3819</v>
      </c>
      <c r="M906" s="94">
        <v>0</v>
      </c>
    </row>
    <row r="907" spans="3:13" x14ac:dyDescent="0.3">
      <c r="C907" t="s">
        <v>70</v>
      </c>
      <c r="D907" t="s">
        <v>67</v>
      </c>
      <c r="E907" t="s">
        <v>68</v>
      </c>
      <c r="F907" t="s">
        <v>25</v>
      </c>
      <c r="G907" s="4">
        <v>4</v>
      </c>
      <c r="H907" s="4" t="s">
        <v>17</v>
      </c>
      <c r="I907" s="4" t="s">
        <v>69</v>
      </c>
      <c r="J907" s="4" t="s">
        <v>66</v>
      </c>
      <c r="K907" s="4">
        <v>0</v>
      </c>
      <c r="L907" s="94">
        <v>225565</v>
      </c>
      <c r="M907" s="94">
        <v>902260</v>
      </c>
    </row>
    <row r="908" spans="3:13" x14ac:dyDescent="0.3">
      <c r="C908" t="s">
        <v>61</v>
      </c>
      <c r="D908" t="s">
        <v>67</v>
      </c>
      <c r="E908" t="s">
        <v>68</v>
      </c>
      <c r="F908" t="s">
        <v>26</v>
      </c>
      <c r="G908" s="4">
        <v>2</v>
      </c>
      <c r="H908" s="4" t="s">
        <v>12</v>
      </c>
      <c r="I908" s="4" t="s">
        <v>65</v>
      </c>
      <c r="J908" s="4" t="s">
        <v>73</v>
      </c>
      <c r="K908" s="4">
        <v>1</v>
      </c>
      <c r="L908" s="94">
        <v>280364</v>
      </c>
      <c r="M908" s="94">
        <v>560728</v>
      </c>
    </row>
    <row r="909" spans="3:13" x14ac:dyDescent="0.3">
      <c r="C909" t="s">
        <v>61</v>
      </c>
      <c r="D909" t="s">
        <v>67</v>
      </c>
      <c r="E909" t="s">
        <v>68</v>
      </c>
      <c r="F909" t="s">
        <v>72</v>
      </c>
      <c r="G909" s="4">
        <v>6</v>
      </c>
      <c r="H909" s="4" t="s">
        <v>76</v>
      </c>
      <c r="I909" s="4" t="s">
        <v>69</v>
      </c>
      <c r="J909" s="4" t="s">
        <v>66</v>
      </c>
      <c r="K909" s="4">
        <v>0</v>
      </c>
      <c r="L909" s="94">
        <v>605689</v>
      </c>
      <c r="M909" s="94">
        <v>3634134</v>
      </c>
    </row>
    <row r="910" spans="3:13" x14ac:dyDescent="0.3">
      <c r="C910" t="s">
        <v>70</v>
      </c>
      <c r="D910" t="s">
        <v>67</v>
      </c>
      <c r="E910" t="s">
        <v>68</v>
      </c>
      <c r="F910" t="s">
        <v>25</v>
      </c>
      <c r="G910" s="4">
        <v>-4</v>
      </c>
      <c r="H910" s="4" t="s">
        <v>18</v>
      </c>
      <c r="I910" s="4" t="s">
        <v>69</v>
      </c>
      <c r="J910" s="4" t="s">
        <v>66</v>
      </c>
      <c r="K910" s="4">
        <v>0</v>
      </c>
      <c r="L910" s="94">
        <v>4147</v>
      </c>
      <c r="M910" s="94">
        <v>0</v>
      </c>
    </row>
    <row r="911" spans="3:13" x14ac:dyDescent="0.3">
      <c r="C911" t="s">
        <v>61</v>
      </c>
      <c r="D911" t="s">
        <v>67</v>
      </c>
      <c r="E911" t="s">
        <v>63</v>
      </c>
      <c r="F911" t="s">
        <v>25</v>
      </c>
      <c r="G911" s="4">
        <v>-1</v>
      </c>
      <c r="H911" s="4" t="s">
        <v>79</v>
      </c>
      <c r="I911" s="4" t="s">
        <v>69</v>
      </c>
      <c r="J911" s="4" t="s">
        <v>66</v>
      </c>
      <c r="K911" s="4">
        <v>0</v>
      </c>
      <c r="L911" s="94">
        <v>-1230</v>
      </c>
      <c r="M911" s="94">
        <v>0</v>
      </c>
    </row>
    <row r="912" spans="3:13" x14ac:dyDescent="0.3">
      <c r="C912" t="s">
        <v>70</v>
      </c>
      <c r="D912" t="s">
        <v>67</v>
      </c>
      <c r="E912" t="s">
        <v>63</v>
      </c>
      <c r="F912" t="s">
        <v>72</v>
      </c>
      <c r="G912" s="4">
        <v>1</v>
      </c>
      <c r="H912" s="4" t="s">
        <v>18</v>
      </c>
      <c r="I912" s="4" t="s">
        <v>69</v>
      </c>
      <c r="J912" s="4" t="s">
        <v>66</v>
      </c>
      <c r="K912" s="4">
        <v>0</v>
      </c>
      <c r="L912" s="94">
        <v>-39539</v>
      </c>
      <c r="M912" s="94">
        <v>0</v>
      </c>
    </row>
    <row r="913" spans="3:13" x14ac:dyDescent="0.3">
      <c r="C913" t="s">
        <v>71</v>
      </c>
      <c r="D913" t="s">
        <v>84</v>
      </c>
      <c r="E913" t="s">
        <v>68</v>
      </c>
      <c r="F913" t="s">
        <v>25</v>
      </c>
      <c r="G913" s="4">
        <v>-4</v>
      </c>
      <c r="H913" s="4" t="s">
        <v>81</v>
      </c>
      <c r="I913" s="4" t="s">
        <v>69</v>
      </c>
      <c r="J913" s="4" t="s">
        <v>66</v>
      </c>
      <c r="K913" s="4">
        <v>0</v>
      </c>
      <c r="L913" s="94">
        <v>780733</v>
      </c>
      <c r="M913" s="94">
        <v>0</v>
      </c>
    </row>
    <row r="914" spans="3:13" x14ac:dyDescent="0.3">
      <c r="C914" t="s">
        <v>70</v>
      </c>
      <c r="D914" t="s">
        <v>67</v>
      </c>
      <c r="E914" t="s">
        <v>63</v>
      </c>
      <c r="F914" t="s">
        <v>26</v>
      </c>
      <c r="G914" s="4">
        <v>2</v>
      </c>
      <c r="H914" s="4" t="s">
        <v>17</v>
      </c>
      <c r="I914" s="4" t="s">
        <v>69</v>
      </c>
      <c r="J914" s="4" t="s">
        <v>73</v>
      </c>
      <c r="K914" s="4">
        <v>1</v>
      </c>
      <c r="L914" s="94">
        <v>-36951</v>
      </c>
      <c r="M914" s="94">
        <v>0</v>
      </c>
    </row>
    <row r="915" spans="3:13" x14ac:dyDescent="0.3">
      <c r="C915" t="s">
        <v>61</v>
      </c>
      <c r="D915" t="s">
        <v>67</v>
      </c>
      <c r="E915" t="s">
        <v>63</v>
      </c>
      <c r="F915" t="s">
        <v>26</v>
      </c>
      <c r="G915" s="4">
        <v>2</v>
      </c>
      <c r="H915" s="4" t="s">
        <v>83</v>
      </c>
      <c r="I915" s="4" t="s">
        <v>69</v>
      </c>
      <c r="J915" s="4" t="s">
        <v>66</v>
      </c>
      <c r="K915" s="4">
        <v>0</v>
      </c>
      <c r="L915" s="94">
        <v>-16276</v>
      </c>
      <c r="M915" s="94">
        <v>0</v>
      </c>
    </row>
    <row r="916" spans="3:13" x14ac:dyDescent="0.3">
      <c r="C916" t="s">
        <v>70</v>
      </c>
      <c r="D916" t="s">
        <v>67</v>
      </c>
      <c r="E916" t="s">
        <v>63</v>
      </c>
      <c r="F916" t="s">
        <v>72</v>
      </c>
      <c r="G916" s="4">
        <v>0</v>
      </c>
      <c r="H916" s="4" t="s">
        <v>12</v>
      </c>
      <c r="I916" s="4" t="s">
        <v>69</v>
      </c>
      <c r="J916" s="4" t="s">
        <v>73</v>
      </c>
      <c r="K916" s="4">
        <v>1</v>
      </c>
      <c r="L916" s="94">
        <v>-658</v>
      </c>
      <c r="M916" s="94">
        <v>0</v>
      </c>
    </row>
    <row r="917" spans="3:13" x14ac:dyDescent="0.3">
      <c r="C917" t="s">
        <v>61</v>
      </c>
      <c r="D917" t="s">
        <v>67</v>
      </c>
      <c r="E917" t="s">
        <v>68</v>
      </c>
      <c r="F917" t="s">
        <v>25</v>
      </c>
      <c r="G917" s="4">
        <v>3</v>
      </c>
      <c r="H917" s="4" t="s">
        <v>16</v>
      </c>
      <c r="I917" s="4" t="s">
        <v>69</v>
      </c>
      <c r="J917" s="4" t="s">
        <v>66</v>
      </c>
      <c r="K917" s="4">
        <v>0</v>
      </c>
      <c r="L917" s="94">
        <v>32066</v>
      </c>
      <c r="M917" s="94">
        <v>96198</v>
      </c>
    </row>
    <row r="918" spans="3:13" x14ac:dyDescent="0.3">
      <c r="C918" t="s">
        <v>61</v>
      </c>
      <c r="D918" t="s">
        <v>67</v>
      </c>
      <c r="E918" t="s">
        <v>63</v>
      </c>
      <c r="F918" t="s">
        <v>25</v>
      </c>
      <c r="G918" s="4">
        <v>17</v>
      </c>
      <c r="H918" s="4" t="s">
        <v>74</v>
      </c>
      <c r="I918" s="4" t="s">
        <v>69</v>
      </c>
      <c r="J918" s="4" t="s">
        <v>66</v>
      </c>
      <c r="K918" s="4">
        <v>0</v>
      </c>
      <c r="L918" s="94">
        <v>-10757</v>
      </c>
      <c r="M918" s="94">
        <v>0</v>
      </c>
    </row>
    <row r="919" spans="3:13" x14ac:dyDescent="0.3">
      <c r="C919" t="s">
        <v>70</v>
      </c>
      <c r="D919" t="s">
        <v>67</v>
      </c>
      <c r="E919" t="s">
        <v>68</v>
      </c>
      <c r="F919" t="s">
        <v>25</v>
      </c>
      <c r="G919" s="4">
        <v>3</v>
      </c>
      <c r="H919" s="4" t="s">
        <v>12</v>
      </c>
      <c r="I919" s="4" t="s">
        <v>69</v>
      </c>
      <c r="J919" s="4" t="s">
        <v>66</v>
      </c>
      <c r="K919" s="4">
        <v>1</v>
      </c>
      <c r="L919" s="94">
        <v>41414</v>
      </c>
      <c r="M919" s="94">
        <v>124242</v>
      </c>
    </row>
    <row r="920" spans="3:13" x14ac:dyDescent="0.3">
      <c r="C920" t="s">
        <v>71</v>
      </c>
      <c r="D920" t="s">
        <v>67</v>
      </c>
      <c r="E920" t="s">
        <v>68</v>
      </c>
      <c r="F920" t="s">
        <v>26</v>
      </c>
      <c r="G920" s="4">
        <v>6</v>
      </c>
      <c r="H920" s="4" t="s">
        <v>79</v>
      </c>
      <c r="I920" s="4" t="s">
        <v>69</v>
      </c>
      <c r="J920" s="4" t="s">
        <v>66</v>
      </c>
      <c r="K920" s="4">
        <v>0</v>
      </c>
      <c r="L920" s="94">
        <v>49462</v>
      </c>
      <c r="M920" s="94">
        <v>296772</v>
      </c>
    </row>
    <row r="921" spans="3:13" x14ac:dyDescent="0.3">
      <c r="C921" t="s">
        <v>61</v>
      </c>
      <c r="D921" t="s">
        <v>67</v>
      </c>
      <c r="E921" t="s">
        <v>68</v>
      </c>
      <c r="F921" t="s">
        <v>25</v>
      </c>
      <c r="G921" s="4">
        <v>7</v>
      </c>
      <c r="H921" s="4" t="s">
        <v>12</v>
      </c>
      <c r="I921" s="4" t="s">
        <v>69</v>
      </c>
      <c r="J921" s="4" t="s">
        <v>66</v>
      </c>
      <c r="K921" s="4">
        <v>0</v>
      </c>
      <c r="L921" s="94">
        <v>153101</v>
      </c>
      <c r="M921" s="94">
        <v>1071707</v>
      </c>
    </row>
    <row r="922" spans="3:13" x14ac:dyDescent="0.3">
      <c r="C922" t="s">
        <v>70</v>
      </c>
      <c r="D922" t="s">
        <v>62</v>
      </c>
      <c r="E922" t="s">
        <v>63</v>
      </c>
      <c r="F922" t="s">
        <v>24</v>
      </c>
      <c r="G922" s="4">
        <v>35</v>
      </c>
      <c r="I922" s="4" t="s">
        <v>65</v>
      </c>
      <c r="J922" s="4" t="s">
        <v>66</v>
      </c>
      <c r="K922" s="4">
        <v>1</v>
      </c>
      <c r="L922" s="94">
        <v>-44935</v>
      </c>
      <c r="M922" s="94">
        <v>0</v>
      </c>
    </row>
    <row r="923" spans="3:13" x14ac:dyDescent="0.3">
      <c r="C923" t="s">
        <v>71</v>
      </c>
      <c r="D923" t="s">
        <v>67</v>
      </c>
      <c r="E923" t="s">
        <v>63</v>
      </c>
      <c r="F923" t="s">
        <v>72</v>
      </c>
      <c r="G923" s="4">
        <v>-4</v>
      </c>
      <c r="H923" s="4" t="s">
        <v>16</v>
      </c>
      <c r="I923" s="4" t="s">
        <v>69</v>
      </c>
      <c r="J923" s="4" t="s">
        <v>66</v>
      </c>
      <c r="K923" s="4">
        <v>0</v>
      </c>
      <c r="L923" s="94">
        <v>-6294</v>
      </c>
      <c r="M923" s="94">
        <v>0</v>
      </c>
    </row>
    <row r="924" spans="3:13" x14ac:dyDescent="0.3">
      <c r="C924" t="s">
        <v>61</v>
      </c>
      <c r="D924" t="s">
        <v>84</v>
      </c>
      <c r="E924" t="s">
        <v>63</v>
      </c>
      <c r="F924" t="s">
        <v>25</v>
      </c>
      <c r="G924" s="4">
        <v>7</v>
      </c>
      <c r="H924" s="4" t="s">
        <v>81</v>
      </c>
      <c r="I924" s="4" t="s">
        <v>69</v>
      </c>
      <c r="J924" s="4" t="s">
        <v>66</v>
      </c>
      <c r="K924" s="4">
        <v>0</v>
      </c>
      <c r="L924" s="94">
        <v>-10088</v>
      </c>
      <c r="M924" s="94">
        <v>0</v>
      </c>
    </row>
    <row r="925" spans="3:13" x14ac:dyDescent="0.3">
      <c r="C925" t="s">
        <v>61</v>
      </c>
      <c r="D925" t="s">
        <v>67</v>
      </c>
      <c r="E925" t="s">
        <v>68</v>
      </c>
      <c r="F925" t="s">
        <v>26</v>
      </c>
      <c r="G925" s="4">
        <v>9</v>
      </c>
      <c r="H925" s="4" t="s">
        <v>75</v>
      </c>
      <c r="I925" s="4" t="s">
        <v>69</v>
      </c>
      <c r="J925" s="4" t="s">
        <v>66</v>
      </c>
      <c r="K925" s="4">
        <v>0</v>
      </c>
      <c r="L925" s="94">
        <v>80259</v>
      </c>
      <c r="M925" s="94">
        <v>722331</v>
      </c>
    </row>
    <row r="926" spans="3:13" x14ac:dyDescent="0.3">
      <c r="C926" t="s">
        <v>61</v>
      </c>
      <c r="D926" t="s">
        <v>67</v>
      </c>
      <c r="E926" t="s">
        <v>63</v>
      </c>
      <c r="F926" t="s">
        <v>25</v>
      </c>
      <c r="G926" s="4">
        <v>10</v>
      </c>
      <c r="H926" s="4" t="s">
        <v>14</v>
      </c>
      <c r="I926" s="4" t="s">
        <v>69</v>
      </c>
      <c r="J926" s="4" t="s">
        <v>66</v>
      </c>
      <c r="K926" s="4">
        <v>1</v>
      </c>
      <c r="L926" s="94">
        <v>-8322</v>
      </c>
      <c r="M926" s="94">
        <v>0</v>
      </c>
    </row>
    <row r="927" spans="3:13" x14ac:dyDescent="0.3">
      <c r="C927" t="s">
        <v>70</v>
      </c>
      <c r="D927" t="s">
        <v>67</v>
      </c>
      <c r="E927" t="s">
        <v>63</v>
      </c>
      <c r="F927" t="s">
        <v>25</v>
      </c>
      <c r="G927" s="4">
        <v>-4</v>
      </c>
      <c r="H927" s="4" t="s">
        <v>80</v>
      </c>
      <c r="I927" s="4" t="s">
        <v>69</v>
      </c>
      <c r="J927" s="4" t="s">
        <v>66</v>
      </c>
      <c r="K927" s="4">
        <v>0</v>
      </c>
      <c r="L927" s="94">
        <v>-1</v>
      </c>
      <c r="M927" s="94">
        <v>0</v>
      </c>
    </row>
    <row r="928" spans="3:13" x14ac:dyDescent="0.3">
      <c r="C928" t="s">
        <v>61</v>
      </c>
      <c r="D928" t="s">
        <v>84</v>
      </c>
      <c r="E928" t="s">
        <v>68</v>
      </c>
      <c r="F928" t="s">
        <v>25</v>
      </c>
      <c r="G928" s="4">
        <v>4</v>
      </c>
      <c r="H928" s="4" t="s">
        <v>75</v>
      </c>
      <c r="I928" s="4" t="s">
        <v>69</v>
      </c>
      <c r="J928" s="4" t="s">
        <v>66</v>
      </c>
      <c r="K928" s="4">
        <v>0</v>
      </c>
      <c r="L928" s="94">
        <v>1283115</v>
      </c>
      <c r="M928" s="94">
        <v>5132460</v>
      </c>
    </row>
    <row r="929" spans="3:13" x14ac:dyDescent="0.3">
      <c r="C929" t="s">
        <v>70</v>
      </c>
      <c r="D929" t="s">
        <v>62</v>
      </c>
      <c r="E929" t="s">
        <v>68</v>
      </c>
      <c r="F929" t="s">
        <v>24</v>
      </c>
      <c r="G929" s="4">
        <v>13</v>
      </c>
      <c r="I929" s="4" t="s">
        <v>69</v>
      </c>
      <c r="J929" s="4" t="s">
        <v>66</v>
      </c>
      <c r="K929" s="4">
        <v>0</v>
      </c>
      <c r="L929" s="94">
        <v>20541064</v>
      </c>
      <c r="M929" s="94">
        <v>267033832</v>
      </c>
    </row>
    <row r="930" spans="3:13" x14ac:dyDescent="0.3">
      <c r="C930" t="s">
        <v>61</v>
      </c>
      <c r="D930" t="s">
        <v>67</v>
      </c>
      <c r="E930" t="s">
        <v>63</v>
      </c>
      <c r="F930" t="s">
        <v>72</v>
      </c>
      <c r="G930" s="4">
        <v>5</v>
      </c>
      <c r="H930" s="4" t="s">
        <v>14</v>
      </c>
      <c r="I930" s="4" t="s">
        <v>69</v>
      </c>
      <c r="J930" s="4" t="s">
        <v>73</v>
      </c>
      <c r="K930" s="4">
        <v>1</v>
      </c>
      <c r="L930" s="94">
        <v>-22599</v>
      </c>
      <c r="M930" s="94">
        <v>0</v>
      </c>
    </row>
    <row r="931" spans="3:13" x14ac:dyDescent="0.3">
      <c r="C931" t="s">
        <v>61</v>
      </c>
      <c r="D931" t="s">
        <v>67</v>
      </c>
      <c r="E931" t="s">
        <v>63</v>
      </c>
      <c r="F931" t="s">
        <v>25</v>
      </c>
      <c r="G931" s="4">
        <v>6</v>
      </c>
      <c r="H931" s="4" t="s">
        <v>18</v>
      </c>
      <c r="I931" s="4" t="s">
        <v>65</v>
      </c>
      <c r="J931" s="4" t="s">
        <v>66</v>
      </c>
      <c r="K931" s="4">
        <v>1</v>
      </c>
      <c r="L931" s="94">
        <v>-142</v>
      </c>
      <c r="M931" s="94">
        <v>0</v>
      </c>
    </row>
    <row r="932" spans="3:13" x14ac:dyDescent="0.3">
      <c r="C932" t="s">
        <v>71</v>
      </c>
      <c r="D932" t="s">
        <v>67</v>
      </c>
      <c r="E932" t="s">
        <v>68</v>
      </c>
      <c r="F932" t="s">
        <v>25</v>
      </c>
      <c r="G932" s="4">
        <v>7</v>
      </c>
      <c r="H932" s="4" t="s">
        <v>18</v>
      </c>
      <c r="I932" s="4" t="s">
        <v>69</v>
      </c>
      <c r="J932" s="4" t="s">
        <v>66</v>
      </c>
      <c r="K932" s="4">
        <v>0</v>
      </c>
      <c r="L932" s="94">
        <v>37507</v>
      </c>
      <c r="M932" s="94">
        <v>262549</v>
      </c>
    </row>
    <row r="933" spans="3:13" x14ac:dyDescent="0.3">
      <c r="C933" t="s">
        <v>70</v>
      </c>
      <c r="D933" t="s">
        <v>67</v>
      </c>
      <c r="E933" t="s">
        <v>68</v>
      </c>
      <c r="F933" t="s">
        <v>25</v>
      </c>
      <c r="G933" s="4">
        <v>11</v>
      </c>
      <c r="H933" s="4" t="s">
        <v>79</v>
      </c>
      <c r="I933" s="4" t="s">
        <v>69</v>
      </c>
      <c r="J933" s="4" t="s">
        <v>66</v>
      </c>
      <c r="K933" s="4">
        <v>0</v>
      </c>
      <c r="L933" s="94">
        <v>2336635</v>
      </c>
      <c r="M933" s="94">
        <v>25702985</v>
      </c>
    </row>
    <row r="934" spans="3:13" x14ac:dyDescent="0.3">
      <c r="C934" t="s">
        <v>70</v>
      </c>
      <c r="D934" t="s">
        <v>67</v>
      </c>
      <c r="E934" t="s">
        <v>68</v>
      </c>
      <c r="F934" t="s">
        <v>72</v>
      </c>
      <c r="G934" s="4">
        <v>7</v>
      </c>
      <c r="H934" s="4" t="s">
        <v>76</v>
      </c>
      <c r="I934" s="4" t="s">
        <v>69</v>
      </c>
      <c r="J934" s="4" t="s">
        <v>66</v>
      </c>
      <c r="K934" s="4">
        <v>0</v>
      </c>
      <c r="L934" s="94">
        <v>73604</v>
      </c>
      <c r="M934" s="94">
        <v>515228</v>
      </c>
    </row>
    <row r="935" spans="3:13" x14ac:dyDescent="0.3">
      <c r="C935" t="s">
        <v>70</v>
      </c>
      <c r="D935" t="s">
        <v>84</v>
      </c>
      <c r="E935" t="s">
        <v>68</v>
      </c>
      <c r="F935" t="s">
        <v>25</v>
      </c>
      <c r="G935" s="4">
        <v>7</v>
      </c>
      <c r="H935" s="4" t="s">
        <v>81</v>
      </c>
      <c r="I935" s="4" t="s">
        <v>69</v>
      </c>
      <c r="J935" s="4" t="s">
        <v>66</v>
      </c>
      <c r="K935" s="4">
        <v>0</v>
      </c>
      <c r="L935" s="94">
        <v>167339</v>
      </c>
      <c r="M935" s="94">
        <v>1171373</v>
      </c>
    </row>
    <row r="936" spans="3:13" x14ac:dyDescent="0.3">
      <c r="C936" t="s">
        <v>61</v>
      </c>
      <c r="D936" t="s">
        <v>67</v>
      </c>
      <c r="E936" t="s">
        <v>63</v>
      </c>
      <c r="F936" t="s">
        <v>26</v>
      </c>
      <c r="G936" s="4">
        <v>3</v>
      </c>
      <c r="H936" s="4" t="s">
        <v>14</v>
      </c>
      <c r="I936" s="4" t="s">
        <v>69</v>
      </c>
      <c r="J936" s="4" t="s">
        <v>73</v>
      </c>
      <c r="K936" s="4">
        <v>1</v>
      </c>
      <c r="L936" s="94">
        <v>-197087</v>
      </c>
      <c r="M936" s="94">
        <v>0</v>
      </c>
    </row>
    <row r="937" spans="3:13" x14ac:dyDescent="0.3">
      <c r="C937" t="s">
        <v>61</v>
      </c>
      <c r="D937" t="s">
        <v>62</v>
      </c>
      <c r="E937" t="s">
        <v>68</v>
      </c>
      <c r="F937" t="s">
        <v>24</v>
      </c>
      <c r="G937" s="4">
        <v>13</v>
      </c>
      <c r="I937" s="4" t="s">
        <v>65</v>
      </c>
      <c r="J937" s="4" t="s">
        <v>66</v>
      </c>
      <c r="K937" s="4">
        <v>1</v>
      </c>
      <c r="L937" s="94">
        <v>2444283</v>
      </c>
      <c r="M937" s="94">
        <v>31775679</v>
      </c>
    </row>
    <row r="938" spans="3:13" x14ac:dyDescent="0.3">
      <c r="C938" t="s">
        <v>71</v>
      </c>
      <c r="D938" t="s">
        <v>67</v>
      </c>
      <c r="E938" t="s">
        <v>68</v>
      </c>
      <c r="F938" t="s">
        <v>72</v>
      </c>
      <c r="G938" s="4">
        <v>4</v>
      </c>
      <c r="H938" s="4" t="s">
        <v>14</v>
      </c>
      <c r="I938" s="4" t="s">
        <v>69</v>
      </c>
      <c r="J938" s="4" t="s">
        <v>73</v>
      </c>
      <c r="K938" s="4">
        <v>1</v>
      </c>
      <c r="L938" s="94">
        <v>107511</v>
      </c>
      <c r="M938" s="94">
        <v>430044</v>
      </c>
    </row>
    <row r="939" spans="3:13" x14ac:dyDescent="0.3">
      <c r="C939" t="s">
        <v>61</v>
      </c>
      <c r="D939" t="s">
        <v>67</v>
      </c>
      <c r="E939" t="s">
        <v>68</v>
      </c>
      <c r="F939" t="s">
        <v>26</v>
      </c>
      <c r="G939" s="4">
        <v>2</v>
      </c>
      <c r="H939" s="4" t="s">
        <v>82</v>
      </c>
      <c r="I939" s="4" t="s">
        <v>69</v>
      </c>
      <c r="J939" s="4" t="s">
        <v>66</v>
      </c>
      <c r="K939" s="4">
        <v>0</v>
      </c>
      <c r="L939" s="94">
        <v>28718479</v>
      </c>
      <c r="M939" s="94">
        <v>57436958</v>
      </c>
    </row>
    <row r="940" spans="3:13" x14ac:dyDescent="0.3">
      <c r="C940" t="s">
        <v>61</v>
      </c>
      <c r="D940" t="s">
        <v>67</v>
      </c>
      <c r="E940" t="s">
        <v>68</v>
      </c>
      <c r="F940" t="s">
        <v>26</v>
      </c>
      <c r="G940" s="4">
        <v>1</v>
      </c>
      <c r="H940" s="4" t="s">
        <v>14</v>
      </c>
      <c r="I940" s="4" t="s">
        <v>69</v>
      </c>
      <c r="J940" s="4" t="s">
        <v>73</v>
      </c>
      <c r="K940" s="4">
        <v>1</v>
      </c>
      <c r="L940" s="94">
        <v>59048468</v>
      </c>
      <c r="M940" s="94">
        <v>59048468</v>
      </c>
    </row>
    <row r="941" spans="3:13" x14ac:dyDescent="0.3">
      <c r="C941" t="s">
        <v>70</v>
      </c>
      <c r="D941" t="s">
        <v>67</v>
      </c>
      <c r="E941" t="s">
        <v>68</v>
      </c>
      <c r="F941" t="s">
        <v>25</v>
      </c>
      <c r="G941" s="4">
        <v>5</v>
      </c>
      <c r="H941" s="4" t="s">
        <v>17</v>
      </c>
      <c r="I941" s="4" t="s">
        <v>69</v>
      </c>
      <c r="J941" s="4" t="s">
        <v>66</v>
      </c>
      <c r="K941" s="4">
        <v>0</v>
      </c>
      <c r="L941" s="94">
        <v>1172867</v>
      </c>
      <c r="M941" s="94">
        <v>5864335</v>
      </c>
    </row>
    <row r="942" spans="3:13" x14ac:dyDescent="0.3">
      <c r="C942" t="s">
        <v>71</v>
      </c>
      <c r="D942" t="s">
        <v>67</v>
      </c>
      <c r="E942" t="s">
        <v>63</v>
      </c>
      <c r="F942" t="s">
        <v>26</v>
      </c>
      <c r="G942" s="4">
        <v>-1</v>
      </c>
      <c r="H942" s="4" t="s">
        <v>14</v>
      </c>
      <c r="I942" s="4" t="s">
        <v>65</v>
      </c>
      <c r="J942" s="4" t="s">
        <v>73</v>
      </c>
      <c r="K942" s="4">
        <v>1</v>
      </c>
      <c r="L942" s="94">
        <v>-1239</v>
      </c>
      <c r="M942" s="94">
        <v>0</v>
      </c>
    </row>
    <row r="943" spans="3:13" x14ac:dyDescent="0.3">
      <c r="C943" t="s">
        <v>70</v>
      </c>
      <c r="D943" t="s">
        <v>67</v>
      </c>
      <c r="E943" t="s">
        <v>68</v>
      </c>
      <c r="F943" t="s">
        <v>72</v>
      </c>
      <c r="G943" s="4">
        <v>4</v>
      </c>
      <c r="H943" s="4" t="s">
        <v>12</v>
      </c>
      <c r="I943" s="4" t="s">
        <v>69</v>
      </c>
      <c r="J943" s="4" t="s">
        <v>66</v>
      </c>
      <c r="K943" s="4">
        <v>0</v>
      </c>
      <c r="L943" s="94">
        <v>334582</v>
      </c>
      <c r="M943" s="94">
        <v>1338328</v>
      </c>
    </row>
    <row r="944" spans="3:13" x14ac:dyDescent="0.3">
      <c r="C944" t="s">
        <v>61</v>
      </c>
      <c r="D944" t="s">
        <v>62</v>
      </c>
      <c r="E944" t="s">
        <v>68</v>
      </c>
      <c r="F944" t="s">
        <v>24</v>
      </c>
      <c r="G944" s="4">
        <v>39</v>
      </c>
      <c r="I944" s="4" t="s">
        <v>65</v>
      </c>
      <c r="J944" s="4" t="s">
        <v>66</v>
      </c>
      <c r="K944" s="4">
        <v>1</v>
      </c>
      <c r="L944" s="94">
        <v>10655961</v>
      </c>
      <c r="M944" s="94">
        <v>415582479</v>
      </c>
    </row>
    <row r="945" spans="3:13" x14ac:dyDescent="0.3">
      <c r="C945" t="s">
        <v>71</v>
      </c>
      <c r="D945" t="s">
        <v>67</v>
      </c>
      <c r="E945" t="s">
        <v>63</v>
      </c>
      <c r="F945" t="s">
        <v>26</v>
      </c>
      <c r="G945" s="4">
        <v>3</v>
      </c>
      <c r="H945" s="4" t="s">
        <v>12</v>
      </c>
      <c r="I945" s="4" t="s">
        <v>69</v>
      </c>
      <c r="J945" s="4" t="s">
        <v>73</v>
      </c>
      <c r="K945" s="4">
        <v>1</v>
      </c>
      <c r="L945" s="94">
        <v>-204193</v>
      </c>
      <c r="M945" s="94">
        <v>0</v>
      </c>
    </row>
    <row r="946" spans="3:13" x14ac:dyDescent="0.3">
      <c r="C946" t="s">
        <v>61</v>
      </c>
      <c r="D946" t="s">
        <v>67</v>
      </c>
      <c r="E946" t="s">
        <v>68</v>
      </c>
      <c r="F946" t="s">
        <v>26</v>
      </c>
      <c r="G946" s="4">
        <v>7</v>
      </c>
      <c r="H946" s="4" t="s">
        <v>17</v>
      </c>
      <c r="I946" s="4" t="s">
        <v>69</v>
      </c>
      <c r="J946" s="4" t="s">
        <v>66</v>
      </c>
      <c r="K946" s="4">
        <v>0</v>
      </c>
      <c r="L946" s="94">
        <v>930702</v>
      </c>
      <c r="M946" s="94">
        <v>6514914</v>
      </c>
    </row>
    <row r="947" spans="3:13" x14ac:dyDescent="0.3">
      <c r="C947" t="s">
        <v>61</v>
      </c>
      <c r="D947" t="s">
        <v>67</v>
      </c>
      <c r="E947" t="s">
        <v>68</v>
      </c>
      <c r="F947" t="s">
        <v>72</v>
      </c>
      <c r="G947" s="4">
        <v>3</v>
      </c>
      <c r="H947" s="4" t="s">
        <v>15</v>
      </c>
      <c r="I947" s="4" t="s">
        <v>69</v>
      </c>
      <c r="J947" s="4" t="s">
        <v>66</v>
      </c>
      <c r="K947" s="4">
        <v>0</v>
      </c>
      <c r="L947" s="94">
        <v>3110666</v>
      </c>
      <c r="M947" s="94">
        <v>9331998</v>
      </c>
    </row>
    <row r="948" spans="3:13" x14ac:dyDescent="0.3">
      <c r="C948" t="s">
        <v>70</v>
      </c>
      <c r="D948" t="s">
        <v>67</v>
      </c>
      <c r="E948" t="s">
        <v>63</v>
      </c>
      <c r="F948" t="s">
        <v>26</v>
      </c>
      <c r="G948" s="4">
        <v>-4</v>
      </c>
      <c r="H948" s="4" t="s">
        <v>14</v>
      </c>
      <c r="I948" s="4" t="s">
        <v>69</v>
      </c>
      <c r="J948" s="4" t="s">
        <v>73</v>
      </c>
      <c r="K948" s="4">
        <v>1</v>
      </c>
      <c r="L948" s="94">
        <v>-2782</v>
      </c>
      <c r="M948" s="94">
        <v>0</v>
      </c>
    </row>
    <row r="949" spans="3:13" x14ac:dyDescent="0.3">
      <c r="C949" t="s">
        <v>61</v>
      </c>
      <c r="D949" t="s">
        <v>67</v>
      </c>
      <c r="E949" t="s">
        <v>63</v>
      </c>
      <c r="F949" t="s">
        <v>72</v>
      </c>
      <c r="G949" s="4">
        <v>-1</v>
      </c>
      <c r="H949" s="4" t="s">
        <v>79</v>
      </c>
      <c r="I949" s="4" t="s">
        <v>69</v>
      </c>
      <c r="J949" s="4" t="s">
        <v>66</v>
      </c>
      <c r="K949" s="4">
        <v>0</v>
      </c>
      <c r="L949" s="94">
        <v>-255</v>
      </c>
      <c r="M949" s="94">
        <v>0</v>
      </c>
    </row>
    <row r="950" spans="3:13" x14ac:dyDescent="0.3">
      <c r="C950" t="s">
        <v>70</v>
      </c>
      <c r="D950" t="s">
        <v>67</v>
      </c>
      <c r="E950" t="s">
        <v>63</v>
      </c>
      <c r="F950" t="s">
        <v>26</v>
      </c>
      <c r="G950" s="4">
        <v>-1</v>
      </c>
      <c r="H950" s="4" t="s">
        <v>18</v>
      </c>
      <c r="I950" s="4" t="s">
        <v>65</v>
      </c>
      <c r="J950" s="4" t="s">
        <v>66</v>
      </c>
      <c r="K950" s="4">
        <v>1</v>
      </c>
      <c r="L950" s="94">
        <v>-31334</v>
      </c>
      <c r="M950" s="94">
        <v>0</v>
      </c>
    </row>
    <row r="951" spans="3:13" x14ac:dyDescent="0.3">
      <c r="C951" t="s">
        <v>70</v>
      </c>
      <c r="D951" t="s">
        <v>67</v>
      </c>
      <c r="E951" t="s">
        <v>63</v>
      </c>
      <c r="F951" t="s">
        <v>25</v>
      </c>
      <c r="G951" s="4">
        <v>3</v>
      </c>
      <c r="H951" s="4" t="s">
        <v>14</v>
      </c>
      <c r="I951" s="4" t="s">
        <v>69</v>
      </c>
      <c r="J951" s="4" t="s">
        <v>66</v>
      </c>
      <c r="K951" s="4">
        <v>1</v>
      </c>
      <c r="L951" s="94">
        <v>-40473</v>
      </c>
      <c r="M951" s="94">
        <v>0</v>
      </c>
    </row>
    <row r="952" spans="3:13" x14ac:dyDescent="0.3">
      <c r="C952" t="s">
        <v>70</v>
      </c>
      <c r="D952" t="s">
        <v>67</v>
      </c>
      <c r="E952" t="s">
        <v>68</v>
      </c>
      <c r="F952" t="s">
        <v>25</v>
      </c>
      <c r="G952" s="4">
        <v>8</v>
      </c>
      <c r="H952" s="4" t="s">
        <v>17</v>
      </c>
      <c r="I952" s="4" t="s">
        <v>69</v>
      </c>
      <c r="J952" s="4" t="s">
        <v>66</v>
      </c>
      <c r="K952" s="4">
        <v>1</v>
      </c>
      <c r="L952" s="94">
        <v>22536</v>
      </c>
      <c r="M952" s="94">
        <v>180288</v>
      </c>
    </row>
    <row r="953" spans="3:13" x14ac:dyDescent="0.3">
      <c r="C953" t="s">
        <v>61</v>
      </c>
      <c r="D953" t="s">
        <v>67</v>
      </c>
      <c r="E953" t="s">
        <v>63</v>
      </c>
      <c r="F953" t="s">
        <v>26</v>
      </c>
      <c r="G953" s="4">
        <v>-1</v>
      </c>
      <c r="H953" s="4" t="s">
        <v>89</v>
      </c>
      <c r="I953" s="4" t="s">
        <v>69</v>
      </c>
      <c r="J953" s="4" t="s">
        <v>66</v>
      </c>
      <c r="K953" s="4">
        <v>0</v>
      </c>
      <c r="L953" s="94">
        <v>-801</v>
      </c>
      <c r="M953" s="94">
        <v>0</v>
      </c>
    </row>
    <row r="954" spans="3:13" x14ac:dyDescent="0.3">
      <c r="C954" t="s">
        <v>61</v>
      </c>
      <c r="D954" t="s">
        <v>67</v>
      </c>
      <c r="E954" t="s">
        <v>68</v>
      </c>
      <c r="F954" t="s">
        <v>26</v>
      </c>
      <c r="G954" s="4">
        <v>6</v>
      </c>
      <c r="H954" s="4" t="s">
        <v>16</v>
      </c>
      <c r="I954" s="4" t="s">
        <v>69</v>
      </c>
      <c r="J954" s="4" t="s">
        <v>66</v>
      </c>
      <c r="K954" s="4">
        <v>0</v>
      </c>
      <c r="L954" s="94">
        <v>2072508</v>
      </c>
      <c r="M954" s="94">
        <v>12435048</v>
      </c>
    </row>
    <row r="955" spans="3:13" x14ac:dyDescent="0.3">
      <c r="C955" t="s">
        <v>70</v>
      </c>
      <c r="D955" t="s">
        <v>62</v>
      </c>
      <c r="E955" t="s">
        <v>68</v>
      </c>
      <c r="F955" t="s">
        <v>24</v>
      </c>
      <c r="G955" s="4">
        <v>39</v>
      </c>
      <c r="I955" s="4" t="s">
        <v>69</v>
      </c>
      <c r="J955" s="4" t="s">
        <v>66</v>
      </c>
      <c r="K955" s="4">
        <v>0</v>
      </c>
      <c r="L955" s="94">
        <v>24934834</v>
      </c>
      <c r="M955" s="94">
        <v>972458526</v>
      </c>
    </row>
    <row r="956" spans="3:13" x14ac:dyDescent="0.3">
      <c r="C956" t="s">
        <v>61</v>
      </c>
      <c r="D956" t="s">
        <v>67</v>
      </c>
      <c r="E956" t="s">
        <v>68</v>
      </c>
      <c r="F956" t="s">
        <v>26</v>
      </c>
      <c r="G956" s="4">
        <v>2</v>
      </c>
      <c r="H956" s="4" t="s">
        <v>17</v>
      </c>
      <c r="I956" s="4" t="s">
        <v>69</v>
      </c>
      <c r="J956" s="4" t="s">
        <v>66</v>
      </c>
      <c r="K956" s="4">
        <v>0</v>
      </c>
      <c r="L956" s="94">
        <v>34267633</v>
      </c>
      <c r="M956" s="94">
        <v>68535266</v>
      </c>
    </row>
    <row r="957" spans="3:13" x14ac:dyDescent="0.3">
      <c r="C957" t="s">
        <v>61</v>
      </c>
      <c r="D957" t="s">
        <v>67</v>
      </c>
      <c r="E957" t="s">
        <v>68</v>
      </c>
      <c r="F957" t="s">
        <v>25</v>
      </c>
      <c r="G957" s="4">
        <v>5</v>
      </c>
      <c r="H957" s="4" t="s">
        <v>75</v>
      </c>
      <c r="I957" s="4" t="s">
        <v>69</v>
      </c>
      <c r="J957" s="4" t="s">
        <v>66</v>
      </c>
      <c r="K957" s="4">
        <v>1</v>
      </c>
      <c r="L957" s="94">
        <v>488177</v>
      </c>
      <c r="M957" s="94">
        <v>2440885</v>
      </c>
    </row>
    <row r="958" spans="3:13" x14ac:dyDescent="0.3">
      <c r="C958" t="s">
        <v>61</v>
      </c>
      <c r="D958" t="s">
        <v>67</v>
      </c>
      <c r="E958" t="s">
        <v>63</v>
      </c>
      <c r="F958" t="s">
        <v>25</v>
      </c>
      <c r="G958" s="4">
        <v>9</v>
      </c>
      <c r="H958" s="4" t="s">
        <v>12</v>
      </c>
      <c r="I958" s="4" t="s">
        <v>69</v>
      </c>
      <c r="J958" s="4" t="s">
        <v>66</v>
      </c>
      <c r="K958" s="4">
        <v>1</v>
      </c>
      <c r="L958" s="94">
        <v>-5386</v>
      </c>
      <c r="M958" s="94">
        <v>0</v>
      </c>
    </row>
    <row r="959" spans="3:13" x14ac:dyDescent="0.3">
      <c r="C959" t="s">
        <v>61</v>
      </c>
      <c r="D959" t="s">
        <v>67</v>
      </c>
      <c r="E959" t="s">
        <v>63</v>
      </c>
      <c r="F959" t="s">
        <v>26</v>
      </c>
      <c r="G959" s="4">
        <v>1</v>
      </c>
      <c r="H959" s="4" t="s">
        <v>78</v>
      </c>
      <c r="I959" s="4" t="s">
        <v>69</v>
      </c>
      <c r="J959" s="4" t="s">
        <v>66</v>
      </c>
      <c r="K959" s="4">
        <v>0</v>
      </c>
      <c r="L959" s="94">
        <v>-22182</v>
      </c>
      <c r="M959" s="94">
        <v>0</v>
      </c>
    </row>
    <row r="960" spans="3:13" x14ac:dyDescent="0.3">
      <c r="C960" t="s">
        <v>70</v>
      </c>
      <c r="D960" t="s">
        <v>62</v>
      </c>
      <c r="E960" t="s">
        <v>68</v>
      </c>
      <c r="F960" t="s">
        <v>24</v>
      </c>
      <c r="G960" s="4">
        <v>45</v>
      </c>
      <c r="I960" s="4" t="s">
        <v>69</v>
      </c>
      <c r="J960" s="4" t="s">
        <v>66</v>
      </c>
      <c r="K960" s="4">
        <v>0</v>
      </c>
      <c r="L960" s="94">
        <v>430536</v>
      </c>
      <c r="M960" s="94">
        <v>19374120</v>
      </c>
    </row>
    <row r="961" spans="3:13" x14ac:dyDescent="0.3">
      <c r="C961" t="s">
        <v>61</v>
      </c>
      <c r="D961" t="s">
        <v>67</v>
      </c>
      <c r="E961" t="s">
        <v>68</v>
      </c>
      <c r="F961" t="s">
        <v>25</v>
      </c>
      <c r="G961" s="4">
        <v>10</v>
      </c>
      <c r="H961" s="4" t="s">
        <v>83</v>
      </c>
      <c r="I961" s="4" t="s">
        <v>69</v>
      </c>
      <c r="J961" s="4" t="s">
        <v>66</v>
      </c>
      <c r="K961" s="4">
        <v>0</v>
      </c>
      <c r="L961" s="94">
        <v>3806055</v>
      </c>
      <c r="M961" s="94">
        <v>38060550</v>
      </c>
    </row>
    <row r="962" spans="3:13" x14ac:dyDescent="0.3">
      <c r="C962" t="s">
        <v>61</v>
      </c>
      <c r="D962" t="s">
        <v>67</v>
      </c>
      <c r="E962" t="s">
        <v>63</v>
      </c>
      <c r="F962" t="s">
        <v>26</v>
      </c>
      <c r="G962" s="4">
        <v>4</v>
      </c>
      <c r="H962" s="4" t="s">
        <v>80</v>
      </c>
      <c r="I962" s="4" t="s">
        <v>69</v>
      </c>
      <c r="J962" s="4" t="s">
        <v>66</v>
      </c>
      <c r="K962" s="4">
        <v>0</v>
      </c>
      <c r="L962" s="94">
        <v>-5082</v>
      </c>
      <c r="M962" s="94">
        <v>0</v>
      </c>
    </row>
    <row r="963" spans="3:13" x14ac:dyDescent="0.3">
      <c r="C963" t="s">
        <v>70</v>
      </c>
      <c r="D963" t="s">
        <v>67</v>
      </c>
      <c r="E963" t="s">
        <v>63</v>
      </c>
      <c r="F963" t="s">
        <v>26</v>
      </c>
      <c r="G963" s="4">
        <v>4</v>
      </c>
      <c r="H963" s="4" t="s">
        <v>18</v>
      </c>
      <c r="I963" s="4" t="s">
        <v>69</v>
      </c>
      <c r="J963" s="4" t="s">
        <v>73</v>
      </c>
      <c r="K963" s="4">
        <v>1</v>
      </c>
      <c r="L963" s="94">
        <v>-99649</v>
      </c>
      <c r="M963" s="94">
        <v>0</v>
      </c>
    </row>
    <row r="964" spans="3:13" x14ac:dyDescent="0.3">
      <c r="C964" t="s">
        <v>61</v>
      </c>
      <c r="D964" t="s">
        <v>67</v>
      </c>
      <c r="E964" t="s">
        <v>68</v>
      </c>
      <c r="F964" t="s">
        <v>72</v>
      </c>
      <c r="G964" s="4">
        <v>1</v>
      </c>
      <c r="H964" s="4" t="s">
        <v>12</v>
      </c>
      <c r="I964" s="4" t="s">
        <v>69</v>
      </c>
      <c r="J964" s="4" t="s">
        <v>66</v>
      </c>
      <c r="K964" s="4">
        <v>0</v>
      </c>
      <c r="L964" s="94">
        <v>347485</v>
      </c>
      <c r="M964" s="94">
        <v>347485</v>
      </c>
    </row>
    <row r="965" spans="3:13" x14ac:dyDescent="0.3">
      <c r="C965" t="s">
        <v>61</v>
      </c>
      <c r="D965" t="s">
        <v>67</v>
      </c>
      <c r="E965" t="s">
        <v>63</v>
      </c>
      <c r="F965" t="s">
        <v>26</v>
      </c>
      <c r="G965" s="4">
        <v>10</v>
      </c>
      <c r="H965" s="4" t="s">
        <v>12</v>
      </c>
      <c r="I965" s="4" t="s">
        <v>69</v>
      </c>
      <c r="J965" s="4" t="s">
        <v>73</v>
      </c>
      <c r="K965" s="4">
        <v>1</v>
      </c>
      <c r="L965" s="94">
        <v>-22006</v>
      </c>
      <c r="M965" s="94">
        <v>0</v>
      </c>
    </row>
    <row r="966" spans="3:13" x14ac:dyDescent="0.3">
      <c r="C966" t="s">
        <v>71</v>
      </c>
      <c r="D966" t="s">
        <v>67</v>
      </c>
      <c r="E966" t="s">
        <v>68</v>
      </c>
      <c r="F966" t="s">
        <v>26</v>
      </c>
      <c r="G966" s="4">
        <v>2</v>
      </c>
      <c r="H966" s="4" t="s">
        <v>75</v>
      </c>
      <c r="I966" s="4" t="s">
        <v>69</v>
      </c>
      <c r="J966" s="4" t="s">
        <v>66</v>
      </c>
      <c r="K966" s="4">
        <v>0</v>
      </c>
      <c r="L966" s="94">
        <v>479001</v>
      </c>
      <c r="M966" s="94">
        <v>958002</v>
      </c>
    </row>
    <row r="967" spans="3:13" x14ac:dyDescent="0.3">
      <c r="C967" t="s">
        <v>70</v>
      </c>
      <c r="D967" t="s">
        <v>62</v>
      </c>
      <c r="E967" t="s">
        <v>63</v>
      </c>
      <c r="F967" t="s">
        <v>24</v>
      </c>
      <c r="G967" s="4">
        <v>5</v>
      </c>
      <c r="I967" s="4" t="s">
        <v>69</v>
      </c>
      <c r="J967" s="4" t="s">
        <v>66</v>
      </c>
      <c r="K967" s="4">
        <v>1</v>
      </c>
      <c r="L967" s="94">
        <v>-683</v>
      </c>
      <c r="M967" s="94">
        <v>0</v>
      </c>
    </row>
    <row r="968" spans="3:13" x14ac:dyDescent="0.3">
      <c r="C968" t="s">
        <v>71</v>
      </c>
      <c r="D968" t="s">
        <v>67</v>
      </c>
      <c r="E968" t="s">
        <v>63</v>
      </c>
      <c r="F968" t="s">
        <v>72</v>
      </c>
      <c r="G968" s="4">
        <v>5</v>
      </c>
      <c r="H968" s="4" t="s">
        <v>17</v>
      </c>
      <c r="I968" s="4" t="s">
        <v>65</v>
      </c>
      <c r="J968" s="4" t="s">
        <v>73</v>
      </c>
      <c r="K968" s="4">
        <v>1</v>
      </c>
      <c r="L968" s="94">
        <v>-27443</v>
      </c>
      <c r="M968" s="94">
        <v>0</v>
      </c>
    </row>
    <row r="969" spans="3:13" x14ac:dyDescent="0.3">
      <c r="C969" t="s">
        <v>61</v>
      </c>
      <c r="D969" t="s">
        <v>62</v>
      </c>
      <c r="E969" t="s">
        <v>63</v>
      </c>
      <c r="F969" t="s">
        <v>24</v>
      </c>
      <c r="G969" s="4">
        <v>7</v>
      </c>
      <c r="I969" s="4" t="s">
        <v>69</v>
      </c>
      <c r="J969" s="4" t="s">
        <v>66</v>
      </c>
      <c r="K969" s="4">
        <v>1</v>
      </c>
      <c r="L969" s="94">
        <v>-690</v>
      </c>
      <c r="M969" s="94">
        <v>0</v>
      </c>
    </row>
    <row r="970" spans="3:13" x14ac:dyDescent="0.3">
      <c r="C970" t="s">
        <v>71</v>
      </c>
      <c r="D970" t="s">
        <v>67</v>
      </c>
      <c r="E970" t="s">
        <v>68</v>
      </c>
      <c r="F970" t="s">
        <v>26</v>
      </c>
      <c r="G970" s="4">
        <v>0</v>
      </c>
      <c r="H970" s="4" t="s">
        <v>79</v>
      </c>
      <c r="I970" s="4" t="s">
        <v>69</v>
      </c>
      <c r="J970" s="4" t="s">
        <v>66</v>
      </c>
      <c r="K970" s="4">
        <v>0</v>
      </c>
      <c r="L970" s="94">
        <v>15098</v>
      </c>
      <c r="M970" s="94">
        <v>0</v>
      </c>
    </row>
    <row r="971" spans="3:13" x14ac:dyDescent="0.3">
      <c r="C971" t="s">
        <v>70</v>
      </c>
      <c r="D971" t="s">
        <v>67</v>
      </c>
      <c r="E971" t="s">
        <v>63</v>
      </c>
      <c r="F971" t="s">
        <v>26</v>
      </c>
      <c r="G971" s="4">
        <v>5</v>
      </c>
      <c r="H971" s="4" t="s">
        <v>64</v>
      </c>
      <c r="I971" s="4" t="s">
        <v>69</v>
      </c>
      <c r="J971" s="4" t="s">
        <v>66</v>
      </c>
      <c r="K971" s="4">
        <v>0</v>
      </c>
      <c r="L971" s="94">
        <v>-35014</v>
      </c>
      <c r="M971" s="94">
        <v>0</v>
      </c>
    </row>
    <row r="972" spans="3:13" x14ac:dyDescent="0.3">
      <c r="C972" t="s">
        <v>70</v>
      </c>
      <c r="D972" t="s">
        <v>67</v>
      </c>
      <c r="E972" t="s">
        <v>68</v>
      </c>
      <c r="F972" t="s">
        <v>25</v>
      </c>
      <c r="G972" s="4">
        <v>9</v>
      </c>
      <c r="H972" s="4" t="s">
        <v>12</v>
      </c>
      <c r="I972" s="4" t="s">
        <v>69</v>
      </c>
      <c r="J972" s="4" t="s">
        <v>66</v>
      </c>
      <c r="K972" s="4">
        <v>0</v>
      </c>
      <c r="L972" s="94">
        <v>1131278</v>
      </c>
      <c r="M972" s="94">
        <v>10181502</v>
      </c>
    </row>
    <row r="973" spans="3:13" x14ac:dyDescent="0.3">
      <c r="C973" t="s">
        <v>71</v>
      </c>
      <c r="D973" t="s">
        <v>67</v>
      </c>
      <c r="E973" t="s">
        <v>63</v>
      </c>
      <c r="F973" t="s">
        <v>25</v>
      </c>
      <c r="G973" s="4">
        <v>-4</v>
      </c>
      <c r="H973" s="4" t="s">
        <v>75</v>
      </c>
      <c r="I973" s="4" t="s">
        <v>65</v>
      </c>
      <c r="J973" s="4" t="s">
        <v>66</v>
      </c>
      <c r="K973" s="4">
        <v>1</v>
      </c>
      <c r="L973" s="94">
        <v>-459531</v>
      </c>
      <c r="M973" s="94">
        <v>0</v>
      </c>
    </row>
    <row r="974" spans="3:13" x14ac:dyDescent="0.3">
      <c r="C974" t="s">
        <v>71</v>
      </c>
      <c r="D974" t="s">
        <v>62</v>
      </c>
      <c r="E974" t="s">
        <v>63</v>
      </c>
      <c r="F974" t="s">
        <v>24</v>
      </c>
      <c r="G974" s="4">
        <v>40</v>
      </c>
      <c r="I974" s="4" t="s">
        <v>69</v>
      </c>
      <c r="J974" s="4" t="s">
        <v>66</v>
      </c>
      <c r="K974" s="4">
        <v>0</v>
      </c>
      <c r="L974" s="94">
        <v>-315670</v>
      </c>
      <c r="M974" s="94">
        <v>0</v>
      </c>
    </row>
    <row r="975" spans="3:13" x14ac:dyDescent="0.3">
      <c r="C975" t="s">
        <v>61</v>
      </c>
      <c r="D975" t="s">
        <v>67</v>
      </c>
      <c r="E975" t="s">
        <v>68</v>
      </c>
      <c r="F975" t="s">
        <v>25</v>
      </c>
      <c r="G975" s="4">
        <v>8</v>
      </c>
      <c r="H975" s="4" t="s">
        <v>75</v>
      </c>
      <c r="I975" s="4" t="s">
        <v>69</v>
      </c>
      <c r="J975" s="4" t="s">
        <v>66</v>
      </c>
      <c r="K975" s="4">
        <v>0</v>
      </c>
      <c r="L975" s="94">
        <v>31413681</v>
      </c>
      <c r="M975" s="94">
        <v>251309448</v>
      </c>
    </row>
    <row r="976" spans="3:13" x14ac:dyDescent="0.3">
      <c r="C976" t="s">
        <v>61</v>
      </c>
      <c r="D976" t="s">
        <v>67</v>
      </c>
      <c r="E976" t="s">
        <v>68</v>
      </c>
      <c r="F976" t="s">
        <v>25</v>
      </c>
      <c r="G976" s="4">
        <v>-1</v>
      </c>
      <c r="H976" s="4" t="s">
        <v>76</v>
      </c>
      <c r="I976" s="4" t="s">
        <v>69</v>
      </c>
      <c r="J976" s="4" t="s">
        <v>66</v>
      </c>
      <c r="K976" s="4">
        <v>0</v>
      </c>
      <c r="L976" s="94">
        <v>4507371</v>
      </c>
      <c r="M976" s="94">
        <v>0</v>
      </c>
    </row>
    <row r="977" spans="3:13" x14ac:dyDescent="0.3">
      <c r="C977" t="s">
        <v>61</v>
      </c>
      <c r="D977" t="s">
        <v>67</v>
      </c>
      <c r="E977" t="s">
        <v>68</v>
      </c>
      <c r="F977" t="s">
        <v>72</v>
      </c>
      <c r="G977" s="4">
        <v>9</v>
      </c>
      <c r="H977" s="4" t="s">
        <v>75</v>
      </c>
      <c r="I977" s="4" t="s">
        <v>69</v>
      </c>
      <c r="J977" s="4" t="s">
        <v>66</v>
      </c>
      <c r="K977" s="4">
        <v>0</v>
      </c>
      <c r="L977" s="94">
        <v>1645269</v>
      </c>
      <c r="M977" s="94">
        <v>14807421</v>
      </c>
    </row>
    <row r="978" spans="3:13" x14ac:dyDescent="0.3">
      <c r="C978" t="s">
        <v>71</v>
      </c>
      <c r="D978" t="s">
        <v>67</v>
      </c>
      <c r="E978" t="s">
        <v>63</v>
      </c>
      <c r="F978" t="s">
        <v>72</v>
      </c>
      <c r="G978" s="4">
        <v>3</v>
      </c>
      <c r="H978" s="4" t="s">
        <v>14</v>
      </c>
      <c r="I978" s="4" t="s">
        <v>69</v>
      </c>
      <c r="J978" s="4" t="s">
        <v>66</v>
      </c>
      <c r="K978" s="4">
        <v>0</v>
      </c>
      <c r="L978" s="94">
        <v>-204606</v>
      </c>
      <c r="M978" s="94">
        <v>0</v>
      </c>
    </row>
    <row r="979" spans="3:13" x14ac:dyDescent="0.3">
      <c r="C979" t="s">
        <v>61</v>
      </c>
      <c r="D979" t="s">
        <v>67</v>
      </c>
      <c r="E979" t="s">
        <v>63</v>
      </c>
      <c r="F979" t="s">
        <v>25</v>
      </c>
      <c r="G979" s="4">
        <v>11</v>
      </c>
      <c r="H979" s="4" t="s">
        <v>75</v>
      </c>
      <c r="I979" s="4" t="s">
        <v>65</v>
      </c>
      <c r="J979" s="4" t="s">
        <v>66</v>
      </c>
      <c r="K979" s="4">
        <v>1</v>
      </c>
      <c r="L979" s="94">
        <v>-259</v>
      </c>
      <c r="M979" s="94">
        <v>0</v>
      </c>
    </row>
    <row r="980" spans="3:13" x14ac:dyDescent="0.3">
      <c r="C980" t="s">
        <v>61</v>
      </c>
      <c r="D980" t="s">
        <v>67</v>
      </c>
      <c r="E980" t="s">
        <v>63</v>
      </c>
      <c r="F980" t="s">
        <v>26</v>
      </c>
      <c r="G980" s="4">
        <v>4</v>
      </c>
      <c r="H980" s="4" t="s">
        <v>17</v>
      </c>
      <c r="I980" s="4" t="s">
        <v>65</v>
      </c>
      <c r="J980" s="4" t="s">
        <v>73</v>
      </c>
      <c r="K980" s="4">
        <v>1</v>
      </c>
      <c r="L980" s="94">
        <v>-3057</v>
      </c>
      <c r="M980" s="94">
        <v>0</v>
      </c>
    </row>
    <row r="981" spans="3:13" x14ac:dyDescent="0.3">
      <c r="C981" t="s">
        <v>71</v>
      </c>
      <c r="D981" t="s">
        <v>67</v>
      </c>
      <c r="E981" t="s">
        <v>63</v>
      </c>
      <c r="F981" t="s">
        <v>26</v>
      </c>
      <c r="G981" s="4">
        <v>10</v>
      </c>
      <c r="H981" s="4" t="s">
        <v>14</v>
      </c>
      <c r="I981" s="4" t="s">
        <v>69</v>
      </c>
      <c r="J981" s="4" t="s">
        <v>73</v>
      </c>
      <c r="K981" s="4">
        <v>1</v>
      </c>
      <c r="L981" s="94">
        <v>-1857632</v>
      </c>
      <c r="M981" s="94">
        <v>0</v>
      </c>
    </row>
    <row r="982" spans="3:13" x14ac:dyDescent="0.3">
      <c r="C982" t="s">
        <v>70</v>
      </c>
      <c r="D982" t="s">
        <v>67</v>
      </c>
      <c r="E982" t="s">
        <v>63</v>
      </c>
      <c r="F982" t="s">
        <v>26</v>
      </c>
      <c r="G982" s="4">
        <v>7</v>
      </c>
      <c r="H982" s="4" t="s">
        <v>12</v>
      </c>
      <c r="I982" s="4" t="s">
        <v>69</v>
      </c>
      <c r="J982" s="4" t="s">
        <v>73</v>
      </c>
      <c r="K982" s="4">
        <v>1</v>
      </c>
      <c r="L982" s="94">
        <v>-363327</v>
      </c>
      <c r="M982" s="94">
        <v>0</v>
      </c>
    </row>
    <row r="983" spans="3:13" x14ac:dyDescent="0.3">
      <c r="C983" t="s">
        <v>61</v>
      </c>
      <c r="D983" t="s">
        <v>67</v>
      </c>
      <c r="E983" t="s">
        <v>68</v>
      </c>
      <c r="F983" t="s">
        <v>72</v>
      </c>
      <c r="G983" s="4">
        <v>0</v>
      </c>
      <c r="H983" s="4" t="s">
        <v>81</v>
      </c>
      <c r="I983" s="4" t="s">
        <v>69</v>
      </c>
      <c r="J983" s="4" t="s">
        <v>66</v>
      </c>
      <c r="K983" s="4">
        <v>0</v>
      </c>
      <c r="L983" s="94">
        <v>26290</v>
      </c>
      <c r="M983" s="94">
        <v>0</v>
      </c>
    </row>
    <row r="984" spans="3:13" x14ac:dyDescent="0.3">
      <c r="C984" t="s">
        <v>70</v>
      </c>
      <c r="D984" t="s">
        <v>67</v>
      </c>
      <c r="E984" t="s">
        <v>68</v>
      </c>
      <c r="F984" t="s">
        <v>72</v>
      </c>
      <c r="G984" s="4">
        <v>-1</v>
      </c>
      <c r="H984" s="4" t="s">
        <v>75</v>
      </c>
      <c r="I984" s="4" t="s">
        <v>69</v>
      </c>
      <c r="J984" s="4" t="s">
        <v>66</v>
      </c>
      <c r="K984" s="4">
        <v>0</v>
      </c>
      <c r="L984" s="94">
        <v>3139714</v>
      </c>
      <c r="M984" s="94">
        <v>0</v>
      </c>
    </row>
    <row r="985" spans="3:13" x14ac:dyDescent="0.3">
      <c r="C985" t="s">
        <v>61</v>
      </c>
      <c r="D985" t="s">
        <v>62</v>
      </c>
      <c r="E985" t="s">
        <v>63</v>
      </c>
      <c r="F985" t="s">
        <v>24</v>
      </c>
      <c r="G985" s="4">
        <v>24</v>
      </c>
      <c r="I985" s="4" t="s">
        <v>69</v>
      </c>
      <c r="J985" s="4" t="s">
        <v>66</v>
      </c>
      <c r="K985" s="4">
        <v>1</v>
      </c>
      <c r="L985" s="94">
        <v>-920</v>
      </c>
      <c r="M985" s="94">
        <v>0</v>
      </c>
    </row>
    <row r="986" spans="3:13" x14ac:dyDescent="0.3">
      <c r="C986" t="s">
        <v>70</v>
      </c>
      <c r="D986" t="s">
        <v>67</v>
      </c>
      <c r="E986" t="s">
        <v>63</v>
      </c>
      <c r="F986" t="s">
        <v>25</v>
      </c>
      <c r="G986" s="4">
        <v>12</v>
      </c>
      <c r="H986" s="4" t="s">
        <v>17</v>
      </c>
      <c r="I986" s="4" t="s">
        <v>69</v>
      </c>
      <c r="J986" s="4" t="s">
        <v>66</v>
      </c>
      <c r="K986" s="4">
        <v>0</v>
      </c>
      <c r="L986" s="94">
        <v>-71544</v>
      </c>
      <c r="M986" s="94">
        <v>0</v>
      </c>
    </row>
    <row r="987" spans="3:13" x14ac:dyDescent="0.3">
      <c r="C987" t="s">
        <v>70</v>
      </c>
      <c r="D987" t="s">
        <v>62</v>
      </c>
      <c r="E987" t="s">
        <v>63</v>
      </c>
      <c r="F987" t="s">
        <v>24</v>
      </c>
      <c r="G987" s="4">
        <v>16</v>
      </c>
      <c r="I987" s="4" t="s">
        <v>69</v>
      </c>
      <c r="J987" s="4" t="s">
        <v>66</v>
      </c>
      <c r="K987" s="4">
        <v>1</v>
      </c>
      <c r="L987" s="94">
        <v>-9721</v>
      </c>
      <c r="M987" s="94">
        <v>0</v>
      </c>
    </row>
    <row r="988" spans="3:13" x14ac:dyDescent="0.3">
      <c r="C988" t="s">
        <v>70</v>
      </c>
      <c r="D988" t="s">
        <v>67</v>
      </c>
      <c r="E988" t="s">
        <v>63</v>
      </c>
      <c r="F988" t="s">
        <v>26</v>
      </c>
      <c r="G988" s="4">
        <v>0</v>
      </c>
      <c r="H988" s="4" t="s">
        <v>82</v>
      </c>
      <c r="I988" s="4" t="s">
        <v>65</v>
      </c>
      <c r="J988" s="4" t="s">
        <v>66</v>
      </c>
      <c r="K988" s="4">
        <v>1</v>
      </c>
      <c r="L988" s="94">
        <v>-616822</v>
      </c>
      <c r="M988" s="94">
        <v>0</v>
      </c>
    </row>
    <row r="989" spans="3:13" x14ac:dyDescent="0.3">
      <c r="C989" t="s">
        <v>71</v>
      </c>
      <c r="D989" t="s">
        <v>62</v>
      </c>
      <c r="E989" t="s">
        <v>63</v>
      </c>
      <c r="F989" t="s">
        <v>24</v>
      </c>
      <c r="G989" s="4">
        <v>5</v>
      </c>
      <c r="I989" s="4" t="s">
        <v>69</v>
      </c>
      <c r="J989" s="4" t="s">
        <v>66</v>
      </c>
      <c r="K989" s="4">
        <v>1</v>
      </c>
      <c r="L989" s="94">
        <v>-4645</v>
      </c>
      <c r="M989" s="94">
        <v>0</v>
      </c>
    </row>
    <row r="990" spans="3:13" x14ac:dyDescent="0.3">
      <c r="C990" t="s">
        <v>61</v>
      </c>
      <c r="D990" t="s">
        <v>67</v>
      </c>
      <c r="E990" t="s">
        <v>68</v>
      </c>
      <c r="F990" t="s">
        <v>25</v>
      </c>
      <c r="G990" s="4">
        <v>15</v>
      </c>
      <c r="H990" s="4" t="s">
        <v>17</v>
      </c>
      <c r="I990" s="4" t="s">
        <v>69</v>
      </c>
      <c r="J990" s="4" t="s">
        <v>66</v>
      </c>
      <c r="K990" s="4">
        <v>0</v>
      </c>
      <c r="L990" s="94">
        <v>20582703</v>
      </c>
      <c r="M990" s="94">
        <v>308740545</v>
      </c>
    </row>
    <row r="991" spans="3:13" x14ac:dyDescent="0.3">
      <c r="C991" t="s">
        <v>61</v>
      </c>
      <c r="D991" t="s">
        <v>84</v>
      </c>
      <c r="E991" t="s">
        <v>68</v>
      </c>
      <c r="F991" t="s">
        <v>25</v>
      </c>
      <c r="G991" s="4">
        <v>11</v>
      </c>
      <c r="H991" s="4" t="s">
        <v>75</v>
      </c>
      <c r="I991" s="4" t="s">
        <v>65</v>
      </c>
      <c r="J991" s="4" t="s">
        <v>66</v>
      </c>
      <c r="K991" s="4">
        <v>1</v>
      </c>
      <c r="L991" s="94">
        <v>1526841</v>
      </c>
      <c r="M991" s="94">
        <v>16795251</v>
      </c>
    </row>
    <row r="992" spans="3:13" x14ac:dyDescent="0.3">
      <c r="C992" t="s">
        <v>70</v>
      </c>
      <c r="D992" t="s">
        <v>67</v>
      </c>
      <c r="E992" t="s">
        <v>68</v>
      </c>
      <c r="F992" t="s">
        <v>72</v>
      </c>
      <c r="G992" s="4">
        <v>5</v>
      </c>
      <c r="H992" s="4" t="s">
        <v>17</v>
      </c>
      <c r="I992" s="4" t="s">
        <v>69</v>
      </c>
      <c r="J992" s="4" t="s">
        <v>73</v>
      </c>
      <c r="K992" s="4">
        <v>1</v>
      </c>
      <c r="L992" s="94">
        <v>134735</v>
      </c>
      <c r="M992" s="94">
        <v>673675</v>
      </c>
    </row>
    <row r="993" spans="3:13" x14ac:dyDescent="0.3">
      <c r="C993" t="s">
        <v>71</v>
      </c>
      <c r="D993" t="s">
        <v>67</v>
      </c>
      <c r="E993" t="s">
        <v>63</v>
      </c>
      <c r="F993" t="s">
        <v>26</v>
      </c>
      <c r="G993" s="4">
        <v>7</v>
      </c>
      <c r="H993" s="4" t="s">
        <v>76</v>
      </c>
      <c r="I993" s="4" t="s">
        <v>69</v>
      </c>
      <c r="J993" s="4" t="s">
        <v>66</v>
      </c>
      <c r="K993" s="4">
        <v>0</v>
      </c>
      <c r="L993" s="94">
        <v>-78453</v>
      </c>
      <c r="M993" s="94">
        <v>0</v>
      </c>
    </row>
    <row r="994" spans="3:13" x14ac:dyDescent="0.3">
      <c r="C994" t="s">
        <v>61</v>
      </c>
      <c r="D994" t="s">
        <v>67</v>
      </c>
      <c r="E994" t="s">
        <v>63</v>
      </c>
      <c r="F994" t="s">
        <v>72</v>
      </c>
      <c r="G994" s="4">
        <v>1</v>
      </c>
      <c r="H994" s="4" t="s">
        <v>76</v>
      </c>
      <c r="I994" s="4" t="s">
        <v>69</v>
      </c>
      <c r="J994" s="4" t="s">
        <v>66</v>
      </c>
      <c r="K994" s="4">
        <v>0</v>
      </c>
      <c r="L994" s="94">
        <v>-2995</v>
      </c>
      <c r="M994" s="94">
        <v>0</v>
      </c>
    </row>
    <row r="995" spans="3:13" x14ac:dyDescent="0.3">
      <c r="C995" t="s">
        <v>70</v>
      </c>
      <c r="D995" t="s">
        <v>67</v>
      </c>
      <c r="E995" t="s">
        <v>68</v>
      </c>
      <c r="F995" t="s">
        <v>25</v>
      </c>
      <c r="G995" s="4">
        <v>12</v>
      </c>
      <c r="H995" s="4" t="s">
        <v>81</v>
      </c>
      <c r="I995" s="4" t="s">
        <v>69</v>
      </c>
      <c r="J995" s="4" t="s">
        <v>66</v>
      </c>
      <c r="K995" s="4">
        <v>0</v>
      </c>
      <c r="L995" s="94">
        <v>150486</v>
      </c>
      <c r="M995" s="94">
        <v>1805832</v>
      </c>
    </row>
    <row r="996" spans="3:13" x14ac:dyDescent="0.3">
      <c r="C996" t="s">
        <v>61</v>
      </c>
      <c r="D996" t="s">
        <v>67</v>
      </c>
      <c r="E996" t="s">
        <v>68</v>
      </c>
      <c r="F996" t="s">
        <v>72</v>
      </c>
      <c r="G996" s="4">
        <v>4</v>
      </c>
      <c r="H996" s="4" t="s">
        <v>17</v>
      </c>
      <c r="I996" s="4" t="s">
        <v>69</v>
      </c>
      <c r="J996" s="4" t="s">
        <v>73</v>
      </c>
      <c r="K996" s="4">
        <v>1</v>
      </c>
      <c r="L996" s="94">
        <v>752325</v>
      </c>
      <c r="M996" s="94">
        <v>3009300</v>
      </c>
    </row>
    <row r="997" spans="3:13" x14ac:dyDescent="0.3">
      <c r="C997" t="s">
        <v>71</v>
      </c>
      <c r="D997" t="s">
        <v>67</v>
      </c>
      <c r="E997" t="s">
        <v>63</v>
      </c>
      <c r="F997" t="s">
        <v>26</v>
      </c>
      <c r="G997" s="4">
        <v>-4</v>
      </c>
      <c r="H997" s="4" t="s">
        <v>16</v>
      </c>
      <c r="I997" s="4" t="s">
        <v>69</v>
      </c>
      <c r="J997" s="4" t="s">
        <v>66</v>
      </c>
      <c r="K997" s="4">
        <v>0</v>
      </c>
      <c r="L997" s="94">
        <v>-53742</v>
      </c>
      <c r="M997" s="94">
        <v>0</v>
      </c>
    </row>
    <row r="998" spans="3:13" x14ac:dyDescent="0.3">
      <c r="C998" t="s">
        <v>70</v>
      </c>
      <c r="D998" t="s">
        <v>62</v>
      </c>
      <c r="E998" t="s">
        <v>68</v>
      </c>
      <c r="F998" t="s">
        <v>24</v>
      </c>
      <c r="G998" s="4">
        <v>15</v>
      </c>
      <c r="I998" s="4" t="s">
        <v>65</v>
      </c>
      <c r="J998" s="4" t="s">
        <v>66</v>
      </c>
      <c r="K998" s="4">
        <v>1</v>
      </c>
      <c r="L998" s="94">
        <v>435070</v>
      </c>
      <c r="M998" s="94">
        <v>6526050</v>
      </c>
    </row>
    <row r="999" spans="3:13" x14ac:dyDescent="0.3">
      <c r="C999" t="s">
        <v>71</v>
      </c>
      <c r="D999" t="s">
        <v>62</v>
      </c>
      <c r="E999" t="s">
        <v>63</v>
      </c>
      <c r="F999" t="s">
        <v>24</v>
      </c>
      <c r="G999" s="4">
        <v>44</v>
      </c>
      <c r="I999" s="4" t="s">
        <v>69</v>
      </c>
      <c r="J999" s="4" t="s">
        <v>66</v>
      </c>
      <c r="K999" s="4">
        <v>0</v>
      </c>
      <c r="L999" s="94">
        <v>-31951</v>
      </c>
      <c r="M999" s="94">
        <v>0</v>
      </c>
    </row>
    <row r="1000" spans="3:13" x14ac:dyDescent="0.3">
      <c r="C1000" t="s">
        <v>71</v>
      </c>
      <c r="D1000" t="s">
        <v>67</v>
      </c>
      <c r="E1000" t="s">
        <v>68</v>
      </c>
      <c r="F1000" t="s">
        <v>26</v>
      </c>
      <c r="G1000" s="4">
        <v>2</v>
      </c>
      <c r="H1000" s="4" t="s">
        <v>83</v>
      </c>
      <c r="I1000" s="4" t="s">
        <v>69</v>
      </c>
      <c r="J1000" s="4" t="s">
        <v>66</v>
      </c>
      <c r="K1000" s="4">
        <v>0</v>
      </c>
      <c r="L1000" s="94">
        <v>207840</v>
      </c>
      <c r="M1000" s="94">
        <v>415680</v>
      </c>
    </row>
    <row r="1001" spans="3:13" x14ac:dyDescent="0.3">
      <c r="C1001" t="s">
        <v>70</v>
      </c>
      <c r="D1001" t="s">
        <v>62</v>
      </c>
      <c r="E1001" t="s">
        <v>68</v>
      </c>
      <c r="F1001" t="s">
        <v>25</v>
      </c>
      <c r="G1001" s="4">
        <v>12</v>
      </c>
      <c r="I1001" s="4" t="s">
        <v>65</v>
      </c>
      <c r="J1001" s="4" t="s">
        <v>66</v>
      </c>
      <c r="K1001" s="4">
        <v>1</v>
      </c>
      <c r="L1001" s="94">
        <v>26808</v>
      </c>
      <c r="M1001" s="94">
        <v>321696</v>
      </c>
    </row>
    <row r="1002" spans="3:13" x14ac:dyDescent="0.3">
      <c r="C1002" t="s">
        <v>71</v>
      </c>
      <c r="D1002" t="s">
        <v>67</v>
      </c>
      <c r="E1002" t="s">
        <v>68</v>
      </c>
      <c r="F1002" t="s">
        <v>72</v>
      </c>
      <c r="G1002" s="4">
        <v>-4</v>
      </c>
      <c r="H1002" s="4" t="s">
        <v>76</v>
      </c>
      <c r="I1002" s="4" t="s">
        <v>69</v>
      </c>
      <c r="J1002" s="4" t="s">
        <v>66</v>
      </c>
      <c r="K1002" s="4">
        <v>0</v>
      </c>
      <c r="L1002" s="94">
        <v>153273</v>
      </c>
      <c r="M1002" s="94">
        <v>0</v>
      </c>
    </row>
    <row r="1003" spans="3:13" x14ac:dyDescent="0.3">
      <c r="C1003" t="s">
        <v>61</v>
      </c>
      <c r="D1003" t="s">
        <v>62</v>
      </c>
      <c r="E1003" t="s">
        <v>68</v>
      </c>
      <c r="F1003" t="s">
        <v>24</v>
      </c>
      <c r="G1003" s="4">
        <v>0</v>
      </c>
      <c r="I1003" s="4" t="s">
        <v>69</v>
      </c>
      <c r="J1003" s="4" t="s">
        <v>66</v>
      </c>
      <c r="K1003" s="4">
        <v>1</v>
      </c>
      <c r="L1003" s="94">
        <v>13274</v>
      </c>
      <c r="M1003" s="94">
        <v>0</v>
      </c>
    </row>
    <row r="1004" spans="3:13" x14ac:dyDescent="0.3">
      <c r="C1004" t="s">
        <v>61</v>
      </c>
      <c r="D1004" t="s">
        <v>84</v>
      </c>
      <c r="E1004" t="s">
        <v>68</v>
      </c>
      <c r="F1004" t="s">
        <v>25</v>
      </c>
      <c r="G1004" s="4">
        <v>9</v>
      </c>
      <c r="H1004" s="4" t="s">
        <v>81</v>
      </c>
      <c r="I1004" s="4" t="s">
        <v>69</v>
      </c>
      <c r="J1004" s="4" t="s">
        <v>66</v>
      </c>
      <c r="K1004" s="4">
        <v>0</v>
      </c>
      <c r="L1004" s="94">
        <v>99830</v>
      </c>
      <c r="M1004" s="94">
        <v>898470</v>
      </c>
    </row>
    <row r="1005" spans="3:13" x14ac:dyDescent="0.3">
      <c r="C1005" t="s">
        <v>61</v>
      </c>
      <c r="D1005" t="s">
        <v>67</v>
      </c>
      <c r="E1005" t="s">
        <v>63</v>
      </c>
      <c r="F1005" t="s">
        <v>72</v>
      </c>
      <c r="G1005" s="4">
        <v>0</v>
      </c>
      <c r="H1005" s="4" t="s">
        <v>82</v>
      </c>
      <c r="I1005" s="4" t="s">
        <v>65</v>
      </c>
      <c r="J1005" s="4" t="s">
        <v>66</v>
      </c>
      <c r="K1005" s="4">
        <v>1</v>
      </c>
      <c r="L1005" s="94">
        <v>-4</v>
      </c>
      <c r="M1005" s="94">
        <v>0</v>
      </c>
    </row>
    <row r="1006" spans="3:13" x14ac:dyDescent="0.3">
      <c r="C1006" t="s">
        <v>61</v>
      </c>
      <c r="D1006" t="s">
        <v>67</v>
      </c>
      <c r="E1006" t="s">
        <v>68</v>
      </c>
      <c r="F1006" t="s">
        <v>26</v>
      </c>
      <c r="G1006" s="4">
        <v>3</v>
      </c>
      <c r="H1006" s="4" t="s">
        <v>64</v>
      </c>
      <c r="I1006" s="4" t="s">
        <v>69</v>
      </c>
      <c r="J1006" s="4" t="s">
        <v>66</v>
      </c>
      <c r="K1006" s="4">
        <v>0</v>
      </c>
      <c r="L1006" s="94">
        <v>14195906</v>
      </c>
      <c r="M1006" s="94">
        <v>42587718</v>
      </c>
    </row>
    <row r="1007" spans="3:13" x14ac:dyDescent="0.3">
      <c r="C1007" t="s">
        <v>70</v>
      </c>
      <c r="D1007" t="s">
        <v>67</v>
      </c>
      <c r="E1007" t="s">
        <v>63</v>
      </c>
      <c r="F1007" t="s">
        <v>26</v>
      </c>
      <c r="G1007" s="4">
        <v>5</v>
      </c>
      <c r="H1007" s="4" t="s">
        <v>78</v>
      </c>
      <c r="I1007" s="4" t="s">
        <v>69</v>
      </c>
      <c r="J1007" s="4" t="s">
        <v>66</v>
      </c>
      <c r="K1007" s="4">
        <v>0</v>
      </c>
      <c r="L1007" s="94">
        <v>-1507</v>
      </c>
      <c r="M1007" s="94">
        <v>0</v>
      </c>
    </row>
    <row r="1008" spans="3:13" x14ac:dyDescent="0.3">
      <c r="C1008" t="s">
        <v>70</v>
      </c>
      <c r="D1008" t="s">
        <v>67</v>
      </c>
      <c r="E1008" t="s">
        <v>63</v>
      </c>
      <c r="F1008" t="s">
        <v>25</v>
      </c>
      <c r="G1008" s="4">
        <v>-4</v>
      </c>
      <c r="H1008" s="4" t="s">
        <v>14</v>
      </c>
      <c r="I1008" s="4" t="s">
        <v>69</v>
      </c>
      <c r="J1008" s="4" t="s">
        <v>66</v>
      </c>
      <c r="K1008" s="4">
        <v>0</v>
      </c>
      <c r="L1008" s="94">
        <v>-70</v>
      </c>
      <c r="M1008" s="94">
        <v>0</v>
      </c>
    </row>
    <row r="1009" spans="3:13" x14ac:dyDescent="0.3">
      <c r="C1009" t="s">
        <v>71</v>
      </c>
      <c r="D1009" t="s">
        <v>62</v>
      </c>
      <c r="E1009" t="s">
        <v>63</v>
      </c>
      <c r="F1009" t="s">
        <v>24</v>
      </c>
      <c r="G1009" s="4">
        <v>31</v>
      </c>
      <c r="I1009" s="4" t="s">
        <v>65</v>
      </c>
      <c r="J1009" s="4" t="s">
        <v>66</v>
      </c>
      <c r="K1009" s="4">
        <v>1</v>
      </c>
      <c r="L1009" s="94">
        <v>-20368</v>
      </c>
      <c r="M1009" s="94">
        <v>0</v>
      </c>
    </row>
    <row r="1010" spans="3:13" x14ac:dyDescent="0.3">
      <c r="C1010" t="s">
        <v>61</v>
      </c>
      <c r="D1010" t="s">
        <v>67</v>
      </c>
      <c r="E1010" t="s">
        <v>63</v>
      </c>
      <c r="F1010" t="s">
        <v>26</v>
      </c>
      <c r="G1010" s="4">
        <v>5</v>
      </c>
      <c r="H1010" s="4" t="s">
        <v>15</v>
      </c>
      <c r="I1010" s="4" t="s">
        <v>69</v>
      </c>
      <c r="J1010" s="4" t="s">
        <v>73</v>
      </c>
      <c r="K1010" s="4">
        <v>1</v>
      </c>
      <c r="L1010" s="94">
        <v>-17416</v>
      </c>
      <c r="M1010" s="94">
        <v>0</v>
      </c>
    </row>
    <row r="1011" spans="3:13" x14ac:dyDescent="0.3">
      <c r="C1011" t="s">
        <v>61</v>
      </c>
      <c r="D1011" t="s">
        <v>67</v>
      </c>
      <c r="E1011" t="s">
        <v>68</v>
      </c>
      <c r="F1011" t="s">
        <v>26</v>
      </c>
      <c r="G1011" s="4">
        <v>0</v>
      </c>
      <c r="H1011" s="4" t="s">
        <v>16</v>
      </c>
      <c r="I1011" s="4" t="s">
        <v>69</v>
      </c>
      <c r="J1011" s="4" t="s">
        <v>66</v>
      </c>
      <c r="K1011" s="4">
        <v>0</v>
      </c>
      <c r="L1011" s="94">
        <v>5717151</v>
      </c>
      <c r="M1011" s="94">
        <v>0</v>
      </c>
    </row>
    <row r="1012" spans="3:13" x14ac:dyDescent="0.3">
      <c r="C1012" t="s">
        <v>61</v>
      </c>
      <c r="D1012" t="s">
        <v>67</v>
      </c>
      <c r="E1012" t="s">
        <v>68</v>
      </c>
      <c r="F1012" t="s">
        <v>25</v>
      </c>
      <c r="G1012" s="4">
        <v>10</v>
      </c>
      <c r="H1012" s="4" t="s">
        <v>75</v>
      </c>
      <c r="I1012" s="4" t="s">
        <v>69</v>
      </c>
      <c r="J1012" s="4" t="s">
        <v>66</v>
      </c>
      <c r="K1012" s="4">
        <v>0</v>
      </c>
      <c r="L1012" s="94">
        <v>78778039</v>
      </c>
      <c r="M1012" s="94">
        <v>787780390</v>
      </c>
    </row>
    <row r="1013" spans="3:13" x14ac:dyDescent="0.3">
      <c r="C1013" t="s">
        <v>71</v>
      </c>
      <c r="D1013" t="s">
        <v>67</v>
      </c>
      <c r="E1013" t="s">
        <v>68</v>
      </c>
      <c r="F1013" t="s">
        <v>25</v>
      </c>
      <c r="G1013" s="4">
        <v>20</v>
      </c>
      <c r="H1013" s="4" t="s">
        <v>64</v>
      </c>
      <c r="I1013" s="4" t="s">
        <v>69</v>
      </c>
      <c r="J1013" s="4" t="s">
        <v>66</v>
      </c>
      <c r="K1013" s="4">
        <v>0</v>
      </c>
      <c r="L1013" s="94">
        <v>131884</v>
      </c>
      <c r="M1013" s="94">
        <v>2637680</v>
      </c>
    </row>
    <row r="1014" spans="3:13" x14ac:dyDescent="0.3">
      <c r="C1014" t="s">
        <v>61</v>
      </c>
      <c r="D1014" t="s">
        <v>62</v>
      </c>
      <c r="E1014" t="s">
        <v>68</v>
      </c>
      <c r="F1014" t="s">
        <v>24</v>
      </c>
      <c r="G1014" s="4">
        <v>15</v>
      </c>
      <c r="I1014" s="4" t="s">
        <v>69</v>
      </c>
      <c r="J1014" s="4" t="s">
        <v>66</v>
      </c>
      <c r="K1014" s="4">
        <v>0</v>
      </c>
      <c r="L1014" s="94">
        <v>274189960</v>
      </c>
      <c r="M1014" s="94">
        <v>4112849400</v>
      </c>
    </row>
    <row r="1015" spans="3:13" x14ac:dyDescent="0.3">
      <c r="C1015" t="s">
        <v>71</v>
      </c>
      <c r="D1015" t="s">
        <v>67</v>
      </c>
      <c r="E1015" t="s">
        <v>63</v>
      </c>
      <c r="F1015" t="s">
        <v>72</v>
      </c>
      <c r="G1015" s="4">
        <v>4</v>
      </c>
      <c r="H1015" s="4" t="s">
        <v>14</v>
      </c>
      <c r="I1015" s="4" t="s">
        <v>69</v>
      </c>
      <c r="J1015" s="4" t="s">
        <v>66</v>
      </c>
      <c r="K1015" s="4">
        <v>0</v>
      </c>
      <c r="L1015" s="94">
        <v>-39160</v>
      </c>
      <c r="M1015" s="94">
        <v>0</v>
      </c>
    </row>
    <row r="1016" spans="3:13" x14ac:dyDescent="0.3">
      <c r="C1016" t="s">
        <v>70</v>
      </c>
      <c r="D1016" t="s">
        <v>67</v>
      </c>
      <c r="E1016" t="s">
        <v>63</v>
      </c>
      <c r="F1016" t="s">
        <v>26</v>
      </c>
      <c r="G1016" s="4">
        <v>3</v>
      </c>
      <c r="H1016" s="4" t="s">
        <v>18</v>
      </c>
      <c r="I1016" s="4" t="s">
        <v>69</v>
      </c>
      <c r="J1016" s="4" t="s">
        <v>66</v>
      </c>
      <c r="K1016" s="4">
        <v>0</v>
      </c>
      <c r="L1016" s="94">
        <v>-1823772</v>
      </c>
      <c r="M1016" s="94">
        <v>0</v>
      </c>
    </row>
    <row r="1017" spans="3:13" x14ac:dyDescent="0.3">
      <c r="C1017" t="s">
        <v>70</v>
      </c>
      <c r="D1017" t="s">
        <v>62</v>
      </c>
      <c r="E1017" t="s">
        <v>68</v>
      </c>
      <c r="F1017" t="s">
        <v>25</v>
      </c>
      <c r="G1017" s="4">
        <v>24</v>
      </c>
      <c r="I1017" s="4" t="s">
        <v>69</v>
      </c>
      <c r="J1017" s="4" t="s">
        <v>66</v>
      </c>
      <c r="K1017" s="4">
        <v>0</v>
      </c>
      <c r="L1017" s="94">
        <v>18579</v>
      </c>
      <c r="M1017" s="94">
        <v>445896</v>
      </c>
    </row>
    <row r="1018" spans="3:13" x14ac:dyDescent="0.3">
      <c r="C1018" t="s">
        <v>61</v>
      </c>
      <c r="D1018" t="s">
        <v>62</v>
      </c>
      <c r="E1018" t="s">
        <v>63</v>
      </c>
      <c r="F1018" t="s">
        <v>24</v>
      </c>
      <c r="G1018" s="4">
        <v>26</v>
      </c>
      <c r="I1018" s="4" t="s">
        <v>69</v>
      </c>
      <c r="J1018" s="4" t="s">
        <v>66</v>
      </c>
      <c r="K1018" s="4">
        <v>1</v>
      </c>
      <c r="L1018" s="94">
        <v>-916</v>
      </c>
      <c r="M1018" s="94">
        <v>0</v>
      </c>
    </row>
    <row r="1019" spans="3:13" x14ac:dyDescent="0.3">
      <c r="C1019" t="s">
        <v>61</v>
      </c>
      <c r="D1019" t="s">
        <v>67</v>
      </c>
      <c r="E1019" t="s">
        <v>63</v>
      </c>
      <c r="F1019" t="s">
        <v>25</v>
      </c>
      <c r="G1019" s="4">
        <v>11</v>
      </c>
      <c r="H1019" s="4" t="s">
        <v>17</v>
      </c>
      <c r="I1019" s="4" t="s">
        <v>69</v>
      </c>
      <c r="J1019" s="4" t="s">
        <v>66</v>
      </c>
      <c r="K1019" s="4">
        <v>0</v>
      </c>
      <c r="L1019" s="94">
        <v>-27142</v>
      </c>
      <c r="M1019" s="94">
        <v>0</v>
      </c>
    </row>
    <row r="1020" spans="3:13" x14ac:dyDescent="0.3">
      <c r="C1020" t="s">
        <v>70</v>
      </c>
      <c r="D1020" t="s">
        <v>67</v>
      </c>
      <c r="E1020" t="s">
        <v>63</v>
      </c>
      <c r="F1020" t="s">
        <v>25</v>
      </c>
      <c r="G1020" s="4">
        <v>11</v>
      </c>
      <c r="H1020" s="4" t="s">
        <v>18</v>
      </c>
      <c r="I1020" s="4" t="s">
        <v>69</v>
      </c>
      <c r="J1020" s="4" t="s">
        <v>66</v>
      </c>
      <c r="K1020" s="4">
        <v>0</v>
      </c>
      <c r="L1020" s="94">
        <v>-94770</v>
      </c>
      <c r="M1020" s="94">
        <v>0</v>
      </c>
    </row>
    <row r="1021" spans="3:13" x14ac:dyDescent="0.3">
      <c r="C1021" t="s">
        <v>61</v>
      </c>
      <c r="D1021" t="s">
        <v>67</v>
      </c>
      <c r="E1021" t="s">
        <v>68</v>
      </c>
      <c r="F1021" t="s">
        <v>72</v>
      </c>
      <c r="G1021" s="4">
        <v>1</v>
      </c>
      <c r="H1021" s="4" t="s">
        <v>14</v>
      </c>
      <c r="I1021" s="4" t="s">
        <v>65</v>
      </c>
      <c r="J1021" s="4" t="s">
        <v>73</v>
      </c>
      <c r="K1021" s="4">
        <v>1</v>
      </c>
      <c r="L1021" s="94">
        <v>116083</v>
      </c>
      <c r="M1021" s="94">
        <v>116083</v>
      </c>
    </row>
    <row r="1022" spans="3:13" x14ac:dyDescent="0.3">
      <c r="C1022" t="s">
        <v>71</v>
      </c>
      <c r="D1022" t="s">
        <v>67</v>
      </c>
      <c r="E1022" t="s">
        <v>63</v>
      </c>
      <c r="F1022" t="s">
        <v>72</v>
      </c>
      <c r="G1022" s="4">
        <v>-4</v>
      </c>
      <c r="H1022" s="4" t="s">
        <v>81</v>
      </c>
      <c r="I1022" s="4" t="s">
        <v>69</v>
      </c>
      <c r="J1022" s="4" t="s">
        <v>66</v>
      </c>
      <c r="K1022" s="4">
        <v>0</v>
      </c>
      <c r="L1022" s="94">
        <v>-15</v>
      </c>
      <c r="M1022" s="94">
        <v>0</v>
      </c>
    </row>
    <row r="1023" spans="3:13" x14ac:dyDescent="0.3">
      <c r="C1023" t="s">
        <v>61</v>
      </c>
      <c r="D1023" t="s">
        <v>67</v>
      </c>
      <c r="E1023" t="s">
        <v>68</v>
      </c>
      <c r="F1023" t="s">
        <v>25</v>
      </c>
      <c r="G1023" s="4">
        <v>0</v>
      </c>
      <c r="H1023" s="4" t="s">
        <v>12</v>
      </c>
      <c r="I1023" s="4" t="s">
        <v>69</v>
      </c>
      <c r="J1023" s="4" t="s">
        <v>66</v>
      </c>
      <c r="K1023" s="4">
        <v>1</v>
      </c>
      <c r="L1023" s="94">
        <v>25091</v>
      </c>
      <c r="M1023" s="94">
        <v>0</v>
      </c>
    </row>
    <row r="1024" spans="3:13" x14ac:dyDescent="0.3">
      <c r="C1024" t="s">
        <v>61</v>
      </c>
      <c r="D1024" t="s">
        <v>67</v>
      </c>
      <c r="E1024" t="s">
        <v>68</v>
      </c>
      <c r="F1024" t="s">
        <v>26</v>
      </c>
      <c r="G1024" s="4">
        <v>4</v>
      </c>
      <c r="H1024" s="4" t="s">
        <v>14</v>
      </c>
      <c r="I1024" s="4" t="s">
        <v>69</v>
      </c>
      <c r="J1024" s="4" t="s">
        <v>66</v>
      </c>
      <c r="K1024" s="4">
        <v>0</v>
      </c>
      <c r="L1024" s="94">
        <v>55659576</v>
      </c>
      <c r="M1024" s="94">
        <v>222638304</v>
      </c>
    </row>
    <row r="1025" spans="3:13" x14ac:dyDescent="0.3">
      <c r="C1025" t="s">
        <v>71</v>
      </c>
      <c r="D1025" t="s">
        <v>67</v>
      </c>
      <c r="E1025" t="s">
        <v>63</v>
      </c>
      <c r="F1025" t="s">
        <v>26</v>
      </c>
      <c r="G1025" s="4">
        <v>1</v>
      </c>
      <c r="H1025" s="4" t="s">
        <v>75</v>
      </c>
      <c r="I1025" s="4" t="s">
        <v>69</v>
      </c>
      <c r="J1025" s="4" t="s">
        <v>66</v>
      </c>
      <c r="K1025" s="4">
        <v>0</v>
      </c>
      <c r="L1025" s="94">
        <v>-179950</v>
      </c>
      <c r="M1025" s="94">
        <v>0</v>
      </c>
    </row>
    <row r="1026" spans="3:13" x14ac:dyDescent="0.3">
      <c r="C1026" t="s">
        <v>71</v>
      </c>
      <c r="D1026" t="s">
        <v>67</v>
      </c>
      <c r="E1026" t="s">
        <v>68</v>
      </c>
      <c r="F1026" t="s">
        <v>25</v>
      </c>
      <c r="G1026" s="4">
        <v>6</v>
      </c>
      <c r="H1026" s="4" t="s">
        <v>76</v>
      </c>
      <c r="I1026" s="4" t="s">
        <v>69</v>
      </c>
      <c r="J1026" s="4" t="s">
        <v>66</v>
      </c>
      <c r="K1026" s="4">
        <v>0</v>
      </c>
      <c r="L1026" s="94">
        <v>1392882</v>
      </c>
      <c r="M1026" s="94">
        <v>8357292</v>
      </c>
    </row>
    <row r="1027" spans="3:13" x14ac:dyDescent="0.3">
      <c r="C1027" t="s">
        <v>71</v>
      </c>
      <c r="D1027" t="s">
        <v>67</v>
      </c>
      <c r="E1027" t="s">
        <v>68</v>
      </c>
      <c r="F1027" t="s">
        <v>26</v>
      </c>
      <c r="G1027" s="4">
        <v>5</v>
      </c>
      <c r="H1027" s="4" t="s">
        <v>77</v>
      </c>
      <c r="I1027" s="4" t="s">
        <v>69</v>
      </c>
      <c r="J1027" s="4" t="s">
        <v>66</v>
      </c>
      <c r="K1027" s="4">
        <v>0</v>
      </c>
      <c r="L1027" s="94">
        <v>89899</v>
      </c>
      <c r="M1027" s="94">
        <v>449495</v>
      </c>
    </row>
    <row r="1028" spans="3:13" x14ac:dyDescent="0.3">
      <c r="C1028" t="s">
        <v>61</v>
      </c>
      <c r="D1028" t="s">
        <v>67</v>
      </c>
      <c r="E1028" t="s">
        <v>68</v>
      </c>
      <c r="F1028" t="s">
        <v>72</v>
      </c>
      <c r="G1028" s="4">
        <v>6</v>
      </c>
      <c r="H1028" s="4" t="s">
        <v>18</v>
      </c>
      <c r="I1028" s="4" t="s">
        <v>69</v>
      </c>
      <c r="J1028" s="4" t="s">
        <v>66</v>
      </c>
      <c r="K1028" s="4">
        <v>0</v>
      </c>
      <c r="L1028" s="94">
        <v>1729096</v>
      </c>
      <c r="M1028" s="94">
        <v>10374576</v>
      </c>
    </row>
    <row r="1029" spans="3:13" x14ac:dyDescent="0.3">
      <c r="C1029" t="s">
        <v>61</v>
      </c>
      <c r="D1029" t="s">
        <v>67</v>
      </c>
      <c r="E1029" t="s">
        <v>68</v>
      </c>
      <c r="F1029" t="s">
        <v>25</v>
      </c>
      <c r="G1029" s="4">
        <v>8</v>
      </c>
      <c r="H1029" s="4" t="s">
        <v>83</v>
      </c>
      <c r="I1029" s="4" t="s">
        <v>69</v>
      </c>
      <c r="J1029" s="4" t="s">
        <v>66</v>
      </c>
      <c r="K1029" s="4">
        <v>0</v>
      </c>
      <c r="L1029" s="94">
        <v>2214350</v>
      </c>
      <c r="M1029" s="94">
        <v>17714800</v>
      </c>
    </row>
    <row r="1030" spans="3:13" x14ac:dyDescent="0.3">
      <c r="C1030" t="s">
        <v>61</v>
      </c>
      <c r="D1030" t="s">
        <v>67</v>
      </c>
      <c r="E1030" t="s">
        <v>68</v>
      </c>
      <c r="F1030" t="s">
        <v>26</v>
      </c>
      <c r="G1030" s="4">
        <v>14</v>
      </c>
      <c r="H1030" s="4" t="s">
        <v>74</v>
      </c>
      <c r="I1030" s="4" t="s">
        <v>69</v>
      </c>
      <c r="J1030" s="4" t="s">
        <v>66</v>
      </c>
      <c r="K1030" s="4">
        <v>0</v>
      </c>
      <c r="L1030" s="94">
        <v>4458185</v>
      </c>
      <c r="M1030" s="94">
        <v>62414590</v>
      </c>
    </row>
    <row r="1031" spans="3:13" x14ac:dyDescent="0.3">
      <c r="C1031" t="s">
        <v>71</v>
      </c>
      <c r="D1031" t="s">
        <v>62</v>
      </c>
      <c r="E1031" t="s">
        <v>68</v>
      </c>
      <c r="F1031" t="s">
        <v>24</v>
      </c>
      <c r="G1031" s="4">
        <v>2</v>
      </c>
      <c r="I1031" s="4" t="s">
        <v>65</v>
      </c>
      <c r="J1031" s="4" t="s">
        <v>66</v>
      </c>
      <c r="K1031" s="4">
        <v>1</v>
      </c>
      <c r="L1031" s="94">
        <v>7430</v>
      </c>
      <c r="M1031" s="94">
        <v>14860</v>
      </c>
    </row>
    <row r="1032" spans="3:13" x14ac:dyDescent="0.3">
      <c r="C1032" t="s">
        <v>71</v>
      </c>
      <c r="D1032" t="s">
        <v>67</v>
      </c>
      <c r="E1032" t="s">
        <v>68</v>
      </c>
      <c r="F1032" t="s">
        <v>26</v>
      </c>
      <c r="G1032" s="4">
        <v>-1</v>
      </c>
      <c r="H1032" s="4" t="s">
        <v>17</v>
      </c>
      <c r="I1032" s="4" t="s">
        <v>69</v>
      </c>
      <c r="J1032" s="4" t="s">
        <v>66</v>
      </c>
      <c r="K1032" s="4">
        <v>0</v>
      </c>
      <c r="L1032" s="94">
        <v>5408061</v>
      </c>
      <c r="M1032" s="94">
        <v>0</v>
      </c>
    </row>
    <row r="1033" spans="3:13" x14ac:dyDescent="0.3">
      <c r="C1033" t="s">
        <v>71</v>
      </c>
      <c r="D1033" t="s">
        <v>67</v>
      </c>
      <c r="E1033" t="s">
        <v>63</v>
      </c>
      <c r="F1033" t="s">
        <v>25</v>
      </c>
      <c r="G1033" s="4">
        <v>6</v>
      </c>
      <c r="H1033" s="4" t="s">
        <v>18</v>
      </c>
      <c r="I1033" s="4" t="s">
        <v>69</v>
      </c>
      <c r="J1033" s="4" t="s">
        <v>66</v>
      </c>
      <c r="K1033" s="4">
        <v>0</v>
      </c>
      <c r="L1033" s="94">
        <v>-851117</v>
      </c>
      <c r="M1033" s="94">
        <v>0</v>
      </c>
    </row>
    <row r="1034" spans="3:13" x14ac:dyDescent="0.3">
      <c r="C1034" t="s">
        <v>61</v>
      </c>
      <c r="D1034" t="s">
        <v>67</v>
      </c>
      <c r="E1034" t="s">
        <v>63</v>
      </c>
      <c r="F1034" t="s">
        <v>25</v>
      </c>
      <c r="G1034" s="4">
        <v>18</v>
      </c>
      <c r="H1034" s="4" t="s">
        <v>64</v>
      </c>
      <c r="I1034" s="4" t="s">
        <v>69</v>
      </c>
      <c r="J1034" s="4" t="s">
        <v>66</v>
      </c>
      <c r="K1034" s="4">
        <v>0</v>
      </c>
      <c r="L1034" s="94">
        <v>-2307</v>
      </c>
      <c r="M1034" s="94">
        <v>0</v>
      </c>
    </row>
    <row r="1035" spans="3:13" x14ac:dyDescent="0.3">
      <c r="C1035" t="s">
        <v>71</v>
      </c>
      <c r="D1035" t="s">
        <v>67</v>
      </c>
      <c r="E1035" t="s">
        <v>68</v>
      </c>
      <c r="F1035" t="s">
        <v>26</v>
      </c>
      <c r="G1035" s="4">
        <v>4</v>
      </c>
      <c r="H1035" s="4" t="s">
        <v>76</v>
      </c>
      <c r="I1035" s="4" t="s">
        <v>69</v>
      </c>
      <c r="J1035" s="4" t="s">
        <v>66</v>
      </c>
      <c r="K1035" s="4">
        <v>0</v>
      </c>
      <c r="L1035" s="94">
        <v>415578</v>
      </c>
      <c r="M1035" s="94">
        <v>1662312</v>
      </c>
    </row>
    <row r="1036" spans="3:13" x14ac:dyDescent="0.3">
      <c r="C1036" t="s">
        <v>71</v>
      </c>
      <c r="D1036" t="s">
        <v>62</v>
      </c>
      <c r="E1036" t="s">
        <v>63</v>
      </c>
      <c r="F1036" t="s">
        <v>24</v>
      </c>
      <c r="G1036" s="4">
        <v>18</v>
      </c>
      <c r="I1036" s="4" t="s">
        <v>69</v>
      </c>
      <c r="J1036" s="4" t="s">
        <v>66</v>
      </c>
      <c r="K1036" s="4">
        <v>1</v>
      </c>
      <c r="L1036" s="94">
        <v>-67881</v>
      </c>
      <c r="M1036" s="94">
        <v>0</v>
      </c>
    </row>
    <row r="1037" spans="3:13" x14ac:dyDescent="0.3">
      <c r="C1037" t="s">
        <v>71</v>
      </c>
      <c r="D1037" t="s">
        <v>67</v>
      </c>
      <c r="E1037" t="s">
        <v>63</v>
      </c>
      <c r="F1037" t="s">
        <v>26</v>
      </c>
      <c r="G1037" s="4">
        <v>1</v>
      </c>
      <c r="H1037" s="4" t="s">
        <v>64</v>
      </c>
      <c r="I1037" s="4" t="s">
        <v>69</v>
      </c>
      <c r="J1037" s="4" t="s">
        <v>66</v>
      </c>
      <c r="K1037" s="4">
        <v>0</v>
      </c>
      <c r="L1037" s="94">
        <v>-289904</v>
      </c>
      <c r="M1037" s="94">
        <v>0</v>
      </c>
    </row>
    <row r="1038" spans="3:13" x14ac:dyDescent="0.3">
      <c r="C1038" t="s">
        <v>70</v>
      </c>
      <c r="D1038" t="s">
        <v>67</v>
      </c>
      <c r="E1038" t="s">
        <v>68</v>
      </c>
      <c r="F1038" t="s">
        <v>72</v>
      </c>
      <c r="G1038" s="4">
        <v>4</v>
      </c>
      <c r="H1038" s="4" t="s">
        <v>80</v>
      </c>
      <c r="I1038" s="4" t="s">
        <v>69</v>
      </c>
      <c r="J1038" s="4" t="s">
        <v>66</v>
      </c>
      <c r="K1038" s="4">
        <v>0</v>
      </c>
      <c r="L1038" s="94">
        <v>186633</v>
      </c>
      <c r="M1038" s="94">
        <v>746532</v>
      </c>
    </row>
    <row r="1039" spans="3:13" x14ac:dyDescent="0.3">
      <c r="C1039" t="s">
        <v>61</v>
      </c>
      <c r="D1039" t="s">
        <v>67</v>
      </c>
      <c r="E1039" t="s">
        <v>68</v>
      </c>
      <c r="F1039" t="s">
        <v>25</v>
      </c>
      <c r="G1039" s="4">
        <v>0</v>
      </c>
      <c r="H1039" s="4" t="s">
        <v>14</v>
      </c>
      <c r="I1039" s="4" t="s">
        <v>69</v>
      </c>
      <c r="J1039" s="4" t="s">
        <v>66</v>
      </c>
      <c r="K1039" s="4">
        <v>1</v>
      </c>
      <c r="L1039" s="94">
        <v>268585</v>
      </c>
      <c r="M1039" s="94">
        <v>0</v>
      </c>
    </row>
    <row r="1040" spans="3:13" x14ac:dyDescent="0.3">
      <c r="C1040" t="s">
        <v>70</v>
      </c>
      <c r="D1040" t="s">
        <v>67</v>
      </c>
      <c r="E1040" t="s">
        <v>63</v>
      </c>
      <c r="F1040" t="s">
        <v>72</v>
      </c>
      <c r="G1040" s="4">
        <v>4</v>
      </c>
      <c r="H1040" s="4" t="s">
        <v>12</v>
      </c>
      <c r="I1040" s="4" t="s">
        <v>69</v>
      </c>
      <c r="J1040" s="4" t="s">
        <v>73</v>
      </c>
      <c r="K1040" s="4">
        <v>1</v>
      </c>
      <c r="L1040" s="94">
        <v>-13815</v>
      </c>
      <c r="M1040" s="94">
        <v>0</v>
      </c>
    </row>
    <row r="1041" spans="3:13" x14ac:dyDescent="0.3">
      <c r="C1041" t="s">
        <v>61</v>
      </c>
      <c r="D1041" t="s">
        <v>67</v>
      </c>
      <c r="E1041" t="s">
        <v>68</v>
      </c>
      <c r="F1041" t="s">
        <v>25</v>
      </c>
      <c r="G1041" s="4">
        <v>7</v>
      </c>
      <c r="H1041" s="4" t="s">
        <v>74</v>
      </c>
      <c r="I1041" s="4" t="s">
        <v>69</v>
      </c>
      <c r="J1041" s="4" t="s">
        <v>66</v>
      </c>
      <c r="K1041" s="4">
        <v>0</v>
      </c>
      <c r="L1041" s="94">
        <v>5060452</v>
      </c>
      <c r="M1041" s="94">
        <v>35423164</v>
      </c>
    </row>
    <row r="1042" spans="3:13" x14ac:dyDescent="0.3">
      <c r="C1042" t="s">
        <v>61</v>
      </c>
      <c r="D1042" t="s">
        <v>67</v>
      </c>
      <c r="E1042" t="s">
        <v>68</v>
      </c>
      <c r="F1042" t="s">
        <v>72</v>
      </c>
      <c r="G1042" s="4">
        <v>1</v>
      </c>
      <c r="H1042" s="4" t="s">
        <v>12</v>
      </c>
      <c r="I1042" s="4" t="s">
        <v>65</v>
      </c>
      <c r="J1042" s="4" t="s">
        <v>73</v>
      </c>
      <c r="K1042" s="4">
        <v>1</v>
      </c>
      <c r="L1042" s="94">
        <v>63630</v>
      </c>
      <c r="M1042" s="94">
        <v>63630</v>
      </c>
    </row>
    <row r="1043" spans="3:13" x14ac:dyDescent="0.3">
      <c r="C1043" t="s">
        <v>71</v>
      </c>
      <c r="D1043" t="s">
        <v>67</v>
      </c>
      <c r="E1043" t="s">
        <v>63</v>
      </c>
      <c r="F1043" t="s">
        <v>26</v>
      </c>
      <c r="G1043" s="4">
        <v>4</v>
      </c>
      <c r="H1043" s="4" t="s">
        <v>74</v>
      </c>
      <c r="I1043" s="4" t="s">
        <v>69</v>
      </c>
      <c r="J1043" s="4" t="s">
        <v>66</v>
      </c>
      <c r="K1043" s="4">
        <v>0</v>
      </c>
      <c r="L1043" s="94">
        <v>-208463</v>
      </c>
      <c r="M1043" s="94">
        <v>0</v>
      </c>
    </row>
    <row r="1044" spans="3:13" x14ac:dyDescent="0.3">
      <c r="C1044" t="s">
        <v>71</v>
      </c>
      <c r="D1044" t="s">
        <v>67</v>
      </c>
      <c r="E1044" t="s">
        <v>63</v>
      </c>
      <c r="F1044" t="s">
        <v>72</v>
      </c>
      <c r="G1044" s="4">
        <v>-1</v>
      </c>
      <c r="H1044" s="4" t="s">
        <v>14</v>
      </c>
      <c r="I1044" s="4" t="s">
        <v>69</v>
      </c>
      <c r="J1044" s="4" t="s">
        <v>73</v>
      </c>
      <c r="K1044" s="4">
        <v>1</v>
      </c>
      <c r="L1044" s="94">
        <v>-5695</v>
      </c>
      <c r="M1044" s="94">
        <v>0</v>
      </c>
    </row>
    <row r="1045" spans="3:13" x14ac:dyDescent="0.3">
      <c r="C1045" t="s">
        <v>70</v>
      </c>
      <c r="D1045" t="s">
        <v>62</v>
      </c>
      <c r="E1045" t="s">
        <v>68</v>
      </c>
      <c r="F1045" t="s">
        <v>24</v>
      </c>
      <c r="G1045" s="4">
        <v>5</v>
      </c>
      <c r="I1045" s="4" t="s">
        <v>69</v>
      </c>
      <c r="J1045" s="4" t="s">
        <v>66</v>
      </c>
      <c r="K1045" s="4">
        <v>0</v>
      </c>
      <c r="L1045" s="94">
        <v>12107025</v>
      </c>
      <c r="M1045" s="94">
        <v>60535125</v>
      </c>
    </row>
    <row r="1046" spans="3:13" x14ac:dyDescent="0.3">
      <c r="C1046" t="s">
        <v>71</v>
      </c>
      <c r="D1046" t="s">
        <v>67</v>
      </c>
      <c r="E1046" t="s">
        <v>63</v>
      </c>
      <c r="F1046" t="s">
        <v>72</v>
      </c>
      <c r="G1046" s="4">
        <v>-4</v>
      </c>
      <c r="H1046" s="4" t="s">
        <v>76</v>
      </c>
      <c r="I1046" s="4" t="s">
        <v>69</v>
      </c>
      <c r="J1046" s="4" t="s">
        <v>66</v>
      </c>
      <c r="K1046" s="4">
        <v>0</v>
      </c>
      <c r="L1046" s="94">
        <v>-143024</v>
      </c>
      <c r="M1046" s="94">
        <v>0</v>
      </c>
    </row>
    <row r="1047" spans="3:13" x14ac:dyDescent="0.3">
      <c r="C1047" t="s">
        <v>70</v>
      </c>
      <c r="D1047" t="s">
        <v>67</v>
      </c>
      <c r="E1047" t="s">
        <v>68</v>
      </c>
      <c r="F1047" t="s">
        <v>72</v>
      </c>
      <c r="G1047" s="4">
        <v>-1</v>
      </c>
      <c r="H1047" s="4" t="s">
        <v>78</v>
      </c>
      <c r="I1047" s="4" t="s">
        <v>69</v>
      </c>
      <c r="J1047" s="4" t="s">
        <v>66</v>
      </c>
      <c r="K1047" s="4">
        <v>0</v>
      </c>
      <c r="L1047" s="94">
        <v>20602</v>
      </c>
      <c r="M1047" s="94">
        <v>0</v>
      </c>
    </row>
    <row r="1048" spans="3:13" x14ac:dyDescent="0.3">
      <c r="C1048" t="s">
        <v>61</v>
      </c>
      <c r="D1048" t="s">
        <v>67</v>
      </c>
      <c r="E1048" t="s">
        <v>63</v>
      </c>
      <c r="F1048" t="s">
        <v>72</v>
      </c>
      <c r="G1048" s="4">
        <v>2</v>
      </c>
      <c r="H1048" s="4" t="s">
        <v>18</v>
      </c>
      <c r="I1048" s="4" t="s">
        <v>69</v>
      </c>
      <c r="J1048" s="4" t="s">
        <v>73</v>
      </c>
      <c r="K1048" s="4">
        <v>1</v>
      </c>
      <c r="L1048" s="94">
        <v>-1665</v>
      </c>
      <c r="M1048" s="94">
        <v>0</v>
      </c>
    </row>
    <row r="1049" spans="3:13" x14ac:dyDescent="0.3">
      <c r="C1049" t="s">
        <v>70</v>
      </c>
      <c r="D1049" t="s">
        <v>67</v>
      </c>
      <c r="E1049" t="s">
        <v>63</v>
      </c>
      <c r="F1049" t="s">
        <v>25</v>
      </c>
      <c r="G1049" s="4">
        <v>8</v>
      </c>
      <c r="H1049" s="4" t="s">
        <v>76</v>
      </c>
      <c r="I1049" s="4" t="s">
        <v>69</v>
      </c>
      <c r="J1049" s="4" t="s">
        <v>66</v>
      </c>
      <c r="K1049" s="4">
        <v>0</v>
      </c>
      <c r="L1049" s="94">
        <v>-40030</v>
      </c>
      <c r="M1049" s="94">
        <v>0</v>
      </c>
    </row>
    <row r="1050" spans="3:13" x14ac:dyDescent="0.3">
      <c r="C1050" t="s">
        <v>61</v>
      </c>
      <c r="D1050" t="s">
        <v>67</v>
      </c>
      <c r="E1050" t="s">
        <v>63</v>
      </c>
      <c r="F1050" t="s">
        <v>72</v>
      </c>
      <c r="G1050" s="4">
        <v>-1</v>
      </c>
      <c r="H1050" s="4" t="s">
        <v>14</v>
      </c>
      <c r="I1050" s="4" t="s">
        <v>69</v>
      </c>
      <c r="J1050" s="4" t="s">
        <v>66</v>
      </c>
      <c r="K1050" s="4">
        <v>0</v>
      </c>
      <c r="L1050" s="94">
        <v>-3010</v>
      </c>
      <c r="M1050" s="94">
        <v>0</v>
      </c>
    </row>
    <row r="1051" spans="3:13" x14ac:dyDescent="0.3">
      <c r="C1051" t="s">
        <v>71</v>
      </c>
      <c r="D1051" t="s">
        <v>67</v>
      </c>
      <c r="E1051" t="s">
        <v>63</v>
      </c>
      <c r="F1051" t="s">
        <v>72</v>
      </c>
      <c r="G1051" s="4">
        <v>2</v>
      </c>
      <c r="H1051" s="4" t="s">
        <v>18</v>
      </c>
      <c r="I1051" s="4" t="s">
        <v>69</v>
      </c>
      <c r="J1051" s="4" t="s">
        <v>66</v>
      </c>
      <c r="K1051" s="4">
        <v>0</v>
      </c>
      <c r="L1051" s="94">
        <v>-46633</v>
      </c>
      <c r="M1051" s="94">
        <v>0</v>
      </c>
    </row>
    <row r="1052" spans="3:13" x14ac:dyDescent="0.3">
      <c r="C1052" t="s">
        <v>61</v>
      </c>
      <c r="D1052" t="s">
        <v>67</v>
      </c>
      <c r="E1052" t="s">
        <v>63</v>
      </c>
      <c r="F1052" t="s">
        <v>26</v>
      </c>
      <c r="G1052" s="4">
        <v>7</v>
      </c>
      <c r="H1052" s="4" t="s">
        <v>76</v>
      </c>
      <c r="I1052" s="4" t="s">
        <v>69</v>
      </c>
      <c r="J1052" s="4" t="s">
        <v>66</v>
      </c>
      <c r="K1052" s="4">
        <v>0</v>
      </c>
      <c r="L1052" s="94">
        <v>-13320</v>
      </c>
      <c r="M1052" s="94">
        <v>0</v>
      </c>
    </row>
    <row r="1053" spans="3:13" x14ac:dyDescent="0.3">
      <c r="C1053" t="s">
        <v>71</v>
      </c>
      <c r="D1053" t="s">
        <v>67</v>
      </c>
      <c r="E1053" t="s">
        <v>68</v>
      </c>
      <c r="F1053" t="s">
        <v>72</v>
      </c>
      <c r="G1053" s="4">
        <v>3</v>
      </c>
      <c r="H1053" s="4" t="s">
        <v>14</v>
      </c>
      <c r="I1053" s="4" t="s">
        <v>69</v>
      </c>
      <c r="J1053" s="4" t="s">
        <v>66</v>
      </c>
      <c r="K1053" s="4">
        <v>0</v>
      </c>
      <c r="L1053" s="94">
        <v>317305</v>
      </c>
      <c r="M1053" s="94">
        <v>951915</v>
      </c>
    </row>
    <row r="1054" spans="3:13" x14ac:dyDescent="0.3">
      <c r="C1054" t="s">
        <v>61</v>
      </c>
      <c r="D1054" t="s">
        <v>62</v>
      </c>
      <c r="E1054" t="s">
        <v>63</v>
      </c>
      <c r="F1054" t="s">
        <v>24</v>
      </c>
      <c r="G1054" s="4">
        <v>31</v>
      </c>
      <c r="I1054" s="4" t="s">
        <v>65</v>
      </c>
      <c r="J1054" s="4" t="s">
        <v>66</v>
      </c>
      <c r="K1054" s="4">
        <v>1</v>
      </c>
      <c r="L1054" s="94">
        <v>-5772</v>
      </c>
      <c r="M1054" s="94">
        <v>0</v>
      </c>
    </row>
    <row r="1055" spans="3:13" x14ac:dyDescent="0.3">
      <c r="C1055" t="s">
        <v>61</v>
      </c>
      <c r="D1055" t="s">
        <v>67</v>
      </c>
      <c r="E1055" t="s">
        <v>63</v>
      </c>
      <c r="F1055" t="s">
        <v>26</v>
      </c>
      <c r="G1055" s="4">
        <v>-1</v>
      </c>
      <c r="H1055" s="4" t="s">
        <v>17</v>
      </c>
      <c r="I1055" s="4" t="s">
        <v>69</v>
      </c>
      <c r="J1055" s="4" t="s">
        <v>66</v>
      </c>
      <c r="K1055" s="4">
        <v>0</v>
      </c>
      <c r="L1055" s="94">
        <v>-350355</v>
      </c>
      <c r="M1055" s="94">
        <v>0</v>
      </c>
    </row>
    <row r="1056" spans="3:13" x14ac:dyDescent="0.3">
      <c r="C1056" t="s">
        <v>70</v>
      </c>
      <c r="D1056" t="s">
        <v>67</v>
      </c>
      <c r="E1056" t="s">
        <v>63</v>
      </c>
      <c r="F1056" t="s">
        <v>25</v>
      </c>
      <c r="G1056" s="4">
        <v>1</v>
      </c>
      <c r="H1056" s="4" t="s">
        <v>64</v>
      </c>
      <c r="I1056" s="4" t="s">
        <v>69</v>
      </c>
      <c r="J1056" s="4" t="s">
        <v>66</v>
      </c>
      <c r="K1056" s="4">
        <v>0</v>
      </c>
      <c r="L1056" s="94">
        <v>-4554</v>
      </c>
      <c r="M1056" s="94">
        <v>0</v>
      </c>
    </row>
    <row r="1057" spans="3:13" x14ac:dyDescent="0.3">
      <c r="C1057" t="s">
        <v>70</v>
      </c>
      <c r="D1057" t="s">
        <v>67</v>
      </c>
      <c r="E1057" t="s">
        <v>68</v>
      </c>
      <c r="F1057" t="s">
        <v>26</v>
      </c>
      <c r="G1057" s="4">
        <v>3</v>
      </c>
      <c r="H1057" s="4" t="s">
        <v>12</v>
      </c>
      <c r="I1057" s="4" t="s">
        <v>69</v>
      </c>
      <c r="J1057" s="4" t="s">
        <v>73</v>
      </c>
      <c r="K1057" s="4">
        <v>1</v>
      </c>
      <c r="L1057" s="94">
        <v>2357154</v>
      </c>
      <c r="M1057" s="94">
        <v>7071462</v>
      </c>
    </row>
    <row r="1058" spans="3:13" x14ac:dyDescent="0.3">
      <c r="C1058" t="s">
        <v>61</v>
      </c>
      <c r="D1058" t="s">
        <v>62</v>
      </c>
      <c r="E1058" t="s">
        <v>68</v>
      </c>
      <c r="F1058" t="s">
        <v>25</v>
      </c>
      <c r="G1058" s="4">
        <v>31</v>
      </c>
      <c r="I1058" s="4" t="s">
        <v>69</v>
      </c>
      <c r="J1058" s="4" t="s">
        <v>66</v>
      </c>
      <c r="K1058" s="4">
        <v>0</v>
      </c>
      <c r="L1058" s="94">
        <v>171903</v>
      </c>
      <c r="M1058" s="94">
        <v>5328993</v>
      </c>
    </row>
    <row r="1059" spans="3:13" x14ac:dyDescent="0.3">
      <c r="C1059" t="s">
        <v>71</v>
      </c>
      <c r="D1059" t="s">
        <v>67</v>
      </c>
      <c r="E1059" t="s">
        <v>68</v>
      </c>
      <c r="F1059" t="s">
        <v>25</v>
      </c>
      <c r="G1059" s="4">
        <v>3</v>
      </c>
      <c r="H1059" s="4" t="s">
        <v>79</v>
      </c>
      <c r="I1059" s="4" t="s">
        <v>69</v>
      </c>
      <c r="J1059" s="4" t="s">
        <v>66</v>
      </c>
      <c r="K1059" s="4">
        <v>0</v>
      </c>
      <c r="L1059" s="94">
        <v>71568</v>
      </c>
      <c r="M1059" s="94">
        <v>214704</v>
      </c>
    </row>
    <row r="1060" spans="3:13" x14ac:dyDescent="0.3">
      <c r="C1060" t="s">
        <v>61</v>
      </c>
      <c r="D1060" t="s">
        <v>67</v>
      </c>
      <c r="E1060" t="s">
        <v>68</v>
      </c>
      <c r="F1060" t="s">
        <v>25</v>
      </c>
      <c r="G1060" s="4">
        <v>6</v>
      </c>
      <c r="H1060" s="4" t="s">
        <v>80</v>
      </c>
      <c r="I1060" s="4" t="s">
        <v>69</v>
      </c>
      <c r="J1060" s="4" t="s">
        <v>66</v>
      </c>
      <c r="K1060" s="4">
        <v>0</v>
      </c>
      <c r="L1060" s="94">
        <v>244218</v>
      </c>
      <c r="M1060" s="94">
        <v>1465308</v>
      </c>
    </row>
    <row r="1061" spans="3:13" x14ac:dyDescent="0.3">
      <c r="C1061" t="s">
        <v>61</v>
      </c>
      <c r="D1061" t="s">
        <v>67</v>
      </c>
      <c r="E1061" t="s">
        <v>68</v>
      </c>
      <c r="F1061" t="s">
        <v>72</v>
      </c>
      <c r="G1061" s="4">
        <v>-1</v>
      </c>
      <c r="H1061" s="4" t="s">
        <v>18</v>
      </c>
      <c r="I1061" s="4" t="s">
        <v>69</v>
      </c>
      <c r="J1061" s="4" t="s">
        <v>73</v>
      </c>
      <c r="K1061" s="4">
        <v>1</v>
      </c>
      <c r="L1061" s="94">
        <v>775918</v>
      </c>
      <c r="M1061" s="94">
        <v>0</v>
      </c>
    </row>
    <row r="1062" spans="3:13" x14ac:dyDescent="0.3">
      <c r="C1062" t="s">
        <v>70</v>
      </c>
      <c r="D1062" t="s">
        <v>67</v>
      </c>
      <c r="E1062" t="s">
        <v>68</v>
      </c>
      <c r="F1062" t="s">
        <v>72</v>
      </c>
      <c r="G1062" s="4">
        <v>3</v>
      </c>
      <c r="H1062" s="4" t="s">
        <v>12</v>
      </c>
      <c r="I1062" s="4" t="s">
        <v>69</v>
      </c>
      <c r="J1062" s="4" t="s">
        <v>73</v>
      </c>
      <c r="K1062" s="4">
        <v>1</v>
      </c>
      <c r="L1062" s="94">
        <v>70460</v>
      </c>
      <c r="M1062" s="94">
        <v>211380</v>
      </c>
    </row>
    <row r="1063" spans="3:13" x14ac:dyDescent="0.3">
      <c r="C1063" t="s">
        <v>70</v>
      </c>
      <c r="D1063" t="s">
        <v>67</v>
      </c>
      <c r="E1063" t="s">
        <v>63</v>
      </c>
      <c r="F1063" t="s">
        <v>26</v>
      </c>
      <c r="G1063" s="4">
        <v>6</v>
      </c>
      <c r="H1063" s="4" t="s">
        <v>12</v>
      </c>
      <c r="I1063" s="4" t="s">
        <v>65</v>
      </c>
      <c r="J1063" s="4" t="s">
        <v>73</v>
      </c>
      <c r="K1063" s="4">
        <v>1</v>
      </c>
      <c r="L1063" s="94">
        <v>-1701</v>
      </c>
      <c r="M1063" s="94">
        <v>0</v>
      </c>
    </row>
    <row r="1064" spans="3:13" x14ac:dyDescent="0.3">
      <c r="C1064" t="s">
        <v>71</v>
      </c>
      <c r="D1064" t="s">
        <v>67</v>
      </c>
      <c r="E1064" t="s">
        <v>68</v>
      </c>
      <c r="F1064" t="s">
        <v>72</v>
      </c>
      <c r="G1064" s="4">
        <v>2</v>
      </c>
      <c r="H1064" s="4" t="s">
        <v>13</v>
      </c>
      <c r="I1064" s="4" t="s">
        <v>69</v>
      </c>
      <c r="J1064" s="4" t="s">
        <v>73</v>
      </c>
      <c r="K1064" s="4">
        <v>1</v>
      </c>
      <c r="L1064" s="94">
        <v>301095</v>
      </c>
      <c r="M1064" s="94">
        <v>602190</v>
      </c>
    </row>
    <row r="1065" spans="3:13" x14ac:dyDescent="0.3">
      <c r="C1065" t="s">
        <v>61</v>
      </c>
      <c r="D1065" t="s">
        <v>67</v>
      </c>
      <c r="E1065" t="s">
        <v>63</v>
      </c>
      <c r="F1065" t="s">
        <v>25</v>
      </c>
      <c r="G1065" s="4">
        <v>4</v>
      </c>
      <c r="H1065" s="4" t="s">
        <v>83</v>
      </c>
      <c r="I1065" s="4" t="s">
        <v>69</v>
      </c>
      <c r="J1065" s="4" t="s">
        <v>66</v>
      </c>
      <c r="K1065" s="4">
        <v>0</v>
      </c>
      <c r="L1065" s="94">
        <v>-25</v>
      </c>
      <c r="M1065" s="94">
        <v>0</v>
      </c>
    </row>
    <row r="1066" spans="3:13" x14ac:dyDescent="0.3">
      <c r="C1066" t="s">
        <v>61</v>
      </c>
      <c r="D1066" t="s">
        <v>67</v>
      </c>
      <c r="E1066" t="s">
        <v>68</v>
      </c>
      <c r="F1066" t="s">
        <v>26</v>
      </c>
      <c r="G1066" s="4">
        <v>3</v>
      </c>
      <c r="H1066" s="4" t="s">
        <v>75</v>
      </c>
      <c r="I1066" s="4" t="s">
        <v>69</v>
      </c>
      <c r="J1066" s="4" t="s">
        <v>66</v>
      </c>
      <c r="K1066" s="4">
        <v>0</v>
      </c>
      <c r="L1066" s="94">
        <v>8506673</v>
      </c>
      <c r="M1066" s="94">
        <v>25520019</v>
      </c>
    </row>
    <row r="1067" spans="3:13" x14ac:dyDescent="0.3">
      <c r="C1067" t="s">
        <v>61</v>
      </c>
      <c r="D1067" t="s">
        <v>62</v>
      </c>
      <c r="E1067" t="s">
        <v>63</v>
      </c>
      <c r="F1067" t="s">
        <v>25</v>
      </c>
      <c r="G1067" s="4">
        <v>18</v>
      </c>
      <c r="I1067" s="4" t="s">
        <v>69</v>
      </c>
      <c r="J1067" s="4" t="s">
        <v>66</v>
      </c>
      <c r="K1067" s="4">
        <v>1</v>
      </c>
      <c r="L1067" s="94">
        <v>-62</v>
      </c>
      <c r="M1067" s="94">
        <v>0</v>
      </c>
    </row>
    <row r="1068" spans="3:13" x14ac:dyDescent="0.3">
      <c r="C1068" t="s">
        <v>70</v>
      </c>
      <c r="D1068" t="s">
        <v>67</v>
      </c>
      <c r="E1068" t="s">
        <v>63</v>
      </c>
      <c r="F1068" t="s">
        <v>25</v>
      </c>
      <c r="G1068" s="4">
        <v>4</v>
      </c>
      <c r="H1068" s="4" t="s">
        <v>80</v>
      </c>
      <c r="I1068" s="4" t="s">
        <v>69</v>
      </c>
      <c r="J1068" s="4" t="s">
        <v>66</v>
      </c>
      <c r="K1068" s="4">
        <v>0</v>
      </c>
      <c r="L1068" s="94">
        <v>-450</v>
      </c>
      <c r="M1068" s="94">
        <v>0</v>
      </c>
    </row>
    <row r="1069" spans="3:13" x14ac:dyDescent="0.3">
      <c r="C1069" t="s">
        <v>61</v>
      </c>
      <c r="D1069" t="s">
        <v>62</v>
      </c>
      <c r="E1069" t="s">
        <v>63</v>
      </c>
      <c r="F1069" t="s">
        <v>24</v>
      </c>
      <c r="G1069" s="4">
        <v>18</v>
      </c>
      <c r="I1069" s="4" t="s">
        <v>69</v>
      </c>
      <c r="J1069" s="4" t="s">
        <v>66</v>
      </c>
      <c r="K1069" s="4">
        <v>1</v>
      </c>
      <c r="L1069" s="94">
        <v>-799</v>
      </c>
      <c r="M1069" s="94">
        <v>0</v>
      </c>
    </row>
    <row r="1070" spans="3:13" x14ac:dyDescent="0.3">
      <c r="C1070" t="s">
        <v>61</v>
      </c>
      <c r="D1070" t="s">
        <v>62</v>
      </c>
      <c r="E1070" t="s">
        <v>68</v>
      </c>
      <c r="F1070" t="s">
        <v>24</v>
      </c>
      <c r="G1070" s="4">
        <v>8</v>
      </c>
      <c r="I1070" s="4" t="s">
        <v>69</v>
      </c>
      <c r="J1070" s="4" t="s">
        <v>66</v>
      </c>
      <c r="K1070" s="4">
        <v>0</v>
      </c>
      <c r="L1070" s="94">
        <v>188179988</v>
      </c>
      <c r="M1070" s="94">
        <v>1505439904</v>
      </c>
    </row>
    <row r="1071" spans="3:13" x14ac:dyDescent="0.3">
      <c r="C1071" t="s">
        <v>70</v>
      </c>
      <c r="D1071" t="s">
        <v>67</v>
      </c>
      <c r="E1071" t="s">
        <v>68</v>
      </c>
      <c r="F1071" t="s">
        <v>25</v>
      </c>
      <c r="G1071" s="4">
        <v>12</v>
      </c>
      <c r="H1071" s="4" t="s">
        <v>76</v>
      </c>
      <c r="I1071" s="4" t="s">
        <v>69</v>
      </c>
      <c r="J1071" s="4" t="s">
        <v>66</v>
      </c>
      <c r="K1071" s="4">
        <v>0</v>
      </c>
      <c r="L1071" s="94">
        <v>1437132</v>
      </c>
      <c r="M1071" s="94">
        <v>17245584</v>
      </c>
    </row>
    <row r="1072" spans="3:13" x14ac:dyDescent="0.3">
      <c r="C1072" t="s">
        <v>71</v>
      </c>
      <c r="D1072" t="s">
        <v>67</v>
      </c>
      <c r="E1072" t="s">
        <v>68</v>
      </c>
      <c r="F1072" t="s">
        <v>72</v>
      </c>
      <c r="G1072" s="4">
        <v>1</v>
      </c>
      <c r="H1072" s="4" t="s">
        <v>82</v>
      </c>
      <c r="I1072" s="4" t="s">
        <v>69</v>
      </c>
      <c r="J1072" s="4" t="s">
        <v>66</v>
      </c>
      <c r="K1072" s="4">
        <v>0</v>
      </c>
      <c r="L1072" s="94">
        <v>218661</v>
      </c>
      <c r="M1072" s="94">
        <v>218661</v>
      </c>
    </row>
    <row r="1073" spans="3:13" x14ac:dyDescent="0.3">
      <c r="C1073" t="s">
        <v>70</v>
      </c>
      <c r="D1073" t="s">
        <v>67</v>
      </c>
      <c r="E1073" t="s">
        <v>68</v>
      </c>
      <c r="F1073" t="s">
        <v>26</v>
      </c>
      <c r="G1073" s="4">
        <v>-1</v>
      </c>
      <c r="H1073" s="4" t="s">
        <v>14</v>
      </c>
      <c r="I1073" s="4" t="s">
        <v>69</v>
      </c>
      <c r="J1073" s="4" t="s">
        <v>73</v>
      </c>
      <c r="K1073" s="4">
        <v>1</v>
      </c>
      <c r="L1073" s="94">
        <v>20971547</v>
      </c>
      <c r="M1073" s="94">
        <v>0</v>
      </c>
    </row>
    <row r="1074" spans="3:13" x14ac:dyDescent="0.3">
      <c r="C1074" t="s">
        <v>71</v>
      </c>
      <c r="D1074" t="s">
        <v>67</v>
      </c>
      <c r="E1074" t="s">
        <v>68</v>
      </c>
      <c r="F1074" t="s">
        <v>25</v>
      </c>
      <c r="G1074" s="4">
        <v>1</v>
      </c>
      <c r="H1074" s="4" t="s">
        <v>75</v>
      </c>
      <c r="I1074" s="4" t="s">
        <v>69</v>
      </c>
      <c r="J1074" s="4" t="s">
        <v>66</v>
      </c>
      <c r="K1074" s="4">
        <v>0</v>
      </c>
      <c r="L1074" s="94">
        <v>5800788</v>
      </c>
      <c r="M1074" s="94">
        <v>5800788</v>
      </c>
    </row>
    <row r="1075" spans="3:13" x14ac:dyDescent="0.3">
      <c r="C1075" t="s">
        <v>70</v>
      </c>
      <c r="D1075" t="s">
        <v>67</v>
      </c>
      <c r="E1075" t="s">
        <v>68</v>
      </c>
      <c r="F1075" t="s">
        <v>25</v>
      </c>
      <c r="G1075" s="4">
        <v>2</v>
      </c>
      <c r="H1075" s="4" t="s">
        <v>78</v>
      </c>
      <c r="I1075" s="4" t="s">
        <v>69</v>
      </c>
      <c r="J1075" s="4" t="s">
        <v>66</v>
      </c>
      <c r="K1075" s="4">
        <v>0</v>
      </c>
      <c r="L1075" s="94">
        <v>270146</v>
      </c>
      <c r="M1075" s="94">
        <v>540292</v>
      </c>
    </row>
    <row r="1076" spans="3:13" x14ac:dyDescent="0.3">
      <c r="C1076" t="s">
        <v>70</v>
      </c>
      <c r="D1076" t="s">
        <v>67</v>
      </c>
      <c r="E1076" t="s">
        <v>68</v>
      </c>
      <c r="F1076" t="s">
        <v>25</v>
      </c>
      <c r="G1076" s="4">
        <v>11</v>
      </c>
      <c r="H1076" s="4" t="s">
        <v>14</v>
      </c>
      <c r="I1076" s="4" t="s">
        <v>69</v>
      </c>
      <c r="J1076" s="4" t="s">
        <v>66</v>
      </c>
      <c r="K1076" s="4">
        <v>0</v>
      </c>
      <c r="L1076" s="94">
        <v>1034967</v>
      </c>
      <c r="M1076" s="94">
        <v>11384637</v>
      </c>
    </row>
    <row r="1077" spans="3:13" x14ac:dyDescent="0.3">
      <c r="C1077" t="s">
        <v>61</v>
      </c>
      <c r="D1077" t="s">
        <v>67</v>
      </c>
      <c r="E1077" t="s">
        <v>68</v>
      </c>
      <c r="F1077" t="s">
        <v>26</v>
      </c>
      <c r="G1077" s="4">
        <v>0</v>
      </c>
      <c r="H1077" s="4" t="s">
        <v>18</v>
      </c>
      <c r="I1077" s="4" t="s">
        <v>69</v>
      </c>
      <c r="J1077" s="4" t="s">
        <v>66</v>
      </c>
      <c r="K1077" s="4">
        <v>0</v>
      </c>
      <c r="L1077" s="94">
        <v>542819826</v>
      </c>
      <c r="M1077" s="94">
        <v>0</v>
      </c>
    </row>
    <row r="1078" spans="3:13" x14ac:dyDescent="0.3">
      <c r="C1078" t="s">
        <v>71</v>
      </c>
      <c r="D1078" t="s">
        <v>67</v>
      </c>
      <c r="E1078" t="s">
        <v>63</v>
      </c>
      <c r="F1078" t="s">
        <v>25</v>
      </c>
      <c r="G1078" s="4">
        <v>8</v>
      </c>
      <c r="H1078" s="4" t="s">
        <v>75</v>
      </c>
      <c r="I1078" s="4" t="s">
        <v>69</v>
      </c>
      <c r="J1078" s="4" t="s">
        <v>66</v>
      </c>
      <c r="K1078" s="4">
        <v>0</v>
      </c>
      <c r="L1078" s="94">
        <v>-243138</v>
      </c>
      <c r="M1078" s="94">
        <v>0</v>
      </c>
    </row>
    <row r="1079" spans="3:13" x14ac:dyDescent="0.3">
      <c r="C1079" t="s">
        <v>61</v>
      </c>
      <c r="D1079" t="s">
        <v>67</v>
      </c>
      <c r="E1079" t="s">
        <v>68</v>
      </c>
      <c r="F1079" t="s">
        <v>25</v>
      </c>
      <c r="G1079" s="4">
        <v>19</v>
      </c>
      <c r="H1079" s="4" t="s">
        <v>74</v>
      </c>
      <c r="I1079" s="4" t="s">
        <v>69</v>
      </c>
      <c r="J1079" s="4" t="s">
        <v>66</v>
      </c>
      <c r="K1079" s="4">
        <v>0</v>
      </c>
      <c r="L1079" s="94">
        <v>84661</v>
      </c>
      <c r="M1079" s="94">
        <v>1608559</v>
      </c>
    </row>
    <row r="1080" spans="3:13" x14ac:dyDescent="0.3">
      <c r="C1080" t="s">
        <v>71</v>
      </c>
      <c r="D1080" t="s">
        <v>67</v>
      </c>
      <c r="E1080" t="s">
        <v>63</v>
      </c>
      <c r="F1080" t="s">
        <v>72</v>
      </c>
      <c r="G1080" s="4">
        <v>0</v>
      </c>
      <c r="H1080" s="4" t="s">
        <v>74</v>
      </c>
      <c r="I1080" s="4" t="s">
        <v>69</v>
      </c>
      <c r="J1080" s="4" t="s">
        <v>66</v>
      </c>
      <c r="K1080" s="4">
        <v>0</v>
      </c>
      <c r="L1080" s="94">
        <v>-19835</v>
      </c>
      <c r="M1080" s="94">
        <v>0</v>
      </c>
    </row>
    <row r="1081" spans="3:13" x14ac:dyDescent="0.3">
      <c r="C1081" t="s">
        <v>61</v>
      </c>
      <c r="D1081" t="s">
        <v>67</v>
      </c>
      <c r="E1081" t="s">
        <v>68</v>
      </c>
      <c r="F1081" t="s">
        <v>25</v>
      </c>
      <c r="G1081" s="4">
        <v>10</v>
      </c>
      <c r="H1081" s="4" t="s">
        <v>76</v>
      </c>
      <c r="I1081" s="4" t="s">
        <v>65</v>
      </c>
      <c r="J1081" s="4" t="s">
        <v>66</v>
      </c>
      <c r="K1081" s="4">
        <v>1</v>
      </c>
      <c r="L1081" s="94">
        <v>5870868</v>
      </c>
      <c r="M1081" s="94">
        <v>58708680</v>
      </c>
    </row>
    <row r="1082" spans="3:13" x14ac:dyDescent="0.3">
      <c r="C1082" t="s">
        <v>71</v>
      </c>
      <c r="D1082" t="s">
        <v>62</v>
      </c>
      <c r="E1082" t="s">
        <v>68</v>
      </c>
      <c r="F1082" t="s">
        <v>24</v>
      </c>
      <c r="G1082" s="4">
        <v>26</v>
      </c>
      <c r="I1082" s="4" t="s">
        <v>69</v>
      </c>
      <c r="J1082" s="4" t="s">
        <v>66</v>
      </c>
      <c r="K1082" s="4">
        <v>0</v>
      </c>
      <c r="L1082" s="94">
        <v>10757034</v>
      </c>
      <c r="M1082" s="94">
        <v>279682884</v>
      </c>
    </row>
    <row r="1083" spans="3:13" x14ac:dyDescent="0.3">
      <c r="C1083" t="s">
        <v>61</v>
      </c>
      <c r="D1083" t="s">
        <v>62</v>
      </c>
      <c r="E1083" t="s">
        <v>63</v>
      </c>
      <c r="F1083" t="s">
        <v>24</v>
      </c>
      <c r="G1083" s="4">
        <v>16</v>
      </c>
      <c r="I1083" s="4" t="s">
        <v>69</v>
      </c>
      <c r="J1083" s="4" t="s">
        <v>66</v>
      </c>
      <c r="K1083" s="4">
        <v>1</v>
      </c>
      <c r="L1083" s="94">
        <v>-1665</v>
      </c>
      <c r="M1083" s="94">
        <v>0</v>
      </c>
    </row>
    <row r="1084" spans="3:13" x14ac:dyDescent="0.3">
      <c r="C1084" t="s">
        <v>70</v>
      </c>
      <c r="D1084" t="s">
        <v>67</v>
      </c>
      <c r="E1084" t="s">
        <v>63</v>
      </c>
      <c r="F1084" t="s">
        <v>26</v>
      </c>
      <c r="G1084" s="4">
        <v>7</v>
      </c>
      <c r="H1084" s="4" t="s">
        <v>14</v>
      </c>
      <c r="I1084" s="4" t="s">
        <v>69</v>
      </c>
      <c r="J1084" s="4" t="s">
        <v>73</v>
      </c>
      <c r="K1084" s="4">
        <v>1</v>
      </c>
      <c r="L1084" s="94">
        <v>-175528</v>
      </c>
      <c r="M1084" s="94">
        <v>0</v>
      </c>
    </row>
    <row r="1085" spans="3:13" x14ac:dyDescent="0.3">
      <c r="C1085" t="s">
        <v>71</v>
      </c>
      <c r="D1085" t="s">
        <v>67</v>
      </c>
      <c r="E1085" t="s">
        <v>63</v>
      </c>
      <c r="F1085" t="s">
        <v>26</v>
      </c>
      <c r="G1085" s="4">
        <v>10</v>
      </c>
      <c r="H1085" s="4" t="s">
        <v>12</v>
      </c>
      <c r="I1085" s="4" t="s">
        <v>69</v>
      </c>
      <c r="J1085" s="4" t="s">
        <v>73</v>
      </c>
      <c r="K1085" s="4">
        <v>1</v>
      </c>
      <c r="L1085" s="94">
        <v>-7039</v>
      </c>
      <c r="M1085" s="94">
        <v>0</v>
      </c>
    </row>
    <row r="1086" spans="3:13" x14ac:dyDescent="0.3">
      <c r="C1086" t="s">
        <v>71</v>
      </c>
      <c r="D1086" t="s">
        <v>67</v>
      </c>
      <c r="E1086" t="s">
        <v>68</v>
      </c>
      <c r="F1086" t="s">
        <v>26</v>
      </c>
      <c r="G1086" s="4">
        <v>10</v>
      </c>
      <c r="H1086" s="4" t="s">
        <v>74</v>
      </c>
      <c r="I1086" s="4" t="s">
        <v>69</v>
      </c>
      <c r="J1086" s="4" t="s">
        <v>66</v>
      </c>
      <c r="K1086" s="4">
        <v>0</v>
      </c>
      <c r="L1086" s="94">
        <v>27750</v>
      </c>
      <c r="M1086" s="94">
        <v>277500</v>
      </c>
    </row>
    <row r="1087" spans="3:13" x14ac:dyDescent="0.3">
      <c r="C1087" t="s">
        <v>61</v>
      </c>
      <c r="D1087" t="s">
        <v>67</v>
      </c>
      <c r="E1087" t="s">
        <v>63</v>
      </c>
      <c r="F1087" t="s">
        <v>26</v>
      </c>
      <c r="G1087" s="4">
        <v>14</v>
      </c>
      <c r="H1087" s="4" t="s">
        <v>75</v>
      </c>
      <c r="I1087" s="4" t="s">
        <v>69</v>
      </c>
      <c r="J1087" s="4" t="s">
        <v>66</v>
      </c>
      <c r="K1087" s="4">
        <v>0</v>
      </c>
      <c r="L1087" s="94">
        <v>-883</v>
      </c>
      <c r="M1087" s="94">
        <v>0</v>
      </c>
    </row>
    <row r="1088" spans="3:13" x14ac:dyDescent="0.3">
      <c r="C1088" t="s">
        <v>70</v>
      </c>
      <c r="D1088" t="s">
        <v>67</v>
      </c>
      <c r="E1088" t="s">
        <v>68</v>
      </c>
      <c r="F1088" t="s">
        <v>25</v>
      </c>
      <c r="G1088" s="4">
        <v>9</v>
      </c>
      <c r="H1088" s="4" t="s">
        <v>14</v>
      </c>
      <c r="I1088" s="4" t="s">
        <v>69</v>
      </c>
      <c r="J1088" s="4" t="s">
        <v>66</v>
      </c>
      <c r="K1088" s="4">
        <v>0</v>
      </c>
      <c r="L1088" s="94">
        <v>2665668</v>
      </c>
      <c r="M1088" s="94">
        <v>23991012</v>
      </c>
    </row>
    <row r="1089" spans="3:13" x14ac:dyDescent="0.3">
      <c r="C1089" t="s">
        <v>61</v>
      </c>
      <c r="D1089" t="s">
        <v>67</v>
      </c>
      <c r="E1089" t="s">
        <v>63</v>
      </c>
      <c r="F1089" t="s">
        <v>25</v>
      </c>
      <c r="G1089" s="4">
        <v>15</v>
      </c>
      <c r="H1089" s="4" t="s">
        <v>76</v>
      </c>
      <c r="I1089" s="4" t="s">
        <v>69</v>
      </c>
      <c r="J1089" s="4" t="s">
        <v>66</v>
      </c>
      <c r="K1089" s="4">
        <v>0</v>
      </c>
      <c r="L1089" s="94">
        <v>-37129</v>
      </c>
      <c r="M1089" s="94">
        <v>0</v>
      </c>
    </row>
    <row r="1090" spans="3:13" x14ac:dyDescent="0.3">
      <c r="C1090" t="s">
        <v>71</v>
      </c>
      <c r="D1090" t="s">
        <v>62</v>
      </c>
      <c r="E1090" t="s">
        <v>68</v>
      </c>
      <c r="F1090" t="s">
        <v>24</v>
      </c>
      <c r="G1090" s="4">
        <v>27</v>
      </c>
      <c r="I1090" s="4" t="s">
        <v>65</v>
      </c>
      <c r="J1090" s="4" t="s">
        <v>66</v>
      </c>
      <c r="K1090" s="4">
        <v>1</v>
      </c>
      <c r="L1090" s="94">
        <v>180022</v>
      </c>
      <c r="M1090" s="94">
        <v>4860594</v>
      </c>
    </row>
    <row r="1091" spans="3:13" x14ac:dyDescent="0.3">
      <c r="C1091" t="s">
        <v>61</v>
      </c>
      <c r="D1091" t="s">
        <v>67</v>
      </c>
      <c r="E1091" t="s">
        <v>68</v>
      </c>
      <c r="F1091" t="s">
        <v>26</v>
      </c>
      <c r="G1091" s="4">
        <v>6</v>
      </c>
      <c r="H1091" s="4" t="s">
        <v>76</v>
      </c>
      <c r="I1091" s="4" t="s">
        <v>69</v>
      </c>
      <c r="J1091" s="4" t="s">
        <v>66</v>
      </c>
      <c r="K1091" s="4">
        <v>0</v>
      </c>
      <c r="L1091" s="94">
        <v>3967367</v>
      </c>
      <c r="M1091" s="94">
        <v>23804202</v>
      </c>
    </row>
    <row r="1092" spans="3:13" x14ac:dyDescent="0.3">
      <c r="C1092" t="s">
        <v>71</v>
      </c>
      <c r="D1092" t="s">
        <v>67</v>
      </c>
      <c r="E1092" t="s">
        <v>63</v>
      </c>
      <c r="F1092" t="s">
        <v>26</v>
      </c>
      <c r="G1092" s="4">
        <v>8</v>
      </c>
      <c r="H1092" s="4" t="s">
        <v>82</v>
      </c>
      <c r="I1092" s="4" t="s">
        <v>69</v>
      </c>
      <c r="J1092" s="4" t="s">
        <v>66</v>
      </c>
      <c r="K1092" s="4">
        <v>0</v>
      </c>
      <c r="L1092" s="94">
        <v>-5233</v>
      </c>
      <c r="M1092" s="94">
        <v>0</v>
      </c>
    </row>
    <row r="1093" spans="3:13" x14ac:dyDescent="0.3">
      <c r="C1093" t="s">
        <v>61</v>
      </c>
      <c r="D1093" t="s">
        <v>67</v>
      </c>
      <c r="E1093" t="s">
        <v>68</v>
      </c>
      <c r="F1093" t="s">
        <v>26</v>
      </c>
      <c r="G1093" s="4">
        <v>-1</v>
      </c>
      <c r="H1093" s="4" t="s">
        <v>78</v>
      </c>
      <c r="I1093" s="4" t="s">
        <v>69</v>
      </c>
      <c r="J1093" s="4" t="s">
        <v>66</v>
      </c>
      <c r="K1093" s="4">
        <v>0</v>
      </c>
      <c r="L1093" s="94">
        <v>2435327</v>
      </c>
      <c r="M1093" s="94">
        <v>0</v>
      </c>
    </row>
    <row r="1094" spans="3:13" x14ac:dyDescent="0.3">
      <c r="C1094" t="s">
        <v>71</v>
      </c>
      <c r="D1094" t="s">
        <v>67</v>
      </c>
      <c r="E1094" t="s">
        <v>68</v>
      </c>
      <c r="F1094" t="s">
        <v>26</v>
      </c>
      <c r="G1094" s="4">
        <v>6</v>
      </c>
      <c r="H1094" s="4" t="s">
        <v>14</v>
      </c>
      <c r="I1094" s="4" t="s">
        <v>69</v>
      </c>
      <c r="J1094" s="4" t="s">
        <v>66</v>
      </c>
      <c r="K1094" s="4">
        <v>0</v>
      </c>
      <c r="L1094" s="94">
        <v>84368</v>
      </c>
      <c r="M1094" s="94">
        <v>506208</v>
      </c>
    </row>
    <row r="1095" spans="3:13" x14ac:dyDescent="0.3">
      <c r="C1095" t="s">
        <v>71</v>
      </c>
      <c r="D1095" t="s">
        <v>67</v>
      </c>
      <c r="E1095" t="s">
        <v>63</v>
      </c>
      <c r="F1095" t="s">
        <v>26</v>
      </c>
      <c r="G1095" s="4">
        <v>4</v>
      </c>
      <c r="H1095" s="4" t="s">
        <v>80</v>
      </c>
      <c r="I1095" s="4" t="s">
        <v>69</v>
      </c>
      <c r="J1095" s="4" t="s">
        <v>66</v>
      </c>
      <c r="K1095" s="4">
        <v>0</v>
      </c>
      <c r="L1095" s="94">
        <v>-22938</v>
      </c>
      <c r="M1095" s="94">
        <v>0</v>
      </c>
    </row>
    <row r="1096" spans="3:13" x14ac:dyDescent="0.3">
      <c r="C1096" t="s">
        <v>61</v>
      </c>
      <c r="D1096" t="s">
        <v>62</v>
      </c>
      <c r="E1096" t="s">
        <v>68</v>
      </c>
      <c r="F1096" t="s">
        <v>24</v>
      </c>
      <c r="G1096" s="4">
        <v>41</v>
      </c>
      <c r="I1096" s="4" t="s">
        <v>69</v>
      </c>
      <c r="J1096" s="4" t="s">
        <v>66</v>
      </c>
      <c r="K1096" s="4">
        <v>1</v>
      </c>
      <c r="L1096" s="94">
        <v>323294</v>
      </c>
      <c r="M1096" s="94">
        <v>13255054</v>
      </c>
    </row>
    <row r="1097" spans="3:13" x14ac:dyDescent="0.3">
      <c r="C1097" t="s">
        <v>71</v>
      </c>
      <c r="D1097" t="s">
        <v>67</v>
      </c>
      <c r="E1097" t="s">
        <v>68</v>
      </c>
      <c r="F1097" t="s">
        <v>72</v>
      </c>
      <c r="G1097" s="4">
        <v>5</v>
      </c>
      <c r="H1097" s="4" t="s">
        <v>17</v>
      </c>
      <c r="I1097" s="4" t="s">
        <v>69</v>
      </c>
      <c r="J1097" s="4" t="s">
        <v>66</v>
      </c>
      <c r="K1097" s="4">
        <v>0</v>
      </c>
      <c r="L1097" s="94">
        <v>28083</v>
      </c>
      <c r="M1097" s="94">
        <v>140415</v>
      </c>
    </row>
    <row r="1098" spans="3:13" x14ac:dyDescent="0.3">
      <c r="C1098" t="s">
        <v>70</v>
      </c>
      <c r="D1098" t="s">
        <v>67</v>
      </c>
      <c r="E1098" t="s">
        <v>68</v>
      </c>
      <c r="F1098" t="s">
        <v>26</v>
      </c>
      <c r="G1098" s="4">
        <v>7</v>
      </c>
      <c r="H1098" s="4" t="s">
        <v>18</v>
      </c>
      <c r="I1098" s="4" t="s">
        <v>69</v>
      </c>
      <c r="J1098" s="4" t="s">
        <v>73</v>
      </c>
      <c r="K1098" s="4">
        <v>1</v>
      </c>
      <c r="L1098" s="94">
        <v>71939</v>
      </c>
      <c r="M1098" s="94">
        <v>503573</v>
      </c>
    </row>
    <row r="1099" spans="3:13" x14ac:dyDescent="0.3">
      <c r="C1099" t="s">
        <v>61</v>
      </c>
      <c r="D1099" t="s">
        <v>62</v>
      </c>
      <c r="E1099" t="s">
        <v>63</v>
      </c>
      <c r="F1099" t="s">
        <v>24</v>
      </c>
      <c r="G1099" s="4">
        <v>5</v>
      </c>
      <c r="I1099" s="4" t="s">
        <v>69</v>
      </c>
      <c r="J1099" s="4" t="s">
        <v>66</v>
      </c>
      <c r="K1099" s="4">
        <v>1</v>
      </c>
      <c r="L1099" s="94">
        <v>-171</v>
      </c>
      <c r="M1099" s="94">
        <v>0</v>
      </c>
    </row>
    <row r="1100" spans="3:13" x14ac:dyDescent="0.3">
      <c r="C1100" t="s">
        <v>71</v>
      </c>
      <c r="D1100" t="s">
        <v>67</v>
      </c>
      <c r="E1100" t="s">
        <v>63</v>
      </c>
      <c r="F1100" t="s">
        <v>25</v>
      </c>
      <c r="G1100" s="4">
        <v>8</v>
      </c>
      <c r="H1100" s="4" t="s">
        <v>83</v>
      </c>
      <c r="I1100" s="4" t="s">
        <v>69</v>
      </c>
      <c r="J1100" s="4" t="s">
        <v>66</v>
      </c>
      <c r="K1100" s="4">
        <v>0</v>
      </c>
      <c r="L1100" s="94">
        <v>-1834800</v>
      </c>
      <c r="M1100" s="94">
        <v>0</v>
      </c>
    </row>
    <row r="1101" spans="3:13" x14ac:dyDescent="0.3">
      <c r="C1101" t="s">
        <v>71</v>
      </c>
      <c r="D1101" t="s">
        <v>67</v>
      </c>
      <c r="E1101" t="s">
        <v>63</v>
      </c>
      <c r="F1101" t="s">
        <v>72</v>
      </c>
      <c r="G1101" s="4">
        <v>0</v>
      </c>
      <c r="H1101" s="4" t="s">
        <v>80</v>
      </c>
      <c r="I1101" s="4" t="s">
        <v>69</v>
      </c>
      <c r="J1101" s="4" t="s">
        <v>66</v>
      </c>
      <c r="K1101" s="4">
        <v>0</v>
      </c>
      <c r="L1101" s="94">
        <v>-11302</v>
      </c>
      <c r="M1101" s="94">
        <v>0</v>
      </c>
    </row>
    <row r="1102" spans="3:13" x14ac:dyDescent="0.3">
      <c r="C1102" t="s">
        <v>61</v>
      </c>
      <c r="D1102" t="s">
        <v>67</v>
      </c>
      <c r="E1102" t="s">
        <v>63</v>
      </c>
      <c r="F1102" t="s">
        <v>26</v>
      </c>
      <c r="G1102" s="4">
        <v>4</v>
      </c>
      <c r="H1102" s="4" t="s">
        <v>79</v>
      </c>
      <c r="I1102" s="4" t="s">
        <v>69</v>
      </c>
      <c r="J1102" s="4" t="s">
        <v>66</v>
      </c>
      <c r="K1102" s="4">
        <v>0</v>
      </c>
      <c r="L1102" s="94">
        <v>-17810</v>
      </c>
      <c r="M1102" s="94">
        <v>0</v>
      </c>
    </row>
    <row r="1103" spans="3:13" x14ac:dyDescent="0.3">
      <c r="C1103" t="s">
        <v>61</v>
      </c>
      <c r="D1103" t="s">
        <v>67</v>
      </c>
      <c r="E1103" t="s">
        <v>63</v>
      </c>
      <c r="F1103" t="s">
        <v>25</v>
      </c>
      <c r="G1103" s="4">
        <v>9</v>
      </c>
      <c r="H1103" s="4" t="s">
        <v>14</v>
      </c>
      <c r="I1103" s="4" t="s">
        <v>69</v>
      </c>
      <c r="J1103" s="4" t="s">
        <v>66</v>
      </c>
      <c r="K1103" s="4">
        <v>1</v>
      </c>
      <c r="L1103" s="94">
        <v>-6259</v>
      </c>
      <c r="M1103" s="94">
        <v>0</v>
      </c>
    </row>
    <row r="1104" spans="3:13" x14ac:dyDescent="0.3">
      <c r="C1104" t="s">
        <v>61</v>
      </c>
      <c r="D1104" t="s">
        <v>67</v>
      </c>
      <c r="E1104" t="s">
        <v>63</v>
      </c>
      <c r="F1104" t="s">
        <v>26</v>
      </c>
      <c r="G1104" s="4">
        <v>1</v>
      </c>
      <c r="H1104" s="4" t="s">
        <v>83</v>
      </c>
      <c r="I1104" s="4" t="s">
        <v>69</v>
      </c>
      <c r="J1104" s="4" t="s">
        <v>66</v>
      </c>
      <c r="K1104" s="4">
        <v>0</v>
      </c>
      <c r="L1104" s="94">
        <v>-9799</v>
      </c>
      <c r="M1104" s="94">
        <v>0</v>
      </c>
    </row>
    <row r="1105" spans="3:13" x14ac:dyDescent="0.3">
      <c r="C1105" t="s">
        <v>70</v>
      </c>
      <c r="D1105" t="s">
        <v>67</v>
      </c>
      <c r="E1105" t="s">
        <v>63</v>
      </c>
      <c r="F1105" t="s">
        <v>26</v>
      </c>
      <c r="G1105" s="4">
        <v>1</v>
      </c>
      <c r="H1105" s="4" t="s">
        <v>17</v>
      </c>
      <c r="I1105" s="4" t="s">
        <v>69</v>
      </c>
      <c r="J1105" s="4" t="s">
        <v>73</v>
      </c>
      <c r="K1105" s="4">
        <v>1</v>
      </c>
      <c r="L1105" s="94">
        <v>-4489</v>
      </c>
      <c r="M1105" s="94">
        <v>0</v>
      </c>
    </row>
    <row r="1106" spans="3:13" x14ac:dyDescent="0.3">
      <c r="C1106" t="s">
        <v>61</v>
      </c>
      <c r="D1106" t="s">
        <v>67</v>
      </c>
      <c r="E1106" t="s">
        <v>68</v>
      </c>
      <c r="F1106" t="s">
        <v>25</v>
      </c>
      <c r="G1106" s="4">
        <v>6</v>
      </c>
      <c r="H1106" s="4" t="s">
        <v>74</v>
      </c>
      <c r="I1106" s="4" t="s">
        <v>69</v>
      </c>
      <c r="J1106" s="4" t="s">
        <v>66</v>
      </c>
      <c r="K1106" s="4">
        <v>0</v>
      </c>
      <c r="L1106" s="94">
        <v>3948315</v>
      </c>
      <c r="M1106" s="94">
        <v>23689890</v>
      </c>
    </row>
    <row r="1107" spans="3:13" x14ac:dyDescent="0.3">
      <c r="C1107" t="s">
        <v>70</v>
      </c>
      <c r="D1107" t="s">
        <v>62</v>
      </c>
      <c r="E1107" t="s">
        <v>63</v>
      </c>
      <c r="F1107" t="s">
        <v>24</v>
      </c>
      <c r="G1107" s="4">
        <v>21</v>
      </c>
      <c r="I1107" s="4" t="s">
        <v>65</v>
      </c>
      <c r="J1107" s="4" t="s">
        <v>66</v>
      </c>
      <c r="K1107" s="4">
        <v>1</v>
      </c>
      <c r="L1107" s="94">
        <v>-4570</v>
      </c>
      <c r="M1107" s="94">
        <v>0</v>
      </c>
    </row>
    <row r="1108" spans="3:13" x14ac:dyDescent="0.3">
      <c r="C1108" t="s">
        <v>70</v>
      </c>
      <c r="D1108" t="s">
        <v>67</v>
      </c>
      <c r="E1108" t="s">
        <v>63</v>
      </c>
      <c r="F1108" t="s">
        <v>26</v>
      </c>
      <c r="G1108" s="4">
        <v>5</v>
      </c>
      <c r="H1108" s="4" t="s">
        <v>75</v>
      </c>
      <c r="I1108" s="4" t="s">
        <v>69</v>
      </c>
      <c r="J1108" s="4" t="s">
        <v>66</v>
      </c>
      <c r="K1108" s="4">
        <v>0</v>
      </c>
      <c r="L1108" s="94">
        <v>-36925</v>
      </c>
      <c r="M1108" s="94">
        <v>0</v>
      </c>
    </row>
    <row r="1109" spans="3:13" x14ac:dyDescent="0.3">
      <c r="C1109" t="s">
        <v>61</v>
      </c>
      <c r="D1109" t="s">
        <v>67</v>
      </c>
      <c r="E1109" t="s">
        <v>63</v>
      </c>
      <c r="F1109" t="s">
        <v>25</v>
      </c>
      <c r="G1109" s="4">
        <v>4</v>
      </c>
      <c r="H1109" s="4" t="s">
        <v>75</v>
      </c>
      <c r="I1109" s="4" t="s">
        <v>69</v>
      </c>
      <c r="J1109" s="4" t="s">
        <v>66</v>
      </c>
      <c r="K1109" s="4">
        <v>0</v>
      </c>
      <c r="L1109" s="94">
        <v>-44416</v>
      </c>
      <c r="M1109" s="94">
        <v>0</v>
      </c>
    </row>
    <row r="1110" spans="3:13" x14ac:dyDescent="0.3">
      <c r="C1110" t="s">
        <v>61</v>
      </c>
      <c r="D1110" t="s">
        <v>67</v>
      </c>
      <c r="E1110" t="s">
        <v>63</v>
      </c>
      <c r="F1110" t="s">
        <v>72</v>
      </c>
      <c r="G1110" s="4">
        <v>5</v>
      </c>
      <c r="H1110" s="4" t="s">
        <v>82</v>
      </c>
      <c r="I1110" s="4" t="s">
        <v>65</v>
      </c>
      <c r="J1110" s="4" t="s">
        <v>66</v>
      </c>
      <c r="K1110" s="4">
        <v>1</v>
      </c>
      <c r="L1110" s="94">
        <v>-13106</v>
      </c>
      <c r="M1110" s="94">
        <v>0</v>
      </c>
    </row>
    <row r="1111" spans="3:13" x14ac:dyDescent="0.3">
      <c r="C1111" t="s">
        <v>61</v>
      </c>
      <c r="D1111" t="s">
        <v>67</v>
      </c>
      <c r="E1111" t="s">
        <v>68</v>
      </c>
      <c r="F1111" t="s">
        <v>26</v>
      </c>
      <c r="G1111" s="4">
        <v>3</v>
      </c>
      <c r="H1111" s="4" t="s">
        <v>83</v>
      </c>
      <c r="I1111" s="4" t="s">
        <v>69</v>
      </c>
      <c r="J1111" s="4" t="s">
        <v>66</v>
      </c>
      <c r="K1111" s="4">
        <v>0</v>
      </c>
      <c r="L1111" s="94">
        <v>1846175</v>
      </c>
      <c r="M1111" s="94">
        <v>5538525</v>
      </c>
    </row>
    <row r="1112" spans="3:13" x14ac:dyDescent="0.3">
      <c r="C1112" t="s">
        <v>61</v>
      </c>
      <c r="D1112" t="s">
        <v>62</v>
      </c>
      <c r="E1112" t="s">
        <v>68</v>
      </c>
      <c r="F1112" t="s">
        <v>25</v>
      </c>
      <c r="G1112" s="4">
        <v>0</v>
      </c>
      <c r="I1112" s="4" t="s">
        <v>69</v>
      </c>
      <c r="J1112" s="4" t="s">
        <v>66</v>
      </c>
      <c r="K1112" s="4">
        <v>0</v>
      </c>
      <c r="L1112" s="94">
        <v>360391</v>
      </c>
      <c r="M1112" s="94">
        <v>0</v>
      </c>
    </row>
    <row r="1113" spans="3:13" x14ac:dyDescent="0.3">
      <c r="C1113" t="s">
        <v>71</v>
      </c>
      <c r="D1113" t="s">
        <v>67</v>
      </c>
      <c r="E1113" t="s">
        <v>68</v>
      </c>
      <c r="F1113" t="s">
        <v>26</v>
      </c>
      <c r="G1113" s="4">
        <v>0</v>
      </c>
      <c r="H1113" s="4" t="s">
        <v>80</v>
      </c>
      <c r="I1113" s="4" t="s">
        <v>69</v>
      </c>
      <c r="J1113" s="4" t="s">
        <v>66</v>
      </c>
      <c r="K1113" s="4">
        <v>0</v>
      </c>
      <c r="L1113" s="94">
        <v>56945</v>
      </c>
      <c r="M1113" s="94">
        <v>0</v>
      </c>
    </row>
    <row r="1114" spans="3:13" x14ac:dyDescent="0.3">
      <c r="C1114" t="s">
        <v>71</v>
      </c>
      <c r="D1114" t="s">
        <v>67</v>
      </c>
      <c r="E1114" t="s">
        <v>68</v>
      </c>
      <c r="F1114" t="s">
        <v>26</v>
      </c>
      <c r="G1114" s="4">
        <v>5</v>
      </c>
      <c r="H1114" s="4" t="s">
        <v>12</v>
      </c>
      <c r="I1114" s="4" t="s">
        <v>65</v>
      </c>
      <c r="J1114" s="4" t="s">
        <v>73</v>
      </c>
      <c r="K1114" s="4">
        <v>1</v>
      </c>
      <c r="L1114" s="94">
        <v>28951</v>
      </c>
      <c r="M1114" s="94">
        <v>144755</v>
      </c>
    </row>
    <row r="1115" spans="3:13" x14ac:dyDescent="0.3">
      <c r="C1115" t="s">
        <v>61</v>
      </c>
      <c r="D1115" t="s">
        <v>62</v>
      </c>
      <c r="E1115" t="s">
        <v>63</v>
      </c>
      <c r="F1115" t="s">
        <v>25</v>
      </c>
      <c r="G1115" s="4">
        <v>12</v>
      </c>
      <c r="I1115" s="4" t="s">
        <v>69</v>
      </c>
      <c r="J1115" s="4" t="s">
        <v>66</v>
      </c>
      <c r="K1115" s="4">
        <v>1</v>
      </c>
      <c r="L1115" s="94">
        <v>-5407</v>
      </c>
      <c r="M1115" s="94">
        <v>0</v>
      </c>
    </row>
    <row r="1116" spans="3:13" x14ac:dyDescent="0.3">
      <c r="C1116" t="s">
        <v>61</v>
      </c>
      <c r="D1116" t="s">
        <v>62</v>
      </c>
      <c r="E1116" t="s">
        <v>63</v>
      </c>
      <c r="F1116" t="s">
        <v>24</v>
      </c>
      <c r="G1116" s="4">
        <v>40</v>
      </c>
      <c r="I1116" s="4" t="s">
        <v>69</v>
      </c>
      <c r="J1116" s="4" t="s">
        <v>66</v>
      </c>
      <c r="K1116" s="4">
        <v>0</v>
      </c>
      <c r="L1116" s="94">
        <v>-299735</v>
      </c>
      <c r="M1116" s="94">
        <v>0</v>
      </c>
    </row>
    <row r="1117" spans="3:13" x14ac:dyDescent="0.3">
      <c r="C1117" t="s">
        <v>70</v>
      </c>
      <c r="D1117" t="s">
        <v>67</v>
      </c>
      <c r="E1117" t="s">
        <v>63</v>
      </c>
      <c r="F1117" t="s">
        <v>26</v>
      </c>
      <c r="G1117" s="4">
        <v>11</v>
      </c>
      <c r="H1117" s="4" t="s">
        <v>76</v>
      </c>
      <c r="I1117" s="4" t="s">
        <v>69</v>
      </c>
      <c r="J1117" s="4" t="s">
        <v>66</v>
      </c>
      <c r="K1117" s="4">
        <v>0</v>
      </c>
      <c r="L1117" s="94">
        <v>-7679</v>
      </c>
      <c r="M1117" s="94">
        <v>0</v>
      </c>
    </row>
    <row r="1118" spans="3:13" x14ac:dyDescent="0.3">
      <c r="C1118" t="s">
        <v>61</v>
      </c>
      <c r="D1118" t="s">
        <v>67</v>
      </c>
      <c r="E1118" t="s">
        <v>68</v>
      </c>
      <c r="F1118" t="s">
        <v>72</v>
      </c>
      <c r="G1118" s="4">
        <v>5</v>
      </c>
      <c r="H1118" s="4" t="s">
        <v>80</v>
      </c>
      <c r="I1118" s="4" t="s">
        <v>69</v>
      </c>
      <c r="J1118" s="4" t="s">
        <v>66</v>
      </c>
      <c r="K1118" s="4">
        <v>0</v>
      </c>
      <c r="L1118" s="94">
        <v>408388</v>
      </c>
      <c r="M1118" s="94">
        <v>2041940</v>
      </c>
    </row>
    <row r="1119" spans="3:13" x14ac:dyDescent="0.3">
      <c r="C1119" t="s">
        <v>70</v>
      </c>
      <c r="D1119" t="s">
        <v>67</v>
      </c>
      <c r="E1119" t="s">
        <v>63</v>
      </c>
      <c r="F1119" t="s">
        <v>72</v>
      </c>
      <c r="G1119" s="4">
        <v>5</v>
      </c>
      <c r="H1119" s="4" t="s">
        <v>17</v>
      </c>
      <c r="I1119" s="4" t="s">
        <v>65</v>
      </c>
      <c r="J1119" s="4" t="s">
        <v>66</v>
      </c>
      <c r="K1119" s="4">
        <v>1</v>
      </c>
      <c r="L1119" s="94">
        <v>-644</v>
      </c>
      <c r="M1119" s="94">
        <v>0</v>
      </c>
    </row>
    <row r="1120" spans="3:13" x14ac:dyDescent="0.3">
      <c r="C1120" t="s">
        <v>70</v>
      </c>
      <c r="D1120" t="s">
        <v>67</v>
      </c>
      <c r="E1120" t="s">
        <v>68</v>
      </c>
      <c r="F1120" t="s">
        <v>26</v>
      </c>
      <c r="G1120" s="4">
        <v>-4</v>
      </c>
      <c r="H1120" s="4" t="s">
        <v>14</v>
      </c>
      <c r="I1120" s="4" t="s">
        <v>69</v>
      </c>
      <c r="J1120" s="4" t="s">
        <v>66</v>
      </c>
      <c r="K1120" s="4">
        <v>0</v>
      </c>
      <c r="L1120" s="94">
        <v>481454</v>
      </c>
      <c r="M1120" s="94">
        <v>0</v>
      </c>
    </row>
    <row r="1121" spans="3:13" x14ac:dyDescent="0.3">
      <c r="C1121" t="s">
        <v>61</v>
      </c>
      <c r="D1121" t="s">
        <v>67</v>
      </c>
      <c r="E1121" t="s">
        <v>68</v>
      </c>
      <c r="F1121" t="s">
        <v>72</v>
      </c>
      <c r="G1121" s="4">
        <v>0</v>
      </c>
      <c r="H1121" s="4" t="s">
        <v>18</v>
      </c>
      <c r="I1121" s="4" t="s">
        <v>69</v>
      </c>
      <c r="J1121" s="4" t="s">
        <v>66</v>
      </c>
      <c r="K1121" s="4">
        <v>0</v>
      </c>
      <c r="L1121" s="94">
        <v>1365569</v>
      </c>
      <c r="M1121" s="94">
        <v>0</v>
      </c>
    </row>
    <row r="1122" spans="3:13" x14ac:dyDescent="0.3">
      <c r="C1122" t="s">
        <v>70</v>
      </c>
      <c r="D1122" t="s">
        <v>67</v>
      </c>
      <c r="E1122" t="s">
        <v>68</v>
      </c>
      <c r="F1122" t="s">
        <v>26</v>
      </c>
      <c r="G1122" s="4">
        <v>2</v>
      </c>
      <c r="H1122" s="4" t="s">
        <v>18</v>
      </c>
      <c r="I1122" s="4" t="s">
        <v>69</v>
      </c>
      <c r="J1122" s="4" t="s">
        <v>73</v>
      </c>
      <c r="K1122" s="4">
        <v>1</v>
      </c>
      <c r="L1122" s="94">
        <v>1539077</v>
      </c>
      <c r="M1122" s="94">
        <v>3078154</v>
      </c>
    </row>
    <row r="1123" spans="3:13" x14ac:dyDescent="0.3">
      <c r="C1123" t="s">
        <v>61</v>
      </c>
      <c r="D1123" t="s">
        <v>67</v>
      </c>
      <c r="E1123" t="s">
        <v>63</v>
      </c>
      <c r="F1123" t="s">
        <v>72</v>
      </c>
      <c r="G1123" s="4">
        <v>3</v>
      </c>
      <c r="H1123" s="4" t="s">
        <v>82</v>
      </c>
      <c r="I1123" s="4" t="s">
        <v>65</v>
      </c>
      <c r="J1123" s="4" t="s">
        <v>66</v>
      </c>
      <c r="K1123" s="4">
        <v>1</v>
      </c>
      <c r="L1123" s="94">
        <v>-211</v>
      </c>
      <c r="M1123" s="94">
        <v>0</v>
      </c>
    </row>
    <row r="1124" spans="3:13" x14ac:dyDescent="0.3">
      <c r="C1124" t="s">
        <v>70</v>
      </c>
      <c r="D1124" t="s">
        <v>67</v>
      </c>
      <c r="E1124" t="s">
        <v>63</v>
      </c>
      <c r="F1124" t="s">
        <v>25</v>
      </c>
      <c r="G1124" s="4">
        <v>12</v>
      </c>
      <c r="H1124" s="4" t="s">
        <v>77</v>
      </c>
      <c r="I1124" s="4" t="s">
        <v>69</v>
      </c>
      <c r="J1124" s="4" t="s">
        <v>66</v>
      </c>
      <c r="K1124" s="4">
        <v>0</v>
      </c>
      <c r="L1124" s="94">
        <v>-2880</v>
      </c>
      <c r="M1124" s="94">
        <v>0</v>
      </c>
    </row>
    <row r="1125" spans="3:13" x14ac:dyDescent="0.3">
      <c r="C1125" t="s">
        <v>71</v>
      </c>
      <c r="D1125" t="s">
        <v>67</v>
      </c>
      <c r="E1125" t="s">
        <v>63</v>
      </c>
      <c r="F1125" t="s">
        <v>26</v>
      </c>
      <c r="G1125" s="4">
        <v>-1</v>
      </c>
      <c r="H1125" s="4" t="s">
        <v>12</v>
      </c>
      <c r="I1125" s="4" t="s">
        <v>65</v>
      </c>
      <c r="J1125" s="4" t="s">
        <v>73</v>
      </c>
      <c r="K1125" s="4">
        <v>1</v>
      </c>
      <c r="L1125" s="94">
        <v>-103197</v>
      </c>
      <c r="M1125" s="94">
        <v>0</v>
      </c>
    </row>
    <row r="1126" spans="3:13" x14ac:dyDescent="0.3">
      <c r="C1126" t="s">
        <v>71</v>
      </c>
      <c r="D1126" t="s">
        <v>67</v>
      </c>
      <c r="E1126" t="s">
        <v>63</v>
      </c>
      <c r="F1126" t="s">
        <v>25</v>
      </c>
      <c r="G1126" s="4">
        <v>4</v>
      </c>
      <c r="H1126" s="4" t="s">
        <v>17</v>
      </c>
      <c r="I1126" s="4" t="s">
        <v>69</v>
      </c>
      <c r="J1126" s="4" t="s">
        <v>66</v>
      </c>
      <c r="K1126" s="4">
        <v>0</v>
      </c>
      <c r="L1126" s="94">
        <v>-327564</v>
      </c>
      <c r="M1126" s="94">
        <v>0</v>
      </c>
    </row>
    <row r="1127" spans="3:13" x14ac:dyDescent="0.3">
      <c r="C1127" t="s">
        <v>61</v>
      </c>
      <c r="D1127" t="s">
        <v>67</v>
      </c>
      <c r="E1127" t="s">
        <v>63</v>
      </c>
      <c r="F1127" t="s">
        <v>25</v>
      </c>
      <c r="G1127" s="4">
        <v>17</v>
      </c>
      <c r="H1127" s="4" t="s">
        <v>79</v>
      </c>
      <c r="I1127" s="4" t="s">
        <v>69</v>
      </c>
      <c r="J1127" s="4" t="s">
        <v>66</v>
      </c>
      <c r="K1127" s="4">
        <v>0</v>
      </c>
      <c r="L1127" s="94">
        <v>-271</v>
      </c>
      <c r="M1127" s="94">
        <v>0</v>
      </c>
    </row>
    <row r="1128" spans="3:13" x14ac:dyDescent="0.3">
      <c r="C1128" t="s">
        <v>61</v>
      </c>
      <c r="D1128" t="s">
        <v>67</v>
      </c>
      <c r="E1128" t="s">
        <v>68</v>
      </c>
      <c r="F1128" t="s">
        <v>25</v>
      </c>
      <c r="G1128" s="4">
        <v>14</v>
      </c>
      <c r="H1128" s="4" t="s">
        <v>14</v>
      </c>
      <c r="I1128" s="4" t="s">
        <v>69</v>
      </c>
      <c r="J1128" s="4" t="s">
        <v>66</v>
      </c>
      <c r="K1128" s="4">
        <v>1</v>
      </c>
      <c r="L1128" s="94">
        <v>1469244</v>
      </c>
      <c r="M1128" s="94">
        <v>20569416</v>
      </c>
    </row>
    <row r="1129" spans="3:13" x14ac:dyDescent="0.3">
      <c r="C1129" t="s">
        <v>70</v>
      </c>
      <c r="D1129" t="s">
        <v>67</v>
      </c>
      <c r="E1129" t="s">
        <v>63</v>
      </c>
      <c r="F1129" t="s">
        <v>72</v>
      </c>
      <c r="G1129" s="4">
        <v>5</v>
      </c>
      <c r="H1129" s="4" t="s">
        <v>12</v>
      </c>
      <c r="I1129" s="4" t="s">
        <v>69</v>
      </c>
      <c r="J1129" s="4" t="s">
        <v>73</v>
      </c>
      <c r="K1129" s="4">
        <v>1</v>
      </c>
      <c r="L1129" s="94">
        <v>-8654</v>
      </c>
      <c r="M1129" s="94">
        <v>0</v>
      </c>
    </row>
    <row r="1130" spans="3:13" x14ac:dyDescent="0.3">
      <c r="C1130" t="s">
        <v>70</v>
      </c>
      <c r="D1130" t="s">
        <v>67</v>
      </c>
      <c r="E1130" t="s">
        <v>63</v>
      </c>
      <c r="F1130" t="s">
        <v>25</v>
      </c>
      <c r="G1130" s="4">
        <v>15</v>
      </c>
      <c r="H1130" s="4" t="s">
        <v>17</v>
      </c>
      <c r="I1130" s="4" t="s">
        <v>69</v>
      </c>
      <c r="J1130" s="4" t="s">
        <v>66</v>
      </c>
      <c r="K1130" s="4">
        <v>0</v>
      </c>
      <c r="L1130" s="94">
        <v>-31276</v>
      </c>
      <c r="M1130" s="94">
        <v>0</v>
      </c>
    </row>
    <row r="1131" spans="3:13" x14ac:dyDescent="0.3">
      <c r="C1131" t="s">
        <v>70</v>
      </c>
      <c r="D1131" t="s">
        <v>67</v>
      </c>
      <c r="E1131" t="s">
        <v>63</v>
      </c>
      <c r="F1131" t="s">
        <v>26</v>
      </c>
      <c r="G1131" s="4">
        <v>-4</v>
      </c>
      <c r="H1131" s="4" t="s">
        <v>17</v>
      </c>
      <c r="I1131" s="4" t="s">
        <v>65</v>
      </c>
      <c r="J1131" s="4" t="s">
        <v>66</v>
      </c>
      <c r="K1131" s="4">
        <v>1</v>
      </c>
      <c r="L1131" s="94">
        <v>-865</v>
      </c>
      <c r="M1131" s="94">
        <v>0</v>
      </c>
    </row>
    <row r="1132" spans="3:13" x14ac:dyDescent="0.3">
      <c r="C1132" t="s">
        <v>70</v>
      </c>
      <c r="D1132" t="s">
        <v>67</v>
      </c>
      <c r="E1132" t="s">
        <v>68</v>
      </c>
      <c r="F1132" t="s">
        <v>25</v>
      </c>
      <c r="G1132" s="4">
        <v>-1</v>
      </c>
      <c r="H1132" s="4" t="s">
        <v>12</v>
      </c>
      <c r="I1132" s="4" t="s">
        <v>69</v>
      </c>
      <c r="J1132" s="4" t="s">
        <v>66</v>
      </c>
      <c r="K1132" s="4">
        <v>1</v>
      </c>
      <c r="L1132" s="94">
        <v>47672</v>
      </c>
      <c r="M1132" s="94">
        <v>0</v>
      </c>
    </row>
    <row r="1133" spans="3:13" x14ac:dyDescent="0.3">
      <c r="C1133" t="s">
        <v>70</v>
      </c>
      <c r="D1133" t="s">
        <v>67</v>
      </c>
      <c r="E1133" t="s">
        <v>68</v>
      </c>
      <c r="F1133" t="s">
        <v>26</v>
      </c>
      <c r="G1133" s="4">
        <v>9</v>
      </c>
      <c r="H1133" s="4" t="s">
        <v>14</v>
      </c>
      <c r="I1133" s="4" t="s">
        <v>69</v>
      </c>
      <c r="J1133" s="4" t="s">
        <v>73</v>
      </c>
      <c r="K1133" s="4">
        <v>1</v>
      </c>
      <c r="L1133" s="94">
        <v>364754</v>
      </c>
      <c r="M1133" s="94">
        <v>3282786</v>
      </c>
    </row>
    <row r="1134" spans="3:13" x14ac:dyDescent="0.3">
      <c r="C1134" t="s">
        <v>70</v>
      </c>
      <c r="D1134" t="s">
        <v>67</v>
      </c>
      <c r="E1134" t="s">
        <v>63</v>
      </c>
      <c r="F1134" t="s">
        <v>25</v>
      </c>
      <c r="G1134" s="4">
        <v>3</v>
      </c>
      <c r="H1134" s="4" t="s">
        <v>12</v>
      </c>
      <c r="I1134" s="4" t="s">
        <v>69</v>
      </c>
      <c r="J1134" s="4" t="s">
        <v>66</v>
      </c>
      <c r="K1134" s="4">
        <v>1</v>
      </c>
      <c r="L1134" s="94">
        <v>-2118</v>
      </c>
      <c r="M1134" s="94">
        <v>0</v>
      </c>
    </row>
    <row r="1135" spans="3:13" x14ac:dyDescent="0.3">
      <c r="C1135" t="s">
        <v>61</v>
      </c>
      <c r="D1135" t="s">
        <v>67</v>
      </c>
      <c r="E1135" t="s">
        <v>68</v>
      </c>
      <c r="F1135" t="s">
        <v>25</v>
      </c>
      <c r="G1135" s="4">
        <v>1</v>
      </c>
      <c r="H1135" s="4" t="s">
        <v>14</v>
      </c>
      <c r="I1135" s="4" t="s">
        <v>65</v>
      </c>
      <c r="J1135" s="4" t="s">
        <v>66</v>
      </c>
      <c r="K1135" s="4">
        <v>1</v>
      </c>
      <c r="L1135" s="94">
        <v>2013031</v>
      </c>
      <c r="M1135" s="94">
        <v>2013031</v>
      </c>
    </row>
    <row r="1136" spans="3:13" x14ac:dyDescent="0.3">
      <c r="C1136" t="s">
        <v>71</v>
      </c>
      <c r="D1136" t="s">
        <v>67</v>
      </c>
      <c r="E1136" t="s">
        <v>68</v>
      </c>
      <c r="F1136" t="s">
        <v>26</v>
      </c>
      <c r="G1136" s="4">
        <v>3</v>
      </c>
      <c r="H1136" s="4" t="s">
        <v>12</v>
      </c>
      <c r="I1136" s="4" t="s">
        <v>65</v>
      </c>
      <c r="J1136" s="4" t="s">
        <v>73</v>
      </c>
      <c r="K1136" s="4">
        <v>1</v>
      </c>
      <c r="L1136" s="94">
        <v>11839</v>
      </c>
      <c r="M1136" s="94">
        <v>35517</v>
      </c>
    </row>
    <row r="1137" spans="3:13" x14ac:dyDescent="0.3">
      <c r="C1137" t="s">
        <v>61</v>
      </c>
      <c r="D1137" t="s">
        <v>67</v>
      </c>
      <c r="E1137" t="s">
        <v>63</v>
      </c>
      <c r="F1137" t="s">
        <v>25</v>
      </c>
      <c r="G1137" s="4">
        <v>-1</v>
      </c>
      <c r="H1137" s="4" t="s">
        <v>74</v>
      </c>
      <c r="I1137" s="4" t="s">
        <v>69</v>
      </c>
      <c r="J1137" s="4" t="s">
        <v>66</v>
      </c>
      <c r="K1137" s="4">
        <v>0</v>
      </c>
      <c r="L1137" s="94">
        <v>-2461</v>
      </c>
      <c r="M1137" s="94">
        <v>0</v>
      </c>
    </row>
    <row r="1138" spans="3:13" x14ac:dyDescent="0.3">
      <c r="C1138" t="s">
        <v>71</v>
      </c>
      <c r="D1138" t="s">
        <v>67</v>
      </c>
      <c r="E1138" t="s">
        <v>68</v>
      </c>
      <c r="F1138" t="s">
        <v>26</v>
      </c>
      <c r="G1138" s="4">
        <v>-1</v>
      </c>
      <c r="H1138" s="4" t="s">
        <v>89</v>
      </c>
      <c r="I1138" s="4" t="s">
        <v>69</v>
      </c>
      <c r="J1138" s="4" t="s">
        <v>66</v>
      </c>
      <c r="K1138" s="4">
        <v>0</v>
      </c>
      <c r="L1138" s="94">
        <v>335</v>
      </c>
      <c r="M1138" s="94">
        <v>0</v>
      </c>
    </row>
    <row r="1139" spans="3:13" x14ac:dyDescent="0.3">
      <c r="C1139" t="s">
        <v>70</v>
      </c>
      <c r="D1139" t="s">
        <v>67</v>
      </c>
      <c r="E1139" t="s">
        <v>63</v>
      </c>
      <c r="F1139" t="s">
        <v>25</v>
      </c>
      <c r="G1139" s="4">
        <v>-1</v>
      </c>
      <c r="H1139" s="4" t="s">
        <v>75</v>
      </c>
      <c r="I1139" s="4" t="s">
        <v>69</v>
      </c>
      <c r="J1139" s="4" t="s">
        <v>66</v>
      </c>
      <c r="K1139" s="4">
        <v>0</v>
      </c>
      <c r="L1139" s="94">
        <v>-17742</v>
      </c>
      <c r="M1139" s="94">
        <v>0</v>
      </c>
    </row>
    <row r="1140" spans="3:13" x14ac:dyDescent="0.3">
      <c r="C1140" t="s">
        <v>61</v>
      </c>
      <c r="D1140" t="s">
        <v>67</v>
      </c>
      <c r="E1140" t="s">
        <v>68</v>
      </c>
      <c r="F1140" t="s">
        <v>26</v>
      </c>
      <c r="G1140" s="4">
        <v>8</v>
      </c>
      <c r="H1140" s="4" t="s">
        <v>77</v>
      </c>
      <c r="I1140" s="4" t="s">
        <v>69</v>
      </c>
      <c r="J1140" s="4" t="s">
        <v>66</v>
      </c>
      <c r="K1140" s="4">
        <v>0</v>
      </c>
      <c r="L1140" s="94">
        <v>144426</v>
      </c>
      <c r="M1140" s="94">
        <v>1155408</v>
      </c>
    </row>
    <row r="1141" spans="3:13" x14ac:dyDescent="0.3">
      <c r="C1141" t="s">
        <v>61</v>
      </c>
      <c r="D1141" t="s">
        <v>62</v>
      </c>
      <c r="E1141" t="s">
        <v>68</v>
      </c>
      <c r="F1141" t="s">
        <v>24</v>
      </c>
      <c r="G1141" s="4">
        <v>4</v>
      </c>
      <c r="I1141" s="4" t="s">
        <v>69</v>
      </c>
      <c r="J1141" s="4" t="s">
        <v>66</v>
      </c>
      <c r="K1141" s="4">
        <v>0</v>
      </c>
      <c r="L1141" s="94">
        <v>61137081</v>
      </c>
      <c r="M1141" s="94">
        <v>244548324</v>
      </c>
    </row>
    <row r="1142" spans="3:13" x14ac:dyDescent="0.3">
      <c r="C1142" t="s">
        <v>71</v>
      </c>
      <c r="D1142" t="s">
        <v>67</v>
      </c>
      <c r="E1142" t="s">
        <v>68</v>
      </c>
      <c r="F1142" t="s">
        <v>72</v>
      </c>
      <c r="G1142" s="4">
        <v>3</v>
      </c>
      <c r="H1142" s="4" t="s">
        <v>80</v>
      </c>
      <c r="I1142" s="4" t="s">
        <v>69</v>
      </c>
      <c r="J1142" s="4" t="s">
        <v>66</v>
      </c>
      <c r="K1142" s="4">
        <v>0</v>
      </c>
      <c r="L1142" s="94">
        <v>46071</v>
      </c>
      <c r="M1142" s="94">
        <v>138213</v>
      </c>
    </row>
    <row r="1143" spans="3:13" x14ac:dyDescent="0.3">
      <c r="C1143" t="s">
        <v>70</v>
      </c>
      <c r="D1143" t="s">
        <v>67</v>
      </c>
      <c r="E1143" t="s">
        <v>68</v>
      </c>
      <c r="F1143" t="s">
        <v>72</v>
      </c>
      <c r="G1143" s="4">
        <v>2</v>
      </c>
      <c r="H1143" s="4" t="s">
        <v>78</v>
      </c>
      <c r="I1143" s="4" t="s">
        <v>69</v>
      </c>
      <c r="J1143" s="4" t="s">
        <v>66</v>
      </c>
      <c r="K1143" s="4">
        <v>0</v>
      </c>
      <c r="L1143" s="94">
        <v>6953</v>
      </c>
      <c r="M1143" s="94">
        <v>13906</v>
      </c>
    </row>
    <row r="1144" spans="3:13" x14ac:dyDescent="0.3">
      <c r="C1144" t="s">
        <v>70</v>
      </c>
      <c r="D1144" t="s">
        <v>67</v>
      </c>
      <c r="E1144" t="s">
        <v>63</v>
      </c>
      <c r="F1144" t="s">
        <v>72</v>
      </c>
      <c r="G1144" s="4">
        <v>3</v>
      </c>
      <c r="H1144" s="4" t="s">
        <v>82</v>
      </c>
      <c r="I1144" s="4" t="s">
        <v>65</v>
      </c>
      <c r="J1144" s="4" t="s">
        <v>66</v>
      </c>
      <c r="K1144" s="4">
        <v>1</v>
      </c>
      <c r="L1144" s="94">
        <v>-984</v>
      </c>
      <c r="M1144" s="94">
        <v>0</v>
      </c>
    </row>
    <row r="1145" spans="3:13" x14ac:dyDescent="0.3">
      <c r="C1145" t="s">
        <v>61</v>
      </c>
      <c r="D1145" t="s">
        <v>62</v>
      </c>
      <c r="E1145" t="s">
        <v>68</v>
      </c>
      <c r="F1145" t="s">
        <v>24</v>
      </c>
      <c r="G1145" s="4">
        <v>10</v>
      </c>
      <c r="I1145" s="4" t="s">
        <v>65</v>
      </c>
      <c r="J1145" s="4" t="s">
        <v>66</v>
      </c>
      <c r="K1145" s="4">
        <v>1</v>
      </c>
      <c r="L1145" s="94">
        <v>2321819</v>
      </c>
      <c r="M1145" s="94">
        <v>23218190</v>
      </c>
    </row>
    <row r="1146" spans="3:13" x14ac:dyDescent="0.3">
      <c r="C1146" t="s">
        <v>61</v>
      </c>
      <c r="D1146" t="s">
        <v>67</v>
      </c>
      <c r="E1146" t="s">
        <v>68</v>
      </c>
      <c r="F1146" t="s">
        <v>26</v>
      </c>
      <c r="G1146" s="4">
        <v>16</v>
      </c>
      <c r="H1146" s="4" t="s">
        <v>79</v>
      </c>
      <c r="I1146" s="4" t="s">
        <v>69</v>
      </c>
      <c r="J1146" s="4" t="s">
        <v>66</v>
      </c>
      <c r="K1146" s="4">
        <v>0</v>
      </c>
      <c r="L1146" s="94">
        <v>340967</v>
      </c>
      <c r="M1146" s="94">
        <v>5455472</v>
      </c>
    </row>
    <row r="1147" spans="3:13" x14ac:dyDescent="0.3">
      <c r="C1147" t="s">
        <v>70</v>
      </c>
      <c r="D1147" t="s">
        <v>67</v>
      </c>
      <c r="E1147" t="s">
        <v>63</v>
      </c>
      <c r="F1147" t="s">
        <v>26</v>
      </c>
      <c r="G1147" s="4">
        <v>11</v>
      </c>
      <c r="H1147" s="4" t="s">
        <v>18</v>
      </c>
      <c r="I1147" s="4" t="s">
        <v>69</v>
      </c>
      <c r="J1147" s="4" t="s">
        <v>66</v>
      </c>
      <c r="K1147" s="4">
        <v>0</v>
      </c>
      <c r="L1147" s="94">
        <v>-342791</v>
      </c>
      <c r="M1147" s="94">
        <v>0</v>
      </c>
    </row>
    <row r="1148" spans="3:13" x14ac:dyDescent="0.3">
      <c r="C1148" t="s">
        <v>61</v>
      </c>
      <c r="D1148" t="s">
        <v>62</v>
      </c>
      <c r="E1148" t="s">
        <v>63</v>
      </c>
      <c r="F1148" t="s">
        <v>24</v>
      </c>
      <c r="G1148" s="4">
        <v>39</v>
      </c>
      <c r="I1148" s="4" t="s">
        <v>65</v>
      </c>
      <c r="J1148" s="4" t="s">
        <v>66</v>
      </c>
      <c r="K1148" s="4">
        <v>1</v>
      </c>
      <c r="L1148" s="94">
        <v>-5090</v>
      </c>
      <c r="M1148" s="94">
        <v>0</v>
      </c>
    </row>
    <row r="1149" spans="3:13" x14ac:dyDescent="0.3">
      <c r="C1149" t="s">
        <v>61</v>
      </c>
      <c r="D1149" t="s">
        <v>84</v>
      </c>
      <c r="E1149" t="s">
        <v>63</v>
      </c>
      <c r="F1149" t="s">
        <v>25</v>
      </c>
      <c r="G1149" s="4">
        <v>7</v>
      </c>
      <c r="H1149" s="4" t="s">
        <v>76</v>
      </c>
      <c r="I1149" s="4" t="s">
        <v>69</v>
      </c>
      <c r="J1149" s="4" t="s">
        <v>66</v>
      </c>
      <c r="K1149" s="4">
        <v>0</v>
      </c>
      <c r="L1149" s="94">
        <v>-7843</v>
      </c>
      <c r="M1149" s="94">
        <v>0</v>
      </c>
    </row>
    <row r="1150" spans="3:13" x14ac:dyDescent="0.3">
      <c r="C1150" t="s">
        <v>61</v>
      </c>
      <c r="D1150" t="s">
        <v>67</v>
      </c>
      <c r="E1150" t="s">
        <v>68</v>
      </c>
      <c r="F1150" t="s">
        <v>25</v>
      </c>
      <c r="G1150" s="4">
        <v>6</v>
      </c>
      <c r="H1150" s="4" t="s">
        <v>14</v>
      </c>
      <c r="I1150" s="4" t="s">
        <v>69</v>
      </c>
      <c r="J1150" s="4" t="s">
        <v>73</v>
      </c>
      <c r="K1150" s="4">
        <v>1</v>
      </c>
      <c r="L1150" s="94">
        <v>21940</v>
      </c>
      <c r="M1150" s="94">
        <v>131640</v>
      </c>
    </row>
    <row r="1151" spans="3:13" x14ac:dyDescent="0.3">
      <c r="C1151" t="s">
        <v>71</v>
      </c>
      <c r="D1151" t="s">
        <v>67</v>
      </c>
      <c r="E1151" t="s">
        <v>63</v>
      </c>
      <c r="F1151" t="s">
        <v>26</v>
      </c>
      <c r="G1151" s="4">
        <v>-1</v>
      </c>
      <c r="H1151" s="4" t="s">
        <v>89</v>
      </c>
      <c r="I1151" s="4" t="s">
        <v>69</v>
      </c>
      <c r="J1151" s="4" t="s">
        <v>66</v>
      </c>
      <c r="K1151" s="4">
        <v>0</v>
      </c>
      <c r="L1151" s="94">
        <v>-243</v>
      </c>
      <c r="M1151" s="94">
        <v>0</v>
      </c>
    </row>
    <row r="1152" spans="3:13" x14ac:dyDescent="0.3">
      <c r="C1152" t="s">
        <v>70</v>
      </c>
      <c r="D1152" t="s">
        <v>67</v>
      </c>
      <c r="E1152" t="s">
        <v>63</v>
      </c>
      <c r="F1152" t="s">
        <v>25</v>
      </c>
      <c r="G1152" s="4">
        <v>4</v>
      </c>
      <c r="H1152" s="4" t="s">
        <v>14</v>
      </c>
      <c r="I1152" s="4" t="s">
        <v>69</v>
      </c>
      <c r="J1152" s="4" t="s">
        <v>66</v>
      </c>
      <c r="K1152" s="4">
        <v>0</v>
      </c>
      <c r="L1152" s="94">
        <v>-82270</v>
      </c>
      <c r="M1152" s="94">
        <v>0</v>
      </c>
    </row>
    <row r="1153" spans="3:13" x14ac:dyDescent="0.3">
      <c r="C1153" t="s">
        <v>61</v>
      </c>
      <c r="D1153" t="s">
        <v>67</v>
      </c>
      <c r="E1153" t="s">
        <v>68</v>
      </c>
      <c r="F1153" t="s">
        <v>72</v>
      </c>
      <c r="G1153" s="4">
        <v>2</v>
      </c>
      <c r="H1153" s="4" t="s">
        <v>18</v>
      </c>
      <c r="I1153" s="4" t="s">
        <v>69</v>
      </c>
      <c r="J1153" s="4" t="s">
        <v>73</v>
      </c>
      <c r="K1153" s="4">
        <v>1</v>
      </c>
      <c r="L1153" s="94">
        <v>894473</v>
      </c>
      <c r="M1153" s="94">
        <v>1788946</v>
      </c>
    </row>
    <row r="1154" spans="3:13" x14ac:dyDescent="0.3">
      <c r="C1154" t="s">
        <v>70</v>
      </c>
      <c r="D1154" t="s">
        <v>62</v>
      </c>
      <c r="E1154" t="s">
        <v>68</v>
      </c>
      <c r="F1154" t="s">
        <v>24</v>
      </c>
      <c r="G1154" s="4">
        <v>7</v>
      </c>
      <c r="I1154" s="4" t="s">
        <v>69</v>
      </c>
      <c r="J1154" s="4" t="s">
        <v>66</v>
      </c>
      <c r="K1154" s="4">
        <v>1</v>
      </c>
      <c r="L1154" s="94">
        <v>100945</v>
      </c>
      <c r="M1154" s="94">
        <v>706615</v>
      </c>
    </row>
    <row r="1155" spans="3:13" x14ac:dyDescent="0.3">
      <c r="C1155" t="s">
        <v>61</v>
      </c>
      <c r="D1155" t="s">
        <v>67</v>
      </c>
      <c r="E1155" t="s">
        <v>68</v>
      </c>
      <c r="F1155" t="s">
        <v>26</v>
      </c>
      <c r="G1155" s="4">
        <v>2</v>
      </c>
      <c r="H1155" s="4" t="s">
        <v>77</v>
      </c>
      <c r="I1155" s="4" t="s">
        <v>69</v>
      </c>
      <c r="J1155" s="4" t="s">
        <v>66</v>
      </c>
      <c r="K1155" s="4">
        <v>0</v>
      </c>
      <c r="L1155" s="94">
        <v>5891620</v>
      </c>
      <c r="M1155" s="94">
        <v>11783240</v>
      </c>
    </row>
    <row r="1156" spans="3:13" x14ac:dyDescent="0.3">
      <c r="C1156" t="s">
        <v>71</v>
      </c>
      <c r="D1156" t="s">
        <v>67</v>
      </c>
      <c r="E1156" t="s">
        <v>63</v>
      </c>
      <c r="F1156" t="s">
        <v>26</v>
      </c>
      <c r="G1156" s="4">
        <v>2</v>
      </c>
      <c r="H1156" s="4" t="s">
        <v>75</v>
      </c>
      <c r="I1156" s="4" t="s">
        <v>69</v>
      </c>
      <c r="J1156" s="4" t="s">
        <v>66</v>
      </c>
      <c r="K1156" s="4">
        <v>0</v>
      </c>
      <c r="L1156" s="94">
        <v>-316069</v>
      </c>
      <c r="M1156" s="94">
        <v>0</v>
      </c>
    </row>
    <row r="1157" spans="3:13" x14ac:dyDescent="0.3">
      <c r="C1157" t="s">
        <v>70</v>
      </c>
      <c r="D1157" t="s">
        <v>84</v>
      </c>
      <c r="E1157" t="s">
        <v>68</v>
      </c>
      <c r="F1157" t="s">
        <v>25</v>
      </c>
      <c r="G1157" s="4">
        <v>3</v>
      </c>
      <c r="H1157" s="4" t="s">
        <v>74</v>
      </c>
      <c r="I1157" s="4" t="s">
        <v>69</v>
      </c>
      <c r="J1157" s="4" t="s">
        <v>66</v>
      </c>
      <c r="K1157" s="4">
        <v>0</v>
      </c>
      <c r="L1157" s="94">
        <v>233402</v>
      </c>
      <c r="M1157" s="94">
        <v>700206</v>
      </c>
    </row>
    <row r="1158" spans="3:13" x14ac:dyDescent="0.3">
      <c r="C1158" t="s">
        <v>70</v>
      </c>
      <c r="D1158" t="s">
        <v>67</v>
      </c>
      <c r="E1158" t="s">
        <v>63</v>
      </c>
      <c r="F1158" t="s">
        <v>26</v>
      </c>
      <c r="G1158" s="4">
        <v>1</v>
      </c>
      <c r="H1158" s="4" t="s">
        <v>82</v>
      </c>
      <c r="I1158" s="4" t="s">
        <v>69</v>
      </c>
      <c r="J1158" s="4" t="s">
        <v>73</v>
      </c>
      <c r="K1158" s="4">
        <v>1</v>
      </c>
      <c r="L1158" s="94">
        <v>-95</v>
      </c>
      <c r="M1158" s="94">
        <v>0</v>
      </c>
    </row>
    <row r="1159" spans="3:13" x14ac:dyDescent="0.3">
      <c r="C1159" t="s">
        <v>61</v>
      </c>
      <c r="D1159" t="s">
        <v>67</v>
      </c>
      <c r="E1159" t="s">
        <v>68</v>
      </c>
      <c r="F1159" t="s">
        <v>26</v>
      </c>
      <c r="G1159" s="4">
        <v>1</v>
      </c>
      <c r="H1159" s="4" t="s">
        <v>12</v>
      </c>
      <c r="I1159" s="4" t="s">
        <v>69</v>
      </c>
      <c r="J1159" s="4" t="s">
        <v>73</v>
      </c>
      <c r="K1159" s="4">
        <v>1</v>
      </c>
      <c r="L1159" s="94">
        <v>6122111</v>
      </c>
      <c r="M1159" s="94">
        <v>6122111</v>
      </c>
    </row>
    <row r="1160" spans="3:13" x14ac:dyDescent="0.3">
      <c r="C1160" t="s">
        <v>70</v>
      </c>
      <c r="D1160" t="s">
        <v>67</v>
      </c>
      <c r="E1160" t="s">
        <v>63</v>
      </c>
      <c r="F1160" t="s">
        <v>25</v>
      </c>
      <c r="G1160" s="4">
        <v>0</v>
      </c>
      <c r="H1160" s="4" t="s">
        <v>14</v>
      </c>
      <c r="I1160" s="4" t="s">
        <v>69</v>
      </c>
      <c r="J1160" s="4" t="s">
        <v>66</v>
      </c>
      <c r="K1160" s="4">
        <v>1</v>
      </c>
      <c r="L1160" s="94">
        <v>-290</v>
      </c>
      <c r="M1160" s="94">
        <v>0</v>
      </c>
    </row>
    <row r="1161" spans="3:13" x14ac:dyDescent="0.3">
      <c r="C1161" t="s">
        <v>71</v>
      </c>
      <c r="D1161" t="s">
        <v>67</v>
      </c>
      <c r="E1161" t="s">
        <v>68</v>
      </c>
      <c r="F1161" t="s">
        <v>26</v>
      </c>
      <c r="G1161" s="4">
        <v>-1</v>
      </c>
      <c r="H1161" s="4" t="s">
        <v>14</v>
      </c>
      <c r="I1161" s="4" t="s">
        <v>65</v>
      </c>
      <c r="J1161" s="4" t="s">
        <v>73</v>
      </c>
      <c r="K1161" s="4">
        <v>1</v>
      </c>
      <c r="L1161" s="94">
        <v>1346</v>
      </c>
      <c r="M1161" s="94">
        <v>0</v>
      </c>
    </row>
    <row r="1162" spans="3:13" x14ac:dyDescent="0.3">
      <c r="C1162" t="s">
        <v>70</v>
      </c>
      <c r="D1162" t="s">
        <v>67</v>
      </c>
      <c r="E1162" t="s">
        <v>68</v>
      </c>
      <c r="F1162" t="s">
        <v>25</v>
      </c>
      <c r="G1162" s="4">
        <v>11</v>
      </c>
      <c r="H1162" s="4" t="s">
        <v>80</v>
      </c>
      <c r="I1162" s="4" t="s">
        <v>69</v>
      </c>
      <c r="J1162" s="4" t="s">
        <v>66</v>
      </c>
      <c r="K1162" s="4">
        <v>0</v>
      </c>
      <c r="L1162" s="94">
        <v>77105</v>
      </c>
      <c r="M1162" s="94">
        <v>848155</v>
      </c>
    </row>
    <row r="1163" spans="3:13" x14ac:dyDescent="0.3">
      <c r="C1163" t="s">
        <v>70</v>
      </c>
      <c r="D1163" t="s">
        <v>62</v>
      </c>
      <c r="E1163" t="s">
        <v>68</v>
      </c>
      <c r="F1163" t="s">
        <v>24</v>
      </c>
      <c r="G1163" s="4">
        <v>10</v>
      </c>
      <c r="I1163" s="4" t="s">
        <v>69</v>
      </c>
      <c r="J1163" s="4" t="s">
        <v>66</v>
      </c>
      <c r="K1163" s="4">
        <v>0</v>
      </c>
      <c r="L1163" s="94">
        <v>18540634</v>
      </c>
      <c r="M1163" s="94">
        <v>185406340</v>
      </c>
    </row>
    <row r="1164" spans="3:13" x14ac:dyDescent="0.3">
      <c r="C1164" t="s">
        <v>61</v>
      </c>
      <c r="D1164" t="s">
        <v>67</v>
      </c>
      <c r="E1164" t="s">
        <v>68</v>
      </c>
      <c r="F1164" t="s">
        <v>72</v>
      </c>
      <c r="G1164" s="4">
        <v>1</v>
      </c>
      <c r="H1164" s="4" t="s">
        <v>74</v>
      </c>
      <c r="I1164" s="4" t="s">
        <v>69</v>
      </c>
      <c r="J1164" s="4" t="s">
        <v>66</v>
      </c>
      <c r="K1164" s="4">
        <v>0</v>
      </c>
      <c r="L1164" s="94">
        <v>6032807</v>
      </c>
      <c r="M1164" s="94">
        <v>6032807</v>
      </c>
    </row>
    <row r="1165" spans="3:13" x14ac:dyDescent="0.3">
      <c r="C1165" t="s">
        <v>71</v>
      </c>
      <c r="D1165" t="s">
        <v>67</v>
      </c>
      <c r="E1165" t="s">
        <v>68</v>
      </c>
      <c r="F1165" t="s">
        <v>72</v>
      </c>
      <c r="G1165" s="4">
        <v>4</v>
      </c>
      <c r="H1165" s="4" t="s">
        <v>12</v>
      </c>
      <c r="I1165" s="4" t="s">
        <v>69</v>
      </c>
      <c r="J1165" s="4" t="s">
        <v>73</v>
      </c>
      <c r="K1165" s="4">
        <v>1</v>
      </c>
      <c r="L1165" s="94">
        <v>91424</v>
      </c>
      <c r="M1165" s="94">
        <v>365696</v>
      </c>
    </row>
    <row r="1166" spans="3:13" x14ac:dyDescent="0.3">
      <c r="C1166" t="s">
        <v>61</v>
      </c>
      <c r="D1166" t="s">
        <v>62</v>
      </c>
      <c r="E1166" t="s">
        <v>63</v>
      </c>
      <c r="F1166" t="s">
        <v>24</v>
      </c>
      <c r="G1166" s="4">
        <v>35</v>
      </c>
      <c r="I1166" s="4" t="s">
        <v>65</v>
      </c>
      <c r="J1166" s="4" t="s">
        <v>66</v>
      </c>
      <c r="K1166" s="4">
        <v>1</v>
      </c>
      <c r="L1166" s="94">
        <v>-15382</v>
      </c>
      <c r="M1166" s="94">
        <v>0</v>
      </c>
    </row>
    <row r="1167" spans="3:13" x14ac:dyDescent="0.3">
      <c r="C1167" t="s">
        <v>70</v>
      </c>
      <c r="D1167" t="s">
        <v>67</v>
      </c>
      <c r="E1167" t="s">
        <v>63</v>
      </c>
      <c r="F1167" t="s">
        <v>25</v>
      </c>
      <c r="G1167" s="4">
        <v>8</v>
      </c>
      <c r="H1167" s="4" t="s">
        <v>18</v>
      </c>
      <c r="I1167" s="4" t="s">
        <v>69</v>
      </c>
      <c r="J1167" s="4" t="s">
        <v>66</v>
      </c>
      <c r="K1167" s="4">
        <v>0</v>
      </c>
      <c r="L1167" s="94">
        <v>-151443</v>
      </c>
      <c r="M1167" s="94">
        <v>0</v>
      </c>
    </row>
    <row r="1168" spans="3:13" x14ac:dyDescent="0.3">
      <c r="C1168" t="s">
        <v>70</v>
      </c>
      <c r="D1168" t="s">
        <v>62</v>
      </c>
      <c r="E1168" t="s">
        <v>63</v>
      </c>
      <c r="F1168" t="s">
        <v>25</v>
      </c>
      <c r="G1168" s="4">
        <v>11</v>
      </c>
      <c r="I1168" s="4" t="s">
        <v>69</v>
      </c>
      <c r="J1168" s="4" t="s">
        <v>66</v>
      </c>
      <c r="K1168" s="4">
        <v>0</v>
      </c>
      <c r="L1168" s="94">
        <v>-55574</v>
      </c>
      <c r="M1168" s="94">
        <v>0</v>
      </c>
    </row>
    <row r="1169" spans="3:13" x14ac:dyDescent="0.3">
      <c r="C1169" t="s">
        <v>61</v>
      </c>
      <c r="D1169" t="s">
        <v>67</v>
      </c>
      <c r="E1169" t="s">
        <v>63</v>
      </c>
      <c r="F1169" t="s">
        <v>26</v>
      </c>
      <c r="G1169" s="4">
        <v>-4</v>
      </c>
      <c r="H1169" s="4" t="s">
        <v>81</v>
      </c>
      <c r="I1169" s="4" t="s">
        <v>69</v>
      </c>
      <c r="J1169" s="4" t="s">
        <v>66</v>
      </c>
      <c r="K1169" s="4">
        <v>0</v>
      </c>
      <c r="L1169" s="94">
        <v>-333880</v>
      </c>
      <c r="M1169" s="94">
        <v>0</v>
      </c>
    </row>
    <row r="1170" spans="3:13" x14ac:dyDescent="0.3">
      <c r="C1170" t="s">
        <v>70</v>
      </c>
      <c r="D1170" t="s">
        <v>62</v>
      </c>
      <c r="E1170" t="s">
        <v>68</v>
      </c>
      <c r="F1170" t="s">
        <v>24</v>
      </c>
      <c r="G1170" s="4">
        <v>33</v>
      </c>
      <c r="I1170" s="4" t="s">
        <v>69</v>
      </c>
      <c r="J1170" s="4" t="s">
        <v>66</v>
      </c>
      <c r="K1170" s="4">
        <v>1</v>
      </c>
      <c r="L1170" s="94">
        <v>774399</v>
      </c>
      <c r="M1170" s="94">
        <v>25555167</v>
      </c>
    </row>
    <row r="1171" spans="3:13" x14ac:dyDescent="0.3">
      <c r="C1171" t="s">
        <v>61</v>
      </c>
      <c r="D1171" t="s">
        <v>67</v>
      </c>
      <c r="E1171" t="s">
        <v>63</v>
      </c>
      <c r="F1171" t="s">
        <v>72</v>
      </c>
      <c r="G1171" s="4">
        <v>-4</v>
      </c>
      <c r="H1171" s="4" t="s">
        <v>18</v>
      </c>
      <c r="I1171" s="4" t="s">
        <v>69</v>
      </c>
      <c r="J1171" s="4" t="s">
        <v>73</v>
      </c>
      <c r="K1171" s="4">
        <v>1</v>
      </c>
      <c r="L1171" s="94">
        <v>-1</v>
      </c>
      <c r="M1171" s="94">
        <v>0</v>
      </c>
    </row>
    <row r="1172" spans="3:13" x14ac:dyDescent="0.3">
      <c r="C1172" t="s">
        <v>70</v>
      </c>
      <c r="D1172" t="s">
        <v>67</v>
      </c>
      <c r="E1172" t="s">
        <v>68</v>
      </c>
      <c r="F1172" t="s">
        <v>26</v>
      </c>
      <c r="G1172" s="4">
        <v>3</v>
      </c>
      <c r="H1172" s="4" t="s">
        <v>82</v>
      </c>
      <c r="I1172" s="4" t="s">
        <v>65</v>
      </c>
      <c r="J1172" s="4" t="s">
        <v>66</v>
      </c>
      <c r="K1172" s="4">
        <v>1</v>
      </c>
      <c r="L1172" s="94">
        <v>242293</v>
      </c>
      <c r="M1172" s="94">
        <v>726879</v>
      </c>
    </row>
    <row r="1173" spans="3:13" x14ac:dyDescent="0.3">
      <c r="C1173" t="s">
        <v>71</v>
      </c>
      <c r="D1173" t="s">
        <v>67</v>
      </c>
      <c r="E1173" t="s">
        <v>63</v>
      </c>
      <c r="F1173" t="s">
        <v>72</v>
      </c>
      <c r="G1173" s="4">
        <v>2</v>
      </c>
      <c r="H1173" s="4" t="s">
        <v>76</v>
      </c>
      <c r="I1173" s="4" t="s">
        <v>69</v>
      </c>
      <c r="J1173" s="4" t="s">
        <v>66</v>
      </c>
      <c r="K1173" s="4">
        <v>0</v>
      </c>
      <c r="L1173" s="94">
        <v>-48646</v>
      </c>
      <c r="M1173" s="94">
        <v>0</v>
      </c>
    </row>
    <row r="1174" spans="3:13" x14ac:dyDescent="0.3">
      <c r="C1174" t="s">
        <v>61</v>
      </c>
      <c r="D1174" t="s">
        <v>67</v>
      </c>
      <c r="E1174" t="s">
        <v>63</v>
      </c>
      <c r="F1174" t="s">
        <v>26</v>
      </c>
      <c r="G1174" s="4">
        <v>7</v>
      </c>
      <c r="H1174" s="4" t="s">
        <v>18</v>
      </c>
      <c r="I1174" s="4" t="s">
        <v>69</v>
      </c>
      <c r="J1174" s="4" t="s">
        <v>66</v>
      </c>
      <c r="K1174" s="4">
        <v>0</v>
      </c>
      <c r="L1174" s="94">
        <v>-14487</v>
      </c>
      <c r="M1174" s="94">
        <v>0</v>
      </c>
    </row>
    <row r="1175" spans="3:13" x14ac:dyDescent="0.3">
      <c r="C1175" t="s">
        <v>70</v>
      </c>
      <c r="D1175" t="s">
        <v>67</v>
      </c>
      <c r="E1175" t="s">
        <v>68</v>
      </c>
      <c r="F1175" t="s">
        <v>72</v>
      </c>
      <c r="G1175" s="4">
        <v>-4</v>
      </c>
      <c r="H1175" s="4" t="s">
        <v>18</v>
      </c>
      <c r="I1175" s="4" t="s">
        <v>69</v>
      </c>
      <c r="J1175" s="4" t="s">
        <v>73</v>
      </c>
      <c r="K1175" s="4">
        <v>1</v>
      </c>
      <c r="L1175" s="94">
        <v>603</v>
      </c>
      <c r="M1175" s="94">
        <v>0</v>
      </c>
    </row>
    <row r="1176" spans="3:13" x14ac:dyDescent="0.3">
      <c r="C1176" t="s">
        <v>71</v>
      </c>
      <c r="D1176" t="s">
        <v>67</v>
      </c>
      <c r="E1176" t="s">
        <v>63</v>
      </c>
      <c r="F1176" t="s">
        <v>26</v>
      </c>
      <c r="G1176" s="4">
        <v>4</v>
      </c>
      <c r="H1176" s="4" t="s">
        <v>14</v>
      </c>
      <c r="I1176" s="4" t="s">
        <v>69</v>
      </c>
      <c r="J1176" s="4" t="s">
        <v>66</v>
      </c>
      <c r="K1176" s="4">
        <v>0</v>
      </c>
      <c r="L1176" s="94">
        <v>-852697</v>
      </c>
      <c r="M1176" s="94">
        <v>0</v>
      </c>
    </row>
    <row r="1177" spans="3:13" x14ac:dyDescent="0.3">
      <c r="C1177" t="s">
        <v>70</v>
      </c>
      <c r="D1177" t="s">
        <v>67</v>
      </c>
      <c r="E1177" t="s">
        <v>63</v>
      </c>
      <c r="F1177" t="s">
        <v>25</v>
      </c>
      <c r="G1177" s="4">
        <v>8</v>
      </c>
      <c r="H1177" s="4" t="s">
        <v>80</v>
      </c>
      <c r="I1177" s="4" t="s">
        <v>65</v>
      </c>
      <c r="J1177" s="4" t="s">
        <v>66</v>
      </c>
      <c r="K1177" s="4">
        <v>1</v>
      </c>
      <c r="L1177" s="94">
        <v>-2247</v>
      </c>
      <c r="M1177" s="94">
        <v>0</v>
      </c>
    </row>
    <row r="1178" spans="3:13" x14ac:dyDescent="0.3">
      <c r="C1178" t="s">
        <v>61</v>
      </c>
      <c r="D1178" t="s">
        <v>67</v>
      </c>
      <c r="E1178" t="s">
        <v>63</v>
      </c>
      <c r="F1178" t="s">
        <v>25</v>
      </c>
      <c r="G1178" s="4">
        <v>11</v>
      </c>
      <c r="H1178" s="4" t="s">
        <v>77</v>
      </c>
      <c r="I1178" s="4" t="s">
        <v>69</v>
      </c>
      <c r="J1178" s="4" t="s">
        <v>66</v>
      </c>
      <c r="K1178" s="4">
        <v>0</v>
      </c>
      <c r="L1178" s="94">
        <v>-1084</v>
      </c>
      <c r="M1178" s="94">
        <v>0</v>
      </c>
    </row>
    <row r="1179" spans="3:13" x14ac:dyDescent="0.3">
      <c r="C1179" t="s">
        <v>71</v>
      </c>
      <c r="D1179" t="s">
        <v>67</v>
      </c>
      <c r="E1179" t="s">
        <v>63</v>
      </c>
      <c r="F1179" t="s">
        <v>72</v>
      </c>
      <c r="G1179" s="4">
        <v>-4</v>
      </c>
      <c r="H1179" s="4" t="s">
        <v>18</v>
      </c>
      <c r="I1179" s="4" t="s">
        <v>69</v>
      </c>
      <c r="J1179" s="4" t="s">
        <v>66</v>
      </c>
      <c r="K1179" s="4">
        <v>0</v>
      </c>
      <c r="L1179" s="94">
        <v>-371783</v>
      </c>
      <c r="M1179" s="94">
        <v>0</v>
      </c>
    </row>
    <row r="1180" spans="3:13" x14ac:dyDescent="0.3">
      <c r="C1180" t="s">
        <v>71</v>
      </c>
      <c r="D1180" t="s">
        <v>67</v>
      </c>
      <c r="E1180" t="s">
        <v>63</v>
      </c>
      <c r="F1180" t="s">
        <v>25</v>
      </c>
      <c r="G1180" s="4">
        <v>-4</v>
      </c>
      <c r="H1180" s="4" t="s">
        <v>77</v>
      </c>
      <c r="I1180" s="4" t="s">
        <v>69</v>
      </c>
      <c r="J1180" s="4" t="s">
        <v>66</v>
      </c>
      <c r="K1180" s="4">
        <v>0</v>
      </c>
      <c r="L1180" s="94">
        <v>-18119</v>
      </c>
      <c r="M1180" s="94">
        <v>0</v>
      </c>
    </row>
    <row r="1181" spans="3:13" x14ac:dyDescent="0.3">
      <c r="C1181" t="s">
        <v>70</v>
      </c>
      <c r="D1181" t="s">
        <v>67</v>
      </c>
      <c r="E1181" t="s">
        <v>68</v>
      </c>
      <c r="F1181" t="s">
        <v>25</v>
      </c>
      <c r="G1181" s="4">
        <v>0</v>
      </c>
      <c r="H1181" s="4" t="s">
        <v>76</v>
      </c>
      <c r="I1181" s="4" t="s">
        <v>69</v>
      </c>
      <c r="J1181" s="4" t="s">
        <v>66</v>
      </c>
      <c r="K1181" s="4">
        <v>0</v>
      </c>
      <c r="L1181" s="94">
        <v>91048</v>
      </c>
      <c r="M1181" s="94">
        <v>0</v>
      </c>
    </row>
    <row r="1182" spans="3:13" x14ac:dyDescent="0.3">
      <c r="C1182" t="s">
        <v>70</v>
      </c>
      <c r="D1182" t="s">
        <v>67</v>
      </c>
      <c r="E1182" t="s">
        <v>63</v>
      </c>
      <c r="F1182" t="s">
        <v>72</v>
      </c>
      <c r="G1182" s="4">
        <v>7</v>
      </c>
      <c r="H1182" s="4" t="s">
        <v>18</v>
      </c>
      <c r="I1182" s="4" t="s">
        <v>69</v>
      </c>
      <c r="J1182" s="4" t="s">
        <v>73</v>
      </c>
      <c r="K1182" s="4">
        <v>1</v>
      </c>
      <c r="L1182" s="94">
        <v>-3014</v>
      </c>
      <c r="M1182" s="94">
        <v>0</v>
      </c>
    </row>
    <row r="1183" spans="3:13" x14ac:dyDescent="0.3">
      <c r="C1183" t="s">
        <v>70</v>
      </c>
      <c r="D1183" t="s">
        <v>67</v>
      </c>
      <c r="E1183" t="s">
        <v>68</v>
      </c>
      <c r="F1183" t="s">
        <v>25</v>
      </c>
      <c r="G1183" s="4">
        <v>3</v>
      </c>
      <c r="H1183" s="4" t="s">
        <v>14</v>
      </c>
      <c r="I1183" s="4" t="s">
        <v>69</v>
      </c>
      <c r="J1183" s="4" t="s">
        <v>66</v>
      </c>
      <c r="K1183" s="4">
        <v>1</v>
      </c>
      <c r="L1183" s="94">
        <v>1947115</v>
      </c>
      <c r="M1183" s="94">
        <v>5841345</v>
      </c>
    </row>
    <row r="1184" spans="3:13" x14ac:dyDescent="0.3">
      <c r="C1184" t="s">
        <v>71</v>
      </c>
      <c r="D1184" t="s">
        <v>67</v>
      </c>
      <c r="E1184" t="s">
        <v>63</v>
      </c>
      <c r="F1184" t="s">
        <v>26</v>
      </c>
      <c r="G1184" s="4">
        <v>9</v>
      </c>
      <c r="H1184" s="4" t="s">
        <v>17</v>
      </c>
      <c r="I1184" s="4" t="s">
        <v>69</v>
      </c>
      <c r="J1184" s="4" t="s">
        <v>66</v>
      </c>
      <c r="K1184" s="4">
        <v>0</v>
      </c>
      <c r="L1184" s="94">
        <v>-1466952</v>
      </c>
      <c r="M1184" s="94">
        <v>0</v>
      </c>
    </row>
    <row r="1185" spans="3:13" x14ac:dyDescent="0.3">
      <c r="C1185" t="s">
        <v>61</v>
      </c>
      <c r="D1185" t="s">
        <v>67</v>
      </c>
      <c r="E1185" t="s">
        <v>63</v>
      </c>
      <c r="F1185" t="s">
        <v>26</v>
      </c>
      <c r="G1185" s="4">
        <v>2</v>
      </c>
      <c r="H1185" s="4" t="s">
        <v>78</v>
      </c>
      <c r="I1185" s="4" t="s">
        <v>69</v>
      </c>
      <c r="J1185" s="4" t="s">
        <v>66</v>
      </c>
      <c r="K1185" s="4">
        <v>0</v>
      </c>
      <c r="L1185" s="94">
        <v>-11420</v>
      </c>
      <c r="M1185" s="94">
        <v>0</v>
      </c>
    </row>
    <row r="1186" spans="3:13" x14ac:dyDescent="0.3">
      <c r="C1186" t="s">
        <v>70</v>
      </c>
      <c r="D1186" t="s">
        <v>67</v>
      </c>
      <c r="E1186" t="s">
        <v>63</v>
      </c>
      <c r="F1186" t="s">
        <v>72</v>
      </c>
      <c r="G1186" s="4">
        <v>0</v>
      </c>
      <c r="H1186" s="4" t="s">
        <v>14</v>
      </c>
      <c r="I1186" s="4" t="s">
        <v>69</v>
      </c>
      <c r="J1186" s="4" t="s">
        <v>73</v>
      </c>
      <c r="K1186" s="4">
        <v>1</v>
      </c>
      <c r="L1186" s="94">
        <v>-2581</v>
      </c>
      <c r="M1186" s="94">
        <v>0</v>
      </c>
    </row>
    <row r="1187" spans="3:13" x14ac:dyDescent="0.3">
      <c r="C1187" t="s">
        <v>61</v>
      </c>
      <c r="D1187" t="s">
        <v>67</v>
      </c>
      <c r="E1187" t="s">
        <v>68</v>
      </c>
      <c r="F1187" t="s">
        <v>72</v>
      </c>
      <c r="G1187" s="4">
        <v>-4</v>
      </c>
      <c r="H1187" s="4" t="s">
        <v>78</v>
      </c>
      <c r="I1187" s="4" t="s">
        <v>69</v>
      </c>
      <c r="J1187" s="4" t="s">
        <v>66</v>
      </c>
      <c r="K1187" s="4">
        <v>0</v>
      </c>
      <c r="L1187" s="94">
        <v>26</v>
      </c>
      <c r="M1187" s="94">
        <v>0</v>
      </c>
    </row>
    <row r="1188" spans="3:13" x14ac:dyDescent="0.3">
      <c r="C1188" t="s">
        <v>70</v>
      </c>
      <c r="D1188" t="s">
        <v>62</v>
      </c>
      <c r="E1188" t="s">
        <v>63</v>
      </c>
      <c r="F1188" t="s">
        <v>25</v>
      </c>
      <c r="G1188" s="4">
        <v>0</v>
      </c>
      <c r="I1188" s="4" t="s">
        <v>69</v>
      </c>
      <c r="J1188" s="4" t="s">
        <v>66</v>
      </c>
      <c r="K1188" s="4">
        <v>0</v>
      </c>
      <c r="L1188" s="94">
        <v>-919</v>
      </c>
      <c r="M1188" s="94">
        <v>0</v>
      </c>
    </row>
    <row r="1189" spans="3:13" x14ac:dyDescent="0.3">
      <c r="C1189" t="s">
        <v>61</v>
      </c>
      <c r="D1189" t="s">
        <v>67</v>
      </c>
      <c r="E1189" t="s">
        <v>63</v>
      </c>
      <c r="F1189" t="s">
        <v>26</v>
      </c>
      <c r="G1189" s="4">
        <v>1</v>
      </c>
      <c r="H1189" s="4" t="s">
        <v>13</v>
      </c>
      <c r="I1189" s="4" t="s">
        <v>69</v>
      </c>
      <c r="J1189" s="4" t="s">
        <v>66</v>
      </c>
      <c r="K1189" s="4">
        <v>0</v>
      </c>
      <c r="L1189" s="94">
        <v>-53</v>
      </c>
      <c r="M1189" s="94">
        <v>0</v>
      </c>
    </row>
    <row r="1190" spans="3:13" x14ac:dyDescent="0.3">
      <c r="C1190" t="s">
        <v>70</v>
      </c>
      <c r="D1190" t="s">
        <v>67</v>
      </c>
      <c r="E1190" t="s">
        <v>68</v>
      </c>
      <c r="F1190" t="s">
        <v>72</v>
      </c>
      <c r="G1190" s="4">
        <v>4</v>
      </c>
      <c r="H1190" s="4" t="s">
        <v>12</v>
      </c>
      <c r="I1190" s="4" t="s">
        <v>65</v>
      </c>
      <c r="J1190" s="4" t="s">
        <v>73</v>
      </c>
      <c r="K1190" s="4">
        <v>1</v>
      </c>
      <c r="L1190" s="94">
        <v>3527</v>
      </c>
      <c r="M1190" s="94">
        <v>14108</v>
      </c>
    </row>
    <row r="1191" spans="3:13" x14ac:dyDescent="0.3">
      <c r="C1191" t="s">
        <v>70</v>
      </c>
      <c r="D1191" t="s">
        <v>67</v>
      </c>
      <c r="E1191" t="s">
        <v>68</v>
      </c>
      <c r="F1191" t="s">
        <v>25</v>
      </c>
      <c r="G1191" s="4">
        <v>11</v>
      </c>
      <c r="H1191" s="4" t="s">
        <v>74</v>
      </c>
      <c r="I1191" s="4" t="s">
        <v>69</v>
      </c>
      <c r="J1191" s="4" t="s">
        <v>66</v>
      </c>
      <c r="K1191" s="4">
        <v>0</v>
      </c>
      <c r="L1191" s="94">
        <v>2602897</v>
      </c>
      <c r="M1191" s="94">
        <v>28631867</v>
      </c>
    </row>
    <row r="1192" spans="3:13" x14ac:dyDescent="0.3">
      <c r="C1192" t="s">
        <v>61</v>
      </c>
      <c r="D1192" t="s">
        <v>67</v>
      </c>
      <c r="E1192" t="s">
        <v>68</v>
      </c>
      <c r="F1192" t="s">
        <v>72</v>
      </c>
      <c r="G1192" s="4">
        <v>1</v>
      </c>
      <c r="H1192" s="4" t="s">
        <v>80</v>
      </c>
      <c r="I1192" s="4" t="s">
        <v>69</v>
      </c>
      <c r="J1192" s="4" t="s">
        <v>66</v>
      </c>
      <c r="K1192" s="4">
        <v>0</v>
      </c>
      <c r="L1192" s="94">
        <v>228895</v>
      </c>
      <c r="M1192" s="94">
        <v>228895</v>
      </c>
    </row>
    <row r="1193" spans="3:13" x14ac:dyDescent="0.3">
      <c r="C1193" t="s">
        <v>70</v>
      </c>
      <c r="D1193" t="s">
        <v>67</v>
      </c>
      <c r="E1193" t="s">
        <v>63</v>
      </c>
      <c r="F1193" t="s">
        <v>26</v>
      </c>
      <c r="G1193" s="4">
        <v>3</v>
      </c>
      <c r="H1193" s="4" t="s">
        <v>81</v>
      </c>
      <c r="I1193" s="4" t="s">
        <v>69</v>
      </c>
      <c r="J1193" s="4" t="s">
        <v>66</v>
      </c>
      <c r="K1193" s="4">
        <v>0</v>
      </c>
      <c r="L1193" s="94">
        <v>-31197</v>
      </c>
      <c r="M1193" s="94">
        <v>0</v>
      </c>
    </row>
    <row r="1194" spans="3:13" x14ac:dyDescent="0.3">
      <c r="C1194" t="s">
        <v>61</v>
      </c>
      <c r="D1194" t="s">
        <v>67</v>
      </c>
      <c r="E1194" t="s">
        <v>63</v>
      </c>
      <c r="F1194" t="s">
        <v>26</v>
      </c>
      <c r="G1194" s="4">
        <v>4</v>
      </c>
      <c r="H1194" s="4" t="s">
        <v>12</v>
      </c>
      <c r="I1194" s="4" t="s">
        <v>69</v>
      </c>
      <c r="J1194" s="4" t="s">
        <v>66</v>
      </c>
      <c r="K1194" s="4">
        <v>0</v>
      </c>
      <c r="L1194" s="94">
        <v>-8626</v>
      </c>
      <c r="M1194" s="94">
        <v>0</v>
      </c>
    </row>
    <row r="1195" spans="3:13" x14ac:dyDescent="0.3">
      <c r="C1195" t="s">
        <v>70</v>
      </c>
      <c r="D1195" t="s">
        <v>67</v>
      </c>
      <c r="E1195" t="s">
        <v>63</v>
      </c>
      <c r="F1195" t="s">
        <v>25</v>
      </c>
      <c r="G1195" s="4">
        <v>6</v>
      </c>
      <c r="H1195" s="4" t="s">
        <v>64</v>
      </c>
      <c r="I1195" s="4" t="s">
        <v>69</v>
      </c>
      <c r="J1195" s="4" t="s">
        <v>66</v>
      </c>
      <c r="K1195" s="4">
        <v>0</v>
      </c>
      <c r="L1195" s="94">
        <v>-1368</v>
      </c>
      <c r="M1195" s="94">
        <v>0</v>
      </c>
    </row>
    <row r="1196" spans="3:13" x14ac:dyDescent="0.3">
      <c r="C1196" t="s">
        <v>61</v>
      </c>
      <c r="D1196" t="s">
        <v>67</v>
      </c>
      <c r="E1196" t="s">
        <v>63</v>
      </c>
      <c r="F1196" t="s">
        <v>72</v>
      </c>
      <c r="G1196" s="4">
        <v>1</v>
      </c>
      <c r="H1196" s="4" t="s">
        <v>16</v>
      </c>
      <c r="I1196" s="4" t="s">
        <v>69</v>
      </c>
      <c r="J1196" s="4" t="s">
        <v>66</v>
      </c>
      <c r="K1196" s="4">
        <v>0</v>
      </c>
      <c r="L1196" s="94">
        <v>-417</v>
      </c>
      <c r="M1196" s="94">
        <v>0</v>
      </c>
    </row>
    <row r="1197" spans="3:13" x14ac:dyDescent="0.3">
      <c r="C1197" t="s">
        <v>61</v>
      </c>
      <c r="D1197" t="s">
        <v>84</v>
      </c>
      <c r="E1197" t="s">
        <v>63</v>
      </c>
      <c r="F1197" t="s">
        <v>25</v>
      </c>
      <c r="G1197" s="4">
        <v>2</v>
      </c>
      <c r="H1197" s="4" t="s">
        <v>75</v>
      </c>
      <c r="I1197" s="4" t="s">
        <v>69</v>
      </c>
      <c r="J1197" s="4" t="s">
        <v>66</v>
      </c>
      <c r="K1197" s="4">
        <v>0</v>
      </c>
      <c r="L1197" s="94">
        <v>-87</v>
      </c>
      <c r="M1197" s="94">
        <v>0</v>
      </c>
    </row>
    <row r="1198" spans="3:13" x14ac:dyDescent="0.3">
      <c r="C1198" t="s">
        <v>70</v>
      </c>
      <c r="D1198" t="s">
        <v>67</v>
      </c>
      <c r="E1198" t="s">
        <v>68</v>
      </c>
      <c r="F1198" t="s">
        <v>26</v>
      </c>
      <c r="G1198" s="4">
        <v>5</v>
      </c>
      <c r="H1198" s="4" t="s">
        <v>12</v>
      </c>
      <c r="I1198" s="4" t="s">
        <v>69</v>
      </c>
      <c r="J1198" s="4" t="s">
        <v>73</v>
      </c>
      <c r="K1198" s="4">
        <v>1</v>
      </c>
      <c r="L1198" s="94">
        <v>309006</v>
      </c>
      <c r="M1198" s="94">
        <v>1545030</v>
      </c>
    </row>
    <row r="1199" spans="3:13" x14ac:dyDescent="0.3">
      <c r="C1199" t="s">
        <v>70</v>
      </c>
      <c r="D1199" t="s">
        <v>67</v>
      </c>
      <c r="E1199" t="s">
        <v>63</v>
      </c>
      <c r="F1199" t="s">
        <v>26</v>
      </c>
      <c r="G1199" s="4">
        <v>10</v>
      </c>
      <c r="H1199" s="4" t="s">
        <v>18</v>
      </c>
      <c r="I1199" s="4" t="s">
        <v>69</v>
      </c>
      <c r="J1199" s="4" t="s">
        <v>66</v>
      </c>
      <c r="K1199" s="4">
        <v>0</v>
      </c>
      <c r="L1199" s="94">
        <v>-1100</v>
      </c>
      <c r="M1199" s="94">
        <v>0</v>
      </c>
    </row>
    <row r="1200" spans="3:13" x14ac:dyDescent="0.3">
      <c r="C1200" t="s">
        <v>71</v>
      </c>
      <c r="D1200" t="s">
        <v>62</v>
      </c>
      <c r="E1200" t="s">
        <v>63</v>
      </c>
      <c r="F1200" t="s">
        <v>25</v>
      </c>
      <c r="G1200" s="4">
        <v>15</v>
      </c>
      <c r="I1200" s="4" t="s">
        <v>69</v>
      </c>
      <c r="J1200" s="4" t="s">
        <v>66</v>
      </c>
      <c r="K1200" s="4">
        <v>0</v>
      </c>
      <c r="L1200" s="94">
        <v>-24076</v>
      </c>
      <c r="M1200" s="94">
        <v>0</v>
      </c>
    </row>
    <row r="1201" spans="3:13" x14ac:dyDescent="0.3">
      <c r="C1201" t="s">
        <v>61</v>
      </c>
      <c r="D1201" t="s">
        <v>67</v>
      </c>
      <c r="E1201" t="s">
        <v>68</v>
      </c>
      <c r="F1201" t="s">
        <v>72</v>
      </c>
      <c r="G1201" s="4">
        <v>5</v>
      </c>
      <c r="H1201" s="4" t="s">
        <v>14</v>
      </c>
      <c r="I1201" s="4" t="s">
        <v>69</v>
      </c>
      <c r="J1201" s="4" t="s">
        <v>66</v>
      </c>
      <c r="K1201" s="4">
        <v>0</v>
      </c>
      <c r="L1201" s="94">
        <v>1664915</v>
      </c>
      <c r="M1201" s="94">
        <v>8324575</v>
      </c>
    </row>
    <row r="1202" spans="3:13" x14ac:dyDescent="0.3">
      <c r="C1202" t="s">
        <v>70</v>
      </c>
      <c r="D1202" t="s">
        <v>67</v>
      </c>
      <c r="E1202" t="s">
        <v>68</v>
      </c>
      <c r="F1202" t="s">
        <v>25</v>
      </c>
      <c r="G1202" s="4">
        <v>12</v>
      </c>
      <c r="H1202" s="4" t="s">
        <v>18</v>
      </c>
      <c r="I1202" s="4" t="s">
        <v>69</v>
      </c>
      <c r="J1202" s="4" t="s">
        <v>66</v>
      </c>
      <c r="K1202" s="4">
        <v>0</v>
      </c>
      <c r="L1202" s="94">
        <v>3902498</v>
      </c>
      <c r="M1202" s="94">
        <v>46829976</v>
      </c>
    </row>
    <row r="1203" spans="3:13" x14ac:dyDescent="0.3">
      <c r="C1203" t="s">
        <v>71</v>
      </c>
      <c r="D1203" t="s">
        <v>67</v>
      </c>
      <c r="E1203" t="s">
        <v>68</v>
      </c>
      <c r="F1203" t="s">
        <v>72</v>
      </c>
      <c r="G1203" s="4">
        <v>-4</v>
      </c>
      <c r="H1203" s="4" t="s">
        <v>16</v>
      </c>
      <c r="I1203" s="4" t="s">
        <v>69</v>
      </c>
      <c r="J1203" s="4" t="s">
        <v>66</v>
      </c>
      <c r="K1203" s="4">
        <v>0</v>
      </c>
      <c r="L1203" s="94">
        <v>8369</v>
      </c>
      <c r="M1203" s="94">
        <v>0</v>
      </c>
    </row>
    <row r="1204" spans="3:13" x14ac:dyDescent="0.3">
      <c r="C1204" t="s">
        <v>61</v>
      </c>
      <c r="D1204" t="s">
        <v>67</v>
      </c>
      <c r="E1204" t="s">
        <v>63</v>
      </c>
      <c r="F1204" t="s">
        <v>26</v>
      </c>
      <c r="G1204" s="4">
        <v>5</v>
      </c>
      <c r="H1204" s="4" t="s">
        <v>82</v>
      </c>
      <c r="I1204" s="4" t="s">
        <v>69</v>
      </c>
      <c r="J1204" s="4" t="s">
        <v>73</v>
      </c>
      <c r="K1204" s="4">
        <v>1</v>
      </c>
      <c r="L1204" s="94">
        <v>-305</v>
      </c>
      <c r="M1204" s="94">
        <v>0</v>
      </c>
    </row>
    <row r="1205" spans="3:13" x14ac:dyDescent="0.3">
      <c r="C1205" t="s">
        <v>61</v>
      </c>
      <c r="D1205" t="s">
        <v>67</v>
      </c>
      <c r="E1205" t="s">
        <v>63</v>
      </c>
      <c r="F1205" t="s">
        <v>72</v>
      </c>
      <c r="G1205" s="4">
        <v>4</v>
      </c>
      <c r="H1205" s="4" t="s">
        <v>82</v>
      </c>
      <c r="I1205" s="4" t="s">
        <v>65</v>
      </c>
      <c r="J1205" s="4" t="s">
        <v>66</v>
      </c>
      <c r="K1205" s="4">
        <v>1</v>
      </c>
      <c r="L1205" s="94">
        <v>-38210</v>
      </c>
      <c r="M1205" s="94">
        <v>0</v>
      </c>
    </row>
    <row r="1206" spans="3:13" x14ac:dyDescent="0.3">
      <c r="C1206" t="s">
        <v>71</v>
      </c>
      <c r="D1206" t="s">
        <v>67</v>
      </c>
      <c r="E1206" t="s">
        <v>63</v>
      </c>
      <c r="F1206" t="s">
        <v>26</v>
      </c>
      <c r="G1206" s="4">
        <v>-1</v>
      </c>
      <c r="H1206" s="4" t="s">
        <v>77</v>
      </c>
      <c r="I1206" s="4" t="s">
        <v>69</v>
      </c>
      <c r="J1206" s="4" t="s">
        <v>66</v>
      </c>
      <c r="K1206" s="4">
        <v>0</v>
      </c>
      <c r="L1206" s="94">
        <v>-576328</v>
      </c>
      <c r="M1206" s="94">
        <v>0</v>
      </c>
    </row>
    <row r="1207" spans="3:13" x14ac:dyDescent="0.3">
      <c r="C1207" t="s">
        <v>70</v>
      </c>
      <c r="D1207" t="s">
        <v>67</v>
      </c>
      <c r="E1207" t="s">
        <v>63</v>
      </c>
      <c r="F1207" t="s">
        <v>25</v>
      </c>
      <c r="G1207" s="4">
        <v>10</v>
      </c>
      <c r="H1207" s="4" t="s">
        <v>76</v>
      </c>
      <c r="I1207" s="4" t="s">
        <v>69</v>
      </c>
      <c r="J1207" s="4" t="s">
        <v>66</v>
      </c>
      <c r="K1207" s="4">
        <v>0</v>
      </c>
      <c r="L1207" s="94">
        <v>-755760</v>
      </c>
      <c r="M1207" s="94">
        <v>0</v>
      </c>
    </row>
    <row r="1208" spans="3:13" x14ac:dyDescent="0.3">
      <c r="C1208" t="s">
        <v>61</v>
      </c>
      <c r="D1208" t="s">
        <v>67</v>
      </c>
      <c r="E1208" t="s">
        <v>63</v>
      </c>
      <c r="F1208" t="s">
        <v>25</v>
      </c>
      <c r="G1208" s="4">
        <v>10</v>
      </c>
      <c r="H1208" s="4" t="s">
        <v>82</v>
      </c>
      <c r="I1208" s="4" t="s">
        <v>69</v>
      </c>
      <c r="J1208" s="4" t="s">
        <v>66</v>
      </c>
      <c r="K1208" s="4">
        <v>0</v>
      </c>
      <c r="L1208" s="94">
        <v>-241</v>
      </c>
      <c r="M1208" s="94">
        <v>0</v>
      </c>
    </row>
    <row r="1209" spans="3:13" x14ac:dyDescent="0.3">
      <c r="C1209" t="s">
        <v>70</v>
      </c>
      <c r="D1209" t="s">
        <v>67</v>
      </c>
      <c r="E1209" t="s">
        <v>63</v>
      </c>
      <c r="F1209" t="s">
        <v>26</v>
      </c>
      <c r="G1209" s="4">
        <v>-1</v>
      </c>
      <c r="H1209" s="4" t="s">
        <v>77</v>
      </c>
      <c r="I1209" s="4" t="s">
        <v>69</v>
      </c>
      <c r="J1209" s="4" t="s">
        <v>66</v>
      </c>
      <c r="K1209" s="4">
        <v>0</v>
      </c>
      <c r="L1209" s="94">
        <v>-173667</v>
      </c>
      <c r="M1209" s="94">
        <v>0</v>
      </c>
    </row>
    <row r="1210" spans="3:13" x14ac:dyDescent="0.3">
      <c r="C1210" t="s">
        <v>71</v>
      </c>
      <c r="D1210" t="s">
        <v>62</v>
      </c>
      <c r="E1210" t="s">
        <v>68</v>
      </c>
      <c r="F1210" t="s">
        <v>25</v>
      </c>
      <c r="G1210" s="4">
        <v>21</v>
      </c>
      <c r="I1210" s="4" t="s">
        <v>69</v>
      </c>
      <c r="J1210" s="4" t="s">
        <v>66</v>
      </c>
      <c r="K1210" s="4">
        <v>0</v>
      </c>
      <c r="L1210" s="94">
        <v>526185</v>
      </c>
      <c r="M1210" s="94">
        <v>11049885</v>
      </c>
    </row>
    <row r="1211" spans="3:13" x14ac:dyDescent="0.3">
      <c r="C1211" t="s">
        <v>70</v>
      </c>
      <c r="D1211" t="s">
        <v>67</v>
      </c>
      <c r="E1211" t="s">
        <v>68</v>
      </c>
      <c r="F1211" t="s">
        <v>72</v>
      </c>
      <c r="G1211" s="4">
        <v>5</v>
      </c>
      <c r="H1211" s="4" t="s">
        <v>81</v>
      </c>
      <c r="I1211" s="4" t="s">
        <v>69</v>
      </c>
      <c r="J1211" s="4" t="s">
        <v>66</v>
      </c>
      <c r="K1211" s="4">
        <v>0</v>
      </c>
      <c r="L1211" s="94">
        <v>16542</v>
      </c>
      <c r="M1211" s="94">
        <v>82710</v>
      </c>
    </row>
    <row r="1212" spans="3:13" x14ac:dyDescent="0.3">
      <c r="C1212" t="s">
        <v>71</v>
      </c>
      <c r="D1212" t="s">
        <v>67</v>
      </c>
      <c r="E1212" t="s">
        <v>68</v>
      </c>
      <c r="F1212" t="s">
        <v>72</v>
      </c>
      <c r="G1212" s="4">
        <v>7</v>
      </c>
      <c r="H1212" s="4" t="s">
        <v>82</v>
      </c>
      <c r="I1212" s="4" t="s">
        <v>69</v>
      </c>
      <c r="J1212" s="4" t="s">
        <v>66</v>
      </c>
      <c r="K1212" s="4">
        <v>0</v>
      </c>
      <c r="L1212" s="94">
        <v>5030</v>
      </c>
      <c r="M1212" s="94">
        <v>35210</v>
      </c>
    </row>
    <row r="1213" spans="3:13" x14ac:dyDescent="0.3">
      <c r="C1213" t="s">
        <v>61</v>
      </c>
      <c r="D1213" t="s">
        <v>67</v>
      </c>
      <c r="E1213" t="s">
        <v>68</v>
      </c>
      <c r="G1213" s="4">
        <v>-1</v>
      </c>
      <c r="I1213" s="4" t="s">
        <v>69</v>
      </c>
      <c r="J1213" s="4" t="s">
        <v>66</v>
      </c>
      <c r="K1213" s="4">
        <v>0</v>
      </c>
      <c r="L1213" s="94">
        <v>41513</v>
      </c>
      <c r="M1213" s="94">
        <v>0</v>
      </c>
    </row>
    <row r="1214" spans="3:13" x14ac:dyDescent="0.3">
      <c r="C1214" t="s">
        <v>61</v>
      </c>
      <c r="D1214" t="s">
        <v>67</v>
      </c>
      <c r="E1214" t="s">
        <v>68</v>
      </c>
      <c r="F1214" t="s">
        <v>25</v>
      </c>
      <c r="G1214" s="4">
        <v>11</v>
      </c>
      <c r="H1214" s="4" t="s">
        <v>74</v>
      </c>
      <c r="I1214" s="4" t="s">
        <v>69</v>
      </c>
      <c r="J1214" s="4" t="s">
        <v>66</v>
      </c>
      <c r="K1214" s="4">
        <v>0</v>
      </c>
      <c r="L1214" s="94">
        <v>6965246</v>
      </c>
      <c r="M1214" s="94">
        <v>76617706</v>
      </c>
    </row>
    <row r="1215" spans="3:13" x14ac:dyDescent="0.3">
      <c r="C1215" t="s">
        <v>61</v>
      </c>
      <c r="D1215" t="s">
        <v>67</v>
      </c>
      <c r="E1215" t="s">
        <v>63</v>
      </c>
      <c r="F1215" t="s">
        <v>72</v>
      </c>
      <c r="G1215" s="4">
        <v>4</v>
      </c>
      <c r="H1215" s="4" t="s">
        <v>18</v>
      </c>
      <c r="I1215" s="4" t="s">
        <v>69</v>
      </c>
      <c r="J1215" s="4" t="s">
        <v>66</v>
      </c>
      <c r="K1215" s="4">
        <v>0</v>
      </c>
      <c r="L1215" s="94">
        <v>-38733</v>
      </c>
      <c r="M1215" s="94">
        <v>0</v>
      </c>
    </row>
    <row r="1216" spans="3:13" x14ac:dyDescent="0.3">
      <c r="C1216" t="s">
        <v>61</v>
      </c>
      <c r="D1216" t="s">
        <v>62</v>
      </c>
      <c r="E1216" t="s">
        <v>63</v>
      </c>
      <c r="F1216" t="s">
        <v>25</v>
      </c>
      <c r="G1216" s="4">
        <v>36</v>
      </c>
      <c r="I1216" s="4" t="s">
        <v>69</v>
      </c>
      <c r="J1216" s="4" t="s">
        <v>66</v>
      </c>
      <c r="K1216" s="4">
        <v>0</v>
      </c>
      <c r="L1216" s="94">
        <v>-381</v>
      </c>
      <c r="M1216" s="94">
        <v>0</v>
      </c>
    </row>
    <row r="1217" spans="3:13" x14ac:dyDescent="0.3">
      <c r="C1217" t="s">
        <v>61</v>
      </c>
      <c r="D1217" t="s">
        <v>67</v>
      </c>
      <c r="E1217" t="s">
        <v>63</v>
      </c>
      <c r="F1217" t="s">
        <v>25</v>
      </c>
      <c r="G1217" s="4">
        <v>19</v>
      </c>
      <c r="H1217" s="4" t="s">
        <v>74</v>
      </c>
      <c r="I1217" s="4" t="s">
        <v>69</v>
      </c>
      <c r="J1217" s="4" t="s">
        <v>66</v>
      </c>
      <c r="K1217" s="4">
        <v>0</v>
      </c>
      <c r="L1217" s="94">
        <v>-73</v>
      </c>
      <c r="M1217" s="94">
        <v>0</v>
      </c>
    </row>
    <row r="1218" spans="3:13" x14ac:dyDescent="0.3">
      <c r="C1218" t="s">
        <v>70</v>
      </c>
      <c r="D1218" t="s">
        <v>67</v>
      </c>
      <c r="E1218" t="s">
        <v>63</v>
      </c>
      <c r="F1218" t="s">
        <v>72</v>
      </c>
      <c r="G1218" s="4">
        <v>2</v>
      </c>
      <c r="H1218" s="4" t="s">
        <v>12</v>
      </c>
      <c r="I1218" s="4" t="s">
        <v>69</v>
      </c>
      <c r="J1218" s="4" t="s">
        <v>66</v>
      </c>
      <c r="K1218" s="4">
        <v>0</v>
      </c>
      <c r="L1218" s="94">
        <v>-6802</v>
      </c>
      <c r="M1218" s="94">
        <v>0</v>
      </c>
    </row>
    <row r="1219" spans="3:13" x14ac:dyDescent="0.3">
      <c r="C1219" t="s">
        <v>61</v>
      </c>
      <c r="D1219" t="s">
        <v>67</v>
      </c>
      <c r="E1219" t="s">
        <v>68</v>
      </c>
      <c r="F1219" t="s">
        <v>72</v>
      </c>
      <c r="G1219" s="4">
        <v>0</v>
      </c>
      <c r="H1219" s="4" t="s">
        <v>17</v>
      </c>
      <c r="I1219" s="4" t="s">
        <v>69</v>
      </c>
      <c r="J1219" s="4" t="s">
        <v>73</v>
      </c>
      <c r="K1219" s="4">
        <v>1</v>
      </c>
      <c r="L1219" s="94">
        <v>14145</v>
      </c>
      <c r="M1219" s="94">
        <v>0</v>
      </c>
    </row>
    <row r="1220" spans="3:13" x14ac:dyDescent="0.3">
      <c r="C1220" t="s">
        <v>70</v>
      </c>
      <c r="D1220" t="s">
        <v>67</v>
      </c>
      <c r="E1220" t="s">
        <v>68</v>
      </c>
      <c r="F1220" t="s">
        <v>26</v>
      </c>
      <c r="G1220" s="4">
        <v>2</v>
      </c>
      <c r="H1220" s="4" t="s">
        <v>74</v>
      </c>
      <c r="I1220" s="4" t="s">
        <v>69</v>
      </c>
      <c r="J1220" s="4" t="s">
        <v>66</v>
      </c>
      <c r="K1220" s="4">
        <v>0</v>
      </c>
      <c r="L1220" s="94">
        <v>3806548</v>
      </c>
      <c r="M1220" s="94">
        <v>7613096</v>
      </c>
    </row>
    <row r="1221" spans="3:13" x14ac:dyDescent="0.3">
      <c r="C1221" t="s">
        <v>70</v>
      </c>
      <c r="D1221" t="s">
        <v>84</v>
      </c>
      <c r="E1221" t="s">
        <v>68</v>
      </c>
      <c r="F1221" t="s">
        <v>25</v>
      </c>
      <c r="G1221" s="4">
        <v>-4</v>
      </c>
      <c r="H1221" s="4" t="s">
        <v>79</v>
      </c>
      <c r="I1221" s="4" t="s">
        <v>69</v>
      </c>
      <c r="J1221" s="4" t="s">
        <v>66</v>
      </c>
      <c r="K1221" s="4">
        <v>0</v>
      </c>
      <c r="L1221" s="94">
        <v>11</v>
      </c>
      <c r="M1221" s="94">
        <v>0</v>
      </c>
    </row>
    <row r="1222" spans="3:13" x14ac:dyDescent="0.3">
      <c r="C1222" t="s">
        <v>70</v>
      </c>
      <c r="D1222" t="s">
        <v>67</v>
      </c>
      <c r="E1222" t="s">
        <v>68</v>
      </c>
      <c r="F1222" t="s">
        <v>26</v>
      </c>
      <c r="G1222" s="4">
        <v>1</v>
      </c>
      <c r="H1222" s="4" t="s">
        <v>17</v>
      </c>
      <c r="I1222" s="4" t="s">
        <v>69</v>
      </c>
      <c r="J1222" s="4" t="s">
        <v>73</v>
      </c>
      <c r="K1222" s="4">
        <v>1</v>
      </c>
      <c r="L1222" s="94">
        <v>98041</v>
      </c>
      <c r="M1222" s="94">
        <v>98041</v>
      </c>
    </row>
    <row r="1223" spans="3:13" x14ac:dyDescent="0.3">
      <c r="C1223" t="s">
        <v>70</v>
      </c>
      <c r="D1223" t="s">
        <v>62</v>
      </c>
      <c r="E1223" t="s">
        <v>63</v>
      </c>
      <c r="F1223" t="s">
        <v>25</v>
      </c>
      <c r="G1223" s="4">
        <v>10</v>
      </c>
      <c r="I1223" s="4" t="s">
        <v>69</v>
      </c>
      <c r="J1223" s="4" t="s">
        <v>66</v>
      </c>
      <c r="K1223" s="4">
        <v>1</v>
      </c>
      <c r="L1223" s="94">
        <v>-2842</v>
      </c>
      <c r="M1223" s="94">
        <v>0</v>
      </c>
    </row>
    <row r="1224" spans="3:13" x14ac:dyDescent="0.3">
      <c r="C1224" t="s">
        <v>71</v>
      </c>
      <c r="D1224" t="s">
        <v>67</v>
      </c>
      <c r="E1224" t="s">
        <v>63</v>
      </c>
      <c r="F1224" t="s">
        <v>25</v>
      </c>
      <c r="G1224" s="4">
        <v>3</v>
      </c>
      <c r="H1224" s="4" t="s">
        <v>74</v>
      </c>
      <c r="I1224" s="4" t="s">
        <v>69</v>
      </c>
      <c r="J1224" s="4" t="s">
        <v>66</v>
      </c>
      <c r="K1224" s="4">
        <v>0</v>
      </c>
      <c r="L1224" s="94">
        <v>-120637</v>
      </c>
      <c r="M1224" s="94">
        <v>0</v>
      </c>
    </row>
    <row r="1225" spans="3:13" x14ac:dyDescent="0.3">
      <c r="C1225" t="s">
        <v>61</v>
      </c>
      <c r="D1225" t="s">
        <v>67</v>
      </c>
      <c r="E1225" t="s">
        <v>68</v>
      </c>
      <c r="F1225" t="s">
        <v>25</v>
      </c>
      <c r="G1225" s="4">
        <v>12</v>
      </c>
      <c r="H1225" s="4" t="s">
        <v>18</v>
      </c>
      <c r="I1225" s="4" t="s">
        <v>69</v>
      </c>
      <c r="J1225" s="4" t="s">
        <v>66</v>
      </c>
      <c r="K1225" s="4">
        <v>0</v>
      </c>
      <c r="L1225" s="94">
        <v>6739769</v>
      </c>
      <c r="M1225" s="94">
        <v>80877228</v>
      </c>
    </row>
    <row r="1226" spans="3:13" x14ac:dyDescent="0.3">
      <c r="C1226" t="s">
        <v>70</v>
      </c>
      <c r="D1226" t="s">
        <v>67</v>
      </c>
      <c r="E1226" t="s">
        <v>63</v>
      </c>
      <c r="F1226" t="s">
        <v>26</v>
      </c>
      <c r="G1226" s="4">
        <v>2</v>
      </c>
      <c r="H1226" s="4" t="s">
        <v>83</v>
      </c>
      <c r="I1226" s="4" t="s">
        <v>69</v>
      </c>
      <c r="J1226" s="4" t="s">
        <v>66</v>
      </c>
      <c r="K1226" s="4">
        <v>0</v>
      </c>
      <c r="L1226" s="94">
        <v>-58172</v>
      </c>
      <c r="M1226" s="94">
        <v>0</v>
      </c>
    </row>
    <row r="1227" spans="3:13" x14ac:dyDescent="0.3">
      <c r="C1227" t="s">
        <v>61</v>
      </c>
      <c r="D1227" t="s">
        <v>67</v>
      </c>
      <c r="E1227" t="s">
        <v>63</v>
      </c>
      <c r="F1227" t="s">
        <v>26</v>
      </c>
      <c r="G1227" s="4">
        <v>2</v>
      </c>
      <c r="H1227" s="4" t="s">
        <v>17</v>
      </c>
      <c r="I1227" s="4" t="s">
        <v>69</v>
      </c>
      <c r="J1227" s="4" t="s">
        <v>73</v>
      </c>
      <c r="K1227" s="4">
        <v>1</v>
      </c>
      <c r="L1227" s="94">
        <v>-7612</v>
      </c>
      <c r="M1227" s="94">
        <v>0</v>
      </c>
    </row>
    <row r="1228" spans="3:13" x14ac:dyDescent="0.3">
      <c r="C1228" t="s">
        <v>70</v>
      </c>
      <c r="D1228" t="s">
        <v>67</v>
      </c>
      <c r="E1228" t="s">
        <v>68</v>
      </c>
      <c r="F1228" t="s">
        <v>72</v>
      </c>
      <c r="G1228" s="4">
        <v>0</v>
      </c>
      <c r="H1228" s="4" t="s">
        <v>79</v>
      </c>
      <c r="I1228" s="4" t="s">
        <v>69</v>
      </c>
      <c r="J1228" s="4" t="s">
        <v>66</v>
      </c>
      <c r="K1228" s="4">
        <v>0</v>
      </c>
      <c r="L1228" s="94">
        <v>44338</v>
      </c>
      <c r="M1228" s="94">
        <v>0</v>
      </c>
    </row>
    <row r="1229" spans="3:13" x14ac:dyDescent="0.3">
      <c r="C1229" t="s">
        <v>71</v>
      </c>
      <c r="D1229" t="s">
        <v>67</v>
      </c>
      <c r="E1229" t="s">
        <v>68</v>
      </c>
      <c r="F1229" t="s">
        <v>25</v>
      </c>
      <c r="G1229" s="4">
        <v>2</v>
      </c>
      <c r="H1229" s="4" t="s">
        <v>17</v>
      </c>
      <c r="I1229" s="4" t="s">
        <v>69</v>
      </c>
      <c r="J1229" s="4" t="s">
        <v>66</v>
      </c>
      <c r="K1229" s="4">
        <v>0</v>
      </c>
      <c r="L1229" s="94">
        <v>21818</v>
      </c>
      <c r="M1229" s="94">
        <v>43636</v>
      </c>
    </row>
    <row r="1230" spans="3:13" x14ac:dyDescent="0.3">
      <c r="C1230" t="s">
        <v>71</v>
      </c>
      <c r="D1230" t="s">
        <v>67</v>
      </c>
      <c r="E1230" t="s">
        <v>63</v>
      </c>
      <c r="F1230" t="s">
        <v>25</v>
      </c>
      <c r="G1230" s="4">
        <v>10</v>
      </c>
      <c r="H1230" s="4" t="s">
        <v>75</v>
      </c>
      <c r="I1230" s="4" t="s">
        <v>69</v>
      </c>
      <c r="J1230" s="4" t="s">
        <v>66</v>
      </c>
      <c r="K1230" s="4">
        <v>0</v>
      </c>
      <c r="L1230" s="94">
        <v>-492084</v>
      </c>
      <c r="M1230" s="94">
        <v>0</v>
      </c>
    </row>
    <row r="1231" spans="3:13" x14ac:dyDescent="0.3">
      <c r="C1231" t="s">
        <v>61</v>
      </c>
      <c r="D1231" t="s">
        <v>67</v>
      </c>
      <c r="E1231" t="s">
        <v>63</v>
      </c>
      <c r="F1231" t="s">
        <v>72</v>
      </c>
      <c r="G1231" s="4">
        <v>2</v>
      </c>
      <c r="H1231" s="4" t="s">
        <v>12</v>
      </c>
      <c r="I1231" s="4" t="s">
        <v>69</v>
      </c>
      <c r="J1231" s="4" t="s">
        <v>66</v>
      </c>
      <c r="K1231" s="4">
        <v>0</v>
      </c>
      <c r="L1231" s="94">
        <v>-941</v>
      </c>
      <c r="M1231" s="94">
        <v>0</v>
      </c>
    </row>
    <row r="1232" spans="3:13" x14ac:dyDescent="0.3">
      <c r="C1232" t="s">
        <v>61</v>
      </c>
      <c r="D1232" t="s">
        <v>67</v>
      </c>
      <c r="E1232" t="s">
        <v>63</v>
      </c>
      <c r="F1232" t="s">
        <v>26</v>
      </c>
      <c r="G1232" s="4">
        <v>3</v>
      </c>
      <c r="H1232" s="4" t="s">
        <v>76</v>
      </c>
      <c r="I1232" s="4" t="s">
        <v>69</v>
      </c>
      <c r="J1232" s="4" t="s">
        <v>66</v>
      </c>
      <c r="K1232" s="4">
        <v>0</v>
      </c>
      <c r="L1232" s="94">
        <v>-143957</v>
      </c>
      <c r="M1232" s="94">
        <v>0</v>
      </c>
    </row>
    <row r="1233" spans="3:13" x14ac:dyDescent="0.3">
      <c r="C1233" t="s">
        <v>61</v>
      </c>
      <c r="D1233" t="s">
        <v>67</v>
      </c>
      <c r="E1233" t="s">
        <v>63</v>
      </c>
      <c r="F1233" t="s">
        <v>25</v>
      </c>
      <c r="G1233" s="4">
        <v>5</v>
      </c>
      <c r="H1233" s="4" t="s">
        <v>17</v>
      </c>
      <c r="I1233" s="4" t="s">
        <v>65</v>
      </c>
      <c r="J1233" s="4" t="s">
        <v>66</v>
      </c>
      <c r="K1233" s="4">
        <v>1</v>
      </c>
      <c r="L1233" s="94">
        <v>-28</v>
      </c>
      <c r="M1233" s="94">
        <v>0</v>
      </c>
    </row>
    <row r="1234" spans="3:13" x14ac:dyDescent="0.3">
      <c r="C1234" t="s">
        <v>70</v>
      </c>
      <c r="D1234" t="s">
        <v>67</v>
      </c>
      <c r="E1234" t="s">
        <v>63</v>
      </c>
      <c r="F1234" t="s">
        <v>72</v>
      </c>
      <c r="G1234" s="4">
        <v>4</v>
      </c>
      <c r="H1234" s="4" t="s">
        <v>18</v>
      </c>
      <c r="I1234" s="4" t="s">
        <v>69</v>
      </c>
      <c r="J1234" s="4" t="s">
        <v>66</v>
      </c>
      <c r="K1234" s="4">
        <v>0</v>
      </c>
      <c r="L1234" s="94">
        <v>-208302</v>
      </c>
      <c r="M1234" s="94">
        <v>0</v>
      </c>
    </row>
    <row r="1235" spans="3:13" x14ac:dyDescent="0.3">
      <c r="C1235" t="s">
        <v>61</v>
      </c>
      <c r="D1235" t="s">
        <v>67</v>
      </c>
      <c r="E1235" t="s">
        <v>68</v>
      </c>
      <c r="F1235" t="s">
        <v>26</v>
      </c>
      <c r="G1235" s="4">
        <v>1</v>
      </c>
      <c r="H1235" s="4" t="s">
        <v>81</v>
      </c>
      <c r="I1235" s="4" t="s">
        <v>69</v>
      </c>
      <c r="J1235" s="4" t="s">
        <v>66</v>
      </c>
      <c r="K1235" s="4">
        <v>0</v>
      </c>
      <c r="L1235" s="94">
        <v>4909</v>
      </c>
      <c r="M1235" s="94">
        <v>4909</v>
      </c>
    </row>
    <row r="1236" spans="3:13" x14ac:dyDescent="0.3">
      <c r="C1236" t="s">
        <v>61</v>
      </c>
      <c r="D1236" t="s">
        <v>67</v>
      </c>
      <c r="E1236" t="s">
        <v>68</v>
      </c>
      <c r="F1236" t="s">
        <v>25</v>
      </c>
      <c r="G1236" s="4">
        <v>3</v>
      </c>
      <c r="H1236" s="4" t="s">
        <v>14</v>
      </c>
      <c r="I1236" s="4" t="s">
        <v>69</v>
      </c>
      <c r="J1236" s="4" t="s">
        <v>66</v>
      </c>
      <c r="K1236" s="4">
        <v>1</v>
      </c>
      <c r="L1236" s="94">
        <v>1340215</v>
      </c>
      <c r="M1236" s="94">
        <v>4020645</v>
      </c>
    </row>
    <row r="1237" spans="3:13" x14ac:dyDescent="0.3">
      <c r="C1237" t="s">
        <v>71</v>
      </c>
      <c r="D1237" t="s">
        <v>67</v>
      </c>
      <c r="E1237" t="s">
        <v>68</v>
      </c>
      <c r="F1237" t="s">
        <v>25</v>
      </c>
      <c r="G1237" s="4">
        <v>6</v>
      </c>
      <c r="H1237" s="4" t="s">
        <v>12</v>
      </c>
      <c r="I1237" s="4" t="s">
        <v>69</v>
      </c>
      <c r="J1237" s="4" t="s">
        <v>66</v>
      </c>
      <c r="K1237" s="4">
        <v>1</v>
      </c>
      <c r="L1237" s="94">
        <v>659988</v>
      </c>
      <c r="M1237" s="94">
        <v>3959928</v>
      </c>
    </row>
    <row r="1238" spans="3:13" x14ac:dyDescent="0.3">
      <c r="C1238" t="s">
        <v>71</v>
      </c>
      <c r="D1238" t="s">
        <v>67</v>
      </c>
      <c r="E1238" t="s">
        <v>63</v>
      </c>
      <c r="F1238" t="s">
        <v>72</v>
      </c>
      <c r="G1238" s="4">
        <v>2</v>
      </c>
      <c r="H1238" s="4" t="s">
        <v>17</v>
      </c>
      <c r="I1238" s="4" t="s">
        <v>65</v>
      </c>
      <c r="J1238" s="4" t="s">
        <v>66</v>
      </c>
      <c r="K1238" s="4">
        <v>1</v>
      </c>
      <c r="L1238" s="94">
        <v>-7341</v>
      </c>
      <c r="M1238" s="94">
        <v>0</v>
      </c>
    </row>
    <row r="1239" spans="3:13" x14ac:dyDescent="0.3">
      <c r="C1239" t="s">
        <v>70</v>
      </c>
      <c r="D1239" t="s">
        <v>67</v>
      </c>
      <c r="E1239" t="s">
        <v>68</v>
      </c>
      <c r="F1239" t="s">
        <v>72</v>
      </c>
      <c r="G1239" s="4">
        <v>6</v>
      </c>
      <c r="H1239" s="4" t="s">
        <v>14</v>
      </c>
      <c r="I1239" s="4" t="s">
        <v>69</v>
      </c>
      <c r="J1239" s="4" t="s">
        <v>66</v>
      </c>
      <c r="K1239" s="4">
        <v>0</v>
      </c>
      <c r="L1239" s="94">
        <v>376048</v>
      </c>
      <c r="M1239" s="94">
        <v>2256288</v>
      </c>
    </row>
    <row r="1240" spans="3:13" x14ac:dyDescent="0.3">
      <c r="C1240" t="s">
        <v>61</v>
      </c>
      <c r="D1240" t="s">
        <v>67</v>
      </c>
      <c r="E1240" t="s">
        <v>63</v>
      </c>
      <c r="F1240" t="s">
        <v>25</v>
      </c>
      <c r="G1240" s="4">
        <v>5</v>
      </c>
      <c r="H1240" s="4" t="s">
        <v>83</v>
      </c>
      <c r="I1240" s="4" t="s">
        <v>69</v>
      </c>
      <c r="J1240" s="4" t="s">
        <v>66</v>
      </c>
      <c r="K1240" s="4">
        <v>0</v>
      </c>
      <c r="L1240" s="94">
        <v>-377</v>
      </c>
      <c r="M1240" s="94">
        <v>0</v>
      </c>
    </row>
    <row r="1241" spans="3:13" x14ac:dyDescent="0.3">
      <c r="C1241" t="s">
        <v>70</v>
      </c>
      <c r="D1241" t="s">
        <v>67</v>
      </c>
      <c r="E1241" t="s">
        <v>68</v>
      </c>
      <c r="F1241" t="s">
        <v>26</v>
      </c>
      <c r="G1241" s="4">
        <v>8</v>
      </c>
      <c r="H1241" s="4" t="s">
        <v>74</v>
      </c>
      <c r="I1241" s="4" t="s">
        <v>69</v>
      </c>
      <c r="J1241" s="4" t="s">
        <v>66</v>
      </c>
      <c r="K1241" s="4">
        <v>0</v>
      </c>
      <c r="L1241" s="94">
        <v>954746</v>
      </c>
      <c r="M1241" s="94">
        <v>7637968</v>
      </c>
    </row>
    <row r="1242" spans="3:13" x14ac:dyDescent="0.3">
      <c r="C1242" t="s">
        <v>71</v>
      </c>
      <c r="D1242" t="s">
        <v>67</v>
      </c>
      <c r="E1242" t="s">
        <v>68</v>
      </c>
      <c r="F1242" t="s">
        <v>72</v>
      </c>
      <c r="G1242" s="4">
        <v>-1</v>
      </c>
      <c r="H1242" s="4" t="s">
        <v>14</v>
      </c>
      <c r="I1242" s="4" t="s">
        <v>69</v>
      </c>
      <c r="J1242" s="4" t="s">
        <v>66</v>
      </c>
      <c r="K1242" s="4">
        <v>0</v>
      </c>
      <c r="L1242" s="94">
        <v>230842</v>
      </c>
      <c r="M1242" s="94">
        <v>0</v>
      </c>
    </row>
    <row r="1243" spans="3:13" x14ac:dyDescent="0.3">
      <c r="C1243" t="s">
        <v>71</v>
      </c>
      <c r="D1243" t="s">
        <v>67</v>
      </c>
      <c r="E1243" t="s">
        <v>68</v>
      </c>
      <c r="F1243" t="s">
        <v>26</v>
      </c>
      <c r="G1243" s="4">
        <v>1</v>
      </c>
      <c r="H1243" s="4" t="s">
        <v>12</v>
      </c>
      <c r="I1243" s="4" t="s">
        <v>69</v>
      </c>
      <c r="J1243" s="4" t="s">
        <v>66</v>
      </c>
      <c r="K1243" s="4">
        <v>0</v>
      </c>
      <c r="L1243" s="94">
        <v>166844</v>
      </c>
      <c r="M1243" s="94">
        <v>166844</v>
      </c>
    </row>
    <row r="1244" spans="3:13" x14ac:dyDescent="0.3">
      <c r="C1244" t="s">
        <v>71</v>
      </c>
      <c r="D1244" t="s">
        <v>62</v>
      </c>
      <c r="E1244" t="s">
        <v>68</v>
      </c>
      <c r="F1244" t="s">
        <v>24</v>
      </c>
      <c r="G1244" s="4">
        <v>29</v>
      </c>
      <c r="I1244" s="4" t="s">
        <v>65</v>
      </c>
      <c r="J1244" s="4" t="s">
        <v>66</v>
      </c>
      <c r="K1244" s="4">
        <v>1</v>
      </c>
      <c r="L1244" s="94">
        <v>230103</v>
      </c>
      <c r="M1244" s="94">
        <v>6672987</v>
      </c>
    </row>
    <row r="1245" spans="3:13" x14ac:dyDescent="0.3">
      <c r="C1245" t="s">
        <v>61</v>
      </c>
      <c r="D1245" t="s">
        <v>67</v>
      </c>
      <c r="E1245" t="s">
        <v>63</v>
      </c>
      <c r="F1245" t="s">
        <v>25</v>
      </c>
      <c r="G1245" s="4">
        <v>3</v>
      </c>
      <c r="H1245" s="4" t="s">
        <v>76</v>
      </c>
      <c r="I1245" s="4" t="s">
        <v>69</v>
      </c>
      <c r="J1245" s="4" t="s">
        <v>66</v>
      </c>
      <c r="K1245" s="4">
        <v>0</v>
      </c>
      <c r="L1245" s="94">
        <v>-71420</v>
      </c>
      <c r="M1245" s="94">
        <v>0</v>
      </c>
    </row>
    <row r="1246" spans="3:13" x14ac:dyDescent="0.3">
      <c r="C1246" t="s">
        <v>70</v>
      </c>
      <c r="D1246" t="s">
        <v>62</v>
      </c>
      <c r="E1246" t="s">
        <v>68</v>
      </c>
      <c r="F1246" t="s">
        <v>24</v>
      </c>
      <c r="G1246" s="4">
        <v>22</v>
      </c>
      <c r="I1246" s="4" t="s">
        <v>69</v>
      </c>
      <c r="J1246" s="4" t="s">
        <v>73</v>
      </c>
      <c r="K1246" s="4">
        <v>1</v>
      </c>
      <c r="L1246" s="94">
        <v>4150</v>
      </c>
      <c r="M1246" s="94">
        <v>91300</v>
      </c>
    </row>
    <row r="1247" spans="3:13" x14ac:dyDescent="0.3">
      <c r="C1247" t="s">
        <v>71</v>
      </c>
      <c r="D1247" t="s">
        <v>67</v>
      </c>
      <c r="E1247" t="s">
        <v>63</v>
      </c>
      <c r="F1247" t="s">
        <v>72</v>
      </c>
      <c r="G1247" s="4">
        <v>2</v>
      </c>
      <c r="H1247" s="4" t="s">
        <v>12</v>
      </c>
      <c r="I1247" s="4" t="s">
        <v>69</v>
      </c>
      <c r="J1247" s="4" t="s">
        <v>73</v>
      </c>
      <c r="K1247" s="4">
        <v>1</v>
      </c>
      <c r="L1247" s="94">
        <v>-7484</v>
      </c>
      <c r="M1247" s="94">
        <v>0</v>
      </c>
    </row>
    <row r="1248" spans="3:13" x14ac:dyDescent="0.3">
      <c r="C1248" t="s">
        <v>61</v>
      </c>
      <c r="D1248" t="s">
        <v>62</v>
      </c>
      <c r="E1248" t="s">
        <v>68</v>
      </c>
      <c r="F1248" t="s">
        <v>25</v>
      </c>
      <c r="G1248" s="4">
        <v>28</v>
      </c>
      <c r="I1248" s="4" t="s">
        <v>69</v>
      </c>
      <c r="J1248" s="4" t="s">
        <v>66</v>
      </c>
      <c r="K1248" s="4">
        <v>0</v>
      </c>
      <c r="L1248" s="94">
        <v>198153</v>
      </c>
      <c r="M1248" s="94">
        <v>5548284</v>
      </c>
    </row>
    <row r="1249" spans="3:13" x14ac:dyDescent="0.3">
      <c r="C1249" t="s">
        <v>70</v>
      </c>
      <c r="D1249" t="s">
        <v>67</v>
      </c>
      <c r="E1249" t="s">
        <v>68</v>
      </c>
      <c r="F1249" t="s">
        <v>26</v>
      </c>
      <c r="G1249" s="4">
        <v>2</v>
      </c>
      <c r="H1249" s="4" t="s">
        <v>80</v>
      </c>
      <c r="I1249" s="4" t="s">
        <v>69</v>
      </c>
      <c r="J1249" s="4" t="s">
        <v>66</v>
      </c>
      <c r="K1249" s="4">
        <v>0</v>
      </c>
      <c r="L1249" s="94">
        <v>823346</v>
      </c>
      <c r="M1249" s="94">
        <v>1646692</v>
      </c>
    </row>
    <row r="1250" spans="3:13" x14ac:dyDescent="0.3">
      <c r="C1250" t="s">
        <v>70</v>
      </c>
      <c r="D1250" t="s">
        <v>67</v>
      </c>
      <c r="E1250" t="s">
        <v>63</v>
      </c>
      <c r="F1250" t="s">
        <v>25</v>
      </c>
      <c r="G1250" s="4">
        <v>6</v>
      </c>
      <c r="H1250" s="4" t="s">
        <v>18</v>
      </c>
      <c r="I1250" s="4" t="s">
        <v>69</v>
      </c>
      <c r="J1250" s="4" t="s">
        <v>66</v>
      </c>
      <c r="K1250" s="4">
        <v>1</v>
      </c>
      <c r="L1250" s="94">
        <v>-27362</v>
      </c>
      <c r="M1250" s="94">
        <v>0</v>
      </c>
    </row>
    <row r="1251" spans="3:13" x14ac:dyDescent="0.3">
      <c r="C1251" t="s">
        <v>61</v>
      </c>
      <c r="D1251" t="s">
        <v>67</v>
      </c>
      <c r="E1251" t="s">
        <v>68</v>
      </c>
      <c r="F1251" t="s">
        <v>25</v>
      </c>
      <c r="G1251" s="4">
        <v>6</v>
      </c>
      <c r="H1251" s="4" t="s">
        <v>18</v>
      </c>
      <c r="I1251" s="4" t="s">
        <v>69</v>
      </c>
      <c r="J1251" s="4" t="s">
        <v>66</v>
      </c>
      <c r="K1251" s="4">
        <v>1</v>
      </c>
      <c r="L1251" s="94">
        <v>593305</v>
      </c>
      <c r="M1251" s="94">
        <v>3559830</v>
      </c>
    </row>
    <row r="1252" spans="3:13" x14ac:dyDescent="0.3">
      <c r="C1252" t="s">
        <v>70</v>
      </c>
      <c r="D1252" t="s">
        <v>67</v>
      </c>
      <c r="E1252" t="s">
        <v>63</v>
      </c>
      <c r="F1252" t="s">
        <v>72</v>
      </c>
      <c r="G1252" s="4">
        <v>-4</v>
      </c>
      <c r="H1252" s="4" t="s">
        <v>79</v>
      </c>
      <c r="I1252" s="4" t="s">
        <v>69</v>
      </c>
      <c r="J1252" s="4" t="s">
        <v>66</v>
      </c>
      <c r="K1252" s="4">
        <v>0</v>
      </c>
      <c r="L1252" s="94">
        <v>-150</v>
      </c>
      <c r="M1252" s="94">
        <v>0</v>
      </c>
    </row>
    <row r="1253" spans="3:13" x14ac:dyDescent="0.3">
      <c r="C1253" t="s">
        <v>70</v>
      </c>
      <c r="D1253" t="s">
        <v>67</v>
      </c>
      <c r="E1253" t="s">
        <v>63</v>
      </c>
      <c r="F1253" t="s">
        <v>26</v>
      </c>
      <c r="G1253" s="4">
        <v>0</v>
      </c>
      <c r="H1253" s="4" t="s">
        <v>87</v>
      </c>
      <c r="I1253" s="4" t="s">
        <v>69</v>
      </c>
      <c r="J1253" s="4" t="s">
        <v>66</v>
      </c>
      <c r="K1253" s="4">
        <v>0</v>
      </c>
      <c r="L1253" s="94">
        <v>-1983</v>
      </c>
      <c r="M1253" s="94">
        <v>0</v>
      </c>
    </row>
    <row r="1254" spans="3:13" x14ac:dyDescent="0.3">
      <c r="C1254" t="s">
        <v>61</v>
      </c>
      <c r="D1254" t="s">
        <v>67</v>
      </c>
      <c r="E1254" t="s">
        <v>63</v>
      </c>
      <c r="F1254" t="s">
        <v>26</v>
      </c>
      <c r="G1254" s="4">
        <v>0</v>
      </c>
      <c r="H1254" s="4" t="s">
        <v>12</v>
      </c>
      <c r="I1254" s="4" t="s">
        <v>69</v>
      </c>
      <c r="J1254" s="4" t="s">
        <v>73</v>
      </c>
      <c r="K1254" s="4">
        <v>1</v>
      </c>
      <c r="L1254" s="94">
        <v>-77548</v>
      </c>
      <c r="M1254" s="94">
        <v>0</v>
      </c>
    </row>
    <row r="1255" spans="3:13" x14ac:dyDescent="0.3">
      <c r="C1255" t="s">
        <v>71</v>
      </c>
      <c r="D1255" t="s">
        <v>67</v>
      </c>
      <c r="E1255" t="s">
        <v>63</v>
      </c>
      <c r="F1255" t="s">
        <v>72</v>
      </c>
      <c r="G1255" s="4">
        <v>1</v>
      </c>
      <c r="H1255" s="4" t="s">
        <v>80</v>
      </c>
      <c r="I1255" s="4" t="s">
        <v>69</v>
      </c>
      <c r="J1255" s="4" t="s">
        <v>66</v>
      </c>
      <c r="K1255" s="4">
        <v>0</v>
      </c>
      <c r="L1255" s="94">
        <v>-18181</v>
      </c>
      <c r="M1255" s="94">
        <v>0</v>
      </c>
    </row>
    <row r="1256" spans="3:13" x14ac:dyDescent="0.3">
      <c r="C1256" t="s">
        <v>70</v>
      </c>
      <c r="D1256" t="s">
        <v>67</v>
      </c>
      <c r="E1256" t="s">
        <v>68</v>
      </c>
      <c r="F1256" t="s">
        <v>26</v>
      </c>
      <c r="G1256" s="4">
        <v>0</v>
      </c>
      <c r="H1256" s="4" t="s">
        <v>64</v>
      </c>
      <c r="I1256" s="4" t="s">
        <v>69</v>
      </c>
      <c r="J1256" s="4" t="s">
        <v>66</v>
      </c>
      <c r="K1256" s="4">
        <v>0</v>
      </c>
      <c r="L1256" s="94">
        <v>1146083</v>
      </c>
      <c r="M1256" s="94">
        <v>0</v>
      </c>
    </row>
    <row r="1257" spans="3:13" x14ac:dyDescent="0.3">
      <c r="C1257" t="s">
        <v>70</v>
      </c>
      <c r="D1257" t="s">
        <v>67</v>
      </c>
      <c r="E1257" t="s">
        <v>68</v>
      </c>
      <c r="F1257" t="s">
        <v>72</v>
      </c>
      <c r="G1257" s="4">
        <v>1</v>
      </c>
      <c r="H1257" s="4" t="s">
        <v>16</v>
      </c>
      <c r="I1257" s="4" t="s">
        <v>69</v>
      </c>
      <c r="J1257" s="4" t="s">
        <v>66</v>
      </c>
      <c r="K1257" s="4">
        <v>0</v>
      </c>
      <c r="L1257" s="94">
        <v>48253</v>
      </c>
      <c r="M1257" s="94">
        <v>48253</v>
      </c>
    </row>
    <row r="1258" spans="3:13" x14ac:dyDescent="0.3">
      <c r="C1258" t="s">
        <v>61</v>
      </c>
      <c r="D1258" t="s">
        <v>67</v>
      </c>
      <c r="E1258" t="s">
        <v>63</v>
      </c>
      <c r="F1258" t="s">
        <v>26</v>
      </c>
      <c r="G1258" s="4">
        <v>0</v>
      </c>
      <c r="H1258" s="4" t="s">
        <v>17</v>
      </c>
      <c r="I1258" s="4" t="s">
        <v>65</v>
      </c>
      <c r="J1258" s="4" t="s">
        <v>66</v>
      </c>
      <c r="K1258" s="4">
        <v>1</v>
      </c>
      <c r="L1258" s="94">
        <v>-1596</v>
      </c>
      <c r="M1258" s="94">
        <v>0</v>
      </c>
    </row>
    <row r="1259" spans="3:13" x14ac:dyDescent="0.3">
      <c r="C1259" t="s">
        <v>61</v>
      </c>
      <c r="D1259" t="s">
        <v>67</v>
      </c>
      <c r="E1259" t="s">
        <v>63</v>
      </c>
      <c r="F1259" t="s">
        <v>72</v>
      </c>
      <c r="G1259" s="4">
        <v>6</v>
      </c>
      <c r="H1259" s="4" t="s">
        <v>12</v>
      </c>
      <c r="I1259" s="4" t="s">
        <v>69</v>
      </c>
      <c r="J1259" s="4" t="s">
        <v>66</v>
      </c>
      <c r="K1259" s="4">
        <v>0</v>
      </c>
      <c r="L1259" s="94">
        <v>-360</v>
      </c>
      <c r="M1259" s="94">
        <v>0</v>
      </c>
    </row>
    <row r="1260" spans="3:13" x14ac:dyDescent="0.3">
      <c r="C1260" t="s">
        <v>61</v>
      </c>
      <c r="D1260" t="s">
        <v>67</v>
      </c>
      <c r="E1260" t="s">
        <v>63</v>
      </c>
      <c r="F1260" t="s">
        <v>72</v>
      </c>
      <c r="G1260" s="4">
        <v>7</v>
      </c>
      <c r="H1260" s="4" t="s">
        <v>79</v>
      </c>
      <c r="I1260" s="4" t="s">
        <v>69</v>
      </c>
      <c r="J1260" s="4" t="s">
        <v>66</v>
      </c>
      <c r="K1260" s="4">
        <v>0</v>
      </c>
      <c r="L1260" s="94">
        <v>-9594</v>
      </c>
      <c r="M1260" s="94">
        <v>0</v>
      </c>
    </row>
    <row r="1261" spans="3:13" x14ac:dyDescent="0.3">
      <c r="C1261" t="s">
        <v>70</v>
      </c>
      <c r="D1261" t="s">
        <v>62</v>
      </c>
      <c r="E1261" t="s">
        <v>68</v>
      </c>
      <c r="F1261" t="s">
        <v>25</v>
      </c>
      <c r="G1261" s="4">
        <v>12</v>
      </c>
      <c r="I1261" s="4" t="s">
        <v>69</v>
      </c>
      <c r="J1261" s="4" t="s">
        <v>66</v>
      </c>
      <c r="K1261" s="4">
        <v>0</v>
      </c>
      <c r="L1261" s="94">
        <v>453405</v>
      </c>
      <c r="M1261" s="94">
        <v>5440860</v>
      </c>
    </row>
    <row r="1262" spans="3:13" x14ac:dyDescent="0.3">
      <c r="C1262" t="s">
        <v>61</v>
      </c>
      <c r="D1262" t="s">
        <v>67</v>
      </c>
      <c r="E1262" t="s">
        <v>68</v>
      </c>
      <c r="F1262" t="s">
        <v>25</v>
      </c>
      <c r="G1262" s="4">
        <v>11</v>
      </c>
      <c r="H1262" s="4" t="s">
        <v>80</v>
      </c>
      <c r="I1262" s="4" t="s">
        <v>69</v>
      </c>
      <c r="J1262" s="4" t="s">
        <v>66</v>
      </c>
      <c r="K1262" s="4">
        <v>0</v>
      </c>
      <c r="L1262" s="94">
        <v>547470</v>
      </c>
      <c r="M1262" s="94">
        <v>6022170</v>
      </c>
    </row>
    <row r="1263" spans="3:13" x14ac:dyDescent="0.3">
      <c r="C1263" t="s">
        <v>71</v>
      </c>
      <c r="D1263" t="s">
        <v>67</v>
      </c>
      <c r="E1263" t="s">
        <v>68</v>
      </c>
      <c r="F1263" t="s">
        <v>26</v>
      </c>
      <c r="G1263" s="4">
        <v>-1</v>
      </c>
      <c r="H1263" s="4" t="s">
        <v>18</v>
      </c>
      <c r="I1263" s="4" t="s">
        <v>65</v>
      </c>
      <c r="J1263" s="4" t="s">
        <v>66</v>
      </c>
      <c r="K1263" s="4">
        <v>1</v>
      </c>
      <c r="L1263" s="94">
        <v>7321</v>
      </c>
      <c r="M1263" s="94">
        <v>0</v>
      </c>
    </row>
    <row r="1264" spans="3:13" x14ac:dyDescent="0.3">
      <c r="C1264" t="s">
        <v>61</v>
      </c>
      <c r="D1264" t="s">
        <v>67</v>
      </c>
      <c r="E1264" t="s">
        <v>63</v>
      </c>
      <c r="F1264" t="s">
        <v>72</v>
      </c>
      <c r="G1264" s="4">
        <v>5</v>
      </c>
      <c r="H1264" s="4" t="s">
        <v>76</v>
      </c>
      <c r="I1264" s="4" t="s">
        <v>69</v>
      </c>
      <c r="J1264" s="4" t="s">
        <v>66</v>
      </c>
      <c r="K1264" s="4">
        <v>0</v>
      </c>
      <c r="L1264" s="94">
        <v>-3096</v>
      </c>
      <c r="M1264" s="94">
        <v>0</v>
      </c>
    </row>
    <row r="1265" spans="3:13" x14ac:dyDescent="0.3">
      <c r="C1265" t="s">
        <v>61</v>
      </c>
      <c r="D1265" t="s">
        <v>62</v>
      </c>
      <c r="E1265" t="s">
        <v>68</v>
      </c>
      <c r="F1265" t="s">
        <v>24</v>
      </c>
      <c r="G1265" s="4">
        <v>11</v>
      </c>
      <c r="I1265" s="4" t="s">
        <v>69</v>
      </c>
      <c r="J1265" s="4" t="s">
        <v>66</v>
      </c>
      <c r="K1265" s="4">
        <v>0</v>
      </c>
      <c r="L1265" s="94">
        <v>173100703</v>
      </c>
      <c r="M1265" s="94">
        <v>1904107733</v>
      </c>
    </row>
    <row r="1266" spans="3:13" x14ac:dyDescent="0.3">
      <c r="C1266" t="s">
        <v>61</v>
      </c>
      <c r="D1266" t="s">
        <v>67</v>
      </c>
      <c r="E1266" t="s">
        <v>63</v>
      </c>
      <c r="F1266" t="s">
        <v>26</v>
      </c>
      <c r="G1266" s="4">
        <v>-4</v>
      </c>
      <c r="H1266" s="4" t="s">
        <v>14</v>
      </c>
      <c r="I1266" s="4" t="s">
        <v>69</v>
      </c>
      <c r="J1266" s="4" t="s">
        <v>73</v>
      </c>
      <c r="K1266" s="4">
        <v>1</v>
      </c>
      <c r="L1266" s="94">
        <v>-37</v>
      </c>
      <c r="M1266" s="94">
        <v>0</v>
      </c>
    </row>
    <row r="1267" spans="3:13" x14ac:dyDescent="0.3">
      <c r="C1267" t="s">
        <v>70</v>
      </c>
      <c r="D1267" t="s">
        <v>67</v>
      </c>
      <c r="E1267" t="s">
        <v>63</v>
      </c>
      <c r="F1267" t="s">
        <v>72</v>
      </c>
      <c r="G1267" s="4">
        <v>3</v>
      </c>
      <c r="H1267" s="4" t="s">
        <v>18</v>
      </c>
      <c r="I1267" s="4" t="s">
        <v>69</v>
      </c>
      <c r="J1267" s="4" t="s">
        <v>66</v>
      </c>
      <c r="K1267" s="4">
        <v>0</v>
      </c>
      <c r="L1267" s="94">
        <v>-90422</v>
      </c>
      <c r="M1267" s="94">
        <v>0</v>
      </c>
    </row>
    <row r="1268" spans="3:13" x14ac:dyDescent="0.3">
      <c r="C1268" t="s">
        <v>71</v>
      </c>
      <c r="D1268" t="s">
        <v>67</v>
      </c>
      <c r="E1268" t="s">
        <v>68</v>
      </c>
      <c r="F1268" t="s">
        <v>25</v>
      </c>
      <c r="G1268" s="4">
        <v>-4</v>
      </c>
      <c r="H1268" s="4" t="s">
        <v>14</v>
      </c>
      <c r="I1268" s="4" t="s">
        <v>69</v>
      </c>
      <c r="J1268" s="4" t="s">
        <v>66</v>
      </c>
      <c r="K1268" s="4">
        <v>0</v>
      </c>
      <c r="L1268" s="94">
        <v>508338</v>
      </c>
      <c r="M1268" s="94">
        <v>0</v>
      </c>
    </row>
    <row r="1269" spans="3:13" x14ac:dyDescent="0.3">
      <c r="C1269" t="s">
        <v>70</v>
      </c>
      <c r="D1269" t="s">
        <v>67</v>
      </c>
      <c r="E1269" t="s">
        <v>68</v>
      </c>
      <c r="F1269" t="s">
        <v>26</v>
      </c>
      <c r="G1269" s="4">
        <v>3</v>
      </c>
      <c r="H1269" s="4" t="s">
        <v>16</v>
      </c>
      <c r="I1269" s="4" t="s">
        <v>69</v>
      </c>
      <c r="J1269" s="4" t="s">
        <v>66</v>
      </c>
      <c r="K1269" s="4">
        <v>0</v>
      </c>
      <c r="L1269" s="94">
        <v>912359</v>
      </c>
      <c r="M1269" s="94">
        <v>2737077</v>
      </c>
    </row>
    <row r="1270" spans="3:13" x14ac:dyDescent="0.3">
      <c r="C1270" t="s">
        <v>71</v>
      </c>
      <c r="D1270" t="s">
        <v>67</v>
      </c>
      <c r="E1270" t="s">
        <v>68</v>
      </c>
      <c r="F1270" t="s">
        <v>26</v>
      </c>
      <c r="G1270" s="4">
        <v>-4</v>
      </c>
      <c r="H1270" s="4" t="s">
        <v>78</v>
      </c>
      <c r="I1270" s="4" t="s">
        <v>69</v>
      </c>
      <c r="J1270" s="4" t="s">
        <v>66</v>
      </c>
      <c r="K1270" s="4">
        <v>0</v>
      </c>
      <c r="L1270" s="94">
        <v>59697</v>
      </c>
      <c r="M1270" s="94">
        <v>0</v>
      </c>
    </row>
    <row r="1271" spans="3:13" x14ac:dyDescent="0.3">
      <c r="C1271" t="s">
        <v>70</v>
      </c>
      <c r="D1271" t="s">
        <v>67</v>
      </c>
      <c r="E1271" t="s">
        <v>68</v>
      </c>
      <c r="F1271" t="s">
        <v>25</v>
      </c>
      <c r="G1271" s="4">
        <v>15</v>
      </c>
      <c r="H1271" s="4" t="s">
        <v>77</v>
      </c>
      <c r="I1271" s="4" t="s">
        <v>69</v>
      </c>
      <c r="J1271" s="4" t="s">
        <v>66</v>
      </c>
      <c r="K1271" s="4">
        <v>0</v>
      </c>
      <c r="L1271" s="94">
        <v>55605</v>
      </c>
      <c r="M1271" s="94">
        <v>834075</v>
      </c>
    </row>
    <row r="1272" spans="3:13" x14ac:dyDescent="0.3">
      <c r="C1272" t="s">
        <v>70</v>
      </c>
      <c r="D1272" t="s">
        <v>84</v>
      </c>
      <c r="E1272" t="s">
        <v>63</v>
      </c>
      <c r="F1272" t="s">
        <v>25</v>
      </c>
      <c r="G1272" s="4">
        <v>6</v>
      </c>
      <c r="H1272" s="4" t="s">
        <v>17</v>
      </c>
      <c r="I1272" s="4" t="s">
        <v>69</v>
      </c>
      <c r="J1272" s="4" t="s">
        <v>66</v>
      </c>
      <c r="K1272" s="4">
        <v>0</v>
      </c>
      <c r="L1272" s="94">
        <v>-3111</v>
      </c>
      <c r="M1272" s="94">
        <v>0</v>
      </c>
    </row>
    <row r="1273" spans="3:13" x14ac:dyDescent="0.3">
      <c r="C1273" t="s">
        <v>61</v>
      </c>
      <c r="D1273" t="s">
        <v>67</v>
      </c>
      <c r="E1273" t="s">
        <v>68</v>
      </c>
      <c r="F1273" t="s">
        <v>25</v>
      </c>
      <c r="G1273" s="4">
        <v>14</v>
      </c>
      <c r="H1273" s="4" t="s">
        <v>18</v>
      </c>
      <c r="I1273" s="4" t="s">
        <v>69</v>
      </c>
      <c r="J1273" s="4" t="s">
        <v>66</v>
      </c>
      <c r="K1273" s="4">
        <v>0</v>
      </c>
      <c r="L1273" s="94">
        <v>4092558</v>
      </c>
      <c r="M1273" s="94">
        <v>57295812</v>
      </c>
    </row>
    <row r="1274" spans="3:13" x14ac:dyDescent="0.3">
      <c r="C1274" t="s">
        <v>70</v>
      </c>
      <c r="D1274" t="s">
        <v>67</v>
      </c>
      <c r="E1274" t="s">
        <v>68</v>
      </c>
      <c r="F1274" t="s">
        <v>25</v>
      </c>
      <c r="G1274" s="4">
        <v>14</v>
      </c>
      <c r="H1274" s="4" t="s">
        <v>14</v>
      </c>
      <c r="I1274" s="4" t="s">
        <v>69</v>
      </c>
      <c r="J1274" s="4" t="s">
        <v>66</v>
      </c>
      <c r="K1274" s="4">
        <v>1</v>
      </c>
      <c r="L1274" s="94">
        <v>297691</v>
      </c>
      <c r="M1274" s="94">
        <v>4167674</v>
      </c>
    </row>
    <row r="1275" spans="3:13" x14ac:dyDescent="0.3">
      <c r="C1275" t="s">
        <v>61</v>
      </c>
      <c r="D1275" t="s">
        <v>84</v>
      </c>
      <c r="E1275" t="s">
        <v>63</v>
      </c>
      <c r="F1275" t="s">
        <v>25</v>
      </c>
      <c r="G1275" s="4">
        <v>6</v>
      </c>
      <c r="H1275" s="4" t="s">
        <v>18</v>
      </c>
      <c r="I1275" s="4" t="s">
        <v>69</v>
      </c>
      <c r="J1275" s="4" t="s">
        <v>66</v>
      </c>
      <c r="K1275" s="4">
        <v>0</v>
      </c>
      <c r="L1275" s="94">
        <v>-8441</v>
      </c>
      <c r="M1275" s="94">
        <v>0</v>
      </c>
    </row>
    <row r="1276" spans="3:13" x14ac:dyDescent="0.3">
      <c r="C1276" t="s">
        <v>61</v>
      </c>
      <c r="D1276" t="s">
        <v>67</v>
      </c>
      <c r="E1276" t="s">
        <v>68</v>
      </c>
      <c r="F1276" t="s">
        <v>26</v>
      </c>
      <c r="G1276" s="4">
        <v>3</v>
      </c>
      <c r="H1276" s="4" t="s">
        <v>82</v>
      </c>
      <c r="I1276" s="4" t="s">
        <v>69</v>
      </c>
      <c r="J1276" s="4" t="s">
        <v>73</v>
      </c>
      <c r="K1276" s="4">
        <v>1</v>
      </c>
      <c r="L1276" s="94">
        <v>2219599</v>
      </c>
      <c r="M1276" s="94">
        <v>6658797</v>
      </c>
    </row>
    <row r="1277" spans="3:13" x14ac:dyDescent="0.3">
      <c r="C1277" t="s">
        <v>71</v>
      </c>
      <c r="D1277" t="s">
        <v>67</v>
      </c>
      <c r="E1277" t="s">
        <v>63</v>
      </c>
      <c r="F1277" t="s">
        <v>26</v>
      </c>
      <c r="G1277" s="4">
        <v>-4</v>
      </c>
      <c r="H1277" s="4" t="s">
        <v>12</v>
      </c>
      <c r="I1277" s="4" t="s">
        <v>69</v>
      </c>
      <c r="J1277" s="4" t="s">
        <v>73</v>
      </c>
      <c r="K1277" s="4">
        <v>1</v>
      </c>
      <c r="L1277" s="94">
        <v>-198632</v>
      </c>
      <c r="M1277" s="94">
        <v>0</v>
      </c>
    </row>
    <row r="1278" spans="3:13" x14ac:dyDescent="0.3">
      <c r="C1278" t="s">
        <v>61</v>
      </c>
      <c r="D1278" t="s">
        <v>67</v>
      </c>
      <c r="E1278" t="s">
        <v>68</v>
      </c>
      <c r="F1278" t="s">
        <v>26</v>
      </c>
      <c r="G1278" s="4">
        <v>15</v>
      </c>
      <c r="H1278" s="4" t="s">
        <v>82</v>
      </c>
      <c r="I1278" s="4" t="s">
        <v>65</v>
      </c>
      <c r="J1278" s="4" t="s">
        <v>66</v>
      </c>
      <c r="K1278" s="4">
        <v>1</v>
      </c>
      <c r="L1278" s="94">
        <v>4551308</v>
      </c>
      <c r="M1278" s="94">
        <v>68269620</v>
      </c>
    </row>
    <row r="1279" spans="3:13" x14ac:dyDescent="0.3">
      <c r="C1279" t="s">
        <v>70</v>
      </c>
      <c r="D1279" t="s">
        <v>67</v>
      </c>
      <c r="E1279" t="s">
        <v>63</v>
      </c>
      <c r="F1279" t="s">
        <v>25</v>
      </c>
      <c r="G1279" s="4">
        <v>5</v>
      </c>
      <c r="H1279" s="4" t="s">
        <v>74</v>
      </c>
      <c r="I1279" s="4" t="s">
        <v>69</v>
      </c>
      <c r="J1279" s="4" t="s">
        <v>66</v>
      </c>
      <c r="K1279" s="4">
        <v>0</v>
      </c>
      <c r="L1279" s="94">
        <v>-5851</v>
      </c>
      <c r="M1279" s="94">
        <v>0</v>
      </c>
    </row>
    <row r="1280" spans="3:13" x14ac:dyDescent="0.3">
      <c r="C1280" t="s">
        <v>70</v>
      </c>
      <c r="D1280" t="s">
        <v>62</v>
      </c>
      <c r="E1280" t="s">
        <v>68</v>
      </c>
      <c r="F1280" t="s">
        <v>25</v>
      </c>
      <c r="G1280" s="4">
        <v>3</v>
      </c>
      <c r="I1280" s="4" t="s">
        <v>69</v>
      </c>
      <c r="J1280" s="4" t="s">
        <v>66</v>
      </c>
      <c r="K1280" s="4">
        <v>0</v>
      </c>
      <c r="L1280" s="94">
        <v>319263</v>
      </c>
      <c r="M1280" s="94">
        <v>957789</v>
      </c>
    </row>
    <row r="1281" spans="3:13" x14ac:dyDescent="0.3">
      <c r="C1281" t="s">
        <v>61</v>
      </c>
      <c r="D1281" t="s">
        <v>62</v>
      </c>
      <c r="E1281" t="s">
        <v>63</v>
      </c>
      <c r="F1281" t="s">
        <v>24</v>
      </c>
      <c r="G1281" s="4">
        <v>41</v>
      </c>
      <c r="I1281" s="4" t="s">
        <v>69</v>
      </c>
      <c r="J1281" s="4" t="s">
        <v>66</v>
      </c>
      <c r="K1281" s="4">
        <v>0</v>
      </c>
      <c r="L1281" s="94">
        <v>-13921</v>
      </c>
      <c r="M1281" s="94">
        <v>0</v>
      </c>
    </row>
    <row r="1282" spans="3:13" x14ac:dyDescent="0.3">
      <c r="C1282" t="s">
        <v>61</v>
      </c>
      <c r="D1282" t="s">
        <v>67</v>
      </c>
      <c r="E1282" t="s">
        <v>63</v>
      </c>
      <c r="F1282" t="s">
        <v>72</v>
      </c>
      <c r="G1282" s="4">
        <v>-4</v>
      </c>
      <c r="H1282" s="4" t="s">
        <v>79</v>
      </c>
      <c r="I1282" s="4" t="s">
        <v>69</v>
      </c>
      <c r="J1282" s="4" t="s">
        <v>66</v>
      </c>
      <c r="K1282" s="4">
        <v>0</v>
      </c>
      <c r="L1282" s="94">
        <v>-3</v>
      </c>
      <c r="M1282" s="94">
        <v>0</v>
      </c>
    </row>
    <row r="1283" spans="3:13" x14ac:dyDescent="0.3">
      <c r="C1283" t="s">
        <v>71</v>
      </c>
      <c r="D1283" t="s">
        <v>67</v>
      </c>
      <c r="E1283" t="s">
        <v>68</v>
      </c>
      <c r="F1283" t="s">
        <v>26</v>
      </c>
      <c r="G1283" s="4">
        <v>3</v>
      </c>
      <c r="H1283" s="4" t="s">
        <v>13</v>
      </c>
      <c r="I1283" s="4" t="s">
        <v>69</v>
      </c>
      <c r="J1283" s="4" t="s">
        <v>73</v>
      </c>
      <c r="K1283" s="4">
        <v>1</v>
      </c>
      <c r="L1283" s="94">
        <v>555563</v>
      </c>
      <c r="M1283" s="94">
        <v>1666689</v>
      </c>
    </row>
    <row r="1284" spans="3:13" x14ac:dyDescent="0.3">
      <c r="C1284" t="s">
        <v>70</v>
      </c>
      <c r="D1284" t="s">
        <v>62</v>
      </c>
      <c r="E1284" t="s">
        <v>68</v>
      </c>
      <c r="F1284" t="s">
        <v>25</v>
      </c>
      <c r="G1284" s="4">
        <v>6</v>
      </c>
      <c r="I1284" s="4" t="s">
        <v>65</v>
      </c>
      <c r="J1284" s="4" t="s">
        <v>66</v>
      </c>
      <c r="K1284" s="4">
        <v>1</v>
      </c>
      <c r="L1284" s="94">
        <v>43466</v>
      </c>
      <c r="M1284" s="94">
        <v>260796</v>
      </c>
    </row>
    <row r="1285" spans="3:13" x14ac:dyDescent="0.3">
      <c r="C1285" t="s">
        <v>71</v>
      </c>
      <c r="D1285" t="s">
        <v>67</v>
      </c>
      <c r="E1285" t="s">
        <v>68</v>
      </c>
      <c r="F1285" t="s">
        <v>72</v>
      </c>
      <c r="G1285" s="4">
        <v>2</v>
      </c>
      <c r="H1285" s="4" t="s">
        <v>74</v>
      </c>
      <c r="I1285" s="4" t="s">
        <v>69</v>
      </c>
      <c r="J1285" s="4" t="s">
        <v>66</v>
      </c>
      <c r="K1285" s="4">
        <v>0</v>
      </c>
      <c r="L1285" s="94">
        <v>18072</v>
      </c>
      <c r="M1285" s="94">
        <v>36144</v>
      </c>
    </row>
    <row r="1286" spans="3:13" x14ac:dyDescent="0.3">
      <c r="C1286" t="s">
        <v>70</v>
      </c>
      <c r="D1286" t="s">
        <v>67</v>
      </c>
      <c r="E1286" t="s">
        <v>68</v>
      </c>
      <c r="F1286" t="s">
        <v>72</v>
      </c>
      <c r="G1286" s="4">
        <v>3</v>
      </c>
      <c r="H1286" s="4" t="s">
        <v>64</v>
      </c>
      <c r="I1286" s="4" t="s">
        <v>69</v>
      </c>
      <c r="J1286" s="4" t="s">
        <v>66</v>
      </c>
      <c r="K1286" s="4">
        <v>0</v>
      </c>
      <c r="L1286" s="94">
        <v>730151</v>
      </c>
      <c r="M1286" s="94">
        <v>2190453</v>
      </c>
    </row>
    <row r="1287" spans="3:13" x14ac:dyDescent="0.3">
      <c r="C1287" t="s">
        <v>70</v>
      </c>
      <c r="D1287" t="s">
        <v>67</v>
      </c>
      <c r="E1287" t="s">
        <v>63</v>
      </c>
      <c r="F1287" t="s">
        <v>26</v>
      </c>
      <c r="G1287" s="4">
        <v>-1</v>
      </c>
      <c r="H1287" s="4" t="s">
        <v>12</v>
      </c>
      <c r="I1287" s="4" t="s">
        <v>65</v>
      </c>
      <c r="J1287" s="4" t="s">
        <v>73</v>
      </c>
      <c r="K1287" s="4">
        <v>1</v>
      </c>
      <c r="L1287" s="94">
        <v>-52631</v>
      </c>
      <c r="M1287" s="94">
        <v>0</v>
      </c>
    </row>
    <row r="1288" spans="3:13" x14ac:dyDescent="0.3">
      <c r="C1288" t="s">
        <v>71</v>
      </c>
      <c r="D1288" t="s">
        <v>67</v>
      </c>
      <c r="E1288" t="s">
        <v>63</v>
      </c>
      <c r="F1288" t="s">
        <v>25</v>
      </c>
      <c r="G1288" s="4">
        <v>-4</v>
      </c>
      <c r="H1288" s="4" t="s">
        <v>14</v>
      </c>
      <c r="I1288" s="4" t="s">
        <v>69</v>
      </c>
      <c r="J1288" s="4" t="s">
        <v>66</v>
      </c>
      <c r="K1288" s="4">
        <v>1</v>
      </c>
      <c r="L1288" s="94">
        <v>-1076870</v>
      </c>
      <c r="M1288" s="94">
        <v>0</v>
      </c>
    </row>
    <row r="1289" spans="3:13" x14ac:dyDescent="0.3">
      <c r="C1289" t="s">
        <v>71</v>
      </c>
      <c r="D1289" t="s">
        <v>67</v>
      </c>
      <c r="E1289" t="s">
        <v>63</v>
      </c>
      <c r="F1289" t="s">
        <v>26</v>
      </c>
      <c r="G1289" s="4">
        <v>0</v>
      </c>
      <c r="H1289" s="4" t="s">
        <v>14</v>
      </c>
      <c r="I1289" s="4" t="s">
        <v>69</v>
      </c>
      <c r="J1289" s="4" t="s">
        <v>73</v>
      </c>
      <c r="K1289" s="4">
        <v>1</v>
      </c>
      <c r="L1289" s="94">
        <v>-735756</v>
      </c>
      <c r="M1289" s="94">
        <v>0</v>
      </c>
    </row>
    <row r="1290" spans="3:13" x14ac:dyDescent="0.3">
      <c r="C1290" t="s">
        <v>61</v>
      </c>
      <c r="D1290" t="s">
        <v>67</v>
      </c>
      <c r="E1290" t="s">
        <v>68</v>
      </c>
      <c r="F1290" t="s">
        <v>25</v>
      </c>
      <c r="G1290" s="4">
        <v>-1</v>
      </c>
      <c r="H1290" s="4" t="s">
        <v>12</v>
      </c>
      <c r="I1290" s="4" t="s">
        <v>69</v>
      </c>
      <c r="J1290" s="4" t="s">
        <v>66</v>
      </c>
      <c r="K1290" s="4">
        <v>1</v>
      </c>
      <c r="L1290" s="94">
        <v>496125</v>
      </c>
      <c r="M1290" s="94">
        <v>0</v>
      </c>
    </row>
    <row r="1291" spans="3:13" x14ac:dyDescent="0.3">
      <c r="C1291" t="s">
        <v>61</v>
      </c>
      <c r="D1291" t="s">
        <v>67</v>
      </c>
      <c r="E1291" t="s">
        <v>63</v>
      </c>
      <c r="F1291" t="s">
        <v>25</v>
      </c>
      <c r="G1291" s="4">
        <v>11</v>
      </c>
      <c r="H1291" s="4" t="s">
        <v>14</v>
      </c>
      <c r="I1291" s="4" t="s">
        <v>69</v>
      </c>
      <c r="J1291" s="4" t="s">
        <v>66</v>
      </c>
      <c r="K1291" s="4">
        <v>1</v>
      </c>
      <c r="L1291" s="94">
        <v>-10587</v>
      </c>
      <c r="M1291" s="94">
        <v>0</v>
      </c>
    </row>
    <row r="1292" spans="3:13" x14ac:dyDescent="0.3">
      <c r="C1292" t="s">
        <v>61</v>
      </c>
      <c r="D1292" t="s">
        <v>67</v>
      </c>
      <c r="E1292" t="s">
        <v>68</v>
      </c>
      <c r="F1292" t="s">
        <v>25</v>
      </c>
      <c r="G1292" s="4">
        <v>9</v>
      </c>
      <c r="H1292" s="4" t="s">
        <v>74</v>
      </c>
      <c r="I1292" s="4" t="s">
        <v>69</v>
      </c>
      <c r="J1292" s="4" t="s">
        <v>66</v>
      </c>
      <c r="K1292" s="4">
        <v>0</v>
      </c>
      <c r="L1292" s="94">
        <v>5590754</v>
      </c>
      <c r="M1292" s="94">
        <v>50316786</v>
      </c>
    </row>
    <row r="1293" spans="3:13" x14ac:dyDescent="0.3">
      <c r="C1293" t="s">
        <v>70</v>
      </c>
      <c r="D1293" t="s">
        <v>67</v>
      </c>
      <c r="E1293" t="s">
        <v>63</v>
      </c>
      <c r="F1293" t="s">
        <v>26</v>
      </c>
      <c r="G1293" s="4">
        <v>3</v>
      </c>
      <c r="H1293" s="4" t="s">
        <v>14</v>
      </c>
      <c r="I1293" s="4" t="s">
        <v>69</v>
      </c>
      <c r="J1293" s="4" t="s">
        <v>73</v>
      </c>
      <c r="K1293" s="4">
        <v>1</v>
      </c>
      <c r="L1293" s="94">
        <v>-873807</v>
      </c>
      <c r="M1293" s="94">
        <v>0</v>
      </c>
    </row>
    <row r="1294" spans="3:13" x14ac:dyDescent="0.3">
      <c r="C1294" t="s">
        <v>70</v>
      </c>
      <c r="D1294" t="s">
        <v>67</v>
      </c>
      <c r="E1294" t="s">
        <v>63</v>
      </c>
      <c r="F1294" t="s">
        <v>25</v>
      </c>
      <c r="G1294" s="4">
        <v>13</v>
      </c>
      <c r="H1294" s="4" t="s">
        <v>17</v>
      </c>
      <c r="I1294" s="4" t="s">
        <v>69</v>
      </c>
      <c r="J1294" s="4" t="s">
        <v>66</v>
      </c>
      <c r="K1294" s="4">
        <v>0</v>
      </c>
      <c r="L1294" s="94">
        <v>-21311</v>
      </c>
      <c r="M1294" s="94">
        <v>0</v>
      </c>
    </row>
    <row r="1295" spans="3:13" x14ac:dyDescent="0.3">
      <c r="C1295" t="s">
        <v>71</v>
      </c>
      <c r="D1295" t="s">
        <v>67</v>
      </c>
      <c r="E1295" t="s">
        <v>68</v>
      </c>
      <c r="F1295" t="s">
        <v>25</v>
      </c>
      <c r="G1295" s="4">
        <v>-4</v>
      </c>
      <c r="H1295" s="4" t="s">
        <v>74</v>
      </c>
      <c r="I1295" s="4" t="s">
        <v>69</v>
      </c>
      <c r="J1295" s="4" t="s">
        <v>66</v>
      </c>
      <c r="K1295" s="4">
        <v>0</v>
      </c>
      <c r="L1295" s="94">
        <v>28621</v>
      </c>
      <c r="M1295" s="94">
        <v>0</v>
      </c>
    </row>
    <row r="1296" spans="3:13" x14ac:dyDescent="0.3">
      <c r="C1296" t="s">
        <v>61</v>
      </c>
      <c r="D1296" t="s">
        <v>67</v>
      </c>
      <c r="E1296" t="s">
        <v>68</v>
      </c>
      <c r="F1296" t="s">
        <v>25</v>
      </c>
      <c r="G1296" s="4">
        <v>5</v>
      </c>
      <c r="H1296" s="4" t="s">
        <v>77</v>
      </c>
      <c r="I1296" s="4" t="s">
        <v>69</v>
      </c>
      <c r="J1296" s="4" t="s">
        <v>66</v>
      </c>
      <c r="K1296" s="4">
        <v>0</v>
      </c>
      <c r="L1296" s="94">
        <v>1911853</v>
      </c>
      <c r="M1296" s="94">
        <v>9559265</v>
      </c>
    </row>
    <row r="1297" spans="3:13" x14ac:dyDescent="0.3">
      <c r="C1297" t="s">
        <v>61</v>
      </c>
      <c r="D1297" t="s">
        <v>67</v>
      </c>
      <c r="E1297" t="s">
        <v>63</v>
      </c>
      <c r="F1297" t="s">
        <v>26</v>
      </c>
      <c r="G1297" s="4">
        <v>7</v>
      </c>
      <c r="H1297" s="4" t="s">
        <v>12</v>
      </c>
      <c r="I1297" s="4" t="s">
        <v>69</v>
      </c>
      <c r="J1297" s="4" t="s">
        <v>73</v>
      </c>
      <c r="K1297" s="4">
        <v>1</v>
      </c>
      <c r="L1297" s="94">
        <v>-5441</v>
      </c>
      <c r="M1297" s="94">
        <v>0</v>
      </c>
    </row>
    <row r="1298" spans="3:13" x14ac:dyDescent="0.3">
      <c r="C1298" t="s">
        <v>61</v>
      </c>
      <c r="D1298" t="s">
        <v>84</v>
      </c>
      <c r="E1298" t="s">
        <v>63</v>
      </c>
      <c r="F1298" t="s">
        <v>25</v>
      </c>
      <c r="G1298" s="4">
        <v>11</v>
      </c>
      <c r="H1298" s="4" t="s">
        <v>75</v>
      </c>
      <c r="I1298" s="4" t="s">
        <v>69</v>
      </c>
      <c r="J1298" s="4" t="s">
        <v>66</v>
      </c>
      <c r="K1298" s="4">
        <v>0</v>
      </c>
      <c r="L1298" s="94">
        <v>-2057</v>
      </c>
      <c r="M1298" s="94">
        <v>0</v>
      </c>
    </row>
    <row r="1299" spans="3:13" x14ac:dyDescent="0.3">
      <c r="C1299" t="s">
        <v>70</v>
      </c>
      <c r="D1299" t="s">
        <v>67</v>
      </c>
      <c r="E1299" t="s">
        <v>68</v>
      </c>
      <c r="F1299" t="s">
        <v>26</v>
      </c>
      <c r="G1299" s="4">
        <v>3</v>
      </c>
      <c r="H1299" s="4" t="s">
        <v>81</v>
      </c>
      <c r="I1299" s="4" t="s">
        <v>69</v>
      </c>
      <c r="J1299" s="4" t="s">
        <v>66</v>
      </c>
      <c r="K1299" s="4">
        <v>0</v>
      </c>
      <c r="L1299" s="94">
        <v>223849</v>
      </c>
      <c r="M1299" s="94">
        <v>671547</v>
      </c>
    </row>
    <row r="1300" spans="3:13" x14ac:dyDescent="0.3">
      <c r="C1300" t="s">
        <v>61</v>
      </c>
      <c r="D1300" t="s">
        <v>67</v>
      </c>
      <c r="E1300" t="s">
        <v>68</v>
      </c>
      <c r="F1300" t="s">
        <v>26</v>
      </c>
      <c r="G1300" s="4">
        <v>5</v>
      </c>
      <c r="H1300" s="4" t="s">
        <v>82</v>
      </c>
      <c r="I1300" s="4" t="s">
        <v>69</v>
      </c>
      <c r="J1300" s="4" t="s">
        <v>73</v>
      </c>
      <c r="K1300" s="4">
        <v>1</v>
      </c>
      <c r="L1300" s="94">
        <v>78881</v>
      </c>
      <c r="M1300" s="94">
        <v>394405</v>
      </c>
    </row>
    <row r="1301" spans="3:13" x14ac:dyDescent="0.3">
      <c r="C1301" t="s">
        <v>61</v>
      </c>
      <c r="D1301" t="s">
        <v>62</v>
      </c>
      <c r="E1301" t="s">
        <v>68</v>
      </c>
      <c r="F1301" t="s">
        <v>25</v>
      </c>
      <c r="G1301" s="4">
        <v>21</v>
      </c>
      <c r="I1301" s="4" t="s">
        <v>65</v>
      </c>
      <c r="J1301" s="4" t="s">
        <v>66</v>
      </c>
      <c r="K1301" s="4">
        <v>1</v>
      </c>
      <c r="L1301" s="94">
        <v>11083</v>
      </c>
      <c r="M1301" s="94">
        <v>232743</v>
      </c>
    </row>
    <row r="1302" spans="3:13" x14ac:dyDescent="0.3">
      <c r="C1302" t="s">
        <v>61</v>
      </c>
      <c r="D1302" t="s">
        <v>62</v>
      </c>
      <c r="E1302" t="s">
        <v>63</v>
      </c>
      <c r="F1302" t="s">
        <v>24</v>
      </c>
      <c r="G1302" s="4">
        <v>2</v>
      </c>
      <c r="I1302" s="4" t="s">
        <v>65</v>
      </c>
      <c r="J1302" s="4" t="s">
        <v>66</v>
      </c>
      <c r="K1302" s="4">
        <v>1</v>
      </c>
      <c r="L1302" s="94">
        <v>-129</v>
      </c>
      <c r="M1302" s="94">
        <v>0</v>
      </c>
    </row>
    <row r="1303" spans="3:13" x14ac:dyDescent="0.3">
      <c r="C1303" t="s">
        <v>61</v>
      </c>
      <c r="D1303" t="s">
        <v>67</v>
      </c>
      <c r="E1303" t="s">
        <v>63</v>
      </c>
      <c r="F1303" t="s">
        <v>26</v>
      </c>
      <c r="G1303" s="4">
        <v>0</v>
      </c>
      <c r="H1303" s="4" t="s">
        <v>82</v>
      </c>
      <c r="I1303" s="4" t="s">
        <v>65</v>
      </c>
      <c r="J1303" s="4" t="s">
        <v>66</v>
      </c>
      <c r="K1303" s="4">
        <v>1</v>
      </c>
      <c r="L1303" s="94">
        <v>-14622</v>
      </c>
      <c r="M1303" s="94">
        <v>0</v>
      </c>
    </row>
    <row r="1304" spans="3:13" x14ac:dyDescent="0.3">
      <c r="C1304" t="s">
        <v>61</v>
      </c>
      <c r="D1304" t="s">
        <v>67</v>
      </c>
      <c r="E1304" t="s">
        <v>63</v>
      </c>
      <c r="F1304" t="s">
        <v>26</v>
      </c>
      <c r="G1304" s="4">
        <v>6</v>
      </c>
      <c r="H1304" s="4" t="s">
        <v>82</v>
      </c>
      <c r="I1304" s="4" t="s">
        <v>69</v>
      </c>
      <c r="J1304" s="4" t="s">
        <v>66</v>
      </c>
      <c r="K1304" s="4">
        <v>0</v>
      </c>
      <c r="L1304" s="94">
        <v>-2221</v>
      </c>
      <c r="M1304" s="94">
        <v>0</v>
      </c>
    </row>
    <row r="1305" spans="3:13" x14ac:dyDescent="0.3">
      <c r="C1305" t="s">
        <v>71</v>
      </c>
      <c r="D1305" t="s">
        <v>67</v>
      </c>
      <c r="E1305" t="s">
        <v>68</v>
      </c>
      <c r="F1305" t="s">
        <v>25</v>
      </c>
      <c r="G1305" s="4">
        <v>0</v>
      </c>
      <c r="H1305" s="4" t="s">
        <v>12</v>
      </c>
      <c r="I1305" s="4" t="s">
        <v>69</v>
      </c>
      <c r="J1305" s="4" t="s">
        <v>66</v>
      </c>
      <c r="K1305" s="4">
        <v>0</v>
      </c>
      <c r="L1305" s="94">
        <v>1806</v>
      </c>
      <c r="M1305" s="94">
        <v>0</v>
      </c>
    </row>
    <row r="1306" spans="3:13" x14ac:dyDescent="0.3">
      <c r="C1306" t="s">
        <v>61</v>
      </c>
      <c r="D1306" t="s">
        <v>67</v>
      </c>
      <c r="E1306" t="s">
        <v>63</v>
      </c>
      <c r="F1306" t="s">
        <v>25</v>
      </c>
      <c r="G1306" s="4">
        <v>21</v>
      </c>
      <c r="H1306" s="4" t="s">
        <v>79</v>
      </c>
      <c r="I1306" s="4" t="s">
        <v>69</v>
      </c>
      <c r="J1306" s="4" t="s">
        <v>66</v>
      </c>
      <c r="K1306" s="4">
        <v>0</v>
      </c>
      <c r="L1306" s="94">
        <v>-382</v>
      </c>
      <c r="M1306" s="94">
        <v>0</v>
      </c>
    </row>
    <row r="1307" spans="3:13" x14ac:dyDescent="0.3">
      <c r="C1307" t="s">
        <v>71</v>
      </c>
      <c r="D1307" t="s">
        <v>67</v>
      </c>
      <c r="E1307" t="s">
        <v>68</v>
      </c>
      <c r="F1307" t="s">
        <v>72</v>
      </c>
      <c r="G1307" s="4">
        <v>0</v>
      </c>
      <c r="H1307" s="4" t="s">
        <v>14</v>
      </c>
      <c r="I1307" s="4" t="s">
        <v>69</v>
      </c>
      <c r="J1307" s="4" t="s">
        <v>73</v>
      </c>
      <c r="K1307" s="4">
        <v>1</v>
      </c>
      <c r="L1307" s="94">
        <v>32335</v>
      </c>
      <c r="M1307" s="94">
        <v>0</v>
      </c>
    </row>
    <row r="1308" spans="3:13" x14ac:dyDescent="0.3">
      <c r="C1308" t="s">
        <v>70</v>
      </c>
      <c r="D1308" t="s">
        <v>67</v>
      </c>
      <c r="E1308" t="s">
        <v>68</v>
      </c>
      <c r="F1308" t="s">
        <v>72</v>
      </c>
      <c r="G1308" s="4">
        <v>2</v>
      </c>
      <c r="H1308" s="4" t="s">
        <v>12</v>
      </c>
      <c r="I1308" s="4" t="s">
        <v>69</v>
      </c>
      <c r="J1308" s="4" t="s">
        <v>73</v>
      </c>
      <c r="K1308" s="4">
        <v>1</v>
      </c>
      <c r="L1308" s="94">
        <v>234364</v>
      </c>
      <c r="M1308" s="94">
        <v>468728</v>
      </c>
    </row>
    <row r="1309" spans="3:13" x14ac:dyDescent="0.3">
      <c r="C1309" t="s">
        <v>70</v>
      </c>
      <c r="D1309" t="s">
        <v>67</v>
      </c>
      <c r="E1309" t="s">
        <v>68</v>
      </c>
      <c r="F1309" t="s">
        <v>26</v>
      </c>
      <c r="G1309" s="4">
        <v>4</v>
      </c>
      <c r="H1309" s="4" t="s">
        <v>17</v>
      </c>
      <c r="I1309" s="4" t="s">
        <v>69</v>
      </c>
      <c r="J1309" s="4" t="s">
        <v>66</v>
      </c>
      <c r="K1309" s="4">
        <v>0</v>
      </c>
      <c r="L1309" s="94">
        <v>5232925</v>
      </c>
      <c r="M1309" s="94">
        <v>20931700</v>
      </c>
    </row>
    <row r="1310" spans="3:13" x14ac:dyDescent="0.3">
      <c r="C1310" t="s">
        <v>70</v>
      </c>
      <c r="D1310" t="s">
        <v>67</v>
      </c>
      <c r="E1310" t="s">
        <v>68</v>
      </c>
      <c r="F1310" t="s">
        <v>25</v>
      </c>
      <c r="G1310" s="4">
        <v>8</v>
      </c>
      <c r="H1310" s="4" t="s">
        <v>64</v>
      </c>
      <c r="I1310" s="4" t="s">
        <v>69</v>
      </c>
      <c r="J1310" s="4" t="s">
        <v>66</v>
      </c>
      <c r="K1310" s="4">
        <v>0</v>
      </c>
      <c r="L1310" s="94">
        <v>501731</v>
      </c>
      <c r="M1310" s="94">
        <v>4013848</v>
      </c>
    </row>
    <row r="1311" spans="3:13" x14ac:dyDescent="0.3">
      <c r="C1311" t="s">
        <v>70</v>
      </c>
      <c r="D1311" t="s">
        <v>67</v>
      </c>
      <c r="E1311" t="s">
        <v>63</v>
      </c>
      <c r="F1311" t="s">
        <v>26</v>
      </c>
      <c r="G1311" s="4">
        <v>4</v>
      </c>
      <c r="H1311" s="4" t="s">
        <v>80</v>
      </c>
      <c r="I1311" s="4" t="s">
        <v>69</v>
      </c>
      <c r="J1311" s="4" t="s">
        <v>66</v>
      </c>
      <c r="K1311" s="4">
        <v>0</v>
      </c>
      <c r="L1311" s="94">
        <v>-20436</v>
      </c>
      <c r="M1311" s="94">
        <v>0</v>
      </c>
    </row>
    <row r="1312" spans="3:13" x14ac:dyDescent="0.3">
      <c r="C1312" t="s">
        <v>70</v>
      </c>
      <c r="D1312" t="s">
        <v>67</v>
      </c>
      <c r="E1312" t="s">
        <v>68</v>
      </c>
      <c r="F1312" t="s">
        <v>25</v>
      </c>
      <c r="G1312" s="4">
        <v>9</v>
      </c>
      <c r="H1312" s="4" t="s">
        <v>18</v>
      </c>
      <c r="I1312" s="4" t="s">
        <v>69</v>
      </c>
      <c r="J1312" s="4" t="s">
        <v>66</v>
      </c>
      <c r="K1312" s="4">
        <v>1</v>
      </c>
      <c r="L1312" s="94">
        <v>31500</v>
      </c>
      <c r="M1312" s="94">
        <v>283500</v>
      </c>
    </row>
    <row r="1313" spans="3:13" x14ac:dyDescent="0.3">
      <c r="C1313" t="s">
        <v>61</v>
      </c>
      <c r="D1313" t="s">
        <v>67</v>
      </c>
      <c r="E1313" t="s">
        <v>68</v>
      </c>
      <c r="F1313" t="s">
        <v>72</v>
      </c>
      <c r="G1313" s="4">
        <v>4</v>
      </c>
      <c r="H1313" s="4" t="s">
        <v>16</v>
      </c>
      <c r="I1313" s="4" t="s">
        <v>69</v>
      </c>
      <c r="J1313" s="4" t="s">
        <v>66</v>
      </c>
      <c r="K1313" s="4">
        <v>0</v>
      </c>
      <c r="L1313" s="94">
        <v>189966</v>
      </c>
      <c r="M1313" s="94">
        <v>759864</v>
      </c>
    </row>
    <row r="1314" spans="3:13" x14ac:dyDescent="0.3">
      <c r="C1314" t="s">
        <v>71</v>
      </c>
      <c r="D1314" t="s">
        <v>67</v>
      </c>
      <c r="E1314" t="s">
        <v>68</v>
      </c>
      <c r="F1314" t="s">
        <v>25</v>
      </c>
      <c r="G1314" s="4">
        <v>5</v>
      </c>
      <c r="H1314" s="4" t="s">
        <v>83</v>
      </c>
      <c r="I1314" s="4" t="s">
        <v>69</v>
      </c>
      <c r="J1314" s="4" t="s">
        <v>66</v>
      </c>
      <c r="K1314" s="4">
        <v>0</v>
      </c>
      <c r="L1314" s="94">
        <v>178819</v>
      </c>
      <c r="M1314" s="94">
        <v>894095</v>
      </c>
    </row>
    <row r="1315" spans="3:13" x14ac:dyDescent="0.3">
      <c r="C1315" t="s">
        <v>61</v>
      </c>
      <c r="D1315" t="s">
        <v>67</v>
      </c>
      <c r="E1315" t="s">
        <v>63</v>
      </c>
      <c r="F1315" t="s">
        <v>25</v>
      </c>
      <c r="G1315" s="4">
        <v>2</v>
      </c>
      <c r="H1315" s="4" t="s">
        <v>77</v>
      </c>
      <c r="I1315" s="4" t="s">
        <v>69</v>
      </c>
      <c r="J1315" s="4" t="s">
        <v>66</v>
      </c>
      <c r="K1315" s="4">
        <v>0</v>
      </c>
      <c r="L1315" s="94">
        <v>-153</v>
      </c>
      <c r="M1315" s="94">
        <v>0</v>
      </c>
    </row>
    <row r="1316" spans="3:13" x14ac:dyDescent="0.3">
      <c r="C1316" t="s">
        <v>70</v>
      </c>
      <c r="D1316" t="s">
        <v>67</v>
      </c>
      <c r="E1316" t="s">
        <v>68</v>
      </c>
      <c r="F1316" t="s">
        <v>72</v>
      </c>
      <c r="G1316" s="4">
        <v>0</v>
      </c>
      <c r="H1316" s="4" t="s">
        <v>12</v>
      </c>
      <c r="I1316" s="4" t="s">
        <v>69</v>
      </c>
      <c r="J1316" s="4" t="s">
        <v>66</v>
      </c>
      <c r="K1316" s="4">
        <v>0</v>
      </c>
      <c r="L1316" s="94">
        <v>30855</v>
      </c>
      <c r="M1316" s="94">
        <v>0</v>
      </c>
    </row>
    <row r="1317" spans="3:13" x14ac:dyDescent="0.3">
      <c r="C1317" t="s">
        <v>70</v>
      </c>
      <c r="D1317" t="s">
        <v>67</v>
      </c>
      <c r="E1317" t="s">
        <v>68</v>
      </c>
      <c r="F1317" t="s">
        <v>26</v>
      </c>
      <c r="G1317" s="4">
        <v>-1</v>
      </c>
      <c r="H1317" s="4" t="s">
        <v>76</v>
      </c>
      <c r="I1317" s="4" t="s">
        <v>69</v>
      </c>
      <c r="J1317" s="4" t="s">
        <v>66</v>
      </c>
      <c r="K1317" s="4">
        <v>0</v>
      </c>
      <c r="L1317" s="94">
        <v>8540686</v>
      </c>
      <c r="M1317" s="94">
        <v>0</v>
      </c>
    </row>
    <row r="1318" spans="3:13" x14ac:dyDescent="0.3">
      <c r="C1318" t="s">
        <v>61</v>
      </c>
      <c r="D1318" t="s">
        <v>67</v>
      </c>
      <c r="E1318" t="s">
        <v>68</v>
      </c>
      <c r="F1318" t="s">
        <v>72</v>
      </c>
      <c r="G1318" s="4">
        <v>-1</v>
      </c>
      <c r="H1318" s="4" t="s">
        <v>17</v>
      </c>
      <c r="I1318" s="4" t="s">
        <v>69</v>
      </c>
      <c r="J1318" s="4" t="s">
        <v>66</v>
      </c>
      <c r="K1318" s="4">
        <v>0</v>
      </c>
      <c r="L1318" s="94">
        <v>9653857</v>
      </c>
      <c r="M1318" s="94">
        <v>0</v>
      </c>
    </row>
    <row r="1319" spans="3:13" x14ac:dyDescent="0.3">
      <c r="C1319" t="s">
        <v>71</v>
      </c>
      <c r="D1319" t="s">
        <v>67</v>
      </c>
      <c r="E1319" t="s">
        <v>68</v>
      </c>
      <c r="F1319" t="s">
        <v>72</v>
      </c>
      <c r="G1319" s="4">
        <v>2</v>
      </c>
      <c r="H1319" s="4" t="s">
        <v>14</v>
      </c>
      <c r="I1319" s="4" t="s">
        <v>69</v>
      </c>
      <c r="J1319" s="4" t="s">
        <v>66</v>
      </c>
      <c r="K1319" s="4">
        <v>0</v>
      </c>
      <c r="L1319" s="94">
        <v>157933</v>
      </c>
      <c r="M1319" s="94">
        <v>315866</v>
      </c>
    </row>
    <row r="1320" spans="3:13" x14ac:dyDescent="0.3">
      <c r="C1320" t="s">
        <v>61</v>
      </c>
      <c r="D1320" t="s">
        <v>67</v>
      </c>
      <c r="E1320" t="s">
        <v>63</v>
      </c>
      <c r="F1320" t="s">
        <v>72</v>
      </c>
      <c r="G1320" s="4">
        <v>3</v>
      </c>
      <c r="H1320" s="4" t="s">
        <v>76</v>
      </c>
      <c r="I1320" s="4" t="s">
        <v>69</v>
      </c>
      <c r="J1320" s="4" t="s">
        <v>66</v>
      </c>
      <c r="K1320" s="4">
        <v>0</v>
      </c>
      <c r="L1320" s="94">
        <v>-4399</v>
      </c>
      <c r="M1320" s="94">
        <v>0</v>
      </c>
    </row>
    <row r="1321" spans="3:13" x14ac:dyDescent="0.3">
      <c r="C1321" t="s">
        <v>70</v>
      </c>
      <c r="D1321" t="s">
        <v>67</v>
      </c>
      <c r="E1321" t="s">
        <v>68</v>
      </c>
      <c r="F1321" t="s">
        <v>26</v>
      </c>
      <c r="G1321" s="4">
        <v>7</v>
      </c>
      <c r="H1321" s="4" t="s">
        <v>80</v>
      </c>
      <c r="I1321" s="4" t="s">
        <v>69</v>
      </c>
      <c r="J1321" s="4" t="s">
        <v>66</v>
      </c>
      <c r="K1321" s="4">
        <v>0</v>
      </c>
      <c r="L1321" s="94">
        <v>73763</v>
      </c>
      <c r="M1321" s="94">
        <v>516341</v>
      </c>
    </row>
    <row r="1322" spans="3:13" x14ac:dyDescent="0.3">
      <c r="C1322" t="s">
        <v>61</v>
      </c>
      <c r="D1322" t="s">
        <v>67</v>
      </c>
      <c r="E1322" t="s">
        <v>63</v>
      </c>
      <c r="F1322" t="s">
        <v>25</v>
      </c>
      <c r="G1322" s="4">
        <v>7</v>
      </c>
      <c r="H1322" s="4" t="s">
        <v>79</v>
      </c>
      <c r="I1322" s="4" t="s">
        <v>69</v>
      </c>
      <c r="J1322" s="4" t="s">
        <v>66</v>
      </c>
      <c r="K1322" s="4">
        <v>0</v>
      </c>
      <c r="L1322" s="94">
        <v>-7307</v>
      </c>
      <c r="M1322" s="94">
        <v>0</v>
      </c>
    </row>
    <row r="1323" spans="3:13" x14ac:dyDescent="0.3">
      <c r="C1323" t="s">
        <v>70</v>
      </c>
      <c r="D1323" t="s">
        <v>67</v>
      </c>
      <c r="E1323" t="s">
        <v>63</v>
      </c>
      <c r="F1323" t="s">
        <v>26</v>
      </c>
      <c r="G1323" s="4">
        <v>1</v>
      </c>
      <c r="H1323" s="4" t="s">
        <v>78</v>
      </c>
      <c r="I1323" s="4" t="s">
        <v>69</v>
      </c>
      <c r="J1323" s="4" t="s">
        <v>66</v>
      </c>
      <c r="K1323" s="4">
        <v>0</v>
      </c>
      <c r="L1323" s="94">
        <v>-28365</v>
      </c>
      <c r="M1323" s="94">
        <v>0</v>
      </c>
    </row>
    <row r="1324" spans="3:13" x14ac:dyDescent="0.3">
      <c r="C1324" t="s">
        <v>61</v>
      </c>
      <c r="D1324" t="s">
        <v>62</v>
      </c>
      <c r="E1324" t="s">
        <v>63</v>
      </c>
      <c r="F1324" t="s">
        <v>24</v>
      </c>
      <c r="G1324" s="4">
        <v>10</v>
      </c>
      <c r="I1324" s="4" t="s">
        <v>65</v>
      </c>
      <c r="J1324" s="4" t="s">
        <v>66</v>
      </c>
      <c r="K1324" s="4">
        <v>1</v>
      </c>
      <c r="L1324" s="94">
        <v>-863</v>
      </c>
      <c r="M1324" s="94">
        <v>0</v>
      </c>
    </row>
    <row r="1325" spans="3:13" x14ac:dyDescent="0.3">
      <c r="C1325" t="s">
        <v>61</v>
      </c>
      <c r="D1325" t="s">
        <v>67</v>
      </c>
      <c r="E1325" t="s">
        <v>63</v>
      </c>
      <c r="F1325" t="s">
        <v>25</v>
      </c>
      <c r="G1325" s="4">
        <v>1</v>
      </c>
      <c r="H1325" s="4" t="s">
        <v>17</v>
      </c>
      <c r="I1325" s="4" t="s">
        <v>69</v>
      </c>
      <c r="J1325" s="4" t="s">
        <v>66</v>
      </c>
      <c r="K1325" s="4">
        <v>1</v>
      </c>
      <c r="L1325" s="94">
        <v>-47</v>
      </c>
      <c r="M1325" s="94">
        <v>0</v>
      </c>
    </row>
    <row r="1326" spans="3:13" x14ac:dyDescent="0.3">
      <c r="C1326" t="s">
        <v>70</v>
      </c>
      <c r="D1326" t="s">
        <v>67</v>
      </c>
      <c r="E1326" t="s">
        <v>68</v>
      </c>
      <c r="F1326" t="s">
        <v>26</v>
      </c>
      <c r="G1326" s="4">
        <v>5</v>
      </c>
      <c r="H1326" s="4" t="s">
        <v>16</v>
      </c>
      <c r="I1326" s="4" t="s">
        <v>69</v>
      </c>
      <c r="J1326" s="4" t="s">
        <v>66</v>
      </c>
      <c r="K1326" s="4">
        <v>0</v>
      </c>
      <c r="L1326" s="94">
        <v>188672</v>
      </c>
      <c r="M1326" s="94">
        <v>943360</v>
      </c>
    </row>
    <row r="1327" spans="3:13" x14ac:dyDescent="0.3">
      <c r="C1327" t="s">
        <v>71</v>
      </c>
      <c r="D1327" t="s">
        <v>67</v>
      </c>
      <c r="E1327" t="s">
        <v>68</v>
      </c>
      <c r="F1327" t="s">
        <v>26</v>
      </c>
      <c r="G1327" s="4">
        <v>1</v>
      </c>
      <c r="H1327" s="4" t="s">
        <v>79</v>
      </c>
      <c r="I1327" s="4" t="s">
        <v>69</v>
      </c>
      <c r="J1327" s="4" t="s">
        <v>66</v>
      </c>
      <c r="K1327" s="4">
        <v>0</v>
      </c>
      <c r="L1327" s="94">
        <v>99088</v>
      </c>
      <c r="M1327" s="94">
        <v>99088</v>
      </c>
    </row>
    <row r="1328" spans="3:13" x14ac:dyDescent="0.3">
      <c r="C1328" t="s">
        <v>71</v>
      </c>
      <c r="D1328" t="s">
        <v>62</v>
      </c>
      <c r="E1328" t="s">
        <v>63</v>
      </c>
      <c r="F1328" t="s">
        <v>24</v>
      </c>
      <c r="G1328" s="4">
        <v>3</v>
      </c>
      <c r="I1328" s="4" t="s">
        <v>65</v>
      </c>
      <c r="J1328" s="4" t="s">
        <v>66</v>
      </c>
      <c r="K1328" s="4">
        <v>1</v>
      </c>
      <c r="L1328" s="94">
        <v>-437</v>
      </c>
      <c r="M1328" s="94">
        <v>0</v>
      </c>
    </row>
    <row r="1329" spans="3:13" x14ac:dyDescent="0.3">
      <c r="C1329" t="s">
        <v>61</v>
      </c>
      <c r="D1329" t="s">
        <v>62</v>
      </c>
      <c r="E1329" t="s">
        <v>63</v>
      </c>
      <c r="F1329" t="s">
        <v>24</v>
      </c>
      <c r="G1329" s="4">
        <v>38</v>
      </c>
      <c r="I1329" s="4" t="s">
        <v>65</v>
      </c>
      <c r="J1329" s="4" t="s">
        <v>66</v>
      </c>
      <c r="K1329" s="4">
        <v>1</v>
      </c>
      <c r="L1329" s="94">
        <v>-7151</v>
      </c>
      <c r="M1329" s="94">
        <v>0</v>
      </c>
    </row>
    <row r="1330" spans="3:13" x14ac:dyDescent="0.3">
      <c r="C1330" t="s">
        <v>61</v>
      </c>
      <c r="D1330" t="s">
        <v>67</v>
      </c>
      <c r="E1330" t="s">
        <v>68</v>
      </c>
      <c r="F1330" t="s">
        <v>26</v>
      </c>
      <c r="G1330" s="4">
        <v>15</v>
      </c>
      <c r="H1330" s="4" t="s">
        <v>12</v>
      </c>
      <c r="I1330" s="4" t="s">
        <v>69</v>
      </c>
      <c r="J1330" s="4" t="s">
        <v>73</v>
      </c>
      <c r="K1330" s="4">
        <v>1</v>
      </c>
      <c r="L1330" s="94">
        <v>1749456</v>
      </c>
      <c r="M1330" s="94">
        <v>26241840</v>
      </c>
    </row>
    <row r="1331" spans="3:13" x14ac:dyDescent="0.3">
      <c r="C1331" t="s">
        <v>70</v>
      </c>
      <c r="D1331" t="s">
        <v>62</v>
      </c>
      <c r="E1331" t="s">
        <v>63</v>
      </c>
      <c r="F1331" t="s">
        <v>24</v>
      </c>
      <c r="G1331" s="4">
        <v>18</v>
      </c>
      <c r="I1331" s="4" t="s">
        <v>69</v>
      </c>
      <c r="J1331" s="4" t="s">
        <v>66</v>
      </c>
      <c r="K1331" s="4">
        <v>0</v>
      </c>
      <c r="L1331" s="94">
        <v>-850215</v>
      </c>
      <c r="M1331" s="94">
        <v>0</v>
      </c>
    </row>
    <row r="1332" spans="3:13" x14ac:dyDescent="0.3">
      <c r="C1332" t="s">
        <v>71</v>
      </c>
      <c r="D1332" t="s">
        <v>67</v>
      </c>
      <c r="E1332" t="s">
        <v>63</v>
      </c>
      <c r="F1332" t="s">
        <v>26</v>
      </c>
      <c r="G1332" s="4">
        <v>7</v>
      </c>
      <c r="H1332" s="4" t="s">
        <v>14</v>
      </c>
      <c r="I1332" s="4" t="s">
        <v>69</v>
      </c>
      <c r="J1332" s="4" t="s">
        <v>73</v>
      </c>
      <c r="K1332" s="4">
        <v>1</v>
      </c>
      <c r="L1332" s="94">
        <v>-541307</v>
      </c>
      <c r="M1332" s="94">
        <v>0</v>
      </c>
    </row>
    <row r="1333" spans="3:13" x14ac:dyDescent="0.3">
      <c r="C1333" t="s">
        <v>61</v>
      </c>
      <c r="D1333" t="s">
        <v>67</v>
      </c>
      <c r="E1333" t="s">
        <v>68</v>
      </c>
      <c r="F1333" t="s">
        <v>25</v>
      </c>
      <c r="G1333" s="4">
        <v>14</v>
      </c>
      <c r="H1333" s="4" t="s">
        <v>76</v>
      </c>
      <c r="I1333" s="4" t="s">
        <v>69</v>
      </c>
      <c r="J1333" s="4" t="s">
        <v>66</v>
      </c>
      <c r="K1333" s="4">
        <v>0</v>
      </c>
      <c r="L1333" s="94">
        <v>83588589</v>
      </c>
      <c r="M1333" s="94">
        <v>1170240246</v>
      </c>
    </row>
    <row r="1334" spans="3:13" x14ac:dyDescent="0.3">
      <c r="C1334" t="s">
        <v>70</v>
      </c>
      <c r="D1334" t="s">
        <v>67</v>
      </c>
      <c r="E1334" t="s">
        <v>68</v>
      </c>
      <c r="F1334" t="s">
        <v>72</v>
      </c>
      <c r="G1334" s="4">
        <v>6</v>
      </c>
      <c r="H1334" s="4" t="s">
        <v>80</v>
      </c>
      <c r="I1334" s="4" t="s">
        <v>69</v>
      </c>
      <c r="J1334" s="4" t="s">
        <v>66</v>
      </c>
      <c r="K1334" s="4">
        <v>0</v>
      </c>
      <c r="L1334" s="94">
        <v>14784</v>
      </c>
      <c r="M1334" s="94">
        <v>88704</v>
      </c>
    </row>
    <row r="1335" spans="3:13" x14ac:dyDescent="0.3">
      <c r="C1335" t="s">
        <v>61</v>
      </c>
      <c r="D1335" t="s">
        <v>67</v>
      </c>
      <c r="E1335" t="s">
        <v>68</v>
      </c>
      <c r="F1335" t="s">
        <v>26</v>
      </c>
      <c r="G1335" s="4">
        <v>3</v>
      </c>
      <c r="H1335" s="4" t="s">
        <v>17</v>
      </c>
      <c r="I1335" s="4" t="s">
        <v>69</v>
      </c>
      <c r="J1335" s="4" t="s">
        <v>73</v>
      </c>
      <c r="K1335" s="4">
        <v>1</v>
      </c>
      <c r="L1335" s="94">
        <v>1370613</v>
      </c>
      <c r="M1335" s="94">
        <v>4111839</v>
      </c>
    </row>
    <row r="1336" spans="3:13" x14ac:dyDescent="0.3">
      <c r="C1336" t="s">
        <v>70</v>
      </c>
      <c r="D1336" t="s">
        <v>67</v>
      </c>
      <c r="E1336" t="s">
        <v>63</v>
      </c>
      <c r="F1336" t="s">
        <v>25</v>
      </c>
      <c r="G1336" s="4">
        <v>5</v>
      </c>
      <c r="H1336" s="4" t="s">
        <v>14</v>
      </c>
      <c r="I1336" s="4" t="s">
        <v>69</v>
      </c>
      <c r="J1336" s="4" t="s">
        <v>66</v>
      </c>
      <c r="K1336" s="4">
        <v>0</v>
      </c>
      <c r="L1336" s="94">
        <v>-106714</v>
      </c>
      <c r="M1336" s="94">
        <v>0</v>
      </c>
    </row>
    <row r="1337" spans="3:13" x14ac:dyDescent="0.3">
      <c r="C1337" t="s">
        <v>71</v>
      </c>
      <c r="D1337" t="s">
        <v>67</v>
      </c>
      <c r="E1337" t="s">
        <v>63</v>
      </c>
      <c r="F1337" t="s">
        <v>25</v>
      </c>
      <c r="G1337" s="4">
        <v>3</v>
      </c>
      <c r="H1337" s="4" t="s">
        <v>14</v>
      </c>
      <c r="I1337" s="4" t="s">
        <v>69</v>
      </c>
      <c r="J1337" s="4" t="s">
        <v>66</v>
      </c>
      <c r="K1337" s="4">
        <v>0</v>
      </c>
      <c r="L1337" s="94">
        <v>-262495</v>
      </c>
      <c r="M1337" s="94">
        <v>0</v>
      </c>
    </row>
    <row r="1338" spans="3:13" x14ac:dyDescent="0.3">
      <c r="C1338" t="s">
        <v>61</v>
      </c>
      <c r="D1338" t="s">
        <v>84</v>
      </c>
      <c r="E1338" t="s">
        <v>63</v>
      </c>
      <c r="F1338" t="s">
        <v>25</v>
      </c>
      <c r="G1338" s="4">
        <v>-1</v>
      </c>
      <c r="H1338" s="4" t="s">
        <v>81</v>
      </c>
      <c r="I1338" s="4" t="s">
        <v>69</v>
      </c>
      <c r="J1338" s="4" t="s">
        <v>66</v>
      </c>
      <c r="K1338" s="4">
        <v>0</v>
      </c>
      <c r="L1338" s="94">
        <v>-3314</v>
      </c>
      <c r="M1338" s="94">
        <v>0</v>
      </c>
    </row>
    <row r="1339" spans="3:13" x14ac:dyDescent="0.3">
      <c r="C1339" t="s">
        <v>61</v>
      </c>
      <c r="D1339" t="s">
        <v>67</v>
      </c>
      <c r="E1339" t="s">
        <v>68</v>
      </c>
      <c r="F1339" t="s">
        <v>25</v>
      </c>
      <c r="G1339" s="4">
        <v>12</v>
      </c>
      <c r="H1339" s="4" t="s">
        <v>76</v>
      </c>
      <c r="I1339" s="4" t="s">
        <v>69</v>
      </c>
      <c r="J1339" s="4" t="s">
        <v>66</v>
      </c>
      <c r="K1339" s="4">
        <v>0</v>
      </c>
      <c r="L1339" s="94">
        <v>88245624</v>
      </c>
      <c r="M1339" s="94">
        <v>1058947488</v>
      </c>
    </row>
    <row r="1340" spans="3:13" x14ac:dyDescent="0.3">
      <c r="C1340" t="s">
        <v>61</v>
      </c>
      <c r="D1340" t="s">
        <v>67</v>
      </c>
      <c r="E1340" t="s">
        <v>63</v>
      </c>
      <c r="F1340" t="s">
        <v>26</v>
      </c>
      <c r="G1340" s="4">
        <v>2</v>
      </c>
      <c r="H1340" s="4" t="s">
        <v>82</v>
      </c>
      <c r="I1340" s="4" t="s">
        <v>69</v>
      </c>
      <c r="J1340" s="4" t="s">
        <v>73</v>
      </c>
      <c r="K1340" s="4">
        <v>1</v>
      </c>
      <c r="L1340" s="94">
        <v>-246</v>
      </c>
      <c r="M1340" s="94">
        <v>0</v>
      </c>
    </row>
    <row r="1341" spans="3:13" x14ac:dyDescent="0.3">
      <c r="C1341" t="s">
        <v>71</v>
      </c>
      <c r="D1341" t="s">
        <v>62</v>
      </c>
      <c r="E1341" t="s">
        <v>68</v>
      </c>
      <c r="F1341" t="s">
        <v>24</v>
      </c>
      <c r="G1341" s="4">
        <v>24</v>
      </c>
      <c r="I1341" s="4" t="s">
        <v>65</v>
      </c>
      <c r="J1341" s="4" t="s">
        <v>66</v>
      </c>
      <c r="K1341" s="4">
        <v>1</v>
      </c>
      <c r="L1341" s="94">
        <v>11607</v>
      </c>
      <c r="M1341" s="94">
        <v>278568</v>
      </c>
    </row>
    <row r="1342" spans="3:13" x14ac:dyDescent="0.3">
      <c r="C1342" t="s">
        <v>70</v>
      </c>
      <c r="D1342" t="s">
        <v>67</v>
      </c>
      <c r="E1342" t="s">
        <v>68</v>
      </c>
      <c r="F1342" t="s">
        <v>26</v>
      </c>
      <c r="G1342" s="4">
        <v>2</v>
      </c>
      <c r="H1342" s="4" t="s">
        <v>14</v>
      </c>
      <c r="I1342" s="4" t="s">
        <v>69</v>
      </c>
      <c r="J1342" s="4" t="s">
        <v>66</v>
      </c>
      <c r="K1342" s="4">
        <v>0</v>
      </c>
      <c r="L1342" s="94">
        <v>11941466</v>
      </c>
      <c r="M1342" s="94">
        <v>23882932</v>
      </c>
    </row>
    <row r="1343" spans="3:13" x14ac:dyDescent="0.3">
      <c r="C1343" t="s">
        <v>61</v>
      </c>
      <c r="D1343" t="s">
        <v>67</v>
      </c>
      <c r="E1343" t="s">
        <v>63</v>
      </c>
      <c r="F1343" t="s">
        <v>25</v>
      </c>
      <c r="G1343" s="4">
        <v>13</v>
      </c>
      <c r="H1343" s="4" t="s">
        <v>74</v>
      </c>
      <c r="I1343" s="4" t="s">
        <v>65</v>
      </c>
      <c r="J1343" s="4" t="s">
        <v>66</v>
      </c>
      <c r="K1343" s="4">
        <v>1</v>
      </c>
      <c r="L1343" s="94">
        <v>-98</v>
      </c>
      <c r="M1343" s="94">
        <v>0</v>
      </c>
    </row>
    <row r="1344" spans="3:13" x14ac:dyDescent="0.3">
      <c r="C1344" t="s">
        <v>71</v>
      </c>
      <c r="D1344" t="s">
        <v>67</v>
      </c>
      <c r="E1344" t="s">
        <v>63</v>
      </c>
      <c r="F1344" t="s">
        <v>26</v>
      </c>
      <c r="G1344" s="4">
        <v>3</v>
      </c>
      <c r="H1344" s="4" t="s">
        <v>16</v>
      </c>
      <c r="I1344" s="4" t="s">
        <v>69</v>
      </c>
      <c r="J1344" s="4" t="s">
        <v>66</v>
      </c>
      <c r="K1344" s="4">
        <v>0</v>
      </c>
      <c r="L1344" s="94">
        <v>-335216</v>
      </c>
      <c r="M1344" s="94">
        <v>0</v>
      </c>
    </row>
    <row r="1345" spans="3:13" x14ac:dyDescent="0.3">
      <c r="C1345" t="s">
        <v>70</v>
      </c>
      <c r="D1345" t="s">
        <v>67</v>
      </c>
      <c r="E1345" t="s">
        <v>68</v>
      </c>
      <c r="F1345" t="s">
        <v>25</v>
      </c>
      <c r="G1345" s="4">
        <v>6</v>
      </c>
      <c r="H1345" s="4" t="s">
        <v>80</v>
      </c>
      <c r="I1345" s="4" t="s">
        <v>69</v>
      </c>
      <c r="J1345" s="4" t="s">
        <v>66</v>
      </c>
      <c r="K1345" s="4">
        <v>0</v>
      </c>
      <c r="L1345" s="94">
        <v>19108</v>
      </c>
      <c r="M1345" s="94">
        <v>114648</v>
      </c>
    </row>
    <row r="1346" spans="3:13" x14ac:dyDescent="0.3">
      <c r="C1346" t="s">
        <v>70</v>
      </c>
      <c r="D1346" t="s">
        <v>67</v>
      </c>
      <c r="E1346" t="s">
        <v>63</v>
      </c>
      <c r="F1346" t="s">
        <v>72</v>
      </c>
      <c r="G1346" s="4">
        <v>-4</v>
      </c>
      <c r="H1346" s="4" t="s">
        <v>12</v>
      </c>
      <c r="I1346" s="4" t="s">
        <v>69</v>
      </c>
      <c r="J1346" s="4" t="s">
        <v>66</v>
      </c>
      <c r="K1346" s="4">
        <v>0</v>
      </c>
      <c r="L1346" s="94">
        <v>-123</v>
      </c>
      <c r="M1346" s="94">
        <v>0</v>
      </c>
    </row>
    <row r="1347" spans="3:13" x14ac:dyDescent="0.3">
      <c r="C1347" t="s">
        <v>70</v>
      </c>
      <c r="D1347" t="s">
        <v>67</v>
      </c>
      <c r="E1347" t="s">
        <v>68</v>
      </c>
      <c r="F1347" t="s">
        <v>26</v>
      </c>
      <c r="G1347" s="4">
        <v>1</v>
      </c>
      <c r="H1347" s="4" t="s">
        <v>82</v>
      </c>
      <c r="I1347" s="4" t="s">
        <v>69</v>
      </c>
      <c r="J1347" s="4" t="s">
        <v>73</v>
      </c>
      <c r="K1347" s="4">
        <v>1</v>
      </c>
      <c r="L1347" s="94">
        <v>3720</v>
      </c>
      <c r="M1347" s="94">
        <v>3720</v>
      </c>
    </row>
    <row r="1348" spans="3:13" x14ac:dyDescent="0.3">
      <c r="C1348" t="s">
        <v>71</v>
      </c>
      <c r="D1348" t="s">
        <v>67</v>
      </c>
      <c r="E1348" t="s">
        <v>63</v>
      </c>
      <c r="F1348" t="s">
        <v>25</v>
      </c>
      <c r="G1348" s="4">
        <v>2</v>
      </c>
      <c r="H1348" s="4" t="s">
        <v>78</v>
      </c>
      <c r="I1348" s="4" t="s">
        <v>69</v>
      </c>
      <c r="J1348" s="4" t="s">
        <v>66</v>
      </c>
      <c r="K1348" s="4">
        <v>0</v>
      </c>
      <c r="L1348" s="94">
        <v>-15483</v>
      </c>
      <c r="M1348" s="94">
        <v>0</v>
      </c>
    </row>
    <row r="1349" spans="3:13" x14ac:dyDescent="0.3">
      <c r="C1349" t="s">
        <v>70</v>
      </c>
      <c r="D1349" t="s">
        <v>67</v>
      </c>
      <c r="E1349" t="s">
        <v>63</v>
      </c>
      <c r="F1349" t="s">
        <v>26</v>
      </c>
      <c r="G1349" s="4">
        <v>-4</v>
      </c>
      <c r="H1349" s="4" t="s">
        <v>18</v>
      </c>
      <c r="I1349" s="4" t="s">
        <v>69</v>
      </c>
      <c r="J1349" s="4" t="s">
        <v>66</v>
      </c>
      <c r="K1349" s="4">
        <v>0</v>
      </c>
      <c r="L1349" s="94">
        <v>-82023</v>
      </c>
      <c r="M1349" s="94">
        <v>0</v>
      </c>
    </row>
    <row r="1350" spans="3:13" x14ac:dyDescent="0.3">
      <c r="C1350" t="s">
        <v>70</v>
      </c>
      <c r="D1350" t="s">
        <v>67</v>
      </c>
      <c r="E1350" t="s">
        <v>68</v>
      </c>
      <c r="F1350" t="s">
        <v>26</v>
      </c>
      <c r="G1350" s="4">
        <v>9</v>
      </c>
      <c r="H1350" s="4" t="s">
        <v>18</v>
      </c>
      <c r="I1350" s="4" t="s">
        <v>69</v>
      </c>
      <c r="J1350" s="4" t="s">
        <v>66</v>
      </c>
      <c r="K1350" s="4">
        <v>0</v>
      </c>
      <c r="L1350" s="94">
        <v>755826</v>
      </c>
      <c r="M1350" s="94">
        <v>6802434</v>
      </c>
    </row>
    <row r="1351" spans="3:13" x14ac:dyDescent="0.3">
      <c r="C1351" t="s">
        <v>70</v>
      </c>
      <c r="D1351" t="s">
        <v>62</v>
      </c>
      <c r="E1351" t="s">
        <v>63</v>
      </c>
      <c r="F1351" t="s">
        <v>24</v>
      </c>
      <c r="G1351" s="4">
        <v>15</v>
      </c>
      <c r="I1351" s="4" t="s">
        <v>65</v>
      </c>
      <c r="J1351" s="4" t="s">
        <v>66</v>
      </c>
      <c r="K1351" s="4">
        <v>1</v>
      </c>
      <c r="L1351" s="94">
        <v>-9730</v>
      </c>
      <c r="M1351" s="94">
        <v>0</v>
      </c>
    </row>
    <row r="1352" spans="3:13" x14ac:dyDescent="0.3">
      <c r="C1352" t="s">
        <v>61</v>
      </c>
      <c r="D1352" t="s">
        <v>67</v>
      </c>
      <c r="E1352" t="s">
        <v>68</v>
      </c>
      <c r="F1352" t="s">
        <v>26</v>
      </c>
      <c r="G1352" s="4">
        <v>6</v>
      </c>
      <c r="H1352" s="4" t="s">
        <v>14</v>
      </c>
      <c r="I1352" s="4" t="s">
        <v>69</v>
      </c>
      <c r="J1352" s="4" t="s">
        <v>73</v>
      </c>
      <c r="K1352" s="4">
        <v>1</v>
      </c>
      <c r="L1352" s="94">
        <v>23474865</v>
      </c>
      <c r="M1352" s="94">
        <v>140849190</v>
      </c>
    </row>
    <row r="1353" spans="3:13" x14ac:dyDescent="0.3">
      <c r="C1353" t="s">
        <v>61</v>
      </c>
      <c r="D1353" t="s">
        <v>62</v>
      </c>
      <c r="E1353" t="s">
        <v>63</v>
      </c>
      <c r="F1353" t="s">
        <v>24</v>
      </c>
      <c r="G1353" s="4">
        <v>24</v>
      </c>
      <c r="I1353" s="4" t="s">
        <v>69</v>
      </c>
      <c r="J1353" s="4" t="s">
        <v>66</v>
      </c>
      <c r="K1353" s="4">
        <v>0</v>
      </c>
      <c r="L1353" s="94">
        <v>-295751</v>
      </c>
      <c r="M1353" s="94">
        <v>0</v>
      </c>
    </row>
    <row r="1354" spans="3:13" x14ac:dyDescent="0.3">
      <c r="C1354" t="s">
        <v>71</v>
      </c>
      <c r="D1354" t="s">
        <v>62</v>
      </c>
      <c r="E1354" t="s">
        <v>63</v>
      </c>
      <c r="F1354" t="s">
        <v>24</v>
      </c>
      <c r="G1354" s="4">
        <v>5</v>
      </c>
      <c r="I1354" s="4" t="s">
        <v>69</v>
      </c>
      <c r="J1354" s="4" t="s">
        <v>66</v>
      </c>
      <c r="K1354" s="4">
        <v>0</v>
      </c>
      <c r="L1354" s="94">
        <v>-448839</v>
      </c>
      <c r="M1354" s="94">
        <v>0</v>
      </c>
    </row>
    <row r="1355" spans="3:13" x14ac:dyDescent="0.3">
      <c r="C1355" t="s">
        <v>70</v>
      </c>
      <c r="D1355" t="s">
        <v>67</v>
      </c>
      <c r="E1355" t="s">
        <v>68</v>
      </c>
      <c r="F1355" t="s">
        <v>25</v>
      </c>
      <c r="G1355" s="4">
        <v>11</v>
      </c>
      <c r="H1355" s="4" t="s">
        <v>18</v>
      </c>
      <c r="I1355" s="4" t="s">
        <v>69</v>
      </c>
      <c r="J1355" s="4" t="s">
        <v>66</v>
      </c>
      <c r="K1355" s="4">
        <v>1</v>
      </c>
      <c r="L1355" s="94">
        <v>296892</v>
      </c>
      <c r="M1355" s="94">
        <v>3265812</v>
      </c>
    </row>
    <row r="1356" spans="3:13" x14ac:dyDescent="0.3">
      <c r="C1356" t="s">
        <v>71</v>
      </c>
      <c r="D1356" t="s">
        <v>67</v>
      </c>
      <c r="E1356" t="s">
        <v>63</v>
      </c>
      <c r="F1356" t="s">
        <v>72</v>
      </c>
      <c r="G1356" s="4">
        <v>2</v>
      </c>
      <c r="H1356" s="4" t="s">
        <v>82</v>
      </c>
      <c r="I1356" s="4" t="s">
        <v>65</v>
      </c>
      <c r="J1356" s="4" t="s">
        <v>66</v>
      </c>
      <c r="K1356" s="4">
        <v>1</v>
      </c>
      <c r="L1356" s="94">
        <v>-98041</v>
      </c>
      <c r="M1356" s="94">
        <v>0</v>
      </c>
    </row>
    <row r="1357" spans="3:13" x14ac:dyDescent="0.3">
      <c r="C1357" t="s">
        <v>70</v>
      </c>
      <c r="D1357" t="s">
        <v>67</v>
      </c>
      <c r="E1357" t="s">
        <v>68</v>
      </c>
      <c r="F1357" t="s">
        <v>72</v>
      </c>
      <c r="G1357" s="4">
        <v>6</v>
      </c>
      <c r="H1357" s="4" t="s">
        <v>74</v>
      </c>
      <c r="I1357" s="4" t="s">
        <v>69</v>
      </c>
      <c r="J1357" s="4" t="s">
        <v>66</v>
      </c>
      <c r="K1357" s="4">
        <v>0</v>
      </c>
      <c r="L1357" s="94">
        <v>263764</v>
      </c>
      <c r="M1357" s="94">
        <v>1582584</v>
      </c>
    </row>
    <row r="1358" spans="3:13" x14ac:dyDescent="0.3">
      <c r="C1358" t="s">
        <v>61</v>
      </c>
      <c r="D1358" t="s">
        <v>67</v>
      </c>
      <c r="E1358" t="s">
        <v>68</v>
      </c>
      <c r="F1358" t="s">
        <v>25</v>
      </c>
      <c r="G1358" s="4">
        <v>0</v>
      </c>
      <c r="H1358" s="4" t="s">
        <v>18</v>
      </c>
      <c r="I1358" s="4" t="s">
        <v>69</v>
      </c>
      <c r="J1358" s="4" t="s">
        <v>66</v>
      </c>
      <c r="K1358" s="4">
        <v>0</v>
      </c>
      <c r="L1358" s="94">
        <v>1500083</v>
      </c>
      <c r="M1358" s="94">
        <v>0</v>
      </c>
    </row>
    <row r="1359" spans="3:13" x14ac:dyDescent="0.3">
      <c r="C1359" t="s">
        <v>70</v>
      </c>
      <c r="D1359" t="s">
        <v>62</v>
      </c>
      <c r="E1359" t="s">
        <v>68</v>
      </c>
      <c r="F1359" t="s">
        <v>24</v>
      </c>
      <c r="G1359" s="4">
        <v>0</v>
      </c>
      <c r="I1359" s="4" t="s">
        <v>65</v>
      </c>
      <c r="J1359" s="4" t="s">
        <v>66</v>
      </c>
      <c r="K1359" s="4">
        <v>1</v>
      </c>
      <c r="L1359" s="94">
        <v>5860</v>
      </c>
      <c r="M1359" s="94">
        <v>0</v>
      </c>
    </row>
    <row r="1360" spans="3:13" x14ac:dyDescent="0.3">
      <c r="C1360" t="s">
        <v>70</v>
      </c>
      <c r="D1360" t="s">
        <v>67</v>
      </c>
      <c r="E1360" t="s">
        <v>68</v>
      </c>
      <c r="F1360" t="s">
        <v>26</v>
      </c>
      <c r="G1360" s="4">
        <v>6</v>
      </c>
      <c r="H1360" s="4" t="s">
        <v>64</v>
      </c>
      <c r="I1360" s="4" t="s">
        <v>69</v>
      </c>
      <c r="J1360" s="4" t="s">
        <v>66</v>
      </c>
      <c r="K1360" s="4">
        <v>0</v>
      </c>
      <c r="L1360" s="94">
        <v>218373</v>
      </c>
      <c r="M1360" s="94">
        <v>1310238</v>
      </c>
    </row>
    <row r="1361" spans="3:13" x14ac:dyDescent="0.3">
      <c r="C1361" t="s">
        <v>70</v>
      </c>
      <c r="D1361" t="s">
        <v>67</v>
      </c>
      <c r="E1361" t="s">
        <v>63</v>
      </c>
      <c r="F1361" t="s">
        <v>72</v>
      </c>
      <c r="G1361" s="4">
        <v>1</v>
      </c>
      <c r="H1361" s="4" t="s">
        <v>14</v>
      </c>
      <c r="I1361" s="4" t="s">
        <v>69</v>
      </c>
      <c r="J1361" s="4" t="s">
        <v>73</v>
      </c>
      <c r="K1361" s="4">
        <v>1</v>
      </c>
      <c r="L1361" s="94">
        <v>-39476</v>
      </c>
      <c r="M1361" s="94">
        <v>0</v>
      </c>
    </row>
    <row r="1362" spans="3:13" x14ac:dyDescent="0.3">
      <c r="C1362" t="s">
        <v>61</v>
      </c>
      <c r="D1362" t="s">
        <v>85</v>
      </c>
      <c r="E1362" t="s">
        <v>68</v>
      </c>
      <c r="F1362" t="s">
        <v>25</v>
      </c>
      <c r="G1362" s="4">
        <v>-4</v>
      </c>
      <c r="H1362" s="4" t="s">
        <v>81</v>
      </c>
      <c r="I1362" s="4" t="s">
        <v>69</v>
      </c>
      <c r="J1362" s="4" t="s">
        <v>66</v>
      </c>
      <c r="K1362" s="4">
        <v>0</v>
      </c>
      <c r="L1362" s="94">
        <v>29</v>
      </c>
      <c r="M1362" s="94">
        <v>0</v>
      </c>
    </row>
    <row r="1363" spans="3:13" x14ac:dyDescent="0.3">
      <c r="C1363" t="s">
        <v>70</v>
      </c>
      <c r="D1363" t="s">
        <v>67</v>
      </c>
      <c r="E1363" t="s">
        <v>63</v>
      </c>
      <c r="F1363" t="s">
        <v>72</v>
      </c>
      <c r="G1363" s="4">
        <v>6</v>
      </c>
      <c r="H1363" s="4" t="s">
        <v>79</v>
      </c>
      <c r="I1363" s="4" t="s">
        <v>69</v>
      </c>
      <c r="J1363" s="4" t="s">
        <v>66</v>
      </c>
      <c r="K1363" s="4">
        <v>0</v>
      </c>
      <c r="L1363" s="94">
        <v>-26502</v>
      </c>
      <c r="M1363" s="94">
        <v>0</v>
      </c>
    </row>
    <row r="1364" spans="3:13" x14ac:dyDescent="0.3">
      <c r="C1364" t="s">
        <v>71</v>
      </c>
      <c r="D1364" t="s">
        <v>62</v>
      </c>
      <c r="E1364" t="s">
        <v>68</v>
      </c>
      <c r="F1364" t="s">
        <v>24</v>
      </c>
      <c r="G1364" s="4">
        <v>20</v>
      </c>
      <c r="I1364" s="4" t="s">
        <v>69</v>
      </c>
      <c r="J1364" s="4" t="s">
        <v>66</v>
      </c>
      <c r="K1364" s="4">
        <v>1</v>
      </c>
      <c r="L1364" s="94">
        <v>76446</v>
      </c>
      <c r="M1364" s="94">
        <v>1528920</v>
      </c>
    </row>
    <row r="1365" spans="3:13" x14ac:dyDescent="0.3">
      <c r="C1365" t="s">
        <v>61</v>
      </c>
      <c r="D1365" t="s">
        <v>62</v>
      </c>
      <c r="E1365" t="s">
        <v>68</v>
      </c>
      <c r="F1365" t="s">
        <v>24</v>
      </c>
      <c r="G1365" s="4">
        <v>0</v>
      </c>
      <c r="I1365" s="4" t="s">
        <v>69</v>
      </c>
      <c r="J1365" s="4" t="s">
        <v>66</v>
      </c>
      <c r="K1365" s="4">
        <v>0</v>
      </c>
      <c r="L1365" s="94">
        <v>9168001</v>
      </c>
      <c r="M1365" s="94">
        <v>0</v>
      </c>
    </row>
    <row r="1366" spans="3:13" x14ac:dyDescent="0.3">
      <c r="C1366" t="s">
        <v>70</v>
      </c>
      <c r="D1366" t="s">
        <v>67</v>
      </c>
      <c r="E1366" t="s">
        <v>63</v>
      </c>
      <c r="F1366" t="s">
        <v>72</v>
      </c>
      <c r="G1366" s="4">
        <v>4</v>
      </c>
      <c r="H1366" s="4" t="s">
        <v>76</v>
      </c>
      <c r="I1366" s="4" t="s">
        <v>69</v>
      </c>
      <c r="J1366" s="4" t="s">
        <v>66</v>
      </c>
      <c r="K1366" s="4">
        <v>0</v>
      </c>
      <c r="L1366" s="94">
        <v>-56211</v>
      </c>
      <c r="M1366" s="94">
        <v>0</v>
      </c>
    </row>
    <row r="1367" spans="3:13" x14ac:dyDescent="0.3">
      <c r="C1367" t="s">
        <v>61</v>
      </c>
      <c r="D1367" t="s">
        <v>62</v>
      </c>
      <c r="E1367" t="s">
        <v>63</v>
      </c>
      <c r="F1367" t="s">
        <v>25</v>
      </c>
      <c r="G1367" s="4">
        <v>16</v>
      </c>
      <c r="I1367" s="4" t="s">
        <v>69</v>
      </c>
      <c r="J1367" s="4" t="s">
        <v>66</v>
      </c>
      <c r="K1367" s="4">
        <v>0</v>
      </c>
      <c r="L1367" s="94">
        <v>-1604</v>
      </c>
      <c r="M1367" s="94">
        <v>0</v>
      </c>
    </row>
    <row r="1368" spans="3:13" x14ac:dyDescent="0.3">
      <c r="C1368" t="s">
        <v>61</v>
      </c>
      <c r="D1368" t="s">
        <v>67</v>
      </c>
      <c r="E1368" t="s">
        <v>68</v>
      </c>
      <c r="F1368" t="s">
        <v>26</v>
      </c>
      <c r="G1368" s="4">
        <v>1</v>
      </c>
      <c r="H1368" s="4" t="s">
        <v>16</v>
      </c>
      <c r="I1368" s="4" t="s">
        <v>69</v>
      </c>
      <c r="J1368" s="4" t="s">
        <v>66</v>
      </c>
      <c r="K1368" s="4">
        <v>0</v>
      </c>
      <c r="L1368" s="94">
        <v>4586559</v>
      </c>
      <c r="M1368" s="94">
        <v>4586559</v>
      </c>
    </row>
    <row r="1369" spans="3:13" x14ac:dyDescent="0.3">
      <c r="C1369" t="s">
        <v>61</v>
      </c>
      <c r="D1369" t="s">
        <v>67</v>
      </c>
      <c r="E1369" t="s">
        <v>63</v>
      </c>
      <c r="F1369" t="s">
        <v>26</v>
      </c>
      <c r="G1369" s="4">
        <v>3</v>
      </c>
      <c r="H1369" s="4" t="s">
        <v>18</v>
      </c>
      <c r="I1369" s="4" t="s">
        <v>69</v>
      </c>
      <c r="J1369" s="4" t="s">
        <v>66</v>
      </c>
      <c r="K1369" s="4">
        <v>0</v>
      </c>
      <c r="L1369" s="94">
        <v>-362616</v>
      </c>
      <c r="M1369" s="94">
        <v>0</v>
      </c>
    </row>
    <row r="1370" spans="3:13" x14ac:dyDescent="0.3">
      <c r="C1370" t="s">
        <v>71</v>
      </c>
      <c r="D1370" t="s">
        <v>67</v>
      </c>
      <c r="E1370" t="s">
        <v>68</v>
      </c>
      <c r="F1370" t="s">
        <v>25</v>
      </c>
      <c r="G1370" s="4">
        <v>5</v>
      </c>
      <c r="H1370" s="4" t="s">
        <v>75</v>
      </c>
      <c r="I1370" s="4" t="s">
        <v>69</v>
      </c>
      <c r="J1370" s="4" t="s">
        <v>66</v>
      </c>
      <c r="K1370" s="4">
        <v>0</v>
      </c>
      <c r="L1370" s="94">
        <v>2533186</v>
      </c>
      <c r="M1370" s="94">
        <v>12665930</v>
      </c>
    </row>
    <row r="1371" spans="3:13" x14ac:dyDescent="0.3">
      <c r="C1371" t="s">
        <v>70</v>
      </c>
      <c r="D1371" t="s">
        <v>67</v>
      </c>
      <c r="E1371" t="s">
        <v>63</v>
      </c>
      <c r="F1371" t="s">
        <v>72</v>
      </c>
      <c r="G1371" s="4">
        <v>0</v>
      </c>
      <c r="H1371" s="4" t="s">
        <v>16</v>
      </c>
      <c r="I1371" s="4" t="s">
        <v>69</v>
      </c>
      <c r="J1371" s="4" t="s">
        <v>66</v>
      </c>
      <c r="K1371" s="4">
        <v>0</v>
      </c>
      <c r="L1371" s="94">
        <v>-110</v>
      </c>
      <c r="M1371" s="94">
        <v>0</v>
      </c>
    </row>
    <row r="1372" spans="3:13" x14ac:dyDescent="0.3">
      <c r="C1372" t="s">
        <v>70</v>
      </c>
      <c r="D1372" t="s">
        <v>62</v>
      </c>
      <c r="E1372" t="s">
        <v>68</v>
      </c>
      <c r="F1372" t="s">
        <v>24</v>
      </c>
      <c r="G1372" s="4">
        <v>55</v>
      </c>
      <c r="I1372" s="4" t="s">
        <v>69</v>
      </c>
      <c r="J1372" s="4" t="s">
        <v>66</v>
      </c>
      <c r="K1372" s="4">
        <v>0</v>
      </c>
      <c r="L1372" s="94">
        <v>143100</v>
      </c>
      <c r="M1372" s="94">
        <v>7870500</v>
      </c>
    </row>
    <row r="1373" spans="3:13" x14ac:dyDescent="0.3">
      <c r="C1373" t="s">
        <v>61</v>
      </c>
      <c r="D1373" t="s">
        <v>67</v>
      </c>
      <c r="E1373" t="s">
        <v>68</v>
      </c>
      <c r="F1373" t="s">
        <v>25</v>
      </c>
      <c r="G1373" s="4">
        <v>4</v>
      </c>
      <c r="H1373" s="4" t="s">
        <v>77</v>
      </c>
      <c r="I1373" s="4" t="s">
        <v>69</v>
      </c>
      <c r="J1373" s="4" t="s">
        <v>66</v>
      </c>
      <c r="K1373" s="4">
        <v>0</v>
      </c>
      <c r="L1373" s="94">
        <v>918631</v>
      </c>
      <c r="M1373" s="94">
        <v>3674524</v>
      </c>
    </row>
    <row r="1374" spans="3:13" x14ac:dyDescent="0.3">
      <c r="C1374" t="s">
        <v>71</v>
      </c>
      <c r="D1374" t="s">
        <v>67</v>
      </c>
      <c r="E1374" t="s">
        <v>63</v>
      </c>
      <c r="F1374" t="s">
        <v>72</v>
      </c>
      <c r="G1374" s="4">
        <v>-4</v>
      </c>
      <c r="H1374" s="4" t="s">
        <v>12</v>
      </c>
      <c r="I1374" s="4" t="s">
        <v>69</v>
      </c>
      <c r="J1374" s="4" t="s">
        <v>73</v>
      </c>
      <c r="K1374" s="4">
        <v>1</v>
      </c>
      <c r="L1374" s="94">
        <v>-47399</v>
      </c>
      <c r="M1374" s="94">
        <v>0</v>
      </c>
    </row>
    <row r="1375" spans="3:13" x14ac:dyDescent="0.3">
      <c r="C1375" t="s">
        <v>61</v>
      </c>
      <c r="D1375" t="s">
        <v>62</v>
      </c>
      <c r="E1375" t="s">
        <v>63</v>
      </c>
      <c r="F1375" t="s">
        <v>24</v>
      </c>
      <c r="G1375" s="4">
        <v>7</v>
      </c>
      <c r="I1375" s="4" t="s">
        <v>69</v>
      </c>
      <c r="J1375" s="4" t="s">
        <v>66</v>
      </c>
      <c r="K1375" s="4">
        <v>0</v>
      </c>
      <c r="L1375" s="94">
        <v>-57859</v>
      </c>
      <c r="M1375" s="94">
        <v>0</v>
      </c>
    </row>
    <row r="1376" spans="3:13" x14ac:dyDescent="0.3">
      <c r="C1376" t="s">
        <v>61</v>
      </c>
      <c r="D1376" t="s">
        <v>67</v>
      </c>
      <c r="E1376" t="s">
        <v>63</v>
      </c>
      <c r="F1376" t="s">
        <v>26</v>
      </c>
      <c r="G1376" s="4">
        <v>10</v>
      </c>
      <c r="H1376" s="4" t="s">
        <v>76</v>
      </c>
      <c r="I1376" s="4" t="s">
        <v>69</v>
      </c>
      <c r="J1376" s="4" t="s">
        <v>66</v>
      </c>
      <c r="K1376" s="4">
        <v>0</v>
      </c>
      <c r="L1376" s="94">
        <v>-4348</v>
      </c>
      <c r="M1376" s="94">
        <v>0</v>
      </c>
    </row>
    <row r="1377" spans="3:13" x14ac:dyDescent="0.3">
      <c r="C1377" t="s">
        <v>70</v>
      </c>
      <c r="D1377" t="s">
        <v>62</v>
      </c>
      <c r="E1377" t="s">
        <v>63</v>
      </c>
      <c r="F1377" t="s">
        <v>24</v>
      </c>
      <c r="G1377" s="4">
        <v>7</v>
      </c>
      <c r="I1377" s="4" t="s">
        <v>69</v>
      </c>
      <c r="J1377" s="4" t="s">
        <v>66</v>
      </c>
      <c r="K1377" s="4">
        <v>0</v>
      </c>
      <c r="L1377" s="94">
        <v>-311176</v>
      </c>
      <c r="M1377" s="94">
        <v>0</v>
      </c>
    </row>
    <row r="1378" spans="3:13" x14ac:dyDescent="0.3">
      <c r="C1378" t="s">
        <v>70</v>
      </c>
      <c r="D1378" t="s">
        <v>67</v>
      </c>
      <c r="E1378" t="s">
        <v>68</v>
      </c>
      <c r="F1378" t="s">
        <v>26</v>
      </c>
      <c r="G1378" s="4">
        <v>6</v>
      </c>
      <c r="H1378" s="4" t="s">
        <v>75</v>
      </c>
      <c r="I1378" s="4" t="s">
        <v>69</v>
      </c>
      <c r="J1378" s="4" t="s">
        <v>66</v>
      </c>
      <c r="K1378" s="4">
        <v>0</v>
      </c>
      <c r="L1378" s="94">
        <v>85496</v>
      </c>
      <c r="M1378" s="94">
        <v>512976</v>
      </c>
    </row>
    <row r="1379" spans="3:13" x14ac:dyDescent="0.3">
      <c r="C1379" t="s">
        <v>71</v>
      </c>
      <c r="D1379" t="s">
        <v>62</v>
      </c>
      <c r="E1379" t="s">
        <v>68</v>
      </c>
      <c r="F1379" t="s">
        <v>24</v>
      </c>
      <c r="G1379" s="4">
        <v>26</v>
      </c>
      <c r="I1379" s="4" t="s">
        <v>69</v>
      </c>
      <c r="J1379" s="4" t="s">
        <v>66</v>
      </c>
      <c r="K1379" s="4">
        <v>1</v>
      </c>
      <c r="L1379" s="94">
        <v>122619</v>
      </c>
      <c r="M1379" s="94">
        <v>3188094</v>
      </c>
    </row>
    <row r="1380" spans="3:13" x14ac:dyDescent="0.3">
      <c r="C1380" t="s">
        <v>61</v>
      </c>
      <c r="D1380" t="s">
        <v>62</v>
      </c>
      <c r="E1380" t="s">
        <v>63</v>
      </c>
      <c r="F1380" t="s">
        <v>24</v>
      </c>
      <c r="G1380" s="4">
        <v>5</v>
      </c>
      <c r="I1380" s="4" t="s">
        <v>69</v>
      </c>
      <c r="J1380" s="4" t="s">
        <v>66</v>
      </c>
      <c r="K1380" s="4">
        <v>0</v>
      </c>
      <c r="L1380" s="94">
        <v>-37064</v>
      </c>
      <c r="M1380" s="94">
        <v>0</v>
      </c>
    </row>
    <row r="1381" spans="3:13" x14ac:dyDescent="0.3">
      <c r="C1381" t="s">
        <v>70</v>
      </c>
      <c r="D1381" t="s">
        <v>67</v>
      </c>
      <c r="E1381" t="s">
        <v>68</v>
      </c>
      <c r="F1381" t="s">
        <v>26</v>
      </c>
      <c r="G1381" s="4">
        <v>8</v>
      </c>
      <c r="H1381" s="4" t="s">
        <v>12</v>
      </c>
      <c r="I1381" s="4" t="s">
        <v>69</v>
      </c>
      <c r="J1381" s="4" t="s">
        <v>66</v>
      </c>
      <c r="K1381" s="4">
        <v>0</v>
      </c>
      <c r="L1381" s="94">
        <v>173250</v>
      </c>
      <c r="M1381" s="94">
        <v>1386000</v>
      </c>
    </row>
    <row r="1382" spans="3:13" x14ac:dyDescent="0.3">
      <c r="C1382" t="s">
        <v>61</v>
      </c>
      <c r="D1382" t="s">
        <v>67</v>
      </c>
      <c r="E1382" t="s">
        <v>63</v>
      </c>
      <c r="F1382" t="s">
        <v>26</v>
      </c>
      <c r="G1382" s="4">
        <v>5</v>
      </c>
      <c r="H1382" s="4" t="s">
        <v>83</v>
      </c>
      <c r="I1382" s="4" t="s">
        <v>69</v>
      </c>
      <c r="J1382" s="4" t="s">
        <v>66</v>
      </c>
      <c r="K1382" s="4">
        <v>0</v>
      </c>
      <c r="L1382" s="94">
        <v>-545</v>
      </c>
      <c r="M1382" s="94">
        <v>0</v>
      </c>
    </row>
    <row r="1383" spans="3:13" x14ac:dyDescent="0.3">
      <c r="C1383" t="s">
        <v>70</v>
      </c>
      <c r="D1383" t="s">
        <v>67</v>
      </c>
      <c r="E1383" t="s">
        <v>63</v>
      </c>
      <c r="F1383" t="s">
        <v>26</v>
      </c>
      <c r="G1383" s="4">
        <v>5</v>
      </c>
      <c r="H1383" s="4" t="s">
        <v>17</v>
      </c>
      <c r="I1383" s="4" t="s">
        <v>69</v>
      </c>
      <c r="J1383" s="4" t="s">
        <v>73</v>
      </c>
      <c r="K1383" s="4">
        <v>1</v>
      </c>
      <c r="L1383" s="94">
        <v>-202</v>
      </c>
      <c r="M1383" s="94">
        <v>0</v>
      </c>
    </row>
    <row r="1384" spans="3:13" x14ac:dyDescent="0.3">
      <c r="C1384" t="s">
        <v>61</v>
      </c>
      <c r="D1384" t="s">
        <v>67</v>
      </c>
      <c r="E1384" t="s">
        <v>63</v>
      </c>
      <c r="F1384" t="s">
        <v>25</v>
      </c>
      <c r="G1384" s="4">
        <v>3</v>
      </c>
      <c r="H1384" s="4" t="s">
        <v>16</v>
      </c>
      <c r="I1384" s="4" t="s">
        <v>69</v>
      </c>
      <c r="J1384" s="4" t="s">
        <v>66</v>
      </c>
      <c r="K1384" s="4">
        <v>0</v>
      </c>
      <c r="L1384" s="94">
        <v>-27</v>
      </c>
      <c r="M1384" s="94">
        <v>0</v>
      </c>
    </row>
    <row r="1385" spans="3:13" x14ac:dyDescent="0.3">
      <c r="C1385" t="s">
        <v>70</v>
      </c>
      <c r="D1385" t="s">
        <v>62</v>
      </c>
      <c r="E1385" t="s">
        <v>68</v>
      </c>
      <c r="F1385" t="s">
        <v>24</v>
      </c>
      <c r="G1385" s="4">
        <v>43</v>
      </c>
      <c r="I1385" s="4" t="s">
        <v>69</v>
      </c>
      <c r="J1385" s="4" t="s">
        <v>66</v>
      </c>
      <c r="K1385" s="4">
        <v>0</v>
      </c>
      <c r="L1385" s="94">
        <v>1890061</v>
      </c>
      <c r="M1385" s="94">
        <v>81272623</v>
      </c>
    </row>
    <row r="1386" spans="3:13" x14ac:dyDescent="0.3">
      <c r="C1386" t="s">
        <v>71</v>
      </c>
      <c r="D1386" t="s">
        <v>62</v>
      </c>
      <c r="E1386" t="s">
        <v>63</v>
      </c>
      <c r="F1386" t="s">
        <v>24</v>
      </c>
      <c r="G1386" s="4">
        <v>11</v>
      </c>
      <c r="I1386" s="4" t="s">
        <v>65</v>
      </c>
      <c r="J1386" s="4" t="s">
        <v>66</v>
      </c>
      <c r="K1386" s="4">
        <v>1</v>
      </c>
      <c r="L1386" s="94">
        <v>-17580</v>
      </c>
      <c r="M1386" s="94">
        <v>0</v>
      </c>
    </row>
    <row r="1387" spans="3:13" x14ac:dyDescent="0.3">
      <c r="C1387" t="s">
        <v>61</v>
      </c>
      <c r="D1387" t="s">
        <v>67</v>
      </c>
      <c r="E1387" t="s">
        <v>63</v>
      </c>
      <c r="F1387" t="s">
        <v>72</v>
      </c>
      <c r="G1387" s="4">
        <v>-4</v>
      </c>
      <c r="H1387" s="4" t="s">
        <v>14</v>
      </c>
      <c r="I1387" s="4" t="s">
        <v>69</v>
      </c>
      <c r="J1387" s="4" t="s">
        <v>66</v>
      </c>
      <c r="K1387" s="4">
        <v>0</v>
      </c>
      <c r="L1387" s="94">
        <v>-3</v>
      </c>
      <c r="M1387" s="94">
        <v>0</v>
      </c>
    </row>
    <row r="1388" spans="3:13" x14ac:dyDescent="0.3">
      <c r="C1388" t="s">
        <v>61</v>
      </c>
      <c r="D1388" t="s">
        <v>67</v>
      </c>
      <c r="E1388" t="s">
        <v>68</v>
      </c>
      <c r="F1388" t="s">
        <v>25</v>
      </c>
      <c r="G1388" s="4">
        <v>4</v>
      </c>
      <c r="H1388" s="4" t="s">
        <v>82</v>
      </c>
      <c r="I1388" s="4" t="s">
        <v>69</v>
      </c>
      <c r="J1388" s="4" t="s">
        <v>66</v>
      </c>
      <c r="K1388" s="4">
        <v>0</v>
      </c>
      <c r="L1388" s="94">
        <v>7295343</v>
      </c>
      <c r="M1388" s="94">
        <v>29181372</v>
      </c>
    </row>
    <row r="1389" spans="3:13" x14ac:dyDescent="0.3">
      <c r="C1389" t="s">
        <v>70</v>
      </c>
      <c r="D1389" t="s">
        <v>67</v>
      </c>
      <c r="E1389" t="s">
        <v>63</v>
      </c>
      <c r="F1389" t="s">
        <v>25</v>
      </c>
      <c r="G1389" s="4">
        <v>7</v>
      </c>
      <c r="H1389" s="4" t="s">
        <v>75</v>
      </c>
      <c r="I1389" s="4" t="s">
        <v>69</v>
      </c>
      <c r="J1389" s="4" t="s">
        <v>66</v>
      </c>
      <c r="K1389" s="4">
        <v>0</v>
      </c>
      <c r="L1389" s="94">
        <v>-346486</v>
      </c>
      <c r="M1389" s="94">
        <v>0</v>
      </c>
    </row>
    <row r="1390" spans="3:13" x14ac:dyDescent="0.3">
      <c r="C1390" t="s">
        <v>61</v>
      </c>
      <c r="D1390" t="s">
        <v>67</v>
      </c>
      <c r="E1390" t="s">
        <v>63</v>
      </c>
      <c r="F1390" t="s">
        <v>72</v>
      </c>
      <c r="G1390" s="4">
        <v>2</v>
      </c>
      <c r="H1390" s="4" t="s">
        <v>74</v>
      </c>
      <c r="I1390" s="4" t="s">
        <v>69</v>
      </c>
      <c r="J1390" s="4" t="s">
        <v>66</v>
      </c>
      <c r="K1390" s="4">
        <v>0</v>
      </c>
      <c r="L1390" s="94">
        <v>-4329</v>
      </c>
      <c r="M1390" s="94">
        <v>0</v>
      </c>
    </row>
    <row r="1391" spans="3:13" x14ac:dyDescent="0.3">
      <c r="C1391" t="s">
        <v>71</v>
      </c>
      <c r="D1391" t="s">
        <v>67</v>
      </c>
      <c r="E1391" t="s">
        <v>68</v>
      </c>
      <c r="F1391" t="s">
        <v>26</v>
      </c>
      <c r="G1391" s="4">
        <v>9</v>
      </c>
      <c r="H1391" s="4" t="s">
        <v>13</v>
      </c>
      <c r="I1391" s="4" t="s">
        <v>69</v>
      </c>
      <c r="J1391" s="4" t="s">
        <v>73</v>
      </c>
      <c r="K1391" s="4">
        <v>1</v>
      </c>
      <c r="L1391" s="94">
        <v>177956</v>
      </c>
      <c r="M1391" s="94">
        <v>1601604</v>
      </c>
    </row>
    <row r="1392" spans="3:13" x14ac:dyDescent="0.3">
      <c r="C1392" t="s">
        <v>71</v>
      </c>
      <c r="D1392" t="s">
        <v>67</v>
      </c>
      <c r="E1392" t="s">
        <v>63</v>
      </c>
      <c r="F1392" t="s">
        <v>72</v>
      </c>
      <c r="G1392" s="4">
        <v>-4</v>
      </c>
      <c r="H1392" s="4" t="s">
        <v>14</v>
      </c>
      <c r="I1392" s="4" t="s">
        <v>69</v>
      </c>
      <c r="J1392" s="4" t="s">
        <v>73</v>
      </c>
      <c r="K1392" s="4">
        <v>1</v>
      </c>
      <c r="L1392" s="94">
        <v>-413283</v>
      </c>
      <c r="M1392" s="94">
        <v>0</v>
      </c>
    </row>
    <row r="1393" spans="3:13" x14ac:dyDescent="0.3">
      <c r="C1393" t="s">
        <v>61</v>
      </c>
      <c r="D1393" t="s">
        <v>67</v>
      </c>
      <c r="E1393" t="s">
        <v>63</v>
      </c>
      <c r="F1393" t="s">
        <v>25</v>
      </c>
      <c r="G1393" s="4">
        <v>7</v>
      </c>
      <c r="H1393" s="4" t="s">
        <v>74</v>
      </c>
      <c r="I1393" s="4" t="s">
        <v>69</v>
      </c>
      <c r="J1393" s="4" t="s">
        <v>66</v>
      </c>
      <c r="K1393" s="4">
        <v>0</v>
      </c>
      <c r="L1393" s="94">
        <v>-13454</v>
      </c>
      <c r="M1393" s="94">
        <v>0</v>
      </c>
    </row>
    <row r="1394" spans="3:13" x14ac:dyDescent="0.3">
      <c r="C1394" t="s">
        <v>71</v>
      </c>
      <c r="D1394" t="s">
        <v>67</v>
      </c>
      <c r="E1394" t="s">
        <v>63</v>
      </c>
      <c r="F1394" t="s">
        <v>25</v>
      </c>
      <c r="G1394" s="4">
        <v>4</v>
      </c>
      <c r="H1394" s="4" t="s">
        <v>14</v>
      </c>
      <c r="I1394" s="4" t="s">
        <v>69</v>
      </c>
      <c r="J1394" s="4" t="s">
        <v>66</v>
      </c>
      <c r="K1394" s="4">
        <v>1</v>
      </c>
      <c r="L1394" s="94">
        <v>-30442</v>
      </c>
      <c r="M1394" s="94">
        <v>0</v>
      </c>
    </row>
    <row r="1395" spans="3:13" x14ac:dyDescent="0.3">
      <c r="C1395" t="s">
        <v>61</v>
      </c>
      <c r="D1395" t="s">
        <v>62</v>
      </c>
      <c r="E1395" t="s">
        <v>68</v>
      </c>
      <c r="F1395" t="s">
        <v>24</v>
      </c>
      <c r="G1395" s="4">
        <v>43</v>
      </c>
      <c r="I1395" s="4" t="s">
        <v>65</v>
      </c>
      <c r="J1395" s="4" t="s">
        <v>66</v>
      </c>
      <c r="K1395" s="4">
        <v>1</v>
      </c>
      <c r="L1395" s="94">
        <v>227307</v>
      </c>
      <c r="M1395" s="94">
        <v>9774201</v>
      </c>
    </row>
    <row r="1396" spans="3:13" x14ac:dyDescent="0.3">
      <c r="C1396" t="s">
        <v>61</v>
      </c>
      <c r="D1396" t="s">
        <v>62</v>
      </c>
      <c r="E1396" t="s">
        <v>68</v>
      </c>
      <c r="F1396" t="s">
        <v>24</v>
      </c>
      <c r="G1396" s="4">
        <v>6</v>
      </c>
      <c r="I1396" s="4" t="s">
        <v>69</v>
      </c>
      <c r="J1396" s="4" t="s">
        <v>66</v>
      </c>
      <c r="K1396" s="4">
        <v>0</v>
      </c>
      <c r="L1396" s="94">
        <v>127439412</v>
      </c>
      <c r="M1396" s="94">
        <v>764636472</v>
      </c>
    </row>
    <row r="1397" spans="3:13" x14ac:dyDescent="0.3">
      <c r="C1397" t="s">
        <v>70</v>
      </c>
      <c r="D1397" t="s">
        <v>67</v>
      </c>
      <c r="E1397" t="s">
        <v>63</v>
      </c>
      <c r="F1397" t="s">
        <v>72</v>
      </c>
      <c r="G1397" s="4">
        <v>6</v>
      </c>
      <c r="H1397" s="4" t="s">
        <v>80</v>
      </c>
      <c r="I1397" s="4" t="s">
        <v>69</v>
      </c>
      <c r="J1397" s="4" t="s">
        <v>66</v>
      </c>
      <c r="K1397" s="4">
        <v>0</v>
      </c>
      <c r="L1397" s="94">
        <v>-2949</v>
      </c>
      <c r="M1397" s="94">
        <v>0</v>
      </c>
    </row>
    <row r="1398" spans="3:13" x14ac:dyDescent="0.3">
      <c r="C1398" t="s">
        <v>70</v>
      </c>
      <c r="D1398" t="s">
        <v>67</v>
      </c>
      <c r="E1398" t="s">
        <v>63</v>
      </c>
      <c r="F1398" t="s">
        <v>72</v>
      </c>
      <c r="G1398" s="4">
        <v>1</v>
      </c>
      <c r="H1398" s="4" t="s">
        <v>12</v>
      </c>
      <c r="I1398" s="4" t="s">
        <v>69</v>
      </c>
      <c r="J1398" s="4" t="s">
        <v>73</v>
      </c>
      <c r="K1398" s="4">
        <v>1</v>
      </c>
      <c r="L1398" s="94">
        <v>-5479</v>
      </c>
      <c r="M1398" s="94">
        <v>0</v>
      </c>
    </row>
    <row r="1399" spans="3:13" x14ac:dyDescent="0.3">
      <c r="C1399" t="s">
        <v>61</v>
      </c>
      <c r="D1399" t="s">
        <v>67</v>
      </c>
      <c r="E1399" t="s">
        <v>63</v>
      </c>
      <c r="F1399" t="s">
        <v>26</v>
      </c>
      <c r="G1399" s="4">
        <v>3</v>
      </c>
      <c r="H1399" s="4" t="s">
        <v>16</v>
      </c>
      <c r="I1399" s="4" t="s">
        <v>69</v>
      </c>
      <c r="J1399" s="4" t="s">
        <v>66</v>
      </c>
      <c r="K1399" s="4">
        <v>0</v>
      </c>
      <c r="L1399" s="94">
        <v>-11795</v>
      </c>
      <c r="M1399" s="94">
        <v>0</v>
      </c>
    </row>
    <row r="1400" spans="3:13" x14ac:dyDescent="0.3">
      <c r="C1400" t="s">
        <v>71</v>
      </c>
      <c r="D1400" t="s">
        <v>67</v>
      </c>
      <c r="E1400" t="s">
        <v>68</v>
      </c>
      <c r="F1400" t="s">
        <v>25</v>
      </c>
      <c r="G1400" s="4">
        <v>5</v>
      </c>
      <c r="H1400" s="4" t="s">
        <v>64</v>
      </c>
      <c r="I1400" s="4" t="s">
        <v>69</v>
      </c>
      <c r="J1400" s="4" t="s">
        <v>66</v>
      </c>
      <c r="K1400" s="4">
        <v>0</v>
      </c>
      <c r="L1400" s="94">
        <v>208033</v>
      </c>
      <c r="M1400" s="94">
        <v>1040165</v>
      </c>
    </row>
    <row r="1401" spans="3:13" x14ac:dyDescent="0.3">
      <c r="C1401" t="s">
        <v>61</v>
      </c>
      <c r="D1401" t="s">
        <v>62</v>
      </c>
      <c r="E1401" t="s">
        <v>63</v>
      </c>
      <c r="F1401" t="s">
        <v>24</v>
      </c>
      <c r="G1401" s="4">
        <v>16</v>
      </c>
      <c r="I1401" s="4" t="s">
        <v>69</v>
      </c>
      <c r="J1401" s="4" t="s">
        <v>66</v>
      </c>
      <c r="K1401" s="4">
        <v>0</v>
      </c>
      <c r="L1401" s="94">
        <v>-126457</v>
      </c>
      <c r="M1401" s="94">
        <v>0</v>
      </c>
    </row>
    <row r="1402" spans="3:13" x14ac:dyDescent="0.3">
      <c r="C1402" t="s">
        <v>70</v>
      </c>
      <c r="D1402" t="s">
        <v>67</v>
      </c>
      <c r="E1402" t="s">
        <v>63</v>
      </c>
      <c r="F1402" t="s">
        <v>25</v>
      </c>
      <c r="G1402" s="4">
        <v>0</v>
      </c>
      <c r="H1402" s="4" t="s">
        <v>17</v>
      </c>
      <c r="I1402" s="4" t="s">
        <v>69</v>
      </c>
      <c r="J1402" s="4" t="s">
        <v>66</v>
      </c>
      <c r="K1402" s="4">
        <v>0</v>
      </c>
      <c r="L1402" s="94">
        <v>-10240</v>
      </c>
      <c r="M1402" s="94">
        <v>0</v>
      </c>
    </row>
    <row r="1403" spans="3:13" x14ac:dyDescent="0.3">
      <c r="C1403" t="s">
        <v>61</v>
      </c>
      <c r="D1403" t="s">
        <v>62</v>
      </c>
      <c r="E1403" t="s">
        <v>68</v>
      </c>
      <c r="F1403" t="s">
        <v>24</v>
      </c>
      <c r="G1403" s="4">
        <v>14</v>
      </c>
      <c r="I1403" s="4" t="s">
        <v>65</v>
      </c>
      <c r="J1403" s="4" t="s">
        <v>66</v>
      </c>
      <c r="K1403" s="4">
        <v>1</v>
      </c>
      <c r="L1403" s="94">
        <v>2778330</v>
      </c>
      <c r="M1403" s="94">
        <v>38896620</v>
      </c>
    </row>
    <row r="1404" spans="3:13" x14ac:dyDescent="0.3">
      <c r="C1404" t="s">
        <v>70</v>
      </c>
      <c r="D1404" t="s">
        <v>62</v>
      </c>
      <c r="E1404" t="s">
        <v>63</v>
      </c>
      <c r="F1404" t="s">
        <v>24</v>
      </c>
      <c r="G1404" s="4">
        <v>24</v>
      </c>
      <c r="I1404" s="4" t="s">
        <v>69</v>
      </c>
      <c r="J1404" s="4" t="s">
        <v>66</v>
      </c>
      <c r="K1404" s="4">
        <v>0</v>
      </c>
      <c r="L1404" s="94">
        <v>-1265533</v>
      </c>
      <c r="M1404" s="94">
        <v>0</v>
      </c>
    </row>
    <row r="1405" spans="3:13" x14ac:dyDescent="0.3">
      <c r="C1405" t="s">
        <v>70</v>
      </c>
      <c r="D1405" t="s">
        <v>67</v>
      </c>
      <c r="E1405" t="s">
        <v>68</v>
      </c>
      <c r="F1405" t="s">
        <v>25</v>
      </c>
      <c r="G1405" s="4">
        <v>6</v>
      </c>
      <c r="H1405" s="4" t="s">
        <v>79</v>
      </c>
      <c r="I1405" s="4" t="s">
        <v>69</v>
      </c>
      <c r="J1405" s="4" t="s">
        <v>66</v>
      </c>
      <c r="K1405" s="4">
        <v>0</v>
      </c>
      <c r="L1405" s="94">
        <v>687031</v>
      </c>
      <c r="M1405" s="94">
        <v>4122186</v>
      </c>
    </row>
    <row r="1406" spans="3:13" x14ac:dyDescent="0.3">
      <c r="C1406" t="s">
        <v>71</v>
      </c>
      <c r="D1406" t="s">
        <v>62</v>
      </c>
      <c r="E1406" t="s">
        <v>63</v>
      </c>
      <c r="F1406" t="s">
        <v>24</v>
      </c>
      <c r="G1406" s="4">
        <v>7</v>
      </c>
      <c r="I1406" s="4" t="s">
        <v>69</v>
      </c>
      <c r="J1406" s="4" t="s">
        <v>66</v>
      </c>
      <c r="K1406" s="4">
        <v>0</v>
      </c>
      <c r="L1406" s="94">
        <v>-678018</v>
      </c>
      <c r="M1406" s="94">
        <v>0</v>
      </c>
    </row>
    <row r="1407" spans="3:13" x14ac:dyDescent="0.3">
      <c r="C1407" t="s">
        <v>70</v>
      </c>
      <c r="D1407" t="s">
        <v>67</v>
      </c>
      <c r="E1407" t="s">
        <v>63</v>
      </c>
      <c r="F1407" t="s">
        <v>72</v>
      </c>
      <c r="G1407" s="4">
        <v>-4</v>
      </c>
      <c r="H1407" s="4" t="s">
        <v>14</v>
      </c>
      <c r="I1407" s="4" t="s">
        <v>69</v>
      </c>
      <c r="J1407" s="4" t="s">
        <v>66</v>
      </c>
      <c r="K1407" s="4">
        <v>0</v>
      </c>
      <c r="L1407" s="94">
        <v>-965</v>
      </c>
      <c r="M1407" s="94">
        <v>0</v>
      </c>
    </row>
    <row r="1408" spans="3:13" x14ac:dyDescent="0.3">
      <c r="C1408" t="s">
        <v>61</v>
      </c>
      <c r="D1408" t="s">
        <v>67</v>
      </c>
      <c r="E1408" t="s">
        <v>63</v>
      </c>
      <c r="F1408" t="s">
        <v>25</v>
      </c>
      <c r="G1408" s="4">
        <v>9</v>
      </c>
      <c r="H1408" s="4" t="s">
        <v>82</v>
      </c>
      <c r="I1408" s="4" t="s">
        <v>69</v>
      </c>
      <c r="J1408" s="4" t="s">
        <v>66</v>
      </c>
      <c r="K1408" s="4">
        <v>0</v>
      </c>
      <c r="L1408" s="94">
        <v>-417</v>
      </c>
      <c r="M1408" s="94">
        <v>0</v>
      </c>
    </row>
    <row r="1409" spans="3:13" x14ac:dyDescent="0.3">
      <c r="C1409" t="s">
        <v>71</v>
      </c>
      <c r="D1409" t="s">
        <v>67</v>
      </c>
      <c r="E1409" t="s">
        <v>63</v>
      </c>
      <c r="F1409" t="s">
        <v>72</v>
      </c>
      <c r="G1409" s="4">
        <v>1</v>
      </c>
      <c r="H1409" s="4" t="s">
        <v>12</v>
      </c>
      <c r="I1409" s="4" t="s">
        <v>69</v>
      </c>
      <c r="J1409" s="4" t="s">
        <v>66</v>
      </c>
      <c r="K1409" s="4">
        <v>0</v>
      </c>
      <c r="L1409" s="94">
        <v>-16848</v>
      </c>
      <c r="M1409" s="94">
        <v>0</v>
      </c>
    </row>
    <row r="1410" spans="3:13" x14ac:dyDescent="0.3">
      <c r="C1410" t="s">
        <v>61</v>
      </c>
      <c r="D1410" t="s">
        <v>67</v>
      </c>
      <c r="E1410" t="s">
        <v>63</v>
      </c>
      <c r="F1410" t="s">
        <v>25</v>
      </c>
      <c r="G1410" s="4">
        <v>16</v>
      </c>
      <c r="H1410" s="4" t="s">
        <v>75</v>
      </c>
      <c r="I1410" s="4" t="s">
        <v>69</v>
      </c>
      <c r="J1410" s="4" t="s">
        <v>66</v>
      </c>
      <c r="K1410" s="4">
        <v>0</v>
      </c>
      <c r="L1410" s="94">
        <v>-3573</v>
      </c>
      <c r="M1410" s="94">
        <v>0</v>
      </c>
    </row>
    <row r="1411" spans="3:13" x14ac:dyDescent="0.3">
      <c r="C1411" t="s">
        <v>70</v>
      </c>
      <c r="D1411" t="s">
        <v>62</v>
      </c>
      <c r="E1411" t="s">
        <v>63</v>
      </c>
      <c r="F1411" t="s">
        <v>24</v>
      </c>
      <c r="G1411" s="4">
        <v>11</v>
      </c>
      <c r="I1411" s="4" t="s">
        <v>65</v>
      </c>
      <c r="J1411" s="4" t="s">
        <v>66</v>
      </c>
      <c r="K1411" s="4">
        <v>1</v>
      </c>
      <c r="L1411" s="94">
        <v>-1772</v>
      </c>
      <c r="M1411" s="94">
        <v>0</v>
      </c>
    </row>
    <row r="1412" spans="3:13" x14ac:dyDescent="0.3">
      <c r="C1412" t="s">
        <v>70</v>
      </c>
      <c r="D1412" t="s">
        <v>62</v>
      </c>
      <c r="E1412" t="s">
        <v>63</v>
      </c>
      <c r="F1412" t="s">
        <v>24</v>
      </c>
      <c r="G1412" s="4">
        <v>34</v>
      </c>
      <c r="I1412" s="4" t="s">
        <v>65</v>
      </c>
      <c r="J1412" s="4" t="s">
        <v>66</v>
      </c>
      <c r="K1412" s="4">
        <v>1</v>
      </c>
      <c r="L1412" s="94">
        <v>-36764</v>
      </c>
      <c r="M1412" s="94">
        <v>0</v>
      </c>
    </row>
    <row r="1413" spans="3:13" x14ac:dyDescent="0.3">
      <c r="C1413" t="s">
        <v>61</v>
      </c>
      <c r="D1413" t="s">
        <v>62</v>
      </c>
      <c r="E1413" t="s">
        <v>63</v>
      </c>
      <c r="F1413" t="s">
        <v>24</v>
      </c>
      <c r="G1413" s="4">
        <v>15</v>
      </c>
      <c r="I1413" s="4" t="s">
        <v>65</v>
      </c>
      <c r="J1413" s="4" t="s">
        <v>66</v>
      </c>
      <c r="K1413" s="4">
        <v>1</v>
      </c>
      <c r="L1413" s="94">
        <v>-2693</v>
      </c>
      <c r="M1413" s="94">
        <v>0</v>
      </c>
    </row>
    <row r="1414" spans="3:13" x14ac:dyDescent="0.3">
      <c r="C1414" t="s">
        <v>61</v>
      </c>
      <c r="D1414" t="s">
        <v>67</v>
      </c>
      <c r="E1414" t="s">
        <v>68</v>
      </c>
      <c r="F1414" t="s">
        <v>25</v>
      </c>
      <c r="G1414" s="4">
        <v>5</v>
      </c>
      <c r="H1414" s="4" t="s">
        <v>79</v>
      </c>
      <c r="I1414" s="4" t="s">
        <v>65</v>
      </c>
      <c r="J1414" s="4" t="s">
        <v>66</v>
      </c>
      <c r="K1414" s="4">
        <v>1</v>
      </c>
      <c r="L1414" s="94">
        <v>42354</v>
      </c>
      <c r="M1414" s="94">
        <v>211770</v>
      </c>
    </row>
    <row r="1415" spans="3:13" x14ac:dyDescent="0.3">
      <c r="C1415" t="s">
        <v>70</v>
      </c>
      <c r="D1415" t="s">
        <v>67</v>
      </c>
      <c r="E1415" t="s">
        <v>63</v>
      </c>
      <c r="F1415" t="s">
        <v>26</v>
      </c>
      <c r="G1415" s="4">
        <v>-1</v>
      </c>
      <c r="H1415" s="4" t="s">
        <v>17</v>
      </c>
      <c r="I1415" s="4" t="s">
        <v>69</v>
      </c>
      <c r="J1415" s="4" t="s">
        <v>66</v>
      </c>
      <c r="K1415" s="4">
        <v>0</v>
      </c>
      <c r="L1415" s="94">
        <v>-1305937</v>
      </c>
      <c r="M1415" s="94">
        <v>0</v>
      </c>
    </row>
    <row r="1416" spans="3:13" x14ac:dyDescent="0.3">
      <c r="C1416" t="s">
        <v>61</v>
      </c>
      <c r="D1416" t="s">
        <v>67</v>
      </c>
      <c r="E1416" t="s">
        <v>63</v>
      </c>
      <c r="F1416" t="s">
        <v>72</v>
      </c>
      <c r="G1416" s="4">
        <v>7</v>
      </c>
      <c r="H1416" s="4" t="s">
        <v>14</v>
      </c>
      <c r="I1416" s="4" t="s">
        <v>69</v>
      </c>
      <c r="J1416" s="4" t="s">
        <v>66</v>
      </c>
      <c r="K1416" s="4">
        <v>0</v>
      </c>
      <c r="L1416" s="94">
        <v>-622</v>
      </c>
      <c r="M1416" s="94">
        <v>0</v>
      </c>
    </row>
    <row r="1417" spans="3:13" x14ac:dyDescent="0.3">
      <c r="C1417" t="s">
        <v>71</v>
      </c>
      <c r="D1417" t="s">
        <v>67</v>
      </c>
      <c r="E1417" t="s">
        <v>63</v>
      </c>
      <c r="F1417" t="s">
        <v>25</v>
      </c>
      <c r="G1417" s="4">
        <v>7</v>
      </c>
      <c r="H1417" s="4" t="s">
        <v>76</v>
      </c>
      <c r="I1417" s="4" t="s">
        <v>69</v>
      </c>
      <c r="J1417" s="4" t="s">
        <v>66</v>
      </c>
      <c r="K1417" s="4">
        <v>0</v>
      </c>
      <c r="L1417" s="94">
        <v>-118464</v>
      </c>
      <c r="M1417" s="94">
        <v>0</v>
      </c>
    </row>
    <row r="1418" spans="3:13" x14ac:dyDescent="0.3">
      <c r="C1418" t="s">
        <v>61</v>
      </c>
      <c r="D1418" t="s">
        <v>67</v>
      </c>
      <c r="E1418" t="s">
        <v>63</v>
      </c>
      <c r="F1418" t="s">
        <v>72</v>
      </c>
      <c r="G1418" s="4">
        <v>1</v>
      </c>
      <c r="H1418" s="4" t="s">
        <v>12</v>
      </c>
      <c r="I1418" s="4" t="s">
        <v>69</v>
      </c>
      <c r="J1418" s="4" t="s">
        <v>73</v>
      </c>
      <c r="K1418" s="4">
        <v>1</v>
      </c>
      <c r="L1418" s="94">
        <v>-2192</v>
      </c>
      <c r="M1418" s="94">
        <v>0</v>
      </c>
    </row>
    <row r="1419" spans="3:13" x14ac:dyDescent="0.3">
      <c r="C1419" t="s">
        <v>61</v>
      </c>
      <c r="D1419" t="s">
        <v>67</v>
      </c>
      <c r="E1419" t="s">
        <v>63</v>
      </c>
      <c r="F1419" t="s">
        <v>72</v>
      </c>
      <c r="G1419" s="4">
        <v>0</v>
      </c>
      <c r="H1419" s="4" t="s">
        <v>18</v>
      </c>
      <c r="I1419" s="4" t="s">
        <v>69</v>
      </c>
      <c r="J1419" s="4" t="s">
        <v>66</v>
      </c>
      <c r="K1419" s="4">
        <v>0</v>
      </c>
      <c r="L1419" s="94">
        <v>-4533</v>
      </c>
      <c r="M1419" s="94">
        <v>0</v>
      </c>
    </row>
    <row r="1420" spans="3:13" x14ac:dyDescent="0.3">
      <c r="C1420" t="s">
        <v>70</v>
      </c>
      <c r="D1420" t="s">
        <v>62</v>
      </c>
      <c r="E1420" t="s">
        <v>68</v>
      </c>
      <c r="F1420" t="s">
        <v>24</v>
      </c>
      <c r="G1420" s="4">
        <v>5</v>
      </c>
      <c r="I1420" s="4" t="s">
        <v>69</v>
      </c>
      <c r="J1420" s="4" t="s">
        <v>66</v>
      </c>
      <c r="K1420" s="4">
        <v>1</v>
      </c>
      <c r="L1420" s="94">
        <v>111482</v>
      </c>
      <c r="M1420" s="94">
        <v>557410</v>
      </c>
    </row>
    <row r="1421" spans="3:13" x14ac:dyDescent="0.3">
      <c r="C1421" t="s">
        <v>70</v>
      </c>
      <c r="D1421" t="s">
        <v>67</v>
      </c>
      <c r="E1421" t="s">
        <v>68</v>
      </c>
      <c r="F1421" t="s">
        <v>25</v>
      </c>
      <c r="G1421" s="4">
        <v>10</v>
      </c>
      <c r="H1421" s="4" t="s">
        <v>75</v>
      </c>
      <c r="I1421" s="4" t="s">
        <v>69</v>
      </c>
      <c r="J1421" s="4" t="s">
        <v>66</v>
      </c>
      <c r="K1421" s="4">
        <v>0</v>
      </c>
      <c r="L1421" s="94">
        <v>2447185</v>
      </c>
      <c r="M1421" s="94">
        <v>24471850</v>
      </c>
    </row>
    <row r="1422" spans="3:13" x14ac:dyDescent="0.3">
      <c r="C1422" t="s">
        <v>70</v>
      </c>
      <c r="D1422" t="s">
        <v>67</v>
      </c>
      <c r="E1422" t="s">
        <v>63</v>
      </c>
      <c r="F1422" t="s">
        <v>26</v>
      </c>
      <c r="G1422" s="4">
        <v>7</v>
      </c>
      <c r="H1422" s="4" t="s">
        <v>76</v>
      </c>
      <c r="I1422" s="4" t="s">
        <v>69</v>
      </c>
      <c r="J1422" s="4" t="s">
        <v>66</v>
      </c>
      <c r="K1422" s="4">
        <v>0</v>
      </c>
      <c r="L1422" s="94">
        <v>-36933</v>
      </c>
      <c r="M1422" s="94">
        <v>0</v>
      </c>
    </row>
    <row r="1423" spans="3:13" x14ac:dyDescent="0.3">
      <c r="C1423" t="s">
        <v>70</v>
      </c>
      <c r="D1423" t="s">
        <v>62</v>
      </c>
      <c r="E1423" t="s">
        <v>68</v>
      </c>
      <c r="F1423" t="s">
        <v>24</v>
      </c>
      <c r="G1423" s="4">
        <v>14</v>
      </c>
      <c r="I1423" s="4" t="s">
        <v>69</v>
      </c>
      <c r="J1423" s="4" t="s">
        <v>66</v>
      </c>
      <c r="K1423" s="4">
        <v>0</v>
      </c>
      <c r="L1423" s="94">
        <v>27369445</v>
      </c>
      <c r="M1423" s="94">
        <v>383172230</v>
      </c>
    </row>
    <row r="1424" spans="3:13" x14ac:dyDescent="0.3">
      <c r="C1424" t="s">
        <v>70</v>
      </c>
      <c r="D1424" t="s">
        <v>62</v>
      </c>
      <c r="E1424" t="s">
        <v>63</v>
      </c>
      <c r="F1424" t="s">
        <v>24</v>
      </c>
      <c r="G1424" s="4">
        <v>26</v>
      </c>
      <c r="I1424" s="4" t="s">
        <v>69</v>
      </c>
      <c r="J1424" s="4" t="s">
        <v>66</v>
      </c>
      <c r="K1424" s="4">
        <v>0</v>
      </c>
      <c r="L1424" s="94">
        <v>-1393271</v>
      </c>
      <c r="M1424" s="94">
        <v>0</v>
      </c>
    </row>
    <row r="1425" spans="3:13" x14ac:dyDescent="0.3">
      <c r="C1425" t="s">
        <v>71</v>
      </c>
      <c r="D1425" t="s">
        <v>67</v>
      </c>
      <c r="E1425" t="s">
        <v>63</v>
      </c>
      <c r="F1425" t="s">
        <v>26</v>
      </c>
      <c r="G1425" s="4">
        <v>6</v>
      </c>
      <c r="H1425" s="4" t="s">
        <v>82</v>
      </c>
      <c r="I1425" s="4" t="s">
        <v>69</v>
      </c>
      <c r="J1425" s="4" t="s">
        <v>66</v>
      </c>
      <c r="K1425" s="4">
        <v>0</v>
      </c>
      <c r="L1425" s="94">
        <v>-279999</v>
      </c>
      <c r="M1425" s="94">
        <v>0</v>
      </c>
    </row>
    <row r="1426" spans="3:13" x14ac:dyDescent="0.3">
      <c r="C1426" t="s">
        <v>71</v>
      </c>
      <c r="D1426" t="s">
        <v>62</v>
      </c>
      <c r="E1426" t="s">
        <v>68</v>
      </c>
      <c r="F1426" t="s">
        <v>24</v>
      </c>
      <c r="G1426" s="4">
        <v>23</v>
      </c>
      <c r="I1426" s="4" t="s">
        <v>69</v>
      </c>
      <c r="J1426" s="4" t="s">
        <v>66</v>
      </c>
      <c r="K1426" s="4">
        <v>0</v>
      </c>
      <c r="L1426" s="94">
        <v>8803702</v>
      </c>
      <c r="M1426" s="94">
        <v>202485146</v>
      </c>
    </row>
    <row r="1427" spans="3:13" x14ac:dyDescent="0.3">
      <c r="C1427" t="s">
        <v>70</v>
      </c>
      <c r="D1427" t="s">
        <v>67</v>
      </c>
      <c r="E1427" t="s">
        <v>63</v>
      </c>
      <c r="F1427" t="s">
        <v>26</v>
      </c>
      <c r="G1427" s="4">
        <v>8</v>
      </c>
      <c r="H1427" s="4" t="s">
        <v>77</v>
      </c>
      <c r="I1427" s="4" t="s">
        <v>69</v>
      </c>
      <c r="J1427" s="4" t="s">
        <v>66</v>
      </c>
      <c r="K1427" s="4">
        <v>0</v>
      </c>
      <c r="L1427" s="94">
        <v>-5430</v>
      </c>
      <c r="M1427" s="94">
        <v>0</v>
      </c>
    </row>
    <row r="1428" spans="3:13" x14ac:dyDescent="0.3">
      <c r="C1428" t="s">
        <v>70</v>
      </c>
      <c r="D1428" t="s">
        <v>67</v>
      </c>
      <c r="E1428" t="s">
        <v>68</v>
      </c>
      <c r="F1428" t="s">
        <v>72</v>
      </c>
      <c r="G1428" s="4">
        <v>0</v>
      </c>
      <c r="H1428" s="4" t="s">
        <v>14</v>
      </c>
      <c r="I1428" s="4" t="s">
        <v>69</v>
      </c>
      <c r="J1428" s="4" t="s">
        <v>66</v>
      </c>
      <c r="K1428" s="4">
        <v>0</v>
      </c>
      <c r="L1428" s="94">
        <v>112401</v>
      </c>
      <c r="M1428" s="94">
        <v>0</v>
      </c>
    </row>
    <row r="1429" spans="3:13" x14ac:dyDescent="0.3">
      <c r="C1429" t="s">
        <v>70</v>
      </c>
      <c r="D1429" t="s">
        <v>67</v>
      </c>
      <c r="E1429" t="s">
        <v>68</v>
      </c>
      <c r="F1429" t="s">
        <v>26</v>
      </c>
      <c r="G1429" s="4">
        <v>-1</v>
      </c>
      <c r="H1429" s="4" t="s">
        <v>81</v>
      </c>
      <c r="I1429" s="4" t="s">
        <v>69</v>
      </c>
      <c r="J1429" s="4" t="s">
        <v>66</v>
      </c>
      <c r="K1429" s="4">
        <v>0</v>
      </c>
      <c r="L1429" s="94">
        <v>25086</v>
      </c>
      <c r="M1429" s="94">
        <v>0</v>
      </c>
    </row>
    <row r="1430" spans="3:13" x14ac:dyDescent="0.3">
      <c r="C1430" t="s">
        <v>61</v>
      </c>
      <c r="D1430" t="s">
        <v>67</v>
      </c>
      <c r="E1430" t="s">
        <v>63</v>
      </c>
      <c r="F1430" t="s">
        <v>26</v>
      </c>
      <c r="G1430" s="4">
        <v>1</v>
      </c>
      <c r="H1430" s="4" t="s">
        <v>17</v>
      </c>
      <c r="I1430" s="4" t="s">
        <v>69</v>
      </c>
      <c r="J1430" s="4" t="s">
        <v>73</v>
      </c>
      <c r="K1430" s="4">
        <v>1</v>
      </c>
      <c r="L1430" s="94">
        <v>-6013</v>
      </c>
      <c r="M1430" s="94">
        <v>0</v>
      </c>
    </row>
    <row r="1431" spans="3:13" x14ac:dyDescent="0.3">
      <c r="C1431" t="s">
        <v>61</v>
      </c>
      <c r="D1431" t="s">
        <v>62</v>
      </c>
      <c r="E1431" t="s">
        <v>63</v>
      </c>
      <c r="F1431" t="s">
        <v>25</v>
      </c>
      <c r="G1431" s="4">
        <v>19</v>
      </c>
      <c r="I1431" s="4" t="s">
        <v>69</v>
      </c>
      <c r="J1431" s="4" t="s">
        <v>66</v>
      </c>
      <c r="K1431" s="4">
        <v>0</v>
      </c>
      <c r="L1431" s="94">
        <v>-475</v>
      </c>
      <c r="M1431" s="94">
        <v>0</v>
      </c>
    </row>
    <row r="1432" spans="3:13" x14ac:dyDescent="0.3">
      <c r="C1432" t="s">
        <v>70</v>
      </c>
      <c r="D1432" t="s">
        <v>67</v>
      </c>
      <c r="E1432" t="s">
        <v>63</v>
      </c>
      <c r="F1432" t="s">
        <v>26</v>
      </c>
      <c r="G1432" s="4">
        <v>1</v>
      </c>
      <c r="H1432" s="4" t="s">
        <v>83</v>
      </c>
      <c r="I1432" s="4" t="s">
        <v>69</v>
      </c>
      <c r="J1432" s="4" t="s">
        <v>66</v>
      </c>
      <c r="K1432" s="4">
        <v>0</v>
      </c>
      <c r="L1432" s="94">
        <v>-41007</v>
      </c>
      <c r="M1432" s="94">
        <v>0</v>
      </c>
    </row>
    <row r="1433" spans="3:13" x14ac:dyDescent="0.3">
      <c r="C1433" t="s">
        <v>61</v>
      </c>
      <c r="D1433" t="s">
        <v>62</v>
      </c>
      <c r="E1433" t="s">
        <v>68</v>
      </c>
      <c r="F1433" t="s">
        <v>25</v>
      </c>
      <c r="G1433" s="4">
        <v>22</v>
      </c>
      <c r="I1433" s="4" t="s">
        <v>69</v>
      </c>
      <c r="J1433" s="4" t="s">
        <v>66</v>
      </c>
      <c r="K1433" s="4">
        <v>0</v>
      </c>
      <c r="L1433" s="94">
        <v>225245</v>
      </c>
      <c r="M1433" s="94">
        <v>4955390</v>
      </c>
    </row>
    <row r="1434" spans="3:13" x14ac:dyDescent="0.3">
      <c r="C1434" t="s">
        <v>70</v>
      </c>
      <c r="D1434" t="s">
        <v>67</v>
      </c>
      <c r="E1434" t="s">
        <v>63</v>
      </c>
      <c r="F1434" t="s">
        <v>25</v>
      </c>
      <c r="G1434" s="4">
        <v>7</v>
      </c>
      <c r="H1434" s="4" t="s">
        <v>83</v>
      </c>
      <c r="I1434" s="4" t="s">
        <v>69</v>
      </c>
      <c r="J1434" s="4" t="s">
        <v>66</v>
      </c>
      <c r="K1434" s="4">
        <v>0</v>
      </c>
      <c r="L1434" s="94">
        <v>-9393</v>
      </c>
      <c r="M1434" s="94">
        <v>0</v>
      </c>
    </row>
    <row r="1435" spans="3:13" x14ac:dyDescent="0.3">
      <c r="C1435" t="s">
        <v>61</v>
      </c>
      <c r="D1435" t="s">
        <v>84</v>
      </c>
      <c r="E1435" t="s">
        <v>68</v>
      </c>
      <c r="F1435" t="s">
        <v>25</v>
      </c>
      <c r="G1435" s="4">
        <v>13</v>
      </c>
      <c r="H1435" s="4" t="s">
        <v>75</v>
      </c>
      <c r="I1435" s="4" t="s">
        <v>69</v>
      </c>
      <c r="J1435" s="4" t="s">
        <v>66</v>
      </c>
      <c r="K1435" s="4">
        <v>0</v>
      </c>
      <c r="L1435" s="94">
        <v>15373877</v>
      </c>
      <c r="M1435" s="94">
        <v>199860401</v>
      </c>
    </row>
    <row r="1436" spans="3:13" x14ac:dyDescent="0.3">
      <c r="C1436" t="s">
        <v>70</v>
      </c>
      <c r="D1436" t="s">
        <v>67</v>
      </c>
      <c r="E1436" t="s">
        <v>63</v>
      </c>
      <c r="F1436" t="s">
        <v>26</v>
      </c>
      <c r="G1436" s="4">
        <v>3</v>
      </c>
      <c r="H1436" s="4" t="s">
        <v>82</v>
      </c>
      <c r="I1436" s="4" t="s">
        <v>65</v>
      </c>
      <c r="J1436" s="4" t="s">
        <v>66</v>
      </c>
      <c r="K1436" s="4">
        <v>1</v>
      </c>
      <c r="L1436" s="94">
        <v>-14411</v>
      </c>
      <c r="M1436" s="94">
        <v>0</v>
      </c>
    </row>
    <row r="1437" spans="3:13" x14ac:dyDescent="0.3">
      <c r="C1437" t="s">
        <v>70</v>
      </c>
      <c r="D1437" t="s">
        <v>67</v>
      </c>
      <c r="E1437" t="s">
        <v>68</v>
      </c>
      <c r="F1437" t="s">
        <v>26</v>
      </c>
      <c r="G1437" s="4">
        <v>7</v>
      </c>
      <c r="H1437" s="4" t="s">
        <v>79</v>
      </c>
      <c r="I1437" s="4" t="s">
        <v>69</v>
      </c>
      <c r="J1437" s="4" t="s">
        <v>66</v>
      </c>
      <c r="K1437" s="4">
        <v>0</v>
      </c>
      <c r="L1437" s="94">
        <v>601367</v>
      </c>
      <c r="M1437" s="94">
        <v>4209569</v>
      </c>
    </row>
    <row r="1438" spans="3:13" x14ac:dyDescent="0.3">
      <c r="C1438" t="s">
        <v>61</v>
      </c>
      <c r="D1438" t="s">
        <v>67</v>
      </c>
      <c r="E1438" t="s">
        <v>63</v>
      </c>
      <c r="F1438" t="s">
        <v>25</v>
      </c>
      <c r="G1438" s="4">
        <v>2</v>
      </c>
      <c r="H1438" s="4" t="s">
        <v>82</v>
      </c>
      <c r="I1438" s="4" t="s">
        <v>69</v>
      </c>
      <c r="J1438" s="4" t="s">
        <v>66</v>
      </c>
      <c r="K1438" s="4">
        <v>0</v>
      </c>
      <c r="L1438" s="94">
        <v>-260</v>
      </c>
      <c r="M1438" s="94">
        <v>0</v>
      </c>
    </row>
    <row r="1439" spans="3:13" x14ac:dyDescent="0.3">
      <c r="C1439" t="s">
        <v>70</v>
      </c>
      <c r="D1439" t="s">
        <v>62</v>
      </c>
      <c r="E1439" t="s">
        <v>63</v>
      </c>
      <c r="F1439" t="s">
        <v>24</v>
      </c>
      <c r="G1439" s="4">
        <v>10</v>
      </c>
      <c r="I1439" s="4" t="s">
        <v>65</v>
      </c>
      <c r="J1439" s="4" t="s">
        <v>66</v>
      </c>
      <c r="K1439" s="4">
        <v>1</v>
      </c>
      <c r="L1439" s="94">
        <v>-5930</v>
      </c>
      <c r="M1439" s="94">
        <v>0</v>
      </c>
    </row>
    <row r="1440" spans="3:13" x14ac:dyDescent="0.3">
      <c r="C1440" t="s">
        <v>61</v>
      </c>
      <c r="D1440" t="s">
        <v>67</v>
      </c>
      <c r="E1440" t="s">
        <v>68</v>
      </c>
      <c r="F1440" t="s">
        <v>72</v>
      </c>
      <c r="G1440" s="4">
        <v>4</v>
      </c>
      <c r="H1440" s="4" t="s">
        <v>18</v>
      </c>
      <c r="I1440" s="4" t="s">
        <v>69</v>
      </c>
      <c r="J1440" s="4" t="s">
        <v>66</v>
      </c>
      <c r="K1440" s="4">
        <v>0</v>
      </c>
      <c r="L1440" s="94">
        <v>10923485</v>
      </c>
      <c r="M1440" s="94">
        <v>43693940</v>
      </c>
    </row>
    <row r="1441" spans="3:13" x14ac:dyDescent="0.3">
      <c r="C1441" t="s">
        <v>70</v>
      </c>
      <c r="D1441" t="s">
        <v>67</v>
      </c>
      <c r="E1441" t="s">
        <v>63</v>
      </c>
      <c r="F1441" t="s">
        <v>25</v>
      </c>
      <c r="G1441" s="4">
        <v>2</v>
      </c>
      <c r="H1441" s="4" t="s">
        <v>76</v>
      </c>
      <c r="I1441" s="4" t="s">
        <v>69</v>
      </c>
      <c r="J1441" s="4" t="s">
        <v>66</v>
      </c>
      <c r="K1441" s="4">
        <v>0</v>
      </c>
      <c r="L1441" s="94">
        <v>-36797</v>
      </c>
      <c r="M1441" s="94">
        <v>0</v>
      </c>
    </row>
    <row r="1442" spans="3:13" x14ac:dyDescent="0.3">
      <c r="C1442" t="s">
        <v>70</v>
      </c>
      <c r="D1442" t="s">
        <v>67</v>
      </c>
      <c r="E1442" t="s">
        <v>63</v>
      </c>
      <c r="F1442" t="s">
        <v>26</v>
      </c>
      <c r="G1442" s="4">
        <v>4</v>
      </c>
      <c r="H1442" s="4" t="s">
        <v>79</v>
      </c>
      <c r="I1442" s="4" t="s">
        <v>69</v>
      </c>
      <c r="J1442" s="4" t="s">
        <v>66</v>
      </c>
      <c r="K1442" s="4">
        <v>0</v>
      </c>
      <c r="L1442" s="94">
        <v>-58606</v>
      </c>
      <c r="M1442" s="94">
        <v>0</v>
      </c>
    </row>
    <row r="1443" spans="3:13" x14ac:dyDescent="0.3">
      <c r="C1443" t="s">
        <v>70</v>
      </c>
      <c r="D1443" t="s">
        <v>67</v>
      </c>
      <c r="E1443" t="s">
        <v>68</v>
      </c>
      <c r="F1443" t="s">
        <v>26</v>
      </c>
      <c r="G1443" s="4">
        <v>6</v>
      </c>
      <c r="H1443" s="4" t="s">
        <v>83</v>
      </c>
      <c r="I1443" s="4" t="s">
        <v>69</v>
      </c>
      <c r="J1443" s="4" t="s">
        <v>66</v>
      </c>
      <c r="K1443" s="4">
        <v>0</v>
      </c>
      <c r="L1443" s="94">
        <v>25691</v>
      </c>
      <c r="M1443" s="94">
        <v>154146</v>
      </c>
    </row>
    <row r="1444" spans="3:13" x14ac:dyDescent="0.3">
      <c r="C1444" t="s">
        <v>71</v>
      </c>
      <c r="D1444" t="s">
        <v>67</v>
      </c>
      <c r="E1444" t="s">
        <v>68</v>
      </c>
      <c r="F1444" t="s">
        <v>72</v>
      </c>
      <c r="G1444" s="4">
        <v>4</v>
      </c>
      <c r="H1444" s="4" t="s">
        <v>83</v>
      </c>
      <c r="I1444" s="4" t="s">
        <v>69</v>
      </c>
      <c r="J1444" s="4" t="s">
        <v>66</v>
      </c>
      <c r="K1444" s="4">
        <v>0</v>
      </c>
      <c r="L1444" s="94">
        <v>79343</v>
      </c>
      <c r="M1444" s="94">
        <v>317372</v>
      </c>
    </row>
    <row r="1445" spans="3:13" x14ac:dyDescent="0.3">
      <c r="C1445" t="s">
        <v>61</v>
      </c>
      <c r="D1445" t="s">
        <v>67</v>
      </c>
      <c r="E1445" t="s">
        <v>63</v>
      </c>
      <c r="F1445" t="s">
        <v>25</v>
      </c>
      <c r="G1445" s="4">
        <v>7</v>
      </c>
      <c r="H1445" s="4" t="s">
        <v>18</v>
      </c>
      <c r="I1445" s="4" t="s">
        <v>65</v>
      </c>
      <c r="J1445" s="4" t="s">
        <v>66</v>
      </c>
      <c r="K1445" s="4">
        <v>1</v>
      </c>
      <c r="L1445" s="94">
        <v>-41</v>
      </c>
      <c r="M1445" s="94">
        <v>0</v>
      </c>
    </row>
    <row r="1446" spans="3:13" x14ac:dyDescent="0.3">
      <c r="C1446" t="s">
        <v>61</v>
      </c>
      <c r="D1446" t="s">
        <v>67</v>
      </c>
      <c r="E1446" t="s">
        <v>68</v>
      </c>
      <c r="F1446" t="s">
        <v>26</v>
      </c>
      <c r="G1446" s="4">
        <v>3</v>
      </c>
      <c r="H1446" s="4" t="s">
        <v>14</v>
      </c>
      <c r="I1446" s="4" t="s">
        <v>65</v>
      </c>
      <c r="J1446" s="4" t="s">
        <v>66</v>
      </c>
      <c r="K1446" s="4">
        <v>1</v>
      </c>
      <c r="L1446" s="94">
        <v>37969</v>
      </c>
      <c r="M1446" s="94">
        <v>113907</v>
      </c>
    </row>
    <row r="1447" spans="3:13" x14ac:dyDescent="0.3">
      <c r="C1447" t="s">
        <v>70</v>
      </c>
      <c r="D1447" t="s">
        <v>67</v>
      </c>
      <c r="E1447" t="s">
        <v>68</v>
      </c>
      <c r="F1447" t="s">
        <v>25</v>
      </c>
      <c r="G1447" s="4">
        <v>19</v>
      </c>
      <c r="H1447" s="4" t="s">
        <v>79</v>
      </c>
      <c r="I1447" s="4" t="s">
        <v>69</v>
      </c>
      <c r="J1447" s="4" t="s">
        <v>66</v>
      </c>
      <c r="K1447" s="4">
        <v>0</v>
      </c>
      <c r="L1447" s="94">
        <v>318478</v>
      </c>
      <c r="M1447" s="94">
        <v>6051082</v>
      </c>
    </row>
    <row r="1448" spans="3:13" x14ac:dyDescent="0.3">
      <c r="C1448" t="s">
        <v>71</v>
      </c>
      <c r="D1448" t="s">
        <v>67</v>
      </c>
      <c r="E1448" t="s">
        <v>68</v>
      </c>
      <c r="F1448" t="s">
        <v>26</v>
      </c>
      <c r="G1448" s="4">
        <v>4</v>
      </c>
      <c r="H1448" s="4" t="s">
        <v>14</v>
      </c>
      <c r="I1448" s="4" t="s">
        <v>69</v>
      </c>
      <c r="J1448" s="4" t="s">
        <v>73</v>
      </c>
      <c r="K1448" s="4">
        <v>1</v>
      </c>
      <c r="L1448" s="94">
        <v>1398836</v>
      </c>
      <c r="M1448" s="94">
        <v>5595344</v>
      </c>
    </row>
    <row r="1449" spans="3:13" x14ac:dyDescent="0.3">
      <c r="C1449" t="s">
        <v>61</v>
      </c>
      <c r="D1449" t="s">
        <v>67</v>
      </c>
      <c r="E1449" t="s">
        <v>63</v>
      </c>
      <c r="F1449" t="s">
        <v>26</v>
      </c>
      <c r="G1449" s="4">
        <v>7</v>
      </c>
      <c r="H1449" s="4" t="s">
        <v>15</v>
      </c>
      <c r="I1449" s="4" t="s">
        <v>65</v>
      </c>
      <c r="J1449" s="4" t="s">
        <v>66</v>
      </c>
      <c r="K1449" s="4">
        <v>1</v>
      </c>
      <c r="L1449" s="94">
        <v>-37018</v>
      </c>
      <c r="M1449" s="94">
        <v>0</v>
      </c>
    </row>
    <row r="1450" spans="3:13" x14ac:dyDescent="0.3">
      <c r="C1450" t="s">
        <v>61</v>
      </c>
      <c r="D1450" t="s">
        <v>62</v>
      </c>
      <c r="E1450" t="s">
        <v>68</v>
      </c>
      <c r="F1450" t="s">
        <v>24</v>
      </c>
      <c r="G1450" s="4">
        <v>41</v>
      </c>
      <c r="I1450" s="4" t="s">
        <v>69</v>
      </c>
      <c r="J1450" s="4" t="s">
        <v>66</v>
      </c>
      <c r="K1450" s="4">
        <v>0</v>
      </c>
      <c r="L1450" s="94">
        <v>28862301</v>
      </c>
      <c r="M1450" s="94">
        <v>1183354341</v>
      </c>
    </row>
    <row r="1451" spans="3:13" x14ac:dyDescent="0.3">
      <c r="C1451" t="s">
        <v>61</v>
      </c>
      <c r="D1451" t="s">
        <v>67</v>
      </c>
      <c r="E1451" t="s">
        <v>63</v>
      </c>
      <c r="F1451" t="s">
        <v>72</v>
      </c>
      <c r="G1451" s="4">
        <v>5</v>
      </c>
      <c r="H1451" s="4" t="s">
        <v>16</v>
      </c>
      <c r="I1451" s="4" t="s">
        <v>69</v>
      </c>
      <c r="J1451" s="4" t="s">
        <v>66</v>
      </c>
      <c r="K1451" s="4">
        <v>0</v>
      </c>
      <c r="L1451" s="94">
        <v>-58</v>
      </c>
      <c r="M1451" s="94">
        <v>0</v>
      </c>
    </row>
    <row r="1452" spans="3:13" x14ac:dyDescent="0.3">
      <c r="C1452" t="s">
        <v>71</v>
      </c>
      <c r="D1452" t="s">
        <v>62</v>
      </c>
      <c r="E1452" t="s">
        <v>63</v>
      </c>
      <c r="F1452" t="s">
        <v>24</v>
      </c>
      <c r="G1452" s="4">
        <v>26</v>
      </c>
      <c r="I1452" s="4" t="s">
        <v>69</v>
      </c>
      <c r="J1452" s="4" t="s">
        <v>66</v>
      </c>
      <c r="K1452" s="4">
        <v>0</v>
      </c>
      <c r="L1452" s="94">
        <v>-3068982</v>
      </c>
      <c r="M1452" s="94">
        <v>0</v>
      </c>
    </row>
    <row r="1453" spans="3:13" x14ac:dyDescent="0.3">
      <c r="C1453" t="s">
        <v>71</v>
      </c>
      <c r="D1453" t="s">
        <v>62</v>
      </c>
      <c r="E1453" t="s">
        <v>63</v>
      </c>
      <c r="F1453" t="s">
        <v>24</v>
      </c>
      <c r="G1453" s="4">
        <v>38</v>
      </c>
      <c r="I1453" s="4" t="s">
        <v>65</v>
      </c>
      <c r="J1453" s="4" t="s">
        <v>66</v>
      </c>
      <c r="K1453" s="4">
        <v>1</v>
      </c>
      <c r="L1453" s="94">
        <v>-31618</v>
      </c>
      <c r="M1453" s="94">
        <v>0</v>
      </c>
    </row>
    <row r="1454" spans="3:13" x14ac:dyDescent="0.3">
      <c r="C1454" t="s">
        <v>61</v>
      </c>
      <c r="D1454" t="s">
        <v>62</v>
      </c>
      <c r="E1454" t="s">
        <v>63</v>
      </c>
      <c r="F1454" t="s">
        <v>24</v>
      </c>
      <c r="G1454" s="4">
        <v>3</v>
      </c>
      <c r="I1454" s="4" t="s">
        <v>65</v>
      </c>
      <c r="J1454" s="4" t="s">
        <v>66</v>
      </c>
      <c r="K1454" s="4">
        <v>1</v>
      </c>
      <c r="L1454" s="94">
        <v>-132</v>
      </c>
      <c r="M1454" s="94">
        <v>0</v>
      </c>
    </row>
    <row r="1455" spans="3:13" x14ac:dyDescent="0.3">
      <c r="C1455" t="s">
        <v>61</v>
      </c>
      <c r="D1455" t="s">
        <v>88</v>
      </c>
      <c r="E1455" t="s">
        <v>68</v>
      </c>
      <c r="F1455" t="s">
        <v>24</v>
      </c>
      <c r="G1455" s="4">
        <v>3</v>
      </c>
      <c r="H1455" s="4" t="s">
        <v>86</v>
      </c>
      <c r="I1455" s="4" t="s">
        <v>69</v>
      </c>
      <c r="J1455" s="4" t="s">
        <v>66</v>
      </c>
      <c r="K1455" s="4">
        <v>0</v>
      </c>
      <c r="L1455" s="94">
        <v>43963</v>
      </c>
      <c r="M1455" s="94">
        <v>131889</v>
      </c>
    </row>
    <row r="1456" spans="3:13" x14ac:dyDescent="0.3">
      <c r="C1456" t="s">
        <v>70</v>
      </c>
      <c r="D1456" t="s">
        <v>67</v>
      </c>
      <c r="E1456" t="s">
        <v>68</v>
      </c>
      <c r="F1456" t="s">
        <v>26</v>
      </c>
      <c r="G1456" s="4">
        <v>3</v>
      </c>
      <c r="H1456" s="4" t="s">
        <v>76</v>
      </c>
      <c r="I1456" s="4" t="s">
        <v>69</v>
      </c>
      <c r="J1456" s="4" t="s">
        <v>66</v>
      </c>
      <c r="K1456" s="4">
        <v>0</v>
      </c>
      <c r="L1456" s="94">
        <v>7451367</v>
      </c>
      <c r="M1456" s="94">
        <v>22354101</v>
      </c>
    </row>
    <row r="1457" spans="3:13" x14ac:dyDescent="0.3">
      <c r="C1457" t="s">
        <v>61</v>
      </c>
      <c r="D1457" t="s">
        <v>67</v>
      </c>
      <c r="E1457" t="s">
        <v>63</v>
      </c>
      <c r="F1457" t="s">
        <v>26</v>
      </c>
      <c r="G1457" s="4">
        <v>7</v>
      </c>
      <c r="H1457" s="4" t="s">
        <v>14</v>
      </c>
      <c r="I1457" s="4" t="s">
        <v>69</v>
      </c>
      <c r="J1457" s="4" t="s">
        <v>73</v>
      </c>
      <c r="K1457" s="4">
        <v>1</v>
      </c>
      <c r="L1457" s="94">
        <v>-7844</v>
      </c>
      <c r="M1457" s="94">
        <v>0</v>
      </c>
    </row>
    <row r="1458" spans="3:13" x14ac:dyDescent="0.3">
      <c r="C1458" t="s">
        <v>61</v>
      </c>
      <c r="D1458" t="s">
        <v>67</v>
      </c>
      <c r="E1458" t="s">
        <v>68</v>
      </c>
      <c r="F1458" t="s">
        <v>26</v>
      </c>
      <c r="G1458" s="4">
        <v>-1</v>
      </c>
      <c r="H1458" s="4" t="s">
        <v>12</v>
      </c>
      <c r="I1458" s="4" t="s">
        <v>65</v>
      </c>
      <c r="J1458" s="4" t="s">
        <v>66</v>
      </c>
      <c r="K1458" s="4">
        <v>1</v>
      </c>
      <c r="L1458" s="94">
        <v>338</v>
      </c>
      <c r="M1458" s="94">
        <v>0</v>
      </c>
    </row>
    <row r="1459" spans="3:13" x14ac:dyDescent="0.3">
      <c r="C1459" t="s">
        <v>70</v>
      </c>
      <c r="D1459" t="s">
        <v>67</v>
      </c>
      <c r="E1459" t="s">
        <v>68</v>
      </c>
      <c r="F1459" t="s">
        <v>72</v>
      </c>
      <c r="G1459" s="4">
        <v>-4</v>
      </c>
      <c r="H1459" s="4" t="s">
        <v>77</v>
      </c>
      <c r="I1459" s="4" t="s">
        <v>69</v>
      </c>
      <c r="J1459" s="4" t="s">
        <v>66</v>
      </c>
      <c r="K1459" s="4">
        <v>0</v>
      </c>
      <c r="L1459" s="94">
        <v>601</v>
      </c>
      <c r="M1459" s="94">
        <v>0</v>
      </c>
    </row>
    <row r="1460" spans="3:13" x14ac:dyDescent="0.3">
      <c r="C1460" t="s">
        <v>61</v>
      </c>
      <c r="D1460" t="s">
        <v>67</v>
      </c>
      <c r="E1460" t="s">
        <v>68</v>
      </c>
      <c r="F1460" t="s">
        <v>26</v>
      </c>
      <c r="G1460" s="4">
        <v>-1</v>
      </c>
      <c r="H1460" s="4" t="s">
        <v>17</v>
      </c>
      <c r="I1460" s="4" t="s">
        <v>69</v>
      </c>
      <c r="J1460" s="4" t="s">
        <v>73</v>
      </c>
      <c r="K1460" s="4">
        <v>1</v>
      </c>
      <c r="L1460" s="94">
        <v>840155</v>
      </c>
      <c r="M1460" s="94">
        <v>0</v>
      </c>
    </row>
    <row r="1461" spans="3:13" x14ac:dyDescent="0.3">
      <c r="C1461" t="s">
        <v>61</v>
      </c>
      <c r="D1461" t="s">
        <v>67</v>
      </c>
      <c r="E1461" t="s">
        <v>63</v>
      </c>
      <c r="F1461" t="s">
        <v>25</v>
      </c>
      <c r="G1461" s="4">
        <v>16</v>
      </c>
      <c r="H1461" s="4" t="s">
        <v>83</v>
      </c>
      <c r="I1461" s="4" t="s">
        <v>69</v>
      </c>
      <c r="J1461" s="4" t="s">
        <v>66</v>
      </c>
      <c r="K1461" s="4">
        <v>0</v>
      </c>
      <c r="L1461" s="94">
        <v>-57</v>
      </c>
      <c r="M1461" s="94">
        <v>0</v>
      </c>
    </row>
    <row r="1462" spans="3:13" x14ac:dyDescent="0.3">
      <c r="C1462" t="s">
        <v>70</v>
      </c>
      <c r="D1462" t="s">
        <v>62</v>
      </c>
      <c r="E1462" t="s">
        <v>68</v>
      </c>
      <c r="F1462" t="s">
        <v>24</v>
      </c>
      <c r="G1462" s="4">
        <v>41</v>
      </c>
      <c r="I1462" s="4" t="s">
        <v>65</v>
      </c>
      <c r="J1462" s="4" t="s">
        <v>66</v>
      </c>
      <c r="K1462" s="4">
        <v>1</v>
      </c>
      <c r="L1462" s="94">
        <v>159729</v>
      </c>
      <c r="M1462" s="94">
        <v>6548889</v>
      </c>
    </row>
    <row r="1463" spans="3:13" x14ac:dyDescent="0.3">
      <c r="C1463" t="s">
        <v>61</v>
      </c>
      <c r="D1463" t="s">
        <v>67</v>
      </c>
      <c r="E1463" t="s">
        <v>68</v>
      </c>
      <c r="F1463" t="s">
        <v>72</v>
      </c>
      <c r="G1463" s="4">
        <v>10</v>
      </c>
      <c r="H1463" s="4" t="s">
        <v>18</v>
      </c>
      <c r="I1463" s="4" t="s">
        <v>69</v>
      </c>
      <c r="J1463" s="4" t="s">
        <v>66</v>
      </c>
      <c r="K1463" s="4">
        <v>0</v>
      </c>
      <c r="L1463" s="94">
        <v>98992</v>
      </c>
      <c r="M1463" s="94">
        <v>989920</v>
      </c>
    </row>
    <row r="1464" spans="3:13" x14ac:dyDescent="0.3">
      <c r="C1464" t="s">
        <v>61</v>
      </c>
      <c r="D1464" t="s">
        <v>62</v>
      </c>
      <c r="E1464" t="s">
        <v>63</v>
      </c>
      <c r="F1464" t="s">
        <v>25</v>
      </c>
      <c r="G1464" s="4">
        <v>4</v>
      </c>
      <c r="I1464" s="4" t="s">
        <v>69</v>
      </c>
      <c r="J1464" s="4" t="s">
        <v>66</v>
      </c>
      <c r="K1464" s="4">
        <v>1</v>
      </c>
      <c r="L1464" s="94">
        <v>-19</v>
      </c>
      <c r="M1464" s="94">
        <v>0</v>
      </c>
    </row>
    <row r="1465" spans="3:13" x14ac:dyDescent="0.3">
      <c r="C1465" t="s">
        <v>70</v>
      </c>
      <c r="D1465" t="s">
        <v>67</v>
      </c>
      <c r="E1465" t="s">
        <v>68</v>
      </c>
      <c r="F1465" t="s">
        <v>26</v>
      </c>
      <c r="G1465" s="4">
        <v>5</v>
      </c>
      <c r="H1465" s="4" t="s">
        <v>76</v>
      </c>
      <c r="I1465" s="4" t="s">
        <v>69</v>
      </c>
      <c r="J1465" s="4" t="s">
        <v>66</v>
      </c>
      <c r="K1465" s="4">
        <v>0</v>
      </c>
      <c r="L1465" s="94">
        <v>2697940</v>
      </c>
      <c r="M1465" s="94">
        <v>13489700</v>
      </c>
    </row>
    <row r="1466" spans="3:13" x14ac:dyDescent="0.3">
      <c r="C1466" t="s">
        <v>70</v>
      </c>
      <c r="D1466" t="s">
        <v>62</v>
      </c>
      <c r="E1466" t="s">
        <v>68</v>
      </c>
      <c r="F1466" t="s">
        <v>24</v>
      </c>
      <c r="G1466" s="4">
        <v>10</v>
      </c>
      <c r="I1466" s="4" t="s">
        <v>69</v>
      </c>
      <c r="J1466" s="4" t="s">
        <v>66</v>
      </c>
      <c r="K1466" s="4">
        <v>1</v>
      </c>
      <c r="L1466" s="94">
        <v>217242</v>
      </c>
      <c r="M1466" s="94">
        <v>2172420</v>
      </c>
    </row>
    <row r="1467" spans="3:13" x14ac:dyDescent="0.3">
      <c r="C1467" t="s">
        <v>61</v>
      </c>
      <c r="D1467" t="s">
        <v>62</v>
      </c>
      <c r="E1467" t="s">
        <v>63</v>
      </c>
      <c r="F1467" t="s">
        <v>24</v>
      </c>
      <c r="G1467" s="4">
        <v>33</v>
      </c>
      <c r="I1467" s="4" t="s">
        <v>69</v>
      </c>
      <c r="J1467" s="4" t="s">
        <v>73</v>
      </c>
      <c r="K1467" s="4">
        <v>1</v>
      </c>
      <c r="L1467" s="94">
        <v>-2</v>
      </c>
      <c r="M1467" s="94">
        <v>0</v>
      </c>
    </row>
    <row r="1468" spans="3:13" x14ac:dyDescent="0.3">
      <c r="C1468" t="s">
        <v>61</v>
      </c>
      <c r="D1468" t="s">
        <v>67</v>
      </c>
      <c r="E1468" t="s">
        <v>63</v>
      </c>
      <c r="F1468" t="s">
        <v>25</v>
      </c>
      <c r="G1468" s="4">
        <v>7</v>
      </c>
      <c r="H1468" s="4" t="s">
        <v>76</v>
      </c>
      <c r="I1468" s="4" t="s">
        <v>65</v>
      </c>
      <c r="J1468" s="4" t="s">
        <v>66</v>
      </c>
      <c r="K1468" s="4">
        <v>1</v>
      </c>
      <c r="L1468" s="94">
        <v>-692</v>
      </c>
      <c r="M1468" s="94">
        <v>0</v>
      </c>
    </row>
    <row r="1469" spans="3:13" x14ac:dyDescent="0.3">
      <c r="C1469" t="s">
        <v>70</v>
      </c>
      <c r="D1469" t="s">
        <v>62</v>
      </c>
      <c r="E1469" t="s">
        <v>63</v>
      </c>
      <c r="F1469" t="s">
        <v>25</v>
      </c>
      <c r="G1469" s="4">
        <v>6</v>
      </c>
      <c r="I1469" s="4" t="s">
        <v>65</v>
      </c>
      <c r="J1469" s="4" t="s">
        <v>66</v>
      </c>
      <c r="K1469" s="4">
        <v>1</v>
      </c>
      <c r="L1469" s="94">
        <v>-628</v>
      </c>
      <c r="M1469" s="94">
        <v>0</v>
      </c>
    </row>
    <row r="1470" spans="3:13" x14ac:dyDescent="0.3">
      <c r="C1470" t="s">
        <v>61</v>
      </c>
      <c r="D1470" t="s">
        <v>67</v>
      </c>
      <c r="E1470" t="s">
        <v>63</v>
      </c>
      <c r="F1470" t="s">
        <v>72</v>
      </c>
      <c r="G1470" s="4">
        <v>-4</v>
      </c>
      <c r="H1470" s="4" t="s">
        <v>80</v>
      </c>
      <c r="I1470" s="4" t="s">
        <v>69</v>
      </c>
      <c r="J1470" s="4" t="s">
        <v>66</v>
      </c>
      <c r="K1470" s="4">
        <v>0</v>
      </c>
      <c r="L1470" s="94">
        <v>-1</v>
      </c>
      <c r="M1470" s="94">
        <v>0</v>
      </c>
    </row>
    <row r="1471" spans="3:13" x14ac:dyDescent="0.3">
      <c r="C1471" t="s">
        <v>61</v>
      </c>
      <c r="D1471" t="s">
        <v>67</v>
      </c>
      <c r="E1471" t="s">
        <v>68</v>
      </c>
      <c r="F1471" t="s">
        <v>25</v>
      </c>
      <c r="G1471" s="4">
        <v>14</v>
      </c>
      <c r="H1471" s="4" t="s">
        <v>16</v>
      </c>
      <c r="I1471" s="4" t="s">
        <v>69</v>
      </c>
      <c r="J1471" s="4" t="s">
        <v>66</v>
      </c>
      <c r="K1471" s="4">
        <v>0</v>
      </c>
      <c r="L1471" s="94">
        <v>507618</v>
      </c>
      <c r="M1471" s="94">
        <v>7106652</v>
      </c>
    </row>
    <row r="1472" spans="3:13" x14ac:dyDescent="0.3">
      <c r="C1472" t="s">
        <v>70</v>
      </c>
      <c r="D1472" t="s">
        <v>62</v>
      </c>
      <c r="E1472" t="s">
        <v>68</v>
      </c>
      <c r="F1472" t="s">
        <v>24</v>
      </c>
      <c r="G1472" s="4">
        <v>7</v>
      </c>
      <c r="I1472" s="4" t="s">
        <v>69</v>
      </c>
      <c r="J1472" s="4" t="s">
        <v>66</v>
      </c>
      <c r="K1472" s="4">
        <v>0</v>
      </c>
      <c r="L1472" s="94">
        <v>18923953</v>
      </c>
      <c r="M1472" s="94">
        <v>132467671</v>
      </c>
    </row>
    <row r="1473" spans="3:13" x14ac:dyDescent="0.3">
      <c r="C1473" t="s">
        <v>61</v>
      </c>
      <c r="D1473" t="s">
        <v>67</v>
      </c>
      <c r="E1473" t="s">
        <v>63</v>
      </c>
      <c r="F1473" t="s">
        <v>26</v>
      </c>
      <c r="G1473" s="4">
        <v>11</v>
      </c>
      <c r="H1473" s="4" t="s">
        <v>18</v>
      </c>
      <c r="I1473" s="4" t="s">
        <v>69</v>
      </c>
      <c r="J1473" s="4" t="s">
        <v>66</v>
      </c>
      <c r="K1473" s="4">
        <v>0</v>
      </c>
      <c r="L1473" s="94">
        <v>-3560</v>
      </c>
      <c r="M1473" s="94">
        <v>0</v>
      </c>
    </row>
    <row r="1474" spans="3:13" x14ac:dyDescent="0.3">
      <c r="C1474" t="s">
        <v>71</v>
      </c>
      <c r="D1474" t="s">
        <v>67</v>
      </c>
      <c r="E1474" t="s">
        <v>68</v>
      </c>
      <c r="F1474" t="s">
        <v>26</v>
      </c>
      <c r="G1474" s="4">
        <v>19</v>
      </c>
      <c r="H1474" s="4" t="s">
        <v>16</v>
      </c>
      <c r="I1474" s="4" t="s">
        <v>69</v>
      </c>
      <c r="J1474" s="4" t="s">
        <v>66</v>
      </c>
      <c r="K1474" s="4">
        <v>0</v>
      </c>
      <c r="L1474" s="94">
        <v>194883</v>
      </c>
      <c r="M1474" s="94">
        <v>3702777</v>
      </c>
    </row>
    <row r="1475" spans="3:13" x14ac:dyDescent="0.3">
      <c r="C1475" t="s">
        <v>61</v>
      </c>
      <c r="D1475" t="s">
        <v>67</v>
      </c>
      <c r="E1475" t="s">
        <v>63</v>
      </c>
      <c r="F1475" t="s">
        <v>25</v>
      </c>
      <c r="G1475" s="4">
        <v>5</v>
      </c>
      <c r="H1475" s="4" t="s">
        <v>64</v>
      </c>
      <c r="I1475" s="4" t="s">
        <v>69</v>
      </c>
      <c r="J1475" s="4" t="s">
        <v>66</v>
      </c>
      <c r="K1475" s="4">
        <v>0</v>
      </c>
      <c r="L1475" s="94">
        <v>-1158</v>
      </c>
      <c r="M1475" s="94">
        <v>0</v>
      </c>
    </row>
    <row r="1476" spans="3:13" x14ac:dyDescent="0.3">
      <c r="C1476" t="s">
        <v>71</v>
      </c>
      <c r="D1476" t="s">
        <v>67</v>
      </c>
      <c r="E1476" t="s">
        <v>63</v>
      </c>
      <c r="F1476" t="s">
        <v>26</v>
      </c>
      <c r="G1476" s="4">
        <v>-1</v>
      </c>
      <c r="H1476" s="4" t="s">
        <v>18</v>
      </c>
      <c r="I1476" s="4" t="s">
        <v>65</v>
      </c>
      <c r="J1476" s="4" t="s">
        <v>66</v>
      </c>
      <c r="K1476" s="4">
        <v>1</v>
      </c>
      <c r="L1476" s="94">
        <v>-6559</v>
      </c>
      <c r="M1476" s="94">
        <v>0</v>
      </c>
    </row>
    <row r="1477" spans="3:13" x14ac:dyDescent="0.3">
      <c r="C1477" t="s">
        <v>70</v>
      </c>
      <c r="D1477" t="s">
        <v>67</v>
      </c>
      <c r="E1477" t="s">
        <v>68</v>
      </c>
      <c r="F1477" t="s">
        <v>26</v>
      </c>
      <c r="G1477" s="4">
        <v>4</v>
      </c>
      <c r="H1477" s="4" t="s">
        <v>77</v>
      </c>
      <c r="I1477" s="4" t="s">
        <v>69</v>
      </c>
      <c r="J1477" s="4" t="s">
        <v>66</v>
      </c>
      <c r="K1477" s="4">
        <v>0</v>
      </c>
      <c r="L1477" s="94">
        <v>797355</v>
      </c>
      <c r="M1477" s="94">
        <v>3189420</v>
      </c>
    </row>
    <row r="1478" spans="3:13" x14ac:dyDescent="0.3">
      <c r="C1478" t="s">
        <v>70</v>
      </c>
      <c r="D1478" t="s">
        <v>67</v>
      </c>
      <c r="E1478" t="s">
        <v>63</v>
      </c>
      <c r="F1478" t="s">
        <v>72</v>
      </c>
      <c r="G1478" s="4">
        <v>6</v>
      </c>
      <c r="H1478" s="4" t="s">
        <v>14</v>
      </c>
      <c r="I1478" s="4" t="s">
        <v>69</v>
      </c>
      <c r="J1478" s="4" t="s">
        <v>66</v>
      </c>
      <c r="K1478" s="4">
        <v>0</v>
      </c>
      <c r="L1478" s="94">
        <v>-20183</v>
      </c>
      <c r="M1478" s="94">
        <v>0</v>
      </c>
    </row>
    <row r="1479" spans="3:13" x14ac:dyDescent="0.3">
      <c r="C1479" t="s">
        <v>61</v>
      </c>
      <c r="D1479" t="s">
        <v>62</v>
      </c>
      <c r="E1479" t="s">
        <v>68</v>
      </c>
      <c r="F1479" t="s">
        <v>24</v>
      </c>
      <c r="G1479" s="4">
        <v>7</v>
      </c>
      <c r="I1479" s="4" t="s">
        <v>65</v>
      </c>
      <c r="J1479" s="4" t="s">
        <v>66</v>
      </c>
      <c r="K1479" s="4">
        <v>1</v>
      </c>
      <c r="L1479" s="94">
        <v>2080463</v>
      </c>
      <c r="M1479" s="94">
        <v>14563241</v>
      </c>
    </row>
    <row r="1480" spans="3:13" x14ac:dyDescent="0.3">
      <c r="C1480" t="s">
        <v>61</v>
      </c>
      <c r="D1480" t="s">
        <v>67</v>
      </c>
      <c r="E1480" t="s">
        <v>68</v>
      </c>
      <c r="F1480" t="s">
        <v>26</v>
      </c>
      <c r="G1480" s="4">
        <v>0</v>
      </c>
      <c r="H1480" s="4" t="s">
        <v>17</v>
      </c>
      <c r="I1480" s="4" t="s">
        <v>65</v>
      </c>
      <c r="J1480" s="4" t="s">
        <v>66</v>
      </c>
      <c r="K1480" s="4">
        <v>1</v>
      </c>
      <c r="L1480" s="94">
        <v>145942</v>
      </c>
      <c r="M1480" s="94">
        <v>0</v>
      </c>
    </row>
    <row r="1481" spans="3:13" x14ac:dyDescent="0.3">
      <c r="C1481" t="s">
        <v>70</v>
      </c>
      <c r="D1481" t="s">
        <v>67</v>
      </c>
      <c r="E1481" t="s">
        <v>63</v>
      </c>
      <c r="F1481" t="s">
        <v>26</v>
      </c>
      <c r="G1481" s="4">
        <v>3</v>
      </c>
      <c r="H1481" s="4" t="s">
        <v>12</v>
      </c>
      <c r="I1481" s="4" t="s">
        <v>69</v>
      </c>
      <c r="J1481" s="4" t="s">
        <v>73</v>
      </c>
      <c r="K1481" s="4">
        <v>1</v>
      </c>
      <c r="L1481" s="94">
        <v>-137035</v>
      </c>
      <c r="M1481" s="94">
        <v>0</v>
      </c>
    </row>
    <row r="1482" spans="3:13" x14ac:dyDescent="0.3">
      <c r="C1482" t="s">
        <v>61</v>
      </c>
      <c r="D1482" t="s">
        <v>67</v>
      </c>
      <c r="E1482" t="s">
        <v>68</v>
      </c>
      <c r="F1482" t="s">
        <v>72</v>
      </c>
      <c r="G1482" s="4">
        <v>4</v>
      </c>
      <c r="H1482" s="4" t="s">
        <v>76</v>
      </c>
      <c r="I1482" s="4" t="s">
        <v>69</v>
      </c>
      <c r="J1482" s="4" t="s">
        <v>66</v>
      </c>
      <c r="K1482" s="4">
        <v>0</v>
      </c>
      <c r="L1482" s="94">
        <v>2582309</v>
      </c>
      <c r="M1482" s="94">
        <v>10329236</v>
      </c>
    </row>
    <row r="1483" spans="3:13" x14ac:dyDescent="0.3">
      <c r="C1483" t="s">
        <v>71</v>
      </c>
      <c r="D1483" t="s">
        <v>67</v>
      </c>
      <c r="E1483" t="s">
        <v>63</v>
      </c>
      <c r="F1483" t="s">
        <v>26</v>
      </c>
      <c r="G1483" s="4">
        <v>13</v>
      </c>
      <c r="H1483" s="4" t="s">
        <v>14</v>
      </c>
      <c r="I1483" s="4" t="s">
        <v>69</v>
      </c>
      <c r="J1483" s="4" t="s">
        <v>66</v>
      </c>
      <c r="K1483" s="4">
        <v>0</v>
      </c>
      <c r="L1483" s="94">
        <v>-90522</v>
      </c>
      <c r="M1483" s="94">
        <v>0</v>
      </c>
    </row>
    <row r="1484" spans="3:13" x14ac:dyDescent="0.3">
      <c r="C1484" t="s">
        <v>61</v>
      </c>
      <c r="D1484" t="s">
        <v>67</v>
      </c>
      <c r="E1484" t="s">
        <v>63</v>
      </c>
      <c r="F1484" t="s">
        <v>25</v>
      </c>
      <c r="G1484" s="4">
        <v>11</v>
      </c>
      <c r="H1484" s="4" t="s">
        <v>12</v>
      </c>
      <c r="I1484" s="4" t="s">
        <v>69</v>
      </c>
      <c r="J1484" s="4" t="s">
        <v>66</v>
      </c>
      <c r="K1484" s="4">
        <v>1</v>
      </c>
      <c r="L1484" s="94">
        <v>-20334</v>
      </c>
      <c r="M1484" s="94">
        <v>0</v>
      </c>
    </row>
    <row r="1485" spans="3:13" x14ac:dyDescent="0.3">
      <c r="C1485" t="s">
        <v>70</v>
      </c>
      <c r="D1485" t="s">
        <v>62</v>
      </c>
      <c r="E1485" t="s">
        <v>63</v>
      </c>
      <c r="F1485" t="s">
        <v>24</v>
      </c>
      <c r="G1485" s="4">
        <v>41</v>
      </c>
      <c r="I1485" s="4" t="s">
        <v>69</v>
      </c>
      <c r="J1485" s="4" t="s">
        <v>66</v>
      </c>
      <c r="K1485" s="4">
        <v>0</v>
      </c>
      <c r="L1485" s="94">
        <v>-135826</v>
      </c>
      <c r="M1485" s="94">
        <v>0</v>
      </c>
    </row>
    <row r="1486" spans="3:13" x14ac:dyDescent="0.3">
      <c r="C1486" t="s">
        <v>61</v>
      </c>
      <c r="D1486" t="s">
        <v>67</v>
      </c>
      <c r="E1486" t="s">
        <v>68</v>
      </c>
      <c r="F1486" t="s">
        <v>25</v>
      </c>
      <c r="G1486" s="4">
        <v>8</v>
      </c>
      <c r="H1486" s="4" t="s">
        <v>17</v>
      </c>
      <c r="I1486" s="4" t="s">
        <v>69</v>
      </c>
      <c r="J1486" s="4" t="s">
        <v>66</v>
      </c>
      <c r="K1486" s="4">
        <v>1</v>
      </c>
      <c r="L1486" s="94">
        <v>551069</v>
      </c>
      <c r="M1486" s="94">
        <v>4408552</v>
      </c>
    </row>
    <row r="1487" spans="3:13" x14ac:dyDescent="0.3">
      <c r="C1487" t="s">
        <v>61</v>
      </c>
      <c r="D1487" t="s">
        <v>67</v>
      </c>
      <c r="E1487" t="s">
        <v>68</v>
      </c>
      <c r="F1487" t="s">
        <v>26</v>
      </c>
      <c r="G1487" s="4">
        <v>0</v>
      </c>
      <c r="H1487" s="4" t="s">
        <v>12</v>
      </c>
      <c r="I1487" s="4" t="s">
        <v>69</v>
      </c>
      <c r="J1487" s="4" t="s">
        <v>73</v>
      </c>
      <c r="K1487" s="4">
        <v>1</v>
      </c>
      <c r="L1487" s="94">
        <v>32188447</v>
      </c>
      <c r="M1487" s="94">
        <v>0</v>
      </c>
    </row>
    <row r="1488" spans="3:13" x14ac:dyDescent="0.3">
      <c r="C1488" t="s">
        <v>71</v>
      </c>
      <c r="D1488" t="s">
        <v>67</v>
      </c>
      <c r="E1488" t="s">
        <v>63</v>
      </c>
      <c r="F1488" t="s">
        <v>26</v>
      </c>
      <c r="G1488" s="4">
        <v>6</v>
      </c>
      <c r="H1488" s="4" t="s">
        <v>17</v>
      </c>
      <c r="I1488" s="4" t="s">
        <v>69</v>
      </c>
      <c r="J1488" s="4" t="s">
        <v>66</v>
      </c>
      <c r="K1488" s="4">
        <v>0</v>
      </c>
      <c r="L1488" s="94">
        <v>-624685</v>
      </c>
      <c r="M1488" s="94">
        <v>0</v>
      </c>
    </row>
    <row r="1489" spans="3:13" x14ac:dyDescent="0.3">
      <c r="C1489" t="s">
        <v>70</v>
      </c>
      <c r="D1489" t="s">
        <v>67</v>
      </c>
      <c r="E1489" t="s">
        <v>68</v>
      </c>
      <c r="F1489" t="s">
        <v>72</v>
      </c>
      <c r="G1489" s="4">
        <v>3</v>
      </c>
      <c r="H1489" s="4" t="s">
        <v>75</v>
      </c>
      <c r="I1489" s="4" t="s">
        <v>69</v>
      </c>
      <c r="J1489" s="4" t="s">
        <v>66</v>
      </c>
      <c r="K1489" s="4">
        <v>0</v>
      </c>
      <c r="L1489" s="94">
        <v>715386</v>
      </c>
      <c r="M1489" s="94">
        <v>2146158</v>
      </c>
    </row>
    <row r="1490" spans="3:13" x14ac:dyDescent="0.3">
      <c r="C1490" t="s">
        <v>71</v>
      </c>
      <c r="D1490" t="s">
        <v>67</v>
      </c>
      <c r="E1490" t="s">
        <v>68</v>
      </c>
      <c r="F1490" t="s">
        <v>72</v>
      </c>
      <c r="G1490" s="4">
        <v>-4</v>
      </c>
      <c r="H1490" s="4" t="s">
        <v>17</v>
      </c>
      <c r="I1490" s="4" t="s">
        <v>69</v>
      </c>
      <c r="J1490" s="4" t="s">
        <v>73</v>
      </c>
      <c r="K1490" s="4">
        <v>1</v>
      </c>
      <c r="L1490" s="94">
        <v>1556</v>
      </c>
      <c r="M1490" s="94">
        <v>0</v>
      </c>
    </row>
    <row r="1491" spans="3:13" x14ac:dyDescent="0.3">
      <c r="C1491" t="s">
        <v>61</v>
      </c>
      <c r="D1491" t="s">
        <v>67</v>
      </c>
      <c r="E1491" t="s">
        <v>68</v>
      </c>
      <c r="F1491" t="s">
        <v>72</v>
      </c>
      <c r="G1491" s="4">
        <v>-1</v>
      </c>
      <c r="H1491" s="4" t="s">
        <v>77</v>
      </c>
      <c r="I1491" s="4" t="s">
        <v>69</v>
      </c>
      <c r="J1491" s="4" t="s">
        <v>66</v>
      </c>
      <c r="K1491" s="4">
        <v>0</v>
      </c>
      <c r="L1491" s="94">
        <v>832471</v>
      </c>
      <c r="M1491" s="94">
        <v>0</v>
      </c>
    </row>
    <row r="1492" spans="3:13" x14ac:dyDescent="0.3">
      <c r="C1492" t="s">
        <v>70</v>
      </c>
      <c r="D1492" t="s">
        <v>67</v>
      </c>
      <c r="E1492" t="s">
        <v>68</v>
      </c>
      <c r="F1492" t="s">
        <v>26</v>
      </c>
      <c r="G1492" s="4">
        <v>-1</v>
      </c>
      <c r="H1492" s="4" t="s">
        <v>16</v>
      </c>
      <c r="I1492" s="4" t="s">
        <v>69</v>
      </c>
      <c r="J1492" s="4" t="s">
        <v>66</v>
      </c>
      <c r="K1492" s="4">
        <v>0</v>
      </c>
      <c r="L1492" s="94">
        <v>818524</v>
      </c>
      <c r="M1492" s="94">
        <v>0</v>
      </c>
    </row>
    <row r="1493" spans="3:13" x14ac:dyDescent="0.3">
      <c r="C1493" t="s">
        <v>61</v>
      </c>
      <c r="D1493" t="s">
        <v>67</v>
      </c>
      <c r="E1493" t="s">
        <v>68</v>
      </c>
      <c r="F1493" t="s">
        <v>25</v>
      </c>
      <c r="G1493" s="4">
        <v>1</v>
      </c>
      <c r="H1493" s="4" t="s">
        <v>13</v>
      </c>
      <c r="I1493" s="4" t="s">
        <v>69</v>
      </c>
      <c r="J1493" s="4" t="s">
        <v>66</v>
      </c>
      <c r="K1493" s="4">
        <v>1</v>
      </c>
      <c r="L1493" s="94">
        <v>9544</v>
      </c>
      <c r="M1493" s="94">
        <v>9544</v>
      </c>
    </row>
    <row r="1494" spans="3:13" x14ac:dyDescent="0.3">
      <c r="C1494" t="s">
        <v>70</v>
      </c>
      <c r="D1494" t="s">
        <v>67</v>
      </c>
      <c r="E1494" t="s">
        <v>68</v>
      </c>
      <c r="F1494" t="s">
        <v>25</v>
      </c>
      <c r="G1494" s="4">
        <v>1</v>
      </c>
      <c r="H1494" s="4" t="s">
        <v>17</v>
      </c>
      <c r="I1494" s="4" t="s">
        <v>69</v>
      </c>
      <c r="J1494" s="4" t="s">
        <v>66</v>
      </c>
      <c r="K1494" s="4">
        <v>0</v>
      </c>
      <c r="L1494" s="94">
        <v>476413</v>
      </c>
      <c r="M1494" s="94">
        <v>476413</v>
      </c>
    </row>
    <row r="1495" spans="3:13" x14ac:dyDescent="0.3">
      <c r="C1495" t="s">
        <v>61</v>
      </c>
      <c r="D1495" t="s">
        <v>67</v>
      </c>
      <c r="E1495" t="s">
        <v>63</v>
      </c>
      <c r="F1495" t="s">
        <v>26</v>
      </c>
      <c r="G1495" s="4">
        <v>1</v>
      </c>
      <c r="H1495" s="4" t="s">
        <v>82</v>
      </c>
      <c r="I1495" s="4" t="s">
        <v>69</v>
      </c>
      <c r="J1495" s="4" t="s">
        <v>73</v>
      </c>
      <c r="K1495" s="4">
        <v>1</v>
      </c>
      <c r="L1495" s="94">
        <v>-189</v>
      </c>
      <c r="M1495" s="94">
        <v>0</v>
      </c>
    </row>
    <row r="1496" spans="3:13" x14ac:dyDescent="0.3">
      <c r="C1496" t="s">
        <v>71</v>
      </c>
      <c r="D1496" t="s">
        <v>67</v>
      </c>
      <c r="E1496" t="s">
        <v>63</v>
      </c>
      <c r="F1496" t="s">
        <v>25</v>
      </c>
      <c r="G1496" s="4">
        <v>10</v>
      </c>
      <c r="H1496" s="4" t="s">
        <v>78</v>
      </c>
      <c r="I1496" s="4" t="s">
        <v>69</v>
      </c>
      <c r="J1496" s="4" t="s">
        <v>66</v>
      </c>
      <c r="K1496" s="4">
        <v>0</v>
      </c>
      <c r="L1496" s="94">
        <v>-4179</v>
      </c>
      <c r="M1496" s="94">
        <v>0</v>
      </c>
    </row>
    <row r="1497" spans="3:13" x14ac:dyDescent="0.3">
      <c r="C1497" t="s">
        <v>70</v>
      </c>
      <c r="D1497" t="s">
        <v>67</v>
      </c>
      <c r="E1497" t="s">
        <v>68</v>
      </c>
      <c r="F1497" t="s">
        <v>72</v>
      </c>
      <c r="G1497" s="4">
        <v>1</v>
      </c>
      <c r="H1497" s="4" t="s">
        <v>18</v>
      </c>
      <c r="I1497" s="4" t="s">
        <v>69</v>
      </c>
      <c r="J1497" s="4" t="s">
        <v>66</v>
      </c>
      <c r="K1497" s="4">
        <v>0</v>
      </c>
      <c r="L1497" s="94">
        <v>986280</v>
      </c>
      <c r="M1497" s="94">
        <v>986280</v>
      </c>
    </row>
    <row r="1498" spans="3:13" x14ac:dyDescent="0.3">
      <c r="C1498" t="s">
        <v>71</v>
      </c>
      <c r="D1498" t="s">
        <v>67</v>
      </c>
      <c r="E1498" t="s">
        <v>63</v>
      </c>
      <c r="F1498" t="s">
        <v>72</v>
      </c>
      <c r="G1498" s="4">
        <v>6</v>
      </c>
      <c r="H1498" s="4" t="s">
        <v>14</v>
      </c>
      <c r="I1498" s="4" t="s">
        <v>69</v>
      </c>
      <c r="J1498" s="4" t="s">
        <v>73</v>
      </c>
      <c r="K1498" s="4">
        <v>1</v>
      </c>
      <c r="L1498" s="94">
        <v>-214011</v>
      </c>
      <c r="M1498" s="94">
        <v>0</v>
      </c>
    </row>
    <row r="1499" spans="3:13" x14ac:dyDescent="0.3">
      <c r="C1499" t="s">
        <v>70</v>
      </c>
      <c r="D1499" t="s">
        <v>67</v>
      </c>
      <c r="E1499" t="s">
        <v>68</v>
      </c>
      <c r="F1499" t="s">
        <v>26</v>
      </c>
      <c r="G1499" s="4">
        <v>0</v>
      </c>
      <c r="H1499" s="4" t="s">
        <v>75</v>
      </c>
      <c r="I1499" s="4" t="s">
        <v>69</v>
      </c>
      <c r="J1499" s="4" t="s">
        <v>66</v>
      </c>
      <c r="K1499" s="4">
        <v>0</v>
      </c>
      <c r="L1499" s="94">
        <v>1220182</v>
      </c>
      <c r="M1499" s="94">
        <v>0</v>
      </c>
    </row>
    <row r="1500" spans="3:13" x14ac:dyDescent="0.3">
      <c r="C1500" t="s">
        <v>71</v>
      </c>
      <c r="D1500" t="s">
        <v>67</v>
      </c>
      <c r="E1500" t="s">
        <v>68</v>
      </c>
      <c r="F1500" t="s">
        <v>26</v>
      </c>
      <c r="G1500" s="4">
        <v>14</v>
      </c>
      <c r="H1500" s="4" t="s">
        <v>14</v>
      </c>
      <c r="I1500" s="4" t="s">
        <v>69</v>
      </c>
      <c r="J1500" s="4" t="s">
        <v>73</v>
      </c>
      <c r="K1500" s="4">
        <v>1</v>
      </c>
      <c r="L1500" s="94">
        <v>67975</v>
      </c>
      <c r="M1500" s="94">
        <v>951650</v>
      </c>
    </row>
    <row r="1501" spans="3:13" x14ac:dyDescent="0.3">
      <c r="C1501" t="s">
        <v>71</v>
      </c>
      <c r="D1501" t="s">
        <v>67</v>
      </c>
      <c r="E1501" t="s">
        <v>63</v>
      </c>
      <c r="F1501" t="s">
        <v>72</v>
      </c>
      <c r="G1501" s="4">
        <v>1</v>
      </c>
      <c r="H1501" s="4" t="s">
        <v>79</v>
      </c>
      <c r="I1501" s="4" t="s">
        <v>69</v>
      </c>
      <c r="J1501" s="4" t="s">
        <v>66</v>
      </c>
      <c r="K1501" s="4">
        <v>0</v>
      </c>
      <c r="L1501" s="94">
        <v>-30256</v>
      </c>
      <c r="M1501" s="94">
        <v>0</v>
      </c>
    </row>
    <row r="1502" spans="3:13" x14ac:dyDescent="0.3">
      <c r="C1502" t="s">
        <v>71</v>
      </c>
      <c r="D1502" t="s">
        <v>67</v>
      </c>
      <c r="E1502" t="s">
        <v>63</v>
      </c>
      <c r="F1502" t="s">
        <v>25</v>
      </c>
      <c r="G1502" s="4">
        <v>3</v>
      </c>
      <c r="H1502" s="4" t="s">
        <v>79</v>
      </c>
      <c r="I1502" s="4" t="s">
        <v>69</v>
      </c>
      <c r="J1502" s="4" t="s">
        <v>66</v>
      </c>
      <c r="K1502" s="4">
        <v>0</v>
      </c>
      <c r="L1502" s="94">
        <v>-71568</v>
      </c>
      <c r="M1502" s="94">
        <v>0</v>
      </c>
    </row>
    <row r="1503" spans="3:13" x14ac:dyDescent="0.3">
      <c r="C1503" t="s">
        <v>61</v>
      </c>
      <c r="D1503" t="s">
        <v>67</v>
      </c>
      <c r="E1503" t="s">
        <v>68</v>
      </c>
      <c r="F1503" t="s">
        <v>26</v>
      </c>
      <c r="G1503" s="4">
        <v>-1</v>
      </c>
      <c r="H1503" s="4" t="s">
        <v>82</v>
      </c>
      <c r="I1503" s="4" t="s">
        <v>69</v>
      </c>
      <c r="J1503" s="4" t="s">
        <v>73</v>
      </c>
      <c r="K1503" s="4">
        <v>1</v>
      </c>
      <c r="L1503" s="94">
        <v>35639</v>
      </c>
      <c r="M1503" s="94">
        <v>0</v>
      </c>
    </row>
    <row r="1504" spans="3:13" x14ac:dyDescent="0.3">
      <c r="C1504" t="s">
        <v>61</v>
      </c>
      <c r="D1504" t="s">
        <v>62</v>
      </c>
      <c r="E1504" t="s">
        <v>68</v>
      </c>
      <c r="F1504" t="s">
        <v>24</v>
      </c>
      <c r="G1504" s="4">
        <v>4</v>
      </c>
      <c r="I1504" s="4" t="s">
        <v>69</v>
      </c>
      <c r="J1504" s="4" t="s">
        <v>66</v>
      </c>
      <c r="K1504" s="4">
        <v>1</v>
      </c>
      <c r="L1504" s="94">
        <v>436999</v>
      </c>
      <c r="M1504" s="94">
        <v>1747996</v>
      </c>
    </row>
    <row r="1505" spans="3:13" x14ac:dyDescent="0.3">
      <c r="C1505" t="s">
        <v>70</v>
      </c>
      <c r="D1505" t="s">
        <v>67</v>
      </c>
      <c r="E1505" t="s">
        <v>63</v>
      </c>
      <c r="F1505" t="s">
        <v>26</v>
      </c>
      <c r="G1505" s="4">
        <v>2</v>
      </c>
      <c r="H1505" s="4" t="s">
        <v>64</v>
      </c>
      <c r="I1505" s="4" t="s">
        <v>69</v>
      </c>
      <c r="J1505" s="4" t="s">
        <v>66</v>
      </c>
      <c r="K1505" s="4">
        <v>0</v>
      </c>
      <c r="L1505" s="94">
        <v>-219536</v>
      </c>
      <c r="M1505" s="94">
        <v>0</v>
      </c>
    </row>
    <row r="1506" spans="3:13" x14ac:dyDescent="0.3">
      <c r="C1506" t="s">
        <v>61</v>
      </c>
      <c r="D1506" t="s">
        <v>67</v>
      </c>
      <c r="E1506" t="s">
        <v>63</v>
      </c>
      <c r="F1506" t="s">
        <v>26</v>
      </c>
      <c r="G1506" s="4">
        <v>0</v>
      </c>
      <c r="H1506" s="4" t="s">
        <v>15</v>
      </c>
      <c r="I1506" s="4" t="s">
        <v>65</v>
      </c>
      <c r="J1506" s="4" t="s">
        <v>66</v>
      </c>
      <c r="K1506" s="4">
        <v>1</v>
      </c>
      <c r="L1506" s="94">
        <v>-32</v>
      </c>
      <c r="M1506" s="94">
        <v>0</v>
      </c>
    </row>
    <row r="1507" spans="3:13" x14ac:dyDescent="0.3">
      <c r="C1507" t="s">
        <v>61</v>
      </c>
      <c r="D1507" t="s">
        <v>67</v>
      </c>
      <c r="E1507" t="s">
        <v>68</v>
      </c>
      <c r="F1507" t="s">
        <v>26</v>
      </c>
      <c r="G1507" s="4">
        <v>4</v>
      </c>
      <c r="H1507" s="4" t="s">
        <v>18</v>
      </c>
      <c r="I1507" s="4" t="s">
        <v>69</v>
      </c>
      <c r="J1507" s="4" t="s">
        <v>73</v>
      </c>
      <c r="K1507" s="4">
        <v>1</v>
      </c>
      <c r="L1507" s="94">
        <v>4459576</v>
      </c>
      <c r="M1507" s="94">
        <v>17838304</v>
      </c>
    </row>
    <row r="1508" spans="3:13" x14ac:dyDescent="0.3">
      <c r="C1508" t="s">
        <v>70</v>
      </c>
      <c r="D1508" t="s">
        <v>67</v>
      </c>
      <c r="E1508" t="s">
        <v>63</v>
      </c>
      <c r="F1508" t="s">
        <v>25</v>
      </c>
      <c r="G1508" s="4">
        <v>14</v>
      </c>
      <c r="H1508" s="4" t="s">
        <v>17</v>
      </c>
      <c r="I1508" s="4" t="s">
        <v>69</v>
      </c>
      <c r="J1508" s="4" t="s">
        <v>66</v>
      </c>
      <c r="K1508" s="4">
        <v>0</v>
      </c>
      <c r="L1508" s="94">
        <v>-198388</v>
      </c>
      <c r="M1508" s="94">
        <v>0</v>
      </c>
    </row>
    <row r="1509" spans="3:13" x14ac:dyDescent="0.3">
      <c r="C1509" t="s">
        <v>61</v>
      </c>
      <c r="D1509" t="s">
        <v>67</v>
      </c>
      <c r="E1509" t="s">
        <v>63</v>
      </c>
      <c r="F1509" t="s">
        <v>26</v>
      </c>
      <c r="G1509" s="4">
        <v>0</v>
      </c>
      <c r="H1509" s="4" t="s">
        <v>14</v>
      </c>
      <c r="I1509" s="4" t="s">
        <v>69</v>
      </c>
      <c r="J1509" s="4" t="s">
        <v>73</v>
      </c>
      <c r="K1509" s="4">
        <v>1</v>
      </c>
      <c r="L1509" s="94">
        <v>-1159299</v>
      </c>
      <c r="M1509" s="94">
        <v>0</v>
      </c>
    </row>
    <row r="1510" spans="3:13" x14ac:dyDescent="0.3">
      <c r="C1510" t="s">
        <v>70</v>
      </c>
      <c r="D1510" t="s">
        <v>67</v>
      </c>
      <c r="E1510" t="s">
        <v>68</v>
      </c>
      <c r="F1510" t="s">
        <v>25</v>
      </c>
      <c r="G1510" s="4">
        <v>6</v>
      </c>
      <c r="H1510" s="4" t="s">
        <v>12</v>
      </c>
      <c r="I1510" s="4" t="s">
        <v>69</v>
      </c>
      <c r="J1510" s="4" t="s">
        <v>66</v>
      </c>
      <c r="K1510" s="4">
        <v>0</v>
      </c>
      <c r="L1510" s="94">
        <v>301973</v>
      </c>
      <c r="M1510" s="94">
        <v>1811838</v>
      </c>
    </row>
    <row r="1511" spans="3:13" x14ac:dyDescent="0.3">
      <c r="C1511" t="s">
        <v>61</v>
      </c>
      <c r="D1511" t="s">
        <v>62</v>
      </c>
      <c r="E1511" t="s">
        <v>68</v>
      </c>
      <c r="F1511" t="s">
        <v>24</v>
      </c>
      <c r="G1511" s="4">
        <v>12</v>
      </c>
      <c r="I1511" s="4" t="s">
        <v>69</v>
      </c>
      <c r="J1511" s="4" t="s">
        <v>66</v>
      </c>
      <c r="K1511" s="4">
        <v>0</v>
      </c>
      <c r="L1511" s="94">
        <v>189615496</v>
      </c>
      <c r="M1511" s="94">
        <v>2275385952</v>
      </c>
    </row>
    <row r="1512" spans="3:13" x14ac:dyDescent="0.3">
      <c r="C1512" t="s">
        <v>71</v>
      </c>
      <c r="D1512" t="s">
        <v>67</v>
      </c>
      <c r="E1512" t="s">
        <v>68</v>
      </c>
      <c r="F1512" t="s">
        <v>25</v>
      </c>
      <c r="G1512" s="4">
        <v>-4</v>
      </c>
      <c r="H1512" s="4" t="s">
        <v>12</v>
      </c>
      <c r="I1512" s="4" t="s">
        <v>69</v>
      </c>
      <c r="J1512" s="4" t="s">
        <v>66</v>
      </c>
      <c r="K1512" s="4">
        <v>0</v>
      </c>
      <c r="L1512" s="94">
        <v>33503</v>
      </c>
      <c r="M1512" s="94">
        <v>0</v>
      </c>
    </row>
    <row r="1513" spans="3:13" x14ac:dyDescent="0.3">
      <c r="C1513" t="s">
        <v>71</v>
      </c>
      <c r="D1513" t="s">
        <v>62</v>
      </c>
      <c r="E1513" t="s">
        <v>63</v>
      </c>
      <c r="F1513" t="s">
        <v>24</v>
      </c>
      <c r="G1513" s="4">
        <v>41</v>
      </c>
      <c r="I1513" s="4" t="s">
        <v>69</v>
      </c>
      <c r="J1513" s="4" t="s">
        <v>66</v>
      </c>
      <c r="K1513" s="4">
        <v>0</v>
      </c>
      <c r="L1513" s="94">
        <v>-181064</v>
      </c>
      <c r="M1513" s="94">
        <v>0</v>
      </c>
    </row>
    <row r="1514" spans="3:13" x14ac:dyDescent="0.3">
      <c r="C1514" t="s">
        <v>71</v>
      </c>
      <c r="D1514" t="s">
        <v>67</v>
      </c>
      <c r="E1514" t="s">
        <v>68</v>
      </c>
      <c r="F1514" t="s">
        <v>26</v>
      </c>
      <c r="G1514" s="4">
        <v>-1</v>
      </c>
      <c r="H1514" s="4" t="s">
        <v>13</v>
      </c>
      <c r="I1514" s="4" t="s">
        <v>69</v>
      </c>
      <c r="J1514" s="4" t="s">
        <v>73</v>
      </c>
      <c r="K1514" s="4">
        <v>1</v>
      </c>
      <c r="L1514" s="94">
        <v>47974</v>
      </c>
      <c r="M1514" s="94">
        <v>0</v>
      </c>
    </row>
    <row r="1515" spans="3:13" x14ac:dyDescent="0.3">
      <c r="C1515" t="s">
        <v>70</v>
      </c>
      <c r="D1515" t="s">
        <v>67</v>
      </c>
      <c r="E1515" t="s">
        <v>68</v>
      </c>
      <c r="F1515" t="s">
        <v>26</v>
      </c>
      <c r="G1515" s="4">
        <v>3</v>
      </c>
      <c r="H1515" s="4" t="s">
        <v>18</v>
      </c>
      <c r="I1515" s="4" t="s">
        <v>69</v>
      </c>
      <c r="J1515" s="4" t="s">
        <v>66</v>
      </c>
      <c r="K1515" s="4">
        <v>0</v>
      </c>
      <c r="L1515" s="94">
        <v>38275394</v>
      </c>
      <c r="M1515" s="94">
        <v>114826182</v>
      </c>
    </row>
    <row r="1516" spans="3:13" x14ac:dyDescent="0.3">
      <c r="C1516" t="s">
        <v>61</v>
      </c>
      <c r="D1516" t="s">
        <v>67</v>
      </c>
      <c r="E1516" t="s">
        <v>63</v>
      </c>
      <c r="F1516" t="s">
        <v>72</v>
      </c>
      <c r="G1516" s="4">
        <v>6</v>
      </c>
      <c r="H1516" s="4" t="s">
        <v>14</v>
      </c>
      <c r="I1516" s="4" t="s">
        <v>69</v>
      </c>
      <c r="J1516" s="4" t="s">
        <v>66</v>
      </c>
      <c r="K1516" s="4">
        <v>0</v>
      </c>
      <c r="L1516" s="94">
        <v>-2709</v>
      </c>
      <c r="M1516" s="94">
        <v>0</v>
      </c>
    </row>
    <row r="1517" spans="3:13" x14ac:dyDescent="0.3">
      <c r="C1517" t="s">
        <v>61</v>
      </c>
      <c r="D1517" t="s">
        <v>67</v>
      </c>
      <c r="E1517" t="s">
        <v>63</v>
      </c>
      <c r="F1517" t="s">
        <v>26</v>
      </c>
      <c r="G1517" s="4">
        <v>-1</v>
      </c>
      <c r="H1517" s="4" t="s">
        <v>13</v>
      </c>
      <c r="I1517" s="4" t="s">
        <v>69</v>
      </c>
      <c r="J1517" s="4" t="s">
        <v>73</v>
      </c>
      <c r="K1517" s="4">
        <v>1</v>
      </c>
      <c r="L1517" s="94">
        <v>-3411</v>
      </c>
      <c r="M1517" s="94">
        <v>0</v>
      </c>
    </row>
    <row r="1518" spans="3:13" x14ac:dyDescent="0.3">
      <c r="C1518" t="s">
        <v>61</v>
      </c>
      <c r="D1518" t="s">
        <v>84</v>
      </c>
      <c r="E1518" t="s">
        <v>68</v>
      </c>
      <c r="F1518" t="s">
        <v>25</v>
      </c>
      <c r="G1518" s="4">
        <v>7</v>
      </c>
      <c r="H1518" s="4" t="s">
        <v>81</v>
      </c>
      <c r="I1518" s="4" t="s">
        <v>69</v>
      </c>
      <c r="J1518" s="4" t="s">
        <v>66</v>
      </c>
      <c r="K1518" s="4">
        <v>0</v>
      </c>
      <c r="L1518" s="94">
        <v>4007932</v>
      </c>
      <c r="M1518" s="94">
        <v>28055524</v>
      </c>
    </row>
    <row r="1519" spans="3:13" x14ac:dyDescent="0.3">
      <c r="C1519" t="s">
        <v>61</v>
      </c>
      <c r="D1519" t="s">
        <v>67</v>
      </c>
      <c r="E1519" t="s">
        <v>63</v>
      </c>
      <c r="F1519" t="s">
        <v>25</v>
      </c>
      <c r="G1519" s="4">
        <v>9</v>
      </c>
      <c r="H1519" s="4" t="s">
        <v>75</v>
      </c>
      <c r="I1519" s="4" t="s">
        <v>65</v>
      </c>
      <c r="J1519" s="4" t="s">
        <v>66</v>
      </c>
      <c r="K1519" s="4">
        <v>1</v>
      </c>
      <c r="L1519" s="94">
        <v>-161</v>
      </c>
      <c r="M1519" s="94">
        <v>0</v>
      </c>
    </row>
    <row r="1520" spans="3:13" x14ac:dyDescent="0.3">
      <c r="C1520" t="s">
        <v>61</v>
      </c>
      <c r="D1520" t="s">
        <v>67</v>
      </c>
      <c r="E1520" t="s">
        <v>68</v>
      </c>
      <c r="F1520" t="s">
        <v>26</v>
      </c>
      <c r="G1520" s="4">
        <v>5</v>
      </c>
      <c r="H1520" s="4" t="s">
        <v>15</v>
      </c>
      <c r="I1520" s="4" t="s">
        <v>69</v>
      </c>
      <c r="J1520" s="4" t="s">
        <v>73</v>
      </c>
      <c r="K1520" s="4">
        <v>1</v>
      </c>
      <c r="L1520" s="94">
        <v>9926299</v>
      </c>
      <c r="M1520" s="94">
        <v>49631495</v>
      </c>
    </row>
    <row r="1521" spans="3:13" x14ac:dyDescent="0.3">
      <c r="C1521" t="s">
        <v>61</v>
      </c>
      <c r="D1521" t="s">
        <v>67</v>
      </c>
      <c r="E1521" t="s">
        <v>63</v>
      </c>
      <c r="F1521" t="s">
        <v>72</v>
      </c>
      <c r="G1521" s="4">
        <v>5</v>
      </c>
      <c r="H1521" s="4" t="s">
        <v>81</v>
      </c>
      <c r="I1521" s="4" t="s">
        <v>69</v>
      </c>
      <c r="J1521" s="4" t="s">
        <v>66</v>
      </c>
      <c r="K1521" s="4">
        <v>0</v>
      </c>
      <c r="L1521" s="94">
        <v>-707</v>
      </c>
      <c r="M1521" s="94">
        <v>0</v>
      </c>
    </row>
    <row r="1522" spans="3:13" x14ac:dyDescent="0.3">
      <c r="C1522" t="s">
        <v>71</v>
      </c>
      <c r="D1522" t="s">
        <v>67</v>
      </c>
      <c r="E1522" t="s">
        <v>63</v>
      </c>
      <c r="F1522" t="s">
        <v>25</v>
      </c>
      <c r="G1522" s="4">
        <v>29</v>
      </c>
      <c r="I1522" s="4" t="s">
        <v>69</v>
      </c>
      <c r="J1522" s="4" t="s">
        <v>66</v>
      </c>
      <c r="K1522" s="4">
        <v>0</v>
      </c>
      <c r="L1522" s="94">
        <v>-35000000</v>
      </c>
      <c r="M1522" s="94">
        <v>0</v>
      </c>
    </row>
    <row r="1523" spans="3:13" x14ac:dyDescent="0.3">
      <c r="C1523" t="s">
        <v>70</v>
      </c>
      <c r="D1523" t="s">
        <v>67</v>
      </c>
      <c r="E1523" t="s">
        <v>68</v>
      </c>
      <c r="F1523" t="s">
        <v>72</v>
      </c>
      <c r="G1523" s="4">
        <v>-4</v>
      </c>
      <c r="H1523" s="4" t="s">
        <v>17</v>
      </c>
      <c r="I1523" s="4" t="s">
        <v>65</v>
      </c>
      <c r="J1523" s="4" t="s">
        <v>73</v>
      </c>
      <c r="K1523" s="4">
        <v>1</v>
      </c>
      <c r="L1523" s="94">
        <v>220</v>
      </c>
      <c r="M1523" s="94">
        <v>0</v>
      </c>
    </row>
    <row r="1524" spans="3:13" x14ac:dyDescent="0.3">
      <c r="C1524" t="s">
        <v>61</v>
      </c>
      <c r="D1524" t="s">
        <v>67</v>
      </c>
      <c r="E1524" t="s">
        <v>68</v>
      </c>
      <c r="F1524" t="s">
        <v>26</v>
      </c>
      <c r="G1524" s="4">
        <v>2</v>
      </c>
      <c r="H1524" s="4" t="s">
        <v>13</v>
      </c>
      <c r="I1524" s="4" t="s">
        <v>69</v>
      </c>
      <c r="J1524" s="4" t="s">
        <v>73</v>
      </c>
      <c r="K1524" s="4">
        <v>1</v>
      </c>
      <c r="L1524" s="94">
        <v>238612</v>
      </c>
      <c r="M1524" s="94">
        <v>477224</v>
      </c>
    </row>
    <row r="1525" spans="3:13" x14ac:dyDescent="0.3">
      <c r="C1525" t="s">
        <v>61</v>
      </c>
      <c r="D1525" t="s">
        <v>67</v>
      </c>
      <c r="E1525" t="s">
        <v>63</v>
      </c>
      <c r="F1525" t="s">
        <v>72</v>
      </c>
      <c r="G1525" s="4">
        <v>-4</v>
      </c>
      <c r="H1525" s="4" t="s">
        <v>17</v>
      </c>
      <c r="I1525" s="4" t="s">
        <v>65</v>
      </c>
      <c r="J1525" s="4" t="s">
        <v>73</v>
      </c>
      <c r="K1525" s="4">
        <v>1</v>
      </c>
      <c r="L1525" s="94">
        <v>0</v>
      </c>
      <c r="M1525" s="94">
        <v>0</v>
      </c>
    </row>
    <row r="1526" spans="3:13" x14ac:dyDescent="0.3">
      <c r="C1526" t="s">
        <v>71</v>
      </c>
      <c r="D1526" t="s">
        <v>67</v>
      </c>
      <c r="E1526" t="s">
        <v>63</v>
      </c>
      <c r="F1526" t="s">
        <v>26</v>
      </c>
      <c r="G1526" s="4">
        <v>18</v>
      </c>
      <c r="H1526" s="4" t="s">
        <v>14</v>
      </c>
      <c r="I1526" s="4" t="s">
        <v>69</v>
      </c>
      <c r="J1526" s="4" t="s">
        <v>73</v>
      </c>
      <c r="K1526" s="4">
        <v>1</v>
      </c>
      <c r="L1526" s="94">
        <v>-21065</v>
      </c>
      <c r="M1526" s="94">
        <v>0</v>
      </c>
    </row>
    <row r="1527" spans="3:13" x14ac:dyDescent="0.3">
      <c r="C1527" t="s">
        <v>61</v>
      </c>
      <c r="D1527" t="s">
        <v>67</v>
      </c>
      <c r="E1527" t="s">
        <v>68</v>
      </c>
      <c r="F1527" t="s">
        <v>25</v>
      </c>
      <c r="G1527" s="4">
        <v>-4</v>
      </c>
      <c r="H1527" s="4" t="s">
        <v>18</v>
      </c>
      <c r="I1527" s="4" t="s">
        <v>69</v>
      </c>
      <c r="J1527" s="4" t="s">
        <v>66</v>
      </c>
      <c r="K1527" s="4">
        <v>0</v>
      </c>
      <c r="L1527" s="94">
        <v>205854</v>
      </c>
      <c r="M1527" s="94">
        <v>0</v>
      </c>
    </row>
    <row r="1528" spans="3:13" x14ac:dyDescent="0.3">
      <c r="C1528" t="s">
        <v>61</v>
      </c>
      <c r="D1528" t="s">
        <v>67</v>
      </c>
      <c r="E1528" t="s">
        <v>63</v>
      </c>
      <c r="F1528" t="s">
        <v>26</v>
      </c>
      <c r="G1528" s="4">
        <v>3</v>
      </c>
      <c r="H1528" s="4" t="s">
        <v>81</v>
      </c>
      <c r="I1528" s="4" t="s">
        <v>69</v>
      </c>
      <c r="J1528" s="4" t="s">
        <v>66</v>
      </c>
      <c r="K1528" s="4">
        <v>0</v>
      </c>
      <c r="L1528" s="94">
        <v>-821</v>
      </c>
      <c r="M1528" s="94">
        <v>0</v>
      </c>
    </row>
    <row r="1529" spans="3:13" x14ac:dyDescent="0.3">
      <c r="C1529" t="s">
        <v>61</v>
      </c>
      <c r="D1529" t="s">
        <v>67</v>
      </c>
      <c r="E1529" t="s">
        <v>68</v>
      </c>
      <c r="F1529" t="s">
        <v>26</v>
      </c>
      <c r="G1529" s="4">
        <v>1</v>
      </c>
      <c r="H1529" s="4" t="s">
        <v>76</v>
      </c>
      <c r="I1529" s="4" t="s">
        <v>69</v>
      </c>
      <c r="J1529" s="4" t="s">
        <v>66</v>
      </c>
      <c r="K1529" s="4">
        <v>0</v>
      </c>
      <c r="L1529" s="94">
        <v>33120132</v>
      </c>
      <c r="M1529" s="94">
        <v>33120132</v>
      </c>
    </row>
    <row r="1530" spans="3:13" x14ac:dyDescent="0.3">
      <c r="C1530" t="s">
        <v>70</v>
      </c>
      <c r="D1530" t="s">
        <v>67</v>
      </c>
      <c r="E1530" t="s">
        <v>63</v>
      </c>
      <c r="F1530" t="s">
        <v>26</v>
      </c>
      <c r="G1530" s="4">
        <v>4</v>
      </c>
      <c r="H1530" s="4" t="s">
        <v>12</v>
      </c>
      <c r="I1530" s="4" t="s">
        <v>69</v>
      </c>
      <c r="J1530" s="4" t="s">
        <v>66</v>
      </c>
      <c r="K1530" s="4">
        <v>0</v>
      </c>
      <c r="L1530" s="94">
        <v>-39344</v>
      </c>
      <c r="M1530" s="94">
        <v>0</v>
      </c>
    </row>
    <row r="1531" spans="3:13" x14ac:dyDescent="0.3">
      <c r="C1531" t="s">
        <v>71</v>
      </c>
      <c r="D1531" t="s">
        <v>67</v>
      </c>
      <c r="E1531" t="s">
        <v>63</v>
      </c>
      <c r="F1531" t="s">
        <v>72</v>
      </c>
      <c r="G1531" s="4">
        <v>-1</v>
      </c>
      <c r="H1531" s="4" t="s">
        <v>18</v>
      </c>
      <c r="I1531" s="4" t="s">
        <v>69</v>
      </c>
      <c r="J1531" s="4" t="s">
        <v>66</v>
      </c>
      <c r="K1531" s="4">
        <v>0</v>
      </c>
      <c r="L1531" s="94">
        <v>-79534</v>
      </c>
      <c r="M1531" s="94">
        <v>0</v>
      </c>
    </row>
    <row r="1532" spans="3:13" x14ac:dyDescent="0.3">
      <c r="C1532" t="s">
        <v>70</v>
      </c>
      <c r="D1532" t="s">
        <v>62</v>
      </c>
      <c r="E1532" t="s">
        <v>68</v>
      </c>
      <c r="F1532" t="s">
        <v>24</v>
      </c>
      <c r="G1532" s="4">
        <v>1</v>
      </c>
      <c r="I1532" s="4" t="s">
        <v>65</v>
      </c>
      <c r="J1532" s="4" t="s">
        <v>66</v>
      </c>
      <c r="K1532" s="4">
        <v>1</v>
      </c>
      <c r="L1532" s="94">
        <v>10251</v>
      </c>
      <c r="M1532" s="94">
        <v>10251</v>
      </c>
    </row>
    <row r="1533" spans="3:13" x14ac:dyDescent="0.3">
      <c r="C1533" t="s">
        <v>70</v>
      </c>
      <c r="D1533" t="s">
        <v>67</v>
      </c>
      <c r="E1533" t="s">
        <v>63</v>
      </c>
      <c r="F1533" t="s">
        <v>25</v>
      </c>
      <c r="G1533" s="4">
        <v>12</v>
      </c>
      <c r="H1533" s="4" t="s">
        <v>12</v>
      </c>
      <c r="I1533" s="4" t="s">
        <v>69</v>
      </c>
      <c r="J1533" s="4" t="s">
        <v>66</v>
      </c>
      <c r="K1533" s="4">
        <v>1</v>
      </c>
      <c r="L1533" s="94">
        <v>-923</v>
      </c>
      <c r="M1533" s="94">
        <v>0</v>
      </c>
    </row>
    <row r="1534" spans="3:13" x14ac:dyDescent="0.3">
      <c r="C1534" t="s">
        <v>61</v>
      </c>
      <c r="D1534" t="s">
        <v>67</v>
      </c>
      <c r="E1534" t="s">
        <v>63</v>
      </c>
      <c r="F1534" t="s">
        <v>25</v>
      </c>
      <c r="G1534" s="4">
        <v>5</v>
      </c>
      <c r="H1534" s="4" t="s">
        <v>14</v>
      </c>
      <c r="I1534" s="4" t="s">
        <v>69</v>
      </c>
      <c r="J1534" s="4" t="s">
        <v>73</v>
      </c>
      <c r="K1534" s="4">
        <v>1</v>
      </c>
      <c r="L1534" s="94">
        <v>-371</v>
      </c>
      <c r="M1534" s="94">
        <v>0</v>
      </c>
    </row>
    <row r="1535" spans="3:13" x14ac:dyDescent="0.3">
      <c r="C1535" t="s">
        <v>70</v>
      </c>
      <c r="D1535" t="s">
        <v>67</v>
      </c>
      <c r="E1535" t="s">
        <v>68</v>
      </c>
      <c r="F1535" t="s">
        <v>26</v>
      </c>
      <c r="G1535" s="4">
        <v>7</v>
      </c>
      <c r="H1535" s="4" t="s">
        <v>12</v>
      </c>
      <c r="I1535" s="4" t="s">
        <v>69</v>
      </c>
      <c r="J1535" s="4" t="s">
        <v>66</v>
      </c>
      <c r="K1535" s="4">
        <v>0</v>
      </c>
      <c r="L1535" s="94">
        <v>87566</v>
      </c>
      <c r="M1535" s="94">
        <v>612962</v>
      </c>
    </row>
    <row r="1536" spans="3:13" x14ac:dyDescent="0.3">
      <c r="C1536" t="s">
        <v>61</v>
      </c>
      <c r="D1536" t="s">
        <v>67</v>
      </c>
      <c r="E1536" t="s">
        <v>68</v>
      </c>
      <c r="F1536" t="s">
        <v>26</v>
      </c>
      <c r="G1536" s="4">
        <v>-4</v>
      </c>
      <c r="H1536" s="4" t="s">
        <v>17</v>
      </c>
      <c r="I1536" s="4" t="s">
        <v>69</v>
      </c>
      <c r="J1536" s="4" t="s">
        <v>66</v>
      </c>
      <c r="K1536" s="4">
        <v>0</v>
      </c>
      <c r="L1536" s="94">
        <v>-123809</v>
      </c>
      <c r="M1536" s="94">
        <v>0</v>
      </c>
    </row>
    <row r="1537" spans="3:13" x14ac:dyDescent="0.3">
      <c r="C1537" t="s">
        <v>61</v>
      </c>
      <c r="D1537" t="s">
        <v>67</v>
      </c>
      <c r="E1537" t="s">
        <v>63</v>
      </c>
      <c r="F1537" t="s">
        <v>72</v>
      </c>
      <c r="G1537" s="4">
        <v>-1</v>
      </c>
      <c r="H1537" s="4" t="s">
        <v>18</v>
      </c>
      <c r="I1537" s="4" t="s">
        <v>69</v>
      </c>
      <c r="J1537" s="4" t="s">
        <v>73</v>
      </c>
      <c r="K1537" s="4">
        <v>1</v>
      </c>
      <c r="L1537" s="94">
        <v>-1136</v>
      </c>
      <c r="M1537" s="94">
        <v>0</v>
      </c>
    </row>
    <row r="1538" spans="3:13" x14ac:dyDescent="0.3">
      <c r="C1538" t="s">
        <v>71</v>
      </c>
      <c r="D1538" t="s">
        <v>67</v>
      </c>
      <c r="E1538" t="s">
        <v>63</v>
      </c>
      <c r="F1538" t="s">
        <v>72</v>
      </c>
      <c r="G1538" s="4">
        <v>2</v>
      </c>
      <c r="H1538" s="4" t="s">
        <v>14</v>
      </c>
      <c r="I1538" s="4" t="s">
        <v>69</v>
      </c>
      <c r="J1538" s="4" t="s">
        <v>73</v>
      </c>
      <c r="K1538" s="4">
        <v>1</v>
      </c>
      <c r="L1538" s="94">
        <v>-160522</v>
      </c>
      <c r="M1538" s="94">
        <v>0</v>
      </c>
    </row>
    <row r="1539" spans="3:13" x14ac:dyDescent="0.3">
      <c r="C1539" t="s">
        <v>71</v>
      </c>
      <c r="D1539" t="s">
        <v>62</v>
      </c>
      <c r="E1539" t="s">
        <v>63</v>
      </c>
      <c r="F1539" t="s">
        <v>24</v>
      </c>
      <c r="G1539" s="4">
        <v>45</v>
      </c>
      <c r="I1539" s="4" t="s">
        <v>69</v>
      </c>
      <c r="J1539" s="4" t="s">
        <v>66</v>
      </c>
      <c r="K1539" s="4">
        <v>0</v>
      </c>
      <c r="L1539" s="94">
        <v>-48726</v>
      </c>
      <c r="M1539" s="94">
        <v>0</v>
      </c>
    </row>
    <row r="1540" spans="3:13" x14ac:dyDescent="0.3">
      <c r="C1540" t="s">
        <v>61</v>
      </c>
      <c r="D1540" t="s">
        <v>67</v>
      </c>
      <c r="E1540" t="s">
        <v>63</v>
      </c>
      <c r="F1540" t="s">
        <v>72</v>
      </c>
      <c r="G1540" s="4">
        <v>-4</v>
      </c>
      <c r="H1540" s="4" t="s">
        <v>74</v>
      </c>
      <c r="I1540" s="4" t="s">
        <v>69</v>
      </c>
      <c r="J1540" s="4" t="s">
        <v>66</v>
      </c>
      <c r="K1540" s="4">
        <v>0</v>
      </c>
      <c r="L1540" s="94">
        <v>-4</v>
      </c>
      <c r="M1540" s="94">
        <v>0</v>
      </c>
    </row>
    <row r="1541" spans="3:13" x14ac:dyDescent="0.3">
      <c r="C1541" t="s">
        <v>71</v>
      </c>
      <c r="D1541" t="s">
        <v>62</v>
      </c>
      <c r="E1541" t="s">
        <v>68</v>
      </c>
      <c r="F1541" t="s">
        <v>25</v>
      </c>
      <c r="G1541" s="4">
        <v>11</v>
      </c>
      <c r="I1541" s="4" t="s">
        <v>69</v>
      </c>
      <c r="J1541" s="4" t="s">
        <v>66</v>
      </c>
      <c r="K1541" s="4">
        <v>0</v>
      </c>
      <c r="L1541" s="94">
        <v>34336</v>
      </c>
      <c r="M1541" s="94">
        <v>377696</v>
      </c>
    </row>
    <row r="1542" spans="3:13" x14ac:dyDescent="0.3">
      <c r="C1542" t="s">
        <v>71</v>
      </c>
      <c r="D1542" t="s">
        <v>67</v>
      </c>
      <c r="E1542" t="s">
        <v>68</v>
      </c>
      <c r="F1542" t="s">
        <v>25</v>
      </c>
      <c r="G1542" s="4">
        <v>6</v>
      </c>
      <c r="H1542" s="4" t="s">
        <v>14</v>
      </c>
      <c r="I1542" s="4" t="s">
        <v>69</v>
      </c>
      <c r="J1542" s="4" t="s">
        <v>66</v>
      </c>
      <c r="K1542" s="4">
        <v>1</v>
      </c>
      <c r="L1542" s="94">
        <v>1571117</v>
      </c>
      <c r="M1542" s="94">
        <v>9426702</v>
      </c>
    </row>
    <row r="1543" spans="3:13" x14ac:dyDescent="0.3">
      <c r="C1543" t="s">
        <v>70</v>
      </c>
      <c r="D1543" t="s">
        <v>67</v>
      </c>
      <c r="E1543" t="s">
        <v>63</v>
      </c>
      <c r="F1543" t="s">
        <v>25</v>
      </c>
      <c r="G1543" s="4">
        <v>5</v>
      </c>
      <c r="H1543" s="4" t="s">
        <v>79</v>
      </c>
      <c r="I1543" s="4" t="s">
        <v>69</v>
      </c>
      <c r="J1543" s="4" t="s">
        <v>66</v>
      </c>
      <c r="K1543" s="4">
        <v>0</v>
      </c>
      <c r="L1543" s="94">
        <v>-11199</v>
      </c>
      <c r="M1543" s="94">
        <v>0</v>
      </c>
    </row>
    <row r="1544" spans="3:13" x14ac:dyDescent="0.3">
      <c r="C1544" t="s">
        <v>71</v>
      </c>
      <c r="D1544" t="s">
        <v>67</v>
      </c>
      <c r="E1544" t="s">
        <v>68</v>
      </c>
      <c r="F1544" t="s">
        <v>25</v>
      </c>
      <c r="G1544" s="4">
        <v>9</v>
      </c>
      <c r="H1544" s="4" t="s">
        <v>76</v>
      </c>
      <c r="I1544" s="4" t="s">
        <v>69</v>
      </c>
      <c r="J1544" s="4" t="s">
        <v>66</v>
      </c>
      <c r="K1544" s="4">
        <v>0</v>
      </c>
      <c r="L1544" s="94">
        <v>953982</v>
      </c>
      <c r="M1544" s="94">
        <v>8585838</v>
      </c>
    </row>
    <row r="1545" spans="3:13" x14ac:dyDescent="0.3">
      <c r="C1545" t="s">
        <v>61</v>
      </c>
      <c r="D1545" t="s">
        <v>67</v>
      </c>
      <c r="E1545" t="s">
        <v>63</v>
      </c>
      <c r="F1545" t="s">
        <v>72</v>
      </c>
      <c r="G1545" s="4">
        <v>1</v>
      </c>
      <c r="H1545" s="4" t="s">
        <v>82</v>
      </c>
      <c r="I1545" s="4" t="s">
        <v>65</v>
      </c>
      <c r="J1545" s="4" t="s">
        <v>66</v>
      </c>
      <c r="K1545" s="4">
        <v>1</v>
      </c>
      <c r="L1545" s="94">
        <v>-152</v>
      </c>
      <c r="M1545" s="94">
        <v>0</v>
      </c>
    </row>
    <row r="1546" spans="3:13" x14ac:dyDescent="0.3">
      <c r="C1546" t="s">
        <v>70</v>
      </c>
      <c r="D1546" t="s">
        <v>67</v>
      </c>
      <c r="E1546" t="s">
        <v>68</v>
      </c>
      <c r="F1546" t="s">
        <v>25</v>
      </c>
      <c r="G1546" s="4">
        <v>16</v>
      </c>
      <c r="H1546" s="4" t="s">
        <v>17</v>
      </c>
      <c r="I1546" s="4" t="s">
        <v>69</v>
      </c>
      <c r="J1546" s="4" t="s">
        <v>66</v>
      </c>
      <c r="K1546" s="4">
        <v>0</v>
      </c>
      <c r="L1546" s="94">
        <v>138078</v>
      </c>
      <c r="M1546" s="94">
        <v>2209248</v>
      </c>
    </row>
    <row r="1547" spans="3:13" x14ac:dyDescent="0.3">
      <c r="C1547" t="s">
        <v>70</v>
      </c>
      <c r="D1547" t="s">
        <v>67</v>
      </c>
      <c r="E1547" t="s">
        <v>68</v>
      </c>
      <c r="F1547" t="s">
        <v>72</v>
      </c>
      <c r="G1547" s="4">
        <v>-1</v>
      </c>
      <c r="H1547" s="4" t="s">
        <v>14</v>
      </c>
      <c r="I1547" s="4" t="s">
        <v>69</v>
      </c>
      <c r="J1547" s="4" t="s">
        <v>73</v>
      </c>
      <c r="K1547" s="4">
        <v>1</v>
      </c>
      <c r="L1547" s="94">
        <v>314004</v>
      </c>
      <c r="M1547" s="94">
        <v>0</v>
      </c>
    </row>
    <row r="1548" spans="3:13" x14ac:dyDescent="0.3">
      <c r="C1548" t="s">
        <v>61</v>
      </c>
      <c r="D1548" t="s">
        <v>67</v>
      </c>
      <c r="E1548" t="s">
        <v>63</v>
      </c>
      <c r="F1548" t="s">
        <v>25</v>
      </c>
      <c r="G1548" s="4">
        <v>10</v>
      </c>
      <c r="H1548" s="4" t="s">
        <v>77</v>
      </c>
      <c r="I1548" s="4" t="s">
        <v>69</v>
      </c>
      <c r="J1548" s="4" t="s">
        <v>66</v>
      </c>
      <c r="K1548" s="4">
        <v>0</v>
      </c>
      <c r="L1548" s="94">
        <v>-1414</v>
      </c>
      <c r="M1548" s="94">
        <v>0</v>
      </c>
    </row>
    <row r="1549" spans="3:13" x14ac:dyDescent="0.3">
      <c r="C1549" t="s">
        <v>61</v>
      </c>
      <c r="D1549" t="s">
        <v>62</v>
      </c>
      <c r="E1549" t="s">
        <v>68</v>
      </c>
      <c r="F1549" t="s">
        <v>25</v>
      </c>
      <c r="G1549" s="4">
        <v>18</v>
      </c>
      <c r="I1549" s="4" t="s">
        <v>69</v>
      </c>
      <c r="J1549" s="4" t="s">
        <v>66</v>
      </c>
      <c r="K1549" s="4">
        <v>1</v>
      </c>
      <c r="L1549" s="94">
        <v>71937</v>
      </c>
      <c r="M1549" s="94">
        <v>1294866</v>
      </c>
    </row>
    <row r="1550" spans="3:13" x14ac:dyDescent="0.3">
      <c r="C1550" t="s">
        <v>71</v>
      </c>
      <c r="D1550" t="s">
        <v>67</v>
      </c>
      <c r="E1550" t="s">
        <v>68</v>
      </c>
      <c r="F1550" t="s">
        <v>72</v>
      </c>
      <c r="G1550" s="4">
        <v>6</v>
      </c>
      <c r="H1550" s="4" t="s">
        <v>14</v>
      </c>
      <c r="I1550" s="4" t="s">
        <v>69</v>
      </c>
      <c r="J1550" s="4" t="s">
        <v>73</v>
      </c>
      <c r="K1550" s="4">
        <v>1</v>
      </c>
      <c r="L1550" s="94">
        <v>248018</v>
      </c>
      <c r="M1550" s="94">
        <v>1488108</v>
      </c>
    </row>
    <row r="1551" spans="3:13" x14ac:dyDescent="0.3">
      <c r="C1551" t="s">
        <v>70</v>
      </c>
      <c r="D1551" t="s">
        <v>67</v>
      </c>
      <c r="E1551" t="s">
        <v>63</v>
      </c>
      <c r="F1551" t="s">
        <v>72</v>
      </c>
      <c r="G1551" s="4">
        <v>-4</v>
      </c>
      <c r="H1551" s="4" t="s">
        <v>17</v>
      </c>
      <c r="I1551" s="4" t="s">
        <v>65</v>
      </c>
      <c r="J1551" s="4" t="s">
        <v>73</v>
      </c>
      <c r="K1551" s="4">
        <v>1</v>
      </c>
      <c r="L1551" s="94">
        <v>-43</v>
      </c>
      <c r="M1551" s="94">
        <v>0</v>
      </c>
    </row>
    <row r="1552" spans="3:13" x14ac:dyDescent="0.3">
      <c r="C1552" t="s">
        <v>61</v>
      </c>
      <c r="D1552" t="s">
        <v>67</v>
      </c>
      <c r="E1552" t="s">
        <v>63</v>
      </c>
      <c r="F1552" t="s">
        <v>72</v>
      </c>
      <c r="G1552" s="4">
        <v>4</v>
      </c>
      <c r="H1552" s="4" t="s">
        <v>16</v>
      </c>
      <c r="I1552" s="4" t="s">
        <v>69</v>
      </c>
      <c r="J1552" s="4" t="s">
        <v>66</v>
      </c>
      <c r="K1552" s="4">
        <v>0</v>
      </c>
      <c r="L1552" s="94">
        <v>-342</v>
      </c>
      <c r="M1552" s="94">
        <v>0</v>
      </c>
    </row>
    <row r="1553" spans="3:13" x14ac:dyDescent="0.3">
      <c r="C1553" t="s">
        <v>61</v>
      </c>
      <c r="D1553" t="s">
        <v>62</v>
      </c>
      <c r="E1553" t="s">
        <v>68</v>
      </c>
      <c r="F1553" t="s">
        <v>24</v>
      </c>
      <c r="G1553" s="4">
        <v>33</v>
      </c>
      <c r="I1553" s="4" t="s">
        <v>65</v>
      </c>
      <c r="J1553" s="4" t="s">
        <v>66</v>
      </c>
      <c r="K1553" s="4">
        <v>1</v>
      </c>
      <c r="L1553" s="94">
        <v>17292265</v>
      </c>
      <c r="M1553" s="94">
        <v>570644745</v>
      </c>
    </row>
    <row r="1554" spans="3:13" x14ac:dyDescent="0.3">
      <c r="C1554" t="s">
        <v>61</v>
      </c>
      <c r="D1554" t="s">
        <v>67</v>
      </c>
      <c r="E1554" t="s">
        <v>63</v>
      </c>
      <c r="F1554" t="s">
        <v>25</v>
      </c>
      <c r="G1554" s="4">
        <v>9</v>
      </c>
      <c r="H1554" s="4" t="s">
        <v>17</v>
      </c>
      <c r="I1554" s="4" t="s">
        <v>69</v>
      </c>
      <c r="J1554" s="4" t="s">
        <v>66</v>
      </c>
      <c r="K1554" s="4">
        <v>0</v>
      </c>
      <c r="L1554" s="94">
        <v>-41212</v>
      </c>
      <c r="M1554" s="94">
        <v>0</v>
      </c>
    </row>
    <row r="1555" spans="3:13" x14ac:dyDescent="0.3">
      <c r="C1555" t="s">
        <v>70</v>
      </c>
      <c r="D1555" t="s">
        <v>62</v>
      </c>
      <c r="E1555" t="s">
        <v>68</v>
      </c>
      <c r="F1555" t="s">
        <v>24</v>
      </c>
      <c r="G1555" s="4">
        <v>33</v>
      </c>
      <c r="I1555" s="4" t="s">
        <v>69</v>
      </c>
      <c r="J1555" s="4" t="s">
        <v>66</v>
      </c>
      <c r="K1555" s="4">
        <v>0</v>
      </c>
      <c r="L1555" s="94">
        <v>51830490</v>
      </c>
      <c r="M1555" s="94">
        <v>1710406170</v>
      </c>
    </row>
    <row r="1556" spans="3:13" x14ac:dyDescent="0.3">
      <c r="C1556" t="s">
        <v>70</v>
      </c>
      <c r="D1556" t="s">
        <v>67</v>
      </c>
      <c r="E1556" t="s">
        <v>68</v>
      </c>
      <c r="F1556" t="s">
        <v>26</v>
      </c>
      <c r="G1556" s="4">
        <v>1</v>
      </c>
      <c r="H1556" s="4" t="s">
        <v>14</v>
      </c>
      <c r="I1556" s="4" t="s">
        <v>65</v>
      </c>
      <c r="J1556" s="4" t="s">
        <v>66</v>
      </c>
      <c r="K1556" s="4">
        <v>1</v>
      </c>
      <c r="L1556" s="94">
        <v>14065</v>
      </c>
      <c r="M1556" s="94">
        <v>14065</v>
      </c>
    </row>
    <row r="1557" spans="3:13" x14ac:dyDescent="0.3">
      <c r="C1557" t="s">
        <v>70</v>
      </c>
      <c r="D1557" t="s">
        <v>67</v>
      </c>
      <c r="E1557" t="s">
        <v>63</v>
      </c>
      <c r="F1557" t="s">
        <v>26</v>
      </c>
      <c r="G1557" s="4">
        <v>2</v>
      </c>
      <c r="H1557" s="4" t="s">
        <v>78</v>
      </c>
      <c r="I1557" s="4" t="s">
        <v>69</v>
      </c>
      <c r="J1557" s="4" t="s">
        <v>66</v>
      </c>
      <c r="K1557" s="4">
        <v>0</v>
      </c>
      <c r="L1557" s="94">
        <v>-89649</v>
      </c>
      <c r="M1557" s="94">
        <v>0</v>
      </c>
    </row>
    <row r="1558" spans="3:13" x14ac:dyDescent="0.3">
      <c r="C1558" t="s">
        <v>61</v>
      </c>
      <c r="D1558" t="s">
        <v>67</v>
      </c>
      <c r="E1558" t="s">
        <v>68</v>
      </c>
      <c r="F1558" t="s">
        <v>26</v>
      </c>
      <c r="G1558" s="4">
        <v>10</v>
      </c>
      <c r="H1558" s="4" t="s">
        <v>12</v>
      </c>
      <c r="I1558" s="4" t="s">
        <v>69</v>
      </c>
      <c r="J1558" s="4" t="s">
        <v>73</v>
      </c>
      <c r="K1558" s="4">
        <v>1</v>
      </c>
      <c r="L1558" s="94">
        <v>5792273</v>
      </c>
      <c r="M1558" s="94">
        <v>57922730</v>
      </c>
    </row>
    <row r="1559" spans="3:13" x14ac:dyDescent="0.3">
      <c r="C1559" t="s">
        <v>70</v>
      </c>
      <c r="D1559" t="s">
        <v>67</v>
      </c>
      <c r="E1559" t="s">
        <v>63</v>
      </c>
      <c r="F1559" t="s">
        <v>26</v>
      </c>
      <c r="G1559" s="4">
        <v>0</v>
      </c>
      <c r="H1559" s="4" t="s">
        <v>76</v>
      </c>
      <c r="I1559" s="4" t="s">
        <v>69</v>
      </c>
      <c r="J1559" s="4" t="s">
        <v>66</v>
      </c>
      <c r="K1559" s="4">
        <v>0</v>
      </c>
      <c r="L1559" s="94">
        <v>-18450</v>
      </c>
      <c r="M1559" s="94">
        <v>0</v>
      </c>
    </row>
    <row r="1560" spans="3:13" x14ac:dyDescent="0.3">
      <c r="C1560" t="s">
        <v>61</v>
      </c>
      <c r="D1560" t="s">
        <v>67</v>
      </c>
      <c r="E1560" t="s">
        <v>63</v>
      </c>
      <c r="F1560" t="s">
        <v>25</v>
      </c>
      <c r="G1560" s="4">
        <v>0</v>
      </c>
      <c r="H1560" s="4" t="s">
        <v>76</v>
      </c>
      <c r="I1560" s="4" t="s">
        <v>69</v>
      </c>
      <c r="J1560" s="4" t="s">
        <v>66</v>
      </c>
      <c r="K1560" s="4">
        <v>0</v>
      </c>
      <c r="L1560" s="94">
        <v>-679</v>
      </c>
      <c r="M1560" s="94">
        <v>0</v>
      </c>
    </row>
    <row r="1561" spans="3:13" x14ac:dyDescent="0.3">
      <c r="C1561" t="s">
        <v>61</v>
      </c>
      <c r="D1561" t="s">
        <v>67</v>
      </c>
      <c r="E1561" t="s">
        <v>63</v>
      </c>
      <c r="F1561" t="s">
        <v>25</v>
      </c>
      <c r="G1561" s="4">
        <v>16</v>
      </c>
      <c r="H1561" s="4" t="s">
        <v>12</v>
      </c>
      <c r="I1561" s="4" t="s">
        <v>69</v>
      </c>
      <c r="J1561" s="4" t="s">
        <v>66</v>
      </c>
      <c r="K1561" s="4">
        <v>1</v>
      </c>
      <c r="L1561" s="94">
        <v>-3822</v>
      </c>
      <c r="M1561" s="94">
        <v>0</v>
      </c>
    </row>
    <row r="1562" spans="3:13" x14ac:dyDescent="0.3">
      <c r="D1562" t="s">
        <v>67</v>
      </c>
      <c r="E1562" t="s">
        <v>68</v>
      </c>
      <c r="G1562" s="4">
        <v>-3</v>
      </c>
      <c r="H1562" s="4" t="s">
        <v>77</v>
      </c>
      <c r="I1562" s="4" t="s">
        <v>69</v>
      </c>
      <c r="J1562" s="4" t="s">
        <v>66</v>
      </c>
      <c r="K1562" s="4">
        <v>0</v>
      </c>
      <c r="L1562" s="94">
        <v>133078</v>
      </c>
      <c r="M1562" s="94">
        <v>0</v>
      </c>
    </row>
    <row r="1563" spans="3:13" x14ac:dyDescent="0.3">
      <c r="C1563" t="s">
        <v>70</v>
      </c>
      <c r="D1563" t="s">
        <v>67</v>
      </c>
      <c r="E1563" t="s">
        <v>68</v>
      </c>
      <c r="F1563" t="s">
        <v>25</v>
      </c>
      <c r="G1563" s="4">
        <v>5</v>
      </c>
      <c r="H1563" s="4" t="s">
        <v>75</v>
      </c>
      <c r="I1563" s="4" t="s">
        <v>69</v>
      </c>
      <c r="J1563" s="4" t="s">
        <v>66</v>
      </c>
      <c r="K1563" s="4">
        <v>0</v>
      </c>
      <c r="L1563" s="94">
        <v>6292796</v>
      </c>
      <c r="M1563" s="94">
        <v>31463980</v>
      </c>
    </row>
    <row r="1564" spans="3:13" x14ac:dyDescent="0.3">
      <c r="C1564" t="s">
        <v>70</v>
      </c>
      <c r="D1564" t="s">
        <v>62</v>
      </c>
      <c r="E1564" t="s">
        <v>63</v>
      </c>
      <c r="F1564" t="s">
        <v>24</v>
      </c>
      <c r="G1564" s="4">
        <v>36</v>
      </c>
      <c r="I1564" s="4" t="s">
        <v>69</v>
      </c>
      <c r="J1564" s="4" t="s">
        <v>66</v>
      </c>
      <c r="K1564" s="4">
        <v>0</v>
      </c>
      <c r="L1564" s="94">
        <v>-2461481</v>
      </c>
      <c r="M1564" s="94">
        <v>0</v>
      </c>
    </row>
    <row r="1565" spans="3:13" x14ac:dyDescent="0.3">
      <c r="C1565" t="s">
        <v>61</v>
      </c>
      <c r="D1565" t="s">
        <v>84</v>
      </c>
      <c r="E1565" t="s">
        <v>68</v>
      </c>
      <c r="F1565" t="s">
        <v>25</v>
      </c>
      <c r="G1565" s="4">
        <v>0</v>
      </c>
      <c r="H1565" s="4" t="s">
        <v>81</v>
      </c>
      <c r="I1565" s="4" t="s">
        <v>69</v>
      </c>
      <c r="J1565" s="4" t="s">
        <v>66</v>
      </c>
      <c r="K1565" s="4">
        <v>0</v>
      </c>
      <c r="L1565" s="94">
        <v>49031</v>
      </c>
      <c r="M1565" s="94">
        <v>0</v>
      </c>
    </row>
    <row r="1566" spans="3:13" x14ac:dyDescent="0.3">
      <c r="C1566" t="s">
        <v>61</v>
      </c>
      <c r="D1566" t="s">
        <v>67</v>
      </c>
      <c r="E1566" t="s">
        <v>68</v>
      </c>
      <c r="F1566" t="s">
        <v>72</v>
      </c>
      <c r="G1566" s="4">
        <v>-4</v>
      </c>
      <c r="H1566" s="4" t="s">
        <v>17</v>
      </c>
      <c r="I1566" s="4" t="s">
        <v>69</v>
      </c>
      <c r="J1566" s="4" t="s">
        <v>66</v>
      </c>
      <c r="K1566" s="4">
        <v>0</v>
      </c>
      <c r="L1566" s="94">
        <v>162</v>
      </c>
      <c r="M1566" s="94">
        <v>0</v>
      </c>
    </row>
    <row r="1567" spans="3:13" x14ac:dyDescent="0.3">
      <c r="C1567" t="s">
        <v>61</v>
      </c>
      <c r="D1567" t="s">
        <v>67</v>
      </c>
      <c r="E1567" t="s">
        <v>63</v>
      </c>
      <c r="F1567" t="s">
        <v>26</v>
      </c>
      <c r="G1567" s="4">
        <v>8</v>
      </c>
      <c r="H1567" s="4" t="s">
        <v>75</v>
      </c>
      <c r="I1567" s="4" t="s">
        <v>69</v>
      </c>
      <c r="J1567" s="4" t="s">
        <v>66</v>
      </c>
      <c r="K1567" s="4">
        <v>0</v>
      </c>
      <c r="L1567" s="94">
        <v>-6023</v>
      </c>
      <c r="M1567" s="94">
        <v>0</v>
      </c>
    </row>
    <row r="1568" spans="3:13" x14ac:dyDescent="0.3">
      <c r="C1568" t="s">
        <v>61</v>
      </c>
      <c r="D1568" t="s">
        <v>67</v>
      </c>
      <c r="E1568" t="s">
        <v>68</v>
      </c>
      <c r="F1568" t="s">
        <v>26</v>
      </c>
      <c r="G1568" s="4">
        <v>2</v>
      </c>
      <c r="H1568" s="4" t="s">
        <v>13</v>
      </c>
      <c r="I1568" s="4" t="s">
        <v>69</v>
      </c>
      <c r="J1568" s="4" t="s">
        <v>66</v>
      </c>
      <c r="K1568" s="4">
        <v>0</v>
      </c>
      <c r="L1568" s="94">
        <v>15678</v>
      </c>
      <c r="M1568" s="94">
        <v>31356</v>
      </c>
    </row>
    <row r="1569" spans="3:13" x14ac:dyDescent="0.3">
      <c r="C1569" t="s">
        <v>61</v>
      </c>
      <c r="D1569" t="s">
        <v>62</v>
      </c>
      <c r="E1569" t="s">
        <v>63</v>
      </c>
      <c r="F1569" t="s">
        <v>24</v>
      </c>
      <c r="G1569" s="4">
        <v>52</v>
      </c>
      <c r="I1569" s="4" t="s">
        <v>69</v>
      </c>
      <c r="J1569" s="4" t="s">
        <v>66</v>
      </c>
      <c r="K1569" s="4">
        <v>0</v>
      </c>
      <c r="L1569" s="94">
        <v>-45</v>
      </c>
      <c r="M1569" s="94">
        <v>0</v>
      </c>
    </row>
    <row r="1570" spans="3:13" x14ac:dyDescent="0.3">
      <c r="C1570" t="s">
        <v>71</v>
      </c>
      <c r="D1570" t="s">
        <v>67</v>
      </c>
      <c r="E1570" t="s">
        <v>63</v>
      </c>
      <c r="F1570" t="s">
        <v>26</v>
      </c>
      <c r="G1570" s="4">
        <v>-4</v>
      </c>
      <c r="I1570" s="4" t="s">
        <v>69</v>
      </c>
      <c r="J1570" s="4" t="s">
        <v>66</v>
      </c>
      <c r="K1570" s="4">
        <v>0</v>
      </c>
      <c r="L1570" s="94">
        <v>-213586</v>
      </c>
      <c r="M1570" s="94">
        <v>0</v>
      </c>
    </row>
    <row r="1571" spans="3:13" x14ac:dyDescent="0.3">
      <c r="C1571" t="s">
        <v>61</v>
      </c>
      <c r="D1571" t="s">
        <v>67</v>
      </c>
      <c r="E1571" t="s">
        <v>68</v>
      </c>
      <c r="F1571" t="s">
        <v>72</v>
      </c>
      <c r="G1571" s="4">
        <v>1</v>
      </c>
      <c r="H1571" s="4" t="s">
        <v>16</v>
      </c>
      <c r="I1571" s="4" t="s">
        <v>69</v>
      </c>
      <c r="J1571" s="4" t="s">
        <v>66</v>
      </c>
      <c r="K1571" s="4">
        <v>0</v>
      </c>
      <c r="L1571" s="94">
        <v>277252</v>
      </c>
      <c r="M1571" s="94">
        <v>277252</v>
      </c>
    </row>
    <row r="1572" spans="3:13" x14ac:dyDescent="0.3">
      <c r="C1572" t="s">
        <v>70</v>
      </c>
      <c r="D1572" t="s">
        <v>67</v>
      </c>
      <c r="E1572" t="s">
        <v>68</v>
      </c>
      <c r="F1572" t="s">
        <v>26</v>
      </c>
      <c r="G1572" s="4">
        <v>7</v>
      </c>
      <c r="H1572" s="4" t="s">
        <v>12</v>
      </c>
      <c r="I1572" s="4" t="s">
        <v>69</v>
      </c>
      <c r="J1572" s="4" t="s">
        <v>73</v>
      </c>
      <c r="K1572" s="4">
        <v>1</v>
      </c>
      <c r="L1572" s="94">
        <v>7023374</v>
      </c>
      <c r="M1572" s="94">
        <v>49163618</v>
      </c>
    </row>
    <row r="1573" spans="3:13" x14ac:dyDescent="0.3">
      <c r="C1573" t="s">
        <v>61</v>
      </c>
      <c r="D1573" t="s">
        <v>62</v>
      </c>
      <c r="E1573" t="s">
        <v>63</v>
      </c>
      <c r="F1573" t="s">
        <v>25</v>
      </c>
      <c r="G1573" s="4">
        <v>11</v>
      </c>
      <c r="I1573" s="4" t="s">
        <v>69</v>
      </c>
      <c r="J1573" s="4" t="s">
        <v>66</v>
      </c>
      <c r="K1573" s="4">
        <v>0</v>
      </c>
      <c r="L1573" s="94">
        <v>-11597</v>
      </c>
      <c r="M1573" s="94">
        <v>0</v>
      </c>
    </row>
    <row r="1574" spans="3:13" x14ac:dyDescent="0.3">
      <c r="C1574" t="s">
        <v>61</v>
      </c>
      <c r="D1574" t="s">
        <v>67</v>
      </c>
      <c r="E1574" t="s">
        <v>68</v>
      </c>
      <c r="F1574" t="s">
        <v>72</v>
      </c>
      <c r="G1574" s="4">
        <v>2</v>
      </c>
      <c r="H1574" s="4" t="s">
        <v>82</v>
      </c>
      <c r="I1574" s="4" t="s">
        <v>65</v>
      </c>
      <c r="J1574" s="4" t="s">
        <v>66</v>
      </c>
      <c r="K1574" s="4">
        <v>1</v>
      </c>
      <c r="L1574" s="94">
        <v>25361</v>
      </c>
      <c r="M1574" s="94">
        <v>50722</v>
      </c>
    </row>
    <row r="1575" spans="3:13" x14ac:dyDescent="0.3">
      <c r="C1575" t="s">
        <v>70</v>
      </c>
      <c r="D1575" t="s">
        <v>67</v>
      </c>
      <c r="E1575" t="s">
        <v>68</v>
      </c>
      <c r="F1575" t="s">
        <v>72</v>
      </c>
      <c r="G1575" s="4">
        <v>7</v>
      </c>
      <c r="H1575" s="4" t="s">
        <v>14</v>
      </c>
      <c r="I1575" s="4" t="s">
        <v>69</v>
      </c>
      <c r="J1575" s="4" t="s">
        <v>66</v>
      </c>
      <c r="K1575" s="4">
        <v>0</v>
      </c>
      <c r="L1575" s="94">
        <v>17564</v>
      </c>
      <c r="M1575" s="94">
        <v>122948</v>
      </c>
    </row>
    <row r="1576" spans="3:13" x14ac:dyDescent="0.3">
      <c r="C1576" t="s">
        <v>61</v>
      </c>
      <c r="D1576" t="s">
        <v>62</v>
      </c>
      <c r="E1576" t="s">
        <v>63</v>
      </c>
      <c r="F1576" t="s">
        <v>24</v>
      </c>
      <c r="G1576" s="4">
        <v>19</v>
      </c>
      <c r="I1576" s="4" t="s">
        <v>65</v>
      </c>
      <c r="J1576" s="4" t="s">
        <v>66</v>
      </c>
      <c r="K1576" s="4">
        <v>1</v>
      </c>
      <c r="L1576" s="94">
        <v>-2494</v>
      </c>
      <c r="M1576" s="94">
        <v>0</v>
      </c>
    </row>
    <row r="1577" spans="3:13" x14ac:dyDescent="0.3">
      <c r="C1577" t="s">
        <v>70</v>
      </c>
      <c r="D1577" t="s">
        <v>67</v>
      </c>
      <c r="E1577" t="s">
        <v>68</v>
      </c>
      <c r="F1577" t="s">
        <v>25</v>
      </c>
      <c r="G1577" s="4">
        <v>12</v>
      </c>
      <c r="H1577" s="4" t="s">
        <v>79</v>
      </c>
      <c r="I1577" s="4" t="s">
        <v>69</v>
      </c>
      <c r="J1577" s="4" t="s">
        <v>66</v>
      </c>
      <c r="K1577" s="4">
        <v>0</v>
      </c>
      <c r="L1577" s="94">
        <v>1482147</v>
      </c>
      <c r="M1577" s="94">
        <v>17785764</v>
      </c>
    </row>
    <row r="1578" spans="3:13" x14ac:dyDescent="0.3">
      <c r="C1578" t="s">
        <v>71</v>
      </c>
      <c r="D1578" t="s">
        <v>62</v>
      </c>
      <c r="E1578" t="s">
        <v>68</v>
      </c>
      <c r="F1578" t="s">
        <v>24</v>
      </c>
      <c r="G1578" s="4">
        <v>13</v>
      </c>
      <c r="I1578" s="4" t="s">
        <v>65</v>
      </c>
      <c r="J1578" s="4" t="s">
        <v>66</v>
      </c>
      <c r="K1578" s="4">
        <v>1</v>
      </c>
      <c r="L1578" s="94">
        <v>58870</v>
      </c>
      <c r="M1578" s="94">
        <v>765310</v>
      </c>
    </row>
    <row r="1579" spans="3:13" x14ac:dyDescent="0.3">
      <c r="C1579" t="s">
        <v>61</v>
      </c>
      <c r="D1579" t="s">
        <v>67</v>
      </c>
      <c r="E1579" t="s">
        <v>63</v>
      </c>
      <c r="F1579" t="s">
        <v>72</v>
      </c>
      <c r="G1579" s="4">
        <v>6</v>
      </c>
      <c r="H1579" s="4" t="s">
        <v>12</v>
      </c>
      <c r="I1579" s="4" t="s">
        <v>69</v>
      </c>
      <c r="J1579" s="4" t="s">
        <v>73</v>
      </c>
      <c r="K1579" s="4">
        <v>1</v>
      </c>
      <c r="L1579" s="94">
        <v>-344</v>
      </c>
      <c r="M1579" s="94">
        <v>0</v>
      </c>
    </row>
    <row r="1580" spans="3:13" x14ac:dyDescent="0.3">
      <c r="C1580" t="s">
        <v>71</v>
      </c>
      <c r="D1580" t="s">
        <v>67</v>
      </c>
      <c r="E1580" t="s">
        <v>68</v>
      </c>
      <c r="F1580" t="s">
        <v>26</v>
      </c>
      <c r="G1580" s="4">
        <v>1</v>
      </c>
      <c r="H1580" s="4" t="s">
        <v>14</v>
      </c>
      <c r="I1580" s="4" t="s">
        <v>69</v>
      </c>
      <c r="J1580" s="4" t="s">
        <v>73</v>
      </c>
      <c r="K1580" s="4">
        <v>1</v>
      </c>
      <c r="L1580" s="94">
        <v>2082645</v>
      </c>
      <c r="M1580" s="94">
        <v>2082645</v>
      </c>
    </row>
    <row r="1581" spans="3:13" x14ac:dyDescent="0.3">
      <c r="C1581" t="s">
        <v>71</v>
      </c>
      <c r="D1581" t="s">
        <v>62</v>
      </c>
      <c r="E1581" t="s">
        <v>68</v>
      </c>
      <c r="F1581" t="s">
        <v>25</v>
      </c>
      <c r="G1581" s="4">
        <v>5</v>
      </c>
      <c r="I1581" s="4" t="s">
        <v>69</v>
      </c>
      <c r="J1581" s="4" t="s">
        <v>66</v>
      </c>
      <c r="K1581" s="4">
        <v>0</v>
      </c>
      <c r="L1581" s="94">
        <v>153061</v>
      </c>
      <c r="M1581" s="94">
        <v>765305</v>
      </c>
    </row>
    <row r="1582" spans="3:13" x14ac:dyDescent="0.3">
      <c r="C1582" t="s">
        <v>70</v>
      </c>
      <c r="D1582" t="s">
        <v>67</v>
      </c>
      <c r="E1582" t="s">
        <v>68</v>
      </c>
      <c r="F1582" t="s">
        <v>26</v>
      </c>
      <c r="G1582" s="4">
        <v>6</v>
      </c>
      <c r="H1582" s="4" t="s">
        <v>13</v>
      </c>
      <c r="I1582" s="4" t="s">
        <v>69</v>
      </c>
      <c r="J1582" s="4" t="s">
        <v>73</v>
      </c>
      <c r="K1582" s="4">
        <v>1</v>
      </c>
      <c r="L1582" s="94">
        <v>150757</v>
      </c>
      <c r="M1582" s="94">
        <v>904542</v>
      </c>
    </row>
    <row r="1583" spans="3:13" x14ac:dyDescent="0.3">
      <c r="C1583" t="s">
        <v>61</v>
      </c>
      <c r="D1583" t="s">
        <v>67</v>
      </c>
      <c r="E1583" t="s">
        <v>68</v>
      </c>
      <c r="F1583" t="s">
        <v>26</v>
      </c>
      <c r="G1583" s="4">
        <v>-1</v>
      </c>
      <c r="H1583" s="4" t="s">
        <v>12</v>
      </c>
      <c r="I1583" s="4" t="s">
        <v>65</v>
      </c>
      <c r="J1583" s="4" t="s">
        <v>73</v>
      </c>
      <c r="K1583" s="4">
        <v>1</v>
      </c>
      <c r="L1583" s="94">
        <v>1183125</v>
      </c>
      <c r="M1583" s="94">
        <v>0</v>
      </c>
    </row>
    <row r="1584" spans="3:13" x14ac:dyDescent="0.3">
      <c r="C1584" t="s">
        <v>70</v>
      </c>
      <c r="D1584" t="s">
        <v>67</v>
      </c>
      <c r="E1584" t="s">
        <v>63</v>
      </c>
      <c r="F1584" t="s">
        <v>72</v>
      </c>
      <c r="G1584" s="4">
        <v>3</v>
      </c>
      <c r="H1584" s="4" t="s">
        <v>18</v>
      </c>
      <c r="I1584" s="4" t="s">
        <v>69</v>
      </c>
      <c r="J1584" s="4" t="s">
        <v>73</v>
      </c>
      <c r="K1584" s="4">
        <v>1</v>
      </c>
      <c r="L1584" s="94">
        <v>-11717</v>
      </c>
      <c r="M1584" s="94">
        <v>0</v>
      </c>
    </row>
    <row r="1585" spans="3:13" x14ac:dyDescent="0.3">
      <c r="C1585" t="s">
        <v>70</v>
      </c>
      <c r="D1585" t="s">
        <v>67</v>
      </c>
      <c r="E1585" t="s">
        <v>68</v>
      </c>
      <c r="F1585" t="s">
        <v>25</v>
      </c>
      <c r="G1585" s="4">
        <v>9</v>
      </c>
      <c r="H1585" s="4" t="s">
        <v>16</v>
      </c>
      <c r="I1585" s="4" t="s">
        <v>69</v>
      </c>
      <c r="J1585" s="4" t="s">
        <v>66</v>
      </c>
      <c r="K1585" s="4">
        <v>0</v>
      </c>
      <c r="L1585" s="94">
        <v>62920</v>
      </c>
      <c r="M1585" s="94">
        <v>566280</v>
      </c>
    </row>
    <row r="1586" spans="3:13" x14ac:dyDescent="0.3">
      <c r="C1586" t="s">
        <v>61</v>
      </c>
      <c r="D1586" t="s">
        <v>67</v>
      </c>
      <c r="E1586" t="s">
        <v>63</v>
      </c>
      <c r="F1586" t="s">
        <v>26</v>
      </c>
      <c r="G1586" s="4">
        <v>1</v>
      </c>
      <c r="H1586" s="4" t="s">
        <v>12</v>
      </c>
      <c r="I1586" s="4" t="s">
        <v>65</v>
      </c>
      <c r="J1586" s="4" t="s">
        <v>73</v>
      </c>
      <c r="K1586" s="4">
        <v>1</v>
      </c>
      <c r="L1586" s="94">
        <v>-1278</v>
      </c>
      <c r="M1586" s="94">
        <v>0</v>
      </c>
    </row>
    <row r="1587" spans="3:13" x14ac:dyDescent="0.3">
      <c r="C1587" t="s">
        <v>61</v>
      </c>
      <c r="D1587" t="s">
        <v>67</v>
      </c>
      <c r="E1587" t="s">
        <v>68</v>
      </c>
      <c r="F1587" t="s">
        <v>25</v>
      </c>
      <c r="G1587" s="4">
        <v>9</v>
      </c>
      <c r="H1587" s="4" t="s">
        <v>12</v>
      </c>
      <c r="I1587" s="4" t="s">
        <v>69</v>
      </c>
      <c r="J1587" s="4" t="s">
        <v>66</v>
      </c>
      <c r="K1587" s="4">
        <v>1</v>
      </c>
      <c r="L1587" s="94">
        <v>2868878</v>
      </c>
      <c r="M1587" s="94">
        <v>25819902</v>
      </c>
    </row>
    <row r="1588" spans="3:13" x14ac:dyDescent="0.3">
      <c r="C1588" t="s">
        <v>71</v>
      </c>
      <c r="D1588" t="s">
        <v>62</v>
      </c>
      <c r="E1588" t="s">
        <v>63</v>
      </c>
      <c r="F1588" t="s">
        <v>24</v>
      </c>
      <c r="G1588" s="4">
        <v>36</v>
      </c>
      <c r="I1588" s="4" t="s">
        <v>69</v>
      </c>
      <c r="J1588" s="4" t="s">
        <v>66</v>
      </c>
      <c r="K1588" s="4">
        <v>0</v>
      </c>
      <c r="L1588" s="94">
        <v>-2458319</v>
      </c>
      <c r="M1588" s="94">
        <v>0</v>
      </c>
    </row>
    <row r="1589" spans="3:13" x14ac:dyDescent="0.3">
      <c r="C1589" t="s">
        <v>61</v>
      </c>
      <c r="D1589" t="s">
        <v>67</v>
      </c>
      <c r="E1589" t="s">
        <v>68</v>
      </c>
      <c r="F1589" t="s">
        <v>25</v>
      </c>
      <c r="G1589" s="4">
        <v>8</v>
      </c>
      <c r="H1589" s="4" t="s">
        <v>82</v>
      </c>
      <c r="I1589" s="4" t="s">
        <v>69</v>
      </c>
      <c r="J1589" s="4" t="s">
        <v>66</v>
      </c>
      <c r="K1589" s="4">
        <v>0</v>
      </c>
      <c r="L1589" s="94">
        <v>515766</v>
      </c>
      <c r="M1589" s="94">
        <v>4126128</v>
      </c>
    </row>
    <row r="1590" spans="3:13" x14ac:dyDescent="0.3">
      <c r="C1590" t="s">
        <v>61</v>
      </c>
      <c r="D1590" t="s">
        <v>67</v>
      </c>
      <c r="E1590" t="s">
        <v>63</v>
      </c>
      <c r="F1590" t="s">
        <v>25</v>
      </c>
      <c r="G1590" s="4">
        <v>3</v>
      </c>
      <c r="H1590" s="4" t="s">
        <v>82</v>
      </c>
      <c r="I1590" s="4" t="s">
        <v>69</v>
      </c>
      <c r="J1590" s="4" t="s">
        <v>66</v>
      </c>
      <c r="K1590" s="4">
        <v>1</v>
      </c>
      <c r="L1590" s="94">
        <v>-60</v>
      </c>
      <c r="M1590" s="94">
        <v>0</v>
      </c>
    </row>
    <row r="1591" spans="3:13" x14ac:dyDescent="0.3">
      <c r="C1591" t="s">
        <v>70</v>
      </c>
      <c r="D1591" t="s">
        <v>67</v>
      </c>
      <c r="E1591" t="s">
        <v>68</v>
      </c>
      <c r="F1591" t="s">
        <v>25</v>
      </c>
      <c r="G1591" s="4">
        <v>4</v>
      </c>
      <c r="H1591" s="4" t="s">
        <v>83</v>
      </c>
      <c r="I1591" s="4" t="s">
        <v>69</v>
      </c>
      <c r="J1591" s="4" t="s">
        <v>66</v>
      </c>
      <c r="K1591" s="4">
        <v>0</v>
      </c>
      <c r="L1591" s="94">
        <v>27341</v>
      </c>
      <c r="M1591" s="94">
        <v>109364</v>
      </c>
    </row>
    <row r="1592" spans="3:13" x14ac:dyDescent="0.3">
      <c r="C1592" t="s">
        <v>71</v>
      </c>
      <c r="D1592" t="s">
        <v>62</v>
      </c>
      <c r="E1592" t="s">
        <v>68</v>
      </c>
      <c r="F1592" t="s">
        <v>25</v>
      </c>
      <c r="G1592" s="4">
        <v>20</v>
      </c>
      <c r="I1592" s="4" t="s">
        <v>69</v>
      </c>
      <c r="J1592" s="4" t="s">
        <v>66</v>
      </c>
      <c r="K1592" s="4">
        <v>0</v>
      </c>
      <c r="L1592" s="94">
        <v>361789</v>
      </c>
      <c r="M1592" s="94">
        <v>7235780</v>
      </c>
    </row>
    <row r="1593" spans="3:13" x14ac:dyDescent="0.3">
      <c r="C1593" t="s">
        <v>61</v>
      </c>
      <c r="D1593" t="s">
        <v>67</v>
      </c>
      <c r="E1593" t="s">
        <v>68</v>
      </c>
      <c r="F1593" t="s">
        <v>25</v>
      </c>
      <c r="G1593" s="4">
        <v>20</v>
      </c>
      <c r="H1593" s="4" t="s">
        <v>75</v>
      </c>
      <c r="I1593" s="4" t="s">
        <v>69</v>
      </c>
      <c r="J1593" s="4" t="s">
        <v>66</v>
      </c>
      <c r="K1593" s="4">
        <v>0</v>
      </c>
      <c r="L1593" s="94">
        <v>550183</v>
      </c>
      <c r="M1593" s="94">
        <v>11003660</v>
      </c>
    </row>
    <row r="1594" spans="3:13" x14ac:dyDescent="0.3">
      <c r="C1594" t="s">
        <v>70</v>
      </c>
      <c r="D1594" t="s">
        <v>67</v>
      </c>
      <c r="E1594" t="s">
        <v>63</v>
      </c>
      <c r="F1594" t="s">
        <v>25</v>
      </c>
      <c r="G1594" s="4">
        <v>8</v>
      </c>
      <c r="H1594" s="4" t="s">
        <v>79</v>
      </c>
      <c r="I1594" s="4" t="s">
        <v>69</v>
      </c>
      <c r="J1594" s="4" t="s">
        <v>66</v>
      </c>
      <c r="K1594" s="4">
        <v>0</v>
      </c>
      <c r="L1594" s="94">
        <v>-62397</v>
      </c>
      <c r="M1594" s="94">
        <v>0</v>
      </c>
    </row>
    <row r="1595" spans="3:13" x14ac:dyDescent="0.3">
      <c r="C1595" t="s">
        <v>71</v>
      </c>
      <c r="D1595" t="s">
        <v>62</v>
      </c>
      <c r="E1595" t="s">
        <v>63</v>
      </c>
      <c r="F1595" t="s">
        <v>24</v>
      </c>
      <c r="G1595" s="4">
        <v>27</v>
      </c>
      <c r="I1595" s="4" t="s">
        <v>65</v>
      </c>
      <c r="J1595" s="4" t="s">
        <v>66</v>
      </c>
      <c r="K1595" s="4">
        <v>1</v>
      </c>
      <c r="L1595" s="94">
        <v>-79239</v>
      </c>
      <c r="M1595" s="94">
        <v>0</v>
      </c>
    </row>
    <row r="1596" spans="3:13" x14ac:dyDescent="0.3">
      <c r="C1596" t="s">
        <v>61</v>
      </c>
      <c r="D1596" t="s">
        <v>67</v>
      </c>
      <c r="E1596" t="s">
        <v>68</v>
      </c>
      <c r="F1596" t="s">
        <v>72</v>
      </c>
      <c r="G1596" s="4">
        <v>0</v>
      </c>
      <c r="H1596" s="4" t="s">
        <v>86</v>
      </c>
      <c r="I1596" s="4" t="s">
        <v>69</v>
      </c>
      <c r="J1596" s="4" t="s">
        <v>66</v>
      </c>
      <c r="K1596" s="4">
        <v>0</v>
      </c>
      <c r="L1596" s="94">
        <v>21996</v>
      </c>
      <c r="M1596" s="94">
        <v>0</v>
      </c>
    </row>
    <row r="1597" spans="3:13" x14ac:dyDescent="0.3">
      <c r="C1597" t="s">
        <v>61</v>
      </c>
      <c r="D1597" t="s">
        <v>67</v>
      </c>
      <c r="E1597" t="s">
        <v>68</v>
      </c>
      <c r="F1597" t="s">
        <v>72</v>
      </c>
      <c r="G1597" s="4">
        <v>3</v>
      </c>
      <c r="H1597" s="4" t="s">
        <v>64</v>
      </c>
      <c r="I1597" s="4" t="s">
        <v>69</v>
      </c>
      <c r="J1597" s="4" t="s">
        <v>66</v>
      </c>
      <c r="K1597" s="4">
        <v>0</v>
      </c>
      <c r="L1597" s="94">
        <v>12283935</v>
      </c>
      <c r="M1597" s="94">
        <v>36851805</v>
      </c>
    </row>
    <row r="1598" spans="3:13" x14ac:dyDescent="0.3">
      <c r="C1598" t="s">
        <v>70</v>
      </c>
      <c r="D1598" t="s">
        <v>67</v>
      </c>
      <c r="E1598" t="s">
        <v>68</v>
      </c>
      <c r="F1598" t="s">
        <v>26</v>
      </c>
      <c r="G1598" s="4">
        <v>2</v>
      </c>
      <c r="H1598" s="4" t="s">
        <v>82</v>
      </c>
      <c r="I1598" s="4" t="s">
        <v>65</v>
      </c>
      <c r="J1598" s="4" t="s">
        <v>66</v>
      </c>
      <c r="K1598" s="4">
        <v>1</v>
      </c>
      <c r="L1598" s="94">
        <v>292953</v>
      </c>
      <c r="M1598" s="94">
        <v>585906</v>
      </c>
    </row>
    <row r="1599" spans="3:13" x14ac:dyDescent="0.3">
      <c r="C1599" t="s">
        <v>61</v>
      </c>
      <c r="D1599" t="s">
        <v>67</v>
      </c>
      <c r="E1599" t="s">
        <v>68</v>
      </c>
      <c r="F1599" t="s">
        <v>26</v>
      </c>
      <c r="G1599" s="4">
        <v>3</v>
      </c>
      <c r="H1599" s="4" t="s">
        <v>14</v>
      </c>
      <c r="I1599" s="4" t="s">
        <v>65</v>
      </c>
      <c r="J1599" s="4" t="s">
        <v>73</v>
      </c>
      <c r="K1599" s="4">
        <v>1</v>
      </c>
      <c r="L1599" s="94">
        <v>533777</v>
      </c>
      <c r="M1599" s="94">
        <v>1601331</v>
      </c>
    </row>
    <row r="1600" spans="3:13" x14ac:dyDescent="0.3">
      <c r="C1600" t="s">
        <v>71</v>
      </c>
      <c r="D1600" t="s">
        <v>67</v>
      </c>
      <c r="E1600" t="s">
        <v>68</v>
      </c>
      <c r="F1600" t="s">
        <v>25</v>
      </c>
      <c r="G1600" s="4">
        <v>6</v>
      </c>
      <c r="H1600" s="4" t="s">
        <v>80</v>
      </c>
      <c r="I1600" s="4" t="s">
        <v>69</v>
      </c>
      <c r="J1600" s="4" t="s">
        <v>66</v>
      </c>
      <c r="K1600" s="4">
        <v>0</v>
      </c>
      <c r="L1600" s="94">
        <v>103625</v>
      </c>
      <c r="M1600" s="94">
        <v>621750</v>
      </c>
    </row>
    <row r="1601" spans="3:13" x14ac:dyDescent="0.3">
      <c r="C1601" t="s">
        <v>61</v>
      </c>
      <c r="D1601" t="s">
        <v>67</v>
      </c>
      <c r="E1601" t="s">
        <v>63</v>
      </c>
      <c r="F1601" t="s">
        <v>25</v>
      </c>
      <c r="G1601" s="4">
        <v>1</v>
      </c>
      <c r="H1601" s="4" t="s">
        <v>14</v>
      </c>
      <c r="I1601" s="4" t="s">
        <v>65</v>
      </c>
      <c r="J1601" s="4" t="s">
        <v>66</v>
      </c>
      <c r="K1601" s="4">
        <v>1</v>
      </c>
      <c r="L1601" s="94">
        <v>-8395</v>
      </c>
      <c r="M1601" s="94">
        <v>0</v>
      </c>
    </row>
    <row r="1602" spans="3:13" x14ac:dyDescent="0.3">
      <c r="C1602" t="s">
        <v>70</v>
      </c>
      <c r="D1602" t="s">
        <v>67</v>
      </c>
      <c r="E1602" t="s">
        <v>63</v>
      </c>
      <c r="F1602" t="s">
        <v>26</v>
      </c>
      <c r="G1602" s="4">
        <v>6</v>
      </c>
      <c r="H1602" s="4" t="s">
        <v>75</v>
      </c>
      <c r="I1602" s="4" t="s">
        <v>69</v>
      </c>
      <c r="J1602" s="4" t="s">
        <v>66</v>
      </c>
      <c r="K1602" s="4">
        <v>0</v>
      </c>
      <c r="L1602" s="94">
        <v>-2983</v>
      </c>
      <c r="M1602" s="94">
        <v>0</v>
      </c>
    </row>
    <row r="1603" spans="3:13" x14ac:dyDescent="0.3">
      <c r="C1603" t="s">
        <v>70</v>
      </c>
      <c r="D1603" t="s">
        <v>62</v>
      </c>
      <c r="E1603" t="s">
        <v>63</v>
      </c>
      <c r="F1603" t="s">
        <v>24</v>
      </c>
      <c r="G1603" s="4">
        <v>22</v>
      </c>
      <c r="I1603" s="4" t="s">
        <v>69</v>
      </c>
      <c r="J1603" s="4" t="s">
        <v>66</v>
      </c>
      <c r="K1603" s="4">
        <v>1</v>
      </c>
      <c r="L1603" s="94">
        <v>-24188</v>
      </c>
      <c r="M1603" s="94">
        <v>0</v>
      </c>
    </row>
    <row r="1604" spans="3:13" x14ac:dyDescent="0.3">
      <c r="C1604" t="s">
        <v>61</v>
      </c>
      <c r="D1604" t="s">
        <v>67</v>
      </c>
      <c r="E1604" t="s">
        <v>63</v>
      </c>
      <c r="F1604" t="s">
        <v>25</v>
      </c>
      <c r="G1604" s="4">
        <v>12</v>
      </c>
      <c r="H1604" s="4" t="s">
        <v>14</v>
      </c>
      <c r="I1604" s="4" t="s">
        <v>69</v>
      </c>
      <c r="J1604" s="4" t="s">
        <v>66</v>
      </c>
      <c r="K1604" s="4">
        <v>0</v>
      </c>
      <c r="L1604" s="94">
        <v>-3362</v>
      </c>
      <c r="M1604" s="94">
        <v>0</v>
      </c>
    </row>
    <row r="1605" spans="3:13" x14ac:dyDescent="0.3">
      <c r="C1605" t="s">
        <v>70</v>
      </c>
      <c r="D1605" t="s">
        <v>67</v>
      </c>
      <c r="E1605" t="s">
        <v>63</v>
      </c>
      <c r="F1605" t="s">
        <v>72</v>
      </c>
      <c r="G1605" s="4">
        <v>6</v>
      </c>
      <c r="H1605" s="4" t="s">
        <v>12</v>
      </c>
      <c r="I1605" s="4" t="s">
        <v>69</v>
      </c>
      <c r="J1605" s="4" t="s">
        <v>73</v>
      </c>
      <c r="K1605" s="4">
        <v>1</v>
      </c>
      <c r="L1605" s="94">
        <v>-4773</v>
      </c>
      <c r="M1605" s="94">
        <v>0</v>
      </c>
    </row>
    <row r="1606" spans="3:13" x14ac:dyDescent="0.3">
      <c r="C1606" t="s">
        <v>70</v>
      </c>
      <c r="D1606" t="s">
        <v>62</v>
      </c>
      <c r="E1606" t="s">
        <v>68</v>
      </c>
      <c r="F1606" t="s">
        <v>25</v>
      </c>
      <c r="G1606" s="4">
        <v>5</v>
      </c>
      <c r="I1606" s="4" t="s">
        <v>69</v>
      </c>
      <c r="J1606" s="4" t="s">
        <v>66</v>
      </c>
      <c r="K1606" s="4">
        <v>1</v>
      </c>
      <c r="L1606" s="94">
        <v>13337</v>
      </c>
      <c r="M1606" s="94">
        <v>66685</v>
      </c>
    </row>
    <row r="1607" spans="3:13" x14ac:dyDescent="0.3">
      <c r="C1607" t="s">
        <v>70</v>
      </c>
      <c r="D1607" t="s">
        <v>67</v>
      </c>
      <c r="E1607" t="s">
        <v>63</v>
      </c>
      <c r="F1607" t="s">
        <v>72</v>
      </c>
      <c r="G1607" s="4">
        <v>1</v>
      </c>
      <c r="H1607" s="4" t="s">
        <v>80</v>
      </c>
      <c r="I1607" s="4" t="s">
        <v>69</v>
      </c>
      <c r="J1607" s="4" t="s">
        <v>66</v>
      </c>
      <c r="K1607" s="4">
        <v>0</v>
      </c>
      <c r="L1607" s="94">
        <v>-589</v>
      </c>
      <c r="M1607" s="94">
        <v>0</v>
      </c>
    </row>
    <row r="1608" spans="3:13" x14ac:dyDescent="0.3">
      <c r="C1608" t="s">
        <v>61</v>
      </c>
      <c r="D1608" t="s">
        <v>67</v>
      </c>
      <c r="E1608" t="s">
        <v>63</v>
      </c>
      <c r="F1608" t="s">
        <v>72</v>
      </c>
      <c r="G1608" s="4">
        <v>4</v>
      </c>
      <c r="H1608" s="4" t="s">
        <v>18</v>
      </c>
      <c r="I1608" s="4" t="s">
        <v>69</v>
      </c>
      <c r="J1608" s="4" t="s">
        <v>73</v>
      </c>
      <c r="K1608" s="4">
        <v>1</v>
      </c>
      <c r="L1608" s="94">
        <v>-4554</v>
      </c>
      <c r="M1608" s="94">
        <v>0</v>
      </c>
    </row>
    <row r="1609" spans="3:13" x14ac:dyDescent="0.3">
      <c r="C1609" t="s">
        <v>61</v>
      </c>
      <c r="D1609" t="s">
        <v>67</v>
      </c>
      <c r="E1609" t="s">
        <v>68</v>
      </c>
      <c r="F1609" t="s">
        <v>26</v>
      </c>
      <c r="G1609" s="4">
        <v>15</v>
      </c>
      <c r="H1609" s="4" t="s">
        <v>74</v>
      </c>
      <c r="I1609" s="4" t="s">
        <v>69</v>
      </c>
      <c r="J1609" s="4" t="s">
        <v>66</v>
      </c>
      <c r="K1609" s="4">
        <v>0</v>
      </c>
      <c r="L1609" s="94">
        <v>17370927</v>
      </c>
      <c r="M1609" s="94">
        <v>260563905</v>
      </c>
    </row>
    <row r="1610" spans="3:13" x14ac:dyDescent="0.3">
      <c r="C1610" t="s">
        <v>71</v>
      </c>
      <c r="D1610" t="s">
        <v>67</v>
      </c>
      <c r="E1610" t="s">
        <v>63</v>
      </c>
      <c r="F1610" t="s">
        <v>26</v>
      </c>
      <c r="G1610" s="4">
        <v>7</v>
      </c>
      <c r="H1610" s="4" t="s">
        <v>74</v>
      </c>
      <c r="I1610" s="4" t="s">
        <v>69</v>
      </c>
      <c r="J1610" s="4" t="s">
        <v>66</v>
      </c>
      <c r="K1610" s="4">
        <v>0</v>
      </c>
      <c r="L1610" s="94">
        <v>-153288</v>
      </c>
      <c r="M1610" s="94">
        <v>0</v>
      </c>
    </row>
    <row r="1611" spans="3:13" x14ac:dyDescent="0.3">
      <c r="C1611" t="s">
        <v>61</v>
      </c>
      <c r="D1611" t="s">
        <v>67</v>
      </c>
      <c r="E1611" t="s">
        <v>68</v>
      </c>
      <c r="F1611" t="s">
        <v>72</v>
      </c>
      <c r="G1611" s="4">
        <v>5</v>
      </c>
      <c r="H1611" s="4" t="s">
        <v>81</v>
      </c>
      <c r="I1611" s="4" t="s">
        <v>69</v>
      </c>
      <c r="J1611" s="4" t="s">
        <v>66</v>
      </c>
      <c r="K1611" s="4">
        <v>0</v>
      </c>
      <c r="L1611" s="94">
        <v>83635</v>
      </c>
      <c r="M1611" s="94">
        <v>418175</v>
      </c>
    </row>
    <row r="1612" spans="3:13" x14ac:dyDescent="0.3">
      <c r="C1612" t="s">
        <v>61</v>
      </c>
      <c r="D1612" t="s">
        <v>67</v>
      </c>
      <c r="E1612" t="s">
        <v>63</v>
      </c>
      <c r="F1612" t="s">
        <v>25</v>
      </c>
      <c r="G1612" s="4">
        <v>-4</v>
      </c>
      <c r="H1612" s="4" t="s">
        <v>17</v>
      </c>
      <c r="I1612" s="4" t="s">
        <v>69</v>
      </c>
      <c r="J1612" s="4" t="s">
        <v>66</v>
      </c>
      <c r="K1612" s="4">
        <v>0</v>
      </c>
      <c r="L1612" s="94">
        <v>-245</v>
      </c>
      <c r="M1612" s="94">
        <v>0</v>
      </c>
    </row>
    <row r="1613" spans="3:13" x14ac:dyDescent="0.3">
      <c r="C1613" t="s">
        <v>70</v>
      </c>
      <c r="D1613" t="s">
        <v>67</v>
      </c>
      <c r="E1613" t="s">
        <v>63</v>
      </c>
      <c r="F1613" t="s">
        <v>72</v>
      </c>
      <c r="G1613" s="4">
        <v>2</v>
      </c>
      <c r="H1613" s="4" t="s">
        <v>12</v>
      </c>
      <c r="I1613" s="4" t="s">
        <v>69</v>
      </c>
      <c r="J1613" s="4" t="s">
        <v>73</v>
      </c>
      <c r="K1613" s="4">
        <v>1</v>
      </c>
      <c r="L1613" s="94">
        <v>-8140</v>
      </c>
      <c r="M1613" s="94">
        <v>0</v>
      </c>
    </row>
    <row r="1614" spans="3:13" x14ac:dyDescent="0.3">
      <c r="C1614" t="s">
        <v>61</v>
      </c>
      <c r="D1614" t="s">
        <v>62</v>
      </c>
      <c r="E1614" t="s">
        <v>68</v>
      </c>
      <c r="F1614" t="s">
        <v>24</v>
      </c>
      <c r="G1614" s="4">
        <v>52</v>
      </c>
      <c r="I1614" s="4" t="s">
        <v>69</v>
      </c>
      <c r="J1614" s="4" t="s">
        <v>66</v>
      </c>
      <c r="K1614" s="4">
        <v>0</v>
      </c>
      <c r="L1614" s="94">
        <v>20849</v>
      </c>
      <c r="M1614" s="94">
        <v>1084148</v>
      </c>
    </row>
    <row r="1615" spans="3:13" x14ac:dyDescent="0.3">
      <c r="C1615" t="s">
        <v>71</v>
      </c>
      <c r="D1615" t="s">
        <v>67</v>
      </c>
      <c r="E1615" t="s">
        <v>63</v>
      </c>
      <c r="F1615" t="s">
        <v>72</v>
      </c>
      <c r="G1615" s="4">
        <v>4</v>
      </c>
      <c r="H1615" s="4" t="s">
        <v>18</v>
      </c>
      <c r="I1615" s="4" t="s">
        <v>69</v>
      </c>
      <c r="J1615" s="4" t="s">
        <v>66</v>
      </c>
      <c r="K1615" s="4">
        <v>0</v>
      </c>
      <c r="L1615" s="94">
        <v>-80687</v>
      </c>
      <c r="M1615" s="94">
        <v>0</v>
      </c>
    </row>
    <row r="1616" spans="3:13" x14ac:dyDescent="0.3">
      <c r="C1616" t="s">
        <v>61</v>
      </c>
      <c r="D1616" t="s">
        <v>62</v>
      </c>
      <c r="E1616" t="s">
        <v>63</v>
      </c>
      <c r="F1616" t="s">
        <v>24</v>
      </c>
      <c r="G1616" s="4">
        <v>28</v>
      </c>
      <c r="I1616" s="4" t="s">
        <v>69</v>
      </c>
      <c r="J1616" s="4" t="s">
        <v>66</v>
      </c>
      <c r="K1616" s="4">
        <v>1</v>
      </c>
      <c r="L1616" s="94">
        <v>-2061</v>
      </c>
      <c r="M1616" s="94">
        <v>0</v>
      </c>
    </row>
    <row r="1617" spans="3:13" x14ac:dyDescent="0.3">
      <c r="C1617" t="s">
        <v>70</v>
      </c>
      <c r="D1617" t="s">
        <v>67</v>
      </c>
      <c r="E1617" t="s">
        <v>63</v>
      </c>
      <c r="F1617" t="s">
        <v>25</v>
      </c>
      <c r="G1617" s="4">
        <v>6</v>
      </c>
      <c r="H1617" s="4" t="s">
        <v>17</v>
      </c>
      <c r="I1617" s="4" t="s">
        <v>69</v>
      </c>
      <c r="J1617" s="4" t="s">
        <v>66</v>
      </c>
      <c r="K1617" s="4">
        <v>0</v>
      </c>
      <c r="L1617" s="94">
        <v>-48566</v>
      </c>
      <c r="M1617" s="94">
        <v>0</v>
      </c>
    </row>
    <row r="1618" spans="3:13" x14ac:dyDescent="0.3">
      <c r="C1618" t="s">
        <v>61</v>
      </c>
      <c r="D1618" t="s">
        <v>67</v>
      </c>
      <c r="E1618" t="s">
        <v>63</v>
      </c>
      <c r="F1618" t="s">
        <v>26</v>
      </c>
      <c r="G1618" s="4">
        <v>4</v>
      </c>
      <c r="H1618" s="4" t="s">
        <v>76</v>
      </c>
      <c r="I1618" s="4" t="s">
        <v>69</v>
      </c>
      <c r="J1618" s="4" t="s">
        <v>66</v>
      </c>
      <c r="K1618" s="4">
        <v>0</v>
      </c>
      <c r="L1618" s="94">
        <v>-67328</v>
      </c>
      <c r="M1618" s="94">
        <v>0</v>
      </c>
    </row>
    <row r="1619" spans="3:13" x14ac:dyDescent="0.3">
      <c r="C1619" t="s">
        <v>70</v>
      </c>
      <c r="D1619" t="s">
        <v>62</v>
      </c>
      <c r="E1619" t="s">
        <v>68</v>
      </c>
      <c r="F1619" t="s">
        <v>24</v>
      </c>
      <c r="G1619" s="4">
        <v>29</v>
      </c>
      <c r="I1619" s="4" t="s">
        <v>69</v>
      </c>
      <c r="J1619" s="4" t="s">
        <v>66</v>
      </c>
      <c r="K1619" s="4">
        <v>1</v>
      </c>
      <c r="L1619" s="94">
        <v>192400</v>
      </c>
      <c r="M1619" s="94">
        <v>5579600</v>
      </c>
    </row>
    <row r="1620" spans="3:13" x14ac:dyDescent="0.3">
      <c r="C1620" t="s">
        <v>71</v>
      </c>
      <c r="D1620" t="s">
        <v>62</v>
      </c>
      <c r="E1620" t="s">
        <v>63</v>
      </c>
      <c r="F1620" t="s">
        <v>24</v>
      </c>
      <c r="G1620" s="4">
        <v>4</v>
      </c>
      <c r="I1620" s="4" t="s">
        <v>69</v>
      </c>
      <c r="J1620" s="4" t="s">
        <v>66</v>
      </c>
      <c r="K1620" s="4">
        <v>1</v>
      </c>
      <c r="L1620" s="94">
        <v>-6153</v>
      </c>
      <c r="M1620" s="94">
        <v>0</v>
      </c>
    </row>
    <row r="1621" spans="3:13" x14ac:dyDescent="0.3">
      <c r="C1621" t="s">
        <v>61</v>
      </c>
      <c r="D1621" t="s">
        <v>67</v>
      </c>
      <c r="E1621" t="s">
        <v>68</v>
      </c>
      <c r="F1621" t="s">
        <v>25</v>
      </c>
      <c r="G1621" s="4">
        <v>11</v>
      </c>
      <c r="H1621" s="4" t="s">
        <v>12</v>
      </c>
      <c r="I1621" s="4" t="s">
        <v>69</v>
      </c>
      <c r="J1621" s="4" t="s">
        <v>66</v>
      </c>
      <c r="K1621" s="4">
        <v>1</v>
      </c>
      <c r="L1621" s="94">
        <v>11119920</v>
      </c>
      <c r="M1621" s="94">
        <v>122319120</v>
      </c>
    </row>
    <row r="1622" spans="3:13" x14ac:dyDescent="0.3">
      <c r="C1622" t="s">
        <v>61</v>
      </c>
      <c r="D1622" t="s">
        <v>84</v>
      </c>
      <c r="E1622" t="s">
        <v>63</v>
      </c>
      <c r="F1622" t="s">
        <v>25</v>
      </c>
      <c r="G1622" s="4">
        <v>5</v>
      </c>
      <c r="H1622" s="4" t="s">
        <v>75</v>
      </c>
      <c r="I1622" s="4" t="s">
        <v>69</v>
      </c>
      <c r="J1622" s="4" t="s">
        <v>66</v>
      </c>
      <c r="K1622" s="4">
        <v>0</v>
      </c>
      <c r="L1622" s="94">
        <v>-7318</v>
      </c>
      <c r="M1622" s="94">
        <v>0</v>
      </c>
    </row>
    <row r="1623" spans="3:13" x14ac:dyDescent="0.3">
      <c r="C1623" t="s">
        <v>61</v>
      </c>
      <c r="D1623" t="s">
        <v>67</v>
      </c>
      <c r="E1623" t="s">
        <v>68</v>
      </c>
      <c r="F1623" t="s">
        <v>72</v>
      </c>
      <c r="G1623" s="4">
        <v>0</v>
      </c>
      <c r="H1623" s="4" t="s">
        <v>79</v>
      </c>
      <c r="I1623" s="4" t="s">
        <v>69</v>
      </c>
      <c r="J1623" s="4" t="s">
        <v>66</v>
      </c>
      <c r="K1623" s="4">
        <v>0</v>
      </c>
      <c r="L1623" s="94">
        <v>529116</v>
      </c>
      <c r="M1623" s="94">
        <v>0</v>
      </c>
    </row>
    <row r="1624" spans="3:13" x14ac:dyDescent="0.3">
      <c r="C1624" t="s">
        <v>61</v>
      </c>
      <c r="D1624" t="s">
        <v>62</v>
      </c>
      <c r="E1624" t="s">
        <v>63</v>
      </c>
      <c r="F1624" t="s">
        <v>24</v>
      </c>
      <c r="G1624" s="4">
        <v>48</v>
      </c>
      <c r="I1624" s="4" t="s">
        <v>69</v>
      </c>
      <c r="J1624" s="4" t="s">
        <v>66</v>
      </c>
      <c r="K1624" s="4">
        <v>0</v>
      </c>
      <c r="L1624" s="94">
        <v>-48</v>
      </c>
      <c r="M1624" s="94">
        <v>0</v>
      </c>
    </row>
    <row r="1625" spans="3:13" x14ac:dyDescent="0.3">
      <c r="C1625" t="s">
        <v>71</v>
      </c>
      <c r="D1625" t="s">
        <v>67</v>
      </c>
      <c r="E1625" t="s">
        <v>68</v>
      </c>
      <c r="F1625" t="s">
        <v>26</v>
      </c>
      <c r="G1625" s="4">
        <v>14</v>
      </c>
      <c r="H1625" s="4" t="s">
        <v>14</v>
      </c>
      <c r="I1625" s="4" t="s">
        <v>69</v>
      </c>
      <c r="J1625" s="4" t="s">
        <v>66</v>
      </c>
      <c r="K1625" s="4">
        <v>0</v>
      </c>
      <c r="L1625" s="94">
        <v>1134019</v>
      </c>
      <c r="M1625" s="94">
        <v>15876266</v>
      </c>
    </row>
    <row r="1626" spans="3:13" x14ac:dyDescent="0.3">
      <c r="C1626" t="s">
        <v>70</v>
      </c>
      <c r="D1626" t="s">
        <v>67</v>
      </c>
      <c r="E1626" t="s">
        <v>63</v>
      </c>
      <c r="F1626" t="s">
        <v>25</v>
      </c>
      <c r="G1626" s="4">
        <v>11</v>
      </c>
      <c r="H1626" s="4" t="s">
        <v>14</v>
      </c>
      <c r="I1626" s="4" t="s">
        <v>69</v>
      </c>
      <c r="J1626" s="4" t="s">
        <v>66</v>
      </c>
      <c r="K1626" s="4">
        <v>0</v>
      </c>
      <c r="L1626" s="94">
        <v>-148514</v>
      </c>
      <c r="M1626" s="94">
        <v>0</v>
      </c>
    </row>
    <row r="1627" spans="3:13" x14ac:dyDescent="0.3">
      <c r="C1627" t="s">
        <v>61</v>
      </c>
      <c r="D1627" t="s">
        <v>67</v>
      </c>
      <c r="E1627" t="s">
        <v>63</v>
      </c>
      <c r="F1627" t="s">
        <v>72</v>
      </c>
      <c r="G1627" s="4">
        <v>8</v>
      </c>
      <c r="H1627" s="4" t="s">
        <v>64</v>
      </c>
      <c r="I1627" s="4" t="s">
        <v>69</v>
      </c>
      <c r="J1627" s="4" t="s">
        <v>66</v>
      </c>
      <c r="K1627" s="4">
        <v>0</v>
      </c>
      <c r="L1627" s="94">
        <v>-4101</v>
      </c>
      <c r="M1627" s="94">
        <v>0</v>
      </c>
    </row>
    <row r="1628" spans="3:13" x14ac:dyDescent="0.3">
      <c r="C1628" t="s">
        <v>61</v>
      </c>
      <c r="D1628" t="s">
        <v>62</v>
      </c>
      <c r="E1628" t="s">
        <v>63</v>
      </c>
      <c r="F1628" t="s">
        <v>24</v>
      </c>
      <c r="G1628" s="4">
        <v>17</v>
      </c>
      <c r="I1628" s="4" t="s">
        <v>65</v>
      </c>
      <c r="J1628" s="4" t="s">
        <v>66</v>
      </c>
      <c r="K1628" s="4">
        <v>1</v>
      </c>
      <c r="L1628" s="94">
        <v>-2097</v>
      </c>
      <c r="M1628" s="94">
        <v>0</v>
      </c>
    </row>
    <row r="1629" spans="3:13" x14ac:dyDescent="0.3">
      <c r="C1629" t="s">
        <v>70</v>
      </c>
      <c r="D1629" t="s">
        <v>67</v>
      </c>
      <c r="E1629" t="s">
        <v>68</v>
      </c>
      <c r="F1629" t="s">
        <v>25</v>
      </c>
      <c r="G1629" s="4">
        <v>14</v>
      </c>
      <c r="H1629" s="4" t="s">
        <v>79</v>
      </c>
      <c r="I1629" s="4" t="s">
        <v>69</v>
      </c>
      <c r="J1629" s="4" t="s">
        <v>66</v>
      </c>
      <c r="K1629" s="4">
        <v>0</v>
      </c>
      <c r="L1629" s="94">
        <v>286379</v>
      </c>
      <c r="M1629" s="94">
        <v>4009306</v>
      </c>
    </row>
    <row r="1630" spans="3:13" x14ac:dyDescent="0.3">
      <c r="C1630" t="s">
        <v>61</v>
      </c>
      <c r="D1630" t="s">
        <v>67</v>
      </c>
      <c r="E1630" t="s">
        <v>63</v>
      </c>
      <c r="F1630" t="s">
        <v>72</v>
      </c>
      <c r="G1630" s="4">
        <v>2</v>
      </c>
      <c r="H1630" s="4" t="s">
        <v>17</v>
      </c>
      <c r="I1630" s="4" t="s">
        <v>65</v>
      </c>
      <c r="J1630" s="4" t="s">
        <v>66</v>
      </c>
      <c r="K1630" s="4">
        <v>1</v>
      </c>
      <c r="L1630" s="94">
        <v>-47</v>
      </c>
      <c r="M1630" s="94">
        <v>0</v>
      </c>
    </row>
    <row r="1631" spans="3:13" x14ac:dyDescent="0.3">
      <c r="C1631" t="s">
        <v>71</v>
      </c>
      <c r="D1631" t="s">
        <v>67</v>
      </c>
      <c r="E1631" t="s">
        <v>68</v>
      </c>
      <c r="F1631" t="s">
        <v>26</v>
      </c>
      <c r="G1631" s="4">
        <v>5</v>
      </c>
      <c r="H1631" s="4" t="s">
        <v>64</v>
      </c>
      <c r="I1631" s="4" t="s">
        <v>69</v>
      </c>
      <c r="J1631" s="4" t="s">
        <v>66</v>
      </c>
      <c r="K1631" s="4">
        <v>0</v>
      </c>
      <c r="L1631" s="94">
        <v>385690</v>
      </c>
      <c r="M1631" s="94">
        <v>1928450</v>
      </c>
    </row>
    <row r="1632" spans="3:13" x14ac:dyDescent="0.3">
      <c r="C1632" t="s">
        <v>70</v>
      </c>
      <c r="D1632" t="s">
        <v>62</v>
      </c>
      <c r="E1632" t="s">
        <v>63</v>
      </c>
      <c r="F1632" t="s">
        <v>24</v>
      </c>
      <c r="G1632" s="4">
        <v>25</v>
      </c>
      <c r="I1632" s="4" t="s">
        <v>65</v>
      </c>
      <c r="J1632" s="4" t="s">
        <v>66</v>
      </c>
      <c r="K1632" s="4">
        <v>1</v>
      </c>
      <c r="L1632" s="94">
        <v>-30828</v>
      </c>
      <c r="M1632" s="94">
        <v>0</v>
      </c>
    </row>
    <row r="1633" spans="3:13" x14ac:dyDescent="0.3">
      <c r="C1633" t="s">
        <v>70</v>
      </c>
      <c r="D1633" t="s">
        <v>62</v>
      </c>
      <c r="E1633" t="s">
        <v>68</v>
      </c>
      <c r="F1633" t="s">
        <v>24</v>
      </c>
      <c r="G1633" s="4">
        <v>17</v>
      </c>
      <c r="I1633" s="4" t="s">
        <v>65</v>
      </c>
      <c r="J1633" s="4" t="s">
        <v>66</v>
      </c>
      <c r="K1633" s="4">
        <v>1</v>
      </c>
      <c r="L1633" s="94">
        <v>556607</v>
      </c>
      <c r="M1633" s="94">
        <v>9462319</v>
      </c>
    </row>
    <row r="1634" spans="3:13" x14ac:dyDescent="0.3">
      <c r="C1634" t="s">
        <v>61</v>
      </c>
      <c r="D1634" t="s">
        <v>67</v>
      </c>
      <c r="E1634" t="s">
        <v>68</v>
      </c>
      <c r="F1634" t="s">
        <v>25</v>
      </c>
      <c r="G1634" s="4">
        <v>7</v>
      </c>
      <c r="H1634" s="4" t="s">
        <v>75</v>
      </c>
      <c r="I1634" s="4" t="s">
        <v>65</v>
      </c>
      <c r="J1634" s="4" t="s">
        <v>66</v>
      </c>
      <c r="K1634" s="4">
        <v>1</v>
      </c>
      <c r="L1634" s="94">
        <v>447490</v>
      </c>
      <c r="M1634" s="94">
        <v>3132430</v>
      </c>
    </row>
    <row r="1635" spans="3:13" x14ac:dyDescent="0.3">
      <c r="C1635" t="s">
        <v>70</v>
      </c>
      <c r="D1635" t="s">
        <v>67</v>
      </c>
      <c r="E1635" t="s">
        <v>63</v>
      </c>
      <c r="F1635" t="s">
        <v>72</v>
      </c>
      <c r="G1635" s="4">
        <v>1</v>
      </c>
      <c r="H1635" s="4" t="s">
        <v>74</v>
      </c>
      <c r="I1635" s="4" t="s">
        <v>69</v>
      </c>
      <c r="J1635" s="4" t="s">
        <v>66</v>
      </c>
      <c r="K1635" s="4">
        <v>0</v>
      </c>
      <c r="L1635" s="94">
        <v>-3954</v>
      </c>
      <c r="M1635" s="94">
        <v>0</v>
      </c>
    </row>
    <row r="1636" spans="3:13" x14ac:dyDescent="0.3">
      <c r="C1636" t="s">
        <v>61</v>
      </c>
      <c r="D1636" t="s">
        <v>67</v>
      </c>
      <c r="E1636" t="s">
        <v>68</v>
      </c>
      <c r="F1636" t="s">
        <v>26</v>
      </c>
      <c r="G1636" s="4">
        <v>6</v>
      </c>
      <c r="H1636" s="4" t="s">
        <v>79</v>
      </c>
      <c r="I1636" s="4" t="s">
        <v>69</v>
      </c>
      <c r="J1636" s="4" t="s">
        <v>66</v>
      </c>
      <c r="K1636" s="4">
        <v>0</v>
      </c>
      <c r="L1636" s="94">
        <v>396805</v>
      </c>
      <c r="M1636" s="94">
        <v>2380830</v>
      </c>
    </row>
    <row r="1637" spans="3:13" x14ac:dyDescent="0.3">
      <c r="C1637" t="s">
        <v>70</v>
      </c>
      <c r="D1637" t="s">
        <v>67</v>
      </c>
      <c r="E1637" t="s">
        <v>68</v>
      </c>
      <c r="F1637" t="s">
        <v>26</v>
      </c>
      <c r="G1637" s="4">
        <v>3</v>
      </c>
      <c r="H1637" s="4" t="s">
        <v>18</v>
      </c>
      <c r="I1637" s="4" t="s">
        <v>69</v>
      </c>
      <c r="J1637" s="4" t="s">
        <v>73</v>
      </c>
      <c r="K1637" s="4">
        <v>1</v>
      </c>
      <c r="L1637" s="94">
        <v>3227674</v>
      </c>
      <c r="M1637" s="94">
        <v>9683022</v>
      </c>
    </row>
    <row r="1638" spans="3:13" x14ac:dyDescent="0.3">
      <c r="C1638" t="s">
        <v>70</v>
      </c>
      <c r="D1638" t="s">
        <v>67</v>
      </c>
      <c r="E1638" t="s">
        <v>63</v>
      </c>
      <c r="F1638" t="s">
        <v>25</v>
      </c>
      <c r="G1638" s="4">
        <v>1</v>
      </c>
      <c r="H1638" s="4" t="s">
        <v>82</v>
      </c>
      <c r="I1638" s="4" t="s">
        <v>69</v>
      </c>
      <c r="J1638" s="4" t="s">
        <v>66</v>
      </c>
      <c r="K1638" s="4">
        <v>0</v>
      </c>
      <c r="L1638" s="94">
        <v>-225</v>
      </c>
      <c r="M1638" s="94">
        <v>0</v>
      </c>
    </row>
    <row r="1639" spans="3:13" x14ac:dyDescent="0.3">
      <c r="C1639" t="s">
        <v>61</v>
      </c>
      <c r="D1639" t="s">
        <v>67</v>
      </c>
      <c r="E1639" t="s">
        <v>63</v>
      </c>
      <c r="F1639" t="s">
        <v>25</v>
      </c>
      <c r="G1639" s="4">
        <v>15</v>
      </c>
      <c r="H1639" s="4" t="s">
        <v>79</v>
      </c>
      <c r="I1639" s="4" t="s">
        <v>69</v>
      </c>
      <c r="J1639" s="4" t="s">
        <v>66</v>
      </c>
      <c r="K1639" s="4">
        <v>0</v>
      </c>
      <c r="L1639" s="94">
        <v>-11544</v>
      </c>
      <c r="M1639" s="94">
        <v>0</v>
      </c>
    </row>
    <row r="1640" spans="3:13" x14ac:dyDescent="0.3">
      <c r="C1640" t="s">
        <v>61</v>
      </c>
      <c r="D1640" t="s">
        <v>67</v>
      </c>
      <c r="E1640" t="s">
        <v>68</v>
      </c>
      <c r="F1640" t="s">
        <v>72</v>
      </c>
      <c r="G1640" s="4">
        <v>6</v>
      </c>
      <c r="H1640" s="4" t="s">
        <v>14</v>
      </c>
      <c r="I1640" s="4" t="s">
        <v>69</v>
      </c>
      <c r="J1640" s="4" t="s">
        <v>66</v>
      </c>
      <c r="K1640" s="4">
        <v>0</v>
      </c>
      <c r="L1640" s="94">
        <v>829072</v>
      </c>
      <c r="M1640" s="94">
        <v>4974432</v>
      </c>
    </row>
    <row r="1641" spans="3:13" x14ac:dyDescent="0.3">
      <c r="C1641" t="s">
        <v>71</v>
      </c>
      <c r="D1641" t="s">
        <v>67</v>
      </c>
      <c r="E1641" t="s">
        <v>63</v>
      </c>
      <c r="F1641" t="s">
        <v>72</v>
      </c>
      <c r="G1641" s="4">
        <v>2</v>
      </c>
      <c r="H1641" s="4" t="s">
        <v>12</v>
      </c>
      <c r="I1641" s="4" t="s">
        <v>69</v>
      </c>
      <c r="J1641" s="4" t="s">
        <v>66</v>
      </c>
      <c r="K1641" s="4">
        <v>0</v>
      </c>
      <c r="L1641" s="94">
        <v>-81973</v>
      </c>
      <c r="M1641" s="94">
        <v>0</v>
      </c>
    </row>
    <row r="1642" spans="3:13" x14ac:dyDescent="0.3">
      <c r="C1642" t="s">
        <v>71</v>
      </c>
      <c r="D1642" t="s">
        <v>62</v>
      </c>
      <c r="E1642" t="s">
        <v>63</v>
      </c>
      <c r="F1642" t="s">
        <v>24</v>
      </c>
      <c r="G1642" s="4">
        <v>20</v>
      </c>
      <c r="I1642" s="4" t="s">
        <v>69</v>
      </c>
      <c r="J1642" s="4" t="s">
        <v>66</v>
      </c>
      <c r="K1642" s="4">
        <v>1</v>
      </c>
      <c r="L1642" s="94">
        <v>-13855</v>
      </c>
      <c r="M1642" s="94">
        <v>0</v>
      </c>
    </row>
    <row r="1643" spans="3:13" x14ac:dyDescent="0.3">
      <c r="C1643" t="s">
        <v>70</v>
      </c>
      <c r="D1643" t="s">
        <v>67</v>
      </c>
      <c r="E1643" t="s">
        <v>68</v>
      </c>
      <c r="F1643" t="s">
        <v>72</v>
      </c>
      <c r="G1643" s="4">
        <v>2</v>
      </c>
      <c r="H1643" s="4" t="s">
        <v>17</v>
      </c>
      <c r="I1643" s="4" t="s">
        <v>69</v>
      </c>
      <c r="J1643" s="4" t="s">
        <v>66</v>
      </c>
      <c r="K1643" s="4">
        <v>0</v>
      </c>
      <c r="L1643" s="94">
        <v>1085313</v>
      </c>
      <c r="M1643" s="94">
        <v>2170626</v>
      </c>
    </row>
    <row r="1644" spans="3:13" x14ac:dyDescent="0.3">
      <c r="C1644" t="s">
        <v>61</v>
      </c>
      <c r="D1644" t="s">
        <v>67</v>
      </c>
      <c r="E1644" t="s">
        <v>68</v>
      </c>
      <c r="F1644" t="s">
        <v>25</v>
      </c>
      <c r="G1644" s="4">
        <v>1</v>
      </c>
      <c r="H1644" s="4" t="s">
        <v>83</v>
      </c>
      <c r="I1644" s="4" t="s">
        <v>69</v>
      </c>
      <c r="J1644" s="4" t="s">
        <v>66</v>
      </c>
      <c r="K1644" s="4">
        <v>0</v>
      </c>
      <c r="L1644" s="94">
        <v>18672</v>
      </c>
      <c r="M1644" s="94">
        <v>18672</v>
      </c>
    </row>
    <row r="1645" spans="3:13" x14ac:dyDescent="0.3">
      <c r="C1645" t="s">
        <v>70</v>
      </c>
      <c r="D1645" t="s">
        <v>67</v>
      </c>
      <c r="E1645" t="s">
        <v>63</v>
      </c>
      <c r="F1645" t="s">
        <v>72</v>
      </c>
      <c r="G1645" s="4">
        <v>1</v>
      </c>
      <c r="H1645" s="4" t="s">
        <v>17</v>
      </c>
      <c r="I1645" s="4" t="s">
        <v>65</v>
      </c>
      <c r="J1645" s="4" t="s">
        <v>73</v>
      </c>
      <c r="K1645" s="4">
        <v>1</v>
      </c>
      <c r="L1645" s="94">
        <v>-541</v>
      </c>
      <c r="M1645" s="94">
        <v>0</v>
      </c>
    </row>
    <row r="1646" spans="3:13" x14ac:dyDescent="0.3">
      <c r="C1646" t="s">
        <v>71</v>
      </c>
      <c r="D1646" t="s">
        <v>67</v>
      </c>
      <c r="E1646" t="s">
        <v>68</v>
      </c>
      <c r="F1646" t="s">
        <v>25</v>
      </c>
      <c r="G1646" s="4">
        <v>10</v>
      </c>
      <c r="H1646" s="4" t="s">
        <v>78</v>
      </c>
      <c r="I1646" s="4" t="s">
        <v>69</v>
      </c>
      <c r="J1646" s="4" t="s">
        <v>66</v>
      </c>
      <c r="K1646" s="4">
        <v>0</v>
      </c>
      <c r="L1646" s="94">
        <v>11242</v>
      </c>
      <c r="M1646" s="94">
        <v>112420</v>
      </c>
    </row>
    <row r="1647" spans="3:13" x14ac:dyDescent="0.3">
      <c r="C1647" t="s">
        <v>61</v>
      </c>
      <c r="D1647" t="s">
        <v>62</v>
      </c>
      <c r="E1647" t="s">
        <v>63</v>
      </c>
      <c r="F1647" t="s">
        <v>24</v>
      </c>
      <c r="G1647" s="4">
        <v>6</v>
      </c>
      <c r="I1647" s="4" t="s">
        <v>69</v>
      </c>
      <c r="J1647" s="4" t="s">
        <v>66</v>
      </c>
      <c r="K1647" s="4">
        <v>1</v>
      </c>
      <c r="L1647" s="94">
        <v>-312</v>
      </c>
      <c r="M1647" s="94">
        <v>0</v>
      </c>
    </row>
    <row r="1648" spans="3:13" x14ac:dyDescent="0.3">
      <c r="C1648" t="s">
        <v>61</v>
      </c>
      <c r="D1648" t="s">
        <v>67</v>
      </c>
      <c r="E1648" t="s">
        <v>63</v>
      </c>
      <c r="F1648" t="s">
        <v>25</v>
      </c>
      <c r="G1648" s="4">
        <v>8</v>
      </c>
      <c r="H1648" s="4" t="s">
        <v>64</v>
      </c>
      <c r="I1648" s="4" t="s">
        <v>69</v>
      </c>
      <c r="J1648" s="4" t="s">
        <v>66</v>
      </c>
      <c r="K1648" s="4">
        <v>0</v>
      </c>
      <c r="L1648" s="94">
        <v>-2899</v>
      </c>
      <c r="M1648" s="94">
        <v>0</v>
      </c>
    </row>
    <row r="1649" spans="3:13" x14ac:dyDescent="0.3">
      <c r="C1649" t="s">
        <v>71</v>
      </c>
      <c r="D1649" t="s">
        <v>67</v>
      </c>
      <c r="E1649" t="s">
        <v>63</v>
      </c>
      <c r="F1649" t="s">
        <v>25</v>
      </c>
      <c r="G1649" s="4">
        <v>6</v>
      </c>
      <c r="H1649" s="4" t="s">
        <v>14</v>
      </c>
      <c r="I1649" s="4" t="s">
        <v>69</v>
      </c>
      <c r="J1649" s="4" t="s">
        <v>66</v>
      </c>
      <c r="K1649" s="4">
        <v>0</v>
      </c>
      <c r="L1649" s="94">
        <v>-184518</v>
      </c>
      <c r="M1649" s="94">
        <v>0</v>
      </c>
    </row>
    <row r="1650" spans="3:13" x14ac:dyDescent="0.3">
      <c r="C1650" t="s">
        <v>61</v>
      </c>
      <c r="D1650" t="s">
        <v>67</v>
      </c>
      <c r="E1650" t="s">
        <v>63</v>
      </c>
      <c r="F1650" t="s">
        <v>25</v>
      </c>
      <c r="G1650" s="4">
        <v>6</v>
      </c>
      <c r="H1650" s="4" t="s">
        <v>76</v>
      </c>
      <c r="I1650" s="4" t="s">
        <v>69</v>
      </c>
      <c r="J1650" s="4" t="s">
        <v>66</v>
      </c>
      <c r="K1650" s="4">
        <v>0</v>
      </c>
      <c r="L1650" s="94">
        <v>-25180</v>
      </c>
      <c r="M1650" s="94">
        <v>0</v>
      </c>
    </row>
    <row r="1651" spans="3:13" x14ac:dyDescent="0.3">
      <c r="C1651" t="s">
        <v>71</v>
      </c>
      <c r="D1651" t="s">
        <v>67</v>
      </c>
      <c r="E1651" t="s">
        <v>63</v>
      </c>
      <c r="F1651" t="s">
        <v>25</v>
      </c>
      <c r="G1651" s="4">
        <v>5</v>
      </c>
      <c r="H1651" s="4" t="s">
        <v>18</v>
      </c>
      <c r="I1651" s="4" t="s">
        <v>69</v>
      </c>
      <c r="J1651" s="4" t="s">
        <v>66</v>
      </c>
      <c r="K1651" s="4">
        <v>1</v>
      </c>
      <c r="L1651" s="94">
        <v>-37909</v>
      </c>
      <c r="M1651" s="94">
        <v>0</v>
      </c>
    </row>
    <row r="1652" spans="3:13" x14ac:dyDescent="0.3">
      <c r="C1652" t="s">
        <v>71</v>
      </c>
      <c r="D1652" t="s">
        <v>67</v>
      </c>
      <c r="E1652" t="s">
        <v>63</v>
      </c>
      <c r="F1652" t="s">
        <v>72</v>
      </c>
      <c r="G1652" s="4">
        <v>1</v>
      </c>
      <c r="H1652" s="4" t="s">
        <v>14</v>
      </c>
      <c r="I1652" s="4" t="s">
        <v>69</v>
      </c>
      <c r="J1652" s="4" t="s">
        <v>73</v>
      </c>
      <c r="K1652" s="4">
        <v>1</v>
      </c>
      <c r="L1652" s="94">
        <v>-194629</v>
      </c>
      <c r="M1652" s="94">
        <v>0</v>
      </c>
    </row>
    <row r="1653" spans="3:13" x14ac:dyDescent="0.3">
      <c r="C1653" t="s">
        <v>61</v>
      </c>
      <c r="D1653" t="s">
        <v>67</v>
      </c>
      <c r="E1653" t="s">
        <v>63</v>
      </c>
      <c r="F1653" t="s">
        <v>26</v>
      </c>
      <c r="G1653" s="4">
        <v>1</v>
      </c>
      <c r="H1653" s="4" t="s">
        <v>15</v>
      </c>
      <c r="I1653" s="4" t="s">
        <v>69</v>
      </c>
      <c r="J1653" s="4" t="s">
        <v>66</v>
      </c>
      <c r="K1653" s="4">
        <v>0</v>
      </c>
      <c r="L1653" s="94">
        <v>-2311</v>
      </c>
      <c r="M1653" s="94">
        <v>0</v>
      </c>
    </row>
    <row r="1654" spans="3:13" x14ac:dyDescent="0.3">
      <c r="C1654" t="s">
        <v>70</v>
      </c>
      <c r="D1654" t="s">
        <v>67</v>
      </c>
      <c r="E1654" t="s">
        <v>63</v>
      </c>
      <c r="F1654" t="s">
        <v>72</v>
      </c>
      <c r="G1654" s="4">
        <v>-4</v>
      </c>
      <c r="H1654" s="4" t="s">
        <v>12</v>
      </c>
      <c r="I1654" s="4" t="s">
        <v>69</v>
      </c>
      <c r="J1654" s="4" t="s">
        <v>73</v>
      </c>
      <c r="K1654" s="4">
        <v>1</v>
      </c>
      <c r="L1654" s="94">
        <v>-5</v>
      </c>
      <c r="M1654" s="94">
        <v>0</v>
      </c>
    </row>
    <row r="1655" spans="3:13" x14ac:dyDescent="0.3">
      <c r="C1655" t="s">
        <v>61</v>
      </c>
      <c r="D1655" t="s">
        <v>67</v>
      </c>
      <c r="E1655" t="s">
        <v>68</v>
      </c>
      <c r="F1655" t="s">
        <v>26</v>
      </c>
      <c r="G1655" s="4">
        <v>2</v>
      </c>
      <c r="H1655" s="4" t="s">
        <v>83</v>
      </c>
      <c r="I1655" s="4" t="s">
        <v>69</v>
      </c>
      <c r="J1655" s="4" t="s">
        <v>66</v>
      </c>
      <c r="K1655" s="4">
        <v>0</v>
      </c>
      <c r="L1655" s="94">
        <v>2947912</v>
      </c>
      <c r="M1655" s="94">
        <v>5895824</v>
      </c>
    </row>
    <row r="1656" spans="3:13" x14ac:dyDescent="0.3">
      <c r="C1656" t="s">
        <v>70</v>
      </c>
      <c r="D1656" t="s">
        <v>67</v>
      </c>
      <c r="E1656" t="s">
        <v>63</v>
      </c>
      <c r="F1656" t="s">
        <v>25</v>
      </c>
      <c r="G1656" s="4">
        <v>-4</v>
      </c>
      <c r="H1656" s="4" t="s">
        <v>76</v>
      </c>
      <c r="I1656" s="4" t="s">
        <v>69</v>
      </c>
      <c r="J1656" s="4" t="s">
        <v>66</v>
      </c>
      <c r="K1656" s="4">
        <v>0</v>
      </c>
      <c r="L1656" s="94">
        <v>-64</v>
      </c>
      <c r="M1656" s="94">
        <v>0</v>
      </c>
    </row>
    <row r="1657" spans="3:13" x14ac:dyDescent="0.3">
      <c r="C1657" t="s">
        <v>61</v>
      </c>
      <c r="D1657" t="s">
        <v>67</v>
      </c>
      <c r="E1657" t="s">
        <v>68</v>
      </c>
      <c r="F1657" t="s">
        <v>26</v>
      </c>
      <c r="G1657" s="4">
        <v>3</v>
      </c>
      <c r="H1657" s="4" t="s">
        <v>15</v>
      </c>
      <c r="I1657" s="4" t="s">
        <v>69</v>
      </c>
      <c r="J1657" s="4" t="s">
        <v>66</v>
      </c>
      <c r="K1657" s="4">
        <v>0</v>
      </c>
      <c r="L1657" s="94">
        <v>3125247</v>
      </c>
      <c r="M1657" s="94">
        <v>9375741</v>
      </c>
    </row>
    <row r="1658" spans="3:13" x14ac:dyDescent="0.3">
      <c r="C1658" t="s">
        <v>71</v>
      </c>
      <c r="D1658" t="s">
        <v>67</v>
      </c>
      <c r="E1658" t="s">
        <v>63</v>
      </c>
      <c r="F1658" t="s">
        <v>26</v>
      </c>
      <c r="G1658" s="4">
        <v>-1</v>
      </c>
      <c r="H1658" s="4" t="s">
        <v>75</v>
      </c>
      <c r="I1658" s="4" t="s">
        <v>69</v>
      </c>
      <c r="J1658" s="4" t="s">
        <v>66</v>
      </c>
      <c r="K1658" s="4">
        <v>0</v>
      </c>
      <c r="L1658" s="94">
        <v>-965685</v>
      </c>
      <c r="M1658" s="94">
        <v>0</v>
      </c>
    </row>
    <row r="1659" spans="3:13" x14ac:dyDescent="0.3">
      <c r="C1659" t="s">
        <v>71</v>
      </c>
      <c r="D1659" t="s">
        <v>62</v>
      </c>
      <c r="E1659" t="s">
        <v>68</v>
      </c>
      <c r="F1659" t="s">
        <v>24</v>
      </c>
      <c r="G1659" s="4">
        <v>-1</v>
      </c>
      <c r="I1659" s="4" t="s">
        <v>69</v>
      </c>
      <c r="J1659" s="4" t="s">
        <v>66</v>
      </c>
      <c r="K1659" s="4">
        <v>0</v>
      </c>
      <c r="L1659" s="94">
        <v>300012</v>
      </c>
      <c r="M1659" s="94">
        <v>0</v>
      </c>
    </row>
    <row r="1660" spans="3:13" x14ac:dyDescent="0.3">
      <c r="C1660" t="s">
        <v>61</v>
      </c>
      <c r="D1660" t="s">
        <v>67</v>
      </c>
      <c r="E1660" t="s">
        <v>63</v>
      </c>
      <c r="F1660" t="s">
        <v>25</v>
      </c>
      <c r="G1660" s="4">
        <v>13</v>
      </c>
      <c r="H1660" s="4" t="s">
        <v>17</v>
      </c>
      <c r="I1660" s="4" t="s">
        <v>69</v>
      </c>
      <c r="J1660" s="4" t="s">
        <v>66</v>
      </c>
      <c r="K1660" s="4">
        <v>1</v>
      </c>
      <c r="L1660" s="94">
        <v>-56</v>
      </c>
      <c r="M1660" s="94">
        <v>0</v>
      </c>
    </row>
    <row r="1661" spans="3:13" x14ac:dyDescent="0.3">
      <c r="C1661" t="s">
        <v>71</v>
      </c>
      <c r="D1661" t="s">
        <v>67</v>
      </c>
      <c r="E1661" t="s">
        <v>63</v>
      </c>
      <c r="F1661" t="s">
        <v>26</v>
      </c>
      <c r="G1661" s="4">
        <v>7</v>
      </c>
      <c r="H1661" s="4" t="s">
        <v>14</v>
      </c>
      <c r="I1661" s="4" t="s">
        <v>69</v>
      </c>
      <c r="J1661" s="4" t="s">
        <v>66</v>
      </c>
      <c r="K1661" s="4">
        <v>0</v>
      </c>
      <c r="L1661" s="94">
        <v>-682043</v>
      </c>
      <c r="M1661" s="94">
        <v>0</v>
      </c>
    </row>
    <row r="1662" spans="3:13" x14ac:dyDescent="0.3">
      <c r="C1662" t="s">
        <v>70</v>
      </c>
      <c r="D1662" t="s">
        <v>67</v>
      </c>
      <c r="E1662" t="s">
        <v>68</v>
      </c>
      <c r="F1662" t="s">
        <v>26</v>
      </c>
      <c r="G1662" s="4">
        <v>1</v>
      </c>
      <c r="H1662" s="4" t="s">
        <v>14</v>
      </c>
      <c r="I1662" s="4" t="s">
        <v>65</v>
      </c>
      <c r="J1662" s="4" t="s">
        <v>73</v>
      </c>
      <c r="K1662" s="4">
        <v>1</v>
      </c>
      <c r="L1662" s="94">
        <v>14220</v>
      </c>
      <c r="M1662" s="94">
        <v>14220</v>
      </c>
    </row>
    <row r="1663" spans="3:13" x14ac:dyDescent="0.3">
      <c r="C1663" t="s">
        <v>61</v>
      </c>
      <c r="D1663" t="s">
        <v>67</v>
      </c>
      <c r="E1663" t="s">
        <v>63</v>
      </c>
      <c r="F1663" t="s">
        <v>72</v>
      </c>
      <c r="G1663" s="4">
        <v>7</v>
      </c>
      <c r="H1663" s="4" t="s">
        <v>12</v>
      </c>
      <c r="I1663" s="4" t="s">
        <v>69</v>
      </c>
      <c r="J1663" s="4" t="s">
        <v>73</v>
      </c>
      <c r="K1663" s="4">
        <v>1</v>
      </c>
      <c r="L1663" s="94">
        <v>-3563</v>
      </c>
      <c r="M1663" s="94">
        <v>0</v>
      </c>
    </row>
    <row r="1664" spans="3:13" x14ac:dyDescent="0.3">
      <c r="C1664" t="s">
        <v>61</v>
      </c>
      <c r="D1664" t="s">
        <v>62</v>
      </c>
      <c r="E1664" t="s">
        <v>68</v>
      </c>
      <c r="F1664" t="s">
        <v>25</v>
      </c>
      <c r="G1664" s="4">
        <v>5</v>
      </c>
      <c r="I1664" s="4" t="s">
        <v>65</v>
      </c>
      <c r="J1664" s="4" t="s">
        <v>66</v>
      </c>
      <c r="K1664" s="4">
        <v>1</v>
      </c>
      <c r="L1664" s="94">
        <v>37670</v>
      </c>
      <c r="M1664" s="94">
        <v>188350</v>
      </c>
    </row>
    <row r="1665" spans="3:13" x14ac:dyDescent="0.3">
      <c r="C1665" t="s">
        <v>70</v>
      </c>
      <c r="D1665" t="s">
        <v>67</v>
      </c>
      <c r="E1665" t="s">
        <v>68</v>
      </c>
      <c r="F1665" t="s">
        <v>26</v>
      </c>
      <c r="G1665" s="4">
        <v>5</v>
      </c>
      <c r="H1665" s="4" t="s">
        <v>18</v>
      </c>
      <c r="I1665" s="4" t="s">
        <v>69</v>
      </c>
      <c r="J1665" s="4" t="s">
        <v>73</v>
      </c>
      <c r="K1665" s="4">
        <v>1</v>
      </c>
      <c r="L1665" s="94">
        <v>684897</v>
      </c>
      <c r="M1665" s="94">
        <v>3424485</v>
      </c>
    </row>
    <row r="1666" spans="3:13" x14ac:dyDescent="0.3">
      <c r="C1666" t="s">
        <v>71</v>
      </c>
      <c r="D1666" t="s">
        <v>67</v>
      </c>
      <c r="E1666" t="s">
        <v>68</v>
      </c>
      <c r="F1666" t="s">
        <v>26</v>
      </c>
      <c r="G1666" s="4">
        <v>4</v>
      </c>
      <c r="H1666" s="4" t="s">
        <v>14</v>
      </c>
      <c r="I1666" s="4" t="s">
        <v>69</v>
      </c>
      <c r="J1666" s="4" t="s">
        <v>66</v>
      </c>
      <c r="K1666" s="4">
        <v>0</v>
      </c>
      <c r="L1666" s="94">
        <v>1362985</v>
      </c>
      <c r="M1666" s="94">
        <v>5451940</v>
      </c>
    </row>
    <row r="1667" spans="3:13" x14ac:dyDescent="0.3">
      <c r="C1667" t="s">
        <v>70</v>
      </c>
      <c r="D1667" t="s">
        <v>67</v>
      </c>
      <c r="E1667" t="s">
        <v>68</v>
      </c>
      <c r="F1667" t="s">
        <v>72</v>
      </c>
      <c r="G1667" s="4">
        <v>2</v>
      </c>
      <c r="H1667" s="4" t="s">
        <v>82</v>
      </c>
      <c r="I1667" s="4" t="s">
        <v>69</v>
      </c>
      <c r="J1667" s="4" t="s">
        <v>66</v>
      </c>
      <c r="K1667" s="4">
        <v>0</v>
      </c>
      <c r="L1667" s="94">
        <v>1898276</v>
      </c>
      <c r="M1667" s="94">
        <v>3796552</v>
      </c>
    </row>
    <row r="1668" spans="3:13" x14ac:dyDescent="0.3">
      <c r="C1668" t="s">
        <v>70</v>
      </c>
      <c r="D1668" t="s">
        <v>62</v>
      </c>
      <c r="E1668" t="s">
        <v>68</v>
      </c>
      <c r="F1668" t="s">
        <v>24</v>
      </c>
      <c r="G1668" s="4">
        <v>24</v>
      </c>
      <c r="I1668" s="4" t="s">
        <v>69</v>
      </c>
      <c r="J1668" s="4" t="s">
        <v>66</v>
      </c>
      <c r="K1668" s="4">
        <v>1</v>
      </c>
      <c r="L1668" s="94">
        <v>380062</v>
      </c>
      <c r="M1668" s="94">
        <v>9121488</v>
      </c>
    </row>
    <row r="1669" spans="3:13" x14ac:dyDescent="0.3">
      <c r="C1669" t="s">
        <v>61</v>
      </c>
      <c r="D1669" t="s">
        <v>67</v>
      </c>
      <c r="E1669" t="s">
        <v>63</v>
      </c>
      <c r="F1669" t="s">
        <v>72</v>
      </c>
      <c r="G1669" s="4">
        <v>-4</v>
      </c>
      <c r="H1669" s="4" t="s">
        <v>12</v>
      </c>
      <c r="I1669" s="4" t="s">
        <v>69</v>
      </c>
      <c r="J1669" s="4" t="s">
        <v>73</v>
      </c>
      <c r="K1669" s="4">
        <v>1</v>
      </c>
      <c r="L1669" s="94">
        <v>-1</v>
      </c>
      <c r="M1669" s="94">
        <v>0</v>
      </c>
    </row>
    <row r="1670" spans="3:13" x14ac:dyDescent="0.3">
      <c r="C1670" t="s">
        <v>61</v>
      </c>
      <c r="D1670" t="s">
        <v>84</v>
      </c>
      <c r="E1670" t="s">
        <v>63</v>
      </c>
      <c r="F1670" t="s">
        <v>25</v>
      </c>
      <c r="G1670" s="4">
        <v>14</v>
      </c>
      <c r="H1670" s="4" t="s">
        <v>81</v>
      </c>
      <c r="I1670" s="4" t="s">
        <v>69</v>
      </c>
      <c r="J1670" s="4" t="s">
        <v>66</v>
      </c>
      <c r="K1670" s="4">
        <v>0</v>
      </c>
      <c r="L1670" s="94">
        <v>-2247</v>
      </c>
      <c r="M1670" s="94">
        <v>0</v>
      </c>
    </row>
    <row r="1671" spans="3:13" x14ac:dyDescent="0.3">
      <c r="C1671" t="s">
        <v>61</v>
      </c>
      <c r="D1671" t="s">
        <v>67</v>
      </c>
      <c r="E1671" t="s">
        <v>63</v>
      </c>
      <c r="F1671" t="s">
        <v>25</v>
      </c>
      <c r="G1671" s="4">
        <v>5</v>
      </c>
      <c r="H1671" s="4" t="s">
        <v>14</v>
      </c>
      <c r="I1671" s="4" t="s">
        <v>69</v>
      </c>
      <c r="J1671" s="4" t="s">
        <v>66</v>
      </c>
      <c r="K1671" s="4">
        <v>1</v>
      </c>
      <c r="L1671" s="94">
        <v>-13039</v>
      </c>
      <c r="M1671" s="94">
        <v>0</v>
      </c>
    </row>
    <row r="1672" spans="3:13" x14ac:dyDescent="0.3">
      <c r="C1672" t="s">
        <v>70</v>
      </c>
      <c r="D1672" t="s">
        <v>67</v>
      </c>
      <c r="E1672" t="s">
        <v>63</v>
      </c>
      <c r="F1672" t="s">
        <v>25</v>
      </c>
      <c r="G1672" s="4">
        <v>1</v>
      </c>
      <c r="H1672" s="4" t="s">
        <v>17</v>
      </c>
      <c r="I1672" s="4" t="s">
        <v>69</v>
      </c>
      <c r="J1672" s="4" t="s">
        <v>66</v>
      </c>
      <c r="K1672" s="4">
        <v>0</v>
      </c>
      <c r="L1672" s="94">
        <v>-1728</v>
      </c>
      <c r="M1672" s="94">
        <v>0</v>
      </c>
    </row>
    <row r="1673" spans="3:13" x14ac:dyDescent="0.3">
      <c r="C1673" t="s">
        <v>71</v>
      </c>
      <c r="D1673" t="s">
        <v>67</v>
      </c>
      <c r="E1673" t="s">
        <v>63</v>
      </c>
      <c r="F1673" t="s">
        <v>26</v>
      </c>
      <c r="G1673" s="4">
        <v>2</v>
      </c>
      <c r="H1673" s="4" t="s">
        <v>12</v>
      </c>
      <c r="I1673" s="4" t="s">
        <v>65</v>
      </c>
      <c r="J1673" s="4" t="s">
        <v>73</v>
      </c>
      <c r="K1673" s="4">
        <v>1</v>
      </c>
      <c r="L1673" s="94">
        <v>-8396</v>
      </c>
      <c r="M1673" s="94">
        <v>0</v>
      </c>
    </row>
    <row r="1674" spans="3:13" x14ac:dyDescent="0.3">
      <c r="C1674" t="s">
        <v>61</v>
      </c>
      <c r="D1674" t="s">
        <v>67</v>
      </c>
      <c r="E1674" t="s">
        <v>68</v>
      </c>
      <c r="F1674" t="s">
        <v>72</v>
      </c>
      <c r="G1674" s="4">
        <v>6</v>
      </c>
      <c r="H1674" s="4" t="s">
        <v>74</v>
      </c>
      <c r="I1674" s="4" t="s">
        <v>69</v>
      </c>
      <c r="J1674" s="4" t="s">
        <v>66</v>
      </c>
      <c r="K1674" s="4">
        <v>0</v>
      </c>
      <c r="L1674" s="94">
        <v>438133</v>
      </c>
      <c r="M1674" s="94">
        <v>2628798</v>
      </c>
    </row>
    <row r="1675" spans="3:13" x14ac:dyDescent="0.3">
      <c r="C1675" t="s">
        <v>70</v>
      </c>
      <c r="D1675" t="s">
        <v>67</v>
      </c>
      <c r="E1675" t="s">
        <v>68</v>
      </c>
      <c r="F1675" t="s">
        <v>25</v>
      </c>
      <c r="G1675" s="4">
        <v>-4</v>
      </c>
      <c r="H1675" s="4" t="s">
        <v>14</v>
      </c>
      <c r="I1675" s="4" t="s">
        <v>69</v>
      </c>
      <c r="J1675" s="4" t="s">
        <v>66</v>
      </c>
      <c r="K1675" s="4">
        <v>0</v>
      </c>
      <c r="L1675" s="94">
        <v>976</v>
      </c>
      <c r="M1675" s="94">
        <v>0</v>
      </c>
    </row>
    <row r="1676" spans="3:13" x14ac:dyDescent="0.3">
      <c r="C1676" t="s">
        <v>61</v>
      </c>
      <c r="D1676" t="s">
        <v>67</v>
      </c>
      <c r="E1676" t="s">
        <v>63</v>
      </c>
      <c r="F1676" t="s">
        <v>26</v>
      </c>
      <c r="G1676" s="4">
        <v>-1</v>
      </c>
      <c r="H1676" s="4" t="s">
        <v>64</v>
      </c>
      <c r="I1676" s="4" t="s">
        <v>69</v>
      </c>
      <c r="J1676" s="4" t="s">
        <v>66</v>
      </c>
      <c r="K1676" s="4">
        <v>0</v>
      </c>
      <c r="L1676" s="94">
        <v>-175487</v>
      </c>
      <c r="M1676" s="94">
        <v>0</v>
      </c>
    </row>
    <row r="1677" spans="3:13" x14ac:dyDescent="0.3">
      <c r="C1677" t="s">
        <v>61</v>
      </c>
      <c r="D1677" t="s">
        <v>67</v>
      </c>
      <c r="E1677" t="s">
        <v>68</v>
      </c>
      <c r="F1677" t="s">
        <v>25</v>
      </c>
      <c r="G1677" s="4">
        <v>3</v>
      </c>
      <c r="H1677" s="4" t="s">
        <v>12</v>
      </c>
      <c r="I1677" s="4" t="s">
        <v>69</v>
      </c>
      <c r="J1677" s="4" t="s">
        <v>73</v>
      </c>
      <c r="K1677" s="4">
        <v>1</v>
      </c>
      <c r="L1677" s="94">
        <v>16145</v>
      </c>
      <c r="M1677" s="94">
        <v>48435</v>
      </c>
    </row>
    <row r="1678" spans="3:13" x14ac:dyDescent="0.3">
      <c r="C1678" t="s">
        <v>71</v>
      </c>
      <c r="D1678" t="s">
        <v>67</v>
      </c>
      <c r="E1678" t="s">
        <v>68</v>
      </c>
      <c r="F1678" t="s">
        <v>25</v>
      </c>
      <c r="G1678" s="4">
        <v>6</v>
      </c>
      <c r="H1678" s="4" t="s">
        <v>14</v>
      </c>
      <c r="I1678" s="4" t="s">
        <v>69</v>
      </c>
      <c r="J1678" s="4" t="s">
        <v>66</v>
      </c>
      <c r="K1678" s="4">
        <v>0</v>
      </c>
      <c r="L1678" s="94">
        <v>441259</v>
      </c>
      <c r="M1678" s="94">
        <v>2647554</v>
      </c>
    </row>
    <row r="1679" spans="3:13" x14ac:dyDescent="0.3">
      <c r="C1679" t="s">
        <v>61</v>
      </c>
      <c r="D1679" t="s">
        <v>62</v>
      </c>
      <c r="E1679" t="s">
        <v>68</v>
      </c>
      <c r="F1679" t="s">
        <v>24</v>
      </c>
      <c r="G1679" s="4">
        <v>2</v>
      </c>
      <c r="I1679" s="4" t="s">
        <v>65</v>
      </c>
      <c r="J1679" s="4" t="s">
        <v>66</v>
      </c>
      <c r="K1679" s="4">
        <v>1</v>
      </c>
      <c r="L1679" s="94">
        <v>500624</v>
      </c>
      <c r="M1679" s="94">
        <v>1001248</v>
      </c>
    </row>
    <row r="1680" spans="3:13" x14ac:dyDescent="0.3">
      <c r="C1680" t="s">
        <v>61</v>
      </c>
      <c r="D1680" t="s">
        <v>67</v>
      </c>
      <c r="E1680" t="s">
        <v>63</v>
      </c>
      <c r="F1680" t="s">
        <v>25</v>
      </c>
      <c r="G1680" s="4">
        <v>12</v>
      </c>
      <c r="H1680" s="4" t="s">
        <v>80</v>
      </c>
      <c r="I1680" s="4" t="s">
        <v>69</v>
      </c>
      <c r="J1680" s="4" t="s">
        <v>66</v>
      </c>
      <c r="K1680" s="4">
        <v>0</v>
      </c>
      <c r="L1680" s="94">
        <v>-1193</v>
      </c>
      <c r="M1680" s="94">
        <v>0</v>
      </c>
    </row>
    <row r="1681" spans="3:13" x14ac:dyDescent="0.3">
      <c r="C1681" t="s">
        <v>61</v>
      </c>
      <c r="D1681" t="s">
        <v>67</v>
      </c>
      <c r="E1681" t="s">
        <v>68</v>
      </c>
      <c r="F1681" t="s">
        <v>26</v>
      </c>
      <c r="G1681" s="4">
        <v>4</v>
      </c>
      <c r="H1681" s="4" t="s">
        <v>76</v>
      </c>
      <c r="I1681" s="4" t="s">
        <v>69</v>
      </c>
      <c r="J1681" s="4" t="s">
        <v>66</v>
      </c>
      <c r="K1681" s="4">
        <v>0</v>
      </c>
      <c r="L1681" s="94">
        <v>30617432</v>
      </c>
      <c r="M1681" s="94">
        <v>122469728</v>
      </c>
    </row>
    <row r="1682" spans="3:13" x14ac:dyDescent="0.3">
      <c r="C1682" t="s">
        <v>71</v>
      </c>
      <c r="D1682" t="s">
        <v>67</v>
      </c>
      <c r="E1682" t="s">
        <v>63</v>
      </c>
      <c r="F1682" t="s">
        <v>26</v>
      </c>
      <c r="G1682" s="4">
        <v>1</v>
      </c>
      <c r="H1682" s="4" t="s">
        <v>17</v>
      </c>
      <c r="I1682" s="4" t="s">
        <v>69</v>
      </c>
      <c r="J1682" s="4" t="s">
        <v>66</v>
      </c>
      <c r="K1682" s="4">
        <v>0</v>
      </c>
      <c r="L1682" s="94">
        <v>-755185</v>
      </c>
      <c r="M1682" s="94">
        <v>0</v>
      </c>
    </row>
    <row r="1683" spans="3:13" x14ac:dyDescent="0.3">
      <c r="C1683" t="s">
        <v>70</v>
      </c>
      <c r="D1683" t="s">
        <v>67</v>
      </c>
      <c r="E1683" t="s">
        <v>63</v>
      </c>
      <c r="F1683" t="s">
        <v>25</v>
      </c>
      <c r="G1683" s="4">
        <v>12</v>
      </c>
      <c r="H1683" s="4" t="s">
        <v>83</v>
      </c>
      <c r="I1683" s="4" t="s">
        <v>69</v>
      </c>
      <c r="J1683" s="4" t="s">
        <v>66</v>
      </c>
      <c r="K1683" s="4">
        <v>0</v>
      </c>
      <c r="L1683" s="94">
        <v>-13999</v>
      </c>
      <c r="M1683" s="94">
        <v>0</v>
      </c>
    </row>
    <row r="1684" spans="3:13" x14ac:dyDescent="0.3">
      <c r="C1684" t="s">
        <v>71</v>
      </c>
      <c r="D1684" t="s">
        <v>67</v>
      </c>
      <c r="E1684" t="s">
        <v>63</v>
      </c>
      <c r="F1684" t="s">
        <v>25</v>
      </c>
      <c r="G1684" s="4">
        <v>-4</v>
      </c>
      <c r="H1684" s="4" t="s">
        <v>75</v>
      </c>
      <c r="I1684" s="4" t="s">
        <v>69</v>
      </c>
      <c r="J1684" s="4" t="s">
        <v>66</v>
      </c>
      <c r="K1684" s="4">
        <v>0</v>
      </c>
      <c r="L1684" s="94">
        <v>-3913450</v>
      </c>
      <c r="M1684" s="94">
        <v>0</v>
      </c>
    </row>
    <row r="1685" spans="3:13" x14ac:dyDescent="0.3">
      <c r="C1685" t="s">
        <v>70</v>
      </c>
      <c r="D1685" t="s">
        <v>67</v>
      </c>
      <c r="E1685" t="s">
        <v>63</v>
      </c>
      <c r="F1685" t="s">
        <v>72</v>
      </c>
      <c r="G1685" s="4">
        <v>1</v>
      </c>
      <c r="H1685" s="4" t="s">
        <v>14</v>
      </c>
      <c r="I1685" s="4" t="s">
        <v>69</v>
      </c>
      <c r="J1685" s="4" t="s">
        <v>66</v>
      </c>
      <c r="K1685" s="4">
        <v>0</v>
      </c>
      <c r="L1685" s="94">
        <v>-26474</v>
      </c>
      <c r="M1685" s="94">
        <v>0</v>
      </c>
    </row>
    <row r="1686" spans="3:13" x14ac:dyDescent="0.3">
      <c r="C1686" t="s">
        <v>61</v>
      </c>
      <c r="D1686" t="s">
        <v>62</v>
      </c>
      <c r="E1686" t="s">
        <v>68</v>
      </c>
      <c r="F1686" t="s">
        <v>25</v>
      </c>
      <c r="G1686" s="4">
        <v>10</v>
      </c>
      <c r="I1686" s="4" t="s">
        <v>69</v>
      </c>
      <c r="J1686" s="4" t="s">
        <v>66</v>
      </c>
      <c r="K1686" s="4">
        <v>0</v>
      </c>
      <c r="L1686" s="94">
        <v>3147489</v>
      </c>
      <c r="M1686" s="94">
        <v>31474890</v>
      </c>
    </row>
    <row r="1687" spans="3:13" x14ac:dyDescent="0.3">
      <c r="C1687" t="s">
        <v>71</v>
      </c>
      <c r="D1687" t="s">
        <v>67</v>
      </c>
      <c r="E1687" t="s">
        <v>63</v>
      </c>
      <c r="F1687" t="s">
        <v>72</v>
      </c>
      <c r="G1687" s="4">
        <v>-4</v>
      </c>
      <c r="H1687" s="4" t="s">
        <v>12</v>
      </c>
      <c r="I1687" s="4" t="s">
        <v>69</v>
      </c>
      <c r="J1687" s="4" t="s">
        <v>66</v>
      </c>
      <c r="K1687" s="4">
        <v>0</v>
      </c>
      <c r="L1687" s="94">
        <v>-5022</v>
      </c>
      <c r="M1687" s="94">
        <v>0</v>
      </c>
    </row>
    <row r="1688" spans="3:13" x14ac:dyDescent="0.3">
      <c r="C1688" t="s">
        <v>61</v>
      </c>
      <c r="D1688" t="s">
        <v>67</v>
      </c>
      <c r="E1688" t="s">
        <v>68</v>
      </c>
      <c r="F1688" t="s">
        <v>26</v>
      </c>
      <c r="G1688" s="4">
        <v>12</v>
      </c>
      <c r="H1688" s="4" t="s">
        <v>15</v>
      </c>
      <c r="I1688" s="4" t="s">
        <v>69</v>
      </c>
      <c r="J1688" s="4" t="s">
        <v>66</v>
      </c>
      <c r="K1688" s="4">
        <v>0</v>
      </c>
      <c r="L1688" s="94">
        <v>135060246</v>
      </c>
      <c r="M1688" s="94">
        <v>1620722952</v>
      </c>
    </row>
    <row r="1689" spans="3:13" x14ac:dyDescent="0.3">
      <c r="C1689" t="s">
        <v>61</v>
      </c>
      <c r="D1689" t="s">
        <v>67</v>
      </c>
      <c r="E1689" t="s">
        <v>63</v>
      </c>
      <c r="F1689" t="s">
        <v>25</v>
      </c>
      <c r="G1689" s="4">
        <v>11</v>
      </c>
      <c r="H1689" s="4" t="s">
        <v>75</v>
      </c>
      <c r="I1689" s="4" t="s">
        <v>69</v>
      </c>
      <c r="J1689" s="4" t="s">
        <v>66</v>
      </c>
      <c r="K1689" s="4">
        <v>0</v>
      </c>
      <c r="L1689" s="94">
        <v>-56108</v>
      </c>
      <c r="M1689" s="94">
        <v>0</v>
      </c>
    </row>
    <row r="1690" spans="3:13" x14ac:dyDescent="0.3">
      <c r="C1690" t="s">
        <v>70</v>
      </c>
      <c r="D1690" t="s">
        <v>67</v>
      </c>
      <c r="E1690" t="s">
        <v>63</v>
      </c>
      <c r="F1690" t="s">
        <v>25</v>
      </c>
      <c r="G1690" s="4">
        <v>20</v>
      </c>
      <c r="H1690" s="4" t="s">
        <v>76</v>
      </c>
      <c r="I1690" s="4" t="s">
        <v>69</v>
      </c>
      <c r="J1690" s="4" t="s">
        <v>66</v>
      </c>
      <c r="K1690" s="4">
        <v>0</v>
      </c>
      <c r="L1690" s="94">
        <v>-20150</v>
      </c>
      <c r="M1690" s="94">
        <v>0</v>
      </c>
    </row>
    <row r="1691" spans="3:13" x14ac:dyDescent="0.3">
      <c r="C1691" t="s">
        <v>61</v>
      </c>
      <c r="D1691" t="s">
        <v>67</v>
      </c>
      <c r="E1691" t="s">
        <v>68</v>
      </c>
      <c r="F1691" t="s">
        <v>26</v>
      </c>
      <c r="G1691" s="4">
        <v>-1</v>
      </c>
      <c r="H1691" s="4" t="s">
        <v>17</v>
      </c>
      <c r="I1691" s="4" t="s">
        <v>69</v>
      </c>
      <c r="J1691" s="4" t="s">
        <v>66</v>
      </c>
      <c r="K1691" s="4">
        <v>0</v>
      </c>
      <c r="L1691" s="94">
        <v>33395745</v>
      </c>
      <c r="M1691" s="94">
        <v>0</v>
      </c>
    </row>
    <row r="1692" spans="3:13" x14ac:dyDescent="0.3">
      <c r="C1692" t="s">
        <v>61</v>
      </c>
      <c r="D1692" t="s">
        <v>67</v>
      </c>
      <c r="E1692" t="s">
        <v>68</v>
      </c>
      <c r="F1692" t="s">
        <v>25</v>
      </c>
      <c r="G1692" s="4">
        <v>7</v>
      </c>
      <c r="H1692" s="4" t="s">
        <v>16</v>
      </c>
      <c r="I1692" s="4" t="s">
        <v>69</v>
      </c>
      <c r="J1692" s="4" t="s">
        <v>66</v>
      </c>
      <c r="K1692" s="4">
        <v>0</v>
      </c>
      <c r="L1692" s="94">
        <v>140944</v>
      </c>
      <c r="M1692" s="94">
        <v>986608</v>
      </c>
    </row>
    <row r="1693" spans="3:13" x14ac:dyDescent="0.3">
      <c r="C1693" t="s">
        <v>70</v>
      </c>
      <c r="D1693" t="s">
        <v>67</v>
      </c>
      <c r="E1693" t="s">
        <v>63</v>
      </c>
      <c r="F1693" t="s">
        <v>25</v>
      </c>
      <c r="G1693" s="4">
        <v>11</v>
      </c>
      <c r="H1693" s="4" t="s">
        <v>74</v>
      </c>
      <c r="I1693" s="4" t="s">
        <v>69</v>
      </c>
      <c r="J1693" s="4" t="s">
        <v>66</v>
      </c>
      <c r="K1693" s="4">
        <v>0</v>
      </c>
      <c r="L1693" s="94">
        <v>-203959</v>
      </c>
      <c r="M1693" s="94">
        <v>0</v>
      </c>
    </row>
    <row r="1694" spans="3:13" x14ac:dyDescent="0.3">
      <c r="C1694" t="s">
        <v>61</v>
      </c>
      <c r="D1694" t="s">
        <v>67</v>
      </c>
      <c r="E1694" t="s">
        <v>63</v>
      </c>
      <c r="F1694" t="s">
        <v>25</v>
      </c>
      <c r="G1694" s="4">
        <v>10</v>
      </c>
      <c r="H1694" s="4" t="s">
        <v>18</v>
      </c>
      <c r="I1694" s="4" t="s">
        <v>69</v>
      </c>
      <c r="J1694" s="4" t="s">
        <v>66</v>
      </c>
      <c r="K1694" s="4">
        <v>1</v>
      </c>
      <c r="L1694" s="94">
        <v>-1466</v>
      </c>
      <c r="M1694" s="94">
        <v>0</v>
      </c>
    </row>
    <row r="1695" spans="3:13" x14ac:dyDescent="0.3">
      <c r="C1695" t="s">
        <v>71</v>
      </c>
      <c r="D1695" t="s">
        <v>67</v>
      </c>
      <c r="E1695" t="s">
        <v>63</v>
      </c>
      <c r="F1695" t="s">
        <v>25</v>
      </c>
      <c r="G1695" s="4">
        <v>12</v>
      </c>
      <c r="H1695" s="4" t="s">
        <v>76</v>
      </c>
      <c r="I1695" s="4" t="s">
        <v>69</v>
      </c>
      <c r="J1695" s="4" t="s">
        <v>66</v>
      </c>
      <c r="K1695" s="4">
        <v>0</v>
      </c>
      <c r="L1695" s="94">
        <v>-47500</v>
      </c>
      <c r="M1695" s="94">
        <v>0</v>
      </c>
    </row>
    <row r="1696" spans="3:13" x14ac:dyDescent="0.3">
      <c r="C1696" t="s">
        <v>71</v>
      </c>
      <c r="D1696" t="s">
        <v>67</v>
      </c>
      <c r="E1696" t="s">
        <v>63</v>
      </c>
      <c r="F1696" t="s">
        <v>26</v>
      </c>
      <c r="G1696" s="4">
        <v>-4</v>
      </c>
      <c r="H1696" s="4" t="s">
        <v>79</v>
      </c>
      <c r="I1696" s="4" t="s">
        <v>69</v>
      </c>
      <c r="J1696" s="4" t="s">
        <v>66</v>
      </c>
      <c r="K1696" s="4">
        <v>0</v>
      </c>
      <c r="L1696" s="94">
        <v>-192428</v>
      </c>
      <c r="M1696" s="94">
        <v>0</v>
      </c>
    </row>
    <row r="1697" spans="3:13" x14ac:dyDescent="0.3">
      <c r="C1697" t="s">
        <v>61</v>
      </c>
      <c r="D1697" t="s">
        <v>62</v>
      </c>
      <c r="E1697" t="s">
        <v>68</v>
      </c>
      <c r="F1697" t="s">
        <v>24</v>
      </c>
      <c r="G1697" s="4">
        <v>25</v>
      </c>
      <c r="I1697" s="4" t="s">
        <v>69</v>
      </c>
      <c r="J1697" s="4" t="s">
        <v>66</v>
      </c>
      <c r="K1697" s="4">
        <v>1</v>
      </c>
      <c r="L1697" s="94">
        <v>1805379</v>
      </c>
      <c r="M1697" s="94">
        <v>45134475</v>
      </c>
    </row>
    <row r="1698" spans="3:13" x14ac:dyDescent="0.3">
      <c r="C1698" t="s">
        <v>71</v>
      </c>
      <c r="D1698" t="s">
        <v>67</v>
      </c>
      <c r="E1698" t="s">
        <v>68</v>
      </c>
      <c r="F1698" t="s">
        <v>26</v>
      </c>
      <c r="G1698" s="4">
        <v>2</v>
      </c>
      <c r="H1698" s="4" t="s">
        <v>17</v>
      </c>
      <c r="I1698" s="4" t="s">
        <v>69</v>
      </c>
      <c r="J1698" s="4" t="s">
        <v>66</v>
      </c>
      <c r="K1698" s="4">
        <v>0</v>
      </c>
      <c r="L1698" s="94">
        <v>1881047</v>
      </c>
      <c r="M1698" s="94">
        <v>3762094</v>
      </c>
    </row>
    <row r="1699" spans="3:13" x14ac:dyDescent="0.3">
      <c r="C1699" t="s">
        <v>61</v>
      </c>
      <c r="D1699" t="s">
        <v>62</v>
      </c>
      <c r="E1699" t="s">
        <v>63</v>
      </c>
      <c r="F1699" t="s">
        <v>25</v>
      </c>
      <c r="G1699" s="4">
        <v>4</v>
      </c>
      <c r="I1699" s="4" t="s">
        <v>69</v>
      </c>
      <c r="J1699" s="4" t="s">
        <v>66</v>
      </c>
      <c r="K1699" s="4">
        <v>0</v>
      </c>
      <c r="L1699" s="94">
        <v>-21747</v>
      </c>
      <c r="M1699" s="94">
        <v>0</v>
      </c>
    </row>
    <row r="1700" spans="3:13" x14ac:dyDescent="0.3">
      <c r="C1700" t="s">
        <v>61</v>
      </c>
      <c r="D1700" t="s">
        <v>67</v>
      </c>
      <c r="E1700" t="s">
        <v>63</v>
      </c>
      <c r="F1700" t="s">
        <v>26</v>
      </c>
      <c r="G1700" s="4">
        <v>3</v>
      </c>
      <c r="H1700" s="4" t="s">
        <v>18</v>
      </c>
      <c r="I1700" s="4" t="s">
        <v>69</v>
      </c>
      <c r="J1700" s="4" t="s">
        <v>73</v>
      </c>
      <c r="K1700" s="4">
        <v>1</v>
      </c>
      <c r="L1700" s="94">
        <v>-28146</v>
      </c>
      <c r="M1700" s="94">
        <v>0</v>
      </c>
    </row>
    <row r="1701" spans="3:13" x14ac:dyDescent="0.3">
      <c r="C1701" t="s">
        <v>61</v>
      </c>
      <c r="D1701" t="s">
        <v>67</v>
      </c>
      <c r="E1701" t="s">
        <v>68</v>
      </c>
      <c r="F1701" t="s">
        <v>26</v>
      </c>
      <c r="G1701" s="4">
        <v>0</v>
      </c>
      <c r="H1701" s="4" t="s">
        <v>79</v>
      </c>
      <c r="I1701" s="4" t="s">
        <v>69</v>
      </c>
      <c r="J1701" s="4" t="s">
        <v>66</v>
      </c>
      <c r="K1701" s="4">
        <v>0</v>
      </c>
      <c r="L1701" s="94">
        <v>8337726</v>
      </c>
      <c r="M1701" s="94">
        <v>0</v>
      </c>
    </row>
    <row r="1702" spans="3:13" x14ac:dyDescent="0.3">
      <c r="C1702" t="s">
        <v>70</v>
      </c>
      <c r="D1702" t="s">
        <v>67</v>
      </c>
      <c r="E1702" t="s">
        <v>68</v>
      </c>
      <c r="F1702" t="s">
        <v>25</v>
      </c>
      <c r="G1702" s="4">
        <v>2</v>
      </c>
      <c r="H1702" s="4" t="s">
        <v>17</v>
      </c>
      <c r="I1702" s="4" t="s">
        <v>69</v>
      </c>
      <c r="J1702" s="4" t="s">
        <v>66</v>
      </c>
      <c r="K1702" s="4">
        <v>0</v>
      </c>
      <c r="L1702" s="94">
        <v>1352252</v>
      </c>
      <c r="M1702" s="94">
        <v>2704504</v>
      </c>
    </row>
    <row r="1703" spans="3:13" x14ac:dyDescent="0.3">
      <c r="C1703" t="s">
        <v>71</v>
      </c>
      <c r="D1703" t="s">
        <v>67</v>
      </c>
      <c r="E1703" t="s">
        <v>68</v>
      </c>
      <c r="F1703" t="s">
        <v>26</v>
      </c>
      <c r="G1703" s="4">
        <v>3</v>
      </c>
      <c r="H1703" s="4" t="s">
        <v>78</v>
      </c>
      <c r="I1703" s="4" t="s">
        <v>69</v>
      </c>
      <c r="J1703" s="4" t="s">
        <v>66</v>
      </c>
      <c r="K1703" s="4">
        <v>0</v>
      </c>
      <c r="L1703" s="94">
        <v>70465</v>
      </c>
      <c r="M1703" s="94">
        <v>211395</v>
      </c>
    </row>
    <row r="1704" spans="3:13" x14ac:dyDescent="0.3">
      <c r="C1704" t="s">
        <v>71</v>
      </c>
      <c r="D1704" t="s">
        <v>67</v>
      </c>
      <c r="E1704" t="s">
        <v>63</v>
      </c>
      <c r="F1704" t="s">
        <v>26</v>
      </c>
      <c r="G1704" s="4">
        <v>0</v>
      </c>
      <c r="H1704" s="4" t="s">
        <v>80</v>
      </c>
      <c r="I1704" s="4" t="s">
        <v>69</v>
      </c>
      <c r="J1704" s="4" t="s">
        <v>66</v>
      </c>
      <c r="K1704" s="4">
        <v>0</v>
      </c>
      <c r="L1704" s="94">
        <v>-41835</v>
      </c>
      <c r="M1704" s="94">
        <v>0</v>
      </c>
    </row>
    <row r="1705" spans="3:13" x14ac:dyDescent="0.3">
      <c r="C1705" t="s">
        <v>61</v>
      </c>
      <c r="D1705" t="s">
        <v>67</v>
      </c>
      <c r="E1705" t="s">
        <v>68</v>
      </c>
      <c r="F1705" t="s">
        <v>25</v>
      </c>
      <c r="G1705" s="4">
        <v>5</v>
      </c>
      <c r="H1705" s="4" t="s">
        <v>17</v>
      </c>
      <c r="I1705" s="4" t="s">
        <v>69</v>
      </c>
      <c r="J1705" s="4" t="s">
        <v>66</v>
      </c>
      <c r="K1705" s="4">
        <v>1</v>
      </c>
      <c r="L1705" s="94">
        <v>48285</v>
      </c>
      <c r="M1705" s="94">
        <v>241425</v>
      </c>
    </row>
    <row r="1706" spans="3:13" x14ac:dyDescent="0.3">
      <c r="C1706" t="s">
        <v>61</v>
      </c>
      <c r="D1706" t="s">
        <v>67</v>
      </c>
      <c r="E1706" t="s">
        <v>68</v>
      </c>
      <c r="F1706" t="s">
        <v>26</v>
      </c>
      <c r="G1706" s="4">
        <v>1</v>
      </c>
      <c r="H1706" s="4" t="s">
        <v>18</v>
      </c>
      <c r="I1706" s="4" t="s">
        <v>69</v>
      </c>
      <c r="J1706" s="4" t="s">
        <v>73</v>
      </c>
      <c r="K1706" s="4">
        <v>1</v>
      </c>
      <c r="L1706" s="94">
        <v>18719186</v>
      </c>
      <c r="M1706" s="94">
        <v>18719186</v>
      </c>
    </row>
    <row r="1707" spans="3:13" x14ac:dyDescent="0.3">
      <c r="C1707" t="s">
        <v>61</v>
      </c>
      <c r="D1707" t="s">
        <v>67</v>
      </c>
      <c r="E1707" t="s">
        <v>68</v>
      </c>
      <c r="F1707" t="s">
        <v>72</v>
      </c>
      <c r="G1707" s="4">
        <v>2</v>
      </c>
      <c r="H1707" s="4" t="s">
        <v>12</v>
      </c>
      <c r="I1707" s="4" t="s">
        <v>69</v>
      </c>
      <c r="J1707" s="4" t="s">
        <v>73</v>
      </c>
      <c r="K1707" s="4">
        <v>1</v>
      </c>
      <c r="L1707" s="94">
        <v>1150679</v>
      </c>
      <c r="M1707" s="94">
        <v>2301358</v>
      </c>
    </row>
    <row r="1708" spans="3:13" x14ac:dyDescent="0.3">
      <c r="C1708" t="s">
        <v>70</v>
      </c>
      <c r="D1708" t="s">
        <v>67</v>
      </c>
      <c r="E1708" t="s">
        <v>68</v>
      </c>
      <c r="F1708" t="s">
        <v>26</v>
      </c>
      <c r="G1708" s="4">
        <v>1</v>
      </c>
      <c r="H1708" s="4" t="s">
        <v>77</v>
      </c>
      <c r="I1708" s="4" t="s">
        <v>69</v>
      </c>
      <c r="J1708" s="4" t="s">
        <v>66</v>
      </c>
      <c r="K1708" s="4">
        <v>0</v>
      </c>
      <c r="L1708" s="94">
        <v>935011</v>
      </c>
      <c r="M1708" s="94">
        <v>935011</v>
      </c>
    </row>
    <row r="1709" spans="3:13" x14ac:dyDescent="0.3">
      <c r="C1709" t="s">
        <v>71</v>
      </c>
      <c r="D1709" t="s">
        <v>67</v>
      </c>
      <c r="E1709" t="s">
        <v>68</v>
      </c>
      <c r="F1709" t="s">
        <v>26</v>
      </c>
      <c r="G1709" s="4">
        <v>8</v>
      </c>
      <c r="H1709" s="4" t="s">
        <v>17</v>
      </c>
      <c r="I1709" s="4" t="s">
        <v>69</v>
      </c>
      <c r="J1709" s="4" t="s">
        <v>66</v>
      </c>
      <c r="K1709" s="4">
        <v>0</v>
      </c>
      <c r="L1709" s="94">
        <v>835040</v>
      </c>
      <c r="M1709" s="94">
        <v>6680320</v>
      </c>
    </row>
    <row r="1710" spans="3:13" x14ac:dyDescent="0.3">
      <c r="C1710" t="s">
        <v>70</v>
      </c>
      <c r="D1710" t="s">
        <v>67</v>
      </c>
      <c r="E1710" t="s">
        <v>68</v>
      </c>
      <c r="F1710" t="s">
        <v>26</v>
      </c>
      <c r="G1710" s="4">
        <v>2</v>
      </c>
      <c r="H1710" s="4" t="s">
        <v>12</v>
      </c>
      <c r="I1710" s="4" t="s">
        <v>69</v>
      </c>
      <c r="J1710" s="4" t="s">
        <v>73</v>
      </c>
      <c r="K1710" s="4">
        <v>1</v>
      </c>
      <c r="L1710" s="94">
        <v>1953296</v>
      </c>
      <c r="M1710" s="94">
        <v>3906592</v>
      </c>
    </row>
    <row r="1711" spans="3:13" x14ac:dyDescent="0.3">
      <c r="C1711" t="s">
        <v>71</v>
      </c>
      <c r="D1711" t="s">
        <v>67</v>
      </c>
      <c r="E1711" t="s">
        <v>63</v>
      </c>
      <c r="F1711" t="s">
        <v>25</v>
      </c>
      <c r="G1711" s="4">
        <v>-4</v>
      </c>
      <c r="H1711" s="4" t="s">
        <v>83</v>
      </c>
      <c r="I1711" s="4" t="s">
        <v>69</v>
      </c>
      <c r="J1711" s="4" t="s">
        <v>66</v>
      </c>
      <c r="K1711" s="4">
        <v>0</v>
      </c>
      <c r="L1711" s="94">
        <v>-2998</v>
      </c>
      <c r="M1711" s="94">
        <v>0</v>
      </c>
    </row>
    <row r="1712" spans="3:13" x14ac:dyDescent="0.3">
      <c r="C1712" t="s">
        <v>70</v>
      </c>
      <c r="D1712" t="s">
        <v>62</v>
      </c>
      <c r="E1712" t="s">
        <v>68</v>
      </c>
      <c r="F1712" t="s">
        <v>24</v>
      </c>
      <c r="G1712" s="4">
        <v>21</v>
      </c>
      <c r="I1712" s="4" t="s">
        <v>69</v>
      </c>
      <c r="J1712" s="4" t="s">
        <v>66</v>
      </c>
      <c r="K1712" s="4">
        <v>0</v>
      </c>
      <c r="L1712" s="94">
        <v>51435274</v>
      </c>
      <c r="M1712" s="94">
        <v>1080140754</v>
      </c>
    </row>
    <row r="1713" spans="3:13" x14ac:dyDescent="0.3">
      <c r="C1713" t="s">
        <v>61</v>
      </c>
      <c r="D1713" t="s">
        <v>67</v>
      </c>
      <c r="E1713" t="s">
        <v>68</v>
      </c>
      <c r="F1713" t="s">
        <v>72</v>
      </c>
      <c r="G1713" s="4">
        <v>0</v>
      </c>
      <c r="H1713" s="4" t="s">
        <v>12</v>
      </c>
      <c r="I1713" s="4" t="s">
        <v>69</v>
      </c>
      <c r="J1713" s="4" t="s">
        <v>66</v>
      </c>
      <c r="K1713" s="4">
        <v>0</v>
      </c>
      <c r="L1713" s="94">
        <v>31914</v>
      </c>
      <c r="M1713" s="94">
        <v>0</v>
      </c>
    </row>
    <row r="1714" spans="3:13" x14ac:dyDescent="0.3">
      <c r="C1714" t="s">
        <v>61</v>
      </c>
      <c r="D1714" t="s">
        <v>67</v>
      </c>
      <c r="E1714" t="s">
        <v>63</v>
      </c>
      <c r="F1714" t="s">
        <v>26</v>
      </c>
      <c r="G1714" s="4">
        <v>0</v>
      </c>
      <c r="H1714" s="4" t="s">
        <v>79</v>
      </c>
      <c r="I1714" s="4" t="s">
        <v>69</v>
      </c>
      <c r="J1714" s="4" t="s">
        <v>66</v>
      </c>
      <c r="K1714" s="4">
        <v>0</v>
      </c>
      <c r="L1714" s="94">
        <v>-47848</v>
      </c>
      <c r="M1714" s="94">
        <v>0</v>
      </c>
    </row>
    <row r="1715" spans="3:13" x14ac:dyDescent="0.3">
      <c r="C1715" t="s">
        <v>70</v>
      </c>
      <c r="D1715" t="s">
        <v>67</v>
      </c>
      <c r="E1715" t="s">
        <v>68</v>
      </c>
      <c r="F1715" t="s">
        <v>72</v>
      </c>
      <c r="G1715" s="4">
        <v>-1</v>
      </c>
      <c r="H1715" s="4" t="s">
        <v>17</v>
      </c>
      <c r="I1715" s="4" t="s">
        <v>69</v>
      </c>
      <c r="J1715" s="4" t="s">
        <v>66</v>
      </c>
      <c r="K1715" s="4">
        <v>0</v>
      </c>
      <c r="L1715" s="94">
        <v>486832</v>
      </c>
      <c r="M1715" s="94">
        <v>0</v>
      </c>
    </row>
    <row r="1716" spans="3:13" x14ac:dyDescent="0.3">
      <c r="C1716" t="s">
        <v>61</v>
      </c>
      <c r="D1716" t="s">
        <v>67</v>
      </c>
      <c r="E1716" t="s">
        <v>63</v>
      </c>
      <c r="F1716" t="s">
        <v>25</v>
      </c>
      <c r="G1716" s="4">
        <v>11</v>
      </c>
      <c r="H1716" s="4" t="s">
        <v>83</v>
      </c>
      <c r="I1716" s="4" t="s">
        <v>69</v>
      </c>
      <c r="J1716" s="4" t="s">
        <v>66</v>
      </c>
      <c r="K1716" s="4">
        <v>0</v>
      </c>
      <c r="L1716" s="94">
        <v>-203</v>
      </c>
      <c r="M1716" s="94">
        <v>0</v>
      </c>
    </row>
    <row r="1717" spans="3:13" x14ac:dyDescent="0.3">
      <c r="C1717" t="s">
        <v>70</v>
      </c>
      <c r="D1717" t="s">
        <v>67</v>
      </c>
      <c r="E1717" t="s">
        <v>68</v>
      </c>
      <c r="F1717" t="s">
        <v>26</v>
      </c>
      <c r="G1717" s="4">
        <v>2</v>
      </c>
      <c r="H1717" s="4" t="s">
        <v>17</v>
      </c>
      <c r="I1717" s="4" t="s">
        <v>65</v>
      </c>
      <c r="J1717" s="4" t="s">
        <v>66</v>
      </c>
      <c r="K1717" s="4">
        <v>1</v>
      </c>
      <c r="L1717" s="94">
        <v>41947</v>
      </c>
      <c r="M1717" s="94">
        <v>83894</v>
      </c>
    </row>
    <row r="1718" spans="3:13" x14ac:dyDescent="0.3">
      <c r="C1718" t="s">
        <v>70</v>
      </c>
      <c r="D1718" t="s">
        <v>67</v>
      </c>
      <c r="E1718" t="s">
        <v>63</v>
      </c>
      <c r="F1718" t="s">
        <v>26</v>
      </c>
      <c r="G1718" s="4">
        <v>-1</v>
      </c>
      <c r="H1718" s="4" t="s">
        <v>14</v>
      </c>
      <c r="I1718" s="4" t="s">
        <v>65</v>
      </c>
      <c r="J1718" s="4" t="s">
        <v>66</v>
      </c>
      <c r="K1718" s="4">
        <v>1</v>
      </c>
      <c r="L1718" s="94">
        <v>-4046</v>
      </c>
      <c r="M1718" s="94">
        <v>0</v>
      </c>
    </row>
    <row r="1719" spans="3:13" x14ac:dyDescent="0.3">
      <c r="C1719" t="s">
        <v>71</v>
      </c>
      <c r="D1719" t="s">
        <v>67</v>
      </c>
      <c r="E1719" t="s">
        <v>63</v>
      </c>
      <c r="F1719" t="s">
        <v>25</v>
      </c>
      <c r="G1719" s="4">
        <v>6</v>
      </c>
      <c r="H1719" s="4" t="s">
        <v>80</v>
      </c>
      <c r="I1719" s="4" t="s">
        <v>69</v>
      </c>
      <c r="J1719" s="4" t="s">
        <v>66</v>
      </c>
      <c r="K1719" s="4">
        <v>0</v>
      </c>
      <c r="L1719" s="94">
        <v>-45011</v>
      </c>
      <c r="M1719" s="94">
        <v>0</v>
      </c>
    </row>
    <row r="1720" spans="3:13" x14ac:dyDescent="0.3">
      <c r="C1720" t="s">
        <v>70</v>
      </c>
      <c r="D1720" t="s">
        <v>67</v>
      </c>
      <c r="E1720" t="s">
        <v>63</v>
      </c>
      <c r="F1720" t="s">
        <v>26</v>
      </c>
      <c r="G1720" s="4">
        <v>3</v>
      </c>
      <c r="H1720" s="4" t="s">
        <v>17</v>
      </c>
      <c r="I1720" s="4" t="s">
        <v>65</v>
      </c>
      <c r="J1720" s="4" t="s">
        <v>73</v>
      </c>
      <c r="K1720" s="4">
        <v>1</v>
      </c>
      <c r="L1720" s="94">
        <v>-34510</v>
      </c>
      <c r="M1720" s="94">
        <v>0</v>
      </c>
    </row>
    <row r="1721" spans="3:13" x14ac:dyDescent="0.3">
      <c r="C1721" t="s">
        <v>61</v>
      </c>
      <c r="D1721" t="s">
        <v>67</v>
      </c>
      <c r="E1721" t="s">
        <v>68</v>
      </c>
      <c r="F1721" t="s">
        <v>26</v>
      </c>
      <c r="G1721" s="4">
        <v>8</v>
      </c>
      <c r="H1721" s="4" t="s">
        <v>75</v>
      </c>
      <c r="I1721" s="4" t="s">
        <v>69</v>
      </c>
      <c r="J1721" s="4" t="s">
        <v>66</v>
      </c>
      <c r="K1721" s="4">
        <v>0</v>
      </c>
      <c r="L1721" s="94">
        <v>3508062</v>
      </c>
      <c r="M1721" s="94">
        <v>28064496</v>
      </c>
    </row>
    <row r="1722" spans="3:13" x14ac:dyDescent="0.3">
      <c r="C1722" t="s">
        <v>61</v>
      </c>
      <c r="D1722" t="s">
        <v>84</v>
      </c>
      <c r="E1722" t="s">
        <v>68</v>
      </c>
      <c r="F1722" t="s">
        <v>25</v>
      </c>
      <c r="G1722" s="4">
        <v>12</v>
      </c>
      <c r="H1722" s="4" t="s">
        <v>81</v>
      </c>
      <c r="I1722" s="4" t="s">
        <v>69</v>
      </c>
      <c r="J1722" s="4" t="s">
        <v>66</v>
      </c>
      <c r="K1722" s="4">
        <v>0</v>
      </c>
      <c r="L1722" s="94">
        <v>176609</v>
      </c>
      <c r="M1722" s="94">
        <v>2119308</v>
      </c>
    </row>
    <row r="1723" spans="3:13" x14ac:dyDescent="0.3">
      <c r="C1723" t="s">
        <v>70</v>
      </c>
      <c r="D1723" t="s">
        <v>67</v>
      </c>
      <c r="E1723" t="s">
        <v>63</v>
      </c>
      <c r="F1723" t="s">
        <v>25</v>
      </c>
      <c r="G1723" s="4">
        <v>3</v>
      </c>
      <c r="H1723" s="4" t="s">
        <v>18</v>
      </c>
      <c r="I1723" s="4" t="s">
        <v>69</v>
      </c>
      <c r="J1723" s="4" t="s">
        <v>66</v>
      </c>
      <c r="K1723" s="4">
        <v>1</v>
      </c>
      <c r="L1723" s="94">
        <v>-3250</v>
      </c>
      <c r="M1723" s="94">
        <v>0</v>
      </c>
    </row>
    <row r="1724" spans="3:13" x14ac:dyDescent="0.3">
      <c r="C1724" t="s">
        <v>61</v>
      </c>
      <c r="D1724" t="s">
        <v>67</v>
      </c>
      <c r="E1724" t="s">
        <v>68</v>
      </c>
      <c r="F1724" t="s">
        <v>72</v>
      </c>
      <c r="G1724" s="4">
        <v>6</v>
      </c>
      <c r="H1724" s="4" t="s">
        <v>80</v>
      </c>
      <c r="I1724" s="4" t="s">
        <v>69</v>
      </c>
      <c r="J1724" s="4" t="s">
        <v>66</v>
      </c>
      <c r="K1724" s="4">
        <v>0</v>
      </c>
      <c r="L1724" s="94">
        <v>147146</v>
      </c>
      <c r="M1724" s="94">
        <v>882876</v>
      </c>
    </row>
    <row r="1725" spans="3:13" x14ac:dyDescent="0.3">
      <c r="C1725" t="s">
        <v>71</v>
      </c>
      <c r="D1725" t="s">
        <v>67</v>
      </c>
      <c r="E1725" t="s">
        <v>68</v>
      </c>
      <c r="F1725" t="s">
        <v>26</v>
      </c>
      <c r="G1725" s="4">
        <v>7</v>
      </c>
      <c r="H1725" s="4" t="s">
        <v>82</v>
      </c>
      <c r="I1725" s="4" t="s">
        <v>69</v>
      </c>
      <c r="J1725" s="4" t="s">
        <v>66</v>
      </c>
      <c r="K1725" s="4">
        <v>0</v>
      </c>
      <c r="L1725" s="94">
        <v>2174400</v>
      </c>
      <c r="M1725" s="94">
        <v>15220800</v>
      </c>
    </row>
    <row r="1726" spans="3:13" x14ac:dyDescent="0.3">
      <c r="C1726" t="s">
        <v>61</v>
      </c>
      <c r="D1726" t="s">
        <v>67</v>
      </c>
      <c r="E1726" t="s">
        <v>63</v>
      </c>
      <c r="F1726" t="s">
        <v>26</v>
      </c>
      <c r="G1726" s="4">
        <v>-1</v>
      </c>
      <c r="H1726" s="4" t="s">
        <v>78</v>
      </c>
      <c r="I1726" s="4" t="s">
        <v>69</v>
      </c>
      <c r="J1726" s="4" t="s">
        <v>66</v>
      </c>
      <c r="K1726" s="4">
        <v>0</v>
      </c>
      <c r="L1726" s="94">
        <v>-24764</v>
      </c>
      <c r="M1726" s="94">
        <v>0</v>
      </c>
    </row>
    <row r="1727" spans="3:13" x14ac:dyDescent="0.3">
      <c r="C1727" t="s">
        <v>61</v>
      </c>
      <c r="D1727" t="s">
        <v>67</v>
      </c>
      <c r="E1727" t="s">
        <v>68</v>
      </c>
      <c r="F1727" t="s">
        <v>25</v>
      </c>
      <c r="G1727" s="4">
        <v>8</v>
      </c>
      <c r="H1727" s="4" t="s">
        <v>17</v>
      </c>
      <c r="I1727" s="4" t="s">
        <v>69</v>
      </c>
      <c r="J1727" s="4" t="s">
        <v>66</v>
      </c>
      <c r="K1727" s="4">
        <v>0</v>
      </c>
      <c r="L1727" s="94">
        <v>4709137</v>
      </c>
      <c r="M1727" s="94">
        <v>37673096</v>
      </c>
    </row>
    <row r="1728" spans="3:13" x14ac:dyDescent="0.3">
      <c r="C1728" t="s">
        <v>61</v>
      </c>
      <c r="D1728" t="s">
        <v>67</v>
      </c>
      <c r="E1728" t="s">
        <v>68</v>
      </c>
      <c r="F1728" t="s">
        <v>72</v>
      </c>
      <c r="G1728" s="4">
        <v>0</v>
      </c>
      <c r="H1728" s="4" t="s">
        <v>14</v>
      </c>
      <c r="I1728" s="4" t="s">
        <v>69</v>
      </c>
      <c r="J1728" s="4" t="s">
        <v>66</v>
      </c>
      <c r="K1728" s="4">
        <v>0</v>
      </c>
      <c r="L1728" s="94">
        <v>1112587</v>
      </c>
      <c r="M1728" s="94">
        <v>0</v>
      </c>
    </row>
    <row r="1729" spans="3:13" x14ac:dyDescent="0.3">
      <c r="C1729" t="s">
        <v>61</v>
      </c>
      <c r="D1729" t="s">
        <v>67</v>
      </c>
      <c r="E1729" t="s">
        <v>63</v>
      </c>
      <c r="F1729" t="s">
        <v>26</v>
      </c>
      <c r="G1729" s="4">
        <v>16</v>
      </c>
      <c r="H1729" s="4" t="s">
        <v>79</v>
      </c>
      <c r="I1729" s="4" t="s">
        <v>69</v>
      </c>
      <c r="J1729" s="4" t="s">
        <v>66</v>
      </c>
      <c r="K1729" s="4">
        <v>0</v>
      </c>
      <c r="L1729" s="94">
        <v>-305</v>
      </c>
      <c r="M1729" s="94">
        <v>0</v>
      </c>
    </row>
    <row r="1730" spans="3:13" x14ac:dyDescent="0.3">
      <c r="C1730" t="s">
        <v>61</v>
      </c>
      <c r="D1730" t="s">
        <v>67</v>
      </c>
      <c r="E1730" t="s">
        <v>63</v>
      </c>
      <c r="F1730" t="s">
        <v>25</v>
      </c>
      <c r="G1730" s="4">
        <v>11</v>
      </c>
      <c r="H1730" s="4" t="s">
        <v>78</v>
      </c>
      <c r="I1730" s="4" t="s">
        <v>69</v>
      </c>
      <c r="J1730" s="4" t="s">
        <v>66</v>
      </c>
      <c r="K1730" s="4">
        <v>0</v>
      </c>
      <c r="L1730" s="94">
        <v>-2446</v>
      </c>
      <c r="M1730" s="94">
        <v>0</v>
      </c>
    </row>
    <row r="1731" spans="3:13" x14ac:dyDescent="0.3">
      <c r="C1731" t="s">
        <v>61</v>
      </c>
      <c r="D1731" t="s">
        <v>67</v>
      </c>
      <c r="E1731" t="s">
        <v>68</v>
      </c>
      <c r="F1731" t="s">
        <v>25</v>
      </c>
      <c r="G1731" s="4">
        <v>15</v>
      </c>
      <c r="H1731" s="4" t="s">
        <v>64</v>
      </c>
      <c r="I1731" s="4" t="s">
        <v>69</v>
      </c>
      <c r="J1731" s="4" t="s">
        <v>66</v>
      </c>
      <c r="K1731" s="4">
        <v>0</v>
      </c>
      <c r="L1731" s="94">
        <v>2629289</v>
      </c>
      <c r="M1731" s="94">
        <v>39439335</v>
      </c>
    </row>
    <row r="1732" spans="3:13" x14ac:dyDescent="0.3">
      <c r="C1732" t="s">
        <v>70</v>
      </c>
      <c r="D1732" t="s">
        <v>67</v>
      </c>
      <c r="E1732" t="s">
        <v>68</v>
      </c>
      <c r="F1732" t="s">
        <v>25</v>
      </c>
      <c r="G1732" s="4">
        <v>14</v>
      </c>
      <c r="H1732" s="4" t="s">
        <v>14</v>
      </c>
      <c r="I1732" s="4" t="s">
        <v>69</v>
      </c>
      <c r="J1732" s="4" t="s">
        <v>66</v>
      </c>
      <c r="K1732" s="4">
        <v>0</v>
      </c>
      <c r="L1732" s="94">
        <v>132696</v>
      </c>
      <c r="M1732" s="94">
        <v>1857744</v>
      </c>
    </row>
    <row r="1733" spans="3:13" x14ac:dyDescent="0.3">
      <c r="C1733" t="s">
        <v>61</v>
      </c>
      <c r="D1733" t="s">
        <v>67</v>
      </c>
      <c r="E1733" t="s">
        <v>63</v>
      </c>
      <c r="F1733" t="s">
        <v>26</v>
      </c>
      <c r="G1733" s="4">
        <v>2</v>
      </c>
      <c r="H1733" s="4" t="s">
        <v>77</v>
      </c>
      <c r="I1733" s="4" t="s">
        <v>69</v>
      </c>
      <c r="J1733" s="4" t="s">
        <v>66</v>
      </c>
      <c r="K1733" s="4">
        <v>0</v>
      </c>
      <c r="L1733" s="94">
        <v>-24579</v>
      </c>
      <c r="M1733" s="94">
        <v>0</v>
      </c>
    </row>
    <row r="1734" spans="3:13" x14ac:dyDescent="0.3">
      <c r="C1734" t="s">
        <v>70</v>
      </c>
      <c r="D1734" t="s">
        <v>67</v>
      </c>
      <c r="E1734" t="s">
        <v>63</v>
      </c>
      <c r="F1734" t="s">
        <v>25</v>
      </c>
      <c r="G1734" s="4">
        <v>12</v>
      </c>
      <c r="H1734" s="4" t="s">
        <v>64</v>
      </c>
      <c r="I1734" s="4" t="s">
        <v>69</v>
      </c>
      <c r="J1734" s="4" t="s">
        <v>66</v>
      </c>
      <c r="K1734" s="4">
        <v>0</v>
      </c>
      <c r="L1734" s="94">
        <v>-21566</v>
      </c>
      <c r="M1734" s="94">
        <v>0</v>
      </c>
    </row>
    <row r="1735" spans="3:13" x14ac:dyDescent="0.3">
      <c r="C1735" t="s">
        <v>70</v>
      </c>
      <c r="D1735" t="s">
        <v>67</v>
      </c>
      <c r="E1735" t="s">
        <v>68</v>
      </c>
      <c r="F1735" t="s">
        <v>72</v>
      </c>
      <c r="G1735" s="4">
        <v>4</v>
      </c>
      <c r="H1735" s="4" t="s">
        <v>18</v>
      </c>
      <c r="I1735" s="4" t="s">
        <v>69</v>
      </c>
      <c r="J1735" s="4" t="s">
        <v>66</v>
      </c>
      <c r="K1735" s="4">
        <v>0</v>
      </c>
      <c r="L1735" s="94">
        <v>3127929</v>
      </c>
      <c r="M1735" s="94">
        <v>12511716</v>
      </c>
    </row>
    <row r="1736" spans="3:13" x14ac:dyDescent="0.3">
      <c r="C1736" t="s">
        <v>70</v>
      </c>
      <c r="D1736" t="s">
        <v>62</v>
      </c>
      <c r="E1736" t="s">
        <v>63</v>
      </c>
      <c r="F1736" t="s">
        <v>24</v>
      </c>
      <c r="G1736" s="4">
        <v>1</v>
      </c>
      <c r="I1736" s="4" t="s">
        <v>69</v>
      </c>
      <c r="J1736" s="4" t="s">
        <v>66</v>
      </c>
      <c r="K1736" s="4">
        <v>1</v>
      </c>
      <c r="L1736" s="94">
        <v>-12</v>
      </c>
      <c r="M1736" s="94">
        <v>0</v>
      </c>
    </row>
    <row r="1737" spans="3:13" x14ac:dyDescent="0.3">
      <c r="C1737" t="s">
        <v>61</v>
      </c>
      <c r="D1737" t="s">
        <v>67</v>
      </c>
      <c r="E1737" t="s">
        <v>68</v>
      </c>
      <c r="F1737" t="s">
        <v>25</v>
      </c>
      <c r="G1737" s="4">
        <v>1</v>
      </c>
      <c r="H1737" s="4" t="s">
        <v>18</v>
      </c>
      <c r="I1737" s="4" t="s">
        <v>65</v>
      </c>
      <c r="J1737" s="4" t="s">
        <v>66</v>
      </c>
      <c r="K1737" s="4">
        <v>1</v>
      </c>
      <c r="L1737" s="94">
        <v>105016</v>
      </c>
      <c r="M1737" s="94">
        <v>105016</v>
      </c>
    </row>
    <row r="1738" spans="3:13" x14ac:dyDescent="0.3">
      <c r="C1738" t="s">
        <v>61</v>
      </c>
      <c r="D1738" t="s">
        <v>67</v>
      </c>
      <c r="E1738" t="s">
        <v>63</v>
      </c>
      <c r="F1738" t="s">
        <v>25</v>
      </c>
      <c r="G1738" s="4">
        <v>-1</v>
      </c>
      <c r="H1738" s="4" t="s">
        <v>76</v>
      </c>
      <c r="I1738" s="4" t="s">
        <v>69</v>
      </c>
      <c r="J1738" s="4" t="s">
        <v>66</v>
      </c>
      <c r="K1738" s="4">
        <v>0</v>
      </c>
      <c r="L1738" s="94">
        <v>-9614</v>
      </c>
      <c r="M1738" s="94">
        <v>0</v>
      </c>
    </row>
    <row r="1739" spans="3:13" x14ac:dyDescent="0.3">
      <c r="C1739" t="s">
        <v>71</v>
      </c>
      <c r="D1739" t="s">
        <v>67</v>
      </c>
      <c r="E1739" t="s">
        <v>68</v>
      </c>
      <c r="F1739" t="s">
        <v>26</v>
      </c>
      <c r="G1739" s="4">
        <v>-1</v>
      </c>
      <c r="H1739" s="4" t="s">
        <v>78</v>
      </c>
      <c r="I1739" s="4" t="s">
        <v>69</v>
      </c>
      <c r="J1739" s="4" t="s">
        <v>66</v>
      </c>
      <c r="K1739" s="4">
        <v>0</v>
      </c>
      <c r="L1739" s="94">
        <v>225685</v>
      </c>
      <c r="M1739" s="94">
        <v>0</v>
      </c>
    </row>
    <row r="1740" spans="3:13" x14ac:dyDescent="0.3">
      <c r="C1740" t="s">
        <v>61</v>
      </c>
      <c r="D1740" t="s">
        <v>67</v>
      </c>
      <c r="E1740" t="s">
        <v>68</v>
      </c>
      <c r="F1740" t="s">
        <v>26</v>
      </c>
      <c r="G1740" s="4">
        <v>6</v>
      </c>
      <c r="H1740" s="4" t="s">
        <v>14</v>
      </c>
      <c r="I1740" s="4" t="s">
        <v>69</v>
      </c>
      <c r="J1740" s="4" t="s">
        <v>66</v>
      </c>
      <c r="K1740" s="4">
        <v>0</v>
      </c>
      <c r="L1740" s="94">
        <v>15423592</v>
      </c>
      <c r="M1740" s="94">
        <v>92541552</v>
      </c>
    </row>
    <row r="1741" spans="3:13" x14ac:dyDescent="0.3">
      <c r="C1741" t="s">
        <v>70</v>
      </c>
      <c r="D1741" t="s">
        <v>67</v>
      </c>
      <c r="E1741" t="s">
        <v>63</v>
      </c>
      <c r="F1741" t="s">
        <v>25</v>
      </c>
      <c r="G1741" s="4">
        <v>-1</v>
      </c>
      <c r="H1741" s="4" t="s">
        <v>82</v>
      </c>
      <c r="I1741" s="4" t="s">
        <v>69</v>
      </c>
      <c r="J1741" s="4" t="s">
        <v>66</v>
      </c>
      <c r="K1741" s="4">
        <v>0</v>
      </c>
      <c r="L1741" s="94">
        <v>-1891</v>
      </c>
      <c r="M1741" s="94">
        <v>0</v>
      </c>
    </row>
    <row r="1742" spans="3:13" x14ac:dyDescent="0.3">
      <c r="C1742" t="s">
        <v>70</v>
      </c>
      <c r="D1742" t="s">
        <v>62</v>
      </c>
      <c r="E1742" t="s">
        <v>63</v>
      </c>
      <c r="F1742" t="s">
        <v>24</v>
      </c>
      <c r="G1742" s="4">
        <v>33</v>
      </c>
      <c r="I1742" s="4" t="s">
        <v>69</v>
      </c>
      <c r="J1742" s="4" t="s">
        <v>66</v>
      </c>
      <c r="K1742" s="4">
        <v>1</v>
      </c>
      <c r="L1742" s="94">
        <v>-16320</v>
      </c>
      <c r="M1742" s="94">
        <v>0</v>
      </c>
    </row>
    <row r="1743" spans="3:13" x14ac:dyDescent="0.3">
      <c r="C1743" t="s">
        <v>70</v>
      </c>
      <c r="D1743" t="s">
        <v>67</v>
      </c>
      <c r="E1743" t="s">
        <v>68</v>
      </c>
      <c r="F1743" t="s">
        <v>25</v>
      </c>
      <c r="G1743" s="4">
        <v>9</v>
      </c>
      <c r="H1743" s="4" t="s">
        <v>76</v>
      </c>
      <c r="I1743" s="4" t="s">
        <v>69</v>
      </c>
      <c r="J1743" s="4" t="s">
        <v>66</v>
      </c>
      <c r="K1743" s="4">
        <v>0</v>
      </c>
      <c r="L1743" s="94">
        <v>3949275</v>
      </c>
      <c r="M1743" s="94">
        <v>35543475</v>
      </c>
    </row>
    <row r="1744" spans="3:13" x14ac:dyDescent="0.3">
      <c r="C1744" t="s">
        <v>61</v>
      </c>
      <c r="D1744" t="s">
        <v>67</v>
      </c>
      <c r="E1744" t="s">
        <v>68</v>
      </c>
      <c r="F1744" t="s">
        <v>25</v>
      </c>
      <c r="G1744" s="4">
        <v>13</v>
      </c>
      <c r="H1744" s="4" t="s">
        <v>78</v>
      </c>
      <c r="I1744" s="4" t="s">
        <v>69</v>
      </c>
      <c r="J1744" s="4" t="s">
        <v>66</v>
      </c>
      <c r="K1744" s="4">
        <v>0</v>
      </c>
      <c r="L1744" s="94">
        <v>204204</v>
      </c>
      <c r="M1744" s="94">
        <v>2654652</v>
      </c>
    </row>
    <row r="1745" spans="3:13" x14ac:dyDescent="0.3">
      <c r="C1745" t="s">
        <v>61</v>
      </c>
      <c r="D1745" t="s">
        <v>62</v>
      </c>
      <c r="E1745" t="s">
        <v>63</v>
      </c>
      <c r="F1745" t="s">
        <v>24</v>
      </c>
      <c r="G1745" s="4">
        <v>43</v>
      </c>
      <c r="I1745" s="4" t="s">
        <v>65</v>
      </c>
      <c r="J1745" s="4" t="s">
        <v>66</v>
      </c>
      <c r="K1745" s="4">
        <v>1</v>
      </c>
      <c r="L1745" s="94">
        <v>-242</v>
      </c>
      <c r="M1745" s="94">
        <v>0</v>
      </c>
    </row>
    <row r="1746" spans="3:13" x14ac:dyDescent="0.3">
      <c r="C1746" t="s">
        <v>71</v>
      </c>
      <c r="D1746" t="s">
        <v>67</v>
      </c>
      <c r="E1746" t="s">
        <v>63</v>
      </c>
      <c r="F1746" t="s">
        <v>26</v>
      </c>
      <c r="G1746" s="4">
        <v>-4</v>
      </c>
      <c r="H1746" s="4" t="s">
        <v>80</v>
      </c>
      <c r="I1746" s="4" t="s">
        <v>69</v>
      </c>
      <c r="J1746" s="4" t="s">
        <v>66</v>
      </c>
      <c r="K1746" s="4">
        <v>0</v>
      </c>
      <c r="L1746" s="94">
        <v>-301323</v>
      </c>
      <c r="M1746" s="94">
        <v>0</v>
      </c>
    </row>
    <row r="1747" spans="3:13" x14ac:dyDescent="0.3">
      <c r="C1747" t="s">
        <v>61</v>
      </c>
      <c r="D1747" t="s">
        <v>67</v>
      </c>
      <c r="E1747" t="s">
        <v>63</v>
      </c>
      <c r="F1747" t="s">
        <v>26</v>
      </c>
      <c r="G1747" s="4">
        <v>0</v>
      </c>
      <c r="H1747" s="4" t="s">
        <v>17</v>
      </c>
      <c r="I1747" s="4" t="s">
        <v>65</v>
      </c>
      <c r="J1747" s="4" t="s">
        <v>73</v>
      </c>
      <c r="K1747" s="4">
        <v>1</v>
      </c>
      <c r="L1747" s="94">
        <v>-12740</v>
      </c>
      <c r="M1747" s="94">
        <v>0</v>
      </c>
    </row>
    <row r="1748" spans="3:13" x14ac:dyDescent="0.3">
      <c r="C1748" t="s">
        <v>61</v>
      </c>
      <c r="D1748" t="s">
        <v>67</v>
      </c>
      <c r="E1748" t="s">
        <v>63</v>
      </c>
      <c r="F1748" t="s">
        <v>25</v>
      </c>
      <c r="G1748" s="4">
        <v>4</v>
      </c>
      <c r="H1748" s="4" t="s">
        <v>17</v>
      </c>
      <c r="I1748" s="4" t="s">
        <v>69</v>
      </c>
      <c r="J1748" s="4" t="s">
        <v>66</v>
      </c>
      <c r="K1748" s="4">
        <v>0</v>
      </c>
      <c r="L1748" s="94">
        <v>-12818</v>
      </c>
      <c r="M1748" s="94">
        <v>0</v>
      </c>
    </row>
    <row r="1749" spans="3:13" x14ac:dyDescent="0.3">
      <c r="C1749" t="s">
        <v>61</v>
      </c>
      <c r="D1749" t="s">
        <v>67</v>
      </c>
      <c r="E1749" t="s">
        <v>63</v>
      </c>
      <c r="F1749" t="s">
        <v>25</v>
      </c>
      <c r="G1749" s="4">
        <v>6</v>
      </c>
      <c r="H1749" s="4" t="s">
        <v>17</v>
      </c>
      <c r="I1749" s="4" t="s">
        <v>69</v>
      </c>
      <c r="J1749" s="4" t="s">
        <v>73</v>
      </c>
      <c r="K1749" s="4">
        <v>1</v>
      </c>
      <c r="L1749" s="94">
        <v>-546</v>
      </c>
      <c r="M1749" s="94">
        <v>0</v>
      </c>
    </row>
    <row r="1750" spans="3:13" x14ac:dyDescent="0.3">
      <c r="C1750" t="s">
        <v>70</v>
      </c>
      <c r="D1750" t="s">
        <v>67</v>
      </c>
      <c r="E1750" t="s">
        <v>63</v>
      </c>
      <c r="F1750" t="s">
        <v>25</v>
      </c>
      <c r="G1750" s="4">
        <v>4</v>
      </c>
      <c r="H1750" s="4" t="s">
        <v>18</v>
      </c>
      <c r="I1750" s="4" t="s">
        <v>69</v>
      </c>
      <c r="J1750" s="4" t="s">
        <v>66</v>
      </c>
      <c r="K1750" s="4">
        <v>0</v>
      </c>
      <c r="L1750" s="94">
        <v>-79374</v>
      </c>
      <c r="M1750" s="94">
        <v>0</v>
      </c>
    </row>
    <row r="1751" spans="3:13" x14ac:dyDescent="0.3">
      <c r="C1751" t="s">
        <v>71</v>
      </c>
      <c r="D1751" t="s">
        <v>67</v>
      </c>
      <c r="E1751" t="s">
        <v>68</v>
      </c>
      <c r="F1751" t="s">
        <v>26</v>
      </c>
      <c r="G1751" s="4">
        <v>11</v>
      </c>
      <c r="H1751" s="4" t="s">
        <v>14</v>
      </c>
      <c r="I1751" s="4" t="s">
        <v>69</v>
      </c>
      <c r="J1751" s="4" t="s">
        <v>66</v>
      </c>
      <c r="K1751" s="4">
        <v>0</v>
      </c>
      <c r="L1751" s="94">
        <v>59450</v>
      </c>
      <c r="M1751" s="94">
        <v>653950</v>
      </c>
    </row>
    <row r="1752" spans="3:13" x14ac:dyDescent="0.3">
      <c r="C1752" t="s">
        <v>71</v>
      </c>
      <c r="D1752" t="s">
        <v>67</v>
      </c>
      <c r="E1752" t="s">
        <v>68</v>
      </c>
      <c r="F1752" t="s">
        <v>26</v>
      </c>
      <c r="G1752" s="4">
        <v>1</v>
      </c>
      <c r="H1752" s="4" t="s">
        <v>82</v>
      </c>
      <c r="I1752" s="4" t="s">
        <v>65</v>
      </c>
      <c r="J1752" s="4" t="s">
        <v>66</v>
      </c>
      <c r="K1752" s="4">
        <v>1</v>
      </c>
      <c r="L1752" s="94">
        <v>17541</v>
      </c>
      <c r="M1752" s="94">
        <v>17541</v>
      </c>
    </row>
    <row r="1753" spans="3:13" x14ac:dyDescent="0.3">
      <c r="C1753" t="s">
        <v>61</v>
      </c>
      <c r="D1753" t="s">
        <v>67</v>
      </c>
      <c r="E1753" t="s">
        <v>68</v>
      </c>
      <c r="F1753" t="s">
        <v>25</v>
      </c>
      <c r="G1753" s="4">
        <v>6</v>
      </c>
      <c r="H1753" s="4" t="s">
        <v>18</v>
      </c>
      <c r="I1753" s="4" t="s">
        <v>69</v>
      </c>
      <c r="J1753" s="4" t="s">
        <v>66</v>
      </c>
      <c r="K1753" s="4">
        <v>0</v>
      </c>
      <c r="L1753" s="94">
        <v>12781932</v>
      </c>
      <c r="M1753" s="94">
        <v>76691592</v>
      </c>
    </row>
    <row r="1754" spans="3:13" x14ac:dyDescent="0.3">
      <c r="C1754" t="s">
        <v>71</v>
      </c>
      <c r="D1754" t="s">
        <v>62</v>
      </c>
      <c r="E1754" t="s">
        <v>68</v>
      </c>
      <c r="F1754" t="s">
        <v>25</v>
      </c>
      <c r="G1754" s="4">
        <v>30</v>
      </c>
      <c r="I1754" s="4" t="s">
        <v>69</v>
      </c>
      <c r="J1754" s="4" t="s">
        <v>66</v>
      </c>
      <c r="K1754" s="4">
        <v>0</v>
      </c>
      <c r="L1754" s="94">
        <v>114370</v>
      </c>
      <c r="M1754" s="94">
        <v>3431100</v>
      </c>
    </row>
    <row r="1755" spans="3:13" x14ac:dyDescent="0.3">
      <c r="C1755" t="s">
        <v>61</v>
      </c>
      <c r="D1755" t="s">
        <v>67</v>
      </c>
      <c r="E1755" t="s">
        <v>68</v>
      </c>
      <c r="F1755" t="s">
        <v>72</v>
      </c>
      <c r="G1755" s="4">
        <v>2</v>
      </c>
      <c r="H1755" s="4" t="s">
        <v>14</v>
      </c>
      <c r="I1755" s="4" t="s">
        <v>69</v>
      </c>
      <c r="J1755" s="4" t="s">
        <v>73</v>
      </c>
      <c r="K1755" s="4">
        <v>1</v>
      </c>
      <c r="L1755" s="94">
        <v>4576439</v>
      </c>
      <c r="M1755" s="94">
        <v>9152878</v>
      </c>
    </row>
    <row r="1756" spans="3:13" x14ac:dyDescent="0.3">
      <c r="C1756" t="s">
        <v>71</v>
      </c>
      <c r="D1756" t="s">
        <v>67</v>
      </c>
      <c r="E1756" t="s">
        <v>68</v>
      </c>
      <c r="F1756" t="s">
        <v>72</v>
      </c>
      <c r="G1756" s="4">
        <v>-1</v>
      </c>
      <c r="H1756" s="4" t="s">
        <v>17</v>
      </c>
      <c r="I1756" s="4" t="s">
        <v>69</v>
      </c>
      <c r="J1756" s="4" t="s">
        <v>73</v>
      </c>
      <c r="K1756" s="4">
        <v>1</v>
      </c>
      <c r="L1756" s="94">
        <v>2348</v>
      </c>
      <c r="M1756" s="94">
        <v>0</v>
      </c>
    </row>
    <row r="1757" spans="3:13" x14ac:dyDescent="0.3">
      <c r="C1757" t="s">
        <v>61</v>
      </c>
      <c r="D1757" t="s">
        <v>67</v>
      </c>
      <c r="E1757" t="s">
        <v>68</v>
      </c>
      <c r="F1757" t="s">
        <v>26</v>
      </c>
      <c r="G1757" s="4">
        <v>2</v>
      </c>
      <c r="H1757" s="4" t="s">
        <v>64</v>
      </c>
      <c r="I1757" s="4" t="s">
        <v>69</v>
      </c>
      <c r="J1757" s="4" t="s">
        <v>66</v>
      </c>
      <c r="K1757" s="4">
        <v>0</v>
      </c>
      <c r="L1757" s="94">
        <v>19547750</v>
      </c>
      <c r="M1757" s="94">
        <v>39095500</v>
      </c>
    </row>
    <row r="1758" spans="3:13" x14ac:dyDescent="0.3">
      <c r="C1758" t="s">
        <v>71</v>
      </c>
      <c r="D1758" t="s">
        <v>67</v>
      </c>
      <c r="E1758" t="s">
        <v>63</v>
      </c>
      <c r="F1758" t="s">
        <v>26</v>
      </c>
      <c r="G1758" s="4">
        <v>2</v>
      </c>
      <c r="H1758" s="4" t="s">
        <v>82</v>
      </c>
      <c r="I1758" s="4" t="s">
        <v>69</v>
      </c>
      <c r="J1758" s="4" t="s">
        <v>66</v>
      </c>
      <c r="K1758" s="4">
        <v>0</v>
      </c>
      <c r="L1758" s="94">
        <v>-3319391</v>
      </c>
      <c r="M1758" s="94">
        <v>0</v>
      </c>
    </row>
    <row r="1759" spans="3:13" x14ac:dyDescent="0.3">
      <c r="C1759" t="s">
        <v>71</v>
      </c>
      <c r="D1759" t="s">
        <v>67</v>
      </c>
      <c r="E1759" t="s">
        <v>63</v>
      </c>
      <c r="F1759" t="s">
        <v>25</v>
      </c>
      <c r="G1759" s="4">
        <v>-1</v>
      </c>
      <c r="H1759" s="4" t="s">
        <v>74</v>
      </c>
      <c r="I1759" s="4" t="s">
        <v>69</v>
      </c>
      <c r="J1759" s="4" t="s">
        <v>66</v>
      </c>
      <c r="K1759" s="4">
        <v>0</v>
      </c>
      <c r="L1759" s="94">
        <v>-166</v>
      </c>
      <c r="M1759" s="94">
        <v>0</v>
      </c>
    </row>
    <row r="1760" spans="3:13" x14ac:dyDescent="0.3">
      <c r="C1760" t="s">
        <v>70</v>
      </c>
      <c r="D1760" t="s">
        <v>67</v>
      </c>
      <c r="E1760" t="s">
        <v>63</v>
      </c>
      <c r="F1760" t="s">
        <v>26</v>
      </c>
      <c r="G1760" s="4">
        <v>3</v>
      </c>
      <c r="H1760" s="4" t="s">
        <v>79</v>
      </c>
      <c r="I1760" s="4" t="s">
        <v>69</v>
      </c>
      <c r="J1760" s="4" t="s">
        <v>66</v>
      </c>
      <c r="K1760" s="4">
        <v>0</v>
      </c>
      <c r="L1760" s="94">
        <v>-194287</v>
      </c>
      <c r="M1760" s="94">
        <v>0</v>
      </c>
    </row>
    <row r="1761" spans="3:13" x14ac:dyDescent="0.3">
      <c r="C1761" t="s">
        <v>61</v>
      </c>
      <c r="D1761" t="s">
        <v>67</v>
      </c>
      <c r="E1761" t="s">
        <v>68</v>
      </c>
      <c r="F1761" t="s">
        <v>72</v>
      </c>
      <c r="G1761" s="4">
        <v>1</v>
      </c>
      <c r="H1761" s="4" t="s">
        <v>76</v>
      </c>
      <c r="I1761" s="4" t="s">
        <v>69</v>
      </c>
      <c r="J1761" s="4" t="s">
        <v>66</v>
      </c>
      <c r="K1761" s="4">
        <v>0</v>
      </c>
      <c r="L1761" s="94">
        <v>3837126</v>
      </c>
      <c r="M1761" s="94">
        <v>3837126</v>
      </c>
    </row>
    <row r="1762" spans="3:13" x14ac:dyDescent="0.3">
      <c r="C1762" t="s">
        <v>71</v>
      </c>
      <c r="D1762" t="s">
        <v>67</v>
      </c>
      <c r="E1762" t="s">
        <v>63</v>
      </c>
      <c r="F1762" t="s">
        <v>26</v>
      </c>
      <c r="G1762" s="4">
        <v>0</v>
      </c>
      <c r="H1762" s="4" t="s">
        <v>79</v>
      </c>
      <c r="I1762" s="4" t="s">
        <v>69</v>
      </c>
      <c r="J1762" s="4" t="s">
        <v>66</v>
      </c>
      <c r="K1762" s="4">
        <v>0</v>
      </c>
      <c r="L1762" s="94">
        <v>-10885</v>
      </c>
      <c r="M1762" s="94">
        <v>0</v>
      </c>
    </row>
    <row r="1763" spans="3:13" x14ac:dyDescent="0.3">
      <c r="C1763" t="s">
        <v>71</v>
      </c>
      <c r="D1763" t="s">
        <v>67</v>
      </c>
      <c r="E1763" t="s">
        <v>68</v>
      </c>
      <c r="F1763" t="s">
        <v>72</v>
      </c>
      <c r="G1763" s="4">
        <v>5</v>
      </c>
      <c r="H1763" s="4" t="s">
        <v>75</v>
      </c>
      <c r="I1763" s="4" t="s">
        <v>69</v>
      </c>
      <c r="J1763" s="4" t="s">
        <v>66</v>
      </c>
      <c r="K1763" s="4">
        <v>0</v>
      </c>
      <c r="L1763" s="94">
        <v>46263</v>
      </c>
      <c r="M1763" s="94">
        <v>231315</v>
      </c>
    </row>
    <row r="1764" spans="3:13" x14ac:dyDescent="0.3">
      <c r="C1764" t="s">
        <v>61</v>
      </c>
      <c r="D1764" t="s">
        <v>67</v>
      </c>
      <c r="E1764" t="s">
        <v>63</v>
      </c>
      <c r="F1764" t="s">
        <v>25</v>
      </c>
      <c r="G1764" s="4">
        <v>1</v>
      </c>
      <c r="H1764" s="4" t="s">
        <v>16</v>
      </c>
      <c r="I1764" s="4" t="s">
        <v>69</v>
      </c>
      <c r="J1764" s="4" t="s">
        <v>66</v>
      </c>
      <c r="K1764" s="4">
        <v>0</v>
      </c>
      <c r="L1764" s="94">
        <v>-56</v>
      </c>
      <c r="M1764" s="94">
        <v>0</v>
      </c>
    </row>
    <row r="1765" spans="3:13" x14ac:dyDescent="0.3">
      <c r="C1765" t="s">
        <v>61</v>
      </c>
      <c r="D1765" t="s">
        <v>67</v>
      </c>
      <c r="E1765" t="s">
        <v>68</v>
      </c>
      <c r="F1765" t="s">
        <v>72</v>
      </c>
      <c r="G1765" s="4">
        <v>7</v>
      </c>
      <c r="H1765" s="4" t="s">
        <v>17</v>
      </c>
      <c r="I1765" s="4" t="s">
        <v>69</v>
      </c>
      <c r="J1765" s="4" t="s">
        <v>73</v>
      </c>
      <c r="K1765" s="4">
        <v>1</v>
      </c>
      <c r="L1765" s="94">
        <v>22512</v>
      </c>
      <c r="M1765" s="94">
        <v>157584</v>
      </c>
    </row>
    <row r="1766" spans="3:13" x14ac:dyDescent="0.3">
      <c r="C1766" t="s">
        <v>61</v>
      </c>
      <c r="D1766" t="s">
        <v>84</v>
      </c>
      <c r="E1766" t="s">
        <v>63</v>
      </c>
      <c r="F1766" t="s">
        <v>25</v>
      </c>
      <c r="G1766" s="4">
        <v>14</v>
      </c>
      <c r="H1766" s="4" t="s">
        <v>76</v>
      </c>
      <c r="I1766" s="4" t="s">
        <v>69</v>
      </c>
      <c r="J1766" s="4" t="s">
        <v>66</v>
      </c>
      <c r="K1766" s="4">
        <v>0</v>
      </c>
      <c r="L1766" s="94">
        <v>-46225</v>
      </c>
      <c r="M1766" s="94">
        <v>0</v>
      </c>
    </row>
    <row r="1767" spans="3:13" x14ac:dyDescent="0.3">
      <c r="C1767" t="s">
        <v>61</v>
      </c>
      <c r="D1767" t="s">
        <v>67</v>
      </c>
      <c r="E1767" t="s">
        <v>63</v>
      </c>
      <c r="F1767" t="s">
        <v>72</v>
      </c>
      <c r="G1767" s="4">
        <v>-4</v>
      </c>
      <c r="H1767" s="4" t="s">
        <v>14</v>
      </c>
      <c r="I1767" s="4" t="s">
        <v>69</v>
      </c>
      <c r="J1767" s="4" t="s">
        <v>73</v>
      </c>
      <c r="K1767" s="4">
        <v>1</v>
      </c>
      <c r="L1767" s="94">
        <v>-4</v>
      </c>
      <c r="M1767" s="94">
        <v>0</v>
      </c>
    </row>
    <row r="1768" spans="3:13" x14ac:dyDescent="0.3">
      <c r="C1768" t="s">
        <v>61</v>
      </c>
      <c r="D1768" t="s">
        <v>67</v>
      </c>
      <c r="E1768" t="s">
        <v>68</v>
      </c>
      <c r="F1768" t="s">
        <v>25</v>
      </c>
      <c r="G1768" s="4">
        <v>4</v>
      </c>
      <c r="H1768" s="4" t="s">
        <v>15</v>
      </c>
      <c r="I1768" s="4" t="s">
        <v>69</v>
      </c>
      <c r="J1768" s="4" t="s">
        <v>66</v>
      </c>
      <c r="K1768" s="4">
        <v>1</v>
      </c>
      <c r="L1768" s="94">
        <v>842497</v>
      </c>
      <c r="M1768" s="94">
        <v>3369988</v>
      </c>
    </row>
    <row r="1769" spans="3:13" x14ac:dyDescent="0.3">
      <c r="C1769" t="s">
        <v>70</v>
      </c>
      <c r="D1769" t="s">
        <v>67</v>
      </c>
      <c r="E1769" t="s">
        <v>68</v>
      </c>
      <c r="F1769" t="s">
        <v>72</v>
      </c>
      <c r="G1769" s="4">
        <v>2</v>
      </c>
      <c r="H1769" s="4" t="s">
        <v>77</v>
      </c>
      <c r="I1769" s="4" t="s">
        <v>69</v>
      </c>
      <c r="J1769" s="4" t="s">
        <v>66</v>
      </c>
      <c r="K1769" s="4">
        <v>0</v>
      </c>
      <c r="L1769" s="94">
        <v>64419</v>
      </c>
      <c r="M1769" s="94">
        <v>128838</v>
      </c>
    </row>
    <row r="1770" spans="3:13" x14ac:dyDescent="0.3">
      <c r="C1770" t="s">
        <v>70</v>
      </c>
      <c r="D1770" t="s">
        <v>67</v>
      </c>
      <c r="E1770" t="s">
        <v>68</v>
      </c>
      <c r="F1770" t="s">
        <v>26</v>
      </c>
      <c r="G1770" s="4">
        <v>3</v>
      </c>
      <c r="H1770" s="4" t="s">
        <v>75</v>
      </c>
      <c r="I1770" s="4" t="s">
        <v>65</v>
      </c>
      <c r="J1770" s="4" t="s">
        <v>66</v>
      </c>
      <c r="K1770" s="4">
        <v>1</v>
      </c>
      <c r="L1770" s="94">
        <v>81603</v>
      </c>
      <c r="M1770" s="94">
        <v>244809</v>
      </c>
    </row>
    <row r="1771" spans="3:13" x14ac:dyDescent="0.3">
      <c r="C1771" t="s">
        <v>71</v>
      </c>
      <c r="D1771" t="s">
        <v>67</v>
      </c>
      <c r="E1771" t="s">
        <v>68</v>
      </c>
      <c r="F1771" t="s">
        <v>72</v>
      </c>
      <c r="G1771" s="4">
        <v>3</v>
      </c>
      <c r="H1771" s="4" t="s">
        <v>76</v>
      </c>
      <c r="I1771" s="4" t="s">
        <v>69</v>
      </c>
      <c r="J1771" s="4" t="s">
        <v>66</v>
      </c>
      <c r="K1771" s="4">
        <v>0</v>
      </c>
      <c r="L1771" s="94">
        <v>37252</v>
      </c>
      <c r="M1771" s="94">
        <v>111756</v>
      </c>
    </row>
    <row r="1772" spans="3:13" x14ac:dyDescent="0.3">
      <c r="C1772" t="s">
        <v>71</v>
      </c>
      <c r="D1772" t="s">
        <v>67</v>
      </c>
      <c r="E1772" t="s">
        <v>63</v>
      </c>
      <c r="F1772" t="s">
        <v>72</v>
      </c>
      <c r="G1772" s="4">
        <v>2</v>
      </c>
      <c r="H1772" s="4" t="s">
        <v>74</v>
      </c>
      <c r="I1772" s="4" t="s">
        <v>69</v>
      </c>
      <c r="J1772" s="4" t="s">
        <v>66</v>
      </c>
      <c r="K1772" s="4">
        <v>0</v>
      </c>
      <c r="L1772" s="94">
        <v>-11814</v>
      </c>
      <c r="M1772" s="94">
        <v>0</v>
      </c>
    </row>
    <row r="1773" spans="3:13" x14ac:dyDescent="0.3">
      <c r="C1773" t="s">
        <v>71</v>
      </c>
      <c r="D1773" t="s">
        <v>67</v>
      </c>
      <c r="E1773" t="s">
        <v>63</v>
      </c>
      <c r="F1773" t="s">
        <v>72</v>
      </c>
      <c r="G1773" s="4">
        <v>-4</v>
      </c>
      <c r="H1773" s="4" t="s">
        <v>14</v>
      </c>
      <c r="I1773" s="4" t="s">
        <v>69</v>
      </c>
      <c r="J1773" s="4" t="s">
        <v>66</v>
      </c>
      <c r="K1773" s="4">
        <v>0</v>
      </c>
      <c r="L1773" s="94">
        <v>-745042</v>
      </c>
      <c r="M1773" s="94">
        <v>0</v>
      </c>
    </row>
    <row r="1774" spans="3:13" x14ac:dyDescent="0.3">
      <c r="C1774" t="s">
        <v>61</v>
      </c>
      <c r="D1774" t="s">
        <v>67</v>
      </c>
      <c r="E1774" t="s">
        <v>63</v>
      </c>
      <c r="F1774" t="s">
        <v>26</v>
      </c>
      <c r="G1774" s="4">
        <v>0</v>
      </c>
      <c r="H1774" s="4" t="s">
        <v>74</v>
      </c>
      <c r="I1774" s="4" t="s">
        <v>69</v>
      </c>
      <c r="J1774" s="4" t="s">
        <v>66</v>
      </c>
      <c r="K1774" s="4">
        <v>0</v>
      </c>
      <c r="L1774" s="94">
        <v>-482253</v>
      </c>
      <c r="M1774" s="94">
        <v>0</v>
      </c>
    </row>
    <row r="1775" spans="3:13" x14ac:dyDescent="0.3">
      <c r="C1775" t="s">
        <v>61</v>
      </c>
      <c r="D1775" t="s">
        <v>67</v>
      </c>
      <c r="E1775" t="s">
        <v>68</v>
      </c>
      <c r="F1775" t="s">
        <v>26</v>
      </c>
      <c r="G1775" s="4">
        <v>-1</v>
      </c>
      <c r="H1775" s="4" t="s">
        <v>15</v>
      </c>
      <c r="I1775" s="4" t="s">
        <v>69</v>
      </c>
      <c r="J1775" s="4" t="s">
        <v>66</v>
      </c>
      <c r="K1775" s="4">
        <v>0</v>
      </c>
      <c r="L1775" s="94">
        <v>204440</v>
      </c>
      <c r="M1775" s="94">
        <v>0</v>
      </c>
    </row>
    <row r="1776" spans="3:13" x14ac:dyDescent="0.3">
      <c r="C1776" t="s">
        <v>70</v>
      </c>
      <c r="D1776" t="s">
        <v>62</v>
      </c>
      <c r="E1776" t="s">
        <v>68</v>
      </c>
      <c r="F1776" t="s">
        <v>24</v>
      </c>
      <c r="G1776" s="4">
        <v>22</v>
      </c>
      <c r="I1776" s="4" t="s">
        <v>69</v>
      </c>
      <c r="J1776" s="4" t="s">
        <v>66</v>
      </c>
      <c r="K1776" s="4">
        <v>1</v>
      </c>
      <c r="L1776" s="94">
        <v>863087</v>
      </c>
      <c r="M1776" s="94">
        <v>18987914</v>
      </c>
    </row>
    <row r="1777" spans="3:13" x14ac:dyDescent="0.3">
      <c r="C1777" t="s">
        <v>61</v>
      </c>
      <c r="D1777" t="s">
        <v>67</v>
      </c>
      <c r="E1777" t="s">
        <v>68</v>
      </c>
      <c r="F1777" t="s">
        <v>25</v>
      </c>
      <c r="G1777" s="4">
        <v>7</v>
      </c>
      <c r="H1777" s="4" t="s">
        <v>18</v>
      </c>
      <c r="I1777" s="4" t="s">
        <v>69</v>
      </c>
      <c r="J1777" s="4" t="s">
        <v>66</v>
      </c>
      <c r="K1777" s="4">
        <v>0</v>
      </c>
      <c r="L1777" s="94">
        <v>7165610</v>
      </c>
      <c r="M1777" s="94">
        <v>50159270</v>
      </c>
    </row>
    <row r="1778" spans="3:13" x14ac:dyDescent="0.3">
      <c r="C1778" t="s">
        <v>61</v>
      </c>
      <c r="D1778" t="s">
        <v>67</v>
      </c>
      <c r="E1778" t="s">
        <v>63</v>
      </c>
      <c r="F1778" t="s">
        <v>25</v>
      </c>
      <c r="G1778" s="4">
        <v>11</v>
      </c>
      <c r="H1778" s="4" t="s">
        <v>64</v>
      </c>
      <c r="I1778" s="4" t="s">
        <v>69</v>
      </c>
      <c r="J1778" s="4" t="s">
        <v>66</v>
      </c>
      <c r="K1778" s="4">
        <v>0</v>
      </c>
      <c r="L1778" s="94">
        <v>-907</v>
      </c>
      <c r="M1778" s="94">
        <v>0</v>
      </c>
    </row>
    <row r="1779" spans="3:13" x14ac:dyDescent="0.3">
      <c r="C1779" t="s">
        <v>61</v>
      </c>
      <c r="D1779" t="s">
        <v>67</v>
      </c>
      <c r="E1779" t="s">
        <v>68</v>
      </c>
      <c r="F1779" t="s">
        <v>25</v>
      </c>
      <c r="G1779" s="4">
        <v>15</v>
      </c>
      <c r="H1779" s="4" t="s">
        <v>78</v>
      </c>
      <c r="I1779" s="4" t="s">
        <v>69</v>
      </c>
      <c r="J1779" s="4" t="s">
        <v>66</v>
      </c>
      <c r="K1779" s="4">
        <v>0</v>
      </c>
      <c r="L1779" s="94">
        <v>1391953</v>
      </c>
      <c r="M1779" s="94">
        <v>20879295</v>
      </c>
    </row>
    <row r="1780" spans="3:13" x14ac:dyDescent="0.3">
      <c r="C1780" t="s">
        <v>71</v>
      </c>
      <c r="D1780" t="s">
        <v>67</v>
      </c>
      <c r="E1780" t="s">
        <v>68</v>
      </c>
      <c r="F1780" t="s">
        <v>25</v>
      </c>
      <c r="G1780" s="4">
        <v>6</v>
      </c>
      <c r="H1780" s="4" t="s">
        <v>12</v>
      </c>
      <c r="I1780" s="4" t="s">
        <v>69</v>
      </c>
      <c r="J1780" s="4" t="s">
        <v>66</v>
      </c>
      <c r="K1780" s="4">
        <v>0</v>
      </c>
      <c r="L1780" s="94">
        <v>57889</v>
      </c>
      <c r="M1780" s="94">
        <v>347334</v>
      </c>
    </row>
    <row r="1781" spans="3:13" x14ac:dyDescent="0.3">
      <c r="C1781" t="s">
        <v>70</v>
      </c>
      <c r="D1781" t="s">
        <v>67</v>
      </c>
      <c r="E1781" t="s">
        <v>63</v>
      </c>
      <c r="F1781" t="s">
        <v>25</v>
      </c>
      <c r="G1781" s="4">
        <v>12</v>
      </c>
      <c r="H1781" s="4" t="s">
        <v>78</v>
      </c>
      <c r="I1781" s="4" t="s">
        <v>69</v>
      </c>
      <c r="J1781" s="4" t="s">
        <v>66</v>
      </c>
      <c r="K1781" s="4">
        <v>0</v>
      </c>
      <c r="L1781" s="94">
        <v>-9656</v>
      </c>
      <c r="M1781" s="94">
        <v>0</v>
      </c>
    </row>
    <row r="1782" spans="3:13" x14ac:dyDescent="0.3">
      <c r="C1782" t="s">
        <v>70</v>
      </c>
      <c r="D1782" t="s">
        <v>67</v>
      </c>
      <c r="E1782" t="s">
        <v>68</v>
      </c>
      <c r="F1782" t="s">
        <v>26</v>
      </c>
      <c r="G1782" s="4">
        <v>0</v>
      </c>
      <c r="H1782" s="4" t="s">
        <v>18</v>
      </c>
      <c r="I1782" s="4" t="s">
        <v>65</v>
      </c>
      <c r="J1782" s="4" t="s">
        <v>66</v>
      </c>
      <c r="K1782" s="4">
        <v>1</v>
      </c>
      <c r="L1782" s="94">
        <v>3528</v>
      </c>
      <c r="M1782" s="94">
        <v>0</v>
      </c>
    </row>
    <row r="1783" spans="3:13" x14ac:dyDescent="0.3">
      <c r="C1783" t="s">
        <v>70</v>
      </c>
      <c r="D1783" t="s">
        <v>67</v>
      </c>
      <c r="E1783" t="s">
        <v>63</v>
      </c>
      <c r="F1783" t="s">
        <v>72</v>
      </c>
      <c r="G1783" s="4">
        <v>1</v>
      </c>
      <c r="H1783" s="4" t="s">
        <v>12</v>
      </c>
      <c r="I1783" s="4" t="s">
        <v>69</v>
      </c>
      <c r="J1783" s="4" t="s">
        <v>66</v>
      </c>
      <c r="K1783" s="4">
        <v>0</v>
      </c>
      <c r="L1783" s="94">
        <v>-11075</v>
      </c>
      <c r="M1783" s="94">
        <v>0</v>
      </c>
    </row>
    <row r="1784" spans="3:13" x14ac:dyDescent="0.3">
      <c r="C1784" t="s">
        <v>71</v>
      </c>
      <c r="D1784" t="s">
        <v>67</v>
      </c>
      <c r="E1784" t="s">
        <v>63</v>
      </c>
      <c r="F1784" t="s">
        <v>72</v>
      </c>
      <c r="G1784" s="4">
        <v>2</v>
      </c>
      <c r="H1784" s="4" t="s">
        <v>17</v>
      </c>
      <c r="I1784" s="4" t="s">
        <v>65</v>
      </c>
      <c r="J1784" s="4" t="s">
        <v>73</v>
      </c>
      <c r="K1784" s="4">
        <v>1</v>
      </c>
      <c r="L1784" s="94">
        <v>-44365</v>
      </c>
      <c r="M1784" s="94">
        <v>0</v>
      </c>
    </row>
    <row r="1785" spans="3:13" x14ac:dyDescent="0.3">
      <c r="C1785" t="s">
        <v>70</v>
      </c>
      <c r="D1785" t="s">
        <v>67</v>
      </c>
      <c r="E1785" t="s">
        <v>63</v>
      </c>
      <c r="F1785" t="s">
        <v>72</v>
      </c>
      <c r="G1785" s="4">
        <v>7</v>
      </c>
      <c r="H1785" s="4" t="s">
        <v>14</v>
      </c>
      <c r="I1785" s="4" t="s">
        <v>69</v>
      </c>
      <c r="J1785" s="4" t="s">
        <v>73</v>
      </c>
      <c r="K1785" s="4">
        <v>1</v>
      </c>
      <c r="L1785" s="94">
        <v>-9499</v>
      </c>
      <c r="M1785" s="94">
        <v>0</v>
      </c>
    </row>
    <row r="1786" spans="3:13" x14ac:dyDescent="0.3">
      <c r="C1786" t="s">
        <v>71</v>
      </c>
      <c r="D1786" t="s">
        <v>67</v>
      </c>
      <c r="E1786" t="s">
        <v>68</v>
      </c>
      <c r="F1786" t="s">
        <v>25</v>
      </c>
      <c r="G1786" s="4">
        <v>-1</v>
      </c>
      <c r="H1786" s="4" t="s">
        <v>18</v>
      </c>
      <c r="I1786" s="4" t="s">
        <v>69</v>
      </c>
      <c r="J1786" s="4" t="s">
        <v>66</v>
      </c>
      <c r="K1786" s="4">
        <v>0</v>
      </c>
      <c r="L1786" s="94">
        <v>139621</v>
      </c>
      <c r="M1786" s="94">
        <v>0</v>
      </c>
    </row>
    <row r="1787" spans="3:13" x14ac:dyDescent="0.3">
      <c r="C1787" t="s">
        <v>61</v>
      </c>
      <c r="D1787" t="s">
        <v>67</v>
      </c>
      <c r="E1787" t="s">
        <v>63</v>
      </c>
      <c r="F1787" t="s">
        <v>26</v>
      </c>
      <c r="G1787" s="4">
        <v>1</v>
      </c>
      <c r="H1787" s="4" t="s">
        <v>17</v>
      </c>
      <c r="I1787" s="4" t="s">
        <v>69</v>
      </c>
      <c r="J1787" s="4" t="s">
        <v>66</v>
      </c>
      <c r="K1787" s="4">
        <v>0</v>
      </c>
      <c r="L1787" s="94">
        <v>-140281</v>
      </c>
      <c r="M1787" s="94">
        <v>0</v>
      </c>
    </row>
    <row r="1788" spans="3:13" x14ac:dyDescent="0.3">
      <c r="C1788" t="s">
        <v>70</v>
      </c>
      <c r="D1788" t="s">
        <v>62</v>
      </c>
      <c r="E1788" t="s">
        <v>68</v>
      </c>
      <c r="F1788" t="s">
        <v>24</v>
      </c>
      <c r="G1788" s="4">
        <v>26</v>
      </c>
      <c r="I1788" s="4" t="s">
        <v>65</v>
      </c>
      <c r="J1788" s="4" t="s">
        <v>66</v>
      </c>
      <c r="K1788" s="4">
        <v>1</v>
      </c>
      <c r="L1788" s="94">
        <v>676633</v>
      </c>
      <c r="M1788" s="94">
        <v>17592458</v>
      </c>
    </row>
    <row r="1789" spans="3:13" x14ac:dyDescent="0.3">
      <c r="C1789" t="s">
        <v>71</v>
      </c>
      <c r="D1789" t="s">
        <v>62</v>
      </c>
      <c r="E1789" t="s">
        <v>68</v>
      </c>
      <c r="F1789" t="s">
        <v>24</v>
      </c>
      <c r="G1789" s="4">
        <v>6</v>
      </c>
      <c r="I1789" s="4" t="s">
        <v>69</v>
      </c>
      <c r="J1789" s="4" t="s">
        <v>66</v>
      </c>
      <c r="K1789" s="4">
        <v>1</v>
      </c>
      <c r="L1789" s="94">
        <v>62829</v>
      </c>
      <c r="M1789" s="94">
        <v>376974</v>
      </c>
    </row>
    <row r="1790" spans="3:13" x14ac:dyDescent="0.3">
      <c r="C1790" t="s">
        <v>61</v>
      </c>
      <c r="D1790" t="s">
        <v>67</v>
      </c>
      <c r="E1790" t="s">
        <v>68</v>
      </c>
      <c r="F1790" t="s">
        <v>26</v>
      </c>
      <c r="G1790" s="4">
        <v>2</v>
      </c>
      <c r="H1790" s="4" t="s">
        <v>78</v>
      </c>
      <c r="I1790" s="4" t="s">
        <v>69</v>
      </c>
      <c r="J1790" s="4" t="s">
        <v>66</v>
      </c>
      <c r="K1790" s="4">
        <v>0</v>
      </c>
      <c r="L1790" s="94">
        <v>1905054</v>
      </c>
      <c r="M1790" s="94">
        <v>3810108</v>
      </c>
    </row>
    <row r="1791" spans="3:13" x14ac:dyDescent="0.3">
      <c r="C1791" t="s">
        <v>70</v>
      </c>
      <c r="D1791" t="s">
        <v>67</v>
      </c>
      <c r="E1791" t="s">
        <v>63</v>
      </c>
      <c r="F1791" t="s">
        <v>72</v>
      </c>
      <c r="G1791" s="4">
        <v>-1</v>
      </c>
      <c r="H1791" s="4" t="s">
        <v>76</v>
      </c>
      <c r="I1791" s="4" t="s">
        <v>69</v>
      </c>
      <c r="J1791" s="4" t="s">
        <v>66</v>
      </c>
      <c r="K1791" s="4">
        <v>0</v>
      </c>
      <c r="L1791" s="94">
        <v>-7148</v>
      </c>
      <c r="M1791" s="94">
        <v>0</v>
      </c>
    </row>
    <row r="1792" spans="3:13" x14ac:dyDescent="0.3">
      <c r="C1792" t="s">
        <v>71</v>
      </c>
      <c r="D1792" t="s">
        <v>67</v>
      </c>
      <c r="E1792" t="s">
        <v>63</v>
      </c>
      <c r="F1792" t="s">
        <v>72</v>
      </c>
      <c r="G1792" s="4">
        <v>0</v>
      </c>
      <c r="H1792" s="4" t="s">
        <v>18</v>
      </c>
      <c r="I1792" s="4" t="s">
        <v>69</v>
      </c>
      <c r="J1792" s="4" t="s">
        <v>66</v>
      </c>
      <c r="K1792" s="4">
        <v>0</v>
      </c>
      <c r="L1792" s="94">
        <v>-15965</v>
      </c>
      <c r="M1792" s="94">
        <v>0</v>
      </c>
    </row>
    <row r="1793" spans="3:13" x14ac:dyDescent="0.3">
      <c r="C1793" t="s">
        <v>70</v>
      </c>
      <c r="D1793" t="s">
        <v>67</v>
      </c>
      <c r="E1793" t="s">
        <v>68</v>
      </c>
      <c r="F1793" t="s">
        <v>72</v>
      </c>
      <c r="G1793" s="4">
        <v>7</v>
      </c>
      <c r="H1793" s="4" t="s">
        <v>79</v>
      </c>
      <c r="I1793" s="4" t="s">
        <v>69</v>
      </c>
      <c r="J1793" s="4" t="s">
        <v>66</v>
      </c>
      <c r="K1793" s="4">
        <v>0</v>
      </c>
      <c r="L1793" s="94">
        <v>142418</v>
      </c>
      <c r="M1793" s="94">
        <v>996926</v>
      </c>
    </row>
    <row r="1794" spans="3:13" x14ac:dyDescent="0.3">
      <c r="C1794" t="s">
        <v>71</v>
      </c>
      <c r="D1794" t="s">
        <v>67</v>
      </c>
      <c r="E1794" t="s">
        <v>68</v>
      </c>
      <c r="F1794" t="s">
        <v>26</v>
      </c>
      <c r="G1794" s="4">
        <v>3</v>
      </c>
      <c r="H1794" s="4" t="s">
        <v>75</v>
      </c>
      <c r="I1794" s="4" t="s">
        <v>69</v>
      </c>
      <c r="J1794" s="4" t="s">
        <v>66</v>
      </c>
      <c r="K1794" s="4">
        <v>0</v>
      </c>
      <c r="L1794" s="94">
        <v>489312</v>
      </c>
      <c r="M1794" s="94">
        <v>1467936</v>
      </c>
    </row>
    <row r="1795" spans="3:13" x14ac:dyDescent="0.3">
      <c r="C1795" t="s">
        <v>61</v>
      </c>
      <c r="D1795" t="s">
        <v>62</v>
      </c>
      <c r="E1795" t="s">
        <v>68</v>
      </c>
      <c r="F1795" t="s">
        <v>25</v>
      </c>
      <c r="G1795" s="4">
        <v>23</v>
      </c>
      <c r="I1795" s="4" t="s">
        <v>69</v>
      </c>
      <c r="J1795" s="4" t="s">
        <v>66</v>
      </c>
      <c r="K1795" s="4">
        <v>0</v>
      </c>
      <c r="L1795" s="94">
        <v>327301</v>
      </c>
      <c r="M1795" s="94">
        <v>7527923</v>
      </c>
    </row>
    <row r="1796" spans="3:13" x14ac:dyDescent="0.3">
      <c r="C1796" t="s">
        <v>61</v>
      </c>
      <c r="D1796" t="s">
        <v>67</v>
      </c>
      <c r="E1796" t="s">
        <v>68</v>
      </c>
      <c r="F1796" t="s">
        <v>26</v>
      </c>
      <c r="G1796" s="4">
        <v>0</v>
      </c>
      <c r="H1796" s="4" t="s">
        <v>74</v>
      </c>
      <c r="I1796" s="4" t="s">
        <v>69</v>
      </c>
      <c r="J1796" s="4" t="s">
        <v>66</v>
      </c>
      <c r="K1796" s="4">
        <v>0</v>
      </c>
      <c r="L1796" s="94">
        <v>1067937491</v>
      </c>
      <c r="M1796" s="94">
        <v>0</v>
      </c>
    </row>
    <row r="1797" spans="3:13" x14ac:dyDescent="0.3">
      <c r="C1797" t="s">
        <v>61</v>
      </c>
      <c r="D1797" t="s">
        <v>67</v>
      </c>
      <c r="E1797" t="s">
        <v>68</v>
      </c>
      <c r="F1797" t="s">
        <v>72</v>
      </c>
      <c r="G1797" s="4">
        <v>0</v>
      </c>
      <c r="H1797" s="4" t="s">
        <v>12</v>
      </c>
      <c r="I1797" s="4" t="s">
        <v>65</v>
      </c>
      <c r="J1797" s="4" t="s">
        <v>73</v>
      </c>
      <c r="K1797" s="4">
        <v>1</v>
      </c>
      <c r="L1797" s="94">
        <v>4444</v>
      </c>
      <c r="M1797" s="94">
        <v>0</v>
      </c>
    </row>
    <row r="1798" spans="3:13" x14ac:dyDescent="0.3">
      <c r="C1798" t="s">
        <v>70</v>
      </c>
      <c r="D1798" t="s">
        <v>67</v>
      </c>
      <c r="E1798" t="s">
        <v>68</v>
      </c>
      <c r="F1798" t="s">
        <v>25</v>
      </c>
      <c r="G1798" s="4">
        <v>11</v>
      </c>
      <c r="H1798" s="4" t="s">
        <v>76</v>
      </c>
      <c r="I1798" s="4" t="s">
        <v>69</v>
      </c>
      <c r="J1798" s="4" t="s">
        <v>66</v>
      </c>
      <c r="K1798" s="4">
        <v>0</v>
      </c>
      <c r="L1798" s="94">
        <v>5433417</v>
      </c>
      <c r="M1798" s="94">
        <v>59767587</v>
      </c>
    </row>
    <row r="1799" spans="3:13" x14ac:dyDescent="0.3">
      <c r="C1799" t="s">
        <v>61</v>
      </c>
      <c r="D1799" t="s">
        <v>67</v>
      </c>
      <c r="E1799" t="s">
        <v>68</v>
      </c>
      <c r="F1799" t="s">
        <v>25</v>
      </c>
      <c r="G1799" s="4">
        <v>12</v>
      </c>
      <c r="H1799" s="4" t="s">
        <v>18</v>
      </c>
      <c r="I1799" s="4" t="s">
        <v>69</v>
      </c>
      <c r="J1799" s="4" t="s">
        <v>66</v>
      </c>
      <c r="K1799" s="4">
        <v>1</v>
      </c>
      <c r="L1799" s="94">
        <v>775231</v>
      </c>
      <c r="M1799" s="94">
        <v>9302772</v>
      </c>
    </row>
    <row r="1800" spans="3:13" x14ac:dyDescent="0.3">
      <c r="C1800" t="s">
        <v>71</v>
      </c>
      <c r="D1800" t="s">
        <v>67</v>
      </c>
      <c r="E1800" t="s">
        <v>63</v>
      </c>
      <c r="F1800" t="s">
        <v>25</v>
      </c>
      <c r="G1800" s="4">
        <v>20</v>
      </c>
      <c r="H1800" s="4" t="s">
        <v>64</v>
      </c>
      <c r="I1800" s="4" t="s">
        <v>69</v>
      </c>
      <c r="J1800" s="4" t="s">
        <v>66</v>
      </c>
      <c r="K1800" s="4">
        <v>0</v>
      </c>
      <c r="L1800" s="94">
        <v>-131884</v>
      </c>
      <c r="M1800" s="94">
        <v>0</v>
      </c>
    </row>
    <row r="1801" spans="3:13" x14ac:dyDescent="0.3">
      <c r="C1801" t="s">
        <v>71</v>
      </c>
      <c r="D1801" t="s">
        <v>67</v>
      </c>
      <c r="E1801" t="s">
        <v>63</v>
      </c>
      <c r="F1801" t="s">
        <v>26</v>
      </c>
      <c r="G1801" s="4">
        <v>-4</v>
      </c>
      <c r="H1801" s="4" t="s">
        <v>74</v>
      </c>
      <c r="I1801" s="4" t="s">
        <v>69</v>
      </c>
      <c r="J1801" s="4" t="s">
        <v>66</v>
      </c>
      <c r="K1801" s="4">
        <v>0</v>
      </c>
      <c r="L1801" s="94">
        <v>-974958</v>
      </c>
      <c r="M1801" s="94">
        <v>0</v>
      </c>
    </row>
    <row r="1802" spans="3:13" x14ac:dyDescent="0.3">
      <c r="C1802" t="s">
        <v>70</v>
      </c>
      <c r="D1802" t="s">
        <v>62</v>
      </c>
      <c r="E1802" t="s">
        <v>63</v>
      </c>
      <c r="F1802" t="s">
        <v>24</v>
      </c>
      <c r="G1802" s="4">
        <v>37</v>
      </c>
      <c r="I1802" s="4" t="s">
        <v>69</v>
      </c>
      <c r="J1802" s="4" t="s">
        <v>66</v>
      </c>
      <c r="K1802" s="4">
        <v>1</v>
      </c>
      <c r="L1802" s="94">
        <v>-3195</v>
      </c>
      <c r="M1802" s="94">
        <v>0</v>
      </c>
    </row>
    <row r="1803" spans="3:13" x14ac:dyDescent="0.3">
      <c r="C1803" t="s">
        <v>70</v>
      </c>
      <c r="D1803" t="s">
        <v>67</v>
      </c>
      <c r="E1803" t="s">
        <v>68</v>
      </c>
      <c r="F1803" t="s">
        <v>25</v>
      </c>
      <c r="G1803" s="4">
        <v>12</v>
      </c>
      <c r="H1803" s="4" t="s">
        <v>14</v>
      </c>
      <c r="I1803" s="4" t="s">
        <v>69</v>
      </c>
      <c r="J1803" s="4" t="s">
        <v>66</v>
      </c>
      <c r="K1803" s="4">
        <v>0</v>
      </c>
      <c r="L1803" s="94">
        <v>410836</v>
      </c>
      <c r="M1803" s="94">
        <v>4930032</v>
      </c>
    </row>
    <row r="1804" spans="3:13" x14ac:dyDescent="0.3">
      <c r="C1804" t="s">
        <v>61</v>
      </c>
      <c r="D1804" t="s">
        <v>67</v>
      </c>
      <c r="E1804" t="s">
        <v>68</v>
      </c>
      <c r="F1804" t="s">
        <v>72</v>
      </c>
      <c r="G1804" s="4">
        <v>5</v>
      </c>
      <c r="H1804" s="4" t="s">
        <v>18</v>
      </c>
      <c r="I1804" s="4" t="s">
        <v>69</v>
      </c>
      <c r="J1804" s="4" t="s">
        <v>66</v>
      </c>
      <c r="K1804" s="4">
        <v>0</v>
      </c>
      <c r="L1804" s="94">
        <v>3613527</v>
      </c>
      <c r="M1804" s="94">
        <v>18067635</v>
      </c>
    </row>
    <row r="1805" spans="3:13" x14ac:dyDescent="0.3">
      <c r="C1805" t="s">
        <v>70</v>
      </c>
      <c r="D1805" t="s">
        <v>67</v>
      </c>
      <c r="E1805" t="s">
        <v>68</v>
      </c>
      <c r="F1805" t="s">
        <v>26</v>
      </c>
      <c r="G1805" s="4">
        <v>1</v>
      </c>
      <c r="H1805" s="4" t="s">
        <v>12</v>
      </c>
      <c r="I1805" s="4" t="s">
        <v>65</v>
      </c>
      <c r="J1805" s="4" t="s">
        <v>73</v>
      </c>
      <c r="K1805" s="4">
        <v>1</v>
      </c>
      <c r="L1805" s="94">
        <v>19100</v>
      </c>
      <c r="M1805" s="94">
        <v>19100</v>
      </c>
    </row>
    <row r="1806" spans="3:13" x14ac:dyDescent="0.3">
      <c r="C1806" t="s">
        <v>61</v>
      </c>
      <c r="D1806" t="s">
        <v>67</v>
      </c>
      <c r="E1806" t="s">
        <v>68</v>
      </c>
      <c r="F1806" t="s">
        <v>25</v>
      </c>
      <c r="G1806" s="4">
        <v>13</v>
      </c>
      <c r="H1806" s="4" t="s">
        <v>76</v>
      </c>
      <c r="I1806" s="4" t="s">
        <v>65</v>
      </c>
      <c r="J1806" s="4" t="s">
        <v>66</v>
      </c>
      <c r="K1806" s="4">
        <v>1</v>
      </c>
      <c r="L1806" s="94">
        <v>704798</v>
      </c>
      <c r="M1806" s="94">
        <v>9162374</v>
      </c>
    </row>
    <row r="1807" spans="3:13" x14ac:dyDescent="0.3">
      <c r="C1807" t="s">
        <v>61</v>
      </c>
      <c r="D1807" t="s">
        <v>62</v>
      </c>
      <c r="E1807" t="s">
        <v>68</v>
      </c>
      <c r="F1807" t="s">
        <v>24</v>
      </c>
      <c r="G1807" s="4">
        <v>26</v>
      </c>
      <c r="I1807" s="4" t="s">
        <v>69</v>
      </c>
      <c r="J1807" s="4" t="s">
        <v>66</v>
      </c>
      <c r="K1807" s="4">
        <v>0</v>
      </c>
      <c r="L1807" s="94">
        <v>830491551</v>
      </c>
      <c r="M1807" s="94">
        <v>21592780326</v>
      </c>
    </row>
    <row r="1808" spans="3:13" x14ac:dyDescent="0.3">
      <c r="C1808" t="s">
        <v>71</v>
      </c>
      <c r="D1808" t="s">
        <v>67</v>
      </c>
      <c r="E1808" t="s">
        <v>63</v>
      </c>
      <c r="F1808" t="s">
        <v>26</v>
      </c>
      <c r="G1808" s="4">
        <v>-1</v>
      </c>
      <c r="H1808" s="4" t="s">
        <v>64</v>
      </c>
      <c r="I1808" s="4" t="s">
        <v>69</v>
      </c>
      <c r="J1808" s="4" t="s">
        <v>66</v>
      </c>
      <c r="K1808" s="4">
        <v>0</v>
      </c>
      <c r="L1808" s="94">
        <v>-852840</v>
      </c>
      <c r="M1808" s="94">
        <v>0</v>
      </c>
    </row>
    <row r="1809" spans="3:13" x14ac:dyDescent="0.3">
      <c r="C1809" t="s">
        <v>61</v>
      </c>
      <c r="D1809" t="s">
        <v>67</v>
      </c>
      <c r="E1809" t="s">
        <v>68</v>
      </c>
      <c r="F1809" t="s">
        <v>26</v>
      </c>
      <c r="G1809" s="4">
        <v>3</v>
      </c>
      <c r="H1809" s="4" t="s">
        <v>17</v>
      </c>
      <c r="I1809" s="4" t="s">
        <v>69</v>
      </c>
      <c r="J1809" s="4" t="s">
        <v>66</v>
      </c>
      <c r="K1809" s="4">
        <v>0</v>
      </c>
      <c r="L1809" s="94">
        <v>29723996</v>
      </c>
      <c r="M1809" s="94">
        <v>89171988</v>
      </c>
    </row>
    <row r="1810" spans="3:13" x14ac:dyDescent="0.3">
      <c r="C1810" t="s">
        <v>61</v>
      </c>
      <c r="D1810" t="s">
        <v>67</v>
      </c>
      <c r="E1810" t="s">
        <v>63</v>
      </c>
      <c r="F1810" t="s">
        <v>25</v>
      </c>
      <c r="G1810" s="4">
        <v>-4</v>
      </c>
      <c r="H1810" s="4" t="s">
        <v>77</v>
      </c>
      <c r="I1810" s="4" t="s">
        <v>69</v>
      </c>
      <c r="J1810" s="4" t="s">
        <v>66</v>
      </c>
      <c r="K1810" s="4">
        <v>0</v>
      </c>
      <c r="L1810" s="94">
        <v>-160</v>
      </c>
      <c r="M1810" s="94">
        <v>0</v>
      </c>
    </row>
    <row r="1811" spans="3:13" x14ac:dyDescent="0.3">
      <c r="C1811" t="s">
        <v>71</v>
      </c>
      <c r="D1811" t="s">
        <v>67</v>
      </c>
      <c r="E1811" t="s">
        <v>68</v>
      </c>
      <c r="F1811" t="s">
        <v>26</v>
      </c>
      <c r="G1811" s="4">
        <v>0</v>
      </c>
      <c r="H1811" s="4" t="s">
        <v>18</v>
      </c>
      <c r="I1811" s="4" t="s">
        <v>69</v>
      </c>
      <c r="J1811" s="4" t="s">
        <v>66</v>
      </c>
      <c r="K1811" s="4">
        <v>0</v>
      </c>
      <c r="L1811" s="94">
        <v>3142673</v>
      </c>
      <c r="M1811" s="94">
        <v>0</v>
      </c>
    </row>
    <row r="1812" spans="3:13" x14ac:dyDescent="0.3">
      <c r="C1812" t="s">
        <v>61</v>
      </c>
      <c r="D1812" t="s">
        <v>67</v>
      </c>
      <c r="E1812" t="s">
        <v>63</v>
      </c>
      <c r="F1812" t="s">
        <v>26</v>
      </c>
      <c r="G1812" s="4">
        <v>2</v>
      </c>
      <c r="H1812" s="4" t="s">
        <v>12</v>
      </c>
      <c r="I1812" s="4" t="s">
        <v>65</v>
      </c>
      <c r="J1812" s="4" t="s">
        <v>73</v>
      </c>
      <c r="K1812" s="4">
        <v>1</v>
      </c>
      <c r="L1812" s="94">
        <v>-1073</v>
      </c>
      <c r="M1812" s="94">
        <v>0</v>
      </c>
    </row>
    <row r="1813" spans="3:13" x14ac:dyDescent="0.3">
      <c r="C1813" t="s">
        <v>70</v>
      </c>
      <c r="D1813" t="s">
        <v>67</v>
      </c>
      <c r="E1813" t="s">
        <v>63</v>
      </c>
      <c r="F1813" t="s">
        <v>26</v>
      </c>
      <c r="G1813" s="4">
        <v>6</v>
      </c>
      <c r="H1813" s="4" t="s">
        <v>78</v>
      </c>
      <c r="I1813" s="4" t="s">
        <v>69</v>
      </c>
      <c r="J1813" s="4" t="s">
        <v>66</v>
      </c>
      <c r="K1813" s="4">
        <v>0</v>
      </c>
      <c r="L1813" s="94">
        <v>-557</v>
      </c>
      <c r="M1813" s="94">
        <v>0</v>
      </c>
    </row>
    <row r="1814" spans="3:13" x14ac:dyDescent="0.3">
      <c r="C1814" t="s">
        <v>61</v>
      </c>
      <c r="D1814" t="s">
        <v>67</v>
      </c>
      <c r="E1814" t="s">
        <v>63</v>
      </c>
      <c r="F1814" t="s">
        <v>26</v>
      </c>
      <c r="G1814" s="4">
        <v>6</v>
      </c>
      <c r="H1814" s="4" t="s">
        <v>15</v>
      </c>
      <c r="I1814" s="4" t="s">
        <v>69</v>
      </c>
      <c r="J1814" s="4" t="s">
        <v>73</v>
      </c>
      <c r="K1814" s="4">
        <v>1</v>
      </c>
      <c r="L1814" s="94">
        <v>-18792</v>
      </c>
      <c r="M1814" s="94">
        <v>0</v>
      </c>
    </row>
    <row r="1815" spans="3:13" x14ac:dyDescent="0.3">
      <c r="C1815" t="s">
        <v>61</v>
      </c>
      <c r="D1815" t="s">
        <v>67</v>
      </c>
      <c r="E1815" t="s">
        <v>68</v>
      </c>
      <c r="F1815" t="s">
        <v>25</v>
      </c>
      <c r="G1815" s="4">
        <v>3</v>
      </c>
      <c r="H1815" s="4" t="s">
        <v>74</v>
      </c>
      <c r="I1815" s="4" t="s">
        <v>69</v>
      </c>
      <c r="J1815" s="4" t="s">
        <v>66</v>
      </c>
      <c r="K1815" s="4">
        <v>0</v>
      </c>
      <c r="L1815" s="94">
        <v>1868381</v>
      </c>
      <c r="M1815" s="94">
        <v>5605143</v>
      </c>
    </row>
    <row r="1816" spans="3:13" x14ac:dyDescent="0.3">
      <c r="C1816" t="s">
        <v>71</v>
      </c>
      <c r="D1816" t="s">
        <v>67</v>
      </c>
      <c r="E1816" t="s">
        <v>68</v>
      </c>
      <c r="F1816" t="s">
        <v>26</v>
      </c>
      <c r="G1816" s="4">
        <v>5</v>
      </c>
      <c r="H1816" s="4" t="s">
        <v>75</v>
      </c>
      <c r="I1816" s="4" t="s">
        <v>69</v>
      </c>
      <c r="J1816" s="4" t="s">
        <v>66</v>
      </c>
      <c r="K1816" s="4">
        <v>0</v>
      </c>
      <c r="L1816" s="94">
        <v>143009</v>
      </c>
      <c r="M1816" s="94">
        <v>715045</v>
      </c>
    </row>
    <row r="1817" spans="3:13" x14ac:dyDescent="0.3">
      <c r="C1817" t="s">
        <v>71</v>
      </c>
      <c r="D1817" t="s">
        <v>67</v>
      </c>
      <c r="E1817" t="s">
        <v>63</v>
      </c>
      <c r="F1817" t="s">
        <v>26</v>
      </c>
      <c r="G1817" s="4">
        <v>1</v>
      </c>
      <c r="H1817" s="4" t="s">
        <v>77</v>
      </c>
      <c r="I1817" s="4" t="s">
        <v>69</v>
      </c>
      <c r="J1817" s="4" t="s">
        <v>66</v>
      </c>
      <c r="K1817" s="4">
        <v>0</v>
      </c>
      <c r="L1817" s="94">
        <v>-263829</v>
      </c>
      <c r="M1817" s="94">
        <v>0</v>
      </c>
    </row>
    <row r="1818" spans="3:13" x14ac:dyDescent="0.3">
      <c r="C1818" t="s">
        <v>61</v>
      </c>
      <c r="D1818" t="s">
        <v>67</v>
      </c>
      <c r="E1818" t="s">
        <v>68</v>
      </c>
      <c r="F1818" t="s">
        <v>26</v>
      </c>
      <c r="G1818" s="4">
        <v>4</v>
      </c>
      <c r="H1818" s="4" t="s">
        <v>16</v>
      </c>
      <c r="I1818" s="4" t="s">
        <v>69</v>
      </c>
      <c r="J1818" s="4" t="s">
        <v>66</v>
      </c>
      <c r="K1818" s="4">
        <v>0</v>
      </c>
      <c r="L1818" s="94">
        <v>732000</v>
      </c>
      <c r="M1818" s="94">
        <v>2928000</v>
      </c>
    </row>
    <row r="1819" spans="3:13" x14ac:dyDescent="0.3">
      <c r="C1819" t="s">
        <v>61</v>
      </c>
      <c r="D1819" t="s">
        <v>67</v>
      </c>
      <c r="E1819" t="s">
        <v>68</v>
      </c>
      <c r="F1819" t="s">
        <v>26</v>
      </c>
      <c r="G1819" s="4">
        <v>7</v>
      </c>
      <c r="H1819" s="4" t="s">
        <v>78</v>
      </c>
      <c r="I1819" s="4" t="s">
        <v>69</v>
      </c>
      <c r="J1819" s="4" t="s">
        <v>66</v>
      </c>
      <c r="K1819" s="4">
        <v>0</v>
      </c>
      <c r="L1819" s="94">
        <v>163707</v>
      </c>
      <c r="M1819" s="94">
        <v>1145949</v>
      </c>
    </row>
    <row r="1820" spans="3:13" x14ac:dyDescent="0.3">
      <c r="C1820" t="s">
        <v>61</v>
      </c>
      <c r="D1820" t="s">
        <v>67</v>
      </c>
      <c r="E1820" t="s">
        <v>68</v>
      </c>
      <c r="F1820" t="s">
        <v>26</v>
      </c>
      <c r="G1820" s="4">
        <v>12</v>
      </c>
      <c r="H1820" s="4" t="s">
        <v>82</v>
      </c>
      <c r="I1820" s="4" t="s">
        <v>69</v>
      </c>
      <c r="J1820" s="4" t="s">
        <v>66</v>
      </c>
      <c r="K1820" s="4">
        <v>0</v>
      </c>
      <c r="L1820" s="94">
        <v>12751483</v>
      </c>
      <c r="M1820" s="94">
        <v>153017796</v>
      </c>
    </row>
    <row r="1821" spans="3:13" x14ac:dyDescent="0.3">
      <c r="C1821" t="s">
        <v>61</v>
      </c>
      <c r="D1821" t="s">
        <v>67</v>
      </c>
      <c r="E1821" t="s">
        <v>63</v>
      </c>
      <c r="F1821" t="s">
        <v>26</v>
      </c>
      <c r="G1821" s="4">
        <v>0</v>
      </c>
      <c r="H1821" s="4" t="s">
        <v>14</v>
      </c>
      <c r="I1821" s="4" t="s">
        <v>69</v>
      </c>
      <c r="J1821" s="4" t="s">
        <v>66</v>
      </c>
      <c r="K1821" s="4">
        <v>0</v>
      </c>
      <c r="L1821" s="94">
        <v>-1374949</v>
      </c>
      <c r="M1821" s="94">
        <v>0</v>
      </c>
    </row>
    <row r="1822" spans="3:13" x14ac:dyDescent="0.3">
      <c r="C1822" t="s">
        <v>61</v>
      </c>
      <c r="D1822" t="s">
        <v>62</v>
      </c>
      <c r="E1822" t="s">
        <v>68</v>
      </c>
      <c r="F1822" t="s">
        <v>25</v>
      </c>
      <c r="G1822" s="4">
        <v>34</v>
      </c>
      <c r="I1822" s="4" t="s">
        <v>69</v>
      </c>
      <c r="J1822" s="4" t="s">
        <v>66</v>
      </c>
      <c r="K1822" s="4">
        <v>0</v>
      </c>
      <c r="L1822" s="94">
        <v>119066</v>
      </c>
      <c r="M1822" s="94">
        <v>4048244</v>
      </c>
    </row>
    <row r="1823" spans="3:13" x14ac:dyDescent="0.3">
      <c r="C1823" t="s">
        <v>61</v>
      </c>
      <c r="D1823" t="s">
        <v>67</v>
      </c>
      <c r="E1823" t="s">
        <v>68</v>
      </c>
      <c r="F1823" t="s">
        <v>25</v>
      </c>
      <c r="G1823" s="4">
        <v>7</v>
      </c>
      <c r="H1823" s="4" t="s">
        <v>76</v>
      </c>
      <c r="I1823" s="4" t="s">
        <v>69</v>
      </c>
      <c r="J1823" s="4" t="s">
        <v>66</v>
      </c>
      <c r="K1823" s="4">
        <v>0</v>
      </c>
      <c r="L1823" s="94">
        <v>36942712</v>
      </c>
      <c r="M1823" s="94">
        <v>258598984</v>
      </c>
    </row>
    <row r="1824" spans="3:13" x14ac:dyDescent="0.3">
      <c r="C1824" t="s">
        <v>61</v>
      </c>
      <c r="D1824" t="s">
        <v>62</v>
      </c>
      <c r="E1824" t="s">
        <v>68</v>
      </c>
      <c r="F1824" t="s">
        <v>24</v>
      </c>
      <c r="G1824" s="4">
        <v>15</v>
      </c>
      <c r="I1824" s="4" t="s">
        <v>69</v>
      </c>
      <c r="J1824" s="4" t="s">
        <v>73</v>
      </c>
      <c r="K1824" s="4">
        <v>1</v>
      </c>
      <c r="L1824" s="94">
        <v>1117</v>
      </c>
      <c r="M1824" s="94">
        <v>16755</v>
      </c>
    </row>
    <row r="1825" spans="3:13" x14ac:dyDescent="0.3">
      <c r="C1825" t="s">
        <v>61</v>
      </c>
      <c r="D1825" t="s">
        <v>62</v>
      </c>
      <c r="E1825" t="s">
        <v>63</v>
      </c>
      <c r="F1825" t="s">
        <v>24</v>
      </c>
      <c r="G1825" s="4">
        <v>25</v>
      </c>
      <c r="I1825" s="4" t="s">
        <v>65</v>
      </c>
      <c r="J1825" s="4" t="s">
        <v>66</v>
      </c>
      <c r="K1825" s="4">
        <v>1</v>
      </c>
      <c r="L1825" s="94">
        <v>-3352</v>
      </c>
      <c r="M1825" s="94">
        <v>0</v>
      </c>
    </row>
    <row r="1826" spans="3:13" x14ac:dyDescent="0.3">
      <c r="C1826" t="s">
        <v>71</v>
      </c>
      <c r="D1826" t="s">
        <v>67</v>
      </c>
      <c r="E1826" t="s">
        <v>68</v>
      </c>
      <c r="F1826" t="s">
        <v>25</v>
      </c>
      <c r="G1826" s="4">
        <v>10</v>
      </c>
      <c r="H1826" s="4" t="s">
        <v>83</v>
      </c>
      <c r="I1826" s="4" t="s">
        <v>69</v>
      </c>
      <c r="J1826" s="4" t="s">
        <v>66</v>
      </c>
      <c r="K1826" s="4">
        <v>0</v>
      </c>
      <c r="L1826" s="94">
        <v>1851559</v>
      </c>
      <c r="M1826" s="94">
        <v>18515590</v>
      </c>
    </row>
    <row r="1827" spans="3:13" x14ac:dyDescent="0.3">
      <c r="C1827" t="s">
        <v>71</v>
      </c>
      <c r="D1827" t="s">
        <v>67</v>
      </c>
      <c r="E1827" t="s">
        <v>68</v>
      </c>
      <c r="F1827" t="s">
        <v>72</v>
      </c>
      <c r="G1827" s="4">
        <v>3</v>
      </c>
      <c r="H1827" s="4" t="s">
        <v>18</v>
      </c>
      <c r="I1827" s="4" t="s">
        <v>69</v>
      </c>
      <c r="J1827" s="4" t="s">
        <v>66</v>
      </c>
      <c r="K1827" s="4">
        <v>0</v>
      </c>
      <c r="L1827" s="94">
        <v>111473</v>
      </c>
      <c r="M1827" s="94">
        <v>334419</v>
      </c>
    </row>
    <row r="1828" spans="3:13" x14ac:dyDescent="0.3">
      <c r="C1828" t="s">
        <v>61</v>
      </c>
      <c r="D1828" t="s">
        <v>67</v>
      </c>
      <c r="E1828" t="s">
        <v>63</v>
      </c>
      <c r="F1828" t="s">
        <v>26</v>
      </c>
      <c r="G1828" s="4">
        <v>7</v>
      </c>
      <c r="H1828" s="4" t="s">
        <v>74</v>
      </c>
      <c r="I1828" s="4" t="s">
        <v>69</v>
      </c>
      <c r="J1828" s="4" t="s">
        <v>66</v>
      </c>
      <c r="K1828" s="4">
        <v>0</v>
      </c>
      <c r="L1828" s="94">
        <v>-53060</v>
      </c>
      <c r="M1828" s="94">
        <v>0</v>
      </c>
    </row>
    <row r="1829" spans="3:13" x14ac:dyDescent="0.3">
      <c r="C1829" t="s">
        <v>71</v>
      </c>
      <c r="D1829" t="s">
        <v>67</v>
      </c>
      <c r="E1829" t="s">
        <v>63</v>
      </c>
      <c r="F1829" t="s">
        <v>72</v>
      </c>
      <c r="G1829" s="4">
        <v>2</v>
      </c>
      <c r="H1829" s="4" t="s">
        <v>14</v>
      </c>
      <c r="I1829" s="4" t="s">
        <v>69</v>
      </c>
      <c r="J1829" s="4" t="s">
        <v>66</v>
      </c>
      <c r="K1829" s="4">
        <v>0</v>
      </c>
      <c r="L1829" s="94">
        <v>-106609</v>
      </c>
      <c r="M1829" s="94">
        <v>0</v>
      </c>
    </row>
    <row r="1830" spans="3:13" x14ac:dyDescent="0.3">
      <c r="C1830" t="s">
        <v>61</v>
      </c>
      <c r="D1830" t="s">
        <v>67</v>
      </c>
      <c r="E1830" t="s">
        <v>68</v>
      </c>
      <c r="F1830" t="s">
        <v>26</v>
      </c>
      <c r="G1830" s="4">
        <v>5</v>
      </c>
      <c r="H1830" s="4" t="s">
        <v>17</v>
      </c>
      <c r="I1830" s="4" t="s">
        <v>69</v>
      </c>
      <c r="J1830" s="4" t="s">
        <v>66</v>
      </c>
      <c r="K1830" s="4">
        <v>0</v>
      </c>
      <c r="L1830" s="94">
        <v>5861616</v>
      </c>
      <c r="M1830" s="94">
        <v>29308080</v>
      </c>
    </row>
    <row r="1831" spans="3:13" x14ac:dyDescent="0.3">
      <c r="C1831" t="s">
        <v>61</v>
      </c>
      <c r="D1831" t="s">
        <v>67</v>
      </c>
      <c r="E1831" t="s">
        <v>63</v>
      </c>
      <c r="F1831" t="s">
        <v>25</v>
      </c>
      <c r="G1831" s="4">
        <v>8</v>
      </c>
      <c r="H1831" s="4" t="s">
        <v>75</v>
      </c>
      <c r="I1831" s="4" t="s">
        <v>69</v>
      </c>
      <c r="J1831" s="4" t="s">
        <v>66</v>
      </c>
      <c r="K1831" s="4">
        <v>0</v>
      </c>
      <c r="L1831" s="94">
        <v>-81494</v>
      </c>
      <c r="M1831" s="94">
        <v>0</v>
      </c>
    </row>
    <row r="1832" spans="3:13" x14ac:dyDescent="0.3">
      <c r="C1832" t="s">
        <v>70</v>
      </c>
      <c r="D1832" t="s">
        <v>67</v>
      </c>
      <c r="E1832" t="s">
        <v>63</v>
      </c>
      <c r="F1832" t="s">
        <v>25</v>
      </c>
      <c r="G1832" s="4">
        <v>1</v>
      </c>
      <c r="H1832" s="4" t="s">
        <v>77</v>
      </c>
      <c r="I1832" s="4" t="s">
        <v>69</v>
      </c>
      <c r="J1832" s="4" t="s">
        <v>66</v>
      </c>
      <c r="K1832" s="4">
        <v>0</v>
      </c>
      <c r="L1832" s="94">
        <v>-85</v>
      </c>
      <c r="M1832" s="94">
        <v>0</v>
      </c>
    </row>
    <row r="1833" spans="3:13" x14ac:dyDescent="0.3">
      <c r="C1833" t="s">
        <v>61</v>
      </c>
      <c r="D1833" t="s">
        <v>67</v>
      </c>
      <c r="E1833" t="s">
        <v>63</v>
      </c>
      <c r="F1833" t="s">
        <v>25</v>
      </c>
      <c r="G1833" s="4">
        <v>1</v>
      </c>
      <c r="H1833" s="4" t="s">
        <v>81</v>
      </c>
      <c r="I1833" s="4" t="s">
        <v>69</v>
      </c>
      <c r="J1833" s="4" t="s">
        <v>66</v>
      </c>
      <c r="K1833" s="4">
        <v>0</v>
      </c>
      <c r="L1833" s="94">
        <v>-156</v>
      </c>
      <c r="M1833" s="94">
        <v>0</v>
      </c>
    </row>
    <row r="1834" spans="3:13" x14ac:dyDescent="0.3">
      <c r="C1834" t="s">
        <v>61</v>
      </c>
      <c r="D1834" t="s">
        <v>67</v>
      </c>
      <c r="E1834" t="s">
        <v>68</v>
      </c>
      <c r="F1834" t="s">
        <v>25</v>
      </c>
      <c r="G1834" s="4">
        <v>-1</v>
      </c>
      <c r="H1834" s="4" t="s">
        <v>79</v>
      </c>
      <c r="I1834" s="4" t="s">
        <v>69</v>
      </c>
      <c r="J1834" s="4" t="s">
        <v>66</v>
      </c>
      <c r="K1834" s="4">
        <v>0</v>
      </c>
      <c r="L1834" s="94">
        <v>1213440</v>
      </c>
      <c r="M1834" s="94">
        <v>0</v>
      </c>
    </row>
    <row r="1835" spans="3:13" x14ac:dyDescent="0.3">
      <c r="C1835" t="s">
        <v>61</v>
      </c>
      <c r="D1835" t="s">
        <v>67</v>
      </c>
      <c r="E1835" t="s">
        <v>63</v>
      </c>
      <c r="F1835" t="s">
        <v>26</v>
      </c>
      <c r="G1835" s="4">
        <v>-1</v>
      </c>
      <c r="H1835" s="4" t="s">
        <v>13</v>
      </c>
      <c r="I1835" s="4" t="s">
        <v>69</v>
      </c>
      <c r="J1835" s="4" t="s">
        <v>66</v>
      </c>
      <c r="K1835" s="4">
        <v>0</v>
      </c>
      <c r="L1835" s="94">
        <v>-153</v>
      </c>
      <c r="M1835" s="94">
        <v>0</v>
      </c>
    </row>
    <row r="1836" spans="3:13" x14ac:dyDescent="0.3">
      <c r="C1836" t="s">
        <v>61</v>
      </c>
      <c r="D1836" t="s">
        <v>67</v>
      </c>
      <c r="E1836" t="s">
        <v>68</v>
      </c>
      <c r="F1836" t="s">
        <v>72</v>
      </c>
      <c r="G1836" s="4">
        <v>6</v>
      </c>
      <c r="H1836" s="4" t="s">
        <v>12</v>
      </c>
      <c r="I1836" s="4" t="s">
        <v>69</v>
      </c>
      <c r="J1836" s="4" t="s">
        <v>66</v>
      </c>
      <c r="K1836" s="4">
        <v>0</v>
      </c>
      <c r="L1836" s="94">
        <v>79625</v>
      </c>
      <c r="M1836" s="94">
        <v>477750</v>
      </c>
    </row>
    <row r="1837" spans="3:13" x14ac:dyDescent="0.3">
      <c r="C1837" t="s">
        <v>71</v>
      </c>
      <c r="D1837" t="s">
        <v>67</v>
      </c>
      <c r="E1837" t="s">
        <v>68</v>
      </c>
      <c r="F1837" t="s">
        <v>26</v>
      </c>
      <c r="G1837" s="4">
        <v>0</v>
      </c>
      <c r="H1837" s="4" t="s">
        <v>76</v>
      </c>
      <c r="I1837" s="4" t="s">
        <v>69</v>
      </c>
      <c r="J1837" s="4" t="s">
        <v>66</v>
      </c>
      <c r="K1837" s="4">
        <v>0</v>
      </c>
      <c r="L1837" s="94">
        <v>312731</v>
      </c>
      <c r="M1837" s="94">
        <v>0</v>
      </c>
    </row>
    <row r="1838" spans="3:13" x14ac:dyDescent="0.3">
      <c r="C1838" t="s">
        <v>70</v>
      </c>
      <c r="D1838" t="s">
        <v>67</v>
      </c>
      <c r="E1838" t="s">
        <v>63</v>
      </c>
      <c r="F1838" t="s">
        <v>72</v>
      </c>
      <c r="G1838" s="4">
        <v>2</v>
      </c>
      <c r="H1838" s="4" t="s">
        <v>14</v>
      </c>
      <c r="I1838" s="4" t="s">
        <v>69</v>
      </c>
      <c r="J1838" s="4" t="s">
        <v>73</v>
      </c>
      <c r="K1838" s="4">
        <v>1</v>
      </c>
      <c r="L1838" s="94">
        <v>-68239</v>
      </c>
      <c r="M1838" s="94">
        <v>0</v>
      </c>
    </row>
    <row r="1839" spans="3:13" x14ac:dyDescent="0.3">
      <c r="C1839" t="s">
        <v>70</v>
      </c>
      <c r="D1839" t="s">
        <v>62</v>
      </c>
      <c r="E1839" t="s">
        <v>68</v>
      </c>
      <c r="F1839" t="s">
        <v>24</v>
      </c>
      <c r="G1839" s="4">
        <v>40</v>
      </c>
      <c r="I1839" s="4" t="s">
        <v>65</v>
      </c>
      <c r="J1839" s="4" t="s">
        <v>66</v>
      </c>
      <c r="K1839" s="4">
        <v>1</v>
      </c>
      <c r="L1839" s="94">
        <v>953897</v>
      </c>
      <c r="M1839" s="94">
        <v>38155880</v>
      </c>
    </row>
    <row r="1840" spans="3:13" x14ac:dyDescent="0.3">
      <c r="C1840" t="s">
        <v>71</v>
      </c>
      <c r="D1840" t="s">
        <v>67</v>
      </c>
      <c r="E1840" t="s">
        <v>68</v>
      </c>
      <c r="F1840" t="s">
        <v>72</v>
      </c>
      <c r="G1840" s="4">
        <v>1</v>
      </c>
      <c r="H1840" s="4" t="s">
        <v>75</v>
      </c>
      <c r="I1840" s="4" t="s">
        <v>69</v>
      </c>
      <c r="J1840" s="4" t="s">
        <v>66</v>
      </c>
      <c r="K1840" s="4">
        <v>0</v>
      </c>
      <c r="L1840" s="94">
        <v>10320</v>
      </c>
      <c r="M1840" s="94">
        <v>10320</v>
      </c>
    </row>
    <row r="1841" spans="3:13" x14ac:dyDescent="0.3">
      <c r="C1841" t="s">
        <v>70</v>
      </c>
      <c r="D1841" t="s">
        <v>62</v>
      </c>
      <c r="E1841" t="s">
        <v>68</v>
      </c>
      <c r="F1841" t="s">
        <v>25</v>
      </c>
      <c r="G1841" s="4">
        <v>26</v>
      </c>
      <c r="I1841" s="4" t="s">
        <v>69</v>
      </c>
      <c r="J1841" s="4" t="s">
        <v>66</v>
      </c>
      <c r="K1841" s="4">
        <v>0</v>
      </c>
      <c r="L1841" s="94">
        <v>426957</v>
      </c>
      <c r="M1841" s="94">
        <v>11100882</v>
      </c>
    </row>
    <row r="1842" spans="3:13" x14ac:dyDescent="0.3">
      <c r="C1842" t="s">
        <v>71</v>
      </c>
      <c r="D1842" t="s">
        <v>67</v>
      </c>
      <c r="E1842" t="s">
        <v>63</v>
      </c>
      <c r="F1842" t="s">
        <v>26</v>
      </c>
      <c r="G1842" s="4">
        <v>-4</v>
      </c>
      <c r="H1842" s="4" t="s">
        <v>14</v>
      </c>
      <c r="I1842" s="4" t="s">
        <v>69</v>
      </c>
      <c r="J1842" s="4" t="s">
        <v>66</v>
      </c>
      <c r="K1842" s="4">
        <v>0</v>
      </c>
      <c r="L1842" s="94">
        <v>-6539288</v>
      </c>
      <c r="M1842" s="94">
        <v>0</v>
      </c>
    </row>
    <row r="1843" spans="3:13" x14ac:dyDescent="0.3">
      <c r="C1843" t="s">
        <v>61</v>
      </c>
      <c r="D1843" t="s">
        <v>67</v>
      </c>
      <c r="E1843" t="s">
        <v>63</v>
      </c>
      <c r="F1843" t="s">
        <v>72</v>
      </c>
      <c r="G1843" s="4">
        <v>1</v>
      </c>
      <c r="H1843" s="4" t="s">
        <v>86</v>
      </c>
      <c r="I1843" s="4" t="s">
        <v>69</v>
      </c>
      <c r="J1843" s="4" t="s">
        <v>66</v>
      </c>
      <c r="K1843" s="4">
        <v>0</v>
      </c>
      <c r="L1843" s="94">
        <v>-19</v>
      </c>
      <c r="M1843" s="94">
        <v>0</v>
      </c>
    </row>
    <row r="1844" spans="3:13" x14ac:dyDescent="0.3">
      <c r="C1844" t="s">
        <v>70</v>
      </c>
      <c r="D1844" t="s">
        <v>62</v>
      </c>
      <c r="E1844" t="s">
        <v>68</v>
      </c>
      <c r="F1844" t="s">
        <v>24</v>
      </c>
      <c r="G1844" s="4">
        <v>19</v>
      </c>
      <c r="I1844" s="4" t="s">
        <v>69</v>
      </c>
      <c r="J1844" s="4" t="s">
        <v>66</v>
      </c>
      <c r="K1844" s="4">
        <v>1</v>
      </c>
      <c r="L1844" s="94">
        <v>215340</v>
      </c>
      <c r="M1844" s="94">
        <v>4091460</v>
      </c>
    </row>
    <row r="1845" spans="3:13" x14ac:dyDescent="0.3">
      <c r="C1845" t="s">
        <v>61</v>
      </c>
      <c r="D1845" t="s">
        <v>67</v>
      </c>
      <c r="E1845" t="s">
        <v>68</v>
      </c>
      <c r="F1845" t="s">
        <v>25</v>
      </c>
      <c r="G1845" s="4">
        <v>19</v>
      </c>
      <c r="H1845" s="4" t="s">
        <v>76</v>
      </c>
      <c r="I1845" s="4" t="s">
        <v>69</v>
      </c>
      <c r="J1845" s="4" t="s">
        <v>66</v>
      </c>
      <c r="K1845" s="4">
        <v>0</v>
      </c>
      <c r="L1845" s="94">
        <v>649886</v>
      </c>
      <c r="M1845" s="94">
        <v>12347834</v>
      </c>
    </row>
    <row r="1846" spans="3:13" x14ac:dyDescent="0.3">
      <c r="C1846" t="s">
        <v>70</v>
      </c>
      <c r="D1846" t="s">
        <v>67</v>
      </c>
      <c r="E1846" t="s">
        <v>68</v>
      </c>
      <c r="F1846" t="s">
        <v>26</v>
      </c>
      <c r="G1846" s="4">
        <v>-1</v>
      </c>
      <c r="H1846" s="4" t="s">
        <v>18</v>
      </c>
      <c r="I1846" s="4" t="s">
        <v>69</v>
      </c>
      <c r="J1846" s="4" t="s">
        <v>73</v>
      </c>
      <c r="K1846" s="4">
        <v>1</v>
      </c>
      <c r="L1846" s="94">
        <v>5784141</v>
      </c>
      <c r="M1846" s="94">
        <v>0</v>
      </c>
    </row>
    <row r="1847" spans="3:13" x14ac:dyDescent="0.3">
      <c r="C1847" t="s">
        <v>70</v>
      </c>
      <c r="D1847" t="s">
        <v>67</v>
      </c>
      <c r="E1847" t="s">
        <v>68</v>
      </c>
      <c r="F1847" t="s">
        <v>25</v>
      </c>
      <c r="G1847" s="4">
        <v>11</v>
      </c>
      <c r="H1847" s="4" t="s">
        <v>18</v>
      </c>
      <c r="I1847" s="4" t="s">
        <v>69</v>
      </c>
      <c r="J1847" s="4" t="s">
        <v>66</v>
      </c>
      <c r="K1847" s="4">
        <v>0</v>
      </c>
      <c r="L1847" s="94">
        <v>1222160</v>
      </c>
      <c r="M1847" s="94">
        <v>13443760</v>
      </c>
    </row>
    <row r="1848" spans="3:13" x14ac:dyDescent="0.3">
      <c r="C1848" t="s">
        <v>61</v>
      </c>
      <c r="D1848" t="s">
        <v>67</v>
      </c>
      <c r="E1848" t="s">
        <v>68</v>
      </c>
      <c r="F1848" t="s">
        <v>26</v>
      </c>
      <c r="G1848" s="4">
        <v>0</v>
      </c>
      <c r="H1848" s="4" t="s">
        <v>14</v>
      </c>
      <c r="I1848" s="4" t="s">
        <v>69</v>
      </c>
      <c r="J1848" s="4" t="s">
        <v>66</v>
      </c>
      <c r="K1848" s="4">
        <v>0</v>
      </c>
      <c r="L1848" s="94">
        <v>466805223</v>
      </c>
      <c r="M1848" s="94">
        <v>0</v>
      </c>
    </row>
    <row r="1849" spans="3:13" x14ac:dyDescent="0.3">
      <c r="C1849" t="s">
        <v>71</v>
      </c>
      <c r="D1849" t="s">
        <v>67</v>
      </c>
      <c r="E1849" t="s">
        <v>68</v>
      </c>
      <c r="F1849" t="s">
        <v>25</v>
      </c>
      <c r="G1849" s="4">
        <v>8</v>
      </c>
      <c r="H1849" s="4" t="s">
        <v>75</v>
      </c>
      <c r="I1849" s="4" t="s">
        <v>69</v>
      </c>
      <c r="J1849" s="4" t="s">
        <v>66</v>
      </c>
      <c r="K1849" s="4">
        <v>0</v>
      </c>
      <c r="L1849" s="94">
        <v>381041</v>
      </c>
      <c r="M1849" s="94">
        <v>3048328</v>
      </c>
    </row>
    <row r="1850" spans="3:13" x14ac:dyDescent="0.3">
      <c r="C1850" t="s">
        <v>61</v>
      </c>
      <c r="D1850" t="s">
        <v>67</v>
      </c>
      <c r="E1850" t="s">
        <v>63</v>
      </c>
      <c r="F1850" t="s">
        <v>26</v>
      </c>
      <c r="G1850" s="4">
        <v>1</v>
      </c>
      <c r="H1850" s="4" t="s">
        <v>82</v>
      </c>
      <c r="I1850" s="4" t="s">
        <v>69</v>
      </c>
      <c r="J1850" s="4" t="s">
        <v>66</v>
      </c>
      <c r="K1850" s="4">
        <v>0</v>
      </c>
      <c r="L1850" s="94">
        <v>-56224</v>
      </c>
      <c r="M1850" s="94">
        <v>0</v>
      </c>
    </row>
    <row r="1851" spans="3:13" x14ac:dyDescent="0.3">
      <c r="C1851" t="s">
        <v>70</v>
      </c>
      <c r="D1851" t="s">
        <v>67</v>
      </c>
      <c r="E1851" t="s">
        <v>63</v>
      </c>
      <c r="F1851" t="s">
        <v>25</v>
      </c>
      <c r="G1851" s="4">
        <v>-4</v>
      </c>
      <c r="H1851" s="4" t="s">
        <v>79</v>
      </c>
      <c r="I1851" s="4" t="s">
        <v>65</v>
      </c>
      <c r="J1851" s="4" t="s">
        <v>66</v>
      </c>
      <c r="K1851" s="4">
        <v>1</v>
      </c>
      <c r="L1851" s="94">
        <v>-44</v>
      </c>
      <c r="M1851" s="94">
        <v>0</v>
      </c>
    </row>
    <row r="1852" spans="3:13" x14ac:dyDescent="0.3">
      <c r="C1852" t="s">
        <v>61</v>
      </c>
      <c r="D1852" t="s">
        <v>62</v>
      </c>
      <c r="E1852" t="s">
        <v>68</v>
      </c>
      <c r="F1852" t="s">
        <v>24</v>
      </c>
      <c r="G1852" s="4">
        <v>40</v>
      </c>
      <c r="I1852" s="4" t="s">
        <v>69</v>
      </c>
      <c r="J1852" s="4" t="s">
        <v>66</v>
      </c>
      <c r="K1852" s="4">
        <v>0</v>
      </c>
      <c r="L1852" s="94">
        <v>379724208</v>
      </c>
      <c r="M1852" s="94">
        <v>15188968320</v>
      </c>
    </row>
    <row r="1853" spans="3:13" x14ac:dyDescent="0.3">
      <c r="C1853" t="s">
        <v>71</v>
      </c>
      <c r="D1853" t="s">
        <v>67</v>
      </c>
      <c r="E1853" t="s">
        <v>68</v>
      </c>
      <c r="F1853" t="s">
        <v>25</v>
      </c>
      <c r="G1853" s="4">
        <v>10</v>
      </c>
      <c r="H1853" s="4" t="s">
        <v>75</v>
      </c>
      <c r="I1853" s="4" t="s">
        <v>69</v>
      </c>
      <c r="J1853" s="4" t="s">
        <v>66</v>
      </c>
      <c r="K1853" s="4">
        <v>0</v>
      </c>
      <c r="L1853" s="94">
        <v>492084</v>
      </c>
      <c r="M1853" s="94">
        <v>4920840</v>
      </c>
    </row>
    <row r="1854" spans="3:13" x14ac:dyDescent="0.3">
      <c r="C1854" t="s">
        <v>61</v>
      </c>
      <c r="D1854" t="s">
        <v>67</v>
      </c>
      <c r="E1854" t="s">
        <v>68</v>
      </c>
      <c r="F1854" t="s">
        <v>25</v>
      </c>
      <c r="G1854" s="4">
        <v>1</v>
      </c>
      <c r="H1854" s="4" t="s">
        <v>64</v>
      </c>
      <c r="I1854" s="4" t="s">
        <v>69</v>
      </c>
      <c r="J1854" s="4" t="s">
        <v>66</v>
      </c>
      <c r="K1854" s="4">
        <v>0</v>
      </c>
      <c r="L1854" s="94">
        <v>73550</v>
      </c>
      <c r="M1854" s="94">
        <v>73550</v>
      </c>
    </row>
    <row r="1855" spans="3:13" x14ac:dyDescent="0.3">
      <c r="C1855" t="s">
        <v>70</v>
      </c>
      <c r="D1855" t="s">
        <v>62</v>
      </c>
      <c r="E1855" t="s">
        <v>63</v>
      </c>
      <c r="F1855" t="s">
        <v>24</v>
      </c>
      <c r="G1855" s="4">
        <v>30</v>
      </c>
      <c r="I1855" s="4" t="s">
        <v>69</v>
      </c>
      <c r="J1855" s="4" t="s">
        <v>66</v>
      </c>
      <c r="K1855" s="4">
        <v>1</v>
      </c>
      <c r="L1855" s="94">
        <v>-7856</v>
      </c>
      <c r="M1855" s="94">
        <v>0</v>
      </c>
    </row>
    <row r="1856" spans="3:13" x14ac:dyDescent="0.3">
      <c r="C1856" t="s">
        <v>70</v>
      </c>
      <c r="D1856" t="s">
        <v>67</v>
      </c>
      <c r="E1856" t="s">
        <v>63</v>
      </c>
      <c r="F1856" t="s">
        <v>26</v>
      </c>
      <c r="G1856" s="4">
        <v>7</v>
      </c>
      <c r="H1856" s="4" t="s">
        <v>18</v>
      </c>
      <c r="I1856" s="4" t="s">
        <v>69</v>
      </c>
      <c r="J1856" s="4" t="s">
        <v>73</v>
      </c>
      <c r="K1856" s="4">
        <v>1</v>
      </c>
      <c r="L1856" s="94">
        <v>-3911</v>
      </c>
      <c r="M1856" s="94">
        <v>0</v>
      </c>
    </row>
    <row r="1857" spans="3:13" x14ac:dyDescent="0.3">
      <c r="C1857" t="s">
        <v>61</v>
      </c>
      <c r="D1857" t="s">
        <v>62</v>
      </c>
      <c r="E1857" t="s">
        <v>68</v>
      </c>
      <c r="F1857" t="s">
        <v>24</v>
      </c>
      <c r="G1857" s="4">
        <v>18</v>
      </c>
      <c r="I1857" s="4" t="s">
        <v>69</v>
      </c>
      <c r="J1857" s="4" t="s">
        <v>66</v>
      </c>
      <c r="K1857" s="4">
        <v>1</v>
      </c>
      <c r="L1857" s="94">
        <v>1780839</v>
      </c>
      <c r="M1857" s="94">
        <v>32055102</v>
      </c>
    </row>
    <row r="1858" spans="3:13" x14ac:dyDescent="0.3">
      <c r="C1858" t="s">
        <v>71</v>
      </c>
      <c r="D1858" t="s">
        <v>62</v>
      </c>
      <c r="E1858" t="s">
        <v>63</v>
      </c>
      <c r="F1858" t="s">
        <v>25</v>
      </c>
      <c r="G1858" s="4">
        <v>-4</v>
      </c>
      <c r="I1858" s="4" t="s">
        <v>69</v>
      </c>
      <c r="J1858" s="4" t="s">
        <v>66</v>
      </c>
      <c r="K1858" s="4">
        <v>1</v>
      </c>
      <c r="L1858" s="94">
        <v>-5981</v>
      </c>
      <c r="M1858" s="94">
        <v>0</v>
      </c>
    </row>
    <row r="1859" spans="3:13" x14ac:dyDescent="0.3">
      <c r="C1859" t="s">
        <v>61</v>
      </c>
      <c r="D1859" t="s">
        <v>67</v>
      </c>
      <c r="E1859" t="s">
        <v>63</v>
      </c>
      <c r="F1859" t="s">
        <v>25</v>
      </c>
      <c r="G1859" s="4">
        <v>8</v>
      </c>
      <c r="H1859" s="4" t="s">
        <v>83</v>
      </c>
      <c r="I1859" s="4" t="s">
        <v>69</v>
      </c>
      <c r="J1859" s="4" t="s">
        <v>66</v>
      </c>
      <c r="K1859" s="4">
        <v>0</v>
      </c>
      <c r="L1859" s="94">
        <v>-6072</v>
      </c>
      <c r="M1859" s="94">
        <v>0</v>
      </c>
    </row>
    <row r="1860" spans="3:13" x14ac:dyDescent="0.3">
      <c r="C1860" t="s">
        <v>61</v>
      </c>
      <c r="D1860" t="s">
        <v>62</v>
      </c>
      <c r="E1860" t="s">
        <v>63</v>
      </c>
      <c r="F1860" t="s">
        <v>24</v>
      </c>
      <c r="G1860" s="4">
        <v>22</v>
      </c>
      <c r="I1860" s="4" t="s">
        <v>69</v>
      </c>
      <c r="J1860" s="4" t="s">
        <v>66</v>
      </c>
      <c r="K1860" s="4">
        <v>1</v>
      </c>
      <c r="L1860" s="94">
        <v>-3909</v>
      </c>
      <c r="M1860" s="94">
        <v>0</v>
      </c>
    </row>
    <row r="1861" spans="3:13" x14ac:dyDescent="0.3">
      <c r="C1861" t="s">
        <v>70</v>
      </c>
      <c r="D1861" t="s">
        <v>67</v>
      </c>
      <c r="E1861" t="s">
        <v>63</v>
      </c>
      <c r="F1861" t="s">
        <v>25</v>
      </c>
      <c r="G1861" s="4">
        <v>-1</v>
      </c>
      <c r="H1861" s="4" t="s">
        <v>17</v>
      </c>
      <c r="I1861" s="4" t="s">
        <v>69</v>
      </c>
      <c r="J1861" s="4" t="s">
        <v>66</v>
      </c>
      <c r="K1861" s="4">
        <v>0</v>
      </c>
      <c r="L1861" s="94">
        <v>-17639</v>
      </c>
      <c r="M1861" s="94">
        <v>0</v>
      </c>
    </row>
    <row r="1862" spans="3:13" x14ac:dyDescent="0.3">
      <c r="C1862" t="s">
        <v>61</v>
      </c>
      <c r="D1862" t="s">
        <v>67</v>
      </c>
      <c r="E1862" t="s">
        <v>68</v>
      </c>
      <c r="F1862" t="s">
        <v>25</v>
      </c>
      <c r="G1862" s="4">
        <v>8</v>
      </c>
      <c r="H1862" s="4" t="s">
        <v>77</v>
      </c>
      <c r="I1862" s="4" t="s">
        <v>69</v>
      </c>
      <c r="J1862" s="4" t="s">
        <v>66</v>
      </c>
      <c r="K1862" s="4">
        <v>0</v>
      </c>
      <c r="L1862" s="94">
        <v>2119786</v>
      </c>
      <c r="M1862" s="94">
        <v>16958288</v>
      </c>
    </row>
    <row r="1863" spans="3:13" x14ac:dyDescent="0.3">
      <c r="C1863" t="s">
        <v>70</v>
      </c>
      <c r="D1863" t="s">
        <v>67</v>
      </c>
      <c r="E1863" t="s">
        <v>63</v>
      </c>
      <c r="F1863" t="s">
        <v>26</v>
      </c>
      <c r="G1863" s="4">
        <v>-1</v>
      </c>
      <c r="H1863" s="4" t="s">
        <v>82</v>
      </c>
      <c r="I1863" s="4" t="s">
        <v>69</v>
      </c>
      <c r="J1863" s="4" t="s">
        <v>73</v>
      </c>
      <c r="K1863" s="4">
        <v>1</v>
      </c>
      <c r="L1863" s="94">
        <v>-1879</v>
      </c>
      <c r="M1863" s="94">
        <v>0</v>
      </c>
    </row>
    <row r="1864" spans="3:13" x14ac:dyDescent="0.3">
      <c r="C1864" t="s">
        <v>70</v>
      </c>
      <c r="D1864" t="s">
        <v>67</v>
      </c>
      <c r="E1864" t="s">
        <v>63</v>
      </c>
      <c r="F1864" t="s">
        <v>25</v>
      </c>
      <c r="G1864" s="4">
        <v>15</v>
      </c>
      <c r="H1864" s="4" t="s">
        <v>75</v>
      </c>
      <c r="I1864" s="4" t="s">
        <v>69</v>
      </c>
      <c r="J1864" s="4" t="s">
        <v>66</v>
      </c>
      <c r="K1864" s="4">
        <v>0</v>
      </c>
      <c r="L1864" s="94">
        <v>-290496</v>
      </c>
      <c r="M1864" s="94">
        <v>0</v>
      </c>
    </row>
    <row r="1865" spans="3:13" x14ac:dyDescent="0.3">
      <c r="C1865" t="s">
        <v>70</v>
      </c>
      <c r="D1865" t="s">
        <v>62</v>
      </c>
      <c r="E1865" t="s">
        <v>63</v>
      </c>
      <c r="F1865" t="s">
        <v>25</v>
      </c>
      <c r="G1865" s="4">
        <v>3</v>
      </c>
      <c r="I1865" s="4" t="s">
        <v>69</v>
      </c>
      <c r="J1865" s="4" t="s">
        <v>66</v>
      </c>
      <c r="K1865" s="4">
        <v>0</v>
      </c>
      <c r="L1865" s="94">
        <v>-14884</v>
      </c>
      <c r="M1865" s="94">
        <v>0</v>
      </c>
    </row>
    <row r="1866" spans="3:13" x14ac:dyDescent="0.3">
      <c r="C1866" t="s">
        <v>61</v>
      </c>
      <c r="D1866" t="s">
        <v>62</v>
      </c>
      <c r="E1866" t="s">
        <v>68</v>
      </c>
      <c r="F1866" t="s">
        <v>24</v>
      </c>
      <c r="G1866" s="4">
        <v>42</v>
      </c>
      <c r="I1866" s="4" t="s">
        <v>65</v>
      </c>
      <c r="J1866" s="4" t="s">
        <v>66</v>
      </c>
      <c r="K1866" s="4">
        <v>1</v>
      </c>
      <c r="L1866" s="94">
        <v>393853</v>
      </c>
      <c r="M1866" s="94">
        <v>16541826</v>
      </c>
    </row>
    <row r="1867" spans="3:13" x14ac:dyDescent="0.3">
      <c r="C1867" t="s">
        <v>70</v>
      </c>
      <c r="D1867" t="s">
        <v>67</v>
      </c>
      <c r="E1867" t="s">
        <v>68</v>
      </c>
      <c r="F1867" t="s">
        <v>25</v>
      </c>
      <c r="G1867" s="4">
        <v>9</v>
      </c>
      <c r="H1867" s="4" t="s">
        <v>18</v>
      </c>
      <c r="I1867" s="4" t="s">
        <v>69</v>
      </c>
      <c r="J1867" s="4" t="s">
        <v>66</v>
      </c>
      <c r="K1867" s="4">
        <v>0</v>
      </c>
      <c r="L1867" s="94">
        <v>2695005</v>
      </c>
      <c r="M1867" s="94">
        <v>24255045</v>
      </c>
    </row>
    <row r="1868" spans="3:13" x14ac:dyDescent="0.3">
      <c r="C1868" t="s">
        <v>61</v>
      </c>
      <c r="D1868" t="s">
        <v>67</v>
      </c>
      <c r="E1868" t="s">
        <v>63</v>
      </c>
      <c r="F1868" t="s">
        <v>25</v>
      </c>
      <c r="G1868" s="4">
        <v>15</v>
      </c>
      <c r="H1868" s="4" t="s">
        <v>74</v>
      </c>
      <c r="I1868" s="4" t="s">
        <v>69</v>
      </c>
      <c r="J1868" s="4" t="s">
        <v>66</v>
      </c>
      <c r="K1868" s="4">
        <v>0</v>
      </c>
      <c r="L1868" s="94">
        <v>-11121</v>
      </c>
      <c r="M1868" s="94">
        <v>0</v>
      </c>
    </row>
    <row r="1869" spans="3:13" x14ac:dyDescent="0.3">
      <c r="C1869" t="s">
        <v>70</v>
      </c>
      <c r="D1869" t="s">
        <v>67</v>
      </c>
      <c r="E1869" t="s">
        <v>63</v>
      </c>
      <c r="F1869" t="s">
        <v>26</v>
      </c>
      <c r="G1869" s="4">
        <v>6</v>
      </c>
      <c r="H1869" s="4" t="s">
        <v>64</v>
      </c>
      <c r="I1869" s="4" t="s">
        <v>69</v>
      </c>
      <c r="J1869" s="4" t="s">
        <v>66</v>
      </c>
      <c r="K1869" s="4">
        <v>0</v>
      </c>
      <c r="L1869" s="94">
        <v>-23990</v>
      </c>
      <c r="M1869" s="94">
        <v>0</v>
      </c>
    </row>
    <row r="1870" spans="3:13" x14ac:dyDescent="0.3">
      <c r="C1870" t="s">
        <v>71</v>
      </c>
      <c r="D1870" t="s">
        <v>67</v>
      </c>
      <c r="E1870" t="s">
        <v>68</v>
      </c>
      <c r="F1870" t="s">
        <v>25</v>
      </c>
      <c r="G1870" s="4">
        <v>6</v>
      </c>
      <c r="H1870" s="4" t="s">
        <v>79</v>
      </c>
      <c r="I1870" s="4" t="s">
        <v>69</v>
      </c>
      <c r="J1870" s="4" t="s">
        <v>66</v>
      </c>
      <c r="K1870" s="4">
        <v>0</v>
      </c>
      <c r="L1870" s="94">
        <v>102226</v>
      </c>
      <c r="M1870" s="94">
        <v>613356</v>
      </c>
    </row>
    <row r="1871" spans="3:13" x14ac:dyDescent="0.3">
      <c r="C1871" t="s">
        <v>71</v>
      </c>
      <c r="D1871" t="s">
        <v>62</v>
      </c>
      <c r="E1871" t="s">
        <v>68</v>
      </c>
      <c r="F1871" t="s">
        <v>24</v>
      </c>
      <c r="G1871" s="4">
        <v>12</v>
      </c>
      <c r="I1871" s="4" t="s">
        <v>69</v>
      </c>
      <c r="J1871" s="4" t="s">
        <v>66</v>
      </c>
      <c r="K1871" s="4">
        <v>1</v>
      </c>
      <c r="L1871" s="94">
        <v>20315</v>
      </c>
      <c r="M1871" s="94">
        <v>243780</v>
      </c>
    </row>
    <row r="1872" spans="3:13" x14ac:dyDescent="0.3">
      <c r="C1872" t="s">
        <v>70</v>
      </c>
      <c r="D1872" t="s">
        <v>62</v>
      </c>
      <c r="E1872" t="s">
        <v>68</v>
      </c>
      <c r="F1872" t="s">
        <v>25</v>
      </c>
      <c r="G1872" s="4">
        <v>-4</v>
      </c>
      <c r="I1872" s="4" t="s">
        <v>69</v>
      </c>
      <c r="J1872" s="4" t="s">
        <v>66</v>
      </c>
      <c r="K1872" s="4">
        <v>1</v>
      </c>
      <c r="L1872" s="94">
        <v>839</v>
      </c>
      <c r="M1872" s="94">
        <v>0</v>
      </c>
    </row>
    <row r="1873" spans="3:13" x14ac:dyDescent="0.3">
      <c r="C1873" t="s">
        <v>70</v>
      </c>
      <c r="D1873" t="s">
        <v>67</v>
      </c>
      <c r="E1873" t="s">
        <v>63</v>
      </c>
      <c r="F1873" t="s">
        <v>25</v>
      </c>
      <c r="G1873" s="4">
        <v>7</v>
      </c>
      <c r="H1873" s="4" t="s">
        <v>14</v>
      </c>
      <c r="I1873" s="4" t="s">
        <v>69</v>
      </c>
      <c r="J1873" s="4" t="s">
        <v>66</v>
      </c>
      <c r="K1873" s="4">
        <v>1</v>
      </c>
      <c r="L1873" s="94">
        <v>-45186</v>
      </c>
      <c r="M1873" s="94">
        <v>0</v>
      </c>
    </row>
    <row r="1874" spans="3:13" x14ac:dyDescent="0.3">
      <c r="C1874" t="s">
        <v>70</v>
      </c>
      <c r="D1874" t="s">
        <v>67</v>
      </c>
      <c r="E1874" t="s">
        <v>63</v>
      </c>
      <c r="F1874" t="s">
        <v>72</v>
      </c>
      <c r="G1874" s="4">
        <v>1</v>
      </c>
      <c r="H1874" s="4" t="s">
        <v>79</v>
      </c>
      <c r="I1874" s="4" t="s">
        <v>69</v>
      </c>
      <c r="J1874" s="4" t="s">
        <v>66</v>
      </c>
      <c r="K1874" s="4">
        <v>0</v>
      </c>
      <c r="L1874" s="94">
        <v>-10755</v>
      </c>
      <c r="M1874" s="94">
        <v>0</v>
      </c>
    </row>
    <row r="1875" spans="3:13" x14ac:dyDescent="0.3">
      <c r="C1875" t="s">
        <v>61</v>
      </c>
      <c r="D1875" t="s">
        <v>67</v>
      </c>
      <c r="E1875" t="s">
        <v>63</v>
      </c>
      <c r="F1875" t="s">
        <v>25</v>
      </c>
      <c r="G1875" s="4">
        <v>7</v>
      </c>
      <c r="H1875" s="4" t="s">
        <v>13</v>
      </c>
      <c r="I1875" s="4" t="s">
        <v>69</v>
      </c>
      <c r="J1875" s="4" t="s">
        <v>66</v>
      </c>
      <c r="K1875" s="4">
        <v>1</v>
      </c>
      <c r="L1875" s="94">
        <v>-1453</v>
      </c>
      <c r="M1875" s="94">
        <v>0</v>
      </c>
    </row>
    <row r="1876" spans="3:13" x14ac:dyDescent="0.3">
      <c r="C1876" t="s">
        <v>70</v>
      </c>
      <c r="D1876" t="s">
        <v>67</v>
      </c>
      <c r="E1876" t="s">
        <v>68</v>
      </c>
      <c r="F1876" t="s">
        <v>26</v>
      </c>
      <c r="G1876" s="4">
        <v>-4</v>
      </c>
      <c r="H1876" s="4" t="s">
        <v>76</v>
      </c>
      <c r="I1876" s="4" t="s">
        <v>69</v>
      </c>
      <c r="J1876" s="4" t="s">
        <v>66</v>
      </c>
      <c r="K1876" s="4">
        <v>0</v>
      </c>
      <c r="L1876" s="94">
        <v>21</v>
      </c>
      <c r="M1876" s="94">
        <v>0</v>
      </c>
    </row>
    <row r="1877" spans="3:13" x14ac:dyDescent="0.3">
      <c r="C1877" t="s">
        <v>61</v>
      </c>
      <c r="D1877" t="s">
        <v>67</v>
      </c>
      <c r="E1877" t="s">
        <v>68</v>
      </c>
      <c r="F1877" t="s">
        <v>26</v>
      </c>
      <c r="G1877" s="4">
        <v>7</v>
      </c>
      <c r="H1877" s="4" t="s">
        <v>64</v>
      </c>
      <c r="I1877" s="4" t="s">
        <v>69</v>
      </c>
      <c r="J1877" s="4" t="s">
        <v>66</v>
      </c>
      <c r="K1877" s="4">
        <v>0</v>
      </c>
      <c r="L1877" s="94">
        <v>1565919</v>
      </c>
      <c r="M1877" s="94">
        <v>10961433</v>
      </c>
    </row>
    <row r="1878" spans="3:13" x14ac:dyDescent="0.3">
      <c r="C1878" t="s">
        <v>61</v>
      </c>
      <c r="D1878" t="s">
        <v>67</v>
      </c>
      <c r="E1878" t="s">
        <v>68</v>
      </c>
      <c r="F1878" t="s">
        <v>72</v>
      </c>
      <c r="G1878" s="4">
        <v>0</v>
      </c>
      <c r="H1878" s="4" t="s">
        <v>74</v>
      </c>
      <c r="I1878" s="4" t="s">
        <v>69</v>
      </c>
      <c r="J1878" s="4" t="s">
        <v>66</v>
      </c>
      <c r="K1878" s="4">
        <v>0</v>
      </c>
      <c r="L1878" s="94">
        <v>175251</v>
      </c>
      <c r="M1878" s="94">
        <v>0</v>
      </c>
    </row>
    <row r="1879" spans="3:13" x14ac:dyDescent="0.3">
      <c r="C1879" t="s">
        <v>61</v>
      </c>
      <c r="D1879" t="s">
        <v>67</v>
      </c>
      <c r="E1879" t="s">
        <v>68</v>
      </c>
      <c r="F1879" t="s">
        <v>26</v>
      </c>
      <c r="G1879" s="4">
        <v>-1</v>
      </c>
      <c r="H1879" s="4" t="s">
        <v>89</v>
      </c>
      <c r="I1879" s="4" t="s">
        <v>69</v>
      </c>
      <c r="J1879" s="4" t="s">
        <v>66</v>
      </c>
      <c r="K1879" s="4">
        <v>0</v>
      </c>
      <c r="L1879" s="94">
        <v>13560</v>
      </c>
      <c r="M1879" s="94">
        <v>0</v>
      </c>
    </row>
    <row r="1880" spans="3:13" x14ac:dyDescent="0.3">
      <c r="C1880" t="s">
        <v>61</v>
      </c>
      <c r="D1880" t="s">
        <v>67</v>
      </c>
      <c r="E1880" t="s">
        <v>68</v>
      </c>
      <c r="F1880" t="s">
        <v>26</v>
      </c>
      <c r="G1880" s="4">
        <v>3</v>
      </c>
      <c r="H1880" s="4" t="s">
        <v>12</v>
      </c>
      <c r="I1880" s="4" t="s">
        <v>65</v>
      </c>
      <c r="J1880" s="4" t="s">
        <v>73</v>
      </c>
      <c r="K1880" s="4">
        <v>1</v>
      </c>
      <c r="L1880" s="94">
        <v>573414</v>
      </c>
      <c r="M1880" s="94">
        <v>1720242</v>
      </c>
    </row>
    <row r="1881" spans="3:13" x14ac:dyDescent="0.3">
      <c r="C1881" t="s">
        <v>70</v>
      </c>
      <c r="D1881" t="s">
        <v>67</v>
      </c>
      <c r="E1881" t="s">
        <v>68</v>
      </c>
      <c r="F1881" t="s">
        <v>26</v>
      </c>
      <c r="G1881" s="4">
        <v>7</v>
      </c>
      <c r="H1881" s="4" t="s">
        <v>14</v>
      </c>
      <c r="I1881" s="4" t="s">
        <v>69</v>
      </c>
      <c r="J1881" s="4" t="s">
        <v>73</v>
      </c>
      <c r="K1881" s="4">
        <v>1</v>
      </c>
      <c r="L1881" s="94">
        <v>1679236</v>
      </c>
      <c r="M1881" s="94">
        <v>11754652</v>
      </c>
    </row>
    <row r="1882" spans="3:13" x14ac:dyDescent="0.3">
      <c r="C1882" t="s">
        <v>70</v>
      </c>
      <c r="D1882" t="s">
        <v>67</v>
      </c>
      <c r="E1882" t="s">
        <v>68</v>
      </c>
      <c r="F1882" t="s">
        <v>72</v>
      </c>
      <c r="G1882" s="4">
        <v>7</v>
      </c>
      <c r="H1882" s="4" t="s">
        <v>12</v>
      </c>
      <c r="I1882" s="4" t="s">
        <v>69</v>
      </c>
      <c r="J1882" s="4" t="s">
        <v>66</v>
      </c>
      <c r="K1882" s="4">
        <v>0</v>
      </c>
      <c r="L1882" s="94">
        <v>34059</v>
      </c>
      <c r="M1882" s="94">
        <v>238413</v>
      </c>
    </row>
    <row r="1883" spans="3:13" x14ac:dyDescent="0.3">
      <c r="C1883" t="s">
        <v>61</v>
      </c>
      <c r="D1883" t="s">
        <v>62</v>
      </c>
      <c r="E1883" t="s">
        <v>63</v>
      </c>
      <c r="F1883" t="s">
        <v>25</v>
      </c>
      <c r="G1883" s="4">
        <v>31</v>
      </c>
      <c r="I1883" s="4" t="s">
        <v>69</v>
      </c>
      <c r="J1883" s="4" t="s">
        <v>66</v>
      </c>
      <c r="K1883" s="4">
        <v>0</v>
      </c>
      <c r="L1883" s="94">
        <v>-2827</v>
      </c>
      <c r="M1883" s="94">
        <v>0</v>
      </c>
    </row>
    <row r="1884" spans="3:13" x14ac:dyDescent="0.3">
      <c r="C1884" t="s">
        <v>61</v>
      </c>
      <c r="D1884" t="s">
        <v>62</v>
      </c>
      <c r="E1884" t="s">
        <v>63</v>
      </c>
      <c r="F1884" t="s">
        <v>25</v>
      </c>
      <c r="G1884" s="4">
        <v>13</v>
      </c>
      <c r="I1884" s="4" t="s">
        <v>69</v>
      </c>
      <c r="J1884" s="4" t="s">
        <v>66</v>
      </c>
      <c r="K1884" s="4">
        <v>1</v>
      </c>
      <c r="L1884" s="94">
        <v>-1</v>
      </c>
      <c r="M1884" s="94">
        <v>0</v>
      </c>
    </row>
    <row r="1885" spans="3:13" x14ac:dyDescent="0.3">
      <c r="C1885" t="s">
        <v>61</v>
      </c>
      <c r="D1885" t="s">
        <v>67</v>
      </c>
      <c r="E1885" t="s">
        <v>63</v>
      </c>
      <c r="F1885" t="s">
        <v>25</v>
      </c>
      <c r="G1885" s="4">
        <v>9</v>
      </c>
      <c r="H1885" s="4" t="s">
        <v>18</v>
      </c>
      <c r="I1885" s="4" t="s">
        <v>69</v>
      </c>
      <c r="J1885" s="4" t="s">
        <v>66</v>
      </c>
      <c r="K1885" s="4">
        <v>1</v>
      </c>
      <c r="L1885" s="94">
        <v>-7044</v>
      </c>
      <c r="M1885" s="94">
        <v>0</v>
      </c>
    </row>
    <row r="1886" spans="3:13" x14ac:dyDescent="0.3">
      <c r="C1886" t="s">
        <v>70</v>
      </c>
      <c r="D1886" t="s">
        <v>67</v>
      </c>
      <c r="E1886" t="s">
        <v>63</v>
      </c>
      <c r="F1886" t="s">
        <v>26</v>
      </c>
      <c r="G1886" s="4">
        <v>1</v>
      </c>
      <c r="H1886" s="4" t="s">
        <v>13</v>
      </c>
      <c r="I1886" s="4" t="s">
        <v>69</v>
      </c>
      <c r="J1886" s="4" t="s">
        <v>73</v>
      </c>
      <c r="K1886" s="4">
        <v>1</v>
      </c>
      <c r="L1886" s="94">
        <v>-1128</v>
      </c>
      <c r="M1886" s="94">
        <v>0</v>
      </c>
    </row>
    <row r="1887" spans="3:13" x14ac:dyDescent="0.3">
      <c r="C1887" t="s">
        <v>71</v>
      </c>
      <c r="D1887" t="s">
        <v>67</v>
      </c>
      <c r="E1887" t="s">
        <v>68</v>
      </c>
      <c r="F1887" t="s">
        <v>25</v>
      </c>
      <c r="G1887" s="4">
        <v>8</v>
      </c>
      <c r="H1887" s="4" t="s">
        <v>83</v>
      </c>
      <c r="I1887" s="4" t="s">
        <v>69</v>
      </c>
      <c r="J1887" s="4" t="s">
        <v>66</v>
      </c>
      <c r="K1887" s="4">
        <v>0</v>
      </c>
      <c r="L1887" s="94">
        <v>1834800</v>
      </c>
      <c r="M1887" s="94">
        <v>14678400</v>
      </c>
    </row>
    <row r="1888" spans="3:13" x14ac:dyDescent="0.3">
      <c r="C1888" t="s">
        <v>61</v>
      </c>
      <c r="D1888" t="s">
        <v>84</v>
      </c>
      <c r="E1888" t="s">
        <v>63</v>
      </c>
      <c r="F1888" t="s">
        <v>25</v>
      </c>
      <c r="G1888" s="4">
        <v>3</v>
      </c>
      <c r="H1888" s="4" t="s">
        <v>81</v>
      </c>
      <c r="I1888" s="4" t="s">
        <v>69</v>
      </c>
      <c r="J1888" s="4" t="s">
        <v>66</v>
      </c>
      <c r="K1888" s="4">
        <v>0</v>
      </c>
      <c r="L1888" s="94">
        <v>-6123</v>
      </c>
      <c r="M1888" s="94">
        <v>0</v>
      </c>
    </row>
    <row r="1889" spans="3:13" x14ac:dyDescent="0.3">
      <c r="C1889" t="s">
        <v>71</v>
      </c>
      <c r="D1889" t="s">
        <v>67</v>
      </c>
      <c r="E1889" t="s">
        <v>63</v>
      </c>
      <c r="F1889" t="s">
        <v>25</v>
      </c>
      <c r="G1889" s="4">
        <v>1</v>
      </c>
      <c r="H1889" s="4" t="s">
        <v>79</v>
      </c>
      <c r="I1889" s="4" t="s">
        <v>69</v>
      </c>
      <c r="J1889" s="4" t="s">
        <v>66</v>
      </c>
      <c r="K1889" s="4">
        <v>0</v>
      </c>
      <c r="L1889" s="94">
        <v>-1062</v>
      </c>
      <c r="M1889" s="94">
        <v>0</v>
      </c>
    </row>
    <row r="1890" spans="3:13" x14ac:dyDescent="0.3">
      <c r="C1890" t="s">
        <v>71</v>
      </c>
      <c r="D1890" t="s">
        <v>67</v>
      </c>
      <c r="E1890" t="s">
        <v>63</v>
      </c>
      <c r="F1890" t="s">
        <v>26</v>
      </c>
      <c r="G1890" s="4">
        <v>2</v>
      </c>
      <c r="H1890" s="4" t="s">
        <v>17</v>
      </c>
      <c r="I1890" s="4" t="s">
        <v>69</v>
      </c>
      <c r="J1890" s="4" t="s">
        <v>66</v>
      </c>
      <c r="K1890" s="4">
        <v>0</v>
      </c>
      <c r="L1890" s="94">
        <v>-1201406</v>
      </c>
      <c r="M1890" s="94">
        <v>0</v>
      </c>
    </row>
    <row r="1891" spans="3:13" x14ac:dyDescent="0.3">
      <c r="C1891" t="s">
        <v>61</v>
      </c>
      <c r="D1891" t="s">
        <v>67</v>
      </c>
      <c r="E1891" t="s">
        <v>68</v>
      </c>
      <c r="F1891" t="s">
        <v>26</v>
      </c>
      <c r="G1891" s="4">
        <v>-1</v>
      </c>
      <c r="H1891" s="4" t="s">
        <v>14</v>
      </c>
      <c r="I1891" s="4" t="s">
        <v>65</v>
      </c>
      <c r="J1891" s="4" t="s">
        <v>73</v>
      </c>
      <c r="K1891" s="4">
        <v>1</v>
      </c>
      <c r="L1891" s="94">
        <v>704641</v>
      </c>
      <c r="M1891" s="94">
        <v>0</v>
      </c>
    </row>
    <row r="1892" spans="3:13" x14ac:dyDescent="0.3">
      <c r="C1892" t="s">
        <v>70</v>
      </c>
      <c r="D1892" t="s">
        <v>62</v>
      </c>
      <c r="E1892" t="s">
        <v>63</v>
      </c>
      <c r="F1892" t="s">
        <v>24</v>
      </c>
      <c r="G1892" s="4">
        <v>19</v>
      </c>
      <c r="I1892" s="4" t="s">
        <v>65</v>
      </c>
      <c r="J1892" s="4" t="s">
        <v>66</v>
      </c>
      <c r="K1892" s="4">
        <v>1</v>
      </c>
      <c r="L1892" s="94">
        <v>-20930</v>
      </c>
      <c r="M1892" s="94">
        <v>0</v>
      </c>
    </row>
    <row r="1893" spans="3:13" x14ac:dyDescent="0.3">
      <c r="C1893" t="s">
        <v>61</v>
      </c>
      <c r="D1893" t="s">
        <v>67</v>
      </c>
      <c r="E1893" t="s">
        <v>68</v>
      </c>
      <c r="F1893" t="s">
        <v>26</v>
      </c>
      <c r="G1893" s="4">
        <v>9</v>
      </c>
      <c r="H1893" s="4" t="s">
        <v>15</v>
      </c>
      <c r="I1893" s="4" t="s">
        <v>69</v>
      </c>
      <c r="J1893" s="4" t="s">
        <v>66</v>
      </c>
      <c r="K1893" s="4">
        <v>0</v>
      </c>
      <c r="L1893" s="94">
        <v>14503692</v>
      </c>
      <c r="M1893" s="94">
        <v>130533228</v>
      </c>
    </row>
    <row r="1894" spans="3:13" x14ac:dyDescent="0.3">
      <c r="C1894" t="s">
        <v>71</v>
      </c>
      <c r="D1894" t="s">
        <v>67</v>
      </c>
      <c r="E1894" t="s">
        <v>68</v>
      </c>
      <c r="F1894" t="s">
        <v>26</v>
      </c>
      <c r="G1894" s="4">
        <v>1</v>
      </c>
      <c r="H1894" s="4" t="s">
        <v>17</v>
      </c>
      <c r="I1894" s="4" t="s">
        <v>65</v>
      </c>
      <c r="J1894" s="4" t="s">
        <v>66</v>
      </c>
      <c r="K1894" s="4">
        <v>1</v>
      </c>
      <c r="L1894" s="94">
        <v>29470</v>
      </c>
      <c r="M1894" s="94">
        <v>29470</v>
      </c>
    </row>
    <row r="1895" spans="3:13" x14ac:dyDescent="0.3">
      <c r="C1895" t="s">
        <v>61</v>
      </c>
      <c r="D1895" t="s">
        <v>84</v>
      </c>
      <c r="E1895" t="s">
        <v>63</v>
      </c>
      <c r="F1895" t="s">
        <v>25</v>
      </c>
      <c r="G1895" s="4">
        <v>7</v>
      </c>
      <c r="H1895" s="4" t="s">
        <v>14</v>
      </c>
      <c r="I1895" s="4" t="s">
        <v>69</v>
      </c>
      <c r="J1895" s="4" t="s">
        <v>66</v>
      </c>
      <c r="K1895" s="4">
        <v>0</v>
      </c>
      <c r="L1895" s="94">
        <v>-1576</v>
      </c>
      <c r="M1895" s="94">
        <v>0</v>
      </c>
    </row>
    <row r="1896" spans="3:13" x14ac:dyDescent="0.3">
      <c r="C1896" t="s">
        <v>71</v>
      </c>
      <c r="D1896" t="s">
        <v>67</v>
      </c>
      <c r="E1896" t="s">
        <v>68</v>
      </c>
      <c r="F1896" t="s">
        <v>72</v>
      </c>
      <c r="G1896" s="4">
        <v>-4</v>
      </c>
      <c r="H1896" s="4" t="s">
        <v>79</v>
      </c>
      <c r="I1896" s="4" t="s">
        <v>69</v>
      </c>
      <c r="J1896" s="4" t="s">
        <v>66</v>
      </c>
      <c r="K1896" s="4">
        <v>0</v>
      </c>
      <c r="L1896" s="94">
        <v>9298</v>
      </c>
      <c r="M1896" s="94">
        <v>0</v>
      </c>
    </row>
    <row r="1897" spans="3:13" x14ac:dyDescent="0.3">
      <c r="C1897" t="s">
        <v>61</v>
      </c>
      <c r="D1897" t="s">
        <v>62</v>
      </c>
      <c r="E1897" t="s">
        <v>63</v>
      </c>
      <c r="F1897" t="s">
        <v>24</v>
      </c>
      <c r="G1897" s="4">
        <v>27</v>
      </c>
      <c r="I1897" s="4" t="s">
        <v>65</v>
      </c>
      <c r="J1897" s="4" t="s">
        <v>66</v>
      </c>
      <c r="K1897" s="4">
        <v>1</v>
      </c>
      <c r="L1897" s="94">
        <v>-4312</v>
      </c>
      <c r="M1897" s="94">
        <v>0</v>
      </c>
    </row>
    <row r="1898" spans="3:13" x14ac:dyDescent="0.3">
      <c r="C1898" t="s">
        <v>71</v>
      </c>
      <c r="D1898" t="s">
        <v>62</v>
      </c>
      <c r="E1898" t="s">
        <v>68</v>
      </c>
      <c r="F1898" t="s">
        <v>25</v>
      </c>
      <c r="G1898" s="4">
        <v>-4</v>
      </c>
      <c r="I1898" s="4" t="s">
        <v>69</v>
      </c>
      <c r="J1898" s="4" t="s">
        <v>66</v>
      </c>
      <c r="K1898" s="4">
        <v>0</v>
      </c>
      <c r="L1898" s="94">
        <v>1447613</v>
      </c>
      <c r="M1898" s="94">
        <v>0</v>
      </c>
    </row>
    <row r="1899" spans="3:13" x14ac:dyDescent="0.3">
      <c r="C1899" t="s">
        <v>71</v>
      </c>
      <c r="D1899" t="s">
        <v>67</v>
      </c>
      <c r="E1899" t="s">
        <v>68</v>
      </c>
      <c r="F1899" t="s">
        <v>26</v>
      </c>
      <c r="G1899" s="4">
        <v>2</v>
      </c>
      <c r="H1899" s="4" t="s">
        <v>77</v>
      </c>
      <c r="I1899" s="4" t="s">
        <v>69</v>
      </c>
      <c r="J1899" s="4" t="s">
        <v>66</v>
      </c>
      <c r="K1899" s="4">
        <v>0</v>
      </c>
      <c r="L1899" s="94">
        <v>367176</v>
      </c>
      <c r="M1899" s="94">
        <v>734352</v>
      </c>
    </row>
    <row r="1900" spans="3:13" x14ac:dyDescent="0.3">
      <c r="C1900" t="s">
        <v>71</v>
      </c>
      <c r="D1900" t="s">
        <v>67</v>
      </c>
      <c r="E1900" t="s">
        <v>68</v>
      </c>
      <c r="F1900" t="s">
        <v>72</v>
      </c>
      <c r="G1900" s="4">
        <v>1</v>
      </c>
      <c r="H1900" s="4" t="s">
        <v>83</v>
      </c>
      <c r="I1900" s="4" t="s">
        <v>69</v>
      </c>
      <c r="J1900" s="4" t="s">
        <v>66</v>
      </c>
      <c r="K1900" s="4">
        <v>0</v>
      </c>
      <c r="L1900" s="94">
        <v>14174</v>
      </c>
      <c r="M1900" s="94">
        <v>14174</v>
      </c>
    </row>
    <row r="1901" spans="3:13" x14ac:dyDescent="0.3">
      <c r="C1901" t="s">
        <v>71</v>
      </c>
      <c r="D1901" t="s">
        <v>67</v>
      </c>
      <c r="E1901" t="s">
        <v>68</v>
      </c>
      <c r="F1901" t="s">
        <v>26</v>
      </c>
      <c r="G1901" s="4">
        <v>1</v>
      </c>
      <c r="H1901" s="4" t="s">
        <v>12</v>
      </c>
      <c r="I1901" s="4" t="s">
        <v>69</v>
      </c>
      <c r="J1901" s="4" t="s">
        <v>73</v>
      </c>
      <c r="K1901" s="4">
        <v>1</v>
      </c>
      <c r="L1901" s="94">
        <v>17720052</v>
      </c>
      <c r="M1901" s="94">
        <v>17720052</v>
      </c>
    </row>
    <row r="1902" spans="3:13" x14ac:dyDescent="0.3">
      <c r="C1902" t="s">
        <v>70</v>
      </c>
      <c r="D1902" t="s">
        <v>67</v>
      </c>
      <c r="E1902" t="s">
        <v>63</v>
      </c>
      <c r="F1902" t="s">
        <v>26</v>
      </c>
      <c r="G1902" s="4">
        <v>7</v>
      </c>
      <c r="H1902" s="4" t="s">
        <v>79</v>
      </c>
      <c r="I1902" s="4" t="s">
        <v>69</v>
      </c>
      <c r="J1902" s="4" t="s">
        <v>66</v>
      </c>
      <c r="K1902" s="4">
        <v>0</v>
      </c>
      <c r="L1902" s="94">
        <v>-40451</v>
      </c>
      <c r="M1902" s="94">
        <v>0</v>
      </c>
    </row>
    <row r="1903" spans="3:13" x14ac:dyDescent="0.3">
      <c r="C1903" t="s">
        <v>71</v>
      </c>
      <c r="D1903" t="s">
        <v>67</v>
      </c>
      <c r="E1903" t="s">
        <v>63</v>
      </c>
      <c r="F1903" t="s">
        <v>25</v>
      </c>
      <c r="G1903" s="4">
        <v>2</v>
      </c>
      <c r="H1903" s="4" t="s">
        <v>77</v>
      </c>
      <c r="I1903" s="4" t="s">
        <v>69</v>
      </c>
      <c r="J1903" s="4" t="s">
        <v>66</v>
      </c>
      <c r="K1903" s="4">
        <v>0</v>
      </c>
      <c r="L1903" s="94">
        <v>-11109</v>
      </c>
      <c r="M1903" s="94">
        <v>0</v>
      </c>
    </row>
    <row r="1904" spans="3:13" x14ac:dyDescent="0.3">
      <c r="C1904" t="s">
        <v>61</v>
      </c>
      <c r="D1904" t="s">
        <v>67</v>
      </c>
      <c r="E1904" t="s">
        <v>68</v>
      </c>
      <c r="F1904" t="s">
        <v>25</v>
      </c>
      <c r="G1904" s="4">
        <v>5</v>
      </c>
      <c r="H1904" s="4" t="s">
        <v>64</v>
      </c>
      <c r="I1904" s="4" t="s">
        <v>69</v>
      </c>
      <c r="J1904" s="4" t="s">
        <v>66</v>
      </c>
      <c r="K1904" s="4">
        <v>0</v>
      </c>
      <c r="L1904" s="94">
        <v>538604</v>
      </c>
      <c r="M1904" s="94">
        <v>2693020</v>
      </c>
    </row>
    <row r="1905" spans="3:13" x14ac:dyDescent="0.3">
      <c r="C1905" t="s">
        <v>70</v>
      </c>
      <c r="D1905" t="s">
        <v>62</v>
      </c>
      <c r="E1905" t="s">
        <v>63</v>
      </c>
      <c r="F1905" t="s">
        <v>24</v>
      </c>
      <c r="G1905" s="4">
        <v>32</v>
      </c>
      <c r="I1905" s="4" t="s">
        <v>69</v>
      </c>
      <c r="J1905" s="4" t="s">
        <v>66</v>
      </c>
      <c r="K1905" s="4">
        <v>1</v>
      </c>
      <c r="L1905" s="94">
        <v>-7445</v>
      </c>
      <c r="M1905" s="94">
        <v>0</v>
      </c>
    </row>
    <row r="1906" spans="3:13" x14ac:dyDescent="0.3">
      <c r="C1906" t="s">
        <v>61</v>
      </c>
      <c r="D1906" t="s">
        <v>62</v>
      </c>
      <c r="E1906" t="s">
        <v>68</v>
      </c>
      <c r="F1906" t="s">
        <v>24</v>
      </c>
      <c r="G1906" s="4">
        <v>28</v>
      </c>
      <c r="I1906" s="4" t="s">
        <v>69</v>
      </c>
      <c r="J1906" s="4" t="s">
        <v>66</v>
      </c>
      <c r="K1906" s="4">
        <v>0</v>
      </c>
      <c r="L1906" s="94">
        <v>803514679</v>
      </c>
      <c r="M1906" s="94">
        <v>22498411012</v>
      </c>
    </row>
    <row r="1907" spans="3:13" x14ac:dyDescent="0.3">
      <c r="C1907" t="s">
        <v>61</v>
      </c>
      <c r="D1907" t="s">
        <v>67</v>
      </c>
      <c r="E1907" t="s">
        <v>63</v>
      </c>
      <c r="F1907" t="s">
        <v>72</v>
      </c>
      <c r="G1907" s="4">
        <v>5</v>
      </c>
      <c r="H1907" s="4" t="s">
        <v>14</v>
      </c>
      <c r="I1907" s="4" t="s">
        <v>69</v>
      </c>
      <c r="J1907" s="4" t="s">
        <v>66</v>
      </c>
      <c r="K1907" s="4">
        <v>0</v>
      </c>
      <c r="L1907" s="94">
        <v>-9212</v>
      </c>
      <c r="M1907" s="94">
        <v>0</v>
      </c>
    </row>
    <row r="1908" spans="3:13" x14ac:dyDescent="0.3">
      <c r="C1908" t="s">
        <v>61</v>
      </c>
      <c r="D1908" t="s">
        <v>67</v>
      </c>
      <c r="E1908" t="s">
        <v>63</v>
      </c>
      <c r="F1908" t="s">
        <v>72</v>
      </c>
      <c r="G1908" s="4">
        <v>4</v>
      </c>
      <c r="H1908" s="4" t="s">
        <v>80</v>
      </c>
      <c r="I1908" s="4" t="s">
        <v>69</v>
      </c>
      <c r="J1908" s="4" t="s">
        <v>66</v>
      </c>
      <c r="K1908" s="4">
        <v>0</v>
      </c>
      <c r="L1908" s="94">
        <v>-1358</v>
      </c>
      <c r="M1908" s="94">
        <v>0</v>
      </c>
    </row>
    <row r="1909" spans="3:13" x14ac:dyDescent="0.3">
      <c r="C1909" t="s">
        <v>70</v>
      </c>
      <c r="D1909" t="s">
        <v>67</v>
      </c>
      <c r="E1909" t="s">
        <v>63</v>
      </c>
      <c r="F1909" t="s">
        <v>26</v>
      </c>
      <c r="G1909" s="4">
        <v>2</v>
      </c>
      <c r="H1909" s="4" t="s">
        <v>17</v>
      </c>
      <c r="I1909" s="4" t="s">
        <v>69</v>
      </c>
      <c r="J1909" s="4" t="s">
        <v>66</v>
      </c>
      <c r="K1909" s="4">
        <v>0</v>
      </c>
      <c r="L1909" s="94">
        <v>-564675</v>
      </c>
      <c r="M1909" s="94">
        <v>0</v>
      </c>
    </row>
    <row r="1910" spans="3:13" x14ac:dyDescent="0.3">
      <c r="C1910" t="s">
        <v>61</v>
      </c>
      <c r="D1910" t="s">
        <v>67</v>
      </c>
      <c r="E1910" t="s">
        <v>63</v>
      </c>
      <c r="F1910" t="s">
        <v>26</v>
      </c>
      <c r="G1910" s="4">
        <v>0</v>
      </c>
      <c r="H1910" s="4" t="s">
        <v>75</v>
      </c>
      <c r="I1910" s="4" t="s">
        <v>65</v>
      </c>
      <c r="J1910" s="4" t="s">
        <v>66</v>
      </c>
      <c r="K1910" s="4">
        <v>1</v>
      </c>
      <c r="L1910" s="94">
        <v>-20</v>
      </c>
      <c r="M1910" s="94">
        <v>0</v>
      </c>
    </row>
    <row r="1911" spans="3:13" x14ac:dyDescent="0.3">
      <c r="C1911" t="s">
        <v>61</v>
      </c>
      <c r="D1911" t="s">
        <v>67</v>
      </c>
      <c r="E1911" t="s">
        <v>68</v>
      </c>
      <c r="F1911" t="s">
        <v>72</v>
      </c>
      <c r="G1911" s="4">
        <v>7</v>
      </c>
      <c r="H1911" s="4" t="s">
        <v>76</v>
      </c>
      <c r="I1911" s="4" t="s">
        <v>69</v>
      </c>
      <c r="J1911" s="4" t="s">
        <v>66</v>
      </c>
      <c r="K1911" s="4">
        <v>0</v>
      </c>
      <c r="L1911" s="94">
        <v>414744</v>
      </c>
      <c r="M1911" s="94">
        <v>2903208</v>
      </c>
    </row>
    <row r="1912" spans="3:13" x14ac:dyDescent="0.3">
      <c r="C1912" t="s">
        <v>70</v>
      </c>
      <c r="D1912" t="s">
        <v>67</v>
      </c>
      <c r="E1912" t="s">
        <v>63</v>
      </c>
      <c r="F1912" t="s">
        <v>72</v>
      </c>
      <c r="G1912" s="4">
        <v>3</v>
      </c>
      <c r="H1912" s="4" t="s">
        <v>17</v>
      </c>
      <c r="I1912" s="4" t="s">
        <v>65</v>
      </c>
      <c r="J1912" s="4" t="s">
        <v>73</v>
      </c>
      <c r="K1912" s="4">
        <v>1</v>
      </c>
      <c r="L1912" s="94">
        <v>-4263</v>
      </c>
      <c r="M1912" s="94">
        <v>0</v>
      </c>
    </row>
    <row r="1913" spans="3:13" x14ac:dyDescent="0.3">
      <c r="C1913" t="s">
        <v>70</v>
      </c>
      <c r="D1913" t="s">
        <v>67</v>
      </c>
      <c r="E1913" t="s">
        <v>63</v>
      </c>
      <c r="F1913" t="s">
        <v>25</v>
      </c>
      <c r="G1913" s="4">
        <v>9</v>
      </c>
      <c r="H1913" s="4" t="s">
        <v>79</v>
      </c>
      <c r="I1913" s="4" t="s">
        <v>69</v>
      </c>
      <c r="J1913" s="4" t="s">
        <v>66</v>
      </c>
      <c r="K1913" s="4">
        <v>0</v>
      </c>
      <c r="L1913" s="94">
        <v>-23658</v>
      </c>
      <c r="M1913" s="94">
        <v>0</v>
      </c>
    </row>
    <row r="1914" spans="3:13" x14ac:dyDescent="0.3">
      <c r="C1914" t="s">
        <v>71</v>
      </c>
      <c r="D1914" t="s">
        <v>67</v>
      </c>
      <c r="E1914" t="s">
        <v>63</v>
      </c>
      <c r="F1914" t="s">
        <v>26</v>
      </c>
      <c r="G1914" s="4">
        <v>4</v>
      </c>
      <c r="H1914" s="4" t="s">
        <v>17</v>
      </c>
      <c r="I1914" s="4" t="s">
        <v>65</v>
      </c>
      <c r="J1914" s="4" t="s">
        <v>66</v>
      </c>
      <c r="K1914" s="4">
        <v>1</v>
      </c>
      <c r="L1914" s="94">
        <v>-40551</v>
      </c>
      <c r="M1914" s="94">
        <v>0</v>
      </c>
    </row>
    <row r="1915" spans="3:13" x14ac:dyDescent="0.3">
      <c r="C1915" t="s">
        <v>71</v>
      </c>
      <c r="D1915" t="s">
        <v>62</v>
      </c>
      <c r="E1915" t="s">
        <v>63</v>
      </c>
      <c r="F1915" t="s">
        <v>24</v>
      </c>
      <c r="G1915" s="4">
        <v>13</v>
      </c>
      <c r="I1915" s="4" t="s">
        <v>65</v>
      </c>
      <c r="J1915" s="4" t="s">
        <v>66</v>
      </c>
      <c r="K1915" s="4">
        <v>1</v>
      </c>
      <c r="L1915" s="94">
        <v>-16224</v>
      </c>
      <c r="M1915" s="94">
        <v>0</v>
      </c>
    </row>
    <row r="1916" spans="3:13" x14ac:dyDescent="0.3">
      <c r="C1916" t="s">
        <v>61</v>
      </c>
      <c r="D1916" t="s">
        <v>67</v>
      </c>
      <c r="E1916" t="s">
        <v>63</v>
      </c>
      <c r="F1916" t="s">
        <v>25</v>
      </c>
      <c r="G1916" s="4">
        <v>9</v>
      </c>
      <c r="H1916" s="4" t="s">
        <v>78</v>
      </c>
      <c r="I1916" s="4" t="s">
        <v>69</v>
      </c>
      <c r="J1916" s="4" t="s">
        <v>66</v>
      </c>
      <c r="K1916" s="4">
        <v>0</v>
      </c>
      <c r="L1916" s="94">
        <v>-13934</v>
      </c>
      <c r="M1916" s="94">
        <v>0</v>
      </c>
    </row>
    <row r="1917" spans="3:13" x14ac:dyDescent="0.3">
      <c r="C1917" t="s">
        <v>70</v>
      </c>
      <c r="D1917" t="s">
        <v>67</v>
      </c>
      <c r="E1917" t="s">
        <v>68</v>
      </c>
      <c r="F1917" t="s">
        <v>25</v>
      </c>
      <c r="G1917" s="4">
        <v>6</v>
      </c>
      <c r="H1917" s="4" t="s">
        <v>76</v>
      </c>
      <c r="I1917" s="4" t="s">
        <v>69</v>
      </c>
      <c r="J1917" s="4" t="s">
        <v>66</v>
      </c>
      <c r="K1917" s="4">
        <v>0</v>
      </c>
      <c r="L1917" s="94">
        <v>8946477</v>
      </c>
      <c r="M1917" s="94">
        <v>53678862</v>
      </c>
    </row>
    <row r="1918" spans="3:13" x14ac:dyDescent="0.3">
      <c r="C1918" t="s">
        <v>71</v>
      </c>
      <c r="D1918" t="s">
        <v>67</v>
      </c>
      <c r="E1918" t="s">
        <v>68</v>
      </c>
      <c r="F1918" t="s">
        <v>72</v>
      </c>
      <c r="G1918" s="4">
        <v>3</v>
      </c>
      <c r="H1918" s="4" t="s">
        <v>17</v>
      </c>
      <c r="I1918" s="4" t="s">
        <v>69</v>
      </c>
      <c r="J1918" s="4" t="s">
        <v>73</v>
      </c>
      <c r="K1918" s="4">
        <v>1</v>
      </c>
      <c r="L1918" s="94">
        <v>42309</v>
      </c>
      <c r="M1918" s="94">
        <v>126927</v>
      </c>
    </row>
    <row r="1919" spans="3:13" x14ac:dyDescent="0.3">
      <c r="C1919" t="s">
        <v>71</v>
      </c>
      <c r="D1919" t="s">
        <v>62</v>
      </c>
      <c r="E1919" t="s">
        <v>63</v>
      </c>
      <c r="F1919" t="s">
        <v>24</v>
      </c>
      <c r="G1919" s="4">
        <v>20</v>
      </c>
      <c r="I1919" s="4" t="s">
        <v>69</v>
      </c>
      <c r="J1919" s="4" t="s">
        <v>66</v>
      </c>
      <c r="K1919" s="4">
        <v>0</v>
      </c>
      <c r="L1919" s="94">
        <v>-2192565</v>
      </c>
      <c r="M1919" s="94">
        <v>0</v>
      </c>
    </row>
    <row r="1920" spans="3:13" x14ac:dyDescent="0.3">
      <c r="C1920" t="s">
        <v>70</v>
      </c>
      <c r="D1920" t="s">
        <v>62</v>
      </c>
      <c r="E1920" t="s">
        <v>63</v>
      </c>
      <c r="F1920" t="s">
        <v>24</v>
      </c>
      <c r="G1920" s="4">
        <v>4</v>
      </c>
      <c r="I1920" s="4" t="s">
        <v>69</v>
      </c>
      <c r="J1920" s="4" t="s">
        <v>66</v>
      </c>
      <c r="K1920" s="4">
        <v>0</v>
      </c>
      <c r="L1920" s="94">
        <v>-106066</v>
      </c>
      <c r="M1920" s="94">
        <v>0</v>
      </c>
    </row>
    <row r="1921" spans="3:13" x14ac:dyDescent="0.3">
      <c r="C1921" t="s">
        <v>61</v>
      </c>
      <c r="D1921" t="s">
        <v>67</v>
      </c>
      <c r="E1921" t="s">
        <v>63</v>
      </c>
      <c r="F1921" t="s">
        <v>26</v>
      </c>
      <c r="G1921" s="4">
        <v>13</v>
      </c>
      <c r="H1921" s="4" t="s">
        <v>76</v>
      </c>
      <c r="I1921" s="4" t="s">
        <v>69</v>
      </c>
      <c r="J1921" s="4" t="s">
        <v>66</v>
      </c>
      <c r="K1921" s="4">
        <v>0</v>
      </c>
      <c r="L1921" s="94">
        <v>-2457</v>
      </c>
      <c r="M1921" s="94">
        <v>0</v>
      </c>
    </row>
    <row r="1922" spans="3:13" x14ac:dyDescent="0.3">
      <c r="C1922" t="s">
        <v>71</v>
      </c>
      <c r="D1922" t="s">
        <v>62</v>
      </c>
      <c r="E1922" t="s">
        <v>68</v>
      </c>
      <c r="F1922" t="s">
        <v>24</v>
      </c>
      <c r="G1922" s="4">
        <v>11</v>
      </c>
      <c r="I1922" s="4" t="s">
        <v>69</v>
      </c>
      <c r="J1922" s="4" t="s">
        <v>66</v>
      </c>
      <c r="K1922" s="4">
        <v>0</v>
      </c>
      <c r="L1922" s="94">
        <v>2702434</v>
      </c>
      <c r="M1922" s="94">
        <v>29726774</v>
      </c>
    </row>
    <row r="1923" spans="3:13" x14ac:dyDescent="0.3">
      <c r="C1923" t="s">
        <v>61</v>
      </c>
      <c r="D1923" t="s">
        <v>62</v>
      </c>
      <c r="E1923" t="s">
        <v>63</v>
      </c>
      <c r="F1923" t="s">
        <v>24</v>
      </c>
      <c r="G1923" s="4">
        <v>6</v>
      </c>
      <c r="I1923" s="4" t="s">
        <v>69</v>
      </c>
      <c r="J1923" s="4" t="s">
        <v>66</v>
      </c>
      <c r="K1923" s="4">
        <v>0</v>
      </c>
      <c r="L1923" s="94">
        <v>-48998</v>
      </c>
      <c r="M1923" s="94">
        <v>0</v>
      </c>
    </row>
    <row r="1924" spans="3:13" x14ac:dyDescent="0.3">
      <c r="C1924" t="s">
        <v>61</v>
      </c>
      <c r="D1924" t="s">
        <v>67</v>
      </c>
      <c r="E1924" t="s">
        <v>63</v>
      </c>
      <c r="F1924" t="s">
        <v>26</v>
      </c>
      <c r="G1924" s="4">
        <v>1</v>
      </c>
      <c r="H1924" s="4" t="s">
        <v>18</v>
      </c>
      <c r="I1924" s="4" t="s">
        <v>65</v>
      </c>
      <c r="J1924" s="4" t="s">
        <v>66</v>
      </c>
      <c r="K1924" s="4">
        <v>1</v>
      </c>
      <c r="L1924" s="94">
        <v>-2825</v>
      </c>
      <c r="M1924" s="94">
        <v>0</v>
      </c>
    </row>
    <row r="1925" spans="3:13" x14ac:dyDescent="0.3">
      <c r="C1925" t="s">
        <v>61</v>
      </c>
      <c r="D1925" t="s">
        <v>67</v>
      </c>
      <c r="E1925" t="s">
        <v>68</v>
      </c>
      <c r="F1925" t="s">
        <v>72</v>
      </c>
      <c r="G1925" s="4">
        <v>12</v>
      </c>
      <c r="H1925" s="4" t="s">
        <v>76</v>
      </c>
      <c r="I1925" s="4" t="s">
        <v>69</v>
      </c>
      <c r="J1925" s="4" t="s">
        <v>66</v>
      </c>
      <c r="K1925" s="4">
        <v>0</v>
      </c>
      <c r="L1925" s="94">
        <v>911367</v>
      </c>
      <c r="M1925" s="94">
        <v>10936404</v>
      </c>
    </row>
    <row r="1926" spans="3:13" x14ac:dyDescent="0.3">
      <c r="C1926" t="s">
        <v>61</v>
      </c>
      <c r="D1926" t="s">
        <v>67</v>
      </c>
      <c r="E1926" t="s">
        <v>63</v>
      </c>
      <c r="F1926" t="s">
        <v>26</v>
      </c>
      <c r="G1926" s="4">
        <v>4</v>
      </c>
      <c r="H1926" s="4" t="s">
        <v>14</v>
      </c>
      <c r="I1926" s="4" t="s">
        <v>69</v>
      </c>
      <c r="J1926" s="4" t="s">
        <v>73</v>
      </c>
      <c r="K1926" s="4">
        <v>1</v>
      </c>
      <c r="L1926" s="94">
        <v>-178524</v>
      </c>
      <c r="M1926" s="94">
        <v>0</v>
      </c>
    </row>
    <row r="1927" spans="3:13" x14ac:dyDescent="0.3">
      <c r="C1927" t="s">
        <v>61</v>
      </c>
      <c r="D1927" t="s">
        <v>67</v>
      </c>
      <c r="E1927" t="s">
        <v>63</v>
      </c>
      <c r="F1927" t="s">
        <v>25</v>
      </c>
      <c r="G1927" s="4">
        <v>2</v>
      </c>
      <c r="H1927" s="4" t="s">
        <v>64</v>
      </c>
      <c r="I1927" s="4" t="s">
        <v>69</v>
      </c>
      <c r="J1927" s="4" t="s">
        <v>66</v>
      </c>
      <c r="K1927" s="4">
        <v>0</v>
      </c>
      <c r="L1927" s="94">
        <v>-635</v>
      </c>
      <c r="M1927" s="94">
        <v>0</v>
      </c>
    </row>
    <row r="1928" spans="3:13" x14ac:dyDescent="0.3">
      <c r="C1928" t="s">
        <v>70</v>
      </c>
      <c r="D1928" t="s">
        <v>67</v>
      </c>
      <c r="E1928" t="s">
        <v>68</v>
      </c>
      <c r="F1928" t="s">
        <v>25</v>
      </c>
      <c r="G1928" s="4">
        <v>9</v>
      </c>
      <c r="H1928" s="4" t="s">
        <v>14</v>
      </c>
      <c r="I1928" s="4" t="s">
        <v>69</v>
      </c>
      <c r="J1928" s="4" t="s">
        <v>66</v>
      </c>
      <c r="K1928" s="4">
        <v>1</v>
      </c>
      <c r="L1928" s="94">
        <v>1431602</v>
      </c>
      <c r="M1928" s="94">
        <v>12884418</v>
      </c>
    </row>
    <row r="1929" spans="3:13" x14ac:dyDescent="0.3">
      <c r="C1929" t="s">
        <v>70</v>
      </c>
      <c r="D1929" t="s">
        <v>67</v>
      </c>
      <c r="E1929" t="s">
        <v>63</v>
      </c>
      <c r="F1929" t="s">
        <v>72</v>
      </c>
      <c r="G1929" s="4">
        <v>5</v>
      </c>
      <c r="H1929" s="4" t="s">
        <v>14</v>
      </c>
      <c r="I1929" s="4" t="s">
        <v>69</v>
      </c>
      <c r="J1929" s="4" t="s">
        <v>66</v>
      </c>
      <c r="K1929" s="4">
        <v>0</v>
      </c>
      <c r="L1929" s="94">
        <v>-26272</v>
      </c>
      <c r="M1929" s="94">
        <v>0</v>
      </c>
    </row>
    <row r="1930" spans="3:13" x14ac:dyDescent="0.3">
      <c r="C1930" t="s">
        <v>61</v>
      </c>
      <c r="D1930" t="s">
        <v>67</v>
      </c>
      <c r="E1930" t="s">
        <v>68</v>
      </c>
      <c r="F1930" t="s">
        <v>25</v>
      </c>
      <c r="G1930" s="4">
        <v>9</v>
      </c>
      <c r="H1930" s="4" t="s">
        <v>18</v>
      </c>
      <c r="I1930" s="4" t="s">
        <v>69</v>
      </c>
      <c r="J1930" s="4" t="s">
        <v>66</v>
      </c>
      <c r="K1930" s="4">
        <v>0</v>
      </c>
      <c r="L1930" s="94">
        <v>10077099</v>
      </c>
      <c r="M1930" s="94">
        <v>90693891</v>
      </c>
    </row>
    <row r="1931" spans="3:13" x14ac:dyDescent="0.3">
      <c r="C1931" t="s">
        <v>70</v>
      </c>
      <c r="D1931" t="s">
        <v>67</v>
      </c>
      <c r="E1931" t="s">
        <v>63</v>
      </c>
      <c r="F1931" t="s">
        <v>72</v>
      </c>
      <c r="G1931" s="4">
        <v>4</v>
      </c>
      <c r="H1931" s="4" t="s">
        <v>80</v>
      </c>
      <c r="I1931" s="4" t="s">
        <v>69</v>
      </c>
      <c r="J1931" s="4" t="s">
        <v>66</v>
      </c>
      <c r="K1931" s="4">
        <v>0</v>
      </c>
      <c r="L1931" s="94">
        <v>-14913</v>
      </c>
      <c r="M1931" s="94">
        <v>0</v>
      </c>
    </row>
    <row r="1932" spans="3:13" x14ac:dyDescent="0.3">
      <c r="C1932" t="s">
        <v>70</v>
      </c>
      <c r="D1932" t="s">
        <v>62</v>
      </c>
      <c r="E1932" t="s">
        <v>68</v>
      </c>
      <c r="F1932" t="s">
        <v>24</v>
      </c>
      <c r="G1932" s="4">
        <v>16</v>
      </c>
      <c r="I1932" s="4" t="s">
        <v>69</v>
      </c>
      <c r="J1932" s="4" t="s">
        <v>66</v>
      </c>
      <c r="K1932" s="4">
        <v>1</v>
      </c>
      <c r="L1932" s="94">
        <v>259749</v>
      </c>
      <c r="M1932" s="94">
        <v>4155984</v>
      </c>
    </row>
    <row r="1933" spans="3:13" x14ac:dyDescent="0.3">
      <c r="C1933" t="s">
        <v>70</v>
      </c>
      <c r="D1933" t="s">
        <v>67</v>
      </c>
      <c r="E1933" t="s">
        <v>68</v>
      </c>
      <c r="F1933" t="s">
        <v>25</v>
      </c>
      <c r="G1933" s="4">
        <v>1</v>
      </c>
      <c r="H1933" s="4" t="s">
        <v>64</v>
      </c>
      <c r="I1933" s="4" t="s">
        <v>69</v>
      </c>
      <c r="J1933" s="4" t="s">
        <v>66</v>
      </c>
      <c r="K1933" s="4">
        <v>0</v>
      </c>
      <c r="L1933" s="94">
        <v>38242</v>
      </c>
      <c r="M1933" s="94">
        <v>38242</v>
      </c>
    </row>
    <row r="1934" spans="3:13" x14ac:dyDescent="0.3">
      <c r="C1934" t="s">
        <v>70</v>
      </c>
      <c r="D1934" t="s">
        <v>67</v>
      </c>
      <c r="E1934" t="s">
        <v>68</v>
      </c>
      <c r="F1934" t="s">
        <v>26</v>
      </c>
      <c r="G1934" s="4">
        <v>-1</v>
      </c>
      <c r="H1934" s="4" t="s">
        <v>74</v>
      </c>
      <c r="I1934" s="4" t="s">
        <v>69</v>
      </c>
      <c r="J1934" s="4" t="s">
        <v>66</v>
      </c>
      <c r="K1934" s="4">
        <v>0</v>
      </c>
      <c r="L1934" s="94">
        <v>9876524</v>
      </c>
      <c r="M1934" s="94">
        <v>0</v>
      </c>
    </row>
    <row r="1935" spans="3:13" x14ac:dyDescent="0.3">
      <c r="C1935" t="s">
        <v>61</v>
      </c>
      <c r="D1935" t="s">
        <v>67</v>
      </c>
      <c r="E1935" t="s">
        <v>68</v>
      </c>
      <c r="F1935" t="s">
        <v>72</v>
      </c>
      <c r="G1935" s="4">
        <v>-1</v>
      </c>
      <c r="H1935" s="4" t="s">
        <v>13</v>
      </c>
      <c r="I1935" s="4" t="s">
        <v>69</v>
      </c>
      <c r="J1935" s="4" t="s">
        <v>66</v>
      </c>
      <c r="K1935" s="4">
        <v>0</v>
      </c>
      <c r="L1935" s="94">
        <v>75324</v>
      </c>
      <c r="M1935" s="94">
        <v>0</v>
      </c>
    </row>
    <row r="1936" spans="3:13" x14ac:dyDescent="0.3">
      <c r="C1936" t="s">
        <v>71</v>
      </c>
      <c r="D1936" t="s">
        <v>67</v>
      </c>
      <c r="E1936" t="s">
        <v>68</v>
      </c>
      <c r="F1936" t="s">
        <v>72</v>
      </c>
      <c r="G1936" s="4">
        <v>2</v>
      </c>
      <c r="H1936" s="4" t="s">
        <v>18</v>
      </c>
      <c r="I1936" s="4" t="s">
        <v>69</v>
      </c>
      <c r="J1936" s="4" t="s">
        <v>66</v>
      </c>
      <c r="K1936" s="4">
        <v>0</v>
      </c>
      <c r="L1936" s="94">
        <v>187832</v>
      </c>
      <c r="M1936" s="94">
        <v>375664</v>
      </c>
    </row>
    <row r="1937" spans="3:13" x14ac:dyDescent="0.3">
      <c r="C1937" t="s">
        <v>61</v>
      </c>
      <c r="D1937" t="s">
        <v>62</v>
      </c>
      <c r="E1937" t="s">
        <v>68</v>
      </c>
      <c r="F1937" t="s">
        <v>25</v>
      </c>
      <c r="G1937" s="4">
        <v>20</v>
      </c>
      <c r="I1937" s="4" t="s">
        <v>69</v>
      </c>
      <c r="J1937" s="4" t="s">
        <v>66</v>
      </c>
      <c r="K1937" s="4">
        <v>0</v>
      </c>
      <c r="L1937" s="94">
        <v>836813</v>
      </c>
      <c r="M1937" s="94">
        <v>16736260</v>
      </c>
    </row>
    <row r="1938" spans="3:13" x14ac:dyDescent="0.3">
      <c r="C1938" t="s">
        <v>71</v>
      </c>
      <c r="D1938" t="s">
        <v>67</v>
      </c>
      <c r="E1938" t="s">
        <v>63</v>
      </c>
      <c r="F1938" t="s">
        <v>26</v>
      </c>
      <c r="G1938" s="4">
        <v>-1</v>
      </c>
      <c r="H1938" s="4" t="s">
        <v>82</v>
      </c>
      <c r="I1938" s="4" t="s">
        <v>69</v>
      </c>
      <c r="J1938" s="4" t="s">
        <v>73</v>
      </c>
      <c r="K1938" s="4">
        <v>1</v>
      </c>
      <c r="L1938" s="94">
        <v>-2297</v>
      </c>
      <c r="M1938" s="94">
        <v>0</v>
      </c>
    </row>
    <row r="1939" spans="3:13" x14ac:dyDescent="0.3">
      <c r="C1939" t="s">
        <v>61</v>
      </c>
      <c r="D1939" t="s">
        <v>67</v>
      </c>
      <c r="E1939" t="s">
        <v>63</v>
      </c>
      <c r="F1939" t="s">
        <v>26</v>
      </c>
      <c r="G1939" s="4">
        <v>5</v>
      </c>
      <c r="H1939" s="4" t="s">
        <v>77</v>
      </c>
      <c r="I1939" s="4" t="s">
        <v>69</v>
      </c>
      <c r="J1939" s="4" t="s">
        <v>66</v>
      </c>
      <c r="K1939" s="4">
        <v>0</v>
      </c>
      <c r="L1939" s="94">
        <v>-3028</v>
      </c>
      <c r="M1939" s="94">
        <v>0</v>
      </c>
    </row>
    <row r="1940" spans="3:13" x14ac:dyDescent="0.3">
      <c r="C1940" t="s">
        <v>61</v>
      </c>
      <c r="D1940" t="s">
        <v>67</v>
      </c>
      <c r="E1940" t="s">
        <v>68</v>
      </c>
      <c r="F1940" t="s">
        <v>72</v>
      </c>
      <c r="G1940" s="4">
        <v>2</v>
      </c>
      <c r="H1940" s="4" t="s">
        <v>83</v>
      </c>
      <c r="I1940" s="4" t="s">
        <v>69</v>
      </c>
      <c r="J1940" s="4" t="s">
        <v>66</v>
      </c>
      <c r="K1940" s="4">
        <v>0</v>
      </c>
      <c r="L1940" s="94">
        <v>301807</v>
      </c>
      <c r="M1940" s="94">
        <v>603614</v>
      </c>
    </row>
    <row r="1941" spans="3:13" x14ac:dyDescent="0.3">
      <c r="C1941" t="s">
        <v>61</v>
      </c>
      <c r="D1941" t="s">
        <v>67</v>
      </c>
      <c r="E1941" t="s">
        <v>63</v>
      </c>
      <c r="F1941" t="s">
        <v>25</v>
      </c>
      <c r="G1941" s="4">
        <v>1</v>
      </c>
      <c r="H1941" s="4" t="s">
        <v>13</v>
      </c>
      <c r="I1941" s="4" t="s">
        <v>69</v>
      </c>
      <c r="J1941" s="4" t="s">
        <v>66</v>
      </c>
      <c r="K1941" s="4">
        <v>1</v>
      </c>
      <c r="L1941" s="94">
        <v>-29</v>
      </c>
      <c r="M1941" s="94">
        <v>0</v>
      </c>
    </row>
    <row r="1942" spans="3:13" x14ac:dyDescent="0.3">
      <c r="C1942" t="s">
        <v>61</v>
      </c>
      <c r="D1942" t="s">
        <v>62</v>
      </c>
      <c r="E1942" t="s">
        <v>63</v>
      </c>
      <c r="F1942" t="s">
        <v>24</v>
      </c>
      <c r="G1942" s="4">
        <v>9</v>
      </c>
      <c r="I1942" s="4" t="s">
        <v>65</v>
      </c>
      <c r="J1942" s="4" t="s">
        <v>66</v>
      </c>
      <c r="K1942" s="4">
        <v>1</v>
      </c>
      <c r="L1942" s="94">
        <v>-658</v>
      </c>
      <c r="M1942" s="94">
        <v>0</v>
      </c>
    </row>
    <row r="1943" spans="3:13" x14ac:dyDescent="0.3">
      <c r="C1943" t="s">
        <v>61</v>
      </c>
      <c r="D1943" t="s">
        <v>67</v>
      </c>
      <c r="E1943" t="s">
        <v>68</v>
      </c>
      <c r="F1943" t="s">
        <v>26</v>
      </c>
      <c r="G1943" s="4">
        <v>3</v>
      </c>
      <c r="H1943" s="4" t="s">
        <v>13</v>
      </c>
      <c r="I1943" s="4" t="s">
        <v>69</v>
      </c>
      <c r="J1943" s="4" t="s">
        <v>73</v>
      </c>
      <c r="K1943" s="4">
        <v>1</v>
      </c>
      <c r="L1943" s="94">
        <v>1346702</v>
      </c>
      <c r="M1943" s="94">
        <v>4040106</v>
      </c>
    </row>
    <row r="1944" spans="3:13" x14ac:dyDescent="0.3">
      <c r="C1944" t="s">
        <v>61</v>
      </c>
      <c r="D1944" t="s">
        <v>67</v>
      </c>
      <c r="E1944" t="s">
        <v>63</v>
      </c>
      <c r="F1944" t="s">
        <v>25</v>
      </c>
      <c r="G1944" s="4">
        <v>5</v>
      </c>
      <c r="H1944" s="4" t="s">
        <v>17</v>
      </c>
      <c r="I1944" s="4" t="s">
        <v>69</v>
      </c>
      <c r="J1944" s="4" t="s">
        <v>66</v>
      </c>
      <c r="K1944" s="4">
        <v>0</v>
      </c>
      <c r="L1944" s="94">
        <v>-73243</v>
      </c>
      <c r="M1944" s="94">
        <v>0</v>
      </c>
    </row>
    <row r="1945" spans="3:13" x14ac:dyDescent="0.3">
      <c r="C1945" t="s">
        <v>71</v>
      </c>
      <c r="D1945" t="s">
        <v>67</v>
      </c>
      <c r="E1945" t="s">
        <v>68</v>
      </c>
      <c r="F1945" t="s">
        <v>26</v>
      </c>
      <c r="G1945" s="4">
        <v>0</v>
      </c>
      <c r="H1945" s="4" t="s">
        <v>14</v>
      </c>
      <c r="I1945" s="4" t="s">
        <v>69</v>
      </c>
      <c r="J1945" s="4" t="s">
        <v>73</v>
      </c>
      <c r="K1945" s="4">
        <v>1</v>
      </c>
      <c r="L1945" s="94">
        <v>967941</v>
      </c>
      <c r="M1945" s="94">
        <v>0</v>
      </c>
    </row>
    <row r="1946" spans="3:13" x14ac:dyDescent="0.3">
      <c r="C1946" t="s">
        <v>70</v>
      </c>
      <c r="D1946" t="s">
        <v>67</v>
      </c>
      <c r="E1946" t="s">
        <v>68</v>
      </c>
      <c r="F1946" t="s">
        <v>25</v>
      </c>
      <c r="G1946" s="4">
        <v>3</v>
      </c>
      <c r="H1946" s="4" t="s">
        <v>80</v>
      </c>
      <c r="I1946" s="4" t="s">
        <v>69</v>
      </c>
      <c r="J1946" s="4" t="s">
        <v>66</v>
      </c>
      <c r="K1946" s="4">
        <v>0</v>
      </c>
      <c r="L1946" s="94">
        <v>253312</v>
      </c>
      <c r="M1946" s="94">
        <v>759936</v>
      </c>
    </row>
    <row r="1947" spans="3:13" x14ac:dyDescent="0.3">
      <c r="C1947" t="s">
        <v>71</v>
      </c>
      <c r="D1947" t="s">
        <v>62</v>
      </c>
      <c r="E1947" t="s">
        <v>63</v>
      </c>
      <c r="F1947" t="s">
        <v>24</v>
      </c>
      <c r="G1947" s="4">
        <v>4</v>
      </c>
      <c r="I1947" s="4" t="s">
        <v>69</v>
      </c>
      <c r="J1947" s="4" t="s">
        <v>66</v>
      </c>
      <c r="K1947" s="4">
        <v>0</v>
      </c>
      <c r="L1947" s="94">
        <v>-404454</v>
      </c>
      <c r="M1947" s="94">
        <v>0</v>
      </c>
    </row>
    <row r="1948" spans="3:13" x14ac:dyDescent="0.3">
      <c r="C1948" t="s">
        <v>61</v>
      </c>
      <c r="D1948" t="s">
        <v>67</v>
      </c>
      <c r="E1948" t="s">
        <v>68</v>
      </c>
      <c r="F1948" t="s">
        <v>25</v>
      </c>
      <c r="G1948" s="4">
        <v>14</v>
      </c>
      <c r="H1948" s="4" t="s">
        <v>74</v>
      </c>
      <c r="I1948" s="4" t="s">
        <v>69</v>
      </c>
      <c r="J1948" s="4" t="s">
        <v>66</v>
      </c>
      <c r="K1948" s="4">
        <v>0</v>
      </c>
      <c r="L1948" s="94">
        <v>3373689</v>
      </c>
      <c r="M1948" s="94">
        <v>47231646</v>
      </c>
    </row>
    <row r="1949" spans="3:13" x14ac:dyDescent="0.3">
      <c r="C1949" t="s">
        <v>61</v>
      </c>
      <c r="D1949" t="s">
        <v>67</v>
      </c>
      <c r="E1949" t="s">
        <v>68</v>
      </c>
      <c r="F1949" t="s">
        <v>26</v>
      </c>
      <c r="G1949" s="4">
        <v>7</v>
      </c>
      <c r="H1949" s="4" t="s">
        <v>15</v>
      </c>
      <c r="I1949" s="4" t="s">
        <v>69</v>
      </c>
      <c r="J1949" s="4" t="s">
        <v>73</v>
      </c>
      <c r="K1949" s="4">
        <v>1</v>
      </c>
      <c r="L1949" s="94">
        <v>65461817</v>
      </c>
      <c r="M1949" s="94">
        <v>458232719</v>
      </c>
    </row>
    <row r="1950" spans="3:13" x14ac:dyDescent="0.3">
      <c r="C1950" t="s">
        <v>71</v>
      </c>
      <c r="D1950" t="s">
        <v>67</v>
      </c>
      <c r="E1950" t="s">
        <v>63</v>
      </c>
      <c r="F1950" t="s">
        <v>72</v>
      </c>
      <c r="G1950" s="4">
        <v>1</v>
      </c>
      <c r="H1950" s="4" t="s">
        <v>18</v>
      </c>
      <c r="I1950" s="4" t="s">
        <v>69</v>
      </c>
      <c r="J1950" s="4" t="s">
        <v>66</v>
      </c>
      <c r="K1950" s="4">
        <v>0</v>
      </c>
      <c r="L1950" s="94">
        <v>-71521</v>
      </c>
      <c r="M1950" s="94">
        <v>0</v>
      </c>
    </row>
    <row r="1951" spans="3:13" x14ac:dyDescent="0.3">
      <c r="C1951" t="s">
        <v>71</v>
      </c>
      <c r="D1951" t="s">
        <v>67</v>
      </c>
      <c r="E1951" t="s">
        <v>63</v>
      </c>
      <c r="F1951" t="s">
        <v>25</v>
      </c>
      <c r="G1951" s="4">
        <v>3</v>
      </c>
      <c r="H1951" s="4" t="s">
        <v>18</v>
      </c>
      <c r="I1951" s="4" t="s">
        <v>69</v>
      </c>
      <c r="J1951" s="4" t="s">
        <v>66</v>
      </c>
      <c r="K1951" s="4">
        <v>0</v>
      </c>
      <c r="L1951" s="94">
        <v>-86508</v>
      </c>
      <c r="M1951" s="94">
        <v>0</v>
      </c>
    </row>
    <row r="1952" spans="3:13" x14ac:dyDescent="0.3">
      <c r="C1952" t="s">
        <v>71</v>
      </c>
      <c r="D1952" t="s">
        <v>62</v>
      </c>
      <c r="E1952" t="s">
        <v>63</v>
      </c>
      <c r="F1952" t="s">
        <v>24</v>
      </c>
      <c r="G1952" s="4">
        <v>36</v>
      </c>
      <c r="I1952" s="4" t="s">
        <v>69</v>
      </c>
      <c r="J1952" s="4" t="s">
        <v>66</v>
      </c>
      <c r="K1952" s="4">
        <v>1</v>
      </c>
      <c r="L1952" s="94">
        <v>-16985</v>
      </c>
      <c r="M1952" s="94">
        <v>0</v>
      </c>
    </row>
    <row r="1953" spans="3:13" x14ac:dyDescent="0.3">
      <c r="C1953" t="s">
        <v>61</v>
      </c>
      <c r="D1953" t="s">
        <v>67</v>
      </c>
      <c r="E1953" t="s">
        <v>63</v>
      </c>
      <c r="F1953" t="s">
        <v>25</v>
      </c>
      <c r="G1953" s="4">
        <v>9</v>
      </c>
      <c r="H1953" s="4" t="s">
        <v>64</v>
      </c>
      <c r="I1953" s="4" t="s">
        <v>69</v>
      </c>
      <c r="J1953" s="4" t="s">
        <v>66</v>
      </c>
      <c r="K1953" s="4">
        <v>0</v>
      </c>
      <c r="L1953" s="94">
        <v>-4759</v>
      </c>
      <c r="M1953" s="94">
        <v>0</v>
      </c>
    </row>
    <row r="1954" spans="3:13" x14ac:dyDescent="0.3">
      <c r="C1954" t="s">
        <v>61</v>
      </c>
      <c r="D1954" t="s">
        <v>67</v>
      </c>
      <c r="E1954" t="s">
        <v>68</v>
      </c>
      <c r="F1954" t="s">
        <v>25</v>
      </c>
      <c r="G1954" s="4">
        <v>12</v>
      </c>
      <c r="H1954" s="4" t="s">
        <v>74</v>
      </c>
      <c r="I1954" s="4" t="s">
        <v>69</v>
      </c>
      <c r="J1954" s="4" t="s">
        <v>66</v>
      </c>
      <c r="K1954" s="4">
        <v>0</v>
      </c>
      <c r="L1954" s="94">
        <v>5843289</v>
      </c>
      <c r="M1954" s="94">
        <v>70119468</v>
      </c>
    </row>
    <row r="1955" spans="3:13" x14ac:dyDescent="0.3">
      <c r="C1955" t="s">
        <v>61</v>
      </c>
      <c r="D1955" t="s">
        <v>67</v>
      </c>
      <c r="E1955" t="s">
        <v>63</v>
      </c>
      <c r="F1955" t="s">
        <v>25</v>
      </c>
      <c r="G1955" s="4">
        <v>14</v>
      </c>
      <c r="H1955" s="4" t="s">
        <v>79</v>
      </c>
      <c r="I1955" s="4" t="s">
        <v>69</v>
      </c>
      <c r="J1955" s="4" t="s">
        <v>66</v>
      </c>
      <c r="K1955" s="4">
        <v>0</v>
      </c>
      <c r="L1955" s="94">
        <v>-4980</v>
      </c>
      <c r="M1955" s="94">
        <v>0</v>
      </c>
    </row>
    <row r="1956" spans="3:13" x14ac:dyDescent="0.3">
      <c r="C1956" t="s">
        <v>71</v>
      </c>
      <c r="D1956" t="s">
        <v>67</v>
      </c>
      <c r="E1956" t="s">
        <v>63</v>
      </c>
      <c r="F1956" t="s">
        <v>26</v>
      </c>
      <c r="G1956" s="4">
        <v>10</v>
      </c>
      <c r="H1956" s="4" t="s">
        <v>74</v>
      </c>
      <c r="I1956" s="4" t="s">
        <v>69</v>
      </c>
      <c r="J1956" s="4" t="s">
        <v>66</v>
      </c>
      <c r="K1956" s="4">
        <v>0</v>
      </c>
      <c r="L1956" s="94">
        <v>-19923</v>
      </c>
      <c r="M1956" s="94">
        <v>0</v>
      </c>
    </row>
    <row r="1957" spans="3:13" x14ac:dyDescent="0.3">
      <c r="C1957" t="s">
        <v>61</v>
      </c>
      <c r="D1957" t="s">
        <v>67</v>
      </c>
      <c r="E1957" t="s">
        <v>68</v>
      </c>
      <c r="F1957" t="s">
        <v>26</v>
      </c>
      <c r="G1957" s="4">
        <v>6</v>
      </c>
      <c r="H1957" s="4" t="s">
        <v>18</v>
      </c>
      <c r="I1957" s="4" t="s">
        <v>69</v>
      </c>
      <c r="J1957" s="4" t="s">
        <v>73</v>
      </c>
      <c r="K1957" s="4">
        <v>1</v>
      </c>
      <c r="L1957" s="94">
        <v>1299300</v>
      </c>
      <c r="M1957" s="94">
        <v>7795800</v>
      </c>
    </row>
    <row r="1958" spans="3:13" x14ac:dyDescent="0.3">
      <c r="C1958" t="s">
        <v>70</v>
      </c>
      <c r="D1958" t="s">
        <v>62</v>
      </c>
      <c r="E1958" t="s">
        <v>63</v>
      </c>
      <c r="F1958" t="s">
        <v>24</v>
      </c>
      <c r="G1958" s="4">
        <v>22</v>
      </c>
      <c r="I1958" s="4" t="s">
        <v>69</v>
      </c>
      <c r="J1958" s="4" t="s">
        <v>66</v>
      </c>
      <c r="K1958" s="4">
        <v>0</v>
      </c>
      <c r="L1958" s="94">
        <v>-1458221</v>
      </c>
      <c r="M1958" s="94">
        <v>0</v>
      </c>
    </row>
    <row r="1959" spans="3:13" x14ac:dyDescent="0.3">
      <c r="C1959" t="s">
        <v>61</v>
      </c>
      <c r="D1959" t="s">
        <v>67</v>
      </c>
      <c r="E1959" t="s">
        <v>63</v>
      </c>
      <c r="F1959" t="s">
        <v>72</v>
      </c>
      <c r="G1959" s="4">
        <v>4</v>
      </c>
      <c r="H1959" s="4" t="s">
        <v>74</v>
      </c>
      <c r="I1959" s="4" t="s">
        <v>69</v>
      </c>
      <c r="J1959" s="4" t="s">
        <v>66</v>
      </c>
      <c r="K1959" s="4">
        <v>0</v>
      </c>
      <c r="L1959" s="94">
        <v>-38652</v>
      </c>
      <c r="M1959" s="94">
        <v>0</v>
      </c>
    </row>
    <row r="1960" spans="3:13" x14ac:dyDescent="0.3">
      <c r="C1960" t="s">
        <v>70</v>
      </c>
      <c r="D1960" t="s">
        <v>67</v>
      </c>
      <c r="E1960" t="s">
        <v>68</v>
      </c>
      <c r="F1960" t="s">
        <v>25</v>
      </c>
      <c r="G1960" s="4">
        <v>11</v>
      </c>
      <c r="H1960" s="4" t="s">
        <v>14</v>
      </c>
      <c r="I1960" s="4" t="s">
        <v>69</v>
      </c>
      <c r="J1960" s="4" t="s">
        <v>66</v>
      </c>
      <c r="K1960" s="4">
        <v>1</v>
      </c>
      <c r="L1960" s="94">
        <v>1326129</v>
      </c>
      <c r="M1960" s="94">
        <v>14587419</v>
      </c>
    </row>
    <row r="1961" spans="3:13" x14ac:dyDescent="0.3">
      <c r="C1961" t="s">
        <v>61</v>
      </c>
      <c r="D1961" t="s">
        <v>67</v>
      </c>
      <c r="E1961" t="s">
        <v>68</v>
      </c>
      <c r="F1961" t="s">
        <v>25</v>
      </c>
      <c r="G1961" s="4">
        <v>11</v>
      </c>
      <c r="H1961" s="4" t="s">
        <v>18</v>
      </c>
      <c r="I1961" s="4" t="s">
        <v>69</v>
      </c>
      <c r="J1961" s="4" t="s">
        <v>66</v>
      </c>
      <c r="K1961" s="4">
        <v>0</v>
      </c>
      <c r="L1961" s="94">
        <v>6102065</v>
      </c>
      <c r="M1961" s="94">
        <v>67122715</v>
      </c>
    </row>
    <row r="1962" spans="3:13" x14ac:dyDescent="0.3">
      <c r="C1962" t="s">
        <v>61</v>
      </c>
      <c r="D1962" t="s">
        <v>67</v>
      </c>
      <c r="E1962" t="s">
        <v>63</v>
      </c>
      <c r="F1962" t="s">
        <v>72</v>
      </c>
      <c r="G1962" s="4">
        <v>1</v>
      </c>
      <c r="H1962" s="4" t="s">
        <v>18</v>
      </c>
      <c r="I1962" s="4" t="s">
        <v>69</v>
      </c>
      <c r="J1962" s="4" t="s">
        <v>73</v>
      </c>
      <c r="K1962" s="4">
        <v>1</v>
      </c>
      <c r="L1962" s="94">
        <v>-1326</v>
      </c>
      <c r="M1962" s="94">
        <v>0</v>
      </c>
    </row>
    <row r="1963" spans="3:13" x14ac:dyDescent="0.3">
      <c r="C1963" t="s">
        <v>70</v>
      </c>
      <c r="D1963" t="s">
        <v>62</v>
      </c>
      <c r="E1963" t="s">
        <v>68</v>
      </c>
      <c r="F1963" t="s">
        <v>24</v>
      </c>
      <c r="G1963" s="4">
        <v>44</v>
      </c>
      <c r="I1963" s="4" t="s">
        <v>69</v>
      </c>
      <c r="J1963" s="4" t="s">
        <v>66</v>
      </c>
      <c r="K1963" s="4">
        <v>0</v>
      </c>
      <c r="L1963" s="94">
        <v>1977162</v>
      </c>
      <c r="M1963" s="94">
        <v>86995128</v>
      </c>
    </row>
    <row r="1964" spans="3:13" x14ac:dyDescent="0.3">
      <c r="C1964" t="s">
        <v>61</v>
      </c>
      <c r="D1964" t="s">
        <v>67</v>
      </c>
      <c r="E1964" t="s">
        <v>63</v>
      </c>
      <c r="F1964" t="s">
        <v>25</v>
      </c>
      <c r="G1964" s="4">
        <v>4</v>
      </c>
      <c r="H1964" s="4" t="s">
        <v>12</v>
      </c>
      <c r="I1964" s="4" t="s">
        <v>69</v>
      </c>
      <c r="J1964" s="4" t="s">
        <v>66</v>
      </c>
      <c r="K1964" s="4">
        <v>1</v>
      </c>
      <c r="L1964" s="94">
        <v>-1031</v>
      </c>
      <c r="M1964" s="94">
        <v>0</v>
      </c>
    </row>
    <row r="1965" spans="3:13" x14ac:dyDescent="0.3">
      <c r="C1965" t="s">
        <v>70</v>
      </c>
      <c r="D1965" t="s">
        <v>62</v>
      </c>
      <c r="E1965" t="s">
        <v>68</v>
      </c>
      <c r="F1965" t="s">
        <v>24</v>
      </c>
      <c r="G1965" s="4">
        <v>29</v>
      </c>
      <c r="I1965" s="4" t="s">
        <v>69</v>
      </c>
      <c r="J1965" s="4" t="s">
        <v>66</v>
      </c>
      <c r="K1965" s="4">
        <v>0</v>
      </c>
      <c r="L1965" s="94">
        <v>61001835</v>
      </c>
      <c r="M1965" s="94">
        <v>1769053215</v>
      </c>
    </row>
    <row r="1966" spans="3:13" x14ac:dyDescent="0.3">
      <c r="C1966" t="s">
        <v>61</v>
      </c>
      <c r="D1966" t="s">
        <v>67</v>
      </c>
      <c r="E1966" t="s">
        <v>68</v>
      </c>
      <c r="F1966" t="s">
        <v>72</v>
      </c>
      <c r="G1966" s="4">
        <v>2</v>
      </c>
      <c r="H1966" s="4" t="s">
        <v>75</v>
      </c>
      <c r="I1966" s="4" t="s">
        <v>69</v>
      </c>
      <c r="J1966" s="4" t="s">
        <v>66</v>
      </c>
      <c r="K1966" s="4">
        <v>0</v>
      </c>
      <c r="L1966" s="94">
        <v>16746142</v>
      </c>
      <c r="M1966" s="94">
        <v>33492284</v>
      </c>
    </row>
    <row r="1967" spans="3:13" x14ac:dyDescent="0.3">
      <c r="C1967" t="s">
        <v>70</v>
      </c>
      <c r="D1967" t="s">
        <v>67</v>
      </c>
      <c r="E1967" t="s">
        <v>63</v>
      </c>
      <c r="F1967" t="s">
        <v>72</v>
      </c>
      <c r="G1967" s="4">
        <v>4</v>
      </c>
      <c r="H1967" s="4" t="s">
        <v>17</v>
      </c>
      <c r="I1967" s="4" t="s">
        <v>65</v>
      </c>
      <c r="J1967" s="4" t="s">
        <v>73</v>
      </c>
      <c r="K1967" s="4">
        <v>1</v>
      </c>
      <c r="L1967" s="94">
        <v>-7700</v>
      </c>
      <c r="M1967" s="94">
        <v>0</v>
      </c>
    </row>
    <row r="1968" spans="3:13" x14ac:dyDescent="0.3">
      <c r="C1968" t="s">
        <v>61</v>
      </c>
      <c r="D1968" t="s">
        <v>67</v>
      </c>
      <c r="E1968" t="s">
        <v>68</v>
      </c>
      <c r="F1968" t="s">
        <v>72</v>
      </c>
      <c r="G1968" s="4">
        <v>1</v>
      </c>
      <c r="H1968" s="4" t="s">
        <v>17</v>
      </c>
      <c r="I1968" s="4" t="s">
        <v>69</v>
      </c>
      <c r="J1968" s="4" t="s">
        <v>73</v>
      </c>
      <c r="K1968" s="4">
        <v>1</v>
      </c>
      <c r="L1968" s="94">
        <v>171098</v>
      </c>
      <c r="M1968" s="94">
        <v>171098</v>
      </c>
    </row>
    <row r="1969" spans="3:13" x14ac:dyDescent="0.3">
      <c r="C1969" t="s">
        <v>61</v>
      </c>
      <c r="D1969" t="s">
        <v>67</v>
      </c>
      <c r="E1969" t="s">
        <v>68</v>
      </c>
      <c r="F1969" t="s">
        <v>25</v>
      </c>
      <c r="G1969" s="4">
        <v>0</v>
      </c>
      <c r="H1969" s="4" t="s">
        <v>14</v>
      </c>
      <c r="I1969" s="4" t="s">
        <v>69</v>
      </c>
      <c r="J1969" s="4" t="s">
        <v>66</v>
      </c>
      <c r="K1969" s="4">
        <v>0</v>
      </c>
      <c r="L1969" s="94">
        <v>103466</v>
      </c>
      <c r="M1969" s="94">
        <v>0</v>
      </c>
    </row>
    <row r="1970" spans="3:13" x14ac:dyDescent="0.3">
      <c r="C1970" t="s">
        <v>71</v>
      </c>
      <c r="D1970" t="s">
        <v>62</v>
      </c>
      <c r="E1970" t="s">
        <v>63</v>
      </c>
      <c r="F1970" t="s">
        <v>24</v>
      </c>
      <c r="G1970" s="4">
        <v>0</v>
      </c>
      <c r="I1970" s="4" t="s">
        <v>69</v>
      </c>
      <c r="J1970" s="4" t="s">
        <v>66</v>
      </c>
      <c r="K1970" s="4">
        <v>0</v>
      </c>
      <c r="L1970" s="94">
        <v>-38278</v>
      </c>
      <c r="M1970" s="94">
        <v>0</v>
      </c>
    </row>
    <row r="1971" spans="3:13" x14ac:dyDescent="0.3">
      <c r="C1971" t="s">
        <v>61</v>
      </c>
      <c r="D1971" t="s">
        <v>67</v>
      </c>
      <c r="E1971" t="s">
        <v>63</v>
      </c>
      <c r="F1971" t="s">
        <v>25</v>
      </c>
      <c r="G1971" s="4">
        <v>2</v>
      </c>
      <c r="H1971" s="4" t="s">
        <v>78</v>
      </c>
      <c r="I1971" s="4" t="s">
        <v>69</v>
      </c>
      <c r="J1971" s="4" t="s">
        <v>66</v>
      </c>
      <c r="K1971" s="4">
        <v>0</v>
      </c>
      <c r="L1971" s="94">
        <v>-2797</v>
      </c>
      <c r="M1971" s="94">
        <v>0</v>
      </c>
    </row>
    <row r="1972" spans="3:13" x14ac:dyDescent="0.3">
      <c r="C1972" t="s">
        <v>61</v>
      </c>
      <c r="D1972" t="s">
        <v>67</v>
      </c>
      <c r="E1972" t="s">
        <v>63</v>
      </c>
      <c r="F1972" t="s">
        <v>26</v>
      </c>
      <c r="G1972" s="4">
        <v>3</v>
      </c>
      <c r="H1972" s="4" t="s">
        <v>14</v>
      </c>
      <c r="I1972" s="4" t="s">
        <v>69</v>
      </c>
      <c r="J1972" s="4" t="s">
        <v>66</v>
      </c>
      <c r="K1972" s="4">
        <v>0</v>
      </c>
      <c r="L1972" s="94">
        <v>-131252</v>
      </c>
      <c r="M1972" s="94">
        <v>0</v>
      </c>
    </row>
    <row r="1973" spans="3:13" x14ac:dyDescent="0.3">
      <c r="C1973" t="s">
        <v>70</v>
      </c>
      <c r="D1973" t="s">
        <v>67</v>
      </c>
      <c r="E1973" t="s">
        <v>63</v>
      </c>
      <c r="F1973" t="s">
        <v>72</v>
      </c>
      <c r="G1973" s="4">
        <v>0</v>
      </c>
      <c r="H1973" s="4" t="s">
        <v>12</v>
      </c>
      <c r="I1973" s="4" t="s">
        <v>69</v>
      </c>
      <c r="J1973" s="4" t="s">
        <v>66</v>
      </c>
      <c r="K1973" s="4">
        <v>0</v>
      </c>
      <c r="L1973" s="94">
        <v>-296</v>
      </c>
      <c r="M1973" s="94">
        <v>0</v>
      </c>
    </row>
    <row r="1974" spans="3:13" x14ac:dyDescent="0.3">
      <c r="C1974" t="s">
        <v>71</v>
      </c>
      <c r="D1974" t="s">
        <v>67</v>
      </c>
      <c r="E1974" t="s">
        <v>63</v>
      </c>
      <c r="F1974" t="s">
        <v>26</v>
      </c>
      <c r="G1974" s="4">
        <v>11</v>
      </c>
      <c r="H1974" s="4" t="s">
        <v>17</v>
      </c>
      <c r="I1974" s="4" t="s">
        <v>65</v>
      </c>
      <c r="J1974" s="4" t="s">
        <v>73</v>
      </c>
      <c r="K1974" s="4">
        <v>1</v>
      </c>
      <c r="L1974" s="94">
        <v>-120269</v>
      </c>
      <c r="M1974" s="94">
        <v>0</v>
      </c>
    </row>
    <row r="1975" spans="3:13" x14ac:dyDescent="0.3">
      <c r="C1975" t="s">
        <v>70</v>
      </c>
      <c r="D1975" t="s">
        <v>67</v>
      </c>
      <c r="E1975" t="s">
        <v>68</v>
      </c>
      <c r="F1975" t="s">
        <v>25</v>
      </c>
      <c r="G1975" s="4">
        <v>8</v>
      </c>
      <c r="H1975" s="4" t="s">
        <v>80</v>
      </c>
      <c r="I1975" s="4" t="s">
        <v>65</v>
      </c>
      <c r="J1975" s="4" t="s">
        <v>66</v>
      </c>
      <c r="K1975" s="4">
        <v>1</v>
      </c>
      <c r="L1975" s="94">
        <v>68274</v>
      </c>
      <c r="M1975" s="94">
        <v>546192</v>
      </c>
    </row>
    <row r="1976" spans="3:13" x14ac:dyDescent="0.3">
      <c r="C1976" t="s">
        <v>61</v>
      </c>
      <c r="D1976" t="s">
        <v>62</v>
      </c>
      <c r="E1976" t="s">
        <v>68</v>
      </c>
      <c r="F1976" t="s">
        <v>24</v>
      </c>
      <c r="G1976" s="4">
        <v>29</v>
      </c>
      <c r="I1976" s="4" t="s">
        <v>65</v>
      </c>
      <c r="J1976" s="4" t="s">
        <v>66</v>
      </c>
      <c r="K1976" s="4">
        <v>1</v>
      </c>
      <c r="L1976" s="94">
        <v>14812838</v>
      </c>
      <c r="M1976" s="94">
        <v>429572302</v>
      </c>
    </row>
    <row r="1977" spans="3:13" x14ac:dyDescent="0.3">
      <c r="C1977" t="s">
        <v>70</v>
      </c>
      <c r="D1977" t="s">
        <v>67</v>
      </c>
      <c r="E1977" t="s">
        <v>68</v>
      </c>
      <c r="F1977" t="s">
        <v>26</v>
      </c>
      <c r="G1977" s="4">
        <v>7</v>
      </c>
      <c r="H1977" s="4" t="s">
        <v>76</v>
      </c>
      <c r="I1977" s="4" t="s">
        <v>69</v>
      </c>
      <c r="J1977" s="4" t="s">
        <v>66</v>
      </c>
      <c r="K1977" s="4">
        <v>0</v>
      </c>
      <c r="L1977" s="94">
        <v>724981</v>
      </c>
      <c r="M1977" s="94">
        <v>5074867</v>
      </c>
    </row>
    <row r="1978" spans="3:13" x14ac:dyDescent="0.3">
      <c r="C1978" t="s">
        <v>70</v>
      </c>
      <c r="D1978" t="s">
        <v>67</v>
      </c>
      <c r="E1978" t="s">
        <v>63</v>
      </c>
      <c r="F1978" t="s">
        <v>26</v>
      </c>
      <c r="G1978" s="4">
        <v>1</v>
      </c>
      <c r="H1978" s="4" t="s">
        <v>77</v>
      </c>
      <c r="I1978" s="4" t="s">
        <v>69</v>
      </c>
      <c r="J1978" s="4" t="s">
        <v>66</v>
      </c>
      <c r="K1978" s="4">
        <v>0</v>
      </c>
      <c r="L1978" s="94">
        <v>-55824</v>
      </c>
      <c r="M1978" s="94">
        <v>0</v>
      </c>
    </row>
    <row r="1979" spans="3:13" x14ac:dyDescent="0.3">
      <c r="C1979" t="s">
        <v>70</v>
      </c>
      <c r="D1979" t="s">
        <v>67</v>
      </c>
      <c r="E1979" t="s">
        <v>68</v>
      </c>
      <c r="F1979" t="s">
        <v>26</v>
      </c>
      <c r="G1979" s="4">
        <v>-1</v>
      </c>
      <c r="H1979" s="4" t="s">
        <v>80</v>
      </c>
      <c r="I1979" s="4" t="s">
        <v>69</v>
      </c>
      <c r="J1979" s="4" t="s">
        <v>66</v>
      </c>
      <c r="K1979" s="4">
        <v>0</v>
      </c>
      <c r="L1979" s="94">
        <v>1219985</v>
      </c>
      <c r="M1979" s="94">
        <v>0</v>
      </c>
    </row>
    <row r="1980" spans="3:13" x14ac:dyDescent="0.3">
      <c r="C1980" t="s">
        <v>71</v>
      </c>
      <c r="D1980" t="s">
        <v>62</v>
      </c>
      <c r="E1980" t="s">
        <v>63</v>
      </c>
      <c r="F1980" t="s">
        <v>24</v>
      </c>
      <c r="G1980" s="4">
        <v>22</v>
      </c>
      <c r="I1980" s="4" t="s">
        <v>69</v>
      </c>
      <c r="J1980" s="4" t="s">
        <v>66</v>
      </c>
      <c r="K1980" s="4">
        <v>0</v>
      </c>
      <c r="L1980" s="94">
        <v>-3095662</v>
      </c>
      <c r="M1980" s="94">
        <v>0</v>
      </c>
    </row>
    <row r="1981" spans="3:13" x14ac:dyDescent="0.3">
      <c r="C1981" t="s">
        <v>70</v>
      </c>
      <c r="D1981" t="s">
        <v>67</v>
      </c>
      <c r="E1981" t="s">
        <v>68</v>
      </c>
      <c r="F1981" t="s">
        <v>26</v>
      </c>
      <c r="G1981" s="4">
        <v>3</v>
      </c>
      <c r="H1981" s="4" t="s">
        <v>17</v>
      </c>
      <c r="I1981" s="4" t="s">
        <v>65</v>
      </c>
      <c r="J1981" s="4" t="s">
        <v>73</v>
      </c>
      <c r="K1981" s="4">
        <v>1</v>
      </c>
      <c r="L1981" s="94">
        <v>889280</v>
      </c>
      <c r="M1981" s="94">
        <v>2667840</v>
      </c>
    </row>
    <row r="1982" spans="3:13" x14ac:dyDescent="0.3">
      <c r="C1982" t="s">
        <v>61</v>
      </c>
      <c r="D1982" t="s">
        <v>67</v>
      </c>
      <c r="E1982" t="s">
        <v>63</v>
      </c>
      <c r="F1982" t="s">
        <v>72</v>
      </c>
      <c r="G1982" s="4">
        <v>3</v>
      </c>
      <c r="H1982" s="4" t="s">
        <v>80</v>
      </c>
      <c r="I1982" s="4" t="s">
        <v>69</v>
      </c>
      <c r="J1982" s="4" t="s">
        <v>66</v>
      </c>
      <c r="K1982" s="4">
        <v>0</v>
      </c>
      <c r="L1982" s="94">
        <v>-1829</v>
      </c>
      <c r="M1982" s="94">
        <v>0</v>
      </c>
    </row>
    <row r="1983" spans="3:13" x14ac:dyDescent="0.3">
      <c r="C1983" t="s">
        <v>70</v>
      </c>
      <c r="D1983" t="s">
        <v>67</v>
      </c>
      <c r="E1983" t="s">
        <v>63</v>
      </c>
      <c r="F1983" t="s">
        <v>26</v>
      </c>
      <c r="G1983" s="4">
        <v>9</v>
      </c>
      <c r="H1983" s="4" t="s">
        <v>75</v>
      </c>
      <c r="I1983" s="4" t="s">
        <v>69</v>
      </c>
      <c r="J1983" s="4" t="s">
        <v>66</v>
      </c>
      <c r="K1983" s="4">
        <v>0</v>
      </c>
      <c r="L1983" s="94">
        <v>-29023</v>
      </c>
      <c r="M1983" s="94">
        <v>0</v>
      </c>
    </row>
    <row r="1984" spans="3:13" x14ac:dyDescent="0.3">
      <c r="C1984" t="s">
        <v>61</v>
      </c>
      <c r="D1984" t="s">
        <v>67</v>
      </c>
      <c r="E1984" t="s">
        <v>68</v>
      </c>
      <c r="F1984" t="s">
        <v>25</v>
      </c>
      <c r="G1984" s="4">
        <v>4</v>
      </c>
      <c r="H1984" s="4" t="s">
        <v>64</v>
      </c>
      <c r="I1984" s="4" t="s">
        <v>69</v>
      </c>
      <c r="J1984" s="4" t="s">
        <v>66</v>
      </c>
      <c r="K1984" s="4">
        <v>0</v>
      </c>
      <c r="L1984" s="94">
        <v>964865</v>
      </c>
      <c r="M1984" s="94">
        <v>3859460</v>
      </c>
    </row>
    <row r="1985" spans="3:13" x14ac:dyDescent="0.3">
      <c r="C1985" t="s">
        <v>61</v>
      </c>
      <c r="D1985" t="s">
        <v>88</v>
      </c>
      <c r="E1985" t="s">
        <v>63</v>
      </c>
      <c r="F1985" t="s">
        <v>24</v>
      </c>
      <c r="G1985" s="4">
        <v>3</v>
      </c>
      <c r="H1985" s="4" t="s">
        <v>86</v>
      </c>
      <c r="I1985" s="4" t="s">
        <v>69</v>
      </c>
      <c r="J1985" s="4" t="s">
        <v>66</v>
      </c>
      <c r="K1985" s="4">
        <v>0</v>
      </c>
      <c r="L1985" s="94">
        <v>-21</v>
      </c>
      <c r="M1985" s="94">
        <v>0</v>
      </c>
    </row>
    <row r="1986" spans="3:13" x14ac:dyDescent="0.3">
      <c r="C1986" t="s">
        <v>61</v>
      </c>
      <c r="D1986" t="s">
        <v>67</v>
      </c>
      <c r="E1986" t="s">
        <v>63</v>
      </c>
      <c r="F1986" t="s">
        <v>72</v>
      </c>
      <c r="G1986" s="4">
        <v>0</v>
      </c>
      <c r="H1986" s="4" t="s">
        <v>86</v>
      </c>
      <c r="I1986" s="4" t="s">
        <v>69</v>
      </c>
      <c r="J1986" s="4" t="s">
        <v>66</v>
      </c>
      <c r="K1986" s="4">
        <v>0</v>
      </c>
      <c r="L1986" s="94">
        <v>-42</v>
      </c>
      <c r="M1986" s="94">
        <v>0</v>
      </c>
    </row>
    <row r="1987" spans="3:13" x14ac:dyDescent="0.3">
      <c r="C1987" t="s">
        <v>61</v>
      </c>
      <c r="D1987" t="s">
        <v>67</v>
      </c>
      <c r="E1987" t="s">
        <v>68</v>
      </c>
      <c r="F1987" t="s">
        <v>25</v>
      </c>
      <c r="G1987" s="4">
        <v>11</v>
      </c>
      <c r="H1987" s="4" t="s">
        <v>76</v>
      </c>
      <c r="I1987" s="4" t="s">
        <v>69</v>
      </c>
      <c r="J1987" s="4" t="s">
        <v>66</v>
      </c>
      <c r="K1987" s="4">
        <v>0</v>
      </c>
      <c r="L1987" s="94">
        <v>73003585</v>
      </c>
      <c r="M1987" s="94">
        <v>803039435</v>
      </c>
    </row>
    <row r="1988" spans="3:13" x14ac:dyDescent="0.3">
      <c r="C1988" t="s">
        <v>61</v>
      </c>
      <c r="D1988" t="s">
        <v>67</v>
      </c>
      <c r="E1988" t="s">
        <v>63</v>
      </c>
      <c r="F1988" t="s">
        <v>72</v>
      </c>
      <c r="G1988" s="4">
        <v>4</v>
      </c>
      <c r="H1988" s="4" t="s">
        <v>14</v>
      </c>
      <c r="I1988" s="4" t="s">
        <v>69</v>
      </c>
      <c r="J1988" s="4" t="s">
        <v>66</v>
      </c>
      <c r="K1988" s="4">
        <v>0</v>
      </c>
      <c r="L1988" s="94">
        <v>-13790</v>
      </c>
      <c r="M1988" s="94">
        <v>0</v>
      </c>
    </row>
    <row r="1989" spans="3:13" x14ac:dyDescent="0.3">
      <c r="C1989" t="s">
        <v>70</v>
      </c>
      <c r="D1989" t="s">
        <v>62</v>
      </c>
      <c r="E1989" t="s">
        <v>63</v>
      </c>
      <c r="F1989" t="s">
        <v>25</v>
      </c>
      <c r="G1989" s="4">
        <v>19</v>
      </c>
      <c r="I1989" s="4" t="s">
        <v>69</v>
      </c>
      <c r="J1989" s="4" t="s">
        <v>66</v>
      </c>
      <c r="K1989" s="4">
        <v>0</v>
      </c>
      <c r="L1989" s="94">
        <v>-2955</v>
      </c>
      <c r="M1989" s="94">
        <v>0</v>
      </c>
    </row>
    <row r="1990" spans="3:13" x14ac:dyDescent="0.3">
      <c r="C1990" t="s">
        <v>61</v>
      </c>
      <c r="D1990" t="s">
        <v>67</v>
      </c>
      <c r="E1990" t="s">
        <v>68</v>
      </c>
      <c r="F1990" t="s">
        <v>26</v>
      </c>
      <c r="G1990" s="4">
        <v>8</v>
      </c>
      <c r="H1990" s="4" t="s">
        <v>15</v>
      </c>
      <c r="I1990" s="4" t="s">
        <v>69</v>
      </c>
      <c r="J1990" s="4" t="s">
        <v>73</v>
      </c>
      <c r="K1990" s="4">
        <v>1</v>
      </c>
      <c r="L1990" s="94">
        <v>230644</v>
      </c>
      <c r="M1990" s="94">
        <v>1845152</v>
      </c>
    </row>
    <row r="1991" spans="3:13" x14ac:dyDescent="0.3">
      <c r="C1991" t="s">
        <v>70</v>
      </c>
      <c r="D1991" t="s">
        <v>62</v>
      </c>
      <c r="E1991" t="s">
        <v>63</v>
      </c>
      <c r="F1991" t="s">
        <v>25</v>
      </c>
      <c r="G1991" s="4">
        <v>11</v>
      </c>
      <c r="I1991" s="4" t="s">
        <v>69</v>
      </c>
      <c r="J1991" s="4" t="s">
        <v>66</v>
      </c>
      <c r="K1991" s="4">
        <v>1</v>
      </c>
      <c r="L1991" s="94">
        <v>-416</v>
      </c>
      <c r="M1991" s="94">
        <v>0</v>
      </c>
    </row>
    <row r="1992" spans="3:13" x14ac:dyDescent="0.3">
      <c r="C1992" t="s">
        <v>70</v>
      </c>
      <c r="D1992" t="s">
        <v>67</v>
      </c>
      <c r="E1992" t="s">
        <v>63</v>
      </c>
      <c r="F1992" t="s">
        <v>26</v>
      </c>
      <c r="G1992" s="4">
        <v>-1</v>
      </c>
      <c r="H1992" s="4" t="s">
        <v>64</v>
      </c>
      <c r="I1992" s="4" t="s">
        <v>69</v>
      </c>
      <c r="J1992" s="4" t="s">
        <v>66</v>
      </c>
      <c r="K1992" s="4">
        <v>0</v>
      </c>
      <c r="L1992" s="94">
        <v>-462277</v>
      </c>
      <c r="M1992" s="94">
        <v>0</v>
      </c>
    </row>
    <row r="1993" spans="3:13" x14ac:dyDescent="0.3">
      <c r="C1993" t="s">
        <v>61</v>
      </c>
      <c r="D1993" t="s">
        <v>67</v>
      </c>
      <c r="E1993" t="s">
        <v>68</v>
      </c>
      <c r="F1993" t="s">
        <v>72</v>
      </c>
      <c r="G1993" s="4">
        <v>3</v>
      </c>
      <c r="H1993" s="4" t="s">
        <v>14</v>
      </c>
      <c r="I1993" s="4" t="s">
        <v>69</v>
      </c>
      <c r="J1993" s="4" t="s">
        <v>73</v>
      </c>
      <c r="K1993" s="4">
        <v>1</v>
      </c>
      <c r="L1993" s="94">
        <v>10329044</v>
      </c>
      <c r="M1993" s="94">
        <v>30987132</v>
      </c>
    </row>
    <row r="1994" spans="3:13" x14ac:dyDescent="0.3">
      <c r="C1994" t="s">
        <v>70</v>
      </c>
      <c r="D1994" t="s">
        <v>67</v>
      </c>
      <c r="E1994" t="s">
        <v>63</v>
      </c>
      <c r="F1994" t="s">
        <v>26</v>
      </c>
      <c r="G1994" s="4">
        <v>-4</v>
      </c>
      <c r="H1994" s="4" t="s">
        <v>74</v>
      </c>
      <c r="I1994" s="4" t="s">
        <v>69</v>
      </c>
      <c r="J1994" s="4" t="s">
        <v>66</v>
      </c>
      <c r="K1994" s="4">
        <v>0</v>
      </c>
      <c r="L1994" s="94">
        <v>-179</v>
      </c>
      <c r="M1994" s="94">
        <v>0</v>
      </c>
    </row>
    <row r="1995" spans="3:13" x14ac:dyDescent="0.3">
      <c r="C1995" t="s">
        <v>71</v>
      </c>
      <c r="D1995" t="s">
        <v>67</v>
      </c>
      <c r="E1995" t="s">
        <v>68</v>
      </c>
      <c r="F1995" t="s">
        <v>25</v>
      </c>
      <c r="G1995" s="4">
        <v>-1</v>
      </c>
      <c r="H1995" s="4" t="s">
        <v>14</v>
      </c>
      <c r="I1995" s="4" t="s">
        <v>69</v>
      </c>
      <c r="J1995" s="4" t="s">
        <v>66</v>
      </c>
      <c r="K1995" s="4">
        <v>1</v>
      </c>
      <c r="L1995" s="94">
        <v>317</v>
      </c>
      <c r="M1995" s="94">
        <v>0</v>
      </c>
    </row>
    <row r="1996" spans="3:13" x14ac:dyDescent="0.3">
      <c r="C1996" t="s">
        <v>61</v>
      </c>
      <c r="D1996" t="s">
        <v>67</v>
      </c>
      <c r="E1996" t="s">
        <v>68</v>
      </c>
      <c r="F1996" t="s">
        <v>26</v>
      </c>
      <c r="G1996" s="4">
        <v>8</v>
      </c>
      <c r="H1996" s="4" t="s">
        <v>14</v>
      </c>
      <c r="I1996" s="4" t="s">
        <v>65</v>
      </c>
      <c r="J1996" s="4" t="s">
        <v>66</v>
      </c>
      <c r="K1996" s="4">
        <v>1</v>
      </c>
      <c r="L1996" s="94">
        <v>350832</v>
      </c>
      <c r="M1996" s="94">
        <v>2806656</v>
      </c>
    </row>
    <row r="1997" spans="3:13" x14ac:dyDescent="0.3">
      <c r="C1997" t="s">
        <v>70</v>
      </c>
      <c r="D1997" t="s">
        <v>62</v>
      </c>
      <c r="E1997" t="s">
        <v>68</v>
      </c>
      <c r="F1997" t="s">
        <v>24</v>
      </c>
      <c r="G1997" s="4">
        <v>2</v>
      </c>
      <c r="I1997" s="4" t="s">
        <v>69</v>
      </c>
      <c r="J1997" s="4" t="s">
        <v>66</v>
      </c>
      <c r="K1997" s="4">
        <v>1</v>
      </c>
      <c r="L1997" s="94">
        <v>50097</v>
      </c>
      <c r="M1997" s="94">
        <v>100194</v>
      </c>
    </row>
    <row r="1998" spans="3:13" x14ac:dyDescent="0.3">
      <c r="C1998" t="s">
        <v>61</v>
      </c>
      <c r="D1998" t="s">
        <v>62</v>
      </c>
      <c r="E1998" t="s">
        <v>63</v>
      </c>
      <c r="F1998" t="s">
        <v>24</v>
      </c>
      <c r="G1998" s="4">
        <v>1</v>
      </c>
      <c r="I1998" s="4" t="s">
        <v>69</v>
      </c>
      <c r="J1998" s="4" t="s">
        <v>66</v>
      </c>
      <c r="K1998" s="4">
        <v>0</v>
      </c>
      <c r="L1998" s="94">
        <v>-5149</v>
      </c>
      <c r="M1998" s="94">
        <v>0</v>
      </c>
    </row>
    <row r="1999" spans="3:13" x14ac:dyDescent="0.3">
      <c r="C1999" t="s">
        <v>70</v>
      </c>
      <c r="D1999" t="s">
        <v>67</v>
      </c>
      <c r="E1999" t="s">
        <v>68</v>
      </c>
      <c r="F1999" t="s">
        <v>26</v>
      </c>
      <c r="G1999" s="4">
        <v>5</v>
      </c>
      <c r="H1999" s="4" t="s">
        <v>17</v>
      </c>
      <c r="I1999" s="4" t="s">
        <v>65</v>
      </c>
      <c r="J1999" s="4" t="s">
        <v>73</v>
      </c>
      <c r="K1999" s="4">
        <v>1</v>
      </c>
      <c r="L1999" s="94">
        <v>152925</v>
      </c>
      <c r="M1999" s="94">
        <v>764625</v>
      </c>
    </row>
    <row r="2000" spans="3:13" x14ac:dyDescent="0.3">
      <c r="C2000" t="s">
        <v>71</v>
      </c>
      <c r="D2000" t="s">
        <v>67</v>
      </c>
      <c r="E2000" t="s">
        <v>63</v>
      </c>
      <c r="F2000" t="s">
        <v>72</v>
      </c>
      <c r="G2000" s="4">
        <v>0</v>
      </c>
      <c r="H2000" s="4" t="s">
        <v>82</v>
      </c>
      <c r="I2000" s="4" t="s">
        <v>65</v>
      </c>
      <c r="J2000" s="4" t="s">
        <v>66</v>
      </c>
      <c r="K2000" s="4">
        <v>1</v>
      </c>
      <c r="L2000" s="94">
        <v>-8196</v>
      </c>
      <c r="M2000" s="94">
        <v>0</v>
      </c>
    </row>
    <row r="2001" spans="3:13" x14ac:dyDescent="0.3">
      <c r="C2001" t="s">
        <v>70</v>
      </c>
      <c r="D2001" t="s">
        <v>67</v>
      </c>
      <c r="E2001" t="s">
        <v>68</v>
      </c>
      <c r="F2001" t="s">
        <v>26</v>
      </c>
      <c r="G2001" s="4">
        <v>1</v>
      </c>
      <c r="H2001" s="4" t="s">
        <v>13</v>
      </c>
      <c r="I2001" s="4" t="s">
        <v>69</v>
      </c>
      <c r="J2001" s="4" t="s">
        <v>73</v>
      </c>
      <c r="K2001" s="4">
        <v>1</v>
      </c>
      <c r="L2001" s="94">
        <v>68943</v>
      </c>
      <c r="M2001" s="94">
        <v>68943</v>
      </c>
    </row>
    <row r="2002" spans="3:13" x14ac:dyDescent="0.3">
      <c r="C2002" t="s">
        <v>61</v>
      </c>
      <c r="D2002" t="s">
        <v>84</v>
      </c>
      <c r="E2002" t="s">
        <v>63</v>
      </c>
      <c r="F2002" t="s">
        <v>25</v>
      </c>
      <c r="G2002" s="4">
        <v>11</v>
      </c>
      <c r="H2002" s="4" t="s">
        <v>75</v>
      </c>
      <c r="I2002" s="4" t="s">
        <v>65</v>
      </c>
      <c r="J2002" s="4" t="s">
        <v>66</v>
      </c>
      <c r="K2002" s="4">
        <v>1</v>
      </c>
      <c r="L2002" s="94">
        <v>-866</v>
      </c>
      <c r="M2002" s="94">
        <v>0</v>
      </c>
    </row>
    <row r="2003" spans="3:13" x14ac:dyDescent="0.3">
      <c r="C2003" t="s">
        <v>61</v>
      </c>
      <c r="D2003" t="s">
        <v>84</v>
      </c>
      <c r="E2003" t="s">
        <v>68</v>
      </c>
      <c r="F2003" t="s">
        <v>25</v>
      </c>
      <c r="G2003" s="4">
        <v>-1</v>
      </c>
      <c r="H2003" s="4" t="s">
        <v>81</v>
      </c>
      <c r="I2003" s="4" t="s">
        <v>69</v>
      </c>
      <c r="J2003" s="4" t="s">
        <v>66</v>
      </c>
      <c r="K2003" s="4">
        <v>0</v>
      </c>
      <c r="L2003" s="94">
        <v>3259045</v>
      </c>
      <c r="M2003" s="94">
        <v>0</v>
      </c>
    </row>
    <row r="2004" spans="3:13" x14ac:dyDescent="0.3">
      <c r="C2004" t="s">
        <v>70</v>
      </c>
      <c r="D2004" t="s">
        <v>67</v>
      </c>
      <c r="E2004" t="s">
        <v>63</v>
      </c>
      <c r="F2004" t="s">
        <v>72</v>
      </c>
      <c r="G2004" s="4">
        <v>-1</v>
      </c>
      <c r="H2004" s="4" t="s">
        <v>12</v>
      </c>
      <c r="I2004" s="4" t="s">
        <v>69</v>
      </c>
      <c r="J2004" s="4" t="s">
        <v>73</v>
      </c>
      <c r="K2004" s="4">
        <v>1</v>
      </c>
      <c r="L2004" s="94">
        <v>-2197</v>
      </c>
      <c r="M2004" s="94">
        <v>0</v>
      </c>
    </row>
    <row r="2005" spans="3:13" x14ac:dyDescent="0.3">
      <c r="C2005" t="s">
        <v>61</v>
      </c>
      <c r="D2005" t="s">
        <v>67</v>
      </c>
      <c r="E2005" t="s">
        <v>63</v>
      </c>
      <c r="F2005" t="s">
        <v>26</v>
      </c>
      <c r="G2005" s="4">
        <v>2</v>
      </c>
      <c r="H2005" s="4" t="s">
        <v>13</v>
      </c>
      <c r="I2005" s="4" t="s">
        <v>69</v>
      </c>
      <c r="J2005" s="4" t="s">
        <v>73</v>
      </c>
      <c r="K2005" s="4">
        <v>1</v>
      </c>
      <c r="L2005" s="94">
        <v>-792</v>
      </c>
      <c r="M2005" s="94">
        <v>0</v>
      </c>
    </row>
    <row r="2006" spans="3:13" x14ac:dyDescent="0.3">
      <c r="C2006" t="s">
        <v>71</v>
      </c>
      <c r="D2006" t="s">
        <v>67</v>
      </c>
      <c r="E2006" t="s">
        <v>63</v>
      </c>
      <c r="F2006" t="s">
        <v>72</v>
      </c>
      <c r="G2006" s="4">
        <v>1</v>
      </c>
      <c r="H2006" s="4" t="s">
        <v>76</v>
      </c>
      <c r="I2006" s="4" t="s">
        <v>69</v>
      </c>
      <c r="J2006" s="4" t="s">
        <v>66</v>
      </c>
      <c r="K2006" s="4">
        <v>0</v>
      </c>
      <c r="L2006" s="94">
        <v>-40849</v>
      </c>
      <c r="M2006" s="94">
        <v>0</v>
      </c>
    </row>
    <row r="2007" spans="3:13" x14ac:dyDescent="0.3">
      <c r="C2007" t="s">
        <v>70</v>
      </c>
      <c r="D2007" t="s">
        <v>67</v>
      </c>
      <c r="E2007" t="s">
        <v>63</v>
      </c>
      <c r="F2007" t="s">
        <v>25</v>
      </c>
      <c r="G2007" s="4">
        <v>9</v>
      </c>
      <c r="H2007" s="4" t="s">
        <v>12</v>
      </c>
      <c r="I2007" s="4" t="s">
        <v>69</v>
      </c>
      <c r="J2007" s="4" t="s">
        <v>66</v>
      </c>
      <c r="K2007" s="4">
        <v>0</v>
      </c>
      <c r="L2007" s="94">
        <v>-55082</v>
      </c>
      <c r="M2007" s="94">
        <v>0</v>
      </c>
    </row>
    <row r="2008" spans="3:13" x14ac:dyDescent="0.3">
      <c r="C2008" t="s">
        <v>71</v>
      </c>
      <c r="D2008" t="s">
        <v>67</v>
      </c>
      <c r="E2008" t="s">
        <v>68</v>
      </c>
      <c r="F2008" t="s">
        <v>26</v>
      </c>
      <c r="G2008" s="4">
        <v>6</v>
      </c>
      <c r="H2008" s="4" t="s">
        <v>14</v>
      </c>
      <c r="I2008" s="4" t="s">
        <v>69</v>
      </c>
      <c r="J2008" s="4" t="s">
        <v>73</v>
      </c>
      <c r="K2008" s="4">
        <v>1</v>
      </c>
      <c r="L2008" s="94">
        <v>1405589</v>
      </c>
      <c r="M2008" s="94">
        <v>8433534</v>
      </c>
    </row>
    <row r="2009" spans="3:13" x14ac:dyDescent="0.3">
      <c r="C2009" t="s">
        <v>70</v>
      </c>
      <c r="D2009" t="s">
        <v>67</v>
      </c>
      <c r="E2009" t="s">
        <v>68</v>
      </c>
      <c r="F2009" t="s">
        <v>26</v>
      </c>
      <c r="G2009" s="4">
        <v>7</v>
      </c>
      <c r="H2009" s="4" t="s">
        <v>18</v>
      </c>
      <c r="I2009" s="4" t="s">
        <v>69</v>
      </c>
      <c r="J2009" s="4" t="s">
        <v>66</v>
      </c>
      <c r="K2009" s="4">
        <v>0</v>
      </c>
      <c r="L2009" s="94">
        <v>1976550</v>
      </c>
      <c r="M2009" s="94">
        <v>13835850</v>
      </c>
    </row>
    <row r="2010" spans="3:13" x14ac:dyDescent="0.3">
      <c r="C2010" t="s">
        <v>61</v>
      </c>
      <c r="D2010" t="s">
        <v>67</v>
      </c>
      <c r="E2010" t="s">
        <v>63</v>
      </c>
      <c r="F2010" t="s">
        <v>25</v>
      </c>
      <c r="G2010" s="4">
        <v>12</v>
      </c>
      <c r="H2010" s="4" t="s">
        <v>17</v>
      </c>
      <c r="I2010" s="4" t="s">
        <v>69</v>
      </c>
      <c r="J2010" s="4" t="s">
        <v>66</v>
      </c>
      <c r="K2010" s="4">
        <v>1</v>
      </c>
      <c r="L2010" s="94">
        <v>-65</v>
      </c>
      <c r="M2010" s="94">
        <v>0</v>
      </c>
    </row>
    <row r="2011" spans="3:13" x14ac:dyDescent="0.3">
      <c r="C2011" t="s">
        <v>61</v>
      </c>
      <c r="D2011" t="s">
        <v>62</v>
      </c>
      <c r="E2011" t="s">
        <v>68</v>
      </c>
      <c r="F2011" t="s">
        <v>25</v>
      </c>
      <c r="G2011" s="4">
        <v>4</v>
      </c>
      <c r="I2011" s="4" t="s">
        <v>69</v>
      </c>
      <c r="J2011" s="4" t="s">
        <v>66</v>
      </c>
      <c r="K2011" s="4">
        <v>1</v>
      </c>
      <c r="L2011" s="94">
        <v>22314</v>
      </c>
      <c r="M2011" s="94">
        <v>89256</v>
      </c>
    </row>
    <row r="2012" spans="3:13" x14ac:dyDescent="0.3">
      <c r="C2012" t="s">
        <v>61</v>
      </c>
      <c r="D2012" t="s">
        <v>67</v>
      </c>
      <c r="E2012" t="s">
        <v>63</v>
      </c>
      <c r="F2012" t="s">
        <v>72</v>
      </c>
      <c r="G2012" s="4">
        <v>2</v>
      </c>
      <c r="H2012" s="4" t="s">
        <v>16</v>
      </c>
      <c r="I2012" s="4" t="s">
        <v>69</v>
      </c>
      <c r="J2012" s="4" t="s">
        <v>66</v>
      </c>
      <c r="K2012" s="4">
        <v>0</v>
      </c>
      <c r="L2012" s="94">
        <v>-337</v>
      </c>
      <c r="M2012" s="94">
        <v>0</v>
      </c>
    </row>
    <row r="2013" spans="3:13" x14ac:dyDescent="0.3">
      <c r="C2013" t="s">
        <v>71</v>
      </c>
      <c r="D2013" t="s">
        <v>62</v>
      </c>
      <c r="E2013" t="s">
        <v>63</v>
      </c>
      <c r="F2013" t="s">
        <v>25</v>
      </c>
      <c r="G2013" s="4">
        <v>1</v>
      </c>
      <c r="I2013" s="4" t="s">
        <v>69</v>
      </c>
      <c r="J2013" s="4" t="s">
        <v>66</v>
      </c>
      <c r="K2013" s="4">
        <v>0</v>
      </c>
      <c r="L2013" s="94">
        <v>-15548</v>
      </c>
      <c r="M2013" s="94">
        <v>0</v>
      </c>
    </row>
    <row r="2014" spans="3:13" x14ac:dyDescent="0.3">
      <c r="C2014" t="s">
        <v>61</v>
      </c>
      <c r="D2014" t="s">
        <v>67</v>
      </c>
      <c r="E2014" t="s">
        <v>68</v>
      </c>
      <c r="F2014" t="s">
        <v>72</v>
      </c>
      <c r="G2014" s="4">
        <v>-1</v>
      </c>
      <c r="H2014" s="4" t="s">
        <v>83</v>
      </c>
      <c r="I2014" s="4" t="s">
        <v>69</v>
      </c>
      <c r="J2014" s="4" t="s">
        <v>66</v>
      </c>
      <c r="K2014" s="4">
        <v>0</v>
      </c>
      <c r="L2014" s="94">
        <v>40268</v>
      </c>
      <c r="M2014" s="94">
        <v>0</v>
      </c>
    </row>
    <row r="2015" spans="3:13" x14ac:dyDescent="0.3">
      <c r="C2015" t="s">
        <v>61</v>
      </c>
      <c r="D2015" t="s">
        <v>67</v>
      </c>
      <c r="E2015" t="s">
        <v>68</v>
      </c>
      <c r="F2015" t="s">
        <v>72</v>
      </c>
      <c r="G2015" s="4">
        <v>4</v>
      </c>
      <c r="H2015" s="4" t="s">
        <v>79</v>
      </c>
      <c r="I2015" s="4" t="s">
        <v>69</v>
      </c>
      <c r="J2015" s="4" t="s">
        <v>66</v>
      </c>
      <c r="K2015" s="4">
        <v>0</v>
      </c>
      <c r="L2015" s="94">
        <v>9984662</v>
      </c>
      <c r="M2015" s="94">
        <v>39938648</v>
      </c>
    </row>
    <row r="2016" spans="3:13" x14ac:dyDescent="0.3">
      <c r="C2016" t="s">
        <v>71</v>
      </c>
      <c r="D2016" t="s">
        <v>67</v>
      </c>
      <c r="E2016" t="s">
        <v>63</v>
      </c>
      <c r="F2016" t="s">
        <v>26</v>
      </c>
      <c r="G2016" s="4">
        <v>2</v>
      </c>
      <c r="H2016" s="4" t="s">
        <v>18</v>
      </c>
      <c r="I2016" s="4" t="s">
        <v>65</v>
      </c>
      <c r="J2016" s="4" t="s">
        <v>66</v>
      </c>
      <c r="K2016" s="4">
        <v>1</v>
      </c>
      <c r="L2016" s="94">
        <v>-1214</v>
      </c>
      <c r="M2016" s="94">
        <v>0</v>
      </c>
    </row>
    <row r="2017" spans="3:13" x14ac:dyDescent="0.3">
      <c r="C2017" t="s">
        <v>70</v>
      </c>
      <c r="D2017" t="s">
        <v>67</v>
      </c>
      <c r="E2017" t="s">
        <v>68</v>
      </c>
      <c r="F2017" t="s">
        <v>72</v>
      </c>
      <c r="G2017" s="4">
        <v>6</v>
      </c>
      <c r="H2017" s="4" t="s">
        <v>18</v>
      </c>
      <c r="I2017" s="4" t="s">
        <v>69</v>
      </c>
      <c r="J2017" s="4" t="s">
        <v>66</v>
      </c>
      <c r="K2017" s="4">
        <v>0</v>
      </c>
      <c r="L2017" s="94">
        <v>386797</v>
      </c>
      <c r="M2017" s="94">
        <v>2320782</v>
      </c>
    </row>
    <row r="2018" spans="3:13" x14ac:dyDescent="0.3">
      <c r="C2018" t="s">
        <v>71</v>
      </c>
      <c r="D2018" t="s">
        <v>62</v>
      </c>
      <c r="E2018" t="s">
        <v>68</v>
      </c>
      <c r="F2018" t="s">
        <v>24</v>
      </c>
      <c r="G2018" s="4">
        <v>0</v>
      </c>
      <c r="I2018" s="4" t="s">
        <v>69</v>
      </c>
      <c r="J2018" s="4" t="s">
        <v>66</v>
      </c>
      <c r="K2018" s="4">
        <v>0</v>
      </c>
      <c r="L2018" s="94">
        <v>138132</v>
      </c>
      <c r="M2018" s="94">
        <v>0</v>
      </c>
    </row>
    <row r="2019" spans="3:13" x14ac:dyDescent="0.3">
      <c r="C2019" t="s">
        <v>71</v>
      </c>
      <c r="D2019" t="s">
        <v>67</v>
      </c>
      <c r="E2019" t="s">
        <v>68</v>
      </c>
      <c r="F2019" t="s">
        <v>26</v>
      </c>
      <c r="G2019" s="4">
        <v>-4</v>
      </c>
      <c r="H2019" s="4" t="s">
        <v>77</v>
      </c>
      <c r="I2019" s="4" t="s">
        <v>69</v>
      </c>
      <c r="J2019" s="4" t="s">
        <v>66</v>
      </c>
      <c r="K2019" s="4">
        <v>0</v>
      </c>
      <c r="L2019" s="94">
        <v>403398</v>
      </c>
      <c r="M2019" s="94">
        <v>0</v>
      </c>
    </row>
    <row r="2020" spans="3:13" x14ac:dyDescent="0.3">
      <c r="C2020" t="s">
        <v>70</v>
      </c>
      <c r="D2020" t="s">
        <v>67</v>
      </c>
      <c r="E2020" t="s">
        <v>68</v>
      </c>
      <c r="F2020" t="s">
        <v>25</v>
      </c>
      <c r="G2020" s="4">
        <v>7</v>
      </c>
      <c r="H2020" s="4" t="s">
        <v>18</v>
      </c>
      <c r="I2020" s="4" t="s">
        <v>69</v>
      </c>
      <c r="J2020" s="4" t="s">
        <v>66</v>
      </c>
      <c r="K2020" s="4">
        <v>0</v>
      </c>
      <c r="L2020" s="94">
        <v>2078314</v>
      </c>
      <c r="M2020" s="94">
        <v>14548198</v>
      </c>
    </row>
    <row r="2021" spans="3:13" x14ac:dyDescent="0.3">
      <c r="C2021" t="s">
        <v>70</v>
      </c>
      <c r="D2021" t="s">
        <v>67</v>
      </c>
      <c r="E2021" t="s">
        <v>63</v>
      </c>
      <c r="F2021" t="s">
        <v>25</v>
      </c>
      <c r="G2021" s="4">
        <v>3</v>
      </c>
      <c r="H2021" s="4" t="s">
        <v>75</v>
      </c>
      <c r="I2021" s="4" t="s">
        <v>69</v>
      </c>
      <c r="J2021" s="4" t="s">
        <v>66</v>
      </c>
      <c r="K2021" s="4">
        <v>0</v>
      </c>
      <c r="L2021" s="94">
        <v>-153142</v>
      </c>
      <c r="M2021" s="94">
        <v>0</v>
      </c>
    </row>
    <row r="2022" spans="3:13" x14ac:dyDescent="0.3">
      <c r="C2022" t="s">
        <v>61</v>
      </c>
      <c r="D2022" t="s">
        <v>67</v>
      </c>
      <c r="E2022" t="s">
        <v>68</v>
      </c>
      <c r="F2022" t="s">
        <v>25</v>
      </c>
      <c r="G2022" s="4">
        <v>7</v>
      </c>
      <c r="H2022" s="4" t="s">
        <v>14</v>
      </c>
      <c r="I2022" s="4" t="s">
        <v>69</v>
      </c>
      <c r="J2022" s="4" t="s">
        <v>66</v>
      </c>
      <c r="K2022" s="4">
        <v>1</v>
      </c>
      <c r="L2022" s="94">
        <v>4281521</v>
      </c>
      <c r="M2022" s="94">
        <v>29970647</v>
      </c>
    </row>
    <row r="2023" spans="3:13" x14ac:dyDescent="0.3">
      <c r="C2023" t="s">
        <v>61</v>
      </c>
      <c r="D2023" t="s">
        <v>67</v>
      </c>
      <c r="E2023" t="s">
        <v>63</v>
      </c>
      <c r="F2023" t="s">
        <v>25</v>
      </c>
      <c r="G2023" s="4">
        <v>3</v>
      </c>
      <c r="H2023" s="4" t="s">
        <v>74</v>
      </c>
      <c r="I2023" s="4" t="s">
        <v>69</v>
      </c>
      <c r="J2023" s="4" t="s">
        <v>66</v>
      </c>
      <c r="K2023" s="4">
        <v>0</v>
      </c>
      <c r="L2023" s="94">
        <v>-2287</v>
      </c>
      <c r="M2023" s="94">
        <v>0</v>
      </c>
    </row>
    <row r="2024" spans="3:13" x14ac:dyDescent="0.3">
      <c r="C2024" t="s">
        <v>71</v>
      </c>
      <c r="D2024" t="s">
        <v>67</v>
      </c>
      <c r="E2024" t="s">
        <v>68</v>
      </c>
      <c r="F2024" t="s">
        <v>72</v>
      </c>
      <c r="G2024" s="4">
        <v>-1</v>
      </c>
      <c r="H2024" s="4" t="s">
        <v>18</v>
      </c>
      <c r="I2024" s="4" t="s">
        <v>69</v>
      </c>
      <c r="J2024" s="4" t="s">
        <v>66</v>
      </c>
      <c r="K2024" s="4">
        <v>0</v>
      </c>
      <c r="L2024" s="94">
        <v>260184</v>
      </c>
      <c r="M2024" s="94">
        <v>0</v>
      </c>
    </row>
    <row r="2025" spans="3:13" x14ac:dyDescent="0.3">
      <c r="C2025" t="s">
        <v>61</v>
      </c>
      <c r="D2025" t="s">
        <v>67</v>
      </c>
      <c r="E2025" t="s">
        <v>63</v>
      </c>
      <c r="F2025" t="s">
        <v>72</v>
      </c>
      <c r="G2025" s="4">
        <v>-1</v>
      </c>
      <c r="H2025" s="4" t="s">
        <v>12</v>
      </c>
      <c r="I2025" s="4" t="s">
        <v>69</v>
      </c>
      <c r="J2025" s="4" t="s">
        <v>73</v>
      </c>
      <c r="K2025" s="4">
        <v>1</v>
      </c>
      <c r="L2025" s="94">
        <v>-957</v>
      </c>
      <c r="M2025" s="94">
        <v>0</v>
      </c>
    </row>
    <row r="2026" spans="3:13" x14ac:dyDescent="0.3">
      <c r="C2026" t="s">
        <v>61</v>
      </c>
      <c r="D2026" t="s">
        <v>67</v>
      </c>
      <c r="E2026" t="s">
        <v>63</v>
      </c>
      <c r="F2026" t="s">
        <v>25</v>
      </c>
      <c r="G2026" s="4">
        <v>0</v>
      </c>
      <c r="H2026" s="4" t="s">
        <v>79</v>
      </c>
      <c r="I2026" s="4" t="s">
        <v>69</v>
      </c>
      <c r="J2026" s="4" t="s">
        <v>66</v>
      </c>
      <c r="K2026" s="4">
        <v>0</v>
      </c>
      <c r="L2026" s="94">
        <v>-263</v>
      </c>
      <c r="M2026" s="94">
        <v>0</v>
      </c>
    </row>
    <row r="2027" spans="3:13" x14ac:dyDescent="0.3">
      <c r="C2027" t="s">
        <v>70</v>
      </c>
      <c r="D2027" t="s">
        <v>67</v>
      </c>
      <c r="E2027" t="s">
        <v>68</v>
      </c>
      <c r="F2027" t="s">
        <v>25</v>
      </c>
      <c r="G2027" s="4">
        <v>6</v>
      </c>
      <c r="H2027" s="4" t="s">
        <v>18</v>
      </c>
      <c r="I2027" s="4" t="s">
        <v>69</v>
      </c>
      <c r="J2027" s="4" t="s">
        <v>66</v>
      </c>
      <c r="K2027" s="4">
        <v>0</v>
      </c>
      <c r="L2027" s="94">
        <v>4845439</v>
      </c>
      <c r="M2027" s="94">
        <v>29072634</v>
      </c>
    </row>
    <row r="2028" spans="3:13" x14ac:dyDescent="0.3">
      <c r="C2028" t="s">
        <v>70</v>
      </c>
      <c r="D2028" t="s">
        <v>84</v>
      </c>
      <c r="E2028" t="s">
        <v>68</v>
      </c>
      <c r="F2028" t="s">
        <v>25</v>
      </c>
      <c r="G2028" s="4">
        <v>-4</v>
      </c>
      <c r="H2028" s="4" t="s">
        <v>81</v>
      </c>
      <c r="I2028" s="4" t="s">
        <v>69</v>
      </c>
      <c r="J2028" s="4" t="s">
        <v>66</v>
      </c>
      <c r="K2028" s="4">
        <v>0</v>
      </c>
      <c r="L2028" s="94">
        <v>42</v>
      </c>
      <c r="M2028" s="94">
        <v>0</v>
      </c>
    </row>
    <row r="2029" spans="3:13" x14ac:dyDescent="0.3">
      <c r="C2029" t="s">
        <v>70</v>
      </c>
      <c r="D2029" t="s">
        <v>67</v>
      </c>
      <c r="E2029" t="s">
        <v>63</v>
      </c>
      <c r="F2029" t="s">
        <v>25</v>
      </c>
      <c r="G2029" s="4">
        <v>6</v>
      </c>
      <c r="H2029" s="4" t="s">
        <v>14</v>
      </c>
      <c r="I2029" s="4" t="s">
        <v>69</v>
      </c>
      <c r="J2029" s="4" t="s">
        <v>66</v>
      </c>
      <c r="K2029" s="4">
        <v>1</v>
      </c>
      <c r="L2029" s="94">
        <v>-94611</v>
      </c>
      <c r="M2029" s="94">
        <v>0</v>
      </c>
    </row>
    <row r="2030" spans="3:13" x14ac:dyDescent="0.3">
      <c r="C2030" t="s">
        <v>71</v>
      </c>
      <c r="D2030" t="s">
        <v>67</v>
      </c>
      <c r="E2030" t="s">
        <v>63</v>
      </c>
      <c r="F2030" t="s">
        <v>26</v>
      </c>
      <c r="G2030" s="4">
        <v>3</v>
      </c>
      <c r="H2030" s="4" t="s">
        <v>79</v>
      </c>
      <c r="I2030" s="4" t="s">
        <v>69</v>
      </c>
      <c r="J2030" s="4" t="s">
        <v>66</v>
      </c>
      <c r="K2030" s="4">
        <v>0</v>
      </c>
      <c r="L2030" s="94">
        <v>-48465</v>
      </c>
      <c r="M2030" s="94">
        <v>0</v>
      </c>
    </row>
    <row r="2031" spans="3:13" x14ac:dyDescent="0.3">
      <c r="C2031" t="s">
        <v>61</v>
      </c>
      <c r="D2031" t="s">
        <v>67</v>
      </c>
      <c r="E2031" t="s">
        <v>63</v>
      </c>
      <c r="F2031" t="s">
        <v>72</v>
      </c>
      <c r="G2031" s="4">
        <v>5</v>
      </c>
      <c r="H2031" s="4" t="s">
        <v>17</v>
      </c>
      <c r="I2031" s="4" t="s">
        <v>65</v>
      </c>
      <c r="J2031" s="4" t="s">
        <v>73</v>
      </c>
      <c r="K2031" s="4">
        <v>1</v>
      </c>
      <c r="L2031" s="94">
        <v>-399</v>
      </c>
      <c r="M2031" s="94">
        <v>0</v>
      </c>
    </row>
    <row r="2032" spans="3:13" x14ac:dyDescent="0.3">
      <c r="C2032" t="s">
        <v>61</v>
      </c>
      <c r="D2032" t="s">
        <v>67</v>
      </c>
      <c r="E2032" t="s">
        <v>63</v>
      </c>
      <c r="F2032" t="s">
        <v>25</v>
      </c>
      <c r="G2032" s="4">
        <v>6</v>
      </c>
      <c r="H2032" s="4" t="s">
        <v>13</v>
      </c>
      <c r="I2032" s="4" t="s">
        <v>69</v>
      </c>
      <c r="J2032" s="4" t="s">
        <v>66</v>
      </c>
      <c r="K2032" s="4">
        <v>1</v>
      </c>
      <c r="L2032" s="94">
        <v>-76</v>
      </c>
      <c r="M2032" s="94">
        <v>0</v>
      </c>
    </row>
    <row r="2033" spans="3:13" x14ac:dyDescent="0.3">
      <c r="C2033" t="s">
        <v>71</v>
      </c>
      <c r="D2033" t="s">
        <v>67</v>
      </c>
      <c r="E2033" t="s">
        <v>63</v>
      </c>
      <c r="F2033" t="s">
        <v>25</v>
      </c>
      <c r="G2033" s="4">
        <v>5</v>
      </c>
      <c r="H2033" s="4" t="s">
        <v>75</v>
      </c>
      <c r="I2033" s="4" t="s">
        <v>69</v>
      </c>
      <c r="J2033" s="4" t="s">
        <v>66</v>
      </c>
      <c r="K2033" s="4">
        <v>0</v>
      </c>
      <c r="L2033" s="94">
        <v>-220757</v>
      </c>
      <c r="M2033" s="94">
        <v>0</v>
      </c>
    </row>
    <row r="2034" spans="3:13" x14ac:dyDescent="0.3">
      <c r="C2034" t="s">
        <v>61</v>
      </c>
      <c r="D2034" t="s">
        <v>62</v>
      </c>
      <c r="E2034" t="s">
        <v>68</v>
      </c>
      <c r="F2034" t="s">
        <v>24</v>
      </c>
      <c r="G2034" s="4">
        <v>36</v>
      </c>
      <c r="I2034" s="4" t="s">
        <v>69</v>
      </c>
      <c r="J2034" s="4" t="s">
        <v>66</v>
      </c>
      <c r="K2034" s="4">
        <v>0</v>
      </c>
      <c r="L2034" s="94">
        <v>1358864460</v>
      </c>
      <c r="M2034" s="94">
        <v>48919120560</v>
      </c>
    </row>
    <row r="2035" spans="3:13" x14ac:dyDescent="0.3">
      <c r="C2035" t="s">
        <v>70</v>
      </c>
      <c r="D2035" t="s">
        <v>67</v>
      </c>
      <c r="E2035" t="s">
        <v>63</v>
      </c>
      <c r="F2035" t="s">
        <v>26</v>
      </c>
      <c r="G2035" s="4">
        <v>-1</v>
      </c>
      <c r="H2035" s="4" t="s">
        <v>78</v>
      </c>
      <c r="I2035" s="4" t="s">
        <v>69</v>
      </c>
      <c r="J2035" s="4" t="s">
        <v>66</v>
      </c>
      <c r="K2035" s="4">
        <v>0</v>
      </c>
      <c r="L2035" s="94">
        <v>-45030</v>
      </c>
      <c r="M2035" s="94">
        <v>0</v>
      </c>
    </row>
    <row r="2036" spans="3:13" x14ac:dyDescent="0.3">
      <c r="C2036" t="s">
        <v>61</v>
      </c>
      <c r="D2036" t="s">
        <v>67</v>
      </c>
      <c r="E2036" t="s">
        <v>68</v>
      </c>
      <c r="F2036" t="s">
        <v>26</v>
      </c>
      <c r="G2036" s="4">
        <v>1</v>
      </c>
      <c r="H2036" s="4" t="s">
        <v>17</v>
      </c>
      <c r="I2036" s="4" t="s">
        <v>65</v>
      </c>
      <c r="J2036" s="4" t="s">
        <v>73</v>
      </c>
      <c r="K2036" s="4">
        <v>1</v>
      </c>
      <c r="L2036" s="94">
        <v>905292</v>
      </c>
      <c r="M2036" s="94">
        <v>905292</v>
      </c>
    </row>
    <row r="2037" spans="3:13" x14ac:dyDescent="0.3">
      <c r="C2037" t="s">
        <v>61</v>
      </c>
      <c r="D2037" t="s">
        <v>67</v>
      </c>
      <c r="E2037" t="s">
        <v>63</v>
      </c>
      <c r="F2037" t="s">
        <v>25</v>
      </c>
      <c r="G2037" s="4">
        <v>10</v>
      </c>
      <c r="H2037" s="4" t="s">
        <v>83</v>
      </c>
      <c r="I2037" s="4" t="s">
        <v>69</v>
      </c>
      <c r="J2037" s="4" t="s">
        <v>66</v>
      </c>
      <c r="K2037" s="4">
        <v>0</v>
      </c>
      <c r="L2037" s="94">
        <v>-7361</v>
      </c>
      <c r="M2037" s="94">
        <v>0</v>
      </c>
    </row>
    <row r="2038" spans="3:13" x14ac:dyDescent="0.3">
      <c r="C2038" t="s">
        <v>70</v>
      </c>
      <c r="D2038" t="s">
        <v>62</v>
      </c>
      <c r="E2038" t="s">
        <v>68</v>
      </c>
      <c r="F2038" t="s">
        <v>24</v>
      </c>
      <c r="G2038" s="4">
        <v>36</v>
      </c>
      <c r="I2038" s="4" t="s">
        <v>65</v>
      </c>
      <c r="J2038" s="4" t="s">
        <v>66</v>
      </c>
      <c r="K2038" s="4">
        <v>1</v>
      </c>
      <c r="L2038" s="94">
        <v>1999176</v>
      </c>
      <c r="M2038" s="94">
        <v>71970336</v>
      </c>
    </row>
    <row r="2039" spans="3:13" x14ac:dyDescent="0.3">
      <c r="C2039" t="s">
        <v>71</v>
      </c>
      <c r="D2039" t="s">
        <v>67</v>
      </c>
      <c r="E2039" t="s">
        <v>63</v>
      </c>
      <c r="F2039" t="s">
        <v>26</v>
      </c>
      <c r="G2039" s="4">
        <v>5</v>
      </c>
      <c r="H2039" s="4" t="s">
        <v>17</v>
      </c>
      <c r="I2039" s="4" t="s">
        <v>69</v>
      </c>
      <c r="J2039" s="4" t="s">
        <v>66</v>
      </c>
      <c r="K2039" s="4">
        <v>0</v>
      </c>
      <c r="L2039" s="94">
        <v>-2815947</v>
      </c>
      <c r="M2039" s="94">
        <v>0</v>
      </c>
    </row>
    <row r="2040" spans="3:13" x14ac:dyDescent="0.3">
      <c r="C2040" t="s">
        <v>71</v>
      </c>
      <c r="D2040" t="s">
        <v>67</v>
      </c>
      <c r="E2040" t="s">
        <v>63</v>
      </c>
      <c r="F2040" t="s">
        <v>26</v>
      </c>
      <c r="G2040" s="4">
        <v>11</v>
      </c>
      <c r="H2040" s="4" t="s">
        <v>14</v>
      </c>
      <c r="I2040" s="4" t="s">
        <v>69</v>
      </c>
      <c r="J2040" s="4" t="s">
        <v>66</v>
      </c>
      <c r="K2040" s="4">
        <v>0</v>
      </c>
      <c r="L2040" s="94">
        <v>-29252</v>
      </c>
      <c r="M2040" s="94">
        <v>0</v>
      </c>
    </row>
    <row r="2041" spans="3:13" x14ac:dyDescent="0.3">
      <c r="C2041" t="s">
        <v>61</v>
      </c>
      <c r="D2041" t="s">
        <v>67</v>
      </c>
      <c r="E2041" t="s">
        <v>63</v>
      </c>
      <c r="F2041" t="s">
        <v>25</v>
      </c>
      <c r="G2041" s="4">
        <v>13</v>
      </c>
      <c r="H2041" s="4" t="s">
        <v>74</v>
      </c>
      <c r="I2041" s="4" t="s">
        <v>69</v>
      </c>
      <c r="J2041" s="4" t="s">
        <v>66</v>
      </c>
      <c r="K2041" s="4">
        <v>0</v>
      </c>
      <c r="L2041" s="94">
        <v>-4721</v>
      </c>
      <c r="M2041" s="94">
        <v>0</v>
      </c>
    </row>
    <row r="2042" spans="3:13" x14ac:dyDescent="0.3">
      <c r="C2042" t="s">
        <v>70</v>
      </c>
      <c r="D2042" t="s">
        <v>62</v>
      </c>
      <c r="E2042" t="s">
        <v>68</v>
      </c>
      <c r="F2042" t="s">
        <v>24</v>
      </c>
      <c r="G2042" s="4">
        <v>21</v>
      </c>
      <c r="I2042" s="4" t="s">
        <v>69</v>
      </c>
      <c r="J2042" s="4" t="s">
        <v>66</v>
      </c>
      <c r="K2042" s="4">
        <v>1</v>
      </c>
      <c r="L2042" s="94">
        <v>425482</v>
      </c>
      <c r="M2042" s="94">
        <v>8935122</v>
      </c>
    </row>
    <row r="2043" spans="3:13" x14ac:dyDescent="0.3">
      <c r="C2043" t="s">
        <v>61</v>
      </c>
      <c r="D2043" t="s">
        <v>67</v>
      </c>
      <c r="E2043" t="s">
        <v>68</v>
      </c>
      <c r="F2043" t="s">
        <v>25</v>
      </c>
      <c r="G2043" s="4">
        <v>14</v>
      </c>
      <c r="H2043" s="4" t="s">
        <v>14</v>
      </c>
      <c r="I2043" s="4" t="s">
        <v>69</v>
      </c>
      <c r="J2043" s="4" t="s">
        <v>66</v>
      </c>
      <c r="K2043" s="4">
        <v>0</v>
      </c>
      <c r="L2043" s="94">
        <v>1507559</v>
      </c>
      <c r="M2043" s="94">
        <v>21105826</v>
      </c>
    </row>
    <row r="2044" spans="3:13" x14ac:dyDescent="0.3">
      <c r="C2044" t="s">
        <v>61</v>
      </c>
      <c r="D2044" t="s">
        <v>67</v>
      </c>
      <c r="E2044" t="s">
        <v>63</v>
      </c>
      <c r="F2044" t="s">
        <v>25</v>
      </c>
      <c r="G2044" s="4">
        <v>3</v>
      </c>
      <c r="H2044" s="4" t="s">
        <v>80</v>
      </c>
      <c r="I2044" s="4" t="s">
        <v>69</v>
      </c>
      <c r="J2044" s="4" t="s">
        <v>66</v>
      </c>
      <c r="K2044" s="4">
        <v>0</v>
      </c>
      <c r="L2044" s="94">
        <v>-37</v>
      </c>
      <c r="M2044" s="94">
        <v>0</v>
      </c>
    </row>
    <row r="2045" spans="3:13" x14ac:dyDescent="0.3">
      <c r="C2045" t="s">
        <v>71</v>
      </c>
      <c r="D2045" t="s">
        <v>67</v>
      </c>
      <c r="E2045" t="s">
        <v>63</v>
      </c>
      <c r="F2045" t="s">
        <v>72</v>
      </c>
      <c r="G2045" s="4">
        <v>3</v>
      </c>
      <c r="H2045" s="4" t="s">
        <v>14</v>
      </c>
      <c r="I2045" s="4" t="s">
        <v>69</v>
      </c>
      <c r="J2045" s="4" t="s">
        <v>73</v>
      </c>
      <c r="K2045" s="4">
        <v>1</v>
      </c>
      <c r="L2045" s="94">
        <v>-66864</v>
      </c>
      <c r="M2045" s="94">
        <v>0</v>
      </c>
    </row>
    <row r="2046" spans="3:13" x14ac:dyDescent="0.3">
      <c r="C2046" t="s">
        <v>61</v>
      </c>
      <c r="D2046" t="s">
        <v>62</v>
      </c>
      <c r="E2046" t="s">
        <v>68</v>
      </c>
      <c r="F2046" t="s">
        <v>24</v>
      </c>
      <c r="G2046" s="4">
        <v>25</v>
      </c>
      <c r="I2046" s="4" t="s">
        <v>69</v>
      </c>
      <c r="J2046" s="4" t="s">
        <v>66</v>
      </c>
      <c r="K2046" s="4">
        <v>0</v>
      </c>
      <c r="L2046" s="94">
        <v>735252283</v>
      </c>
      <c r="M2046" s="94">
        <v>18381307075</v>
      </c>
    </row>
    <row r="2047" spans="3:13" x14ac:dyDescent="0.3">
      <c r="C2047" t="s">
        <v>61</v>
      </c>
      <c r="D2047" t="s">
        <v>67</v>
      </c>
      <c r="E2047" t="s">
        <v>68</v>
      </c>
      <c r="F2047" t="s">
        <v>26</v>
      </c>
      <c r="G2047" s="4">
        <v>0</v>
      </c>
      <c r="H2047" s="4" t="s">
        <v>18</v>
      </c>
      <c r="I2047" s="4" t="s">
        <v>69</v>
      </c>
      <c r="J2047" s="4" t="s">
        <v>73</v>
      </c>
      <c r="K2047" s="4">
        <v>1</v>
      </c>
      <c r="L2047" s="94">
        <v>140716956</v>
      </c>
      <c r="M2047" s="94">
        <v>0</v>
      </c>
    </row>
    <row r="2048" spans="3:13" x14ac:dyDescent="0.3">
      <c r="C2048" t="s">
        <v>61</v>
      </c>
      <c r="D2048" t="s">
        <v>67</v>
      </c>
      <c r="E2048" t="s">
        <v>68</v>
      </c>
      <c r="F2048" t="s">
        <v>72</v>
      </c>
      <c r="G2048" s="4">
        <v>-1</v>
      </c>
      <c r="H2048" s="4" t="s">
        <v>75</v>
      </c>
      <c r="I2048" s="4" t="s">
        <v>69</v>
      </c>
      <c r="J2048" s="4" t="s">
        <v>66</v>
      </c>
      <c r="K2048" s="4">
        <v>0</v>
      </c>
      <c r="L2048" s="94">
        <v>14929490</v>
      </c>
      <c r="M2048" s="94">
        <v>0</v>
      </c>
    </row>
    <row r="2049" spans="3:13" x14ac:dyDescent="0.3">
      <c r="C2049" t="s">
        <v>61</v>
      </c>
      <c r="D2049" t="s">
        <v>67</v>
      </c>
      <c r="E2049" t="s">
        <v>63</v>
      </c>
      <c r="F2049" t="s">
        <v>25</v>
      </c>
      <c r="G2049" s="4">
        <v>11</v>
      </c>
      <c r="H2049" s="4" t="s">
        <v>18</v>
      </c>
      <c r="I2049" s="4" t="s">
        <v>69</v>
      </c>
      <c r="J2049" s="4" t="s">
        <v>66</v>
      </c>
      <c r="K2049" s="4">
        <v>1</v>
      </c>
      <c r="L2049" s="94">
        <v>-1678</v>
      </c>
      <c r="M2049" s="94">
        <v>0</v>
      </c>
    </row>
    <row r="2050" spans="3:13" x14ac:dyDescent="0.3">
      <c r="C2050" t="s">
        <v>61</v>
      </c>
      <c r="D2050" t="s">
        <v>67</v>
      </c>
      <c r="E2050" t="s">
        <v>68</v>
      </c>
      <c r="F2050" t="s">
        <v>25</v>
      </c>
      <c r="G2050" s="4">
        <v>9</v>
      </c>
      <c r="H2050" s="4" t="s">
        <v>76</v>
      </c>
      <c r="I2050" s="4" t="s">
        <v>69</v>
      </c>
      <c r="J2050" s="4" t="s">
        <v>66</v>
      </c>
      <c r="K2050" s="4">
        <v>0</v>
      </c>
      <c r="L2050" s="94">
        <v>32961153</v>
      </c>
      <c r="M2050" s="94">
        <v>296650377</v>
      </c>
    </row>
    <row r="2051" spans="3:13" x14ac:dyDescent="0.3">
      <c r="C2051" t="s">
        <v>70</v>
      </c>
      <c r="D2051" t="s">
        <v>67</v>
      </c>
      <c r="E2051" t="s">
        <v>63</v>
      </c>
      <c r="F2051" t="s">
        <v>26</v>
      </c>
      <c r="G2051" s="4">
        <v>3</v>
      </c>
      <c r="H2051" s="4" t="s">
        <v>18</v>
      </c>
      <c r="I2051" s="4" t="s">
        <v>69</v>
      </c>
      <c r="J2051" s="4" t="s">
        <v>73</v>
      </c>
      <c r="K2051" s="4">
        <v>1</v>
      </c>
      <c r="L2051" s="94">
        <v>-171696</v>
      </c>
      <c r="M2051" s="94">
        <v>0</v>
      </c>
    </row>
    <row r="2052" spans="3:13" x14ac:dyDescent="0.3">
      <c r="C2052" t="s">
        <v>70</v>
      </c>
      <c r="D2052" t="s">
        <v>67</v>
      </c>
      <c r="E2052" t="s">
        <v>63</v>
      </c>
      <c r="F2052" t="s">
        <v>72</v>
      </c>
      <c r="G2052" s="4">
        <v>5</v>
      </c>
      <c r="H2052" s="4" t="s">
        <v>74</v>
      </c>
      <c r="I2052" s="4" t="s">
        <v>69</v>
      </c>
      <c r="J2052" s="4" t="s">
        <v>66</v>
      </c>
      <c r="K2052" s="4">
        <v>0</v>
      </c>
      <c r="L2052" s="94">
        <v>-110896</v>
      </c>
      <c r="M2052" s="94">
        <v>0</v>
      </c>
    </row>
    <row r="2053" spans="3:13" x14ac:dyDescent="0.3">
      <c r="C2053" t="s">
        <v>61</v>
      </c>
      <c r="D2053" t="s">
        <v>67</v>
      </c>
      <c r="E2053" t="s">
        <v>68</v>
      </c>
      <c r="F2053" t="s">
        <v>72</v>
      </c>
      <c r="G2053" s="4">
        <v>4</v>
      </c>
      <c r="H2053" s="4" t="s">
        <v>86</v>
      </c>
      <c r="I2053" s="4" t="s">
        <v>69</v>
      </c>
      <c r="J2053" s="4" t="s">
        <v>66</v>
      </c>
      <c r="K2053" s="4">
        <v>0</v>
      </c>
      <c r="L2053" s="94">
        <v>35452</v>
      </c>
      <c r="M2053" s="94">
        <v>141808</v>
      </c>
    </row>
    <row r="2054" spans="3:13" x14ac:dyDescent="0.3">
      <c r="C2054" t="s">
        <v>61</v>
      </c>
      <c r="D2054" t="s">
        <v>62</v>
      </c>
      <c r="E2054" t="s">
        <v>68</v>
      </c>
      <c r="F2054" t="s">
        <v>24</v>
      </c>
      <c r="G2054" s="4">
        <v>12</v>
      </c>
      <c r="I2054" s="4" t="s">
        <v>69</v>
      </c>
      <c r="J2054" s="4" t="s">
        <v>73</v>
      </c>
      <c r="K2054" s="4">
        <v>1</v>
      </c>
      <c r="L2054" s="94">
        <v>6509</v>
      </c>
      <c r="M2054" s="94">
        <v>78108</v>
      </c>
    </row>
    <row r="2055" spans="3:13" x14ac:dyDescent="0.3">
      <c r="C2055" t="s">
        <v>70</v>
      </c>
      <c r="D2055" t="s">
        <v>67</v>
      </c>
      <c r="E2055" t="s">
        <v>68</v>
      </c>
      <c r="F2055" t="s">
        <v>26</v>
      </c>
      <c r="G2055" s="4">
        <v>4</v>
      </c>
      <c r="H2055" s="4" t="s">
        <v>75</v>
      </c>
      <c r="I2055" s="4" t="s">
        <v>69</v>
      </c>
      <c r="J2055" s="4" t="s">
        <v>66</v>
      </c>
      <c r="K2055" s="4">
        <v>0</v>
      </c>
      <c r="L2055" s="94">
        <v>1279250</v>
      </c>
      <c r="M2055" s="94">
        <v>5117000</v>
      </c>
    </row>
    <row r="2056" spans="3:13" x14ac:dyDescent="0.3">
      <c r="C2056" t="s">
        <v>71</v>
      </c>
      <c r="D2056" t="s">
        <v>67</v>
      </c>
      <c r="E2056" t="s">
        <v>68</v>
      </c>
      <c r="F2056" t="s">
        <v>26</v>
      </c>
      <c r="G2056" s="4">
        <v>15</v>
      </c>
      <c r="H2056" s="4" t="s">
        <v>12</v>
      </c>
      <c r="I2056" s="4" t="s">
        <v>69</v>
      </c>
      <c r="J2056" s="4" t="s">
        <v>73</v>
      </c>
      <c r="K2056" s="4">
        <v>1</v>
      </c>
      <c r="L2056" s="94">
        <v>41314</v>
      </c>
      <c r="M2056" s="94">
        <v>619710</v>
      </c>
    </row>
    <row r="2057" spans="3:13" x14ac:dyDescent="0.3">
      <c r="C2057" t="s">
        <v>61</v>
      </c>
      <c r="D2057" t="s">
        <v>67</v>
      </c>
      <c r="E2057" t="s">
        <v>68</v>
      </c>
      <c r="F2057" t="s">
        <v>25</v>
      </c>
      <c r="G2057" s="4">
        <v>7</v>
      </c>
      <c r="H2057" s="4" t="s">
        <v>75</v>
      </c>
      <c r="I2057" s="4" t="s">
        <v>69</v>
      </c>
      <c r="J2057" s="4" t="s">
        <v>66</v>
      </c>
      <c r="K2057" s="4">
        <v>0</v>
      </c>
      <c r="L2057" s="94">
        <v>66605940</v>
      </c>
      <c r="M2057" s="94">
        <v>466241580</v>
      </c>
    </row>
    <row r="2058" spans="3:13" x14ac:dyDescent="0.3">
      <c r="C2058" t="s">
        <v>61</v>
      </c>
      <c r="D2058" t="s">
        <v>62</v>
      </c>
      <c r="E2058" t="s">
        <v>68</v>
      </c>
      <c r="F2058" t="s">
        <v>25</v>
      </c>
      <c r="G2058" s="4">
        <v>33</v>
      </c>
      <c r="I2058" s="4" t="s">
        <v>69</v>
      </c>
      <c r="J2058" s="4" t="s">
        <v>66</v>
      </c>
      <c r="K2058" s="4">
        <v>0</v>
      </c>
      <c r="L2058" s="94">
        <v>242518</v>
      </c>
      <c r="M2058" s="94">
        <v>8003094</v>
      </c>
    </row>
    <row r="2059" spans="3:13" x14ac:dyDescent="0.3">
      <c r="C2059" t="s">
        <v>70</v>
      </c>
      <c r="D2059" t="s">
        <v>62</v>
      </c>
      <c r="E2059" t="s">
        <v>68</v>
      </c>
      <c r="F2059" t="s">
        <v>24</v>
      </c>
      <c r="G2059" s="4">
        <v>6</v>
      </c>
      <c r="I2059" s="4" t="s">
        <v>69</v>
      </c>
      <c r="J2059" s="4" t="s">
        <v>66</v>
      </c>
      <c r="K2059" s="4">
        <v>1</v>
      </c>
      <c r="L2059" s="94">
        <v>235760</v>
      </c>
      <c r="M2059" s="94">
        <v>1414560</v>
      </c>
    </row>
    <row r="2060" spans="3:13" x14ac:dyDescent="0.3">
      <c r="C2060" t="s">
        <v>70</v>
      </c>
      <c r="D2060" t="s">
        <v>67</v>
      </c>
      <c r="E2060" t="s">
        <v>68</v>
      </c>
      <c r="F2060" t="s">
        <v>72</v>
      </c>
      <c r="G2060" s="4">
        <v>7</v>
      </c>
      <c r="H2060" s="4" t="s">
        <v>17</v>
      </c>
      <c r="I2060" s="4" t="s">
        <v>65</v>
      </c>
      <c r="J2060" s="4" t="s">
        <v>73</v>
      </c>
      <c r="K2060" s="4">
        <v>1</v>
      </c>
      <c r="L2060" s="94">
        <v>20197</v>
      </c>
      <c r="M2060" s="94">
        <v>141379</v>
      </c>
    </row>
    <row r="2061" spans="3:13" x14ac:dyDescent="0.3">
      <c r="C2061" t="s">
        <v>70</v>
      </c>
      <c r="D2061" t="s">
        <v>67</v>
      </c>
      <c r="E2061" t="s">
        <v>63</v>
      </c>
      <c r="F2061" t="s">
        <v>72</v>
      </c>
      <c r="G2061" s="4">
        <v>4</v>
      </c>
      <c r="H2061" s="4" t="s">
        <v>18</v>
      </c>
      <c r="I2061" s="4" t="s">
        <v>65</v>
      </c>
      <c r="J2061" s="4" t="s">
        <v>66</v>
      </c>
      <c r="K2061" s="4">
        <v>1</v>
      </c>
      <c r="L2061" s="94">
        <v>-1492</v>
      </c>
      <c r="M2061" s="94">
        <v>0</v>
      </c>
    </row>
    <row r="2062" spans="3:13" x14ac:dyDescent="0.3">
      <c r="C2062" t="s">
        <v>70</v>
      </c>
      <c r="D2062" t="s">
        <v>67</v>
      </c>
      <c r="E2062" t="s">
        <v>63</v>
      </c>
      <c r="F2062" t="s">
        <v>26</v>
      </c>
      <c r="G2062" s="4">
        <v>2</v>
      </c>
      <c r="H2062" s="4" t="s">
        <v>75</v>
      </c>
      <c r="I2062" s="4" t="s">
        <v>65</v>
      </c>
      <c r="J2062" s="4" t="s">
        <v>66</v>
      </c>
      <c r="K2062" s="4">
        <v>1</v>
      </c>
      <c r="L2062" s="94">
        <v>-633</v>
      </c>
      <c r="M2062" s="94">
        <v>0</v>
      </c>
    </row>
    <row r="2063" spans="3:13" x14ac:dyDescent="0.3">
      <c r="C2063" t="s">
        <v>71</v>
      </c>
      <c r="D2063" t="s">
        <v>84</v>
      </c>
      <c r="E2063" t="s">
        <v>63</v>
      </c>
      <c r="F2063" t="s">
        <v>25</v>
      </c>
      <c r="G2063" s="4">
        <v>2</v>
      </c>
      <c r="H2063" s="4" t="s">
        <v>18</v>
      </c>
      <c r="I2063" s="4" t="s">
        <v>69</v>
      </c>
      <c r="J2063" s="4" t="s">
        <v>66</v>
      </c>
      <c r="K2063" s="4">
        <v>0</v>
      </c>
      <c r="L2063" s="94">
        <v>-552436</v>
      </c>
      <c r="M2063" s="94">
        <v>0</v>
      </c>
    </row>
    <row r="2064" spans="3:13" x14ac:dyDescent="0.3">
      <c r="C2064" t="s">
        <v>61</v>
      </c>
      <c r="D2064" t="s">
        <v>67</v>
      </c>
      <c r="E2064" t="s">
        <v>63</v>
      </c>
      <c r="F2064" t="s">
        <v>72</v>
      </c>
      <c r="G2064" s="4">
        <v>2</v>
      </c>
      <c r="H2064" s="4" t="s">
        <v>17</v>
      </c>
      <c r="I2064" s="4" t="s">
        <v>69</v>
      </c>
      <c r="J2064" s="4" t="s">
        <v>73</v>
      </c>
      <c r="K2064" s="4">
        <v>1</v>
      </c>
      <c r="L2064" s="94">
        <v>-633</v>
      </c>
      <c r="M2064" s="94">
        <v>0</v>
      </c>
    </row>
    <row r="2065" spans="3:13" x14ac:dyDescent="0.3">
      <c r="C2065" t="s">
        <v>70</v>
      </c>
      <c r="D2065" t="s">
        <v>67</v>
      </c>
      <c r="E2065" t="s">
        <v>63</v>
      </c>
      <c r="F2065" t="s">
        <v>72</v>
      </c>
      <c r="G2065" s="4">
        <v>1</v>
      </c>
      <c r="H2065" s="4" t="s">
        <v>77</v>
      </c>
      <c r="I2065" s="4" t="s">
        <v>69</v>
      </c>
      <c r="J2065" s="4" t="s">
        <v>66</v>
      </c>
      <c r="K2065" s="4">
        <v>0</v>
      </c>
      <c r="L2065" s="94">
        <v>-5773</v>
      </c>
      <c r="M2065" s="94">
        <v>0</v>
      </c>
    </row>
    <row r="2066" spans="3:13" x14ac:dyDescent="0.3">
      <c r="C2066" t="s">
        <v>70</v>
      </c>
      <c r="D2066" t="s">
        <v>67</v>
      </c>
      <c r="E2066" t="s">
        <v>68</v>
      </c>
      <c r="F2066" t="s">
        <v>72</v>
      </c>
      <c r="G2066" s="4">
        <v>4</v>
      </c>
      <c r="H2066" s="4" t="s">
        <v>83</v>
      </c>
      <c r="I2066" s="4" t="s">
        <v>69</v>
      </c>
      <c r="J2066" s="4" t="s">
        <v>66</v>
      </c>
      <c r="K2066" s="4">
        <v>0</v>
      </c>
      <c r="L2066" s="94">
        <v>257081</v>
      </c>
      <c r="M2066" s="94">
        <v>1028324</v>
      </c>
    </row>
    <row r="2067" spans="3:13" x14ac:dyDescent="0.3">
      <c r="C2067" t="s">
        <v>71</v>
      </c>
      <c r="D2067" t="s">
        <v>67</v>
      </c>
      <c r="E2067" t="s">
        <v>68</v>
      </c>
      <c r="F2067" t="s">
        <v>26</v>
      </c>
      <c r="G2067" s="4">
        <v>2</v>
      </c>
      <c r="H2067" s="4" t="s">
        <v>17</v>
      </c>
      <c r="I2067" s="4" t="s">
        <v>65</v>
      </c>
      <c r="J2067" s="4" t="s">
        <v>73</v>
      </c>
      <c r="K2067" s="4">
        <v>1</v>
      </c>
      <c r="L2067" s="94">
        <v>30628</v>
      </c>
      <c r="M2067" s="94">
        <v>61256</v>
      </c>
    </row>
    <row r="2068" spans="3:13" x14ac:dyDescent="0.3">
      <c r="C2068" t="s">
        <v>70</v>
      </c>
      <c r="D2068" t="s">
        <v>67</v>
      </c>
      <c r="E2068" t="s">
        <v>68</v>
      </c>
      <c r="F2068" t="s">
        <v>26</v>
      </c>
      <c r="G2068" s="4">
        <v>0</v>
      </c>
      <c r="H2068" s="4" t="s">
        <v>75</v>
      </c>
      <c r="I2068" s="4" t="s">
        <v>65</v>
      </c>
      <c r="J2068" s="4" t="s">
        <v>66</v>
      </c>
      <c r="K2068" s="4">
        <v>1</v>
      </c>
      <c r="L2068" s="94">
        <v>4173</v>
      </c>
      <c r="M2068" s="94">
        <v>0</v>
      </c>
    </row>
    <row r="2069" spans="3:13" x14ac:dyDescent="0.3">
      <c r="C2069" t="s">
        <v>61</v>
      </c>
      <c r="D2069" t="s">
        <v>67</v>
      </c>
      <c r="E2069" t="s">
        <v>63</v>
      </c>
      <c r="F2069" t="s">
        <v>26</v>
      </c>
      <c r="G2069" s="4">
        <v>6</v>
      </c>
      <c r="H2069" s="4" t="s">
        <v>12</v>
      </c>
      <c r="I2069" s="4" t="s">
        <v>69</v>
      </c>
      <c r="J2069" s="4" t="s">
        <v>73</v>
      </c>
      <c r="K2069" s="4">
        <v>1</v>
      </c>
      <c r="L2069" s="94">
        <v>-12324</v>
      </c>
      <c r="M2069" s="94">
        <v>0</v>
      </c>
    </row>
    <row r="2070" spans="3:13" x14ac:dyDescent="0.3">
      <c r="C2070" t="s">
        <v>71</v>
      </c>
      <c r="D2070" t="s">
        <v>62</v>
      </c>
      <c r="E2070" t="s">
        <v>63</v>
      </c>
      <c r="F2070" t="s">
        <v>24</v>
      </c>
      <c r="G2070" s="4">
        <v>34</v>
      </c>
      <c r="I2070" s="4" t="s">
        <v>69</v>
      </c>
      <c r="J2070" s="4" t="s">
        <v>66</v>
      </c>
      <c r="K2070" s="4">
        <v>1</v>
      </c>
      <c r="L2070" s="94">
        <v>-49333</v>
      </c>
      <c r="M2070" s="94">
        <v>0</v>
      </c>
    </row>
    <row r="2071" spans="3:13" x14ac:dyDescent="0.3">
      <c r="C2071" t="s">
        <v>70</v>
      </c>
      <c r="D2071" t="s">
        <v>62</v>
      </c>
      <c r="E2071" t="s">
        <v>63</v>
      </c>
      <c r="F2071" t="s">
        <v>24</v>
      </c>
      <c r="G2071" s="4">
        <v>21</v>
      </c>
      <c r="I2071" s="4" t="s">
        <v>69</v>
      </c>
      <c r="J2071" s="4" t="s">
        <v>66</v>
      </c>
      <c r="K2071" s="4">
        <v>0</v>
      </c>
      <c r="L2071" s="94">
        <v>-1293788</v>
      </c>
      <c r="M2071" s="94">
        <v>0</v>
      </c>
    </row>
    <row r="2072" spans="3:13" x14ac:dyDescent="0.3">
      <c r="C2072" t="s">
        <v>61</v>
      </c>
      <c r="D2072" t="s">
        <v>67</v>
      </c>
      <c r="E2072" t="s">
        <v>68</v>
      </c>
      <c r="F2072" t="s">
        <v>25</v>
      </c>
      <c r="G2072" s="4">
        <v>8</v>
      </c>
      <c r="H2072" s="4" t="s">
        <v>79</v>
      </c>
      <c r="I2072" s="4" t="s">
        <v>69</v>
      </c>
      <c r="J2072" s="4" t="s">
        <v>66</v>
      </c>
      <c r="K2072" s="4">
        <v>0</v>
      </c>
      <c r="L2072" s="94">
        <v>3876331</v>
      </c>
      <c r="M2072" s="94">
        <v>31010648</v>
      </c>
    </row>
    <row r="2073" spans="3:13" x14ac:dyDescent="0.3">
      <c r="C2073" t="s">
        <v>61</v>
      </c>
      <c r="D2073" t="s">
        <v>62</v>
      </c>
      <c r="E2073" t="s">
        <v>68</v>
      </c>
      <c r="F2073" t="s">
        <v>24</v>
      </c>
      <c r="G2073" s="4">
        <v>43</v>
      </c>
      <c r="I2073" s="4" t="s">
        <v>69</v>
      </c>
      <c r="J2073" s="4" t="s">
        <v>66</v>
      </c>
      <c r="K2073" s="4">
        <v>1</v>
      </c>
      <c r="L2073" s="94">
        <v>65667</v>
      </c>
      <c r="M2073" s="94">
        <v>2823681</v>
      </c>
    </row>
    <row r="2074" spans="3:13" x14ac:dyDescent="0.3">
      <c r="C2074" t="s">
        <v>61</v>
      </c>
      <c r="D2074" t="s">
        <v>62</v>
      </c>
      <c r="E2074" t="s">
        <v>63</v>
      </c>
      <c r="F2074" t="s">
        <v>24</v>
      </c>
      <c r="G2074" s="4">
        <v>29</v>
      </c>
      <c r="I2074" s="4" t="s">
        <v>69</v>
      </c>
      <c r="J2074" s="4" t="s">
        <v>66</v>
      </c>
      <c r="K2074" s="4">
        <v>0</v>
      </c>
      <c r="L2074" s="94">
        <v>-440693</v>
      </c>
      <c r="M2074" s="94">
        <v>0</v>
      </c>
    </row>
    <row r="2075" spans="3:13" x14ac:dyDescent="0.3">
      <c r="C2075" t="s">
        <v>61</v>
      </c>
      <c r="D2075" t="s">
        <v>62</v>
      </c>
      <c r="E2075" t="s">
        <v>68</v>
      </c>
      <c r="F2075" t="s">
        <v>24</v>
      </c>
      <c r="G2075" s="4">
        <v>8</v>
      </c>
      <c r="I2075" s="4" t="s">
        <v>65</v>
      </c>
      <c r="J2075" s="4" t="s">
        <v>66</v>
      </c>
      <c r="K2075" s="4">
        <v>1</v>
      </c>
      <c r="L2075" s="94">
        <v>2792759</v>
      </c>
      <c r="M2075" s="94">
        <v>22342072</v>
      </c>
    </row>
    <row r="2076" spans="3:13" x14ac:dyDescent="0.3">
      <c r="C2076" t="s">
        <v>71</v>
      </c>
      <c r="D2076" t="s">
        <v>67</v>
      </c>
      <c r="E2076" t="s">
        <v>68</v>
      </c>
      <c r="F2076" t="s">
        <v>26</v>
      </c>
      <c r="G2076" s="4">
        <v>-1</v>
      </c>
      <c r="H2076" s="4" t="s">
        <v>16</v>
      </c>
      <c r="I2076" s="4" t="s">
        <v>69</v>
      </c>
      <c r="J2076" s="4" t="s">
        <v>66</v>
      </c>
      <c r="K2076" s="4">
        <v>0</v>
      </c>
      <c r="L2076" s="94">
        <v>68407</v>
      </c>
      <c r="M2076" s="94">
        <v>0</v>
      </c>
    </row>
    <row r="2077" spans="3:13" x14ac:dyDescent="0.3">
      <c r="C2077" t="s">
        <v>70</v>
      </c>
      <c r="D2077" t="s">
        <v>84</v>
      </c>
      <c r="E2077" t="s">
        <v>68</v>
      </c>
      <c r="F2077" t="s">
        <v>25</v>
      </c>
      <c r="G2077" s="4">
        <v>6</v>
      </c>
      <c r="H2077" s="4" t="s">
        <v>17</v>
      </c>
      <c r="I2077" s="4" t="s">
        <v>69</v>
      </c>
      <c r="J2077" s="4" t="s">
        <v>66</v>
      </c>
      <c r="K2077" s="4">
        <v>0</v>
      </c>
      <c r="L2077" s="94">
        <v>95837</v>
      </c>
      <c r="M2077" s="94">
        <v>575022</v>
      </c>
    </row>
    <row r="2078" spans="3:13" x14ac:dyDescent="0.3">
      <c r="C2078" t="s">
        <v>61</v>
      </c>
      <c r="D2078" t="s">
        <v>67</v>
      </c>
      <c r="E2078" t="s">
        <v>63</v>
      </c>
      <c r="F2078" t="s">
        <v>25</v>
      </c>
      <c r="G2078" s="4">
        <v>11</v>
      </c>
      <c r="H2078" s="4" t="s">
        <v>79</v>
      </c>
      <c r="I2078" s="4" t="s">
        <v>65</v>
      </c>
      <c r="J2078" s="4" t="s">
        <v>66</v>
      </c>
      <c r="K2078" s="4">
        <v>1</v>
      </c>
      <c r="L2078" s="94">
        <v>-170</v>
      </c>
      <c r="M2078" s="94">
        <v>0</v>
      </c>
    </row>
    <row r="2079" spans="3:13" x14ac:dyDescent="0.3">
      <c r="C2079" t="s">
        <v>71</v>
      </c>
      <c r="D2079" t="s">
        <v>67</v>
      </c>
      <c r="E2079" t="s">
        <v>68</v>
      </c>
      <c r="F2079" t="s">
        <v>72</v>
      </c>
      <c r="G2079" s="4">
        <v>0</v>
      </c>
      <c r="H2079" s="4" t="s">
        <v>14</v>
      </c>
      <c r="I2079" s="4" t="s">
        <v>69</v>
      </c>
      <c r="J2079" s="4" t="s">
        <v>66</v>
      </c>
      <c r="K2079" s="4">
        <v>0</v>
      </c>
      <c r="L2079" s="94">
        <v>39118</v>
      </c>
      <c r="M2079" s="94">
        <v>0</v>
      </c>
    </row>
    <row r="2080" spans="3:13" x14ac:dyDescent="0.3">
      <c r="C2080" t="s">
        <v>61</v>
      </c>
      <c r="D2080" t="s">
        <v>62</v>
      </c>
      <c r="E2080" t="s">
        <v>63</v>
      </c>
      <c r="F2080" t="s">
        <v>24</v>
      </c>
      <c r="G2080" s="4">
        <v>40</v>
      </c>
      <c r="I2080" s="4" t="s">
        <v>65</v>
      </c>
      <c r="J2080" s="4" t="s">
        <v>66</v>
      </c>
      <c r="K2080" s="4">
        <v>1</v>
      </c>
      <c r="L2080" s="94">
        <v>-3923</v>
      </c>
      <c r="M2080" s="94">
        <v>0</v>
      </c>
    </row>
    <row r="2081" spans="3:13" x14ac:dyDescent="0.3">
      <c r="C2081" t="s">
        <v>70</v>
      </c>
      <c r="D2081" t="s">
        <v>67</v>
      </c>
      <c r="E2081" t="s">
        <v>68</v>
      </c>
      <c r="F2081" t="s">
        <v>26</v>
      </c>
      <c r="G2081" s="4">
        <v>3</v>
      </c>
      <c r="H2081" s="4" t="s">
        <v>18</v>
      </c>
      <c r="I2081" s="4" t="s">
        <v>65</v>
      </c>
      <c r="J2081" s="4" t="s">
        <v>66</v>
      </c>
      <c r="K2081" s="4">
        <v>1</v>
      </c>
      <c r="L2081" s="94">
        <v>170233</v>
      </c>
      <c r="M2081" s="94">
        <v>510699</v>
      </c>
    </row>
    <row r="2082" spans="3:13" x14ac:dyDescent="0.3">
      <c r="C2082" t="s">
        <v>61</v>
      </c>
      <c r="D2082" t="s">
        <v>67</v>
      </c>
      <c r="E2082" t="s">
        <v>63</v>
      </c>
      <c r="F2082" t="s">
        <v>72</v>
      </c>
      <c r="G2082" s="4">
        <v>1</v>
      </c>
      <c r="H2082" s="4" t="s">
        <v>77</v>
      </c>
      <c r="I2082" s="4" t="s">
        <v>69</v>
      </c>
      <c r="J2082" s="4" t="s">
        <v>66</v>
      </c>
      <c r="K2082" s="4">
        <v>0</v>
      </c>
      <c r="L2082" s="94">
        <v>-1961</v>
      </c>
      <c r="M2082" s="94">
        <v>0</v>
      </c>
    </row>
    <row r="2083" spans="3:13" x14ac:dyDescent="0.3">
      <c r="C2083" t="s">
        <v>61</v>
      </c>
      <c r="D2083" t="s">
        <v>67</v>
      </c>
      <c r="E2083" t="s">
        <v>68</v>
      </c>
      <c r="F2083" t="s">
        <v>72</v>
      </c>
      <c r="G2083" s="4">
        <v>5</v>
      </c>
      <c r="H2083" s="4" t="s">
        <v>75</v>
      </c>
      <c r="I2083" s="4" t="s">
        <v>69</v>
      </c>
      <c r="J2083" s="4" t="s">
        <v>66</v>
      </c>
      <c r="K2083" s="4">
        <v>0</v>
      </c>
      <c r="L2083" s="94">
        <v>1463921</v>
      </c>
      <c r="M2083" s="94">
        <v>7319605</v>
      </c>
    </row>
    <row r="2084" spans="3:13" x14ac:dyDescent="0.3">
      <c r="C2084" t="s">
        <v>71</v>
      </c>
      <c r="D2084" t="s">
        <v>67</v>
      </c>
      <c r="E2084" t="s">
        <v>68</v>
      </c>
      <c r="F2084" t="s">
        <v>26</v>
      </c>
      <c r="G2084" s="4">
        <v>2</v>
      </c>
      <c r="H2084" s="4" t="s">
        <v>79</v>
      </c>
      <c r="I2084" s="4" t="s">
        <v>69</v>
      </c>
      <c r="J2084" s="4" t="s">
        <v>66</v>
      </c>
      <c r="K2084" s="4">
        <v>0</v>
      </c>
      <c r="L2084" s="94">
        <v>782867</v>
      </c>
      <c r="M2084" s="94">
        <v>1565734</v>
      </c>
    </row>
    <row r="2085" spans="3:13" x14ac:dyDescent="0.3">
      <c r="C2085" t="s">
        <v>61</v>
      </c>
      <c r="D2085" t="s">
        <v>62</v>
      </c>
      <c r="E2085" t="s">
        <v>68</v>
      </c>
      <c r="F2085" t="s">
        <v>25</v>
      </c>
      <c r="G2085" s="4">
        <v>27</v>
      </c>
      <c r="I2085" s="4" t="s">
        <v>69</v>
      </c>
      <c r="J2085" s="4" t="s">
        <v>66</v>
      </c>
      <c r="K2085" s="4">
        <v>0</v>
      </c>
      <c r="L2085" s="94">
        <v>349860</v>
      </c>
      <c r="M2085" s="94">
        <v>9446220</v>
      </c>
    </row>
    <row r="2086" spans="3:13" x14ac:dyDescent="0.3">
      <c r="C2086" t="s">
        <v>71</v>
      </c>
      <c r="D2086" t="s">
        <v>67</v>
      </c>
      <c r="E2086" t="s">
        <v>63</v>
      </c>
      <c r="F2086" t="s">
        <v>26</v>
      </c>
      <c r="G2086" s="4">
        <v>-4</v>
      </c>
      <c r="H2086" s="4" t="s">
        <v>17</v>
      </c>
      <c r="I2086" s="4" t="s">
        <v>69</v>
      </c>
      <c r="J2086" s="4" t="s">
        <v>66</v>
      </c>
      <c r="K2086" s="4">
        <v>0</v>
      </c>
      <c r="L2086" s="94">
        <v>-6660795</v>
      </c>
      <c r="M2086" s="94">
        <v>0</v>
      </c>
    </row>
    <row r="2087" spans="3:13" x14ac:dyDescent="0.3">
      <c r="C2087" t="s">
        <v>71</v>
      </c>
      <c r="D2087" t="s">
        <v>67</v>
      </c>
      <c r="E2087" t="s">
        <v>68</v>
      </c>
      <c r="F2087" t="s">
        <v>25</v>
      </c>
      <c r="G2087" s="4">
        <v>3</v>
      </c>
      <c r="H2087" s="4" t="s">
        <v>78</v>
      </c>
      <c r="I2087" s="4" t="s">
        <v>69</v>
      </c>
      <c r="J2087" s="4" t="s">
        <v>66</v>
      </c>
      <c r="K2087" s="4">
        <v>0</v>
      </c>
      <c r="L2087" s="94">
        <v>80790</v>
      </c>
      <c r="M2087" s="94">
        <v>242370</v>
      </c>
    </row>
    <row r="2088" spans="3:13" x14ac:dyDescent="0.3">
      <c r="C2088" t="s">
        <v>61</v>
      </c>
      <c r="D2088" t="s">
        <v>67</v>
      </c>
      <c r="E2088" t="s">
        <v>68</v>
      </c>
      <c r="F2088" t="s">
        <v>25</v>
      </c>
      <c r="G2088" s="4">
        <v>6</v>
      </c>
      <c r="H2088" s="4" t="s">
        <v>83</v>
      </c>
      <c r="I2088" s="4" t="s">
        <v>69</v>
      </c>
      <c r="J2088" s="4" t="s">
        <v>66</v>
      </c>
      <c r="K2088" s="4">
        <v>0</v>
      </c>
      <c r="L2088" s="94">
        <v>183307</v>
      </c>
      <c r="M2088" s="94">
        <v>1099842</v>
      </c>
    </row>
    <row r="2089" spans="3:13" x14ac:dyDescent="0.3">
      <c r="C2089" t="s">
        <v>70</v>
      </c>
      <c r="D2089" t="s">
        <v>62</v>
      </c>
      <c r="E2089" t="s">
        <v>63</v>
      </c>
      <c r="F2089" t="s">
        <v>24</v>
      </c>
      <c r="G2089" s="4">
        <v>34</v>
      </c>
      <c r="I2089" s="4" t="s">
        <v>69</v>
      </c>
      <c r="J2089" s="4" t="s">
        <v>66</v>
      </c>
      <c r="K2089" s="4">
        <v>1</v>
      </c>
      <c r="L2089" s="94">
        <v>-6787</v>
      </c>
      <c r="M2089" s="94">
        <v>0</v>
      </c>
    </row>
    <row r="2090" spans="3:13" x14ac:dyDescent="0.3">
      <c r="C2090" t="s">
        <v>61</v>
      </c>
      <c r="D2090" t="s">
        <v>62</v>
      </c>
      <c r="E2090" t="s">
        <v>63</v>
      </c>
      <c r="F2090" t="s">
        <v>24</v>
      </c>
      <c r="G2090" s="4">
        <v>15</v>
      </c>
      <c r="I2090" s="4" t="s">
        <v>69</v>
      </c>
      <c r="J2090" s="4" t="s">
        <v>66</v>
      </c>
      <c r="K2090" s="4">
        <v>1</v>
      </c>
      <c r="L2090" s="94">
        <v>-724</v>
      </c>
      <c r="M2090" s="94">
        <v>0</v>
      </c>
    </row>
    <row r="2091" spans="3:13" x14ac:dyDescent="0.3">
      <c r="C2091" t="s">
        <v>61</v>
      </c>
      <c r="D2091" t="s">
        <v>62</v>
      </c>
      <c r="E2091" t="s">
        <v>68</v>
      </c>
      <c r="F2091" t="s">
        <v>24</v>
      </c>
      <c r="G2091" s="4">
        <v>5</v>
      </c>
      <c r="I2091" s="4" t="s">
        <v>69</v>
      </c>
      <c r="J2091" s="4" t="s">
        <v>66</v>
      </c>
      <c r="K2091" s="4">
        <v>0</v>
      </c>
      <c r="L2091" s="94">
        <v>92384966</v>
      </c>
      <c r="M2091" s="94">
        <v>461924830</v>
      </c>
    </row>
    <row r="2092" spans="3:13" x14ac:dyDescent="0.3">
      <c r="C2092" t="s">
        <v>71</v>
      </c>
      <c r="D2092" t="s">
        <v>67</v>
      </c>
      <c r="E2092" t="s">
        <v>68</v>
      </c>
      <c r="F2092" t="s">
        <v>72</v>
      </c>
      <c r="G2092" s="4">
        <v>-4</v>
      </c>
      <c r="H2092" s="4" t="s">
        <v>77</v>
      </c>
      <c r="I2092" s="4" t="s">
        <v>69</v>
      </c>
      <c r="J2092" s="4" t="s">
        <v>66</v>
      </c>
      <c r="K2092" s="4">
        <v>0</v>
      </c>
      <c r="L2092" s="94">
        <v>33630</v>
      </c>
      <c r="M2092" s="94">
        <v>0</v>
      </c>
    </row>
    <row r="2093" spans="3:13" x14ac:dyDescent="0.3">
      <c r="C2093" t="s">
        <v>71</v>
      </c>
      <c r="D2093" t="s">
        <v>67</v>
      </c>
      <c r="E2093" t="s">
        <v>68</v>
      </c>
      <c r="F2093" t="s">
        <v>72</v>
      </c>
      <c r="G2093" s="4">
        <v>2</v>
      </c>
      <c r="H2093" s="4" t="s">
        <v>14</v>
      </c>
      <c r="I2093" s="4" t="s">
        <v>69</v>
      </c>
      <c r="J2093" s="4" t="s">
        <v>73</v>
      </c>
      <c r="K2093" s="4">
        <v>1</v>
      </c>
      <c r="L2093" s="94">
        <v>199072</v>
      </c>
      <c r="M2093" s="94">
        <v>398144</v>
      </c>
    </row>
    <row r="2094" spans="3:13" x14ac:dyDescent="0.3">
      <c r="C2094" t="s">
        <v>61</v>
      </c>
      <c r="D2094" t="s">
        <v>67</v>
      </c>
      <c r="E2094" t="s">
        <v>63</v>
      </c>
      <c r="F2094" t="s">
        <v>25</v>
      </c>
      <c r="G2094" s="4">
        <v>4</v>
      </c>
      <c r="H2094" s="4" t="s">
        <v>80</v>
      </c>
      <c r="I2094" s="4" t="s">
        <v>69</v>
      </c>
      <c r="J2094" s="4" t="s">
        <v>66</v>
      </c>
      <c r="K2094" s="4">
        <v>0</v>
      </c>
      <c r="L2094" s="94">
        <v>-287</v>
      </c>
      <c r="M2094" s="94">
        <v>0</v>
      </c>
    </row>
    <row r="2095" spans="3:13" x14ac:dyDescent="0.3">
      <c r="C2095" t="s">
        <v>70</v>
      </c>
      <c r="D2095" t="s">
        <v>62</v>
      </c>
      <c r="E2095" t="s">
        <v>63</v>
      </c>
      <c r="F2095" t="s">
        <v>24</v>
      </c>
      <c r="G2095" s="4">
        <v>11</v>
      </c>
      <c r="I2095" s="4" t="s">
        <v>69</v>
      </c>
      <c r="J2095" s="4" t="s">
        <v>66</v>
      </c>
      <c r="K2095" s="4">
        <v>1</v>
      </c>
      <c r="L2095" s="94">
        <v>-2569</v>
      </c>
      <c r="M2095" s="94">
        <v>0</v>
      </c>
    </row>
    <row r="2096" spans="3:13" x14ac:dyDescent="0.3">
      <c r="C2096" t="s">
        <v>61</v>
      </c>
      <c r="D2096" t="s">
        <v>67</v>
      </c>
      <c r="E2096" t="s">
        <v>63</v>
      </c>
      <c r="F2096" t="s">
        <v>26</v>
      </c>
      <c r="G2096" s="4">
        <v>5</v>
      </c>
      <c r="H2096" s="4" t="s">
        <v>18</v>
      </c>
      <c r="I2096" s="4" t="s">
        <v>69</v>
      </c>
      <c r="J2096" s="4" t="s">
        <v>73</v>
      </c>
      <c r="K2096" s="4">
        <v>1</v>
      </c>
      <c r="L2096" s="94">
        <v>-12064</v>
      </c>
      <c r="M2096" s="94">
        <v>0</v>
      </c>
    </row>
    <row r="2097" spans="3:13" x14ac:dyDescent="0.3">
      <c r="C2097" t="s">
        <v>70</v>
      </c>
      <c r="D2097" t="s">
        <v>67</v>
      </c>
      <c r="E2097" t="s">
        <v>63</v>
      </c>
      <c r="F2097" t="s">
        <v>25</v>
      </c>
      <c r="G2097" s="4">
        <v>4</v>
      </c>
      <c r="H2097" s="4" t="s">
        <v>83</v>
      </c>
      <c r="I2097" s="4" t="s">
        <v>69</v>
      </c>
      <c r="J2097" s="4" t="s">
        <v>66</v>
      </c>
      <c r="K2097" s="4">
        <v>0</v>
      </c>
      <c r="L2097" s="94">
        <v>-697</v>
      </c>
      <c r="M2097" s="94">
        <v>0</v>
      </c>
    </row>
    <row r="2098" spans="3:13" x14ac:dyDescent="0.3">
      <c r="C2098" t="s">
        <v>71</v>
      </c>
      <c r="D2098" t="s">
        <v>67</v>
      </c>
      <c r="E2098" t="s">
        <v>68</v>
      </c>
      <c r="F2098" t="s">
        <v>26</v>
      </c>
      <c r="G2098" s="4">
        <v>0</v>
      </c>
      <c r="H2098" s="4" t="s">
        <v>75</v>
      </c>
      <c r="I2098" s="4" t="s">
        <v>69</v>
      </c>
      <c r="J2098" s="4" t="s">
        <v>66</v>
      </c>
      <c r="K2098" s="4">
        <v>0</v>
      </c>
      <c r="L2098" s="94">
        <v>40634</v>
      </c>
      <c r="M2098" s="94">
        <v>0</v>
      </c>
    </row>
    <row r="2099" spans="3:13" x14ac:dyDescent="0.3">
      <c r="C2099" t="s">
        <v>71</v>
      </c>
      <c r="D2099" t="s">
        <v>67</v>
      </c>
      <c r="E2099" t="s">
        <v>63</v>
      </c>
      <c r="F2099" t="s">
        <v>26</v>
      </c>
      <c r="G2099" s="4">
        <v>6</v>
      </c>
      <c r="H2099" s="4" t="s">
        <v>14</v>
      </c>
      <c r="I2099" s="4" t="s">
        <v>69</v>
      </c>
      <c r="J2099" s="4" t="s">
        <v>73</v>
      </c>
      <c r="K2099" s="4">
        <v>1</v>
      </c>
      <c r="L2099" s="94">
        <v>-1193420</v>
      </c>
      <c r="M2099" s="94">
        <v>0</v>
      </c>
    </row>
    <row r="2100" spans="3:13" x14ac:dyDescent="0.3">
      <c r="C2100" t="s">
        <v>61</v>
      </c>
      <c r="D2100" t="s">
        <v>67</v>
      </c>
      <c r="E2100" t="s">
        <v>63</v>
      </c>
      <c r="F2100" t="s">
        <v>26</v>
      </c>
      <c r="G2100" s="4">
        <v>1</v>
      </c>
      <c r="H2100" s="4" t="s">
        <v>74</v>
      </c>
      <c r="I2100" s="4" t="s">
        <v>69</v>
      </c>
      <c r="J2100" s="4" t="s">
        <v>66</v>
      </c>
      <c r="K2100" s="4">
        <v>0</v>
      </c>
      <c r="L2100" s="94">
        <v>-73631</v>
      </c>
      <c r="M2100" s="94">
        <v>0</v>
      </c>
    </row>
    <row r="2101" spans="3:13" x14ac:dyDescent="0.3">
      <c r="C2101" t="s">
        <v>71</v>
      </c>
      <c r="D2101" t="s">
        <v>62</v>
      </c>
      <c r="E2101" t="s">
        <v>68</v>
      </c>
      <c r="F2101" t="s">
        <v>24</v>
      </c>
      <c r="G2101" s="4">
        <v>22</v>
      </c>
      <c r="I2101" s="4" t="s">
        <v>69</v>
      </c>
      <c r="J2101" s="4" t="s">
        <v>66</v>
      </c>
      <c r="K2101" s="4">
        <v>1</v>
      </c>
      <c r="L2101" s="94">
        <v>238684</v>
      </c>
      <c r="M2101" s="94">
        <v>5251048</v>
      </c>
    </row>
    <row r="2102" spans="3:13" x14ac:dyDescent="0.3">
      <c r="C2102" t="s">
        <v>61</v>
      </c>
      <c r="D2102" t="s">
        <v>67</v>
      </c>
      <c r="E2102" t="s">
        <v>68</v>
      </c>
      <c r="F2102" t="s">
        <v>26</v>
      </c>
      <c r="G2102" s="4">
        <v>13</v>
      </c>
      <c r="H2102" s="4" t="s">
        <v>76</v>
      </c>
      <c r="I2102" s="4" t="s">
        <v>69</v>
      </c>
      <c r="J2102" s="4" t="s">
        <v>66</v>
      </c>
      <c r="K2102" s="4">
        <v>0</v>
      </c>
      <c r="L2102" s="94">
        <v>738174</v>
      </c>
      <c r="M2102" s="94">
        <v>9596262</v>
      </c>
    </row>
    <row r="2103" spans="3:13" x14ac:dyDescent="0.3">
      <c r="C2103" t="s">
        <v>71</v>
      </c>
      <c r="D2103" t="s">
        <v>67</v>
      </c>
      <c r="E2103" t="s">
        <v>68</v>
      </c>
      <c r="F2103" t="s">
        <v>25</v>
      </c>
      <c r="G2103" s="4">
        <v>8</v>
      </c>
      <c r="H2103" s="4" t="s">
        <v>76</v>
      </c>
      <c r="I2103" s="4" t="s">
        <v>69</v>
      </c>
      <c r="J2103" s="4" t="s">
        <v>66</v>
      </c>
      <c r="K2103" s="4">
        <v>0</v>
      </c>
      <c r="L2103" s="94">
        <v>1008404</v>
      </c>
      <c r="M2103" s="94">
        <v>8067232</v>
      </c>
    </row>
    <row r="2104" spans="3:13" x14ac:dyDescent="0.3">
      <c r="C2104" t="s">
        <v>70</v>
      </c>
      <c r="D2104" t="s">
        <v>67</v>
      </c>
      <c r="E2104" t="s">
        <v>68</v>
      </c>
      <c r="F2104" t="s">
        <v>25</v>
      </c>
      <c r="G2104" s="4">
        <v>2</v>
      </c>
      <c r="H2104" s="4" t="s">
        <v>79</v>
      </c>
      <c r="I2104" s="4" t="s">
        <v>69</v>
      </c>
      <c r="J2104" s="4" t="s">
        <v>66</v>
      </c>
      <c r="K2104" s="4">
        <v>0</v>
      </c>
      <c r="L2104" s="94">
        <v>319102</v>
      </c>
      <c r="M2104" s="94">
        <v>638204</v>
      </c>
    </row>
    <row r="2105" spans="3:13" x14ac:dyDescent="0.3">
      <c r="C2105" t="s">
        <v>61</v>
      </c>
      <c r="D2105" t="s">
        <v>67</v>
      </c>
      <c r="E2105" t="s">
        <v>68</v>
      </c>
      <c r="F2105" t="s">
        <v>26</v>
      </c>
      <c r="G2105" s="4">
        <v>0</v>
      </c>
      <c r="H2105" s="4" t="s">
        <v>17</v>
      </c>
      <c r="I2105" s="4" t="s">
        <v>69</v>
      </c>
      <c r="J2105" s="4" t="s">
        <v>66</v>
      </c>
      <c r="K2105" s="4">
        <v>0</v>
      </c>
      <c r="L2105" s="94">
        <v>109769745</v>
      </c>
      <c r="M2105" s="94">
        <v>0</v>
      </c>
    </row>
    <row r="2106" spans="3:13" x14ac:dyDescent="0.3">
      <c r="C2106" t="s">
        <v>61</v>
      </c>
      <c r="D2106" t="s">
        <v>84</v>
      </c>
      <c r="E2106" t="s">
        <v>63</v>
      </c>
      <c r="F2106" t="s">
        <v>25</v>
      </c>
      <c r="G2106" s="4">
        <v>5</v>
      </c>
      <c r="H2106" s="4" t="s">
        <v>81</v>
      </c>
      <c r="I2106" s="4" t="s">
        <v>69</v>
      </c>
      <c r="J2106" s="4" t="s">
        <v>66</v>
      </c>
      <c r="K2106" s="4">
        <v>0</v>
      </c>
      <c r="L2106" s="94">
        <v>-126</v>
      </c>
      <c r="M2106" s="94">
        <v>0</v>
      </c>
    </row>
    <row r="2107" spans="3:13" x14ac:dyDescent="0.3">
      <c r="C2107" t="s">
        <v>61</v>
      </c>
      <c r="D2107" t="s">
        <v>67</v>
      </c>
      <c r="E2107" t="s">
        <v>63</v>
      </c>
      <c r="F2107" t="s">
        <v>25</v>
      </c>
      <c r="G2107" s="4">
        <v>14</v>
      </c>
      <c r="H2107" s="4" t="s">
        <v>14</v>
      </c>
      <c r="I2107" s="4" t="s">
        <v>69</v>
      </c>
      <c r="J2107" s="4" t="s">
        <v>66</v>
      </c>
      <c r="K2107" s="4">
        <v>1</v>
      </c>
      <c r="L2107" s="94">
        <v>-8896</v>
      </c>
      <c r="M2107" s="94">
        <v>0</v>
      </c>
    </row>
    <row r="2108" spans="3:13" x14ac:dyDescent="0.3">
      <c r="C2108" t="s">
        <v>70</v>
      </c>
      <c r="D2108" t="s">
        <v>67</v>
      </c>
      <c r="E2108" t="s">
        <v>63</v>
      </c>
      <c r="F2108" t="s">
        <v>26</v>
      </c>
      <c r="G2108" s="4">
        <v>3</v>
      </c>
      <c r="H2108" s="4" t="s">
        <v>15</v>
      </c>
      <c r="I2108" s="4" t="s">
        <v>69</v>
      </c>
      <c r="J2108" s="4" t="s">
        <v>66</v>
      </c>
      <c r="K2108" s="4">
        <v>0</v>
      </c>
      <c r="L2108" s="94">
        <v>-480</v>
      </c>
      <c r="M2108" s="94">
        <v>0</v>
      </c>
    </row>
    <row r="2109" spans="3:13" x14ac:dyDescent="0.3">
      <c r="C2109" t="s">
        <v>70</v>
      </c>
      <c r="D2109" t="s">
        <v>67</v>
      </c>
      <c r="E2109" t="s">
        <v>63</v>
      </c>
      <c r="F2109" t="s">
        <v>25</v>
      </c>
      <c r="G2109" s="4">
        <v>6</v>
      </c>
      <c r="H2109" s="4" t="s">
        <v>12</v>
      </c>
      <c r="I2109" s="4" t="s">
        <v>69</v>
      </c>
      <c r="J2109" s="4" t="s">
        <v>66</v>
      </c>
      <c r="K2109" s="4">
        <v>0</v>
      </c>
      <c r="L2109" s="94">
        <v>-10462</v>
      </c>
      <c r="M2109" s="94">
        <v>0</v>
      </c>
    </row>
    <row r="2110" spans="3:13" x14ac:dyDescent="0.3">
      <c r="C2110" t="s">
        <v>61</v>
      </c>
      <c r="D2110" t="s">
        <v>67</v>
      </c>
      <c r="E2110" t="s">
        <v>63</v>
      </c>
      <c r="F2110" t="s">
        <v>26</v>
      </c>
      <c r="G2110" s="4">
        <v>14</v>
      </c>
      <c r="H2110" s="4" t="s">
        <v>74</v>
      </c>
      <c r="I2110" s="4" t="s">
        <v>69</v>
      </c>
      <c r="J2110" s="4" t="s">
        <v>66</v>
      </c>
      <c r="K2110" s="4">
        <v>0</v>
      </c>
      <c r="L2110" s="94">
        <v>-17994</v>
      </c>
      <c r="M2110" s="94">
        <v>0</v>
      </c>
    </row>
    <row r="2111" spans="3:13" x14ac:dyDescent="0.3">
      <c r="C2111" t="s">
        <v>70</v>
      </c>
      <c r="D2111" t="s">
        <v>67</v>
      </c>
      <c r="E2111" t="s">
        <v>63</v>
      </c>
      <c r="F2111" t="s">
        <v>25</v>
      </c>
      <c r="G2111" s="4">
        <v>1</v>
      </c>
      <c r="H2111" s="4" t="s">
        <v>79</v>
      </c>
      <c r="I2111" s="4" t="s">
        <v>69</v>
      </c>
      <c r="J2111" s="4" t="s">
        <v>66</v>
      </c>
      <c r="K2111" s="4">
        <v>0</v>
      </c>
      <c r="L2111" s="94">
        <v>-40</v>
      </c>
      <c r="M2111" s="94">
        <v>0</v>
      </c>
    </row>
    <row r="2112" spans="3:13" x14ac:dyDescent="0.3">
      <c r="C2112" t="s">
        <v>70</v>
      </c>
      <c r="D2112" t="s">
        <v>62</v>
      </c>
      <c r="E2112" t="s">
        <v>63</v>
      </c>
      <c r="F2112" t="s">
        <v>25</v>
      </c>
      <c r="G2112" s="4">
        <v>15</v>
      </c>
      <c r="I2112" s="4" t="s">
        <v>69</v>
      </c>
      <c r="J2112" s="4" t="s">
        <v>66</v>
      </c>
      <c r="K2112" s="4">
        <v>1</v>
      </c>
      <c r="L2112" s="94">
        <v>-24063</v>
      </c>
      <c r="M2112" s="94">
        <v>0</v>
      </c>
    </row>
    <row r="2113" spans="3:13" x14ac:dyDescent="0.3">
      <c r="C2113" t="s">
        <v>61</v>
      </c>
      <c r="D2113" t="s">
        <v>67</v>
      </c>
      <c r="E2113" t="s">
        <v>63</v>
      </c>
      <c r="F2113" t="s">
        <v>25</v>
      </c>
      <c r="G2113" s="4">
        <v>1</v>
      </c>
      <c r="H2113" s="4" t="s">
        <v>78</v>
      </c>
      <c r="I2113" s="4" t="s">
        <v>69</v>
      </c>
      <c r="J2113" s="4" t="s">
        <v>66</v>
      </c>
      <c r="K2113" s="4">
        <v>0</v>
      </c>
      <c r="L2113" s="94">
        <v>-2035</v>
      </c>
      <c r="M2113" s="94">
        <v>0</v>
      </c>
    </row>
    <row r="2114" spans="3:13" x14ac:dyDescent="0.3">
      <c r="C2114" t="s">
        <v>61</v>
      </c>
      <c r="D2114" t="s">
        <v>67</v>
      </c>
      <c r="E2114" t="s">
        <v>68</v>
      </c>
      <c r="F2114" t="s">
        <v>26</v>
      </c>
      <c r="G2114" s="4">
        <v>6</v>
      </c>
      <c r="H2114" s="4" t="s">
        <v>82</v>
      </c>
      <c r="I2114" s="4" t="s">
        <v>69</v>
      </c>
      <c r="J2114" s="4" t="s">
        <v>66</v>
      </c>
      <c r="K2114" s="4">
        <v>0</v>
      </c>
      <c r="L2114" s="94">
        <v>797043</v>
      </c>
      <c r="M2114" s="94">
        <v>4782258</v>
      </c>
    </row>
    <row r="2115" spans="3:13" x14ac:dyDescent="0.3">
      <c r="C2115" t="s">
        <v>70</v>
      </c>
      <c r="D2115" t="s">
        <v>67</v>
      </c>
      <c r="E2115" t="s">
        <v>63</v>
      </c>
      <c r="F2115" t="s">
        <v>25</v>
      </c>
      <c r="G2115" s="4">
        <v>-1</v>
      </c>
      <c r="H2115" s="4" t="s">
        <v>14</v>
      </c>
      <c r="I2115" s="4" t="s">
        <v>69</v>
      </c>
      <c r="J2115" s="4" t="s">
        <v>66</v>
      </c>
      <c r="K2115" s="4">
        <v>0</v>
      </c>
      <c r="L2115" s="94">
        <v>-3619</v>
      </c>
      <c r="M2115" s="94">
        <v>0</v>
      </c>
    </row>
    <row r="2116" spans="3:13" x14ac:dyDescent="0.3">
      <c r="C2116" t="s">
        <v>70</v>
      </c>
      <c r="D2116" t="s">
        <v>62</v>
      </c>
      <c r="E2116" t="s">
        <v>63</v>
      </c>
      <c r="F2116" t="s">
        <v>24</v>
      </c>
      <c r="G2116" s="4">
        <v>10</v>
      </c>
      <c r="I2116" s="4" t="s">
        <v>69</v>
      </c>
      <c r="J2116" s="4" t="s">
        <v>66</v>
      </c>
      <c r="K2116" s="4">
        <v>1</v>
      </c>
      <c r="L2116" s="94">
        <v>-4388</v>
      </c>
      <c r="M2116" s="94">
        <v>0</v>
      </c>
    </row>
    <row r="2117" spans="3:13" x14ac:dyDescent="0.3">
      <c r="C2117" t="s">
        <v>61</v>
      </c>
      <c r="D2117" t="s">
        <v>67</v>
      </c>
      <c r="E2117" t="s">
        <v>68</v>
      </c>
      <c r="F2117" t="s">
        <v>25</v>
      </c>
      <c r="G2117" s="4">
        <v>1</v>
      </c>
      <c r="H2117" s="4" t="s">
        <v>81</v>
      </c>
      <c r="I2117" s="4" t="s">
        <v>69</v>
      </c>
      <c r="J2117" s="4" t="s">
        <v>66</v>
      </c>
      <c r="K2117" s="4">
        <v>0</v>
      </c>
      <c r="L2117" s="94">
        <v>181296</v>
      </c>
      <c r="M2117" s="94">
        <v>181296</v>
      </c>
    </row>
    <row r="2118" spans="3:13" x14ac:dyDescent="0.3">
      <c r="C2118" t="s">
        <v>71</v>
      </c>
      <c r="D2118" t="s">
        <v>62</v>
      </c>
      <c r="E2118" t="s">
        <v>68</v>
      </c>
      <c r="F2118" t="s">
        <v>24</v>
      </c>
      <c r="G2118" s="4">
        <v>32</v>
      </c>
      <c r="I2118" s="4" t="s">
        <v>69</v>
      </c>
      <c r="J2118" s="4" t="s">
        <v>66</v>
      </c>
      <c r="K2118" s="4">
        <v>0</v>
      </c>
      <c r="L2118" s="94">
        <v>7945855</v>
      </c>
      <c r="M2118" s="94">
        <v>254267360</v>
      </c>
    </row>
    <row r="2119" spans="3:13" x14ac:dyDescent="0.3">
      <c r="C2119" t="s">
        <v>61</v>
      </c>
      <c r="D2119" t="s">
        <v>62</v>
      </c>
      <c r="E2119" t="s">
        <v>63</v>
      </c>
      <c r="F2119" t="s">
        <v>24</v>
      </c>
      <c r="G2119" s="4">
        <v>14</v>
      </c>
      <c r="I2119" s="4" t="s">
        <v>69</v>
      </c>
      <c r="J2119" s="4" t="s">
        <v>66</v>
      </c>
      <c r="K2119" s="4">
        <v>1</v>
      </c>
      <c r="L2119" s="94">
        <v>-1368</v>
      </c>
      <c r="M2119" s="94">
        <v>0</v>
      </c>
    </row>
    <row r="2120" spans="3:13" x14ac:dyDescent="0.3">
      <c r="C2120" t="s">
        <v>61</v>
      </c>
      <c r="D2120" t="s">
        <v>67</v>
      </c>
      <c r="E2120" t="s">
        <v>68</v>
      </c>
      <c r="F2120" t="s">
        <v>25</v>
      </c>
      <c r="G2120" s="4">
        <v>7</v>
      </c>
      <c r="H2120" s="4" t="s">
        <v>83</v>
      </c>
      <c r="I2120" s="4" t="s">
        <v>69</v>
      </c>
      <c r="J2120" s="4" t="s">
        <v>66</v>
      </c>
      <c r="K2120" s="4">
        <v>0</v>
      </c>
      <c r="L2120" s="94">
        <v>129783</v>
      </c>
      <c r="M2120" s="94">
        <v>908481</v>
      </c>
    </row>
    <row r="2121" spans="3:13" x14ac:dyDescent="0.3">
      <c r="C2121" t="s">
        <v>71</v>
      </c>
      <c r="D2121" t="s">
        <v>67</v>
      </c>
      <c r="E2121" t="s">
        <v>63</v>
      </c>
      <c r="F2121" t="s">
        <v>26</v>
      </c>
      <c r="G2121" s="4">
        <v>4</v>
      </c>
      <c r="H2121" s="4" t="s">
        <v>83</v>
      </c>
      <c r="I2121" s="4" t="s">
        <v>69</v>
      </c>
      <c r="J2121" s="4" t="s">
        <v>66</v>
      </c>
      <c r="K2121" s="4">
        <v>0</v>
      </c>
      <c r="L2121" s="94">
        <v>-42476</v>
      </c>
      <c r="M2121" s="94">
        <v>0</v>
      </c>
    </row>
    <row r="2122" spans="3:13" x14ac:dyDescent="0.3">
      <c r="C2122" t="s">
        <v>71</v>
      </c>
      <c r="D2122" t="s">
        <v>62</v>
      </c>
      <c r="E2122" t="s">
        <v>63</v>
      </c>
      <c r="F2122" t="s">
        <v>24</v>
      </c>
      <c r="G2122" s="4">
        <v>23</v>
      </c>
      <c r="I2122" s="4" t="s">
        <v>69</v>
      </c>
      <c r="J2122" s="4" t="s">
        <v>66</v>
      </c>
      <c r="K2122" s="4">
        <v>0</v>
      </c>
      <c r="L2122" s="94">
        <v>-2499658</v>
      </c>
      <c r="M2122" s="94">
        <v>0</v>
      </c>
    </row>
    <row r="2123" spans="3:13" x14ac:dyDescent="0.3">
      <c r="C2123" t="s">
        <v>61</v>
      </c>
      <c r="D2123" t="s">
        <v>62</v>
      </c>
      <c r="E2123" t="s">
        <v>68</v>
      </c>
      <c r="F2123" t="s">
        <v>25</v>
      </c>
      <c r="G2123" s="4">
        <v>1</v>
      </c>
      <c r="I2123" s="4" t="s">
        <v>65</v>
      </c>
      <c r="J2123" s="4" t="s">
        <v>66</v>
      </c>
      <c r="K2123" s="4">
        <v>1</v>
      </c>
      <c r="L2123" s="94">
        <v>10758</v>
      </c>
      <c r="M2123" s="94">
        <v>10758</v>
      </c>
    </row>
    <row r="2124" spans="3:13" x14ac:dyDescent="0.3">
      <c r="C2124" t="s">
        <v>70</v>
      </c>
      <c r="D2124" t="s">
        <v>67</v>
      </c>
      <c r="E2124" t="s">
        <v>68</v>
      </c>
      <c r="F2124" t="s">
        <v>72</v>
      </c>
      <c r="G2124" s="4">
        <v>4</v>
      </c>
      <c r="H2124" s="4" t="s">
        <v>75</v>
      </c>
      <c r="I2124" s="4" t="s">
        <v>69</v>
      </c>
      <c r="J2124" s="4" t="s">
        <v>66</v>
      </c>
      <c r="K2124" s="4">
        <v>0</v>
      </c>
      <c r="L2124" s="94">
        <v>621952</v>
      </c>
      <c r="M2124" s="94">
        <v>2487808</v>
      </c>
    </row>
    <row r="2125" spans="3:13" x14ac:dyDescent="0.3">
      <c r="C2125" t="s">
        <v>61</v>
      </c>
      <c r="D2125" t="s">
        <v>67</v>
      </c>
      <c r="E2125" t="s">
        <v>63</v>
      </c>
      <c r="F2125" t="s">
        <v>72</v>
      </c>
      <c r="G2125" s="4">
        <v>3</v>
      </c>
      <c r="H2125" s="4" t="s">
        <v>18</v>
      </c>
      <c r="I2125" s="4" t="s">
        <v>65</v>
      </c>
      <c r="J2125" s="4" t="s">
        <v>66</v>
      </c>
      <c r="K2125" s="4">
        <v>1</v>
      </c>
      <c r="L2125" s="94">
        <v>-91</v>
      </c>
      <c r="M2125" s="94">
        <v>0</v>
      </c>
    </row>
    <row r="2126" spans="3:13" x14ac:dyDescent="0.3">
      <c r="C2126" t="s">
        <v>61</v>
      </c>
      <c r="D2126" t="s">
        <v>67</v>
      </c>
      <c r="E2126" t="s">
        <v>63</v>
      </c>
      <c r="F2126" t="s">
        <v>25</v>
      </c>
      <c r="G2126" s="4">
        <v>7</v>
      </c>
      <c r="H2126" s="4" t="s">
        <v>18</v>
      </c>
      <c r="I2126" s="4" t="s">
        <v>69</v>
      </c>
      <c r="J2126" s="4" t="s">
        <v>66</v>
      </c>
      <c r="K2126" s="4">
        <v>1</v>
      </c>
      <c r="L2126" s="94">
        <v>-1457</v>
      </c>
      <c r="M2126" s="94">
        <v>0</v>
      </c>
    </row>
    <row r="2127" spans="3:13" x14ac:dyDescent="0.3">
      <c r="C2127" t="s">
        <v>71</v>
      </c>
      <c r="D2127" t="s">
        <v>67</v>
      </c>
      <c r="E2127" t="s">
        <v>63</v>
      </c>
      <c r="F2127" t="s">
        <v>25</v>
      </c>
      <c r="G2127" s="4">
        <v>4</v>
      </c>
      <c r="H2127" s="4" t="s">
        <v>76</v>
      </c>
      <c r="I2127" s="4" t="s">
        <v>69</v>
      </c>
      <c r="J2127" s="4" t="s">
        <v>66</v>
      </c>
      <c r="K2127" s="4">
        <v>0</v>
      </c>
      <c r="L2127" s="94">
        <v>-270870</v>
      </c>
      <c r="M2127" s="94">
        <v>0</v>
      </c>
    </row>
    <row r="2128" spans="3:13" x14ac:dyDescent="0.3">
      <c r="C2128" t="s">
        <v>70</v>
      </c>
      <c r="D2128" t="s">
        <v>67</v>
      </c>
      <c r="E2128" t="s">
        <v>68</v>
      </c>
      <c r="F2128" t="s">
        <v>25</v>
      </c>
      <c r="G2128" s="4">
        <v>14</v>
      </c>
      <c r="H2128" s="4" t="s">
        <v>82</v>
      </c>
      <c r="I2128" s="4" t="s">
        <v>69</v>
      </c>
      <c r="J2128" s="4" t="s">
        <v>66</v>
      </c>
      <c r="K2128" s="4">
        <v>0</v>
      </c>
      <c r="L2128" s="94">
        <v>1396393</v>
      </c>
      <c r="M2128" s="94">
        <v>19549502</v>
      </c>
    </row>
    <row r="2129" spans="3:13" x14ac:dyDescent="0.3">
      <c r="C2129" t="s">
        <v>70</v>
      </c>
      <c r="D2129" t="s">
        <v>62</v>
      </c>
      <c r="E2129" t="s">
        <v>63</v>
      </c>
      <c r="F2129" t="s">
        <v>25</v>
      </c>
      <c r="G2129" s="4">
        <v>1</v>
      </c>
      <c r="I2129" s="4" t="s">
        <v>69</v>
      </c>
      <c r="J2129" s="4" t="s">
        <v>66</v>
      </c>
      <c r="K2129" s="4">
        <v>0</v>
      </c>
      <c r="L2129" s="94">
        <v>-2144</v>
      </c>
      <c r="M2129" s="94">
        <v>0</v>
      </c>
    </row>
    <row r="2130" spans="3:13" x14ac:dyDescent="0.3">
      <c r="C2130" t="s">
        <v>70</v>
      </c>
      <c r="D2130" t="s">
        <v>67</v>
      </c>
      <c r="E2130" t="s">
        <v>68</v>
      </c>
      <c r="F2130" t="s">
        <v>26</v>
      </c>
      <c r="G2130" s="4">
        <v>1</v>
      </c>
      <c r="H2130" s="4" t="s">
        <v>14</v>
      </c>
      <c r="I2130" s="4" t="s">
        <v>69</v>
      </c>
      <c r="J2130" s="4" t="s">
        <v>66</v>
      </c>
      <c r="K2130" s="4">
        <v>0</v>
      </c>
      <c r="L2130" s="94">
        <v>16857043</v>
      </c>
      <c r="M2130" s="94">
        <v>16857043</v>
      </c>
    </row>
    <row r="2131" spans="3:13" x14ac:dyDescent="0.3">
      <c r="C2131" t="s">
        <v>61</v>
      </c>
      <c r="D2131" t="s">
        <v>67</v>
      </c>
      <c r="E2131" t="s">
        <v>63</v>
      </c>
      <c r="F2131" t="s">
        <v>26</v>
      </c>
      <c r="G2131" s="4">
        <v>2</v>
      </c>
      <c r="H2131" s="4" t="s">
        <v>12</v>
      </c>
      <c r="I2131" s="4" t="s">
        <v>69</v>
      </c>
      <c r="J2131" s="4" t="s">
        <v>66</v>
      </c>
      <c r="K2131" s="4">
        <v>0</v>
      </c>
      <c r="L2131" s="94">
        <v>-17172</v>
      </c>
      <c r="M2131" s="94">
        <v>0</v>
      </c>
    </row>
    <row r="2132" spans="3:13" x14ac:dyDescent="0.3">
      <c r="C2132" t="s">
        <v>61</v>
      </c>
      <c r="D2132" t="s">
        <v>67</v>
      </c>
      <c r="E2132" t="s">
        <v>68</v>
      </c>
      <c r="F2132" t="s">
        <v>26</v>
      </c>
      <c r="G2132" s="4">
        <v>2</v>
      </c>
      <c r="H2132" s="4" t="s">
        <v>16</v>
      </c>
      <c r="I2132" s="4" t="s">
        <v>69</v>
      </c>
      <c r="J2132" s="4" t="s">
        <v>66</v>
      </c>
      <c r="K2132" s="4">
        <v>0</v>
      </c>
      <c r="L2132" s="94">
        <v>884293</v>
      </c>
      <c r="M2132" s="94">
        <v>1768586</v>
      </c>
    </row>
    <row r="2133" spans="3:13" x14ac:dyDescent="0.3">
      <c r="C2133" t="s">
        <v>71</v>
      </c>
      <c r="D2133" t="s">
        <v>84</v>
      </c>
      <c r="E2133" t="s">
        <v>63</v>
      </c>
      <c r="F2133" t="s">
        <v>25</v>
      </c>
      <c r="G2133" s="4">
        <v>9</v>
      </c>
      <c r="H2133" s="4" t="s">
        <v>18</v>
      </c>
      <c r="I2133" s="4" t="s">
        <v>69</v>
      </c>
      <c r="J2133" s="4" t="s">
        <v>66</v>
      </c>
      <c r="K2133" s="4">
        <v>0</v>
      </c>
      <c r="L2133" s="94">
        <v>-976066</v>
      </c>
      <c r="M2133" s="94">
        <v>0</v>
      </c>
    </row>
    <row r="2134" spans="3:13" x14ac:dyDescent="0.3">
      <c r="C2134" t="s">
        <v>70</v>
      </c>
      <c r="D2134" t="s">
        <v>67</v>
      </c>
      <c r="E2134" t="s">
        <v>63</v>
      </c>
      <c r="F2134" t="s">
        <v>25</v>
      </c>
      <c r="G2134" s="4">
        <v>9</v>
      </c>
      <c r="H2134" s="4" t="s">
        <v>14</v>
      </c>
      <c r="I2134" s="4" t="s">
        <v>69</v>
      </c>
      <c r="J2134" s="4" t="s">
        <v>66</v>
      </c>
      <c r="K2134" s="4">
        <v>1</v>
      </c>
      <c r="L2134" s="94">
        <v>-146534</v>
      </c>
      <c r="M2134" s="94">
        <v>0</v>
      </c>
    </row>
    <row r="2135" spans="3:13" x14ac:dyDescent="0.3">
      <c r="C2135" t="s">
        <v>71</v>
      </c>
      <c r="D2135" t="s">
        <v>67</v>
      </c>
      <c r="E2135" t="s">
        <v>68</v>
      </c>
      <c r="F2135" t="s">
        <v>72</v>
      </c>
      <c r="G2135" s="4">
        <v>5</v>
      </c>
      <c r="H2135" s="4" t="s">
        <v>18</v>
      </c>
      <c r="I2135" s="4" t="s">
        <v>69</v>
      </c>
      <c r="J2135" s="4" t="s">
        <v>66</v>
      </c>
      <c r="K2135" s="4">
        <v>0</v>
      </c>
      <c r="L2135" s="94">
        <v>35908</v>
      </c>
      <c r="M2135" s="94">
        <v>179540</v>
      </c>
    </row>
    <row r="2136" spans="3:13" x14ac:dyDescent="0.3">
      <c r="C2136" t="s">
        <v>61</v>
      </c>
      <c r="D2136" t="s">
        <v>62</v>
      </c>
      <c r="E2136" t="s">
        <v>63</v>
      </c>
      <c r="F2136" t="s">
        <v>24</v>
      </c>
      <c r="G2136" s="4">
        <v>3</v>
      </c>
      <c r="I2136" s="4" t="s">
        <v>69</v>
      </c>
      <c r="J2136" s="4" t="s">
        <v>66</v>
      </c>
      <c r="K2136" s="4">
        <v>1</v>
      </c>
      <c r="L2136" s="94">
        <v>-207</v>
      </c>
      <c r="M2136" s="94">
        <v>0</v>
      </c>
    </row>
    <row r="2137" spans="3:13" x14ac:dyDescent="0.3">
      <c r="C2137" t="s">
        <v>61</v>
      </c>
      <c r="D2137" t="s">
        <v>67</v>
      </c>
      <c r="E2137" t="s">
        <v>63</v>
      </c>
      <c r="F2137" t="s">
        <v>26</v>
      </c>
      <c r="G2137" s="4">
        <v>4</v>
      </c>
      <c r="H2137" s="4" t="s">
        <v>78</v>
      </c>
      <c r="I2137" s="4" t="s">
        <v>69</v>
      </c>
      <c r="J2137" s="4" t="s">
        <v>66</v>
      </c>
      <c r="K2137" s="4">
        <v>0</v>
      </c>
      <c r="L2137" s="94">
        <v>-2114</v>
      </c>
      <c r="M2137" s="94">
        <v>0</v>
      </c>
    </row>
    <row r="2138" spans="3:13" x14ac:dyDescent="0.3">
      <c r="C2138" t="s">
        <v>71</v>
      </c>
      <c r="D2138" t="s">
        <v>67</v>
      </c>
      <c r="E2138" t="s">
        <v>63</v>
      </c>
      <c r="F2138" t="s">
        <v>72</v>
      </c>
      <c r="G2138" s="4">
        <v>0</v>
      </c>
      <c r="H2138" s="4" t="s">
        <v>83</v>
      </c>
      <c r="I2138" s="4" t="s">
        <v>69</v>
      </c>
      <c r="J2138" s="4" t="s">
        <v>66</v>
      </c>
      <c r="K2138" s="4">
        <v>0</v>
      </c>
      <c r="L2138" s="94">
        <v>-6131</v>
      </c>
      <c r="M2138" s="94">
        <v>0</v>
      </c>
    </row>
    <row r="2139" spans="3:13" x14ac:dyDescent="0.3">
      <c r="C2139" t="s">
        <v>70</v>
      </c>
      <c r="D2139" t="s">
        <v>62</v>
      </c>
      <c r="E2139" t="s">
        <v>63</v>
      </c>
      <c r="F2139" t="s">
        <v>24</v>
      </c>
      <c r="G2139" s="4">
        <v>2</v>
      </c>
      <c r="I2139" s="4" t="s">
        <v>69</v>
      </c>
      <c r="J2139" s="4" t="s">
        <v>66</v>
      </c>
      <c r="K2139" s="4">
        <v>1</v>
      </c>
      <c r="L2139" s="94">
        <v>-844</v>
      </c>
      <c r="M2139" s="94">
        <v>0</v>
      </c>
    </row>
    <row r="2140" spans="3:13" x14ac:dyDescent="0.3">
      <c r="C2140" t="s">
        <v>71</v>
      </c>
      <c r="D2140" t="s">
        <v>62</v>
      </c>
      <c r="E2140" t="s">
        <v>68</v>
      </c>
      <c r="F2140" t="s">
        <v>24</v>
      </c>
      <c r="G2140" s="4">
        <v>27</v>
      </c>
      <c r="I2140" s="4" t="s">
        <v>69</v>
      </c>
      <c r="J2140" s="4" t="s">
        <v>66</v>
      </c>
      <c r="K2140" s="4">
        <v>0</v>
      </c>
      <c r="L2140" s="94">
        <v>7682364</v>
      </c>
      <c r="M2140" s="94">
        <v>207423828</v>
      </c>
    </row>
    <row r="2141" spans="3:13" x14ac:dyDescent="0.3">
      <c r="C2141" t="s">
        <v>61</v>
      </c>
      <c r="D2141" t="s">
        <v>67</v>
      </c>
      <c r="E2141" t="s">
        <v>68</v>
      </c>
      <c r="F2141" t="s">
        <v>72</v>
      </c>
      <c r="G2141" s="4">
        <v>5</v>
      </c>
      <c r="H2141" s="4" t="s">
        <v>83</v>
      </c>
      <c r="I2141" s="4" t="s">
        <v>69</v>
      </c>
      <c r="J2141" s="4" t="s">
        <v>66</v>
      </c>
      <c r="K2141" s="4">
        <v>0</v>
      </c>
      <c r="L2141" s="94">
        <v>522884</v>
      </c>
      <c r="M2141" s="94">
        <v>2614420</v>
      </c>
    </row>
    <row r="2142" spans="3:13" x14ac:dyDescent="0.3">
      <c r="C2142" t="s">
        <v>71</v>
      </c>
      <c r="D2142" t="s">
        <v>67</v>
      </c>
      <c r="E2142" t="s">
        <v>68</v>
      </c>
      <c r="F2142" t="s">
        <v>26</v>
      </c>
      <c r="G2142" s="4">
        <v>-4</v>
      </c>
      <c r="H2142" s="4" t="s">
        <v>75</v>
      </c>
      <c r="I2142" s="4" t="s">
        <v>65</v>
      </c>
      <c r="J2142" s="4" t="s">
        <v>66</v>
      </c>
      <c r="K2142" s="4">
        <v>1</v>
      </c>
      <c r="L2142" s="94">
        <v>287</v>
      </c>
      <c r="M2142" s="94">
        <v>0</v>
      </c>
    </row>
    <row r="2143" spans="3:13" x14ac:dyDescent="0.3">
      <c r="C2143" t="s">
        <v>70</v>
      </c>
      <c r="D2143" t="s">
        <v>62</v>
      </c>
      <c r="E2143" t="s">
        <v>63</v>
      </c>
      <c r="F2143" t="s">
        <v>24</v>
      </c>
      <c r="G2143" s="4">
        <v>23</v>
      </c>
      <c r="I2143" s="4" t="s">
        <v>69</v>
      </c>
      <c r="J2143" s="4" t="s">
        <v>66</v>
      </c>
      <c r="K2143" s="4">
        <v>0</v>
      </c>
      <c r="L2143" s="94">
        <v>-1286807</v>
      </c>
      <c r="M2143" s="94">
        <v>0</v>
      </c>
    </row>
    <row r="2144" spans="3:13" x14ac:dyDescent="0.3">
      <c r="C2144" t="s">
        <v>61</v>
      </c>
      <c r="D2144" t="s">
        <v>67</v>
      </c>
      <c r="E2144" t="s">
        <v>68</v>
      </c>
      <c r="F2144" t="s">
        <v>25</v>
      </c>
      <c r="G2144" s="4">
        <v>6</v>
      </c>
      <c r="H2144" s="4" t="s">
        <v>75</v>
      </c>
      <c r="I2144" s="4" t="s">
        <v>69</v>
      </c>
      <c r="J2144" s="4" t="s">
        <v>66</v>
      </c>
      <c r="K2144" s="4">
        <v>0</v>
      </c>
      <c r="L2144" s="94">
        <v>42239662</v>
      </c>
      <c r="M2144" s="94">
        <v>253437972</v>
      </c>
    </row>
    <row r="2145" spans="3:13" x14ac:dyDescent="0.3">
      <c r="C2145" t="s">
        <v>71</v>
      </c>
      <c r="D2145" t="s">
        <v>67</v>
      </c>
      <c r="E2145" t="s">
        <v>68</v>
      </c>
      <c r="F2145" t="s">
        <v>25</v>
      </c>
      <c r="G2145" s="4">
        <v>3</v>
      </c>
      <c r="H2145" s="4" t="s">
        <v>64</v>
      </c>
      <c r="I2145" s="4" t="s">
        <v>69</v>
      </c>
      <c r="J2145" s="4" t="s">
        <v>66</v>
      </c>
      <c r="K2145" s="4">
        <v>0</v>
      </c>
      <c r="L2145" s="94">
        <v>47692</v>
      </c>
      <c r="M2145" s="94">
        <v>143076</v>
      </c>
    </row>
    <row r="2146" spans="3:13" x14ac:dyDescent="0.3">
      <c r="C2146" t="s">
        <v>61</v>
      </c>
      <c r="D2146" t="s">
        <v>62</v>
      </c>
      <c r="E2146" t="s">
        <v>63</v>
      </c>
      <c r="F2146" t="s">
        <v>24</v>
      </c>
      <c r="G2146" s="4">
        <v>44</v>
      </c>
      <c r="I2146" s="4" t="s">
        <v>65</v>
      </c>
      <c r="J2146" s="4" t="s">
        <v>66</v>
      </c>
      <c r="K2146" s="4">
        <v>1</v>
      </c>
      <c r="L2146" s="94">
        <v>-35</v>
      </c>
      <c r="M2146" s="94">
        <v>0</v>
      </c>
    </row>
    <row r="2147" spans="3:13" x14ac:dyDescent="0.3">
      <c r="C2147" t="s">
        <v>70</v>
      </c>
      <c r="D2147" t="s">
        <v>67</v>
      </c>
      <c r="E2147" t="s">
        <v>63</v>
      </c>
      <c r="F2147" t="s">
        <v>26</v>
      </c>
      <c r="G2147" s="4">
        <v>5</v>
      </c>
      <c r="H2147" s="4" t="s">
        <v>74</v>
      </c>
      <c r="I2147" s="4" t="s">
        <v>69</v>
      </c>
      <c r="J2147" s="4" t="s">
        <v>66</v>
      </c>
      <c r="K2147" s="4">
        <v>0</v>
      </c>
      <c r="L2147" s="94">
        <v>-378239</v>
      </c>
      <c r="M2147" s="94">
        <v>0</v>
      </c>
    </row>
    <row r="2148" spans="3:13" x14ac:dyDescent="0.3">
      <c r="C2148" t="s">
        <v>71</v>
      </c>
      <c r="D2148" t="s">
        <v>67</v>
      </c>
      <c r="E2148" t="s">
        <v>68</v>
      </c>
      <c r="F2148" t="s">
        <v>26</v>
      </c>
      <c r="G2148" s="4">
        <v>11</v>
      </c>
      <c r="H2148" s="4" t="s">
        <v>82</v>
      </c>
      <c r="I2148" s="4" t="s">
        <v>69</v>
      </c>
      <c r="J2148" s="4" t="s">
        <v>66</v>
      </c>
      <c r="K2148" s="4">
        <v>0</v>
      </c>
      <c r="L2148" s="94">
        <v>22952190</v>
      </c>
      <c r="M2148" s="94">
        <v>252474090</v>
      </c>
    </row>
    <row r="2149" spans="3:13" x14ac:dyDescent="0.3">
      <c r="C2149" t="s">
        <v>70</v>
      </c>
      <c r="D2149" t="s">
        <v>67</v>
      </c>
      <c r="E2149" t="s">
        <v>68</v>
      </c>
      <c r="F2149" t="s">
        <v>26</v>
      </c>
      <c r="G2149" s="4">
        <v>2</v>
      </c>
      <c r="H2149" s="4" t="s">
        <v>17</v>
      </c>
      <c r="I2149" s="4" t="s">
        <v>69</v>
      </c>
      <c r="J2149" s="4" t="s">
        <v>73</v>
      </c>
      <c r="K2149" s="4">
        <v>1</v>
      </c>
      <c r="L2149" s="94">
        <v>436158</v>
      </c>
      <c r="M2149" s="94">
        <v>872316</v>
      </c>
    </row>
    <row r="2150" spans="3:13" x14ac:dyDescent="0.3">
      <c r="C2150" t="s">
        <v>70</v>
      </c>
      <c r="D2150" t="s">
        <v>67</v>
      </c>
      <c r="E2150" t="s">
        <v>63</v>
      </c>
      <c r="F2150" t="s">
        <v>25</v>
      </c>
      <c r="G2150" s="4">
        <v>12</v>
      </c>
      <c r="H2150" s="4" t="s">
        <v>81</v>
      </c>
      <c r="I2150" s="4" t="s">
        <v>69</v>
      </c>
      <c r="J2150" s="4" t="s">
        <v>66</v>
      </c>
      <c r="K2150" s="4">
        <v>0</v>
      </c>
      <c r="L2150" s="94">
        <v>-4911</v>
      </c>
      <c r="M2150" s="94">
        <v>0</v>
      </c>
    </row>
    <row r="2151" spans="3:13" x14ac:dyDescent="0.3">
      <c r="C2151" t="s">
        <v>70</v>
      </c>
      <c r="D2151" t="s">
        <v>62</v>
      </c>
      <c r="E2151" t="s">
        <v>68</v>
      </c>
      <c r="F2151" t="s">
        <v>24</v>
      </c>
      <c r="G2151" s="4">
        <v>35</v>
      </c>
      <c r="I2151" s="4" t="s">
        <v>69</v>
      </c>
      <c r="J2151" s="4" t="s">
        <v>66</v>
      </c>
      <c r="K2151" s="4">
        <v>1</v>
      </c>
      <c r="L2151" s="94">
        <v>75332</v>
      </c>
      <c r="M2151" s="94">
        <v>2636620</v>
      </c>
    </row>
    <row r="2152" spans="3:13" x14ac:dyDescent="0.3">
      <c r="C2152" t="s">
        <v>71</v>
      </c>
      <c r="D2152" t="s">
        <v>67</v>
      </c>
      <c r="E2152" t="s">
        <v>63</v>
      </c>
      <c r="F2152" t="s">
        <v>25</v>
      </c>
      <c r="G2152" s="4">
        <v>4</v>
      </c>
      <c r="H2152" s="4" t="s">
        <v>18</v>
      </c>
      <c r="I2152" s="4" t="s">
        <v>69</v>
      </c>
      <c r="J2152" s="4" t="s">
        <v>66</v>
      </c>
      <c r="K2152" s="4">
        <v>0</v>
      </c>
      <c r="L2152" s="94">
        <v>-5969420</v>
      </c>
      <c r="M2152" s="94">
        <v>0</v>
      </c>
    </row>
    <row r="2153" spans="3:13" x14ac:dyDescent="0.3">
      <c r="C2153" t="s">
        <v>61</v>
      </c>
      <c r="D2153" t="s">
        <v>67</v>
      </c>
      <c r="E2153" t="s">
        <v>63</v>
      </c>
      <c r="F2153" t="s">
        <v>25</v>
      </c>
      <c r="G2153" s="4">
        <v>12</v>
      </c>
      <c r="H2153" s="4" t="s">
        <v>77</v>
      </c>
      <c r="I2153" s="4" t="s">
        <v>69</v>
      </c>
      <c r="J2153" s="4" t="s">
        <v>66</v>
      </c>
      <c r="K2153" s="4">
        <v>0</v>
      </c>
      <c r="L2153" s="94">
        <v>-360</v>
      </c>
      <c r="M2153" s="94">
        <v>0</v>
      </c>
    </row>
    <row r="2154" spans="3:13" x14ac:dyDescent="0.3">
      <c r="C2154" t="s">
        <v>61</v>
      </c>
      <c r="D2154" t="s">
        <v>62</v>
      </c>
      <c r="E2154" t="s">
        <v>63</v>
      </c>
      <c r="F2154" t="s">
        <v>25</v>
      </c>
      <c r="G2154" s="4">
        <v>4</v>
      </c>
      <c r="I2154" s="4" t="s">
        <v>65</v>
      </c>
      <c r="J2154" s="4" t="s">
        <v>66</v>
      </c>
      <c r="K2154" s="4">
        <v>1</v>
      </c>
      <c r="L2154" s="94">
        <v>-134</v>
      </c>
      <c r="M2154" s="94">
        <v>0</v>
      </c>
    </row>
    <row r="2155" spans="3:13" x14ac:dyDescent="0.3">
      <c r="C2155" t="s">
        <v>71</v>
      </c>
      <c r="D2155" t="s">
        <v>67</v>
      </c>
      <c r="E2155" t="s">
        <v>63</v>
      </c>
      <c r="F2155" t="s">
        <v>26</v>
      </c>
      <c r="G2155" s="4">
        <v>8</v>
      </c>
      <c r="H2155" s="4" t="s">
        <v>18</v>
      </c>
      <c r="I2155" s="4" t="s">
        <v>69</v>
      </c>
      <c r="J2155" s="4" t="s">
        <v>66</v>
      </c>
      <c r="K2155" s="4">
        <v>0</v>
      </c>
      <c r="L2155" s="94">
        <v>-749052</v>
      </c>
      <c r="M2155" s="94">
        <v>0</v>
      </c>
    </row>
    <row r="2156" spans="3:13" x14ac:dyDescent="0.3">
      <c r="C2156" t="s">
        <v>70</v>
      </c>
      <c r="D2156" t="s">
        <v>67</v>
      </c>
      <c r="E2156" t="s">
        <v>68</v>
      </c>
      <c r="F2156" t="s">
        <v>26</v>
      </c>
      <c r="G2156" s="4">
        <v>1</v>
      </c>
      <c r="H2156" s="4" t="s">
        <v>74</v>
      </c>
      <c r="I2156" s="4" t="s">
        <v>69</v>
      </c>
      <c r="J2156" s="4" t="s">
        <v>66</v>
      </c>
      <c r="K2156" s="4">
        <v>0</v>
      </c>
      <c r="L2156" s="94">
        <v>2465866</v>
      </c>
      <c r="M2156" s="94">
        <v>2465866</v>
      </c>
    </row>
    <row r="2157" spans="3:13" x14ac:dyDescent="0.3">
      <c r="C2157" t="s">
        <v>61</v>
      </c>
      <c r="D2157" t="s">
        <v>67</v>
      </c>
      <c r="E2157" t="s">
        <v>63</v>
      </c>
      <c r="F2157" t="s">
        <v>26</v>
      </c>
      <c r="G2157" s="4">
        <v>2</v>
      </c>
      <c r="H2157" s="4" t="s">
        <v>86</v>
      </c>
      <c r="I2157" s="4" t="s">
        <v>69</v>
      </c>
      <c r="J2157" s="4" t="s">
        <v>66</v>
      </c>
      <c r="K2157" s="4">
        <v>0</v>
      </c>
      <c r="L2157" s="94">
        <v>-93</v>
      </c>
      <c r="M2157" s="94">
        <v>0</v>
      </c>
    </row>
    <row r="2158" spans="3:13" x14ac:dyDescent="0.3">
      <c r="C2158" t="s">
        <v>71</v>
      </c>
      <c r="D2158" t="s">
        <v>62</v>
      </c>
      <c r="E2158" t="s">
        <v>68</v>
      </c>
      <c r="F2158" t="s">
        <v>24</v>
      </c>
      <c r="G2158" s="4">
        <v>30</v>
      </c>
      <c r="I2158" s="4" t="s">
        <v>69</v>
      </c>
      <c r="J2158" s="4" t="s">
        <v>66</v>
      </c>
      <c r="K2158" s="4">
        <v>0</v>
      </c>
      <c r="L2158" s="94">
        <v>8691871</v>
      </c>
      <c r="M2158" s="94">
        <v>260756130</v>
      </c>
    </row>
    <row r="2159" spans="3:13" x14ac:dyDescent="0.3">
      <c r="C2159" t="s">
        <v>71</v>
      </c>
      <c r="D2159" t="s">
        <v>67</v>
      </c>
      <c r="E2159" t="s">
        <v>68</v>
      </c>
      <c r="F2159" t="s">
        <v>26</v>
      </c>
      <c r="G2159" s="4">
        <v>6</v>
      </c>
      <c r="H2159" s="4" t="s">
        <v>75</v>
      </c>
      <c r="I2159" s="4" t="s">
        <v>69</v>
      </c>
      <c r="J2159" s="4" t="s">
        <v>66</v>
      </c>
      <c r="K2159" s="4">
        <v>0</v>
      </c>
      <c r="L2159" s="94">
        <v>85065</v>
      </c>
      <c r="M2159" s="94">
        <v>510390</v>
      </c>
    </row>
    <row r="2160" spans="3:13" x14ac:dyDescent="0.3">
      <c r="C2160" t="s">
        <v>70</v>
      </c>
      <c r="D2160" t="s">
        <v>67</v>
      </c>
      <c r="E2160" t="s">
        <v>63</v>
      </c>
      <c r="F2160" t="s">
        <v>26</v>
      </c>
      <c r="G2160" s="4">
        <v>0</v>
      </c>
      <c r="H2160" s="4" t="s">
        <v>13</v>
      </c>
      <c r="I2160" s="4" t="s">
        <v>69</v>
      </c>
      <c r="J2160" s="4" t="s">
        <v>73</v>
      </c>
      <c r="K2160" s="4">
        <v>1</v>
      </c>
      <c r="L2160" s="94">
        <v>-42</v>
      </c>
      <c r="M2160" s="94">
        <v>0</v>
      </c>
    </row>
    <row r="2161" spans="3:13" x14ac:dyDescent="0.3">
      <c r="C2161" t="s">
        <v>61</v>
      </c>
      <c r="D2161" t="s">
        <v>67</v>
      </c>
      <c r="E2161" t="s">
        <v>68</v>
      </c>
      <c r="F2161" t="s">
        <v>72</v>
      </c>
      <c r="G2161" s="4">
        <v>3</v>
      </c>
      <c r="H2161" s="4" t="s">
        <v>18</v>
      </c>
      <c r="I2161" s="4" t="s">
        <v>69</v>
      </c>
      <c r="J2161" s="4" t="s">
        <v>66</v>
      </c>
      <c r="K2161" s="4">
        <v>0</v>
      </c>
      <c r="L2161" s="94">
        <v>10926793</v>
      </c>
      <c r="M2161" s="94">
        <v>32780379</v>
      </c>
    </row>
    <row r="2162" spans="3:13" x14ac:dyDescent="0.3">
      <c r="C2162" t="s">
        <v>61</v>
      </c>
      <c r="D2162" t="s">
        <v>67</v>
      </c>
      <c r="E2162" t="s">
        <v>68</v>
      </c>
      <c r="F2162" t="s">
        <v>72</v>
      </c>
      <c r="G2162" s="4">
        <v>0</v>
      </c>
      <c r="H2162" s="4" t="s">
        <v>17</v>
      </c>
      <c r="I2162" s="4" t="s">
        <v>69</v>
      </c>
      <c r="J2162" s="4" t="s">
        <v>66</v>
      </c>
      <c r="K2162" s="4">
        <v>0</v>
      </c>
      <c r="L2162" s="94">
        <v>1106481</v>
      </c>
      <c r="M2162" s="94">
        <v>0</v>
      </c>
    </row>
    <row r="2163" spans="3:13" x14ac:dyDescent="0.3">
      <c r="C2163" t="s">
        <v>61</v>
      </c>
      <c r="D2163" t="s">
        <v>67</v>
      </c>
      <c r="E2163" t="s">
        <v>68</v>
      </c>
      <c r="F2163" t="s">
        <v>26</v>
      </c>
      <c r="G2163" s="4">
        <v>5</v>
      </c>
      <c r="H2163" s="4" t="s">
        <v>80</v>
      </c>
      <c r="I2163" s="4" t="s">
        <v>69</v>
      </c>
      <c r="J2163" s="4" t="s">
        <v>66</v>
      </c>
      <c r="K2163" s="4">
        <v>0</v>
      </c>
      <c r="L2163" s="94">
        <v>134796</v>
      </c>
      <c r="M2163" s="94">
        <v>673980</v>
      </c>
    </row>
    <row r="2164" spans="3:13" x14ac:dyDescent="0.3">
      <c r="C2164" t="s">
        <v>71</v>
      </c>
      <c r="D2164" t="s">
        <v>67</v>
      </c>
      <c r="E2164" t="s">
        <v>63</v>
      </c>
      <c r="F2164" t="s">
        <v>72</v>
      </c>
      <c r="G2164" s="4">
        <v>3</v>
      </c>
      <c r="H2164" s="4" t="s">
        <v>64</v>
      </c>
      <c r="I2164" s="4" t="s">
        <v>69</v>
      </c>
      <c r="J2164" s="4" t="s">
        <v>66</v>
      </c>
      <c r="K2164" s="4">
        <v>0</v>
      </c>
      <c r="L2164" s="94">
        <v>-70898</v>
      </c>
      <c r="M2164" s="94">
        <v>0</v>
      </c>
    </row>
    <row r="2165" spans="3:13" x14ac:dyDescent="0.3">
      <c r="C2165" t="s">
        <v>70</v>
      </c>
      <c r="D2165" t="s">
        <v>67</v>
      </c>
      <c r="E2165" t="s">
        <v>63</v>
      </c>
      <c r="F2165" t="s">
        <v>26</v>
      </c>
      <c r="G2165" s="4">
        <v>-1</v>
      </c>
      <c r="H2165" s="4" t="s">
        <v>15</v>
      </c>
      <c r="I2165" s="4" t="s">
        <v>65</v>
      </c>
      <c r="J2165" s="4" t="s">
        <v>66</v>
      </c>
      <c r="K2165" s="4">
        <v>1</v>
      </c>
      <c r="L2165" s="94">
        <v>-4</v>
      </c>
      <c r="M2165" s="94">
        <v>0</v>
      </c>
    </row>
    <row r="2166" spans="3:13" x14ac:dyDescent="0.3">
      <c r="C2166" t="s">
        <v>71</v>
      </c>
      <c r="D2166" t="s">
        <v>67</v>
      </c>
      <c r="E2166" t="s">
        <v>68</v>
      </c>
      <c r="F2166" t="s">
        <v>72</v>
      </c>
      <c r="G2166" s="4">
        <v>0</v>
      </c>
      <c r="H2166" s="4" t="s">
        <v>80</v>
      </c>
      <c r="I2166" s="4" t="s">
        <v>69</v>
      </c>
      <c r="J2166" s="4" t="s">
        <v>66</v>
      </c>
      <c r="K2166" s="4">
        <v>0</v>
      </c>
      <c r="L2166" s="94">
        <v>14344</v>
      </c>
      <c r="M2166" s="94">
        <v>0</v>
      </c>
    </row>
    <row r="2167" spans="3:13" x14ac:dyDescent="0.3">
      <c r="C2167" t="s">
        <v>61</v>
      </c>
      <c r="D2167" t="s">
        <v>62</v>
      </c>
      <c r="E2167" t="s">
        <v>68</v>
      </c>
      <c r="F2167" t="s">
        <v>24</v>
      </c>
      <c r="G2167" s="4">
        <v>7</v>
      </c>
      <c r="I2167" s="4" t="s">
        <v>69</v>
      </c>
      <c r="J2167" s="4" t="s">
        <v>66</v>
      </c>
      <c r="K2167" s="4">
        <v>1</v>
      </c>
      <c r="L2167" s="94">
        <v>781770</v>
      </c>
      <c r="M2167" s="94">
        <v>5472390</v>
      </c>
    </row>
    <row r="2168" spans="3:13" x14ac:dyDescent="0.3">
      <c r="C2168" t="s">
        <v>61</v>
      </c>
      <c r="D2168" t="s">
        <v>67</v>
      </c>
      <c r="E2168" t="s">
        <v>68</v>
      </c>
      <c r="F2168" t="s">
        <v>25</v>
      </c>
      <c r="G2168" s="4">
        <v>1</v>
      </c>
      <c r="H2168" s="4" t="s">
        <v>16</v>
      </c>
      <c r="I2168" s="4" t="s">
        <v>69</v>
      </c>
      <c r="J2168" s="4" t="s">
        <v>66</v>
      </c>
      <c r="K2168" s="4">
        <v>0</v>
      </c>
      <c r="L2168" s="94">
        <v>18429</v>
      </c>
      <c r="M2168" s="94">
        <v>18429</v>
      </c>
    </row>
    <row r="2169" spans="3:13" x14ac:dyDescent="0.3">
      <c r="C2169" t="s">
        <v>71</v>
      </c>
      <c r="D2169" t="s">
        <v>67</v>
      </c>
      <c r="E2169" t="s">
        <v>68</v>
      </c>
      <c r="F2169" t="s">
        <v>72</v>
      </c>
      <c r="G2169" s="4">
        <v>3</v>
      </c>
      <c r="H2169" s="4" t="s">
        <v>83</v>
      </c>
      <c r="I2169" s="4" t="s">
        <v>69</v>
      </c>
      <c r="J2169" s="4" t="s">
        <v>66</v>
      </c>
      <c r="K2169" s="4">
        <v>0</v>
      </c>
      <c r="L2169" s="94">
        <v>53896</v>
      </c>
      <c r="M2169" s="94">
        <v>161688</v>
      </c>
    </row>
    <row r="2170" spans="3:13" x14ac:dyDescent="0.3">
      <c r="C2170" t="s">
        <v>70</v>
      </c>
      <c r="D2170" t="s">
        <v>67</v>
      </c>
      <c r="E2170" t="s">
        <v>68</v>
      </c>
      <c r="F2170" t="s">
        <v>72</v>
      </c>
      <c r="G2170" s="4">
        <v>2</v>
      </c>
      <c r="H2170" s="4" t="s">
        <v>79</v>
      </c>
      <c r="I2170" s="4" t="s">
        <v>69</v>
      </c>
      <c r="J2170" s="4" t="s">
        <v>66</v>
      </c>
      <c r="K2170" s="4">
        <v>0</v>
      </c>
      <c r="L2170" s="94">
        <v>513479</v>
      </c>
      <c r="M2170" s="94">
        <v>1026958</v>
      </c>
    </row>
    <row r="2171" spans="3:13" x14ac:dyDescent="0.3">
      <c r="C2171" t="s">
        <v>71</v>
      </c>
      <c r="D2171" t="s">
        <v>67</v>
      </c>
      <c r="E2171" t="s">
        <v>63</v>
      </c>
      <c r="F2171" t="s">
        <v>26</v>
      </c>
      <c r="G2171" s="4">
        <v>0</v>
      </c>
      <c r="H2171" s="4" t="s">
        <v>12</v>
      </c>
      <c r="I2171" s="4" t="s">
        <v>65</v>
      </c>
      <c r="J2171" s="4" t="s">
        <v>73</v>
      </c>
      <c r="K2171" s="4">
        <v>1</v>
      </c>
      <c r="L2171" s="94">
        <v>-62700</v>
      </c>
      <c r="M2171" s="94">
        <v>0</v>
      </c>
    </row>
    <row r="2172" spans="3:13" x14ac:dyDescent="0.3">
      <c r="C2172" t="s">
        <v>70</v>
      </c>
      <c r="D2172" t="s">
        <v>67</v>
      </c>
      <c r="E2172" t="s">
        <v>63</v>
      </c>
      <c r="F2172" t="s">
        <v>25</v>
      </c>
      <c r="G2172" s="4">
        <v>15</v>
      </c>
      <c r="H2172" s="4" t="s">
        <v>18</v>
      </c>
      <c r="I2172" s="4" t="s">
        <v>69</v>
      </c>
      <c r="J2172" s="4" t="s">
        <v>66</v>
      </c>
      <c r="K2172" s="4">
        <v>0</v>
      </c>
      <c r="L2172" s="94">
        <v>-25604</v>
      </c>
      <c r="M2172" s="94">
        <v>0</v>
      </c>
    </row>
    <row r="2173" spans="3:13" x14ac:dyDescent="0.3">
      <c r="C2173" t="s">
        <v>61</v>
      </c>
      <c r="D2173" t="s">
        <v>67</v>
      </c>
      <c r="E2173" t="s">
        <v>63</v>
      </c>
      <c r="F2173" t="s">
        <v>25</v>
      </c>
      <c r="G2173" s="4">
        <v>3</v>
      </c>
      <c r="H2173" s="4" t="s">
        <v>12</v>
      </c>
      <c r="I2173" s="4" t="s">
        <v>69</v>
      </c>
      <c r="J2173" s="4" t="s">
        <v>66</v>
      </c>
      <c r="K2173" s="4">
        <v>1</v>
      </c>
      <c r="L2173" s="94">
        <v>-1144</v>
      </c>
      <c r="M2173" s="94">
        <v>0</v>
      </c>
    </row>
    <row r="2174" spans="3:13" x14ac:dyDescent="0.3">
      <c r="C2174" t="s">
        <v>70</v>
      </c>
      <c r="D2174" t="s">
        <v>67</v>
      </c>
      <c r="E2174" t="s">
        <v>68</v>
      </c>
      <c r="F2174" t="s">
        <v>25</v>
      </c>
      <c r="G2174" s="4">
        <v>9</v>
      </c>
      <c r="H2174" s="4" t="s">
        <v>75</v>
      </c>
      <c r="I2174" s="4" t="s">
        <v>69</v>
      </c>
      <c r="J2174" s="4" t="s">
        <v>66</v>
      </c>
      <c r="K2174" s="4">
        <v>0</v>
      </c>
      <c r="L2174" s="94">
        <v>4510746</v>
      </c>
      <c r="M2174" s="94">
        <v>40596714</v>
      </c>
    </row>
    <row r="2175" spans="3:13" x14ac:dyDescent="0.3">
      <c r="C2175" t="s">
        <v>61</v>
      </c>
      <c r="D2175" t="s">
        <v>67</v>
      </c>
      <c r="E2175" t="s">
        <v>68</v>
      </c>
      <c r="F2175" t="s">
        <v>26</v>
      </c>
      <c r="G2175" s="4">
        <v>0</v>
      </c>
      <c r="H2175" s="4" t="s">
        <v>12</v>
      </c>
      <c r="I2175" s="4" t="s">
        <v>65</v>
      </c>
      <c r="J2175" s="4" t="s">
        <v>73</v>
      </c>
      <c r="K2175" s="4">
        <v>1</v>
      </c>
      <c r="L2175" s="94">
        <v>79275</v>
      </c>
      <c r="M2175" s="94">
        <v>0</v>
      </c>
    </row>
    <row r="2176" spans="3:13" x14ac:dyDescent="0.3">
      <c r="C2176" t="s">
        <v>71</v>
      </c>
      <c r="D2176" t="s">
        <v>67</v>
      </c>
      <c r="E2176" t="s">
        <v>68</v>
      </c>
      <c r="F2176" t="s">
        <v>72</v>
      </c>
      <c r="G2176" s="4">
        <v>-4</v>
      </c>
      <c r="H2176" s="4" t="s">
        <v>17</v>
      </c>
      <c r="I2176" s="4" t="s">
        <v>65</v>
      </c>
      <c r="J2176" s="4" t="s">
        <v>73</v>
      </c>
      <c r="K2176" s="4">
        <v>1</v>
      </c>
      <c r="L2176" s="94">
        <v>2553</v>
      </c>
      <c r="M2176" s="94">
        <v>0</v>
      </c>
    </row>
    <row r="2177" spans="3:13" x14ac:dyDescent="0.3">
      <c r="C2177" t="s">
        <v>61</v>
      </c>
      <c r="D2177" t="s">
        <v>67</v>
      </c>
      <c r="E2177" t="s">
        <v>63</v>
      </c>
      <c r="F2177" t="s">
        <v>25</v>
      </c>
      <c r="G2177" s="4">
        <v>-4</v>
      </c>
      <c r="H2177" s="4" t="s">
        <v>79</v>
      </c>
      <c r="I2177" s="4" t="s">
        <v>69</v>
      </c>
      <c r="J2177" s="4" t="s">
        <v>66</v>
      </c>
      <c r="K2177" s="4">
        <v>0</v>
      </c>
      <c r="L2177" s="94">
        <v>-57</v>
      </c>
      <c r="M2177" s="94">
        <v>0</v>
      </c>
    </row>
    <row r="2178" spans="3:13" x14ac:dyDescent="0.3">
      <c r="C2178" t="s">
        <v>71</v>
      </c>
      <c r="D2178" t="s">
        <v>67</v>
      </c>
      <c r="E2178" t="s">
        <v>68</v>
      </c>
      <c r="F2178" t="s">
        <v>72</v>
      </c>
      <c r="G2178" s="4">
        <v>5</v>
      </c>
      <c r="H2178" s="4" t="s">
        <v>76</v>
      </c>
      <c r="I2178" s="4" t="s">
        <v>69</v>
      </c>
      <c r="J2178" s="4" t="s">
        <v>66</v>
      </c>
      <c r="K2178" s="4">
        <v>0</v>
      </c>
      <c r="L2178" s="94">
        <v>43093</v>
      </c>
      <c r="M2178" s="94">
        <v>215465</v>
      </c>
    </row>
    <row r="2179" spans="3:13" x14ac:dyDescent="0.3">
      <c r="C2179" t="s">
        <v>70</v>
      </c>
      <c r="D2179" t="s">
        <v>67</v>
      </c>
      <c r="E2179" t="s">
        <v>68</v>
      </c>
      <c r="F2179" t="s">
        <v>25</v>
      </c>
      <c r="G2179" s="4">
        <v>2</v>
      </c>
      <c r="H2179" s="4" t="s">
        <v>12</v>
      </c>
      <c r="I2179" s="4" t="s">
        <v>69</v>
      </c>
      <c r="J2179" s="4" t="s">
        <v>66</v>
      </c>
      <c r="K2179" s="4">
        <v>0</v>
      </c>
      <c r="L2179" s="94">
        <v>48010</v>
      </c>
      <c r="M2179" s="94">
        <v>96020</v>
      </c>
    </row>
    <row r="2180" spans="3:13" x14ac:dyDescent="0.3">
      <c r="C2180" t="s">
        <v>71</v>
      </c>
      <c r="D2180" t="s">
        <v>67</v>
      </c>
      <c r="E2180" t="s">
        <v>63</v>
      </c>
      <c r="F2180" t="s">
        <v>72</v>
      </c>
      <c r="G2180" s="4">
        <v>6</v>
      </c>
      <c r="H2180" s="4" t="s">
        <v>82</v>
      </c>
      <c r="I2180" s="4" t="s">
        <v>69</v>
      </c>
      <c r="J2180" s="4" t="s">
        <v>66</v>
      </c>
      <c r="K2180" s="4">
        <v>0</v>
      </c>
      <c r="L2180" s="94">
        <v>-4164338</v>
      </c>
      <c r="M2180" s="94">
        <v>0</v>
      </c>
    </row>
    <row r="2181" spans="3:13" x14ac:dyDescent="0.3">
      <c r="C2181" t="s">
        <v>70</v>
      </c>
      <c r="D2181" t="s">
        <v>67</v>
      </c>
      <c r="E2181" t="s">
        <v>63</v>
      </c>
      <c r="F2181" t="s">
        <v>25</v>
      </c>
      <c r="G2181" s="4">
        <v>6</v>
      </c>
      <c r="H2181" s="4" t="s">
        <v>79</v>
      </c>
      <c r="I2181" s="4" t="s">
        <v>69</v>
      </c>
      <c r="J2181" s="4" t="s">
        <v>66</v>
      </c>
      <c r="K2181" s="4">
        <v>0</v>
      </c>
      <c r="L2181" s="94">
        <v>-21686</v>
      </c>
      <c r="M2181" s="94">
        <v>0</v>
      </c>
    </row>
    <row r="2182" spans="3:13" x14ac:dyDescent="0.3">
      <c r="C2182" t="s">
        <v>71</v>
      </c>
      <c r="D2182" t="s">
        <v>62</v>
      </c>
      <c r="E2182" t="s">
        <v>68</v>
      </c>
      <c r="F2182" t="s">
        <v>24</v>
      </c>
      <c r="G2182" s="4">
        <v>42</v>
      </c>
      <c r="I2182" s="4" t="s">
        <v>69</v>
      </c>
      <c r="J2182" s="4" t="s">
        <v>66</v>
      </c>
      <c r="K2182" s="4">
        <v>0</v>
      </c>
      <c r="L2182" s="94">
        <v>1157956</v>
      </c>
      <c r="M2182" s="94">
        <v>48634152</v>
      </c>
    </row>
    <row r="2183" spans="3:13" x14ac:dyDescent="0.3">
      <c r="C2183" t="s">
        <v>61</v>
      </c>
      <c r="D2183" t="s">
        <v>67</v>
      </c>
      <c r="E2183" t="s">
        <v>68</v>
      </c>
      <c r="F2183" t="s">
        <v>72</v>
      </c>
      <c r="G2183" s="4">
        <v>2</v>
      </c>
      <c r="H2183" s="4" t="s">
        <v>17</v>
      </c>
      <c r="I2183" s="4" t="s">
        <v>69</v>
      </c>
      <c r="J2183" s="4" t="s">
        <v>73</v>
      </c>
      <c r="K2183" s="4">
        <v>1</v>
      </c>
      <c r="L2183" s="94">
        <v>231373</v>
      </c>
      <c r="M2183" s="94">
        <v>462746</v>
      </c>
    </row>
    <row r="2184" spans="3:13" x14ac:dyDescent="0.3">
      <c r="C2184" t="s">
        <v>71</v>
      </c>
      <c r="D2184" t="s">
        <v>67</v>
      </c>
      <c r="E2184" t="s">
        <v>68</v>
      </c>
      <c r="F2184" t="s">
        <v>72</v>
      </c>
      <c r="G2184" s="4">
        <v>-1</v>
      </c>
      <c r="H2184" s="4" t="s">
        <v>14</v>
      </c>
      <c r="I2184" s="4" t="s">
        <v>69</v>
      </c>
      <c r="J2184" s="4" t="s">
        <v>73</v>
      </c>
      <c r="K2184" s="4">
        <v>1</v>
      </c>
      <c r="L2184" s="94">
        <v>20000</v>
      </c>
      <c r="M2184" s="94">
        <v>0</v>
      </c>
    </row>
    <row r="2185" spans="3:13" x14ac:dyDescent="0.3">
      <c r="C2185" t="s">
        <v>61</v>
      </c>
      <c r="D2185" t="s">
        <v>67</v>
      </c>
      <c r="E2185" t="s">
        <v>68</v>
      </c>
      <c r="F2185" t="s">
        <v>26</v>
      </c>
      <c r="G2185" s="4">
        <v>2</v>
      </c>
      <c r="H2185" s="4" t="s">
        <v>81</v>
      </c>
      <c r="I2185" s="4" t="s">
        <v>69</v>
      </c>
      <c r="J2185" s="4" t="s">
        <v>66</v>
      </c>
      <c r="K2185" s="4">
        <v>0</v>
      </c>
      <c r="L2185" s="94">
        <v>153572</v>
      </c>
      <c r="M2185" s="94">
        <v>307144</v>
      </c>
    </row>
    <row r="2186" spans="3:13" x14ac:dyDescent="0.3">
      <c r="C2186" t="s">
        <v>70</v>
      </c>
      <c r="D2186" t="s">
        <v>62</v>
      </c>
      <c r="E2186" t="s">
        <v>68</v>
      </c>
      <c r="F2186" t="s">
        <v>24</v>
      </c>
      <c r="G2186" s="4">
        <v>4</v>
      </c>
      <c r="I2186" s="4" t="s">
        <v>69</v>
      </c>
      <c r="J2186" s="4" t="s">
        <v>66</v>
      </c>
      <c r="K2186" s="4">
        <v>0</v>
      </c>
      <c r="L2186" s="94">
        <v>8124584</v>
      </c>
      <c r="M2186" s="94">
        <v>32498336</v>
      </c>
    </row>
    <row r="2187" spans="3:13" x14ac:dyDescent="0.3">
      <c r="C2187" t="s">
        <v>71</v>
      </c>
      <c r="D2187" t="s">
        <v>67</v>
      </c>
      <c r="E2187" t="s">
        <v>63</v>
      </c>
      <c r="F2187" t="s">
        <v>26</v>
      </c>
      <c r="G2187" s="4">
        <v>2</v>
      </c>
      <c r="H2187" s="4" t="s">
        <v>74</v>
      </c>
      <c r="I2187" s="4" t="s">
        <v>69</v>
      </c>
      <c r="J2187" s="4" t="s">
        <v>66</v>
      </c>
      <c r="K2187" s="4">
        <v>0</v>
      </c>
      <c r="L2187" s="94">
        <v>-336134</v>
      </c>
      <c r="M2187" s="94">
        <v>0</v>
      </c>
    </row>
    <row r="2188" spans="3:13" x14ac:dyDescent="0.3">
      <c r="C2188" t="s">
        <v>71</v>
      </c>
      <c r="D2188" t="s">
        <v>67</v>
      </c>
      <c r="E2188" t="s">
        <v>63</v>
      </c>
      <c r="F2188" t="s">
        <v>25</v>
      </c>
      <c r="G2188" s="4">
        <v>-1</v>
      </c>
      <c r="H2188" s="4" t="s">
        <v>82</v>
      </c>
      <c r="I2188" s="4" t="s">
        <v>69</v>
      </c>
      <c r="J2188" s="4" t="s">
        <v>66</v>
      </c>
      <c r="K2188" s="4">
        <v>0</v>
      </c>
      <c r="L2188" s="94">
        <v>-800</v>
      </c>
      <c r="M2188" s="94">
        <v>0</v>
      </c>
    </row>
    <row r="2189" spans="3:13" x14ac:dyDescent="0.3">
      <c r="C2189" t="s">
        <v>71</v>
      </c>
      <c r="D2189" t="s">
        <v>67</v>
      </c>
      <c r="E2189" t="s">
        <v>68</v>
      </c>
      <c r="F2189" t="s">
        <v>25</v>
      </c>
      <c r="G2189" s="4">
        <v>-4</v>
      </c>
      <c r="H2189" s="4" t="s">
        <v>17</v>
      </c>
      <c r="I2189" s="4" t="s">
        <v>69</v>
      </c>
      <c r="J2189" s="4" t="s">
        <v>66</v>
      </c>
      <c r="K2189" s="4">
        <v>1</v>
      </c>
      <c r="L2189" s="94">
        <v>2440761</v>
      </c>
      <c r="M2189" s="94">
        <v>0</v>
      </c>
    </row>
    <row r="2190" spans="3:13" x14ac:dyDescent="0.3">
      <c r="C2190" t="s">
        <v>61</v>
      </c>
      <c r="D2190" t="s">
        <v>67</v>
      </c>
      <c r="E2190" t="s">
        <v>63</v>
      </c>
      <c r="F2190" t="s">
        <v>26</v>
      </c>
      <c r="G2190" s="4">
        <v>3</v>
      </c>
      <c r="H2190" s="4" t="s">
        <v>18</v>
      </c>
      <c r="I2190" s="4" t="s">
        <v>65</v>
      </c>
      <c r="J2190" s="4" t="s">
        <v>66</v>
      </c>
      <c r="K2190" s="4">
        <v>1</v>
      </c>
      <c r="L2190" s="94">
        <v>-1549</v>
      </c>
      <c r="M2190" s="94">
        <v>0</v>
      </c>
    </row>
    <row r="2191" spans="3:13" x14ac:dyDescent="0.3">
      <c r="C2191" t="s">
        <v>61</v>
      </c>
      <c r="D2191" t="s">
        <v>67</v>
      </c>
      <c r="E2191" t="s">
        <v>68</v>
      </c>
      <c r="F2191" t="s">
        <v>26</v>
      </c>
      <c r="G2191" s="4">
        <v>5</v>
      </c>
      <c r="H2191" s="4" t="s">
        <v>74</v>
      </c>
      <c r="I2191" s="4" t="s">
        <v>69</v>
      </c>
      <c r="J2191" s="4" t="s">
        <v>66</v>
      </c>
      <c r="K2191" s="4">
        <v>0</v>
      </c>
      <c r="L2191" s="94">
        <v>63675807</v>
      </c>
      <c r="M2191" s="94">
        <v>318379035</v>
      </c>
    </row>
    <row r="2192" spans="3:13" x14ac:dyDescent="0.3">
      <c r="C2192" t="s">
        <v>61</v>
      </c>
      <c r="D2192" t="s">
        <v>67</v>
      </c>
      <c r="E2192" t="s">
        <v>63</v>
      </c>
      <c r="F2192" t="s">
        <v>72</v>
      </c>
      <c r="G2192" s="4">
        <v>-1</v>
      </c>
      <c r="H2192" s="4" t="s">
        <v>75</v>
      </c>
      <c r="I2192" s="4" t="s">
        <v>69</v>
      </c>
      <c r="J2192" s="4" t="s">
        <v>66</v>
      </c>
      <c r="K2192" s="4">
        <v>0</v>
      </c>
      <c r="L2192" s="94">
        <v>-9286</v>
      </c>
      <c r="M2192" s="94">
        <v>0</v>
      </c>
    </row>
    <row r="2193" spans="3:13" x14ac:dyDescent="0.3">
      <c r="C2193" t="s">
        <v>61</v>
      </c>
      <c r="D2193" t="s">
        <v>67</v>
      </c>
      <c r="E2193" t="s">
        <v>63</v>
      </c>
      <c r="F2193" t="s">
        <v>25</v>
      </c>
      <c r="G2193" s="4">
        <v>8</v>
      </c>
      <c r="H2193" s="4" t="s">
        <v>18</v>
      </c>
      <c r="I2193" s="4" t="s">
        <v>69</v>
      </c>
      <c r="J2193" s="4" t="s">
        <v>66</v>
      </c>
      <c r="K2193" s="4">
        <v>0</v>
      </c>
      <c r="L2193" s="94">
        <v>-26876</v>
      </c>
      <c r="M2193" s="94">
        <v>0</v>
      </c>
    </row>
    <row r="2194" spans="3:13" x14ac:dyDescent="0.3">
      <c r="C2194" t="s">
        <v>61</v>
      </c>
      <c r="D2194" t="s">
        <v>62</v>
      </c>
      <c r="E2194" t="s">
        <v>63</v>
      </c>
      <c r="F2194" t="s">
        <v>24</v>
      </c>
      <c r="G2194" s="4">
        <v>39</v>
      </c>
      <c r="I2194" s="4" t="s">
        <v>69</v>
      </c>
      <c r="J2194" s="4" t="s">
        <v>66</v>
      </c>
      <c r="K2194" s="4">
        <v>0</v>
      </c>
      <c r="L2194" s="94">
        <v>-171230</v>
      </c>
      <c r="M2194" s="94">
        <v>0</v>
      </c>
    </row>
    <row r="2195" spans="3:13" x14ac:dyDescent="0.3">
      <c r="C2195" t="s">
        <v>71</v>
      </c>
      <c r="D2195" t="s">
        <v>67</v>
      </c>
      <c r="E2195" t="s">
        <v>68</v>
      </c>
      <c r="F2195" t="s">
        <v>72</v>
      </c>
      <c r="G2195" s="4">
        <v>0</v>
      </c>
      <c r="H2195" s="4" t="s">
        <v>74</v>
      </c>
      <c r="I2195" s="4" t="s">
        <v>69</v>
      </c>
      <c r="J2195" s="4" t="s">
        <v>66</v>
      </c>
      <c r="K2195" s="4">
        <v>0</v>
      </c>
      <c r="L2195" s="94">
        <v>26367</v>
      </c>
      <c r="M2195" s="94">
        <v>0</v>
      </c>
    </row>
    <row r="2196" spans="3:13" x14ac:dyDescent="0.3">
      <c r="C2196" t="s">
        <v>61</v>
      </c>
      <c r="D2196" t="s">
        <v>67</v>
      </c>
      <c r="E2196" t="s">
        <v>68</v>
      </c>
      <c r="F2196" t="s">
        <v>25</v>
      </c>
      <c r="G2196" s="4">
        <v>4</v>
      </c>
      <c r="H2196" s="4" t="s">
        <v>12</v>
      </c>
      <c r="I2196" s="4" t="s">
        <v>69</v>
      </c>
      <c r="J2196" s="4" t="s">
        <v>66</v>
      </c>
      <c r="K2196" s="4">
        <v>1</v>
      </c>
      <c r="L2196" s="94">
        <v>483123</v>
      </c>
      <c r="M2196" s="94">
        <v>1932492</v>
      </c>
    </row>
    <row r="2197" spans="3:13" x14ac:dyDescent="0.3">
      <c r="C2197" t="s">
        <v>71</v>
      </c>
      <c r="D2197" t="s">
        <v>67</v>
      </c>
      <c r="E2197" t="s">
        <v>68</v>
      </c>
      <c r="F2197" t="s">
        <v>72</v>
      </c>
      <c r="G2197" s="4">
        <v>3</v>
      </c>
      <c r="H2197" s="4" t="s">
        <v>75</v>
      </c>
      <c r="I2197" s="4" t="s">
        <v>69</v>
      </c>
      <c r="J2197" s="4" t="s">
        <v>66</v>
      </c>
      <c r="K2197" s="4">
        <v>0</v>
      </c>
      <c r="L2197" s="94">
        <v>36113</v>
      </c>
      <c r="M2197" s="94">
        <v>108339</v>
      </c>
    </row>
    <row r="2198" spans="3:13" x14ac:dyDescent="0.3">
      <c r="C2198" t="s">
        <v>70</v>
      </c>
      <c r="D2198" t="s">
        <v>67</v>
      </c>
      <c r="E2198" t="s">
        <v>68</v>
      </c>
      <c r="F2198" t="s">
        <v>25</v>
      </c>
      <c r="G2198" s="4">
        <v>9</v>
      </c>
      <c r="H2198" s="4" t="s">
        <v>83</v>
      </c>
      <c r="I2198" s="4" t="s">
        <v>69</v>
      </c>
      <c r="J2198" s="4" t="s">
        <v>66</v>
      </c>
      <c r="K2198" s="4">
        <v>0</v>
      </c>
      <c r="L2198" s="94">
        <v>326673</v>
      </c>
      <c r="M2198" s="94">
        <v>2940057</v>
      </c>
    </row>
    <row r="2199" spans="3:13" x14ac:dyDescent="0.3">
      <c r="C2199" t="s">
        <v>61</v>
      </c>
      <c r="D2199" t="s">
        <v>67</v>
      </c>
      <c r="E2199" t="s">
        <v>68</v>
      </c>
      <c r="F2199" t="s">
        <v>72</v>
      </c>
      <c r="G2199" s="4">
        <v>6</v>
      </c>
      <c r="H2199" s="4" t="s">
        <v>77</v>
      </c>
      <c r="I2199" s="4" t="s">
        <v>69</v>
      </c>
      <c r="J2199" s="4" t="s">
        <v>66</v>
      </c>
      <c r="K2199" s="4">
        <v>0</v>
      </c>
      <c r="L2199" s="94">
        <v>48143</v>
      </c>
      <c r="M2199" s="94">
        <v>288858</v>
      </c>
    </row>
    <row r="2200" spans="3:13" x14ac:dyDescent="0.3">
      <c r="C2200" t="s">
        <v>71</v>
      </c>
      <c r="D2200" t="s">
        <v>67</v>
      </c>
      <c r="E2200" t="s">
        <v>68</v>
      </c>
      <c r="F2200" t="s">
        <v>26</v>
      </c>
      <c r="G2200" s="4">
        <v>-1</v>
      </c>
      <c r="H2200" s="4" t="s">
        <v>81</v>
      </c>
      <c r="I2200" s="4" t="s">
        <v>69</v>
      </c>
      <c r="J2200" s="4" t="s">
        <v>66</v>
      </c>
      <c r="K2200" s="4">
        <v>0</v>
      </c>
      <c r="L2200" s="94">
        <v>30777</v>
      </c>
      <c r="M2200" s="94">
        <v>0</v>
      </c>
    </row>
    <row r="2201" spans="3:13" x14ac:dyDescent="0.3">
      <c r="C2201" t="s">
        <v>70</v>
      </c>
      <c r="D2201" t="s">
        <v>62</v>
      </c>
      <c r="E2201" t="s">
        <v>68</v>
      </c>
      <c r="F2201" t="s">
        <v>24</v>
      </c>
      <c r="G2201" s="4">
        <v>1</v>
      </c>
      <c r="I2201" s="4" t="s">
        <v>69</v>
      </c>
      <c r="J2201" s="4" t="s">
        <v>66</v>
      </c>
      <c r="K2201" s="4">
        <v>1</v>
      </c>
      <c r="L2201" s="94">
        <v>5379</v>
      </c>
      <c r="M2201" s="94">
        <v>5379</v>
      </c>
    </row>
    <row r="2202" spans="3:13" x14ac:dyDescent="0.3">
      <c r="C2202" t="s">
        <v>71</v>
      </c>
      <c r="D2202" t="s">
        <v>62</v>
      </c>
      <c r="E2202" t="s">
        <v>68</v>
      </c>
      <c r="F2202" t="s">
        <v>24</v>
      </c>
      <c r="G2202" s="4">
        <v>19</v>
      </c>
      <c r="I2202" s="4" t="s">
        <v>69</v>
      </c>
      <c r="J2202" s="4" t="s">
        <v>66</v>
      </c>
      <c r="K2202" s="4">
        <v>1</v>
      </c>
      <c r="L2202" s="94">
        <v>135429</v>
      </c>
      <c r="M2202" s="94">
        <v>2573151</v>
      </c>
    </row>
    <row r="2203" spans="3:13" x14ac:dyDescent="0.3">
      <c r="C2203" t="s">
        <v>61</v>
      </c>
      <c r="D2203" t="s">
        <v>67</v>
      </c>
      <c r="E2203" t="s">
        <v>68</v>
      </c>
      <c r="F2203" t="s">
        <v>72</v>
      </c>
      <c r="G2203" s="4">
        <v>7</v>
      </c>
      <c r="H2203" s="4" t="s">
        <v>14</v>
      </c>
      <c r="I2203" s="4" t="s">
        <v>69</v>
      </c>
      <c r="J2203" s="4" t="s">
        <v>73</v>
      </c>
      <c r="K2203" s="4">
        <v>1</v>
      </c>
      <c r="L2203" s="94">
        <v>655167</v>
      </c>
      <c r="M2203" s="94">
        <v>4586169</v>
      </c>
    </row>
    <row r="2204" spans="3:13" x14ac:dyDescent="0.3">
      <c r="C2204" t="s">
        <v>71</v>
      </c>
      <c r="D2204" t="s">
        <v>67</v>
      </c>
      <c r="E2204" t="s">
        <v>63</v>
      </c>
      <c r="F2204" t="s">
        <v>25</v>
      </c>
      <c r="G2204" s="4">
        <v>-4</v>
      </c>
      <c r="H2204" s="4" t="s">
        <v>81</v>
      </c>
      <c r="I2204" s="4" t="s">
        <v>69</v>
      </c>
      <c r="J2204" s="4" t="s">
        <v>66</v>
      </c>
      <c r="K2204" s="4">
        <v>0</v>
      </c>
      <c r="L2204" s="94">
        <v>-143</v>
      </c>
      <c r="M2204" s="94">
        <v>0</v>
      </c>
    </row>
    <row r="2205" spans="3:13" x14ac:dyDescent="0.3">
      <c r="C2205" t="s">
        <v>61</v>
      </c>
      <c r="D2205" t="s">
        <v>67</v>
      </c>
      <c r="E2205" t="s">
        <v>68</v>
      </c>
      <c r="F2205" t="s">
        <v>26</v>
      </c>
      <c r="G2205" s="4">
        <v>4</v>
      </c>
      <c r="H2205" s="4" t="s">
        <v>64</v>
      </c>
      <c r="I2205" s="4" t="s">
        <v>69</v>
      </c>
      <c r="J2205" s="4" t="s">
        <v>66</v>
      </c>
      <c r="K2205" s="4">
        <v>0</v>
      </c>
      <c r="L2205" s="94">
        <v>9625914</v>
      </c>
      <c r="M2205" s="94">
        <v>38503656</v>
      </c>
    </row>
    <row r="2206" spans="3:13" x14ac:dyDescent="0.3">
      <c r="C2206" t="s">
        <v>61</v>
      </c>
      <c r="D2206" t="s">
        <v>67</v>
      </c>
      <c r="E2206" t="s">
        <v>68</v>
      </c>
      <c r="F2206" t="s">
        <v>25</v>
      </c>
      <c r="G2206" s="4">
        <v>3</v>
      </c>
      <c r="H2206" s="4" t="s">
        <v>17</v>
      </c>
      <c r="I2206" s="4" t="s">
        <v>69</v>
      </c>
      <c r="J2206" s="4" t="s">
        <v>66</v>
      </c>
      <c r="K2206" s="4">
        <v>0</v>
      </c>
      <c r="L2206" s="94">
        <v>81451271</v>
      </c>
      <c r="M2206" s="94">
        <v>244353813</v>
      </c>
    </row>
    <row r="2207" spans="3:13" x14ac:dyDescent="0.3">
      <c r="C2207" t="s">
        <v>71</v>
      </c>
      <c r="D2207" t="s">
        <v>67</v>
      </c>
      <c r="E2207" t="s">
        <v>68</v>
      </c>
      <c r="F2207" t="s">
        <v>26</v>
      </c>
      <c r="G2207" s="4">
        <v>5</v>
      </c>
      <c r="H2207" s="4" t="s">
        <v>18</v>
      </c>
      <c r="I2207" s="4" t="s">
        <v>69</v>
      </c>
      <c r="J2207" s="4" t="s">
        <v>66</v>
      </c>
      <c r="K2207" s="4">
        <v>0</v>
      </c>
      <c r="L2207" s="94">
        <v>1774167</v>
      </c>
      <c r="M2207" s="94">
        <v>8870835</v>
      </c>
    </row>
    <row r="2208" spans="3:13" x14ac:dyDescent="0.3">
      <c r="C2208" t="s">
        <v>71</v>
      </c>
      <c r="D2208" t="s">
        <v>67</v>
      </c>
      <c r="E2208" t="s">
        <v>63</v>
      </c>
      <c r="F2208" t="s">
        <v>26</v>
      </c>
      <c r="G2208" s="4">
        <v>9</v>
      </c>
      <c r="H2208" s="4" t="s">
        <v>18</v>
      </c>
      <c r="I2208" s="4" t="s">
        <v>69</v>
      </c>
      <c r="J2208" s="4" t="s">
        <v>66</v>
      </c>
      <c r="K2208" s="4">
        <v>0</v>
      </c>
      <c r="L2208" s="94">
        <v>-4588697</v>
      </c>
      <c r="M2208" s="94">
        <v>0</v>
      </c>
    </row>
    <row r="2209" spans="3:13" x14ac:dyDescent="0.3">
      <c r="C2209" t="s">
        <v>61</v>
      </c>
      <c r="D2209" t="s">
        <v>67</v>
      </c>
      <c r="E2209" t="s">
        <v>68</v>
      </c>
      <c r="F2209" t="s">
        <v>26</v>
      </c>
      <c r="G2209" s="4">
        <v>-1</v>
      </c>
      <c r="H2209" s="4" t="s">
        <v>12</v>
      </c>
      <c r="I2209" s="4" t="s">
        <v>69</v>
      </c>
      <c r="J2209" s="4" t="s">
        <v>66</v>
      </c>
      <c r="K2209" s="4">
        <v>0</v>
      </c>
      <c r="L2209" s="94">
        <v>6742423</v>
      </c>
      <c r="M2209" s="94">
        <v>0</v>
      </c>
    </row>
    <row r="2210" spans="3:13" x14ac:dyDescent="0.3">
      <c r="C2210" t="s">
        <v>70</v>
      </c>
      <c r="D2210" t="s">
        <v>67</v>
      </c>
      <c r="E2210" t="s">
        <v>68</v>
      </c>
      <c r="F2210" t="s">
        <v>25</v>
      </c>
      <c r="G2210" s="4">
        <v>7</v>
      </c>
      <c r="H2210" s="4" t="s">
        <v>17</v>
      </c>
      <c r="I2210" s="4" t="s">
        <v>69</v>
      </c>
      <c r="J2210" s="4" t="s">
        <v>66</v>
      </c>
      <c r="K2210" s="4">
        <v>1</v>
      </c>
      <c r="L2210" s="94">
        <v>233322</v>
      </c>
      <c r="M2210" s="94">
        <v>1633254</v>
      </c>
    </row>
    <row r="2211" spans="3:13" x14ac:dyDescent="0.3">
      <c r="C2211" t="s">
        <v>70</v>
      </c>
      <c r="D2211" t="s">
        <v>67</v>
      </c>
      <c r="E2211" t="s">
        <v>63</v>
      </c>
      <c r="F2211" t="s">
        <v>25</v>
      </c>
      <c r="G2211" s="4">
        <v>11</v>
      </c>
      <c r="H2211" s="4" t="s">
        <v>77</v>
      </c>
      <c r="I2211" s="4" t="s">
        <v>69</v>
      </c>
      <c r="J2211" s="4" t="s">
        <v>66</v>
      </c>
      <c r="K2211" s="4">
        <v>0</v>
      </c>
      <c r="L2211" s="94">
        <v>-19046</v>
      </c>
      <c r="M2211" s="94">
        <v>0</v>
      </c>
    </row>
    <row r="2212" spans="3:13" x14ac:dyDescent="0.3">
      <c r="C2212" t="s">
        <v>61</v>
      </c>
      <c r="D2212" t="s">
        <v>67</v>
      </c>
      <c r="E2212" t="s">
        <v>63</v>
      </c>
      <c r="F2212" t="s">
        <v>26</v>
      </c>
      <c r="G2212" s="4">
        <v>0</v>
      </c>
      <c r="H2212" s="4" t="s">
        <v>82</v>
      </c>
      <c r="I2212" s="4" t="s">
        <v>69</v>
      </c>
      <c r="J2212" s="4" t="s">
        <v>66</v>
      </c>
      <c r="K2212" s="4">
        <v>0</v>
      </c>
      <c r="L2212" s="94">
        <v>-328017</v>
      </c>
      <c r="M2212" s="94">
        <v>0</v>
      </c>
    </row>
    <row r="2213" spans="3:13" x14ac:dyDescent="0.3">
      <c r="C2213" t="s">
        <v>61</v>
      </c>
      <c r="D2213" t="s">
        <v>67</v>
      </c>
      <c r="E2213" t="s">
        <v>68</v>
      </c>
      <c r="F2213" t="s">
        <v>26</v>
      </c>
      <c r="G2213" s="4">
        <v>0</v>
      </c>
      <c r="H2213" s="4" t="s">
        <v>82</v>
      </c>
      <c r="I2213" s="4" t="s">
        <v>69</v>
      </c>
      <c r="J2213" s="4" t="s">
        <v>66</v>
      </c>
      <c r="K2213" s="4">
        <v>0</v>
      </c>
      <c r="L2213" s="94">
        <v>272470599</v>
      </c>
      <c r="M2213" s="94">
        <v>0</v>
      </c>
    </row>
    <row r="2214" spans="3:13" x14ac:dyDescent="0.3">
      <c r="C2214" t="s">
        <v>70</v>
      </c>
      <c r="D2214" t="s">
        <v>67</v>
      </c>
      <c r="E2214" t="s">
        <v>63</v>
      </c>
      <c r="F2214" t="s">
        <v>26</v>
      </c>
      <c r="G2214" s="4">
        <v>3</v>
      </c>
      <c r="H2214" s="4" t="s">
        <v>77</v>
      </c>
      <c r="I2214" s="4" t="s">
        <v>69</v>
      </c>
      <c r="J2214" s="4" t="s">
        <v>66</v>
      </c>
      <c r="K2214" s="4">
        <v>0</v>
      </c>
      <c r="L2214" s="94">
        <v>-99018</v>
      </c>
      <c r="M2214" s="94">
        <v>0</v>
      </c>
    </row>
    <row r="2215" spans="3:13" x14ac:dyDescent="0.3">
      <c r="C2215" t="s">
        <v>61</v>
      </c>
      <c r="D2215" t="s">
        <v>62</v>
      </c>
      <c r="E2215" t="s">
        <v>68</v>
      </c>
      <c r="F2215" t="s">
        <v>24</v>
      </c>
      <c r="G2215" s="4">
        <v>33</v>
      </c>
      <c r="I2215" s="4" t="s">
        <v>69</v>
      </c>
      <c r="J2215" s="4" t="s">
        <v>66</v>
      </c>
      <c r="K2215" s="4">
        <v>1</v>
      </c>
      <c r="L2215" s="94">
        <v>2613246</v>
      </c>
      <c r="M2215" s="94">
        <v>86237118</v>
      </c>
    </row>
    <row r="2216" spans="3:13" x14ac:dyDescent="0.3">
      <c r="C2216" t="s">
        <v>61</v>
      </c>
      <c r="D2216" t="s">
        <v>67</v>
      </c>
      <c r="E2216" t="s">
        <v>68</v>
      </c>
      <c r="F2216" t="s">
        <v>72</v>
      </c>
      <c r="G2216" s="4">
        <v>-4</v>
      </c>
      <c r="H2216" s="4" t="s">
        <v>79</v>
      </c>
      <c r="I2216" s="4" t="s">
        <v>69</v>
      </c>
      <c r="J2216" s="4" t="s">
        <v>66</v>
      </c>
      <c r="K2216" s="4">
        <v>0</v>
      </c>
      <c r="L2216" s="94">
        <v>263</v>
      </c>
      <c r="M2216" s="94">
        <v>0</v>
      </c>
    </row>
    <row r="2217" spans="3:13" x14ac:dyDescent="0.3">
      <c r="C2217" t="s">
        <v>61</v>
      </c>
      <c r="D2217" t="s">
        <v>84</v>
      </c>
      <c r="E2217" t="s">
        <v>68</v>
      </c>
      <c r="F2217" t="s">
        <v>25</v>
      </c>
      <c r="G2217" s="4">
        <v>14</v>
      </c>
      <c r="H2217" s="4" t="s">
        <v>75</v>
      </c>
      <c r="I2217" s="4" t="s">
        <v>69</v>
      </c>
      <c r="J2217" s="4" t="s">
        <v>66</v>
      </c>
      <c r="K2217" s="4">
        <v>0</v>
      </c>
      <c r="L2217" s="94">
        <v>1412389</v>
      </c>
      <c r="M2217" s="94">
        <v>19773446</v>
      </c>
    </row>
    <row r="2218" spans="3:13" x14ac:dyDescent="0.3">
      <c r="C2218" t="s">
        <v>71</v>
      </c>
      <c r="D2218" t="s">
        <v>67</v>
      </c>
      <c r="E2218" t="s">
        <v>63</v>
      </c>
      <c r="F2218" t="s">
        <v>26</v>
      </c>
      <c r="G2218" s="4">
        <v>2</v>
      </c>
      <c r="H2218" s="4" t="s">
        <v>80</v>
      </c>
      <c r="I2218" s="4" t="s">
        <v>69</v>
      </c>
      <c r="J2218" s="4" t="s">
        <v>66</v>
      </c>
      <c r="K2218" s="4">
        <v>0</v>
      </c>
      <c r="L2218" s="94">
        <v>-138154</v>
      </c>
      <c r="M2218" s="94">
        <v>0</v>
      </c>
    </row>
    <row r="2219" spans="3:13" x14ac:dyDescent="0.3">
      <c r="C2219" t="s">
        <v>70</v>
      </c>
      <c r="D2219" t="s">
        <v>67</v>
      </c>
      <c r="E2219" t="s">
        <v>68</v>
      </c>
      <c r="F2219" t="s">
        <v>26</v>
      </c>
      <c r="G2219" s="4">
        <v>4</v>
      </c>
      <c r="H2219" s="4" t="s">
        <v>14</v>
      </c>
      <c r="I2219" s="4" t="s">
        <v>69</v>
      </c>
      <c r="J2219" s="4" t="s">
        <v>73</v>
      </c>
      <c r="K2219" s="4">
        <v>1</v>
      </c>
      <c r="L2219" s="94">
        <v>12195178</v>
      </c>
      <c r="M2219" s="94">
        <v>48780712</v>
      </c>
    </row>
    <row r="2220" spans="3:13" x14ac:dyDescent="0.3">
      <c r="C2220" t="s">
        <v>61</v>
      </c>
      <c r="D2220" t="s">
        <v>67</v>
      </c>
      <c r="E2220" t="s">
        <v>63</v>
      </c>
      <c r="F2220" t="s">
        <v>26</v>
      </c>
      <c r="G2220" s="4">
        <v>1</v>
      </c>
      <c r="H2220" s="4" t="s">
        <v>14</v>
      </c>
      <c r="I2220" s="4" t="s">
        <v>69</v>
      </c>
      <c r="J2220" s="4" t="s">
        <v>66</v>
      </c>
      <c r="K2220" s="4">
        <v>0</v>
      </c>
      <c r="L2220" s="94">
        <v>-313311</v>
      </c>
      <c r="M2220" s="94">
        <v>0</v>
      </c>
    </row>
    <row r="2221" spans="3:13" x14ac:dyDescent="0.3">
      <c r="C2221" t="s">
        <v>70</v>
      </c>
      <c r="D2221" t="s">
        <v>67</v>
      </c>
      <c r="E2221" t="s">
        <v>63</v>
      </c>
      <c r="F2221" t="s">
        <v>72</v>
      </c>
      <c r="G2221" s="4">
        <v>-4</v>
      </c>
      <c r="H2221" s="4" t="s">
        <v>17</v>
      </c>
      <c r="I2221" s="4" t="s">
        <v>69</v>
      </c>
      <c r="J2221" s="4" t="s">
        <v>73</v>
      </c>
      <c r="K2221" s="4">
        <v>1</v>
      </c>
      <c r="L2221" s="94">
        <v>-82</v>
      </c>
      <c r="M2221" s="94">
        <v>0</v>
      </c>
    </row>
    <row r="2222" spans="3:13" x14ac:dyDescent="0.3">
      <c r="C2222" t="s">
        <v>71</v>
      </c>
      <c r="D2222" t="s">
        <v>67</v>
      </c>
      <c r="E2222" t="s">
        <v>63</v>
      </c>
      <c r="F2222" t="s">
        <v>26</v>
      </c>
      <c r="G2222" s="4">
        <v>-1</v>
      </c>
      <c r="H2222" s="4" t="s">
        <v>81</v>
      </c>
      <c r="I2222" s="4" t="s">
        <v>69</v>
      </c>
      <c r="J2222" s="4" t="s">
        <v>66</v>
      </c>
      <c r="K2222" s="4">
        <v>0</v>
      </c>
      <c r="L2222" s="94">
        <v>-22254</v>
      </c>
      <c r="M2222" s="94">
        <v>0</v>
      </c>
    </row>
    <row r="2223" spans="3:13" x14ac:dyDescent="0.3">
      <c r="C2223" t="s">
        <v>61</v>
      </c>
      <c r="D2223" t="s">
        <v>62</v>
      </c>
      <c r="E2223" t="s">
        <v>63</v>
      </c>
      <c r="F2223" t="s">
        <v>25</v>
      </c>
      <c r="G2223" s="4">
        <v>8</v>
      </c>
      <c r="I2223" s="4" t="s">
        <v>69</v>
      </c>
      <c r="J2223" s="4" t="s">
        <v>66</v>
      </c>
      <c r="K2223" s="4">
        <v>0</v>
      </c>
      <c r="L2223" s="94">
        <v>-10658</v>
      </c>
      <c r="M2223" s="94">
        <v>0</v>
      </c>
    </row>
    <row r="2224" spans="3:13" x14ac:dyDescent="0.3">
      <c r="C2224" t="s">
        <v>71</v>
      </c>
      <c r="D2224" t="s">
        <v>62</v>
      </c>
      <c r="E2224" t="s">
        <v>68</v>
      </c>
      <c r="F2224" t="s">
        <v>24</v>
      </c>
      <c r="G2224" s="4">
        <v>31</v>
      </c>
      <c r="I2224" s="4" t="s">
        <v>65</v>
      </c>
      <c r="J2224" s="4" t="s">
        <v>66</v>
      </c>
      <c r="K2224" s="4">
        <v>1</v>
      </c>
      <c r="L2224" s="94">
        <v>69769</v>
      </c>
      <c r="M2224" s="94">
        <v>2162839</v>
      </c>
    </row>
    <row r="2225" spans="3:13" x14ac:dyDescent="0.3">
      <c r="C2225" t="s">
        <v>61</v>
      </c>
      <c r="D2225" t="s">
        <v>67</v>
      </c>
      <c r="E2225" t="s">
        <v>63</v>
      </c>
      <c r="F2225" t="s">
        <v>25</v>
      </c>
      <c r="G2225" s="4">
        <v>13</v>
      </c>
      <c r="H2225" s="4" t="s">
        <v>12</v>
      </c>
      <c r="I2225" s="4" t="s">
        <v>69</v>
      </c>
      <c r="J2225" s="4" t="s">
        <v>66</v>
      </c>
      <c r="K2225" s="4">
        <v>1</v>
      </c>
      <c r="L2225" s="94">
        <v>-8439</v>
      </c>
      <c r="M2225" s="94">
        <v>0</v>
      </c>
    </row>
    <row r="2226" spans="3:13" x14ac:dyDescent="0.3">
      <c r="C2226" t="s">
        <v>71</v>
      </c>
      <c r="D2226" t="s">
        <v>67</v>
      </c>
      <c r="E2226" t="s">
        <v>63</v>
      </c>
      <c r="F2226" t="s">
        <v>26</v>
      </c>
      <c r="G2226" s="4">
        <v>-4</v>
      </c>
      <c r="H2226" s="4" t="s">
        <v>82</v>
      </c>
      <c r="I2226" s="4" t="s">
        <v>69</v>
      </c>
      <c r="J2226" s="4" t="s">
        <v>66</v>
      </c>
      <c r="K2226" s="4">
        <v>0</v>
      </c>
      <c r="L2226" s="94">
        <v>-1299178</v>
      </c>
      <c r="M2226" s="94">
        <v>0</v>
      </c>
    </row>
    <row r="2227" spans="3:13" x14ac:dyDescent="0.3">
      <c r="C2227" t="s">
        <v>71</v>
      </c>
      <c r="D2227" t="s">
        <v>67</v>
      </c>
      <c r="E2227" t="s">
        <v>68</v>
      </c>
      <c r="F2227" t="s">
        <v>72</v>
      </c>
      <c r="G2227" s="4">
        <v>1</v>
      </c>
      <c r="H2227" s="4" t="s">
        <v>18</v>
      </c>
      <c r="I2227" s="4" t="s">
        <v>69</v>
      </c>
      <c r="J2227" s="4" t="s">
        <v>66</v>
      </c>
      <c r="K2227" s="4">
        <v>0</v>
      </c>
      <c r="L2227" s="94">
        <v>115564</v>
      </c>
      <c r="M2227" s="94">
        <v>115564</v>
      </c>
    </row>
    <row r="2228" spans="3:13" x14ac:dyDescent="0.3">
      <c r="C2228" t="s">
        <v>61</v>
      </c>
      <c r="D2228" t="s">
        <v>67</v>
      </c>
      <c r="E2228" t="s">
        <v>63</v>
      </c>
      <c r="F2228" t="s">
        <v>72</v>
      </c>
      <c r="G2228" s="4">
        <v>0</v>
      </c>
      <c r="H2228" s="4" t="s">
        <v>13</v>
      </c>
      <c r="I2228" s="4" t="s">
        <v>69</v>
      </c>
      <c r="J2228" s="4" t="s">
        <v>73</v>
      </c>
      <c r="K2228" s="4">
        <v>1</v>
      </c>
      <c r="L2228" s="94">
        <v>-121</v>
      </c>
      <c r="M2228" s="94">
        <v>0</v>
      </c>
    </row>
    <row r="2229" spans="3:13" x14ac:dyDescent="0.3">
      <c r="C2229" t="s">
        <v>71</v>
      </c>
      <c r="D2229" t="s">
        <v>67</v>
      </c>
      <c r="E2229" t="s">
        <v>63</v>
      </c>
      <c r="F2229" t="s">
        <v>26</v>
      </c>
      <c r="G2229" s="4">
        <v>-1</v>
      </c>
      <c r="H2229" s="4" t="s">
        <v>15</v>
      </c>
      <c r="I2229" s="4" t="s">
        <v>69</v>
      </c>
      <c r="J2229" s="4" t="s">
        <v>73</v>
      </c>
      <c r="K2229" s="4">
        <v>1</v>
      </c>
      <c r="L2229" s="94">
        <v>-3565</v>
      </c>
      <c r="M2229" s="94">
        <v>0</v>
      </c>
    </row>
    <row r="2230" spans="3:13" x14ac:dyDescent="0.3">
      <c r="C2230" t="s">
        <v>61</v>
      </c>
      <c r="D2230" t="s">
        <v>67</v>
      </c>
      <c r="E2230" t="s">
        <v>63</v>
      </c>
      <c r="F2230" t="s">
        <v>25</v>
      </c>
      <c r="G2230" s="4">
        <v>3</v>
      </c>
      <c r="H2230" s="4" t="s">
        <v>79</v>
      </c>
      <c r="I2230" s="4" t="s">
        <v>69</v>
      </c>
      <c r="J2230" s="4" t="s">
        <v>66</v>
      </c>
      <c r="K2230" s="4">
        <v>0</v>
      </c>
      <c r="L2230" s="94">
        <v>-2716</v>
      </c>
      <c r="M2230" s="94">
        <v>0</v>
      </c>
    </row>
    <row r="2231" spans="3:13" x14ac:dyDescent="0.3">
      <c r="C2231" t="s">
        <v>71</v>
      </c>
      <c r="D2231" t="s">
        <v>67</v>
      </c>
      <c r="E2231" t="s">
        <v>68</v>
      </c>
      <c r="F2231" t="s">
        <v>26</v>
      </c>
      <c r="G2231" s="4">
        <v>0</v>
      </c>
      <c r="H2231" s="4" t="s">
        <v>82</v>
      </c>
      <c r="I2231" s="4" t="s">
        <v>65</v>
      </c>
      <c r="J2231" s="4" t="s">
        <v>66</v>
      </c>
      <c r="K2231" s="4">
        <v>1</v>
      </c>
      <c r="L2231" s="94">
        <v>11322</v>
      </c>
      <c r="M2231" s="94">
        <v>0</v>
      </c>
    </row>
    <row r="2232" spans="3:13" x14ac:dyDescent="0.3">
      <c r="C2232" t="s">
        <v>71</v>
      </c>
      <c r="D2232" t="s">
        <v>67</v>
      </c>
      <c r="E2232" t="s">
        <v>63</v>
      </c>
      <c r="F2232" t="s">
        <v>26</v>
      </c>
      <c r="G2232" s="4">
        <v>20</v>
      </c>
      <c r="H2232" s="4" t="s">
        <v>64</v>
      </c>
      <c r="I2232" s="4" t="s">
        <v>69</v>
      </c>
      <c r="J2232" s="4" t="s">
        <v>66</v>
      </c>
      <c r="K2232" s="4">
        <v>0</v>
      </c>
      <c r="L2232" s="94">
        <v>-36972</v>
      </c>
      <c r="M2232" s="94">
        <v>0</v>
      </c>
    </row>
    <row r="2233" spans="3:13" x14ac:dyDescent="0.3">
      <c r="C2233" t="s">
        <v>70</v>
      </c>
      <c r="D2233" t="s">
        <v>67</v>
      </c>
      <c r="E2233" t="s">
        <v>68</v>
      </c>
      <c r="F2233" t="s">
        <v>26</v>
      </c>
      <c r="G2233" s="4">
        <v>5</v>
      </c>
      <c r="H2233" s="4" t="s">
        <v>74</v>
      </c>
      <c r="I2233" s="4" t="s">
        <v>69</v>
      </c>
      <c r="J2233" s="4" t="s">
        <v>66</v>
      </c>
      <c r="K2233" s="4">
        <v>0</v>
      </c>
      <c r="L2233" s="94">
        <v>13188990</v>
      </c>
      <c r="M2233" s="94">
        <v>65944950</v>
      </c>
    </row>
    <row r="2234" spans="3:13" x14ac:dyDescent="0.3">
      <c r="C2234" t="s">
        <v>61</v>
      </c>
      <c r="D2234" t="s">
        <v>67</v>
      </c>
      <c r="E2234" t="s">
        <v>68</v>
      </c>
      <c r="F2234" t="s">
        <v>25</v>
      </c>
      <c r="G2234" s="4">
        <v>0</v>
      </c>
      <c r="H2234" s="4" t="s">
        <v>79</v>
      </c>
      <c r="I2234" s="4" t="s">
        <v>69</v>
      </c>
      <c r="J2234" s="4" t="s">
        <v>66</v>
      </c>
      <c r="K2234" s="4">
        <v>0</v>
      </c>
      <c r="L2234" s="94">
        <v>324913</v>
      </c>
      <c r="M2234" s="94">
        <v>0</v>
      </c>
    </row>
    <row r="2235" spans="3:13" x14ac:dyDescent="0.3">
      <c r="C2235" t="s">
        <v>71</v>
      </c>
      <c r="D2235" t="s">
        <v>67</v>
      </c>
      <c r="E2235" t="s">
        <v>63</v>
      </c>
      <c r="F2235" t="s">
        <v>25</v>
      </c>
      <c r="G2235" s="4">
        <v>14</v>
      </c>
      <c r="H2235" s="4" t="s">
        <v>18</v>
      </c>
      <c r="I2235" s="4" t="s">
        <v>69</v>
      </c>
      <c r="J2235" s="4" t="s">
        <v>66</v>
      </c>
      <c r="K2235" s="4">
        <v>0</v>
      </c>
      <c r="L2235" s="94">
        <v>-58762</v>
      </c>
      <c r="M2235" s="94">
        <v>0</v>
      </c>
    </row>
    <row r="2236" spans="3:13" x14ac:dyDescent="0.3">
      <c r="C2236" t="s">
        <v>71</v>
      </c>
      <c r="D2236" t="s">
        <v>67</v>
      </c>
      <c r="E2236" t="s">
        <v>63</v>
      </c>
      <c r="F2236" t="s">
        <v>26</v>
      </c>
      <c r="G2236" s="4">
        <v>-4</v>
      </c>
      <c r="H2236" s="4" t="s">
        <v>18</v>
      </c>
      <c r="I2236" s="4" t="s">
        <v>69</v>
      </c>
      <c r="J2236" s="4" t="s">
        <v>73</v>
      </c>
      <c r="K2236" s="4">
        <v>1</v>
      </c>
      <c r="L2236" s="94">
        <v>-83957</v>
      </c>
      <c r="M2236" s="94">
        <v>0</v>
      </c>
    </row>
    <row r="2237" spans="3:13" x14ac:dyDescent="0.3">
      <c r="C2237" t="s">
        <v>70</v>
      </c>
      <c r="D2237" t="s">
        <v>67</v>
      </c>
      <c r="E2237" t="s">
        <v>68</v>
      </c>
      <c r="F2237" t="s">
        <v>25</v>
      </c>
      <c r="G2237" s="4">
        <v>15</v>
      </c>
      <c r="H2237" s="4" t="s">
        <v>75</v>
      </c>
      <c r="I2237" s="4" t="s">
        <v>69</v>
      </c>
      <c r="J2237" s="4" t="s">
        <v>66</v>
      </c>
      <c r="K2237" s="4">
        <v>0</v>
      </c>
      <c r="L2237" s="94">
        <v>4515352</v>
      </c>
      <c r="M2237" s="94">
        <v>67730280</v>
      </c>
    </row>
    <row r="2238" spans="3:13" x14ac:dyDescent="0.3">
      <c r="C2238" t="s">
        <v>70</v>
      </c>
      <c r="D2238" t="s">
        <v>62</v>
      </c>
      <c r="E2238" t="s">
        <v>63</v>
      </c>
      <c r="F2238" t="s">
        <v>24</v>
      </c>
      <c r="G2238" s="4">
        <v>37</v>
      </c>
      <c r="I2238" s="4" t="s">
        <v>69</v>
      </c>
      <c r="J2238" s="4" t="s">
        <v>66</v>
      </c>
      <c r="K2238" s="4">
        <v>0</v>
      </c>
      <c r="L2238" s="94">
        <v>-2094701</v>
      </c>
      <c r="M2238" s="94">
        <v>0</v>
      </c>
    </row>
    <row r="2239" spans="3:13" x14ac:dyDescent="0.3">
      <c r="C2239" t="s">
        <v>61</v>
      </c>
      <c r="D2239" t="s">
        <v>67</v>
      </c>
      <c r="E2239" t="s">
        <v>68</v>
      </c>
      <c r="F2239" t="s">
        <v>26</v>
      </c>
      <c r="G2239" s="4">
        <v>1</v>
      </c>
      <c r="H2239" s="4" t="s">
        <v>80</v>
      </c>
      <c r="I2239" s="4" t="s">
        <v>69</v>
      </c>
      <c r="J2239" s="4" t="s">
        <v>66</v>
      </c>
      <c r="K2239" s="4">
        <v>0</v>
      </c>
      <c r="L2239" s="94">
        <v>3276923</v>
      </c>
      <c r="M2239" s="94">
        <v>3276923</v>
      </c>
    </row>
    <row r="2240" spans="3:13" x14ac:dyDescent="0.3">
      <c r="C2240" t="s">
        <v>61</v>
      </c>
      <c r="D2240" t="s">
        <v>67</v>
      </c>
      <c r="E2240" t="s">
        <v>63</v>
      </c>
      <c r="F2240" t="s">
        <v>26</v>
      </c>
      <c r="G2240" s="4">
        <v>3</v>
      </c>
      <c r="H2240" s="4" t="s">
        <v>79</v>
      </c>
      <c r="I2240" s="4" t="s">
        <v>69</v>
      </c>
      <c r="J2240" s="4" t="s">
        <v>66</v>
      </c>
      <c r="K2240" s="4">
        <v>0</v>
      </c>
      <c r="L2240" s="94">
        <v>-43976</v>
      </c>
      <c r="M2240" s="94">
        <v>0</v>
      </c>
    </row>
    <row r="2241" spans="3:13" x14ac:dyDescent="0.3">
      <c r="C2241" t="s">
        <v>71</v>
      </c>
      <c r="D2241" t="s">
        <v>67</v>
      </c>
      <c r="E2241" t="s">
        <v>63</v>
      </c>
      <c r="F2241" t="s">
        <v>26</v>
      </c>
      <c r="G2241" s="4">
        <v>13</v>
      </c>
      <c r="H2241" s="4" t="s">
        <v>18</v>
      </c>
      <c r="I2241" s="4" t="s">
        <v>69</v>
      </c>
      <c r="J2241" s="4" t="s">
        <v>66</v>
      </c>
      <c r="K2241" s="4">
        <v>0</v>
      </c>
      <c r="L2241" s="94">
        <v>-48513</v>
      </c>
      <c r="M2241" s="94">
        <v>0</v>
      </c>
    </row>
    <row r="2242" spans="3:13" x14ac:dyDescent="0.3">
      <c r="C2242" t="s">
        <v>70</v>
      </c>
      <c r="D2242" t="s">
        <v>67</v>
      </c>
      <c r="E2242" t="s">
        <v>68</v>
      </c>
      <c r="F2242" t="s">
        <v>25</v>
      </c>
      <c r="G2242" s="4">
        <v>-1</v>
      </c>
      <c r="H2242" s="4" t="s">
        <v>14</v>
      </c>
      <c r="I2242" s="4" t="s">
        <v>69</v>
      </c>
      <c r="J2242" s="4" t="s">
        <v>66</v>
      </c>
      <c r="K2242" s="4">
        <v>0</v>
      </c>
      <c r="L2242" s="94">
        <v>60000</v>
      </c>
      <c r="M2242" s="94">
        <v>0</v>
      </c>
    </row>
    <row r="2243" spans="3:13" x14ac:dyDescent="0.3">
      <c r="C2243" t="s">
        <v>70</v>
      </c>
      <c r="D2243" t="s">
        <v>62</v>
      </c>
      <c r="E2243" t="s">
        <v>68</v>
      </c>
      <c r="F2243" t="s">
        <v>24</v>
      </c>
      <c r="G2243" s="4">
        <v>32</v>
      </c>
      <c r="I2243" s="4" t="s">
        <v>69</v>
      </c>
      <c r="J2243" s="4" t="s">
        <v>66</v>
      </c>
      <c r="K2243" s="4">
        <v>1</v>
      </c>
      <c r="L2243" s="94">
        <v>565675</v>
      </c>
      <c r="M2243" s="94">
        <v>18101600</v>
      </c>
    </row>
    <row r="2244" spans="3:13" x14ac:dyDescent="0.3">
      <c r="C2244" t="s">
        <v>71</v>
      </c>
      <c r="D2244" t="s">
        <v>67</v>
      </c>
      <c r="E2244" t="s">
        <v>68</v>
      </c>
      <c r="F2244" t="s">
        <v>72</v>
      </c>
      <c r="G2244" s="4">
        <v>-4</v>
      </c>
      <c r="H2244" s="4" t="s">
        <v>13</v>
      </c>
      <c r="I2244" s="4" t="s">
        <v>69</v>
      </c>
      <c r="J2244" s="4" t="s">
        <v>73</v>
      </c>
      <c r="K2244" s="4">
        <v>1</v>
      </c>
      <c r="L2244" s="94">
        <v>32455</v>
      </c>
      <c r="M2244" s="94">
        <v>0</v>
      </c>
    </row>
    <row r="2245" spans="3:13" x14ac:dyDescent="0.3">
      <c r="C2245" t="s">
        <v>70</v>
      </c>
      <c r="D2245" t="s">
        <v>62</v>
      </c>
      <c r="E2245" t="s">
        <v>68</v>
      </c>
      <c r="F2245" t="s">
        <v>24</v>
      </c>
      <c r="G2245" s="4">
        <v>23</v>
      </c>
      <c r="I2245" s="4" t="s">
        <v>65</v>
      </c>
      <c r="J2245" s="4" t="s">
        <v>66</v>
      </c>
      <c r="K2245" s="4">
        <v>1</v>
      </c>
      <c r="L2245" s="94">
        <v>758927</v>
      </c>
      <c r="M2245" s="94">
        <v>17455321</v>
      </c>
    </row>
    <row r="2246" spans="3:13" x14ac:dyDescent="0.3">
      <c r="C2246" t="s">
        <v>70</v>
      </c>
      <c r="D2246" t="s">
        <v>67</v>
      </c>
      <c r="E2246" t="s">
        <v>68</v>
      </c>
      <c r="F2246" t="s">
        <v>26</v>
      </c>
      <c r="G2246" s="4">
        <v>-1</v>
      </c>
      <c r="H2246" s="4" t="s">
        <v>12</v>
      </c>
      <c r="I2246" s="4" t="s">
        <v>69</v>
      </c>
      <c r="J2246" s="4" t="s">
        <v>66</v>
      </c>
      <c r="K2246" s="4">
        <v>0</v>
      </c>
      <c r="L2246" s="94">
        <v>2165625</v>
      </c>
      <c r="M2246" s="94">
        <v>0</v>
      </c>
    </row>
    <row r="2247" spans="3:13" x14ac:dyDescent="0.3">
      <c r="C2247" t="s">
        <v>70</v>
      </c>
      <c r="D2247" t="s">
        <v>67</v>
      </c>
      <c r="E2247" t="s">
        <v>68</v>
      </c>
      <c r="F2247" t="s">
        <v>72</v>
      </c>
      <c r="G2247" s="4">
        <v>0</v>
      </c>
      <c r="H2247" s="4" t="s">
        <v>76</v>
      </c>
      <c r="I2247" s="4" t="s">
        <v>69</v>
      </c>
      <c r="J2247" s="4" t="s">
        <v>66</v>
      </c>
      <c r="K2247" s="4">
        <v>0</v>
      </c>
      <c r="L2247" s="94">
        <v>10473</v>
      </c>
      <c r="M2247" s="94">
        <v>0</v>
      </c>
    </row>
    <row r="2248" spans="3:13" x14ac:dyDescent="0.3">
      <c r="C2248" t="s">
        <v>71</v>
      </c>
      <c r="D2248" t="s">
        <v>62</v>
      </c>
      <c r="E2248" t="s">
        <v>68</v>
      </c>
      <c r="F2248" t="s">
        <v>24</v>
      </c>
      <c r="G2248" s="4">
        <v>41</v>
      </c>
      <c r="I2248" s="4" t="s">
        <v>69</v>
      </c>
      <c r="J2248" s="4" t="s">
        <v>66</v>
      </c>
      <c r="K2248" s="4">
        <v>0</v>
      </c>
      <c r="L2248" s="94">
        <v>672314</v>
      </c>
      <c r="M2248" s="94">
        <v>27564874</v>
      </c>
    </row>
    <row r="2249" spans="3:13" x14ac:dyDescent="0.3">
      <c r="C2249" t="s">
        <v>70</v>
      </c>
      <c r="D2249" t="s">
        <v>67</v>
      </c>
      <c r="E2249" t="s">
        <v>63</v>
      </c>
      <c r="F2249" t="s">
        <v>26</v>
      </c>
      <c r="G2249" s="4">
        <v>2</v>
      </c>
      <c r="H2249" s="4" t="s">
        <v>77</v>
      </c>
      <c r="I2249" s="4" t="s">
        <v>69</v>
      </c>
      <c r="J2249" s="4" t="s">
        <v>66</v>
      </c>
      <c r="K2249" s="4">
        <v>0</v>
      </c>
      <c r="L2249" s="94">
        <v>-92631</v>
      </c>
      <c r="M2249" s="94">
        <v>0</v>
      </c>
    </row>
    <row r="2250" spans="3:13" x14ac:dyDescent="0.3">
      <c r="C2250" t="s">
        <v>61</v>
      </c>
      <c r="D2250" t="s">
        <v>67</v>
      </c>
      <c r="E2250" t="s">
        <v>68</v>
      </c>
      <c r="F2250" t="s">
        <v>72</v>
      </c>
      <c r="G2250" s="4">
        <v>10</v>
      </c>
      <c r="H2250" s="4" t="s">
        <v>74</v>
      </c>
      <c r="I2250" s="4" t="s">
        <v>69</v>
      </c>
      <c r="J2250" s="4" t="s">
        <v>66</v>
      </c>
      <c r="K2250" s="4">
        <v>0</v>
      </c>
      <c r="L2250" s="94">
        <v>131364</v>
      </c>
      <c r="M2250" s="94">
        <v>1313640</v>
      </c>
    </row>
    <row r="2251" spans="3:13" x14ac:dyDescent="0.3">
      <c r="C2251" t="s">
        <v>71</v>
      </c>
      <c r="D2251" t="s">
        <v>67</v>
      </c>
      <c r="E2251" t="s">
        <v>68</v>
      </c>
      <c r="F2251" t="s">
        <v>26</v>
      </c>
      <c r="G2251" s="4">
        <v>-4</v>
      </c>
      <c r="H2251" s="4" t="s">
        <v>12</v>
      </c>
      <c r="I2251" s="4" t="s">
        <v>65</v>
      </c>
      <c r="J2251" s="4" t="s">
        <v>73</v>
      </c>
      <c r="K2251" s="4">
        <v>1</v>
      </c>
      <c r="L2251" s="94">
        <v>283107</v>
      </c>
      <c r="M2251" s="94">
        <v>0</v>
      </c>
    </row>
    <row r="2252" spans="3:13" x14ac:dyDescent="0.3">
      <c r="C2252" t="s">
        <v>70</v>
      </c>
      <c r="D2252" t="s">
        <v>67</v>
      </c>
      <c r="E2252" t="s">
        <v>63</v>
      </c>
      <c r="F2252" t="s">
        <v>26</v>
      </c>
      <c r="G2252" s="4">
        <v>0</v>
      </c>
      <c r="H2252" s="4" t="s">
        <v>80</v>
      </c>
      <c r="I2252" s="4" t="s">
        <v>69</v>
      </c>
      <c r="J2252" s="4" t="s">
        <v>66</v>
      </c>
      <c r="K2252" s="4">
        <v>0</v>
      </c>
      <c r="L2252" s="94">
        <v>-2038</v>
      </c>
      <c r="M2252" s="94">
        <v>0</v>
      </c>
    </row>
    <row r="2253" spans="3:13" x14ac:dyDescent="0.3">
      <c r="C2253" t="s">
        <v>70</v>
      </c>
      <c r="D2253" t="s">
        <v>62</v>
      </c>
      <c r="E2253" t="s">
        <v>68</v>
      </c>
      <c r="F2253" t="s">
        <v>24</v>
      </c>
      <c r="G2253" s="4">
        <v>27</v>
      </c>
      <c r="I2253" s="4" t="s">
        <v>69</v>
      </c>
      <c r="J2253" s="4" t="s">
        <v>66</v>
      </c>
      <c r="K2253" s="4">
        <v>1</v>
      </c>
      <c r="L2253" s="94">
        <v>689839</v>
      </c>
      <c r="M2253" s="94">
        <v>18625653</v>
      </c>
    </row>
    <row r="2254" spans="3:13" x14ac:dyDescent="0.3">
      <c r="C2254" t="s">
        <v>71</v>
      </c>
      <c r="D2254" t="s">
        <v>67</v>
      </c>
      <c r="E2254" t="s">
        <v>68</v>
      </c>
      <c r="F2254" t="s">
        <v>25</v>
      </c>
      <c r="G2254" s="4">
        <v>3</v>
      </c>
      <c r="H2254" s="4" t="s">
        <v>14</v>
      </c>
      <c r="I2254" s="4" t="s">
        <v>69</v>
      </c>
      <c r="J2254" s="4" t="s">
        <v>66</v>
      </c>
      <c r="K2254" s="4">
        <v>1</v>
      </c>
      <c r="L2254" s="94">
        <v>769033</v>
      </c>
      <c r="M2254" s="94">
        <v>2307099</v>
      </c>
    </row>
    <row r="2255" spans="3:13" x14ac:dyDescent="0.3">
      <c r="C2255" t="s">
        <v>71</v>
      </c>
      <c r="D2255" t="s">
        <v>67</v>
      </c>
      <c r="E2255" t="s">
        <v>63</v>
      </c>
      <c r="F2255" t="s">
        <v>26</v>
      </c>
      <c r="G2255" s="4">
        <v>3</v>
      </c>
      <c r="H2255" s="4" t="s">
        <v>80</v>
      </c>
      <c r="I2255" s="4" t="s">
        <v>69</v>
      </c>
      <c r="J2255" s="4" t="s">
        <v>66</v>
      </c>
      <c r="K2255" s="4">
        <v>0</v>
      </c>
      <c r="L2255" s="94">
        <v>-58807</v>
      </c>
      <c r="M2255" s="94">
        <v>0</v>
      </c>
    </row>
    <row r="2256" spans="3:13" x14ac:dyDescent="0.3">
      <c r="C2256" t="s">
        <v>61</v>
      </c>
      <c r="D2256" t="s">
        <v>67</v>
      </c>
      <c r="E2256" t="s">
        <v>63</v>
      </c>
      <c r="F2256" t="s">
        <v>25</v>
      </c>
      <c r="G2256" s="4">
        <v>14</v>
      </c>
      <c r="H2256" s="4" t="s">
        <v>14</v>
      </c>
      <c r="I2256" s="4" t="s">
        <v>69</v>
      </c>
      <c r="J2256" s="4" t="s">
        <v>66</v>
      </c>
      <c r="K2256" s="4">
        <v>0</v>
      </c>
      <c r="L2256" s="94">
        <v>-1787</v>
      </c>
      <c r="M2256" s="94">
        <v>0</v>
      </c>
    </row>
    <row r="2257" spans="3:13" x14ac:dyDescent="0.3">
      <c r="C2257" t="s">
        <v>61</v>
      </c>
      <c r="D2257" t="s">
        <v>84</v>
      </c>
      <c r="E2257" t="s">
        <v>68</v>
      </c>
      <c r="F2257" t="s">
        <v>25</v>
      </c>
      <c r="G2257" s="4">
        <v>3</v>
      </c>
      <c r="H2257" s="4" t="s">
        <v>81</v>
      </c>
      <c r="I2257" s="4" t="s">
        <v>69</v>
      </c>
      <c r="J2257" s="4" t="s">
        <v>66</v>
      </c>
      <c r="K2257" s="4">
        <v>0</v>
      </c>
      <c r="L2257" s="94">
        <v>8762649</v>
      </c>
      <c r="M2257" s="94">
        <v>26287947</v>
      </c>
    </row>
    <row r="2258" spans="3:13" x14ac:dyDescent="0.3">
      <c r="C2258" t="s">
        <v>71</v>
      </c>
      <c r="D2258" t="s">
        <v>67</v>
      </c>
      <c r="E2258" t="s">
        <v>68</v>
      </c>
      <c r="F2258" t="s">
        <v>26</v>
      </c>
      <c r="G2258" s="4">
        <v>-1</v>
      </c>
      <c r="H2258" s="4" t="s">
        <v>17</v>
      </c>
      <c r="I2258" s="4" t="s">
        <v>69</v>
      </c>
      <c r="J2258" s="4" t="s">
        <v>73</v>
      </c>
      <c r="K2258" s="4">
        <v>1</v>
      </c>
      <c r="L2258" s="94">
        <v>305543</v>
      </c>
      <c r="M2258" s="94">
        <v>0</v>
      </c>
    </row>
    <row r="2259" spans="3:13" x14ac:dyDescent="0.3">
      <c r="C2259" t="s">
        <v>70</v>
      </c>
      <c r="D2259" t="s">
        <v>67</v>
      </c>
      <c r="E2259" t="s">
        <v>63</v>
      </c>
      <c r="F2259" t="s">
        <v>72</v>
      </c>
      <c r="G2259" s="4">
        <v>3</v>
      </c>
      <c r="H2259" s="4" t="s">
        <v>12</v>
      </c>
      <c r="I2259" s="4" t="s">
        <v>69</v>
      </c>
      <c r="J2259" s="4" t="s">
        <v>66</v>
      </c>
      <c r="K2259" s="4">
        <v>0</v>
      </c>
      <c r="L2259" s="94">
        <v>-24482</v>
      </c>
      <c r="M2259" s="94">
        <v>0</v>
      </c>
    </row>
    <row r="2260" spans="3:13" x14ac:dyDescent="0.3">
      <c r="C2260" t="s">
        <v>61</v>
      </c>
      <c r="D2260" t="s">
        <v>62</v>
      </c>
      <c r="E2260" t="s">
        <v>68</v>
      </c>
      <c r="F2260" t="s">
        <v>25</v>
      </c>
      <c r="G2260" s="4">
        <v>30</v>
      </c>
      <c r="I2260" s="4" t="s">
        <v>69</v>
      </c>
      <c r="J2260" s="4" t="s">
        <v>66</v>
      </c>
      <c r="K2260" s="4">
        <v>0</v>
      </c>
      <c r="L2260" s="94">
        <v>282145</v>
      </c>
      <c r="M2260" s="94">
        <v>8464350</v>
      </c>
    </row>
    <row r="2261" spans="3:13" x14ac:dyDescent="0.3">
      <c r="C2261" t="s">
        <v>61</v>
      </c>
      <c r="D2261" t="s">
        <v>67</v>
      </c>
      <c r="E2261" t="s">
        <v>63</v>
      </c>
      <c r="F2261" t="s">
        <v>26</v>
      </c>
      <c r="G2261" s="4">
        <v>-1</v>
      </c>
      <c r="H2261" s="4" t="s">
        <v>12</v>
      </c>
      <c r="I2261" s="4" t="s">
        <v>65</v>
      </c>
      <c r="J2261" s="4" t="s">
        <v>66</v>
      </c>
      <c r="K2261" s="4">
        <v>1</v>
      </c>
      <c r="L2261" s="94">
        <v>-3</v>
      </c>
      <c r="M2261" s="94">
        <v>0</v>
      </c>
    </row>
    <row r="2262" spans="3:13" x14ac:dyDescent="0.3">
      <c r="C2262" t="s">
        <v>70</v>
      </c>
      <c r="D2262" t="s">
        <v>62</v>
      </c>
      <c r="E2262" t="s">
        <v>63</v>
      </c>
      <c r="F2262" t="s">
        <v>25</v>
      </c>
      <c r="G2262" s="4">
        <v>16</v>
      </c>
      <c r="I2262" s="4" t="s">
        <v>69</v>
      </c>
      <c r="J2262" s="4" t="s">
        <v>66</v>
      </c>
      <c r="K2262" s="4">
        <v>0</v>
      </c>
      <c r="L2262" s="94">
        <v>-102131</v>
      </c>
      <c r="M2262" s="94">
        <v>0</v>
      </c>
    </row>
    <row r="2263" spans="3:13" x14ac:dyDescent="0.3">
      <c r="C2263" t="s">
        <v>70</v>
      </c>
      <c r="D2263" t="s">
        <v>67</v>
      </c>
      <c r="E2263" t="s">
        <v>63</v>
      </c>
      <c r="F2263" t="s">
        <v>26</v>
      </c>
      <c r="G2263" s="4">
        <v>-4</v>
      </c>
      <c r="H2263" s="4" t="s">
        <v>79</v>
      </c>
      <c r="I2263" s="4" t="s">
        <v>69</v>
      </c>
      <c r="J2263" s="4" t="s">
        <v>66</v>
      </c>
      <c r="K2263" s="4">
        <v>0</v>
      </c>
      <c r="L2263" s="94">
        <v>-745</v>
      </c>
      <c r="M2263" s="94">
        <v>0</v>
      </c>
    </row>
    <row r="2264" spans="3:13" x14ac:dyDescent="0.3">
      <c r="C2264" t="s">
        <v>61</v>
      </c>
      <c r="D2264" t="s">
        <v>67</v>
      </c>
      <c r="E2264" t="s">
        <v>63</v>
      </c>
      <c r="F2264" t="s">
        <v>72</v>
      </c>
      <c r="G2264" s="4">
        <v>0</v>
      </c>
      <c r="H2264" s="4" t="s">
        <v>80</v>
      </c>
      <c r="I2264" s="4" t="s">
        <v>69</v>
      </c>
      <c r="J2264" s="4" t="s">
        <v>66</v>
      </c>
      <c r="K2264" s="4">
        <v>0</v>
      </c>
      <c r="L2264" s="94">
        <v>-9</v>
      </c>
      <c r="M2264" s="94">
        <v>0</v>
      </c>
    </row>
    <row r="2265" spans="3:13" x14ac:dyDescent="0.3">
      <c r="C2265" t="s">
        <v>61</v>
      </c>
      <c r="D2265" t="s">
        <v>67</v>
      </c>
      <c r="E2265" t="s">
        <v>63</v>
      </c>
      <c r="F2265" t="s">
        <v>72</v>
      </c>
      <c r="G2265" s="4">
        <v>6</v>
      </c>
      <c r="H2265" s="4" t="s">
        <v>18</v>
      </c>
      <c r="I2265" s="4" t="s">
        <v>69</v>
      </c>
      <c r="J2265" s="4" t="s">
        <v>66</v>
      </c>
      <c r="K2265" s="4">
        <v>0</v>
      </c>
      <c r="L2265" s="94">
        <v>-3032</v>
      </c>
      <c r="M2265" s="94">
        <v>0</v>
      </c>
    </row>
    <row r="2266" spans="3:13" x14ac:dyDescent="0.3">
      <c r="C2266" t="s">
        <v>61</v>
      </c>
      <c r="D2266" t="s">
        <v>67</v>
      </c>
      <c r="E2266" t="s">
        <v>63</v>
      </c>
      <c r="F2266" t="s">
        <v>26</v>
      </c>
      <c r="G2266" s="4">
        <v>-1</v>
      </c>
      <c r="H2266" s="4" t="s">
        <v>17</v>
      </c>
      <c r="I2266" s="4" t="s">
        <v>69</v>
      </c>
      <c r="J2266" s="4" t="s">
        <v>73</v>
      </c>
      <c r="K2266" s="4">
        <v>1</v>
      </c>
      <c r="L2266" s="94">
        <v>-12998</v>
      </c>
      <c r="M2266" s="94">
        <v>0</v>
      </c>
    </row>
    <row r="2267" spans="3:13" x14ac:dyDescent="0.3">
      <c r="C2267" t="s">
        <v>61</v>
      </c>
      <c r="D2267" t="s">
        <v>67</v>
      </c>
      <c r="E2267" t="s">
        <v>68</v>
      </c>
      <c r="F2267" t="s">
        <v>72</v>
      </c>
      <c r="G2267" s="4">
        <v>4</v>
      </c>
      <c r="H2267" s="4" t="s">
        <v>80</v>
      </c>
      <c r="I2267" s="4" t="s">
        <v>69</v>
      </c>
      <c r="J2267" s="4" t="s">
        <v>66</v>
      </c>
      <c r="K2267" s="4">
        <v>0</v>
      </c>
      <c r="L2267" s="94">
        <v>370851</v>
      </c>
      <c r="M2267" s="94">
        <v>1483404</v>
      </c>
    </row>
    <row r="2268" spans="3:13" x14ac:dyDescent="0.3">
      <c r="C2268" t="s">
        <v>70</v>
      </c>
      <c r="D2268" t="s">
        <v>67</v>
      </c>
      <c r="E2268" t="s">
        <v>63</v>
      </c>
      <c r="F2268" t="s">
        <v>72</v>
      </c>
      <c r="G2268" s="4">
        <v>0</v>
      </c>
      <c r="H2268" s="4" t="s">
        <v>74</v>
      </c>
      <c r="I2268" s="4" t="s">
        <v>69</v>
      </c>
      <c r="J2268" s="4" t="s">
        <v>66</v>
      </c>
      <c r="K2268" s="4">
        <v>0</v>
      </c>
      <c r="L2268" s="94">
        <v>-996</v>
      </c>
      <c r="M2268" s="94">
        <v>0</v>
      </c>
    </row>
    <row r="2269" spans="3:13" x14ac:dyDescent="0.3">
      <c r="C2269" t="s">
        <v>61</v>
      </c>
      <c r="D2269" t="s">
        <v>62</v>
      </c>
      <c r="E2269" t="s">
        <v>68</v>
      </c>
      <c r="F2269" t="s">
        <v>24</v>
      </c>
      <c r="G2269" s="4">
        <v>26</v>
      </c>
      <c r="I2269" s="4" t="s">
        <v>69</v>
      </c>
      <c r="J2269" s="4" t="s">
        <v>66</v>
      </c>
      <c r="K2269" s="4">
        <v>1</v>
      </c>
      <c r="L2269" s="94">
        <v>2638518</v>
      </c>
      <c r="M2269" s="94">
        <v>68601468</v>
      </c>
    </row>
    <row r="2270" spans="3:13" x14ac:dyDescent="0.3">
      <c r="C2270" t="s">
        <v>61</v>
      </c>
      <c r="D2270" t="s">
        <v>67</v>
      </c>
      <c r="E2270" t="s">
        <v>68</v>
      </c>
      <c r="F2270" t="s">
        <v>25</v>
      </c>
      <c r="G2270" s="4">
        <v>-4</v>
      </c>
      <c r="H2270" s="4" t="s">
        <v>14</v>
      </c>
      <c r="I2270" s="4" t="s">
        <v>69</v>
      </c>
      <c r="J2270" s="4" t="s">
        <v>66</v>
      </c>
      <c r="K2270" s="4">
        <v>0</v>
      </c>
      <c r="L2270" s="94">
        <v>75</v>
      </c>
      <c r="M2270" s="94">
        <v>0</v>
      </c>
    </row>
    <row r="2271" spans="3:13" x14ac:dyDescent="0.3">
      <c r="C2271" t="s">
        <v>70</v>
      </c>
      <c r="D2271" t="s">
        <v>67</v>
      </c>
      <c r="E2271" t="s">
        <v>63</v>
      </c>
      <c r="F2271" t="s">
        <v>72</v>
      </c>
      <c r="G2271" s="4">
        <v>4</v>
      </c>
      <c r="H2271" s="4" t="s">
        <v>12</v>
      </c>
      <c r="I2271" s="4" t="s">
        <v>69</v>
      </c>
      <c r="J2271" s="4" t="s">
        <v>66</v>
      </c>
      <c r="K2271" s="4">
        <v>0</v>
      </c>
      <c r="L2271" s="94">
        <v>-12126</v>
      </c>
      <c r="M2271" s="94">
        <v>0</v>
      </c>
    </row>
    <row r="2272" spans="3:13" x14ac:dyDescent="0.3">
      <c r="C2272" t="s">
        <v>61</v>
      </c>
      <c r="D2272" t="s">
        <v>62</v>
      </c>
      <c r="E2272" t="s">
        <v>63</v>
      </c>
      <c r="F2272" t="s">
        <v>25</v>
      </c>
      <c r="G2272" s="4">
        <v>3</v>
      </c>
      <c r="I2272" s="4" t="s">
        <v>69</v>
      </c>
      <c r="J2272" s="4" t="s">
        <v>66</v>
      </c>
      <c r="K2272" s="4">
        <v>1</v>
      </c>
      <c r="L2272" s="94">
        <v>-10</v>
      </c>
      <c r="M2272" s="94">
        <v>0</v>
      </c>
    </row>
    <row r="2273" spans="3:13" x14ac:dyDescent="0.3">
      <c r="C2273" t="s">
        <v>71</v>
      </c>
      <c r="D2273" t="s">
        <v>67</v>
      </c>
      <c r="E2273" t="s">
        <v>63</v>
      </c>
      <c r="F2273" t="s">
        <v>26</v>
      </c>
      <c r="G2273" s="4">
        <v>12</v>
      </c>
      <c r="H2273" s="4" t="s">
        <v>18</v>
      </c>
      <c r="I2273" s="4" t="s">
        <v>69</v>
      </c>
      <c r="J2273" s="4" t="s">
        <v>66</v>
      </c>
      <c r="K2273" s="4">
        <v>0</v>
      </c>
      <c r="L2273" s="94">
        <v>-20502</v>
      </c>
      <c r="M2273" s="94">
        <v>0</v>
      </c>
    </row>
    <row r="2274" spans="3:13" x14ac:dyDescent="0.3">
      <c r="C2274" t="s">
        <v>70</v>
      </c>
      <c r="D2274" t="s">
        <v>67</v>
      </c>
      <c r="E2274" t="s">
        <v>63</v>
      </c>
      <c r="F2274" t="s">
        <v>72</v>
      </c>
      <c r="G2274" s="4">
        <v>7</v>
      </c>
      <c r="H2274" s="4" t="s">
        <v>76</v>
      </c>
      <c r="I2274" s="4" t="s">
        <v>69</v>
      </c>
      <c r="J2274" s="4" t="s">
        <v>66</v>
      </c>
      <c r="K2274" s="4">
        <v>0</v>
      </c>
      <c r="L2274" s="94">
        <v>-4199</v>
      </c>
      <c r="M2274" s="94">
        <v>0</v>
      </c>
    </row>
    <row r="2275" spans="3:13" x14ac:dyDescent="0.3">
      <c r="C2275" t="s">
        <v>70</v>
      </c>
      <c r="D2275" t="s">
        <v>67</v>
      </c>
      <c r="E2275" t="s">
        <v>68</v>
      </c>
      <c r="F2275" t="s">
        <v>26</v>
      </c>
      <c r="G2275" s="4">
        <v>4</v>
      </c>
      <c r="H2275" s="4" t="s">
        <v>78</v>
      </c>
      <c r="I2275" s="4" t="s">
        <v>69</v>
      </c>
      <c r="J2275" s="4" t="s">
        <v>66</v>
      </c>
      <c r="K2275" s="4">
        <v>0</v>
      </c>
      <c r="L2275" s="94">
        <v>161367</v>
      </c>
      <c r="M2275" s="94">
        <v>645468</v>
      </c>
    </row>
    <row r="2276" spans="3:13" x14ac:dyDescent="0.3">
      <c r="C2276" t="s">
        <v>70</v>
      </c>
      <c r="D2276" t="s">
        <v>67</v>
      </c>
      <c r="E2276" t="s">
        <v>63</v>
      </c>
      <c r="F2276" t="s">
        <v>26</v>
      </c>
      <c r="G2276" s="4">
        <v>1</v>
      </c>
      <c r="H2276" s="4" t="s">
        <v>17</v>
      </c>
      <c r="I2276" s="4" t="s">
        <v>69</v>
      </c>
      <c r="J2276" s="4" t="s">
        <v>66</v>
      </c>
      <c r="K2276" s="4">
        <v>0</v>
      </c>
      <c r="L2276" s="94">
        <v>-295209</v>
      </c>
      <c r="M2276" s="94">
        <v>0</v>
      </c>
    </row>
    <row r="2277" spans="3:13" x14ac:dyDescent="0.3">
      <c r="C2277" t="s">
        <v>71</v>
      </c>
      <c r="D2277" t="s">
        <v>62</v>
      </c>
      <c r="E2277" t="s">
        <v>63</v>
      </c>
      <c r="F2277" t="s">
        <v>24</v>
      </c>
      <c r="G2277" s="4">
        <v>1</v>
      </c>
      <c r="I2277" s="4" t="s">
        <v>69</v>
      </c>
      <c r="J2277" s="4" t="s">
        <v>66</v>
      </c>
      <c r="K2277" s="4">
        <v>0</v>
      </c>
      <c r="L2277" s="94">
        <v>-222146</v>
      </c>
      <c r="M2277" s="94">
        <v>0</v>
      </c>
    </row>
    <row r="2278" spans="3:13" x14ac:dyDescent="0.3">
      <c r="C2278" t="s">
        <v>70</v>
      </c>
      <c r="D2278" t="s">
        <v>67</v>
      </c>
      <c r="E2278" t="s">
        <v>68</v>
      </c>
      <c r="F2278" t="s">
        <v>72</v>
      </c>
      <c r="G2278" s="4">
        <v>1</v>
      </c>
      <c r="H2278" s="4" t="s">
        <v>12</v>
      </c>
      <c r="I2278" s="4" t="s">
        <v>65</v>
      </c>
      <c r="J2278" s="4" t="s">
        <v>73</v>
      </c>
      <c r="K2278" s="4">
        <v>1</v>
      </c>
      <c r="L2278" s="94">
        <v>9380</v>
      </c>
      <c r="M2278" s="94">
        <v>9380</v>
      </c>
    </row>
    <row r="2279" spans="3:13" x14ac:dyDescent="0.3">
      <c r="C2279" t="s">
        <v>70</v>
      </c>
      <c r="D2279" t="s">
        <v>67</v>
      </c>
      <c r="E2279" t="s">
        <v>63</v>
      </c>
      <c r="F2279" t="s">
        <v>25</v>
      </c>
      <c r="G2279" s="4">
        <v>7</v>
      </c>
      <c r="H2279" s="4" t="s">
        <v>17</v>
      </c>
      <c r="I2279" s="4" t="s">
        <v>69</v>
      </c>
      <c r="J2279" s="4" t="s">
        <v>66</v>
      </c>
      <c r="K2279" s="4">
        <v>0</v>
      </c>
      <c r="L2279" s="94">
        <v>-7142</v>
      </c>
      <c r="M2279" s="94">
        <v>0</v>
      </c>
    </row>
    <row r="2280" spans="3:13" x14ac:dyDescent="0.3">
      <c r="C2280" t="s">
        <v>61</v>
      </c>
      <c r="D2280" t="s">
        <v>67</v>
      </c>
      <c r="E2280" t="s">
        <v>63</v>
      </c>
      <c r="F2280" t="s">
        <v>25</v>
      </c>
      <c r="G2280" s="4">
        <v>7</v>
      </c>
      <c r="H2280" s="4" t="s">
        <v>18</v>
      </c>
      <c r="I2280" s="4" t="s">
        <v>69</v>
      </c>
      <c r="J2280" s="4" t="s">
        <v>66</v>
      </c>
      <c r="K2280" s="4">
        <v>0</v>
      </c>
      <c r="L2280" s="94">
        <v>-12287</v>
      </c>
      <c r="M2280" s="94">
        <v>0</v>
      </c>
    </row>
    <row r="2281" spans="3:13" x14ac:dyDescent="0.3">
      <c r="C2281" t="s">
        <v>61</v>
      </c>
      <c r="D2281" t="s">
        <v>67</v>
      </c>
      <c r="E2281" t="s">
        <v>68</v>
      </c>
      <c r="F2281" t="s">
        <v>25</v>
      </c>
      <c r="G2281" s="4">
        <v>22</v>
      </c>
      <c r="H2281" s="4" t="s">
        <v>79</v>
      </c>
      <c r="I2281" s="4" t="s">
        <v>69</v>
      </c>
      <c r="J2281" s="4" t="s">
        <v>66</v>
      </c>
      <c r="K2281" s="4">
        <v>0</v>
      </c>
      <c r="L2281" s="94">
        <v>104878</v>
      </c>
      <c r="M2281" s="94">
        <v>2307316</v>
      </c>
    </row>
    <row r="2282" spans="3:13" x14ac:dyDescent="0.3">
      <c r="C2282" t="s">
        <v>70</v>
      </c>
      <c r="D2282" t="s">
        <v>67</v>
      </c>
      <c r="E2282" t="s">
        <v>68</v>
      </c>
      <c r="F2282" t="s">
        <v>25</v>
      </c>
      <c r="G2282" s="4">
        <v>4</v>
      </c>
      <c r="H2282" s="4" t="s">
        <v>17</v>
      </c>
      <c r="I2282" s="4" t="s">
        <v>69</v>
      </c>
      <c r="J2282" s="4" t="s">
        <v>66</v>
      </c>
      <c r="K2282" s="4">
        <v>1</v>
      </c>
      <c r="L2282" s="94">
        <v>501824</v>
      </c>
      <c r="M2282" s="94">
        <v>2007296</v>
      </c>
    </row>
    <row r="2283" spans="3:13" x14ac:dyDescent="0.3">
      <c r="C2283" t="s">
        <v>70</v>
      </c>
      <c r="D2283" t="s">
        <v>67</v>
      </c>
      <c r="E2283" t="s">
        <v>63</v>
      </c>
      <c r="F2283" t="s">
        <v>25</v>
      </c>
      <c r="G2283" s="4">
        <v>3</v>
      </c>
      <c r="H2283" s="4" t="s">
        <v>64</v>
      </c>
      <c r="I2283" s="4" t="s">
        <v>69</v>
      </c>
      <c r="J2283" s="4" t="s">
        <v>66</v>
      </c>
      <c r="K2283" s="4">
        <v>0</v>
      </c>
      <c r="L2283" s="94">
        <v>-21993</v>
      </c>
      <c r="M2283" s="94">
        <v>0</v>
      </c>
    </row>
    <row r="2284" spans="3:13" x14ac:dyDescent="0.3">
      <c r="C2284" t="s">
        <v>70</v>
      </c>
      <c r="D2284" t="s">
        <v>67</v>
      </c>
      <c r="E2284" t="s">
        <v>68</v>
      </c>
      <c r="F2284" t="s">
        <v>25</v>
      </c>
      <c r="G2284" s="4">
        <v>7</v>
      </c>
      <c r="H2284" s="4" t="s">
        <v>16</v>
      </c>
      <c r="I2284" s="4" t="s">
        <v>69</v>
      </c>
      <c r="J2284" s="4" t="s">
        <v>66</v>
      </c>
      <c r="K2284" s="4">
        <v>0</v>
      </c>
      <c r="L2284" s="94">
        <v>237919</v>
      </c>
      <c r="M2284" s="94">
        <v>1665433</v>
      </c>
    </row>
    <row r="2285" spans="3:13" x14ac:dyDescent="0.3">
      <c r="C2285" t="s">
        <v>71</v>
      </c>
      <c r="D2285" t="s">
        <v>67</v>
      </c>
      <c r="E2285" t="s">
        <v>63</v>
      </c>
      <c r="F2285" t="s">
        <v>25</v>
      </c>
      <c r="G2285" s="4">
        <v>9</v>
      </c>
      <c r="H2285" s="4" t="s">
        <v>17</v>
      </c>
      <c r="I2285" s="4" t="s">
        <v>69</v>
      </c>
      <c r="J2285" s="4" t="s">
        <v>66</v>
      </c>
      <c r="K2285" s="4">
        <v>0</v>
      </c>
      <c r="L2285" s="94">
        <v>-6038104</v>
      </c>
      <c r="M2285" s="94">
        <v>0</v>
      </c>
    </row>
    <row r="2286" spans="3:13" x14ac:dyDescent="0.3">
      <c r="C2286" t="s">
        <v>71</v>
      </c>
      <c r="D2286" t="s">
        <v>62</v>
      </c>
      <c r="E2286" t="s">
        <v>63</v>
      </c>
      <c r="F2286" t="s">
        <v>24</v>
      </c>
      <c r="G2286" s="4">
        <v>33</v>
      </c>
      <c r="I2286" s="4" t="s">
        <v>69</v>
      </c>
      <c r="J2286" s="4" t="s">
        <v>66</v>
      </c>
      <c r="K2286" s="4">
        <v>0</v>
      </c>
      <c r="L2286" s="94">
        <v>-1509061</v>
      </c>
      <c r="M2286" s="94">
        <v>0</v>
      </c>
    </row>
    <row r="2287" spans="3:13" x14ac:dyDescent="0.3">
      <c r="C2287" t="s">
        <v>70</v>
      </c>
      <c r="D2287" t="s">
        <v>67</v>
      </c>
      <c r="E2287" t="s">
        <v>63</v>
      </c>
      <c r="F2287" t="s">
        <v>26</v>
      </c>
      <c r="G2287" s="4">
        <v>2</v>
      </c>
      <c r="H2287" s="4" t="s">
        <v>12</v>
      </c>
      <c r="I2287" s="4" t="s">
        <v>65</v>
      </c>
      <c r="J2287" s="4" t="s">
        <v>73</v>
      </c>
      <c r="K2287" s="4">
        <v>1</v>
      </c>
      <c r="L2287" s="94">
        <v>-8992</v>
      </c>
      <c r="M2287" s="94">
        <v>0</v>
      </c>
    </row>
    <row r="2288" spans="3:13" x14ac:dyDescent="0.3">
      <c r="C2288" t="s">
        <v>61</v>
      </c>
      <c r="D2288" t="s">
        <v>67</v>
      </c>
      <c r="E2288" t="s">
        <v>63</v>
      </c>
      <c r="F2288" t="s">
        <v>72</v>
      </c>
      <c r="G2288" s="4">
        <v>-1</v>
      </c>
      <c r="H2288" s="4" t="s">
        <v>14</v>
      </c>
      <c r="I2288" s="4" t="s">
        <v>69</v>
      </c>
      <c r="J2288" s="4" t="s">
        <v>73</v>
      </c>
      <c r="K2288" s="4">
        <v>1</v>
      </c>
      <c r="L2288" s="94">
        <v>-2447</v>
      </c>
      <c r="M2288" s="94">
        <v>0</v>
      </c>
    </row>
    <row r="2289" spans="3:13" x14ac:dyDescent="0.3">
      <c r="C2289" t="s">
        <v>71</v>
      </c>
      <c r="D2289" t="s">
        <v>62</v>
      </c>
      <c r="E2289" t="s">
        <v>68</v>
      </c>
      <c r="F2289" t="s">
        <v>24</v>
      </c>
      <c r="G2289" s="4">
        <v>8</v>
      </c>
      <c r="I2289" s="4" t="s">
        <v>69</v>
      </c>
      <c r="J2289" s="4" t="s">
        <v>66</v>
      </c>
      <c r="K2289" s="4">
        <v>1</v>
      </c>
      <c r="L2289" s="94">
        <v>13534</v>
      </c>
      <c r="M2289" s="94">
        <v>108272</v>
      </c>
    </row>
    <row r="2290" spans="3:13" x14ac:dyDescent="0.3">
      <c r="C2290" t="s">
        <v>71</v>
      </c>
      <c r="D2290" t="s">
        <v>67</v>
      </c>
      <c r="E2290" t="s">
        <v>68</v>
      </c>
      <c r="F2290" t="s">
        <v>72</v>
      </c>
      <c r="G2290" s="4">
        <v>4</v>
      </c>
      <c r="H2290" s="4" t="s">
        <v>17</v>
      </c>
      <c r="I2290" s="4" t="s">
        <v>69</v>
      </c>
      <c r="J2290" s="4" t="s">
        <v>66</v>
      </c>
      <c r="K2290" s="4">
        <v>0</v>
      </c>
      <c r="L2290" s="94">
        <v>129245</v>
      </c>
      <c r="M2290" s="94">
        <v>516980</v>
      </c>
    </row>
    <row r="2291" spans="3:13" x14ac:dyDescent="0.3">
      <c r="C2291" t="s">
        <v>71</v>
      </c>
      <c r="D2291" t="s">
        <v>67</v>
      </c>
      <c r="E2291" t="s">
        <v>63</v>
      </c>
      <c r="F2291" t="s">
        <v>25</v>
      </c>
      <c r="G2291" s="4">
        <v>0</v>
      </c>
      <c r="H2291" s="4" t="s">
        <v>76</v>
      </c>
      <c r="I2291" s="4" t="s">
        <v>69</v>
      </c>
      <c r="J2291" s="4" t="s">
        <v>66</v>
      </c>
      <c r="K2291" s="4">
        <v>0</v>
      </c>
      <c r="L2291" s="94">
        <v>-6225</v>
      </c>
      <c r="M2291" s="94">
        <v>0</v>
      </c>
    </row>
    <row r="2292" spans="3:13" x14ac:dyDescent="0.3">
      <c r="C2292" t="s">
        <v>61</v>
      </c>
      <c r="D2292" t="s">
        <v>67</v>
      </c>
      <c r="E2292" t="s">
        <v>68</v>
      </c>
      <c r="F2292" t="s">
        <v>25</v>
      </c>
      <c r="G2292" s="4">
        <v>11</v>
      </c>
      <c r="H2292" s="4" t="s">
        <v>75</v>
      </c>
      <c r="I2292" s="4" t="s">
        <v>65</v>
      </c>
      <c r="J2292" s="4" t="s">
        <v>66</v>
      </c>
      <c r="K2292" s="4">
        <v>1</v>
      </c>
      <c r="L2292" s="94">
        <v>143384</v>
      </c>
      <c r="M2292" s="94">
        <v>1577224</v>
      </c>
    </row>
    <row r="2293" spans="3:13" x14ac:dyDescent="0.3">
      <c r="C2293" t="s">
        <v>70</v>
      </c>
      <c r="D2293" t="s">
        <v>67</v>
      </c>
      <c r="E2293" t="s">
        <v>63</v>
      </c>
      <c r="F2293" t="s">
        <v>72</v>
      </c>
      <c r="G2293" s="4">
        <v>2</v>
      </c>
      <c r="H2293" s="4" t="s">
        <v>18</v>
      </c>
      <c r="I2293" s="4" t="s">
        <v>69</v>
      </c>
      <c r="J2293" s="4" t="s">
        <v>66</v>
      </c>
      <c r="K2293" s="4">
        <v>0</v>
      </c>
      <c r="L2293" s="94">
        <v>-73848</v>
      </c>
      <c r="M2293" s="94">
        <v>0</v>
      </c>
    </row>
    <row r="2294" spans="3:13" x14ac:dyDescent="0.3">
      <c r="C2294" t="s">
        <v>61</v>
      </c>
      <c r="D2294" t="s">
        <v>67</v>
      </c>
      <c r="E2294" t="s">
        <v>68</v>
      </c>
      <c r="F2294" t="s">
        <v>72</v>
      </c>
      <c r="G2294" s="4">
        <v>3</v>
      </c>
      <c r="H2294" s="4" t="s">
        <v>12</v>
      </c>
      <c r="I2294" s="4" t="s">
        <v>69</v>
      </c>
      <c r="J2294" s="4" t="s">
        <v>73</v>
      </c>
      <c r="K2294" s="4">
        <v>1</v>
      </c>
      <c r="L2294" s="94">
        <v>848015</v>
      </c>
      <c r="M2294" s="94">
        <v>2544045</v>
      </c>
    </row>
    <row r="2295" spans="3:13" x14ac:dyDescent="0.3">
      <c r="C2295" t="s">
        <v>70</v>
      </c>
      <c r="D2295" t="s">
        <v>67</v>
      </c>
      <c r="E2295" t="s">
        <v>68</v>
      </c>
      <c r="F2295" t="s">
        <v>72</v>
      </c>
      <c r="G2295" s="4">
        <v>-1</v>
      </c>
      <c r="H2295" s="4" t="s">
        <v>18</v>
      </c>
      <c r="I2295" s="4" t="s">
        <v>69</v>
      </c>
      <c r="J2295" s="4" t="s">
        <v>73</v>
      </c>
      <c r="K2295" s="4">
        <v>1</v>
      </c>
      <c r="L2295" s="94">
        <v>38354</v>
      </c>
      <c r="M2295" s="94">
        <v>0</v>
      </c>
    </row>
    <row r="2296" spans="3:13" x14ac:dyDescent="0.3">
      <c r="C2296" t="s">
        <v>71</v>
      </c>
      <c r="D2296" t="s">
        <v>67</v>
      </c>
      <c r="E2296" t="s">
        <v>68</v>
      </c>
      <c r="F2296" t="s">
        <v>25</v>
      </c>
      <c r="G2296" s="4">
        <v>9</v>
      </c>
      <c r="H2296" s="4" t="s">
        <v>74</v>
      </c>
      <c r="I2296" s="4" t="s">
        <v>69</v>
      </c>
      <c r="J2296" s="4" t="s">
        <v>66</v>
      </c>
      <c r="K2296" s="4">
        <v>0</v>
      </c>
      <c r="L2296" s="94">
        <v>486861</v>
      </c>
      <c r="M2296" s="94">
        <v>4381749</v>
      </c>
    </row>
    <row r="2297" spans="3:13" x14ac:dyDescent="0.3">
      <c r="C2297" t="s">
        <v>61</v>
      </c>
      <c r="D2297" t="s">
        <v>67</v>
      </c>
      <c r="E2297" t="s">
        <v>63</v>
      </c>
      <c r="F2297" t="s">
        <v>25</v>
      </c>
      <c r="G2297" s="4">
        <v>13</v>
      </c>
      <c r="H2297" s="4" t="s">
        <v>79</v>
      </c>
      <c r="I2297" s="4" t="s">
        <v>69</v>
      </c>
      <c r="J2297" s="4" t="s">
        <v>66</v>
      </c>
      <c r="K2297" s="4">
        <v>0</v>
      </c>
      <c r="L2297" s="94">
        <v>-15132</v>
      </c>
      <c r="M2297" s="94">
        <v>0</v>
      </c>
    </row>
    <row r="2298" spans="3:13" x14ac:dyDescent="0.3">
      <c r="C2298" t="s">
        <v>61</v>
      </c>
      <c r="D2298" t="s">
        <v>67</v>
      </c>
      <c r="E2298" t="s">
        <v>63</v>
      </c>
      <c r="F2298" t="s">
        <v>72</v>
      </c>
      <c r="G2298" s="4">
        <v>5</v>
      </c>
      <c r="H2298" s="4" t="s">
        <v>79</v>
      </c>
      <c r="I2298" s="4" t="s">
        <v>69</v>
      </c>
      <c r="J2298" s="4" t="s">
        <v>66</v>
      </c>
      <c r="K2298" s="4">
        <v>0</v>
      </c>
      <c r="L2298" s="94">
        <v>-10328</v>
      </c>
      <c r="M2298" s="94">
        <v>0</v>
      </c>
    </row>
    <row r="2299" spans="3:13" x14ac:dyDescent="0.3">
      <c r="C2299" t="s">
        <v>61</v>
      </c>
      <c r="D2299" t="s">
        <v>67</v>
      </c>
      <c r="E2299" t="s">
        <v>63</v>
      </c>
      <c r="F2299" t="s">
        <v>72</v>
      </c>
      <c r="G2299" s="4">
        <v>4</v>
      </c>
      <c r="H2299" s="4" t="s">
        <v>12</v>
      </c>
      <c r="I2299" s="4" t="s">
        <v>69</v>
      </c>
      <c r="J2299" s="4" t="s">
        <v>66</v>
      </c>
      <c r="K2299" s="4">
        <v>0</v>
      </c>
      <c r="L2299" s="94">
        <v>-1208</v>
      </c>
      <c r="M2299" s="94">
        <v>0</v>
      </c>
    </row>
    <row r="2300" spans="3:13" x14ac:dyDescent="0.3">
      <c r="C2300" t="s">
        <v>70</v>
      </c>
      <c r="D2300" t="s">
        <v>67</v>
      </c>
      <c r="E2300" t="s">
        <v>68</v>
      </c>
      <c r="F2300" t="s">
        <v>25</v>
      </c>
      <c r="G2300" s="4">
        <v>10</v>
      </c>
      <c r="H2300" s="4" t="s">
        <v>17</v>
      </c>
      <c r="I2300" s="4" t="s">
        <v>69</v>
      </c>
      <c r="J2300" s="4" t="s">
        <v>66</v>
      </c>
      <c r="K2300" s="4">
        <v>0</v>
      </c>
      <c r="L2300" s="94">
        <v>888029</v>
      </c>
      <c r="M2300" s="94">
        <v>8880290</v>
      </c>
    </row>
    <row r="2301" spans="3:13" x14ac:dyDescent="0.3">
      <c r="C2301" t="s">
        <v>70</v>
      </c>
      <c r="D2301" t="s">
        <v>62</v>
      </c>
      <c r="E2301" t="s">
        <v>63</v>
      </c>
      <c r="F2301" t="s">
        <v>25</v>
      </c>
      <c r="G2301" s="4">
        <v>13</v>
      </c>
      <c r="I2301" s="4" t="s">
        <v>69</v>
      </c>
      <c r="J2301" s="4" t="s">
        <v>66</v>
      </c>
      <c r="K2301" s="4">
        <v>0</v>
      </c>
      <c r="L2301" s="94">
        <v>-165841</v>
      </c>
      <c r="M2301" s="94">
        <v>0</v>
      </c>
    </row>
    <row r="2302" spans="3:13" x14ac:dyDescent="0.3">
      <c r="C2302" t="s">
        <v>61</v>
      </c>
      <c r="D2302" t="s">
        <v>67</v>
      </c>
      <c r="E2302" t="s">
        <v>63</v>
      </c>
      <c r="F2302" t="s">
        <v>25</v>
      </c>
      <c r="G2302" s="4">
        <v>10</v>
      </c>
      <c r="H2302" s="4" t="s">
        <v>64</v>
      </c>
      <c r="I2302" s="4" t="s">
        <v>69</v>
      </c>
      <c r="J2302" s="4" t="s">
        <v>66</v>
      </c>
      <c r="K2302" s="4">
        <v>0</v>
      </c>
      <c r="L2302" s="94">
        <v>-1348</v>
      </c>
      <c r="M2302" s="94">
        <v>0</v>
      </c>
    </row>
    <row r="2303" spans="3:13" x14ac:dyDescent="0.3">
      <c r="C2303" t="s">
        <v>70</v>
      </c>
      <c r="D2303" t="s">
        <v>67</v>
      </c>
      <c r="E2303" t="s">
        <v>63</v>
      </c>
      <c r="F2303" t="s">
        <v>26</v>
      </c>
      <c r="G2303" s="4">
        <v>15</v>
      </c>
      <c r="H2303" s="4" t="s">
        <v>17</v>
      </c>
      <c r="I2303" s="4" t="s">
        <v>69</v>
      </c>
      <c r="J2303" s="4" t="s">
        <v>66</v>
      </c>
      <c r="K2303" s="4">
        <v>0</v>
      </c>
      <c r="L2303" s="94">
        <v>-2753</v>
      </c>
      <c r="M2303" s="94">
        <v>0</v>
      </c>
    </row>
    <row r="2304" spans="3:13" x14ac:dyDescent="0.3">
      <c r="C2304" t="s">
        <v>70</v>
      </c>
      <c r="D2304" t="s">
        <v>62</v>
      </c>
      <c r="E2304" t="s">
        <v>68</v>
      </c>
      <c r="F2304" t="s">
        <v>24</v>
      </c>
      <c r="G2304" s="4">
        <v>22</v>
      </c>
      <c r="I2304" s="4" t="s">
        <v>69</v>
      </c>
      <c r="J2304" s="4" t="s">
        <v>66</v>
      </c>
      <c r="K2304" s="4">
        <v>0</v>
      </c>
      <c r="L2304" s="94">
        <v>54650205</v>
      </c>
      <c r="M2304" s="94">
        <v>1202304510</v>
      </c>
    </row>
    <row r="2305" spans="3:13" x14ac:dyDescent="0.3">
      <c r="C2305" t="s">
        <v>70</v>
      </c>
      <c r="D2305" t="s">
        <v>67</v>
      </c>
      <c r="E2305" t="s">
        <v>68</v>
      </c>
      <c r="F2305" t="s">
        <v>26</v>
      </c>
      <c r="G2305" s="4">
        <v>1</v>
      </c>
      <c r="H2305" s="4" t="s">
        <v>18</v>
      </c>
      <c r="I2305" s="4" t="s">
        <v>65</v>
      </c>
      <c r="J2305" s="4" t="s">
        <v>66</v>
      </c>
      <c r="K2305" s="4">
        <v>1</v>
      </c>
      <c r="L2305" s="94">
        <v>8933</v>
      </c>
      <c r="M2305" s="94">
        <v>8933</v>
      </c>
    </row>
    <row r="2306" spans="3:13" x14ac:dyDescent="0.3">
      <c r="C2306" t="s">
        <v>71</v>
      </c>
      <c r="D2306" t="s">
        <v>67</v>
      </c>
      <c r="E2306" t="s">
        <v>63</v>
      </c>
      <c r="F2306" t="s">
        <v>25</v>
      </c>
      <c r="G2306" s="4">
        <v>-1</v>
      </c>
      <c r="H2306" s="4" t="s">
        <v>17</v>
      </c>
      <c r="I2306" s="4" t="s">
        <v>69</v>
      </c>
      <c r="J2306" s="4" t="s">
        <v>66</v>
      </c>
      <c r="K2306" s="4">
        <v>1</v>
      </c>
      <c r="L2306" s="94">
        <v>-97</v>
      </c>
      <c r="M2306" s="94">
        <v>0</v>
      </c>
    </row>
    <row r="2307" spans="3:13" x14ac:dyDescent="0.3">
      <c r="C2307" t="s">
        <v>70</v>
      </c>
      <c r="D2307" t="s">
        <v>67</v>
      </c>
      <c r="E2307" t="s">
        <v>63</v>
      </c>
      <c r="F2307" t="s">
        <v>25</v>
      </c>
      <c r="G2307" s="4">
        <v>9</v>
      </c>
      <c r="H2307" s="4" t="s">
        <v>14</v>
      </c>
      <c r="I2307" s="4" t="s">
        <v>69</v>
      </c>
      <c r="J2307" s="4" t="s">
        <v>66</v>
      </c>
      <c r="K2307" s="4">
        <v>0</v>
      </c>
      <c r="L2307" s="94">
        <v>-139065</v>
      </c>
      <c r="M2307" s="94">
        <v>0</v>
      </c>
    </row>
    <row r="2308" spans="3:13" x14ac:dyDescent="0.3">
      <c r="C2308" t="s">
        <v>71</v>
      </c>
      <c r="D2308" t="s">
        <v>67</v>
      </c>
      <c r="E2308" t="s">
        <v>68</v>
      </c>
      <c r="F2308" t="s">
        <v>25</v>
      </c>
      <c r="G2308" s="4">
        <v>14</v>
      </c>
      <c r="H2308" s="4" t="s">
        <v>18</v>
      </c>
      <c r="I2308" s="4" t="s">
        <v>69</v>
      </c>
      <c r="J2308" s="4" t="s">
        <v>66</v>
      </c>
      <c r="K2308" s="4">
        <v>0</v>
      </c>
      <c r="L2308" s="94">
        <v>149408</v>
      </c>
      <c r="M2308" s="94">
        <v>2091712</v>
      </c>
    </row>
    <row r="2309" spans="3:13" x14ac:dyDescent="0.3">
      <c r="C2309" t="s">
        <v>70</v>
      </c>
      <c r="D2309" t="s">
        <v>67</v>
      </c>
      <c r="E2309" t="s">
        <v>63</v>
      </c>
      <c r="F2309" t="s">
        <v>26</v>
      </c>
      <c r="G2309" s="4">
        <v>0</v>
      </c>
      <c r="H2309" s="4" t="s">
        <v>74</v>
      </c>
      <c r="I2309" s="4" t="s">
        <v>69</v>
      </c>
      <c r="J2309" s="4" t="s">
        <v>66</v>
      </c>
      <c r="K2309" s="4">
        <v>0</v>
      </c>
      <c r="L2309" s="94">
        <v>-21819</v>
      </c>
      <c r="M2309" s="94">
        <v>0</v>
      </c>
    </row>
    <row r="2310" spans="3:13" x14ac:dyDescent="0.3">
      <c r="C2310" t="s">
        <v>70</v>
      </c>
      <c r="D2310" t="s">
        <v>67</v>
      </c>
      <c r="E2310" t="s">
        <v>63</v>
      </c>
      <c r="F2310" t="s">
        <v>25</v>
      </c>
      <c r="G2310" s="4">
        <v>0</v>
      </c>
      <c r="H2310" s="4" t="s">
        <v>75</v>
      </c>
      <c r="I2310" s="4" t="s">
        <v>69</v>
      </c>
      <c r="J2310" s="4" t="s">
        <v>66</v>
      </c>
      <c r="K2310" s="4">
        <v>0</v>
      </c>
      <c r="L2310" s="94">
        <v>-19988</v>
      </c>
      <c r="M2310" s="94">
        <v>0</v>
      </c>
    </row>
    <row r="2311" spans="3:13" x14ac:dyDescent="0.3">
      <c r="C2311" t="s">
        <v>61</v>
      </c>
      <c r="D2311" t="s">
        <v>67</v>
      </c>
      <c r="E2311" t="s">
        <v>63</v>
      </c>
      <c r="F2311" t="s">
        <v>26</v>
      </c>
      <c r="G2311" s="4">
        <v>2</v>
      </c>
      <c r="H2311" s="4" t="s">
        <v>18</v>
      </c>
      <c r="I2311" s="4" t="s">
        <v>65</v>
      </c>
      <c r="J2311" s="4" t="s">
        <v>66</v>
      </c>
      <c r="K2311" s="4">
        <v>1</v>
      </c>
      <c r="L2311" s="94">
        <v>-2738</v>
      </c>
      <c r="M2311" s="94">
        <v>0</v>
      </c>
    </row>
    <row r="2312" spans="3:13" x14ac:dyDescent="0.3">
      <c r="C2312" t="s">
        <v>61</v>
      </c>
      <c r="D2312" t="s">
        <v>67</v>
      </c>
      <c r="E2312" t="s">
        <v>63</v>
      </c>
      <c r="F2312" t="s">
        <v>25</v>
      </c>
      <c r="G2312" s="4">
        <v>0</v>
      </c>
      <c r="H2312" s="4" t="s">
        <v>74</v>
      </c>
      <c r="I2312" s="4" t="s">
        <v>69</v>
      </c>
      <c r="J2312" s="4" t="s">
        <v>66</v>
      </c>
      <c r="K2312" s="4">
        <v>0</v>
      </c>
      <c r="L2312" s="94">
        <v>-15402</v>
      </c>
      <c r="M2312" s="94">
        <v>0</v>
      </c>
    </row>
    <row r="2313" spans="3:13" x14ac:dyDescent="0.3">
      <c r="C2313" t="s">
        <v>61</v>
      </c>
      <c r="D2313" t="s">
        <v>84</v>
      </c>
      <c r="E2313" t="s">
        <v>68</v>
      </c>
      <c r="F2313" t="s">
        <v>25</v>
      </c>
      <c r="G2313" s="4">
        <v>8</v>
      </c>
      <c r="H2313" s="4" t="s">
        <v>75</v>
      </c>
      <c r="I2313" s="4" t="s">
        <v>69</v>
      </c>
      <c r="J2313" s="4" t="s">
        <v>66</v>
      </c>
      <c r="K2313" s="4">
        <v>0</v>
      </c>
      <c r="L2313" s="94">
        <v>946855</v>
      </c>
      <c r="M2313" s="94">
        <v>7574840</v>
      </c>
    </row>
    <row r="2314" spans="3:13" x14ac:dyDescent="0.3">
      <c r="C2314" t="s">
        <v>70</v>
      </c>
      <c r="D2314" t="s">
        <v>67</v>
      </c>
      <c r="E2314" t="s">
        <v>63</v>
      </c>
      <c r="F2314" t="s">
        <v>72</v>
      </c>
      <c r="G2314" s="4">
        <v>-1</v>
      </c>
      <c r="H2314" s="4" t="s">
        <v>14</v>
      </c>
      <c r="I2314" s="4" t="s">
        <v>69</v>
      </c>
      <c r="J2314" s="4" t="s">
        <v>73</v>
      </c>
      <c r="K2314" s="4">
        <v>1</v>
      </c>
      <c r="L2314" s="94">
        <v>-9305</v>
      </c>
      <c r="M2314" s="94">
        <v>0</v>
      </c>
    </row>
    <row r="2315" spans="3:13" x14ac:dyDescent="0.3">
      <c r="C2315" t="s">
        <v>71</v>
      </c>
      <c r="D2315" t="s">
        <v>67</v>
      </c>
      <c r="E2315" t="s">
        <v>63</v>
      </c>
      <c r="F2315" t="s">
        <v>26</v>
      </c>
      <c r="G2315" s="4">
        <v>3</v>
      </c>
      <c r="H2315" s="4" t="s">
        <v>74</v>
      </c>
      <c r="I2315" s="4" t="s">
        <v>69</v>
      </c>
      <c r="J2315" s="4" t="s">
        <v>66</v>
      </c>
      <c r="K2315" s="4">
        <v>0</v>
      </c>
      <c r="L2315" s="94">
        <v>-786060</v>
      </c>
      <c r="M2315" s="94">
        <v>0</v>
      </c>
    </row>
    <row r="2316" spans="3:13" x14ac:dyDescent="0.3">
      <c r="C2316" t="s">
        <v>61</v>
      </c>
      <c r="D2316" t="s">
        <v>62</v>
      </c>
      <c r="E2316" t="s">
        <v>68</v>
      </c>
      <c r="F2316" t="s">
        <v>24</v>
      </c>
      <c r="G2316" s="4">
        <v>34</v>
      </c>
      <c r="I2316" s="4" t="s">
        <v>69</v>
      </c>
      <c r="J2316" s="4" t="s">
        <v>66</v>
      </c>
      <c r="K2316" s="4">
        <v>1</v>
      </c>
      <c r="L2316" s="94">
        <v>1805777</v>
      </c>
      <c r="M2316" s="94">
        <v>61396418</v>
      </c>
    </row>
    <row r="2317" spans="3:13" x14ac:dyDescent="0.3">
      <c r="C2317" t="s">
        <v>71</v>
      </c>
      <c r="D2317" t="s">
        <v>67</v>
      </c>
      <c r="E2317" t="s">
        <v>68</v>
      </c>
      <c r="F2317" t="s">
        <v>72</v>
      </c>
      <c r="G2317" s="4">
        <v>4</v>
      </c>
      <c r="H2317" s="4" t="s">
        <v>82</v>
      </c>
      <c r="I2317" s="4" t="s">
        <v>69</v>
      </c>
      <c r="J2317" s="4" t="s">
        <v>66</v>
      </c>
      <c r="K2317" s="4">
        <v>0</v>
      </c>
      <c r="L2317" s="94">
        <v>99065</v>
      </c>
      <c r="M2317" s="94">
        <v>396260</v>
      </c>
    </row>
    <row r="2318" spans="3:13" x14ac:dyDescent="0.3">
      <c r="C2318" t="s">
        <v>70</v>
      </c>
      <c r="D2318" t="s">
        <v>67</v>
      </c>
      <c r="E2318" t="s">
        <v>63</v>
      </c>
      <c r="F2318" t="s">
        <v>26</v>
      </c>
      <c r="G2318" s="4">
        <v>5</v>
      </c>
      <c r="H2318" s="4" t="s">
        <v>16</v>
      </c>
      <c r="I2318" s="4" t="s">
        <v>65</v>
      </c>
      <c r="J2318" s="4" t="s">
        <v>66</v>
      </c>
      <c r="K2318" s="4">
        <v>1</v>
      </c>
      <c r="L2318" s="94">
        <v>-11192</v>
      </c>
      <c r="M2318" s="94">
        <v>0</v>
      </c>
    </row>
    <row r="2319" spans="3:13" x14ac:dyDescent="0.3">
      <c r="C2319" t="s">
        <v>61</v>
      </c>
      <c r="D2319" t="s">
        <v>67</v>
      </c>
      <c r="E2319" t="s">
        <v>68</v>
      </c>
      <c r="F2319" t="s">
        <v>26</v>
      </c>
      <c r="G2319" s="4">
        <v>-1</v>
      </c>
      <c r="I2319" s="4" t="s">
        <v>69</v>
      </c>
      <c r="J2319" s="4" t="s">
        <v>66</v>
      </c>
      <c r="K2319" s="4">
        <v>0</v>
      </c>
      <c r="L2319" s="94">
        <v>-30383246</v>
      </c>
      <c r="M2319" s="94">
        <v>0</v>
      </c>
    </row>
    <row r="2320" spans="3:13" x14ac:dyDescent="0.3">
      <c r="C2320" t="s">
        <v>61</v>
      </c>
      <c r="D2320" t="s">
        <v>67</v>
      </c>
      <c r="E2320" t="s">
        <v>63</v>
      </c>
      <c r="F2320" t="s">
        <v>26</v>
      </c>
      <c r="G2320" s="4">
        <v>10</v>
      </c>
      <c r="H2320" s="4" t="s">
        <v>74</v>
      </c>
      <c r="I2320" s="4" t="s">
        <v>69</v>
      </c>
      <c r="J2320" s="4" t="s">
        <v>66</v>
      </c>
      <c r="K2320" s="4">
        <v>0</v>
      </c>
      <c r="L2320" s="94">
        <v>-130212</v>
      </c>
      <c r="M2320" s="94">
        <v>0</v>
      </c>
    </row>
    <row r="2321" spans="3:13" x14ac:dyDescent="0.3">
      <c r="C2321" t="s">
        <v>61</v>
      </c>
      <c r="D2321" t="s">
        <v>62</v>
      </c>
      <c r="E2321" t="s">
        <v>68</v>
      </c>
      <c r="F2321" t="s">
        <v>24</v>
      </c>
      <c r="G2321" s="4">
        <v>40</v>
      </c>
      <c r="I2321" s="4" t="s">
        <v>69</v>
      </c>
      <c r="J2321" s="4" t="s">
        <v>66</v>
      </c>
      <c r="K2321" s="4">
        <v>1</v>
      </c>
      <c r="L2321" s="94">
        <v>344208</v>
      </c>
      <c r="M2321" s="94">
        <v>13768320</v>
      </c>
    </row>
    <row r="2322" spans="3:13" x14ac:dyDescent="0.3">
      <c r="C2322" t="s">
        <v>61</v>
      </c>
      <c r="D2322" t="s">
        <v>67</v>
      </c>
      <c r="E2322" t="s">
        <v>68</v>
      </c>
      <c r="F2322" t="s">
        <v>72</v>
      </c>
      <c r="G2322" s="4">
        <v>1</v>
      </c>
      <c r="H2322" s="4" t="s">
        <v>14</v>
      </c>
      <c r="I2322" s="4" t="s">
        <v>65</v>
      </c>
      <c r="J2322" s="4" t="s">
        <v>66</v>
      </c>
      <c r="K2322" s="4">
        <v>1</v>
      </c>
      <c r="L2322" s="94">
        <v>7676</v>
      </c>
      <c r="M2322" s="94">
        <v>7676</v>
      </c>
    </row>
    <row r="2323" spans="3:13" x14ac:dyDescent="0.3">
      <c r="C2323" t="s">
        <v>61</v>
      </c>
      <c r="D2323" t="s">
        <v>67</v>
      </c>
      <c r="E2323" t="s">
        <v>68</v>
      </c>
      <c r="F2323" t="s">
        <v>25</v>
      </c>
      <c r="G2323" s="4">
        <v>0</v>
      </c>
      <c r="H2323" s="4" t="s">
        <v>17</v>
      </c>
      <c r="I2323" s="4" t="s">
        <v>65</v>
      </c>
      <c r="J2323" s="4" t="s">
        <v>66</v>
      </c>
      <c r="K2323" s="4">
        <v>1</v>
      </c>
      <c r="L2323" s="94">
        <v>74183</v>
      </c>
      <c r="M2323" s="94">
        <v>0</v>
      </c>
    </row>
    <row r="2324" spans="3:13" x14ac:dyDescent="0.3">
      <c r="C2324" t="s">
        <v>61</v>
      </c>
      <c r="D2324" t="s">
        <v>67</v>
      </c>
      <c r="E2324" t="s">
        <v>63</v>
      </c>
      <c r="F2324" t="s">
        <v>72</v>
      </c>
      <c r="G2324" s="4">
        <v>-4</v>
      </c>
      <c r="H2324" s="4" t="s">
        <v>18</v>
      </c>
      <c r="I2324" s="4" t="s">
        <v>69</v>
      </c>
      <c r="J2324" s="4" t="s">
        <v>66</v>
      </c>
      <c r="K2324" s="4">
        <v>0</v>
      </c>
      <c r="L2324" s="94">
        <v>-8</v>
      </c>
      <c r="M2324" s="94">
        <v>0</v>
      </c>
    </row>
    <row r="2325" spans="3:13" x14ac:dyDescent="0.3">
      <c r="C2325" t="s">
        <v>61</v>
      </c>
      <c r="D2325" t="s">
        <v>67</v>
      </c>
      <c r="E2325" t="s">
        <v>68</v>
      </c>
      <c r="F2325" t="s">
        <v>72</v>
      </c>
      <c r="G2325" s="4">
        <v>-4</v>
      </c>
      <c r="H2325" s="4" t="s">
        <v>18</v>
      </c>
      <c r="I2325" s="4" t="s">
        <v>69</v>
      </c>
      <c r="J2325" s="4" t="s">
        <v>73</v>
      </c>
      <c r="K2325" s="4">
        <v>1</v>
      </c>
      <c r="L2325" s="94">
        <v>71</v>
      </c>
      <c r="M2325" s="94">
        <v>0</v>
      </c>
    </row>
    <row r="2326" spans="3:13" x14ac:dyDescent="0.3">
      <c r="C2326" t="s">
        <v>61</v>
      </c>
      <c r="D2326" t="s">
        <v>67</v>
      </c>
      <c r="E2326" t="s">
        <v>63</v>
      </c>
      <c r="F2326" t="s">
        <v>72</v>
      </c>
      <c r="G2326" s="4">
        <v>2</v>
      </c>
      <c r="H2326" s="4" t="s">
        <v>76</v>
      </c>
      <c r="I2326" s="4" t="s">
        <v>69</v>
      </c>
      <c r="J2326" s="4" t="s">
        <v>66</v>
      </c>
      <c r="K2326" s="4">
        <v>0</v>
      </c>
      <c r="L2326" s="94">
        <v>-3472</v>
      </c>
      <c r="M2326" s="94">
        <v>0</v>
      </c>
    </row>
    <row r="2327" spans="3:13" x14ac:dyDescent="0.3">
      <c r="C2327" t="s">
        <v>70</v>
      </c>
      <c r="D2327" t="s">
        <v>67</v>
      </c>
      <c r="E2327" t="s">
        <v>63</v>
      </c>
      <c r="F2327" t="s">
        <v>25</v>
      </c>
      <c r="G2327" s="4">
        <v>7</v>
      </c>
      <c r="H2327" s="4" t="s">
        <v>82</v>
      </c>
      <c r="I2327" s="4" t="s">
        <v>69</v>
      </c>
      <c r="J2327" s="4" t="s">
        <v>66</v>
      </c>
      <c r="K2327" s="4">
        <v>0</v>
      </c>
      <c r="L2327" s="94">
        <v>-4383</v>
      </c>
      <c r="M2327" s="94">
        <v>0</v>
      </c>
    </row>
    <row r="2328" spans="3:13" x14ac:dyDescent="0.3">
      <c r="C2328" t="s">
        <v>70</v>
      </c>
      <c r="D2328" t="s">
        <v>67</v>
      </c>
      <c r="E2328" t="s">
        <v>63</v>
      </c>
      <c r="F2328" t="s">
        <v>26</v>
      </c>
      <c r="G2328" s="4">
        <v>1</v>
      </c>
      <c r="H2328" s="4" t="s">
        <v>82</v>
      </c>
      <c r="I2328" s="4" t="s">
        <v>69</v>
      </c>
      <c r="J2328" s="4" t="s">
        <v>66</v>
      </c>
      <c r="K2328" s="4">
        <v>0</v>
      </c>
      <c r="L2328" s="94">
        <v>-124161</v>
      </c>
      <c r="M2328" s="94">
        <v>0</v>
      </c>
    </row>
    <row r="2329" spans="3:13" x14ac:dyDescent="0.3">
      <c r="C2329" t="s">
        <v>61</v>
      </c>
      <c r="D2329" t="s">
        <v>67</v>
      </c>
      <c r="E2329" t="s">
        <v>63</v>
      </c>
      <c r="F2329" t="s">
        <v>25</v>
      </c>
      <c r="G2329" s="4">
        <v>7</v>
      </c>
      <c r="H2329" s="4" t="s">
        <v>76</v>
      </c>
      <c r="I2329" s="4" t="s">
        <v>69</v>
      </c>
      <c r="J2329" s="4" t="s">
        <v>66</v>
      </c>
      <c r="K2329" s="4">
        <v>0</v>
      </c>
      <c r="L2329" s="94">
        <v>-73925</v>
      </c>
      <c r="M2329" s="94">
        <v>0</v>
      </c>
    </row>
    <row r="2330" spans="3:13" x14ac:dyDescent="0.3">
      <c r="C2330" t="s">
        <v>71</v>
      </c>
      <c r="D2330" t="s">
        <v>67</v>
      </c>
      <c r="E2330" t="s">
        <v>63</v>
      </c>
      <c r="F2330" t="s">
        <v>72</v>
      </c>
      <c r="G2330" s="4">
        <v>-4</v>
      </c>
      <c r="H2330" s="4" t="s">
        <v>18</v>
      </c>
      <c r="I2330" s="4" t="s">
        <v>69</v>
      </c>
      <c r="J2330" s="4" t="s">
        <v>73</v>
      </c>
      <c r="K2330" s="4">
        <v>1</v>
      </c>
      <c r="L2330" s="94">
        <v>-7935</v>
      </c>
      <c r="M2330" s="94">
        <v>0</v>
      </c>
    </row>
    <row r="2331" spans="3:13" x14ac:dyDescent="0.3">
      <c r="C2331" t="s">
        <v>70</v>
      </c>
      <c r="D2331" t="s">
        <v>84</v>
      </c>
      <c r="E2331" t="s">
        <v>63</v>
      </c>
      <c r="F2331" t="s">
        <v>25</v>
      </c>
      <c r="G2331" s="4">
        <v>-4</v>
      </c>
      <c r="H2331" s="4" t="s">
        <v>79</v>
      </c>
      <c r="I2331" s="4" t="s">
        <v>69</v>
      </c>
      <c r="J2331" s="4" t="s">
        <v>66</v>
      </c>
      <c r="K2331" s="4">
        <v>0</v>
      </c>
      <c r="L2331" s="94">
        <v>-1</v>
      </c>
      <c r="M2331" s="94">
        <v>0</v>
      </c>
    </row>
    <row r="2332" spans="3:13" x14ac:dyDescent="0.3">
      <c r="C2332" t="s">
        <v>61</v>
      </c>
      <c r="D2332" t="s">
        <v>67</v>
      </c>
      <c r="E2332" t="s">
        <v>63</v>
      </c>
      <c r="F2332" t="s">
        <v>26</v>
      </c>
      <c r="G2332" s="4">
        <v>8</v>
      </c>
      <c r="H2332" s="4" t="s">
        <v>15</v>
      </c>
      <c r="I2332" s="4" t="s">
        <v>69</v>
      </c>
      <c r="J2332" s="4" t="s">
        <v>73</v>
      </c>
      <c r="K2332" s="4">
        <v>1</v>
      </c>
      <c r="L2332" s="94">
        <v>-897</v>
      </c>
      <c r="M2332" s="94">
        <v>0</v>
      </c>
    </row>
    <row r="2333" spans="3:13" x14ac:dyDescent="0.3">
      <c r="C2333" t="s">
        <v>71</v>
      </c>
      <c r="D2333" t="s">
        <v>62</v>
      </c>
      <c r="E2333" t="s">
        <v>68</v>
      </c>
      <c r="F2333" t="s">
        <v>24</v>
      </c>
      <c r="G2333" s="4">
        <v>1</v>
      </c>
      <c r="I2333" s="4" t="s">
        <v>69</v>
      </c>
      <c r="J2333" s="4" t="s">
        <v>66</v>
      </c>
      <c r="K2333" s="4">
        <v>0</v>
      </c>
      <c r="L2333" s="94">
        <v>468023</v>
      </c>
      <c r="M2333" s="94">
        <v>468023</v>
      </c>
    </row>
    <row r="2334" spans="3:13" x14ac:dyDescent="0.3">
      <c r="C2334" t="s">
        <v>71</v>
      </c>
      <c r="D2334" t="s">
        <v>62</v>
      </c>
      <c r="E2334" t="s">
        <v>63</v>
      </c>
      <c r="F2334" t="s">
        <v>25</v>
      </c>
      <c r="G2334" s="4">
        <v>5</v>
      </c>
      <c r="I2334" s="4" t="s">
        <v>69</v>
      </c>
      <c r="J2334" s="4" t="s">
        <v>66</v>
      </c>
      <c r="K2334" s="4">
        <v>0</v>
      </c>
      <c r="L2334" s="94">
        <v>-94624</v>
      </c>
      <c r="M2334" s="94">
        <v>0</v>
      </c>
    </row>
    <row r="2335" spans="3:13" x14ac:dyDescent="0.3">
      <c r="C2335" t="s">
        <v>61</v>
      </c>
      <c r="D2335" t="s">
        <v>67</v>
      </c>
      <c r="E2335" t="s">
        <v>68</v>
      </c>
      <c r="F2335" t="s">
        <v>26</v>
      </c>
      <c r="G2335" s="4">
        <v>1</v>
      </c>
      <c r="H2335" s="4" t="s">
        <v>14</v>
      </c>
      <c r="I2335" s="4" t="s">
        <v>69</v>
      </c>
      <c r="J2335" s="4" t="s">
        <v>66</v>
      </c>
      <c r="K2335" s="4">
        <v>0</v>
      </c>
      <c r="L2335" s="94">
        <v>110454862</v>
      </c>
      <c r="M2335" s="94">
        <v>110454862</v>
      </c>
    </row>
    <row r="2336" spans="3:13" x14ac:dyDescent="0.3">
      <c r="C2336" t="s">
        <v>70</v>
      </c>
      <c r="D2336" t="s">
        <v>67</v>
      </c>
      <c r="E2336" t="s">
        <v>63</v>
      </c>
      <c r="F2336" t="s">
        <v>72</v>
      </c>
      <c r="G2336" s="4">
        <v>0</v>
      </c>
      <c r="H2336" s="4" t="s">
        <v>14</v>
      </c>
      <c r="I2336" s="4" t="s">
        <v>69</v>
      </c>
      <c r="J2336" s="4" t="s">
        <v>66</v>
      </c>
      <c r="K2336" s="4">
        <v>0</v>
      </c>
      <c r="L2336" s="94">
        <v>-3929</v>
      </c>
      <c r="M2336" s="94">
        <v>0</v>
      </c>
    </row>
    <row r="2337" spans="3:13" x14ac:dyDescent="0.3">
      <c r="C2337" t="s">
        <v>61</v>
      </c>
      <c r="D2337" t="s">
        <v>67</v>
      </c>
      <c r="E2337" t="s">
        <v>68</v>
      </c>
      <c r="F2337" t="s">
        <v>25</v>
      </c>
      <c r="G2337" s="4">
        <v>-4</v>
      </c>
      <c r="H2337" s="4" t="s">
        <v>74</v>
      </c>
      <c r="I2337" s="4" t="s">
        <v>69</v>
      </c>
      <c r="J2337" s="4" t="s">
        <v>66</v>
      </c>
      <c r="K2337" s="4">
        <v>0</v>
      </c>
      <c r="L2337" s="94">
        <v>8</v>
      </c>
      <c r="M2337" s="94">
        <v>0</v>
      </c>
    </row>
    <row r="2338" spans="3:13" x14ac:dyDescent="0.3">
      <c r="C2338" t="s">
        <v>70</v>
      </c>
      <c r="D2338" t="s">
        <v>67</v>
      </c>
      <c r="E2338" t="s">
        <v>63</v>
      </c>
      <c r="F2338" t="s">
        <v>72</v>
      </c>
      <c r="G2338" s="4">
        <v>7</v>
      </c>
      <c r="H2338" s="4" t="s">
        <v>18</v>
      </c>
      <c r="I2338" s="4" t="s">
        <v>69</v>
      </c>
      <c r="J2338" s="4" t="s">
        <v>66</v>
      </c>
      <c r="K2338" s="4">
        <v>0</v>
      </c>
      <c r="L2338" s="94">
        <v>-18875</v>
      </c>
      <c r="M2338" s="94">
        <v>0</v>
      </c>
    </row>
    <row r="2339" spans="3:13" x14ac:dyDescent="0.3">
      <c r="C2339" t="s">
        <v>61</v>
      </c>
      <c r="D2339" t="s">
        <v>67</v>
      </c>
      <c r="E2339" t="s">
        <v>63</v>
      </c>
      <c r="F2339" t="s">
        <v>26</v>
      </c>
      <c r="G2339" s="4">
        <v>8</v>
      </c>
      <c r="H2339" s="4" t="s">
        <v>14</v>
      </c>
      <c r="I2339" s="4" t="s">
        <v>65</v>
      </c>
      <c r="J2339" s="4" t="s">
        <v>66</v>
      </c>
      <c r="K2339" s="4">
        <v>1</v>
      </c>
      <c r="L2339" s="94">
        <v>-1006</v>
      </c>
      <c r="M2339" s="94">
        <v>0</v>
      </c>
    </row>
    <row r="2340" spans="3:13" x14ac:dyDescent="0.3">
      <c r="C2340" t="s">
        <v>70</v>
      </c>
      <c r="D2340" t="s">
        <v>67</v>
      </c>
      <c r="E2340" t="s">
        <v>68</v>
      </c>
      <c r="F2340" t="s">
        <v>72</v>
      </c>
      <c r="G2340" s="4">
        <v>-4</v>
      </c>
      <c r="H2340" s="4" t="s">
        <v>78</v>
      </c>
      <c r="I2340" s="4" t="s">
        <v>69</v>
      </c>
      <c r="J2340" s="4" t="s">
        <v>66</v>
      </c>
      <c r="K2340" s="4">
        <v>0</v>
      </c>
      <c r="L2340" s="94">
        <v>48</v>
      </c>
      <c r="M2340" s="94">
        <v>0</v>
      </c>
    </row>
    <row r="2341" spans="3:13" x14ac:dyDescent="0.3">
      <c r="C2341" t="s">
        <v>61</v>
      </c>
      <c r="D2341" t="s">
        <v>67</v>
      </c>
      <c r="E2341" t="s">
        <v>63</v>
      </c>
      <c r="F2341" t="s">
        <v>25</v>
      </c>
      <c r="G2341" s="4">
        <v>0</v>
      </c>
      <c r="H2341" s="4" t="s">
        <v>14</v>
      </c>
      <c r="I2341" s="4" t="s">
        <v>69</v>
      </c>
      <c r="J2341" s="4" t="s">
        <v>66</v>
      </c>
      <c r="K2341" s="4">
        <v>0</v>
      </c>
      <c r="L2341" s="94">
        <v>-257</v>
      </c>
      <c r="M2341" s="94">
        <v>0</v>
      </c>
    </row>
    <row r="2342" spans="3:13" x14ac:dyDescent="0.3">
      <c r="C2342" t="s">
        <v>70</v>
      </c>
      <c r="D2342" t="s">
        <v>67</v>
      </c>
      <c r="E2342" t="s">
        <v>63</v>
      </c>
      <c r="F2342" t="s">
        <v>72</v>
      </c>
      <c r="G2342" s="4">
        <v>-4</v>
      </c>
      <c r="H2342" s="4" t="s">
        <v>18</v>
      </c>
      <c r="I2342" s="4" t="s">
        <v>69</v>
      </c>
      <c r="J2342" s="4" t="s">
        <v>66</v>
      </c>
      <c r="K2342" s="4">
        <v>0</v>
      </c>
      <c r="L2342" s="94">
        <v>-4865</v>
      </c>
      <c r="M2342" s="94">
        <v>0</v>
      </c>
    </row>
    <row r="2343" spans="3:13" x14ac:dyDescent="0.3">
      <c r="C2343" t="s">
        <v>71</v>
      </c>
      <c r="D2343" t="s">
        <v>67</v>
      </c>
      <c r="E2343" t="s">
        <v>63</v>
      </c>
      <c r="F2343" t="s">
        <v>26</v>
      </c>
      <c r="G2343" s="4">
        <v>3</v>
      </c>
      <c r="H2343" s="4" t="s">
        <v>14</v>
      </c>
      <c r="I2343" s="4" t="s">
        <v>69</v>
      </c>
      <c r="J2343" s="4" t="s">
        <v>66</v>
      </c>
      <c r="K2343" s="4">
        <v>0</v>
      </c>
      <c r="L2343" s="94">
        <v>-1747099</v>
      </c>
      <c r="M2343" s="94">
        <v>0</v>
      </c>
    </row>
    <row r="2344" spans="3:13" x14ac:dyDescent="0.3">
      <c r="C2344" t="s">
        <v>70</v>
      </c>
      <c r="D2344" t="s">
        <v>67</v>
      </c>
      <c r="E2344" t="s">
        <v>68</v>
      </c>
      <c r="F2344" t="s">
        <v>26</v>
      </c>
      <c r="G2344" s="4">
        <v>2</v>
      </c>
      <c r="H2344" s="4" t="s">
        <v>16</v>
      </c>
      <c r="I2344" s="4" t="s">
        <v>69</v>
      </c>
      <c r="J2344" s="4" t="s">
        <v>66</v>
      </c>
      <c r="K2344" s="4">
        <v>0</v>
      </c>
      <c r="L2344" s="94">
        <v>533856</v>
      </c>
      <c r="M2344" s="94">
        <v>1067712</v>
      </c>
    </row>
    <row r="2345" spans="3:13" x14ac:dyDescent="0.3">
      <c r="C2345" t="s">
        <v>71</v>
      </c>
      <c r="D2345" t="s">
        <v>62</v>
      </c>
      <c r="E2345" t="s">
        <v>68</v>
      </c>
      <c r="F2345" t="s">
        <v>25</v>
      </c>
      <c r="G2345" s="4">
        <v>15</v>
      </c>
      <c r="I2345" s="4" t="s">
        <v>69</v>
      </c>
      <c r="J2345" s="4" t="s">
        <v>66</v>
      </c>
      <c r="K2345" s="4">
        <v>0</v>
      </c>
      <c r="L2345" s="94">
        <v>39577</v>
      </c>
      <c r="M2345" s="94">
        <v>593655</v>
      </c>
    </row>
    <row r="2346" spans="3:13" x14ac:dyDescent="0.3">
      <c r="C2346" t="s">
        <v>61</v>
      </c>
      <c r="D2346" t="s">
        <v>62</v>
      </c>
      <c r="E2346" t="s">
        <v>63</v>
      </c>
      <c r="F2346" t="s">
        <v>24</v>
      </c>
      <c r="G2346" s="4">
        <v>12</v>
      </c>
      <c r="I2346" s="4" t="s">
        <v>65</v>
      </c>
      <c r="J2346" s="4" t="s">
        <v>66</v>
      </c>
      <c r="K2346" s="4">
        <v>1</v>
      </c>
      <c r="L2346" s="94">
        <v>-2263</v>
      </c>
      <c r="M2346" s="94">
        <v>0</v>
      </c>
    </row>
    <row r="2347" spans="3:13" x14ac:dyDescent="0.3">
      <c r="C2347" t="s">
        <v>71</v>
      </c>
      <c r="D2347" t="s">
        <v>67</v>
      </c>
      <c r="E2347" t="s">
        <v>63</v>
      </c>
      <c r="F2347" t="s">
        <v>72</v>
      </c>
      <c r="G2347" s="4">
        <v>0</v>
      </c>
      <c r="H2347" s="4" t="s">
        <v>14</v>
      </c>
      <c r="I2347" s="4" t="s">
        <v>69</v>
      </c>
      <c r="J2347" s="4" t="s">
        <v>73</v>
      </c>
      <c r="K2347" s="4">
        <v>1</v>
      </c>
      <c r="L2347" s="94">
        <v>-22894</v>
      </c>
      <c r="M2347" s="94">
        <v>0</v>
      </c>
    </row>
    <row r="2348" spans="3:13" x14ac:dyDescent="0.3">
      <c r="C2348" t="s">
        <v>61</v>
      </c>
      <c r="D2348" t="s">
        <v>67</v>
      </c>
      <c r="E2348" t="s">
        <v>63</v>
      </c>
      <c r="F2348" t="s">
        <v>26</v>
      </c>
      <c r="G2348" s="4">
        <v>6</v>
      </c>
      <c r="H2348" s="4" t="s">
        <v>78</v>
      </c>
      <c r="I2348" s="4" t="s">
        <v>69</v>
      </c>
      <c r="J2348" s="4" t="s">
        <v>66</v>
      </c>
      <c r="K2348" s="4">
        <v>0</v>
      </c>
      <c r="L2348" s="94">
        <v>-3345</v>
      </c>
      <c r="M2348" s="94">
        <v>0</v>
      </c>
    </row>
    <row r="2349" spans="3:13" x14ac:dyDescent="0.3">
      <c r="C2349" t="s">
        <v>61</v>
      </c>
      <c r="D2349" t="s">
        <v>67</v>
      </c>
      <c r="E2349" t="s">
        <v>63</v>
      </c>
      <c r="F2349" t="s">
        <v>25</v>
      </c>
      <c r="G2349" s="4">
        <v>9</v>
      </c>
      <c r="H2349" s="4" t="s">
        <v>75</v>
      </c>
      <c r="I2349" s="4" t="s">
        <v>69</v>
      </c>
      <c r="J2349" s="4" t="s">
        <v>66</v>
      </c>
      <c r="K2349" s="4">
        <v>0</v>
      </c>
      <c r="L2349" s="94">
        <v>-65353</v>
      </c>
      <c r="M2349" s="94">
        <v>0</v>
      </c>
    </row>
    <row r="2350" spans="3:13" x14ac:dyDescent="0.3">
      <c r="C2350" t="s">
        <v>70</v>
      </c>
      <c r="D2350" t="s">
        <v>62</v>
      </c>
      <c r="E2350" t="s">
        <v>63</v>
      </c>
      <c r="F2350" t="s">
        <v>24</v>
      </c>
      <c r="G2350" s="4">
        <v>8</v>
      </c>
      <c r="I2350" s="4" t="s">
        <v>65</v>
      </c>
      <c r="J2350" s="4" t="s">
        <v>66</v>
      </c>
      <c r="K2350" s="4">
        <v>1</v>
      </c>
      <c r="L2350" s="94">
        <v>-6976</v>
      </c>
      <c r="M2350" s="94">
        <v>0</v>
      </c>
    </row>
    <row r="2351" spans="3:13" x14ac:dyDescent="0.3">
      <c r="C2351" t="s">
        <v>61</v>
      </c>
      <c r="D2351" t="s">
        <v>67</v>
      </c>
      <c r="E2351" t="s">
        <v>68</v>
      </c>
      <c r="F2351" t="s">
        <v>25</v>
      </c>
      <c r="G2351" s="4">
        <v>13</v>
      </c>
      <c r="H2351" s="4" t="s">
        <v>17</v>
      </c>
      <c r="I2351" s="4" t="s">
        <v>69</v>
      </c>
      <c r="J2351" s="4" t="s">
        <v>66</v>
      </c>
      <c r="K2351" s="4">
        <v>1</v>
      </c>
      <c r="L2351" s="94">
        <v>64865</v>
      </c>
      <c r="M2351" s="94">
        <v>843245</v>
      </c>
    </row>
    <row r="2352" spans="3:13" x14ac:dyDescent="0.3">
      <c r="C2352" t="s">
        <v>71</v>
      </c>
      <c r="D2352" t="s">
        <v>67</v>
      </c>
      <c r="E2352" t="s">
        <v>63</v>
      </c>
      <c r="F2352" t="s">
        <v>72</v>
      </c>
      <c r="G2352" s="4">
        <v>1</v>
      </c>
      <c r="H2352" s="4" t="s">
        <v>16</v>
      </c>
      <c r="I2352" s="4" t="s">
        <v>69</v>
      </c>
      <c r="J2352" s="4" t="s">
        <v>66</v>
      </c>
      <c r="K2352" s="4">
        <v>0</v>
      </c>
      <c r="L2352" s="94">
        <v>-1649</v>
      </c>
      <c r="M2352" s="94">
        <v>0</v>
      </c>
    </row>
    <row r="2353" spans="3:13" x14ac:dyDescent="0.3">
      <c r="C2353" t="s">
        <v>70</v>
      </c>
      <c r="D2353" t="s">
        <v>62</v>
      </c>
      <c r="E2353" t="s">
        <v>63</v>
      </c>
      <c r="F2353" t="s">
        <v>25</v>
      </c>
      <c r="G2353" s="4">
        <v>7</v>
      </c>
      <c r="I2353" s="4" t="s">
        <v>69</v>
      </c>
      <c r="J2353" s="4" t="s">
        <v>66</v>
      </c>
      <c r="K2353" s="4">
        <v>0</v>
      </c>
      <c r="L2353" s="94">
        <v>-28366</v>
      </c>
      <c r="M2353" s="94">
        <v>0</v>
      </c>
    </row>
    <row r="2354" spans="3:13" x14ac:dyDescent="0.3">
      <c r="C2354" t="s">
        <v>61</v>
      </c>
      <c r="D2354" t="s">
        <v>67</v>
      </c>
      <c r="E2354" t="s">
        <v>68</v>
      </c>
      <c r="F2354" t="s">
        <v>72</v>
      </c>
      <c r="G2354" s="4">
        <v>3</v>
      </c>
      <c r="H2354" s="4" t="s">
        <v>82</v>
      </c>
      <c r="I2354" s="4" t="s">
        <v>65</v>
      </c>
      <c r="J2354" s="4" t="s">
        <v>66</v>
      </c>
      <c r="K2354" s="4">
        <v>1</v>
      </c>
      <c r="L2354" s="94">
        <v>30021</v>
      </c>
      <c r="M2354" s="94">
        <v>90063</v>
      </c>
    </row>
    <row r="2355" spans="3:13" x14ac:dyDescent="0.3">
      <c r="C2355" t="s">
        <v>61</v>
      </c>
      <c r="D2355" t="s">
        <v>67</v>
      </c>
      <c r="E2355" t="s">
        <v>63</v>
      </c>
      <c r="F2355" t="s">
        <v>72</v>
      </c>
      <c r="G2355" s="4">
        <v>4</v>
      </c>
      <c r="H2355" s="4" t="s">
        <v>86</v>
      </c>
      <c r="I2355" s="4" t="s">
        <v>69</v>
      </c>
      <c r="J2355" s="4" t="s">
        <v>66</v>
      </c>
      <c r="K2355" s="4">
        <v>0</v>
      </c>
      <c r="L2355" s="94">
        <v>-67</v>
      </c>
      <c r="M2355" s="94">
        <v>0</v>
      </c>
    </row>
    <row r="2356" spans="3:13" x14ac:dyDescent="0.3">
      <c r="C2356" t="s">
        <v>61</v>
      </c>
      <c r="D2356" t="s">
        <v>67</v>
      </c>
      <c r="E2356" t="s">
        <v>68</v>
      </c>
      <c r="F2356" t="s">
        <v>25</v>
      </c>
      <c r="G2356" s="4">
        <v>11</v>
      </c>
      <c r="H2356" s="4" t="s">
        <v>16</v>
      </c>
      <c r="I2356" s="4" t="s">
        <v>69</v>
      </c>
      <c r="J2356" s="4" t="s">
        <v>66</v>
      </c>
      <c r="K2356" s="4">
        <v>0</v>
      </c>
      <c r="L2356" s="94">
        <v>275838</v>
      </c>
      <c r="M2356" s="94">
        <v>3034218</v>
      </c>
    </row>
    <row r="2357" spans="3:13" x14ac:dyDescent="0.3">
      <c r="C2357" t="s">
        <v>61</v>
      </c>
      <c r="D2357" t="s">
        <v>67</v>
      </c>
      <c r="E2357" t="s">
        <v>63</v>
      </c>
      <c r="F2357" t="s">
        <v>72</v>
      </c>
      <c r="G2357" s="4">
        <v>0</v>
      </c>
      <c r="H2357" s="4" t="s">
        <v>14</v>
      </c>
      <c r="I2357" s="4" t="s">
        <v>69</v>
      </c>
      <c r="J2357" s="4" t="s">
        <v>66</v>
      </c>
      <c r="K2357" s="4">
        <v>0</v>
      </c>
      <c r="L2357" s="94">
        <v>-3320</v>
      </c>
      <c r="M2357" s="94">
        <v>0</v>
      </c>
    </row>
    <row r="2358" spans="3:13" x14ac:dyDescent="0.3">
      <c r="C2358" t="s">
        <v>70</v>
      </c>
      <c r="D2358" t="s">
        <v>67</v>
      </c>
      <c r="E2358" t="s">
        <v>68</v>
      </c>
      <c r="F2358" t="s">
        <v>72</v>
      </c>
      <c r="G2358" s="4">
        <v>5</v>
      </c>
      <c r="H2358" s="4" t="s">
        <v>14</v>
      </c>
      <c r="I2358" s="4" t="s">
        <v>69</v>
      </c>
      <c r="J2358" s="4" t="s">
        <v>66</v>
      </c>
      <c r="K2358" s="4">
        <v>0</v>
      </c>
      <c r="L2358" s="94">
        <v>735402</v>
      </c>
      <c r="M2358" s="94">
        <v>3677010</v>
      </c>
    </row>
    <row r="2359" spans="3:13" x14ac:dyDescent="0.3">
      <c r="C2359" t="s">
        <v>70</v>
      </c>
      <c r="D2359" t="s">
        <v>67</v>
      </c>
      <c r="E2359" t="s">
        <v>68</v>
      </c>
      <c r="F2359" t="s">
        <v>25</v>
      </c>
      <c r="G2359" s="4">
        <v>10</v>
      </c>
      <c r="H2359" s="4" t="s">
        <v>82</v>
      </c>
      <c r="I2359" s="4" t="s">
        <v>69</v>
      </c>
      <c r="J2359" s="4" t="s">
        <v>66</v>
      </c>
      <c r="K2359" s="4">
        <v>0</v>
      </c>
      <c r="L2359" s="94">
        <v>272831</v>
      </c>
      <c r="M2359" s="94">
        <v>2728310</v>
      </c>
    </row>
    <row r="2360" spans="3:13" x14ac:dyDescent="0.3">
      <c r="C2360" t="s">
        <v>61</v>
      </c>
      <c r="D2360" t="s">
        <v>67</v>
      </c>
      <c r="E2360" t="s">
        <v>68</v>
      </c>
      <c r="F2360" t="s">
        <v>25</v>
      </c>
      <c r="G2360" s="4">
        <v>17</v>
      </c>
      <c r="H2360" s="4" t="s">
        <v>17</v>
      </c>
      <c r="I2360" s="4" t="s">
        <v>69</v>
      </c>
      <c r="J2360" s="4" t="s">
        <v>66</v>
      </c>
      <c r="K2360" s="4">
        <v>0</v>
      </c>
      <c r="L2360" s="94">
        <v>10143683</v>
      </c>
      <c r="M2360" s="94">
        <v>172442611</v>
      </c>
    </row>
    <row r="2361" spans="3:13" x14ac:dyDescent="0.3">
      <c r="C2361" t="s">
        <v>61</v>
      </c>
      <c r="D2361" t="s">
        <v>67</v>
      </c>
      <c r="E2361" t="s">
        <v>63</v>
      </c>
      <c r="F2361" t="s">
        <v>25</v>
      </c>
      <c r="G2361" s="4">
        <v>4</v>
      </c>
      <c r="H2361" s="4" t="s">
        <v>14</v>
      </c>
      <c r="I2361" s="4" t="s">
        <v>69</v>
      </c>
      <c r="J2361" s="4" t="s">
        <v>66</v>
      </c>
      <c r="K2361" s="4">
        <v>1</v>
      </c>
      <c r="L2361" s="94">
        <v>-6050</v>
      </c>
      <c r="M2361" s="94">
        <v>0</v>
      </c>
    </row>
    <row r="2362" spans="3:13" x14ac:dyDescent="0.3">
      <c r="C2362" t="s">
        <v>61</v>
      </c>
      <c r="D2362" t="s">
        <v>67</v>
      </c>
      <c r="E2362" t="s">
        <v>63</v>
      </c>
      <c r="F2362" t="s">
        <v>72</v>
      </c>
      <c r="G2362" s="4">
        <v>7</v>
      </c>
      <c r="H2362" s="4" t="s">
        <v>18</v>
      </c>
      <c r="I2362" s="4" t="s">
        <v>69</v>
      </c>
      <c r="J2362" s="4" t="s">
        <v>66</v>
      </c>
      <c r="K2362" s="4">
        <v>0</v>
      </c>
      <c r="L2362" s="94">
        <v>-2886</v>
      </c>
      <c r="M2362" s="94">
        <v>0</v>
      </c>
    </row>
    <row r="2363" spans="3:13" x14ac:dyDescent="0.3">
      <c r="C2363" t="s">
        <v>61</v>
      </c>
      <c r="D2363" t="s">
        <v>67</v>
      </c>
      <c r="E2363" t="s">
        <v>68</v>
      </c>
      <c r="F2363" t="s">
        <v>25</v>
      </c>
      <c r="G2363" s="4">
        <v>2</v>
      </c>
      <c r="H2363" s="4" t="s">
        <v>79</v>
      </c>
      <c r="I2363" s="4" t="s">
        <v>65</v>
      </c>
      <c r="J2363" s="4" t="s">
        <v>66</v>
      </c>
      <c r="K2363" s="4">
        <v>1</v>
      </c>
      <c r="L2363" s="94">
        <v>39066</v>
      </c>
      <c r="M2363" s="94">
        <v>78132</v>
      </c>
    </row>
    <row r="2364" spans="3:13" x14ac:dyDescent="0.3">
      <c r="C2364" t="s">
        <v>70</v>
      </c>
      <c r="D2364" t="s">
        <v>67</v>
      </c>
      <c r="E2364" t="s">
        <v>68</v>
      </c>
      <c r="F2364" t="s">
        <v>26</v>
      </c>
      <c r="G2364" s="4">
        <v>-1</v>
      </c>
      <c r="H2364" s="4" t="s">
        <v>17</v>
      </c>
      <c r="I2364" s="4" t="s">
        <v>65</v>
      </c>
      <c r="J2364" s="4" t="s">
        <v>73</v>
      </c>
      <c r="K2364" s="4">
        <v>1</v>
      </c>
      <c r="L2364" s="94">
        <v>687758</v>
      </c>
      <c r="M2364" s="94">
        <v>0</v>
      </c>
    </row>
    <row r="2365" spans="3:13" x14ac:dyDescent="0.3">
      <c r="C2365" t="s">
        <v>70</v>
      </c>
      <c r="D2365" t="s">
        <v>67</v>
      </c>
      <c r="E2365" t="s">
        <v>63</v>
      </c>
      <c r="F2365" t="s">
        <v>26</v>
      </c>
      <c r="G2365" s="4">
        <v>7</v>
      </c>
      <c r="H2365" s="4" t="s">
        <v>74</v>
      </c>
      <c r="I2365" s="4" t="s">
        <v>69</v>
      </c>
      <c r="J2365" s="4" t="s">
        <v>66</v>
      </c>
      <c r="K2365" s="4">
        <v>0</v>
      </c>
      <c r="L2365" s="94">
        <v>-76684</v>
      </c>
      <c r="M2365" s="94">
        <v>0</v>
      </c>
    </row>
    <row r="2366" spans="3:13" x14ac:dyDescent="0.3">
      <c r="C2366" t="s">
        <v>70</v>
      </c>
      <c r="D2366" t="s">
        <v>67</v>
      </c>
      <c r="E2366" t="s">
        <v>68</v>
      </c>
      <c r="F2366" t="s">
        <v>26</v>
      </c>
      <c r="G2366" s="4">
        <v>3</v>
      </c>
      <c r="H2366" s="4" t="s">
        <v>80</v>
      </c>
      <c r="I2366" s="4" t="s">
        <v>69</v>
      </c>
      <c r="J2366" s="4" t="s">
        <v>66</v>
      </c>
      <c r="K2366" s="4">
        <v>0</v>
      </c>
      <c r="L2366" s="94">
        <v>927731</v>
      </c>
      <c r="M2366" s="94">
        <v>2783193</v>
      </c>
    </row>
    <row r="2367" spans="3:13" x14ac:dyDescent="0.3">
      <c r="C2367" t="s">
        <v>61</v>
      </c>
      <c r="D2367" t="s">
        <v>67</v>
      </c>
      <c r="E2367" t="s">
        <v>68</v>
      </c>
      <c r="F2367" t="s">
        <v>25</v>
      </c>
      <c r="G2367" s="4">
        <v>5</v>
      </c>
      <c r="H2367" s="4" t="s">
        <v>83</v>
      </c>
      <c r="I2367" s="4" t="s">
        <v>69</v>
      </c>
      <c r="J2367" s="4" t="s">
        <v>66</v>
      </c>
      <c r="K2367" s="4">
        <v>0</v>
      </c>
      <c r="L2367" s="94">
        <v>207769</v>
      </c>
      <c r="M2367" s="94">
        <v>1038845</v>
      </c>
    </row>
    <row r="2368" spans="3:13" x14ac:dyDescent="0.3">
      <c r="C2368" t="s">
        <v>71</v>
      </c>
      <c r="D2368" t="s">
        <v>67</v>
      </c>
      <c r="E2368" t="s">
        <v>68</v>
      </c>
      <c r="F2368" t="s">
        <v>25</v>
      </c>
      <c r="G2368" s="4">
        <v>9</v>
      </c>
      <c r="H2368" s="4" t="s">
        <v>14</v>
      </c>
      <c r="I2368" s="4" t="s">
        <v>69</v>
      </c>
      <c r="J2368" s="4" t="s">
        <v>66</v>
      </c>
      <c r="K2368" s="4">
        <v>0</v>
      </c>
      <c r="L2368" s="94">
        <v>21124</v>
      </c>
      <c r="M2368" s="94">
        <v>190116</v>
      </c>
    </row>
    <row r="2369" spans="3:13" x14ac:dyDescent="0.3">
      <c r="C2369" t="s">
        <v>61</v>
      </c>
      <c r="D2369" t="s">
        <v>67</v>
      </c>
      <c r="E2369" t="s">
        <v>63</v>
      </c>
      <c r="F2369" t="s">
        <v>26</v>
      </c>
      <c r="G2369" s="4">
        <v>1</v>
      </c>
      <c r="H2369" s="4" t="s">
        <v>13</v>
      </c>
      <c r="I2369" s="4" t="s">
        <v>69</v>
      </c>
      <c r="J2369" s="4" t="s">
        <v>73</v>
      </c>
      <c r="K2369" s="4">
        <v>1</v>
      </c>
      <c r="L2369" s="94">
        <v>-1645</v>
      </c>
      <c r="M2369" s="94">
        <v>0</v>
      </c>
    </row>
    <row r="2370" spans="3:13" x14ac:dyDescent="0.3">
      <c r="C2370" t="s">
        <v>70</v>
      </c>
      <c r="D2370" t="s">
        <v>67</v>
      </c>
      <c r="E2370" t="s">
        <v>63</v>
      </c>
      <c r="F2370" t="s">
        <v>26</v>
      </c>
      <c r="G2370" s="4">
        <v>3</v>
      </c>
      <c r="H2370" s="4" t="s">
        <v>75</v>
      </c>
      <c r="I2370" s="4" t="s">
        <v>65</v>
      </c>
      <c r="J2370" s="4" t="s">
        <v>66</v>
      </c>
      <c r="K2370" s="4">
        <v>1</v>
      </c>
      <c r="L2370" s="94">
        <v>-3195</v>
      </c>
      <c r="M2370" s="94">
        <v>0</v>
      </c>
    </row>
    <row r="2371" spans="3:13" x14ac:dyDescent="0.3">
      <c r="C2371" t="s">
        <v>70</v>
      </c>
      <c r="D2371" t="s">
        <v>67</v>
      </c>
      <c r="E2371" t="s">
        <v>68</v>
      </c>
      <c r="F2371" t="s">
        <v>26</v>
      </c>
      <c r="G2371" s="4">
        <v>12</v>
      </c>
      <c r="H2371" s="4" t="s">
        <v>74</v>
      </c>
      <c r="I2371" s="4" t="s">
        <v>69</v>
      </c>
      <c r="J2371" s="4" t="s">
        <v>66</v>
      </c>
      <c r="K2371" s="4">
        <v>0</v>
      </c>
      <c r="L2371" s="94">
        <v>4126180</v>
      </c>
      <c r="M2371" s="94">
        <v>49514160</v>
      </c>
    </row>
    <row r="2372" spans="3:13" x14ac:dyDescent="0.3">
      <c r="C2372" t="s">
        <v>61</v>
      </c>
      <c r="D2372" t="s">
        <v>67</v>
      </c>
      <c r="E2372" t="s">
        <v>63</v>
      </c>
      <c r="F2372" t="s">
        <v>72</v>
      </c>
      <c r="G2372" s="4">
        <v>3</v>
      </c>
      <c r="H2372" s="4" t="s">
        <v>86</v>
      </c>
      <c r="I2372" s="4" t="s">
        <v>69</v>
      </c>
      <c r="J2372" s="4" t="s">
        <v>66</v>
      </c>
      <c r="K2372" s="4">
        <v>0</v>
      </c>
      <c r="L2372" s="94">
        <v>-26</v>
      </c>
      <c r="M2372" s="94">
        <v>0</v>
      </c>
    </row>
    <row r="2373" spans="3:13" x14ac:dyDescent="0.3">
      <c r="C2373" t="s">
        <v>71</v>
      </c>
      <c r="D2373" t="s">
        <v>62</v>
      </c>
      <c r="E2373" t="s">
        <v>63</v>
      </c>
      <c r="F2373" t="s">
        <v>24</v>
      </c>
      <c r="G2373" s="4">
        <v>6</v>
      </c>
      <c r="I2373" s="4" t="s">
        <v>69</v>
      </c>
      <c r="J2373" s="4" t="s">
        <v>66</v>
      </c>
      <c r="K2373" s="4">
        <v>0</v>
      </c>
      <c r="L2373" s="94">
        <v>-644755</v>
      </c>
      <c r="M2373" s="94">
        <v>0</v>
      </c>
    </row>
    <row r="2374" spans="3:13" x14ac:dyDescent="0.3">
      <c r="C2374" t="s">
        <v>70</v>
      </c>
      <c r="D2374" t="s">
        <v>67</v>
      </c>
      <c r="E2374" t="s">
        <v>68</v>
      </c>
      <c r="F2374" t="s">
        <v>72</v>
      </c>
      <c r="G2374" s="4">
        <v>0</v>
      </c>
      <c r="H2374" s="4" t="s">
        <v>18</v>
      </c>
      <c r="I2374" s="4" t="s">
        <v>69</v>
      </c>
      <c r="J2374" s="4" t="s">
        <v>66</v>
      </c>
      <c r="K2374" s="4">
        <v>0</v>
      </c>
      <c r="L2374" s="94">
        <v>124583</v>
      </c>
      <c r="M2374" s="94">
        <v>0</v>
      </c>
    </row>
    <row r="2375" spans="3:13" x14ac:dyDescent="0.3">
      <c r="C2375" t="s">
        <v>70</v>
      </c>
      <c r="D2375" t="s">
        <v>62</v>
      </c>
      <c r="E2375" t="s">
        <v>63</v>
      </c>
      <c r="F2375" t="s">
        <v>24</v>
      </c>
      <c r="G2375" s="4">
        <v>28</v>
      </c>
      <c r="I2375" s="4" t="s">
        <v>69</v>
      </c>
      <c r="J2375" s="4" t="s">
        <v>66</v>
      </c>
      <c r="K2375" s="4">
        <v>0</v>
      </c>
      <c r="L2375" s="94">
        <v>-1378731</v>
      </c>
      <c r="M2375" s="94">
        <v>0</v>
      </c>
    </row>
    <row r="2376" spans="3:13" x14ac:dyDescent="0.3">
      <c r="C2376" t="s">
        <v>61</v>
      </c>
      <c r="D2376" t="s">
        <v>67</v>
      </c>
      <c r="E2376" t="s">
        <v>68</v>
      </c>
      <c r="F2376" t="s">
        <v>25</v>
      </c>
      <c r="G2376" s="4">
        <v>-4</v>
      </c>
      <c r="H2376" s="4" t="s">
        <v>80</v>
      </c>
      <c r="I2376" s="4" t="s">
        <v>69</v>
      </c>
      <c r="J2376" s="4" t="s">
        <v>66</v>
      </c>
      <c r="K2376" s="4">
        <v>0</v>
      </c>
      <c r="L2376" s="94">
        <v>25203</v>
      </c>
      <c r="M2376" s="94">
        <v>0</v>
      </c>
    </row>
    <row r="2377" spans="3:13" x14ac:dyDescent="0.3">
      <c r="C2377" t="s">
        <v>70</v>
      </c>
      <c r="D2377" t="s">
        <v>67</v>
      </c>
      <c r="E2377" t="s">
        <v>63</v>
      </c>
      <c r="F2377" t="s">
        <v>72</v>
      </c>
      <c r="G2377" s="4">
        <v>4</v>
      </c>
      <c r="H2377" s="4" t="s">
        <v>79</v>
      </c>
      <c r="I2377" s="4" t="s">
        <v>69</v>
      </c>
      <c r="J2377" s="4" t="s">
        <v>66</v>
      </c>
      <c r="K2377" s="4">
        <v>0</v>
      </c>
      <c r="L2377" s="94">
        <v>-67757</v>
      </c>
      <c r="M2377" s="94">
        <v>0</v>
      </c>
    </row>
    <row r="2378" spans="3:13" x14ac:dyDescent="0.3">
      <c r="C2378" t="s">
        <v>61</v>
      </c>
      <c r="D2378" t="s">
        <v>67</v>
      </c>
      <c r="E2378" t="s">
        <v>68</v>
      </c>
      <c r="F2378" t="s">
        <v>25</v>
      </c>
      <c r="G2378" s="4">
        <v>9</v>
      </c>
      <c r="H2378" s="4" t="s">
        <v>16</v>
      </c>
      <c r="I2378" s="4" t="s">
        <v>69</v>
      </c>
      <c r="J2378" s="4" t="s">
        <v>66</v>
      </c>
      <c r="K2378" s="4">
        <v>0</v>
      </c>
      <c r="L2378" s="94">
        <v>107285</v>
      </c>
      <c r="M2378" s="94">
        <v>965565</v>
      </c>
    </row>
    <row r="2379" spans="3:13" x14ac:dyDescent="0.3">
      <c r="C2379" t="s">
        <v>70</v>
      </c>
      <c r="D2379" t="s">
        <v>67</v>
      </c>
      <c r="E2379" t="s">
        <v>63</v>
      </c>
      <c r="F2379" t="s">
        <v>25</v>
      </c>
      <c r="G2379" s="4">
        <v>2</v>
      </c>
      <c r="H2379" s="4" t="s">
        <v>74</v>
      </c>
      <c r="I2379" s="4" t="s">
        <v>69</v>
      </c>
      <c r="J2379" s="4" t="s">
        <v>66</v>
      </c>
      <c r="K2379" s="4">
        <v>0</v>
      </c>
      <c r="L2379" s="94">
        <v>-403</v>
      </c>
      <c r="M2379" s="94">
        <v>0</v>
      </c>
    </row>
    <row r="2380" spans="3:13" x14ac:dyDescent="0.3">
      <c r="C2380" t="s">
        <v>61</v>
      </c>
      <c r="D2380" t="s">
        <v>67</v>
      </c>
      <c r="E2380" t="s">
        <v>63</v>
      </c>
      <c r="F2380" t="s">
        <v>26</v>
      </c>
      <c r="G2380" s="4">
        <v>4</v>
      </c>
      <c r="H2380" s="4" t="s">
        <v>12</v>
      </c>
      <c r="I2380" s="4" t="s">
        <v>69</v>
      </c>
      <c r="J2380" s="4" t="s">
        <v>73</v>
      </c>
      <c r="K2380" s="4">
        <v>1</v>
      </c>
      <c r="L2380" s="94">
        <v>-20326</v>
      </c>
      <c r="M2380" s="94">
        <v>0</v>
      </c>
    </row>
    <row r="2381" spans="3:13" x14ac:dyDescent="0.3">
      <c r="C2381" t="s">
        <v>70</v>
      </c>
      <c r="D2381" t="s">
        <v>62</v>
      </c>
      <c r="E2381" t="s">
        <v>63</v>
      </c>
      <c r="F2381" t="s">
        <v>24</v>
      </c>
      <c r="G2381" s="4">
        <v>9</v>
      </c>
      <c r="I2381" s="4" t="s">
        <v>65</v>
      </c>
      <c r="J2381" s="4" t="s">
        <v>66</v>
      </c>
      <c r="K2381" s="4">
        <v>1</v>
      </c>
      <c r="L2381" s="94">
        <v>-2431</v>
      </c>
      <c r="M2381" s="94">
        <v>0</v>
      </c>
    </row>
    <row r="2382" spans="3:13" x14ac:dyDescent="0.3">
      <c r="C2382" t="s">
        <v>70</v>
      </c>
      <c r="D2382" t="s">
        <v>67</v>
      </c>
      <c r="E2382" t="s">
        <v>68</v>
      </c>
      <c r="F2382" t="s">
        <v>25</v>
      </c>
      <c r="G2382" s="4">
        <v>8</v>
      </c>
      <c r="H2382" s="4" t="s">
        <v>82</v>
      </c>
      <c r="I2382" s="4" t="s">
        <v>69</v>
      </c>
      <c r="J2382" s="4" t="s">
        <v>66</v>
      </c>
      <c r="K2382" s="4">
        <v>0</v>
      </c>
      <c r="L2382" s="94">
        <v>269071</v>
      </c>
      <c r="M2382" s="94">
        <v>2152568</v>
      </c>
    </row>
    <row r="2383" spans="3:13" x14ac:dyDescent="0.3">
      <c r="C2383" t="s">
        <v>61</v>
      </c>
      <c r="D2383" t="s">
        <v>67</v>
      </c>
      <c r="E2383" t="s">
        <v>68</v>
      </c>
      <c r="F2383" t="s">
        <v>26</v>
      </c>
      <c r="G2383" s="4">
        <v>0</v>
      </c>
      <c r="H2383" s="4" t="s">
        <v>75</v>
      </c>
      <c r="I2383" s="4" t="s">
        <v>65</v>
      </c>
      <c r="J2383" s="4" t="s">
        <v>66</v>
      </c>
      <c r="K2383" s="4">
        <v>1</v>
      </c>
      <c r="L2383" s="94">
        <v>5153</v>
      </c>
      <c r="M2383" s="94">
        <v>0</v>
      </c>
    </row>
    <row r="2384" spans="3:13" x14ac:dyDescent="0.3">
      <c r="C2384" t="s">
        <v>71</v>
      </c>
      <c r="D2384" t="s">
        <v>62</v>
      </c>
      <c r="E2384" t="s">
        <v>68</v>
      </c>
      <c r="F2384" t="s">
        <v>24</v>
      </c>
      <c r="G2384" s="4">
        <v>7</v>
      </c>
      <c r="I2384" s="4" t="s">
        <v>65</v>
      </c>
      <c r="J2384" s="4" t="s">
        <v>66</v>
      </c>
      <c r="K2384" s="4">
        <v>1</v>
      </c>
      <c r="L2384" s="94">
        <v>3739</v>
      </c>
      <c r="M2384" s="94">
        <v>26173</v>
      </c>
    </row>
    <row r="2385" spans="3:13" x14ac:dyDescent="0.3">
      <c r="C2385" t="s">
        <v>71</v>
      </c>
      <c r="D2385" t="s">
        <v>62</v>
      </c>
      <c r="E2385" t="s">
        <v>68</v>
      </c>
      <c r="F2385" t="s">
        <v>24</v>
      </c>
      <c r="G2385" s="4">
        <v>35</v>
      </c>
      <c r="I2385" s="4" t="s">
        <v>69</v>
      </c>
      <c r="J2385" s="4" t="s">
        <v>66</v>
      </c>
      <c r="K2385" s="4">
        <v>0</v>
      </c>
      <c r="L2385" s="94">
        <v>8358017</v>
      </c>
      <c r="M2385" s="94">
        <v>292530595</v>
      </c>
    </row>
    <row r="2386" spans="3:13" x14ac:dyDescent="0.3">
      <c r="C2386" t="s">
        <v>61</v>
      </c>
      <c r="D2386" t="s">
        <v>67</v>
      </c>
      <c r="E2386" t="s">
        <v>68</v>
      </c>
      <c r="F2386" t="s">
        <v>26</v>
      </c>
      <c r="G2386" s="4">
        <v>3</v>
      </c>
      <c r="H2386" s="4" t="s">
        <v>18</v>
      </c>
      <c r="I2386" s="4" t="s">
        <v>65</v>
      </c>
      <c r="J2386" s="4" t="s">
        <v>66</v>
      </c>
      <c r="K2386" s="4">
        <v>1</v>
      </c>
      <c r="L2386" s="94">
        <v>271204</v>
      </c>
      <c r="M2386" s="94">
        <v>813612</v>
      </c>
    </row>
    <row r="2387" spans="3:13" x14ac:dyDescent="0.3">
      <c r="C2387" t="s">
        <v>61</v>
      </c>
      <c r="D2387" t="s">
        <v>67</v>
      </c>
      <c r="E2387" t="s">
        <v>63</v>
      </c>
      <c r="F2387" t="s">
        <v>26</v>
      </c>
      <c r="G2387" s="4">
        <v>5</v>
      </c>
      <c r="H2387" s="4" t="s">
        <v>82</v>
      </c>
      <c r="I2387" s="4" t="s">
        <v>69</v>
      </c>
      <c r="J2387" s="4" t="s">
        <v>66</v>
      </c>
      <c r="K2387" s="4">
        <v>0</v>
      </c>
      <c r="L2387" s="94">
        <v>-73053</v>
      </c>
      <c r="M2387" s="94">
        <v>0</v>
      </c>
    </row>
    <row r="2388" spans="3:13" x14ac:dyDescent="0.3">
      <c r="C2388" t="s">
        <v>71</v>
      </c>
      <c r="D2388" t="s">
        <v>67</v>
      </c>
      <c r="E2388" t="s">
        <v>68</v>
      </c>
      <c r="F2388" t="s">
        <v>25</v>
      </c>
      <c r="G2388" s="4">
        <v>12</v>
      </c>
      <c r="H2388" s="4" t="s">
        <v>76</v>
      </c>
      <c r="I2388" s="4" t="s">
        <v>69</v>
      </c>
      <c r="J2388" s="4" t="s">
        <v>66</v>
      </c>
      <c r="K2388" s="4">
        <v>0</v>
      </c>
      <c r="L2388" s="94">
        <v>78949</v>
      </c>
      <c r="M2388" s="94">
        <v>947388</v>
      </c>
    </row>
    <row r="2389" spans="3:13" x14ac:dyDescent="0.3">
      <c r="C2389" t="s">
        <v>70</v>
      </c>
      <c r="D2389" t="s">
        <v>67</v>
      </c>
      <c r="E2389" t="s">
        <v>68</v>
      </c>
      <c r="F2389" t="s">
        <v>72</v>
      </c>
      <c r="G2389" s="4">
        <v>5</v>
      </c>
      <c r="H2389" s="4" t="s">
        <v>12</v>
      </c>
      <c r="I2389" s="4" t="s">
        <v>65</v>
      </c>
      <c r="J2389" s="4" t="s">
        <v>73</v>
      </c>
      <c r="K2389" s="4">
        <v>1</v>
      </c>
      <c r="L2389" s="94">
        <v>58476</v>
      </c>
      <c r="M2389" s="94">
        <v>292380</v>
      </c>
    </row>
    <row r="2390" spans="3:13" x14ac:dyDescent="0.3">
      <c r="C2390" t="s">
        <v>70</v>
      </c>
      <c r="D2390" t="s">
        <v>67</v>
      </c>
      <c r="E2390" t="s">
        <v>68</v>
      </c>
      <c r="F2390" t="s">
        <v>26</v>
      </c>
      <c r="G2390" s="4">
        <v>5</v>
      </c>
      <c r="H2390" s="4" t="s">
        <v>14</v>
      </c>
      <c r="I2390" s="4" t="s">
        <v>69</v>
      </c>
      <c r="J2390" s="4" t="s">
        <v>66</v>
      </c>
      <c r="K2390" s="4">
        <v>0</v>
      </c>
      <c r="L2390" s="94">
        <v>2842520</v>
      </c>
      <c r="M2390" s="94">
        <v>14212600</v>
      </c>
    </row>
    <row r="2391" spans="3:13" x14ac:dyDescent="0.3">
      <c r="C2391" t="s">
        <v>71</v>
      </c>
      <c r="D2391" t="s">
        <v>67</v>
      </c>
      <c r="E2391" t="s">
        <v>68</v>
      </c>
      <c r="F2391" t="s">
        <v>72</v>
      </c>
      <c r="G2391" s="4">
        <v>9</v>
      </c>
      <c r="H2391" s="4" t="s">
        <v>13</v>
      </c>
      <c r="I2391" s="4" t="s">
        <v>69</v>
      </c>
      <c r="J2391" s="4" t="s">
        <v>73</v>
      </c>
      <c r="K2391" s="4">
        <v>1</v>
      </c>
      <c r="L2391" s="94">
        <v>194934</v>
      </c>
      <c r="M2391" s="94">
        <v>1754406</v>
      </c>
    </row>
    <row r="2392" spans="3:13" x14ac:dyDescent="0.3">
      <c r="C2392" t="s">
        <v>61</v>
      </c>
      <c r="D2392" t="s">
        <v>67</v>
      </c>
      <c r="E2392" t="s">
        <v>68</v>
      </c>
      <c r="F2392" t="s">
        <v>25</v>
      </c>
      <c r="G2392" s="4">
        <v>2</v>
      </c>
      <c r="H2392" s="4" t="s">
        <v>82</v>
      </c>
      <c r="I2392" s="4" t="s">
        <v>69</v>
      </c>
      <c r="J2392" s="4" t="s">
        <v>66</v>
      </c>
      <c r="K2392" s="4">
        <v>0</v>
      </c>
      <c r="L2392" s="94">
        <v>117432</v>
      </c>
      <c r="M2392" s="94">
        <v>234864</v>
      </c>
    </row>
    <row r="2393" spans="3:13" x14ac:dyDescent="0.3">
      <c r="C2393" t="s">
        <v>61</v>
      </c>
      <c r="D2393" t="s">
        <v>67</v>
      </c>
      <c r="E2393" t="s">
        <v>63</v>
      </c>
      <c r="F2393" t="s">
        <v>72</v>
      </c>
      <c r="G2393" s="4">
        <v>4</v>
      </c>
      <c r="H2393" s="4" t="s">
        <v>79</v>
      </c>
      <c r="I2393" s="4" t="s">
        <v>69</v>
      </c>
      <c r="J2393" s="4" t="s">
        <v>66</v>
      </c>
      <c r="K2393" s="4">
        <v>0</v>
      </c>
      <c r="L2393" s="94">
        <v>-21919</v>
      </c>
      <c r="M2393" s="94">
        <v>0</v>
      </c>
    </row>
    <row r="2394" spans="3:13" x14ac:dyDescent="0.3">
      <c r="C2394" t="s">
        <v>70</v>
      </c>
      <c r="D2394" t="s">
        <v>62</v>
      </c>
      <c r="E2394" t="s">
        <v>63</v>
      </c>
      <c r="F2394" t="s">
        <v>24</v>
      </c>
      <c r="G2394" s="4">
        <v>6</v>
      </c>
      <c r="I2394" s="4" t="s">
        <v>69</v>
      </c>
      <c r="J2394" s="4" t="s">
        <v>66</v>
      </c>
      <c r="K2394" s="4">
        <v>0</v>
      </c>
      <c r="L2394" s="94">
        <v>-263951</v>
      </c>
      <c r="M2394" s="94">
        <v>0</v>
      </c>
    </row>
    <row r="2395" spans="3:13" x14ac:dyDescent="0.3">
      <c r="C2395" t="s">
        <v>61</v>
      </c>
      <c r="D2395" t="s">
        <v>67</v>
      </c>
      <c r="E2395" t="s">
        <v>63</v>
      </c>
      <c r="F2395" t="s">
        <v>26</v>
      </c>
      <c r="G2395" s="4">
        <v>-1</v>
      </c>
      <c r="H2395" s="4" t="s">
        <v>82</v>
      </c>
      <c r="I2395" s="4" t="s">
        <v>69</v>
      </c>
      <c r="J2395" s="4" t="s">
        <v>73</v>
      </c>
      <c r="K2395" s="4">
        <v>1</v>
      </c>
      <c r="L2395" s="94">
        <v>-202</v>
      </c>
      <c r="M2395" s="94">
        <v>0</v>
      </c>
    </row>
    <row r="2396" spans="3:13" x14ac:dyDescent="0.3">
      <c r="C2396" t="s">
        <v>70</v>
      </c>
      <c r="D2396" t="s">
        <v>67</v>
      </c>
      <c r="E2396" t="s">
        <v>63</v>
      </c>
      <c r="F2396" t="s">
        <v>26</v>
      </c>
      <c r="G2396" s="4">
        <v>1</v>
      </c>
      <c r="H2396" s="4" t="s">
        <v>14</v>
      </c>
      <c r="I2396" s="4" t="s">
        <v>65</v>
      </c>
      <c r="J2396" s="4" t="s">
        <v>73</v>
      </c>
      <c r="K2396" s="4">
        <v>1</v>
      </c>
      <c r="L2396" s="94">
        <v>-500</v>
      </c>
      <c r="M2396" s="94">
        <v>0</v>
      </c>
    </row>
    <row r="2397" spans="3:13" x14ac:dyDescent="0.3">
      <c r="C2397" t="s">
        <v>70</v>
      </c>
      <c r="D2397" t="s">
        <v>67</v>
      </c>
      <c r="E2397" t="s">
        <v>63</v>
      </c>
      <c r="F2397" t="s">
        <v>26</v>
      </c>
      <c r="G2397" s="4">
        <v>7</v>
      </c>
      <c r="H2397" s="4" t="s">
        <v>80</v>
      </c>
      <c r="I2397" s="4" t="s">
        <v>69</v>
      </c>
      <c r="J2397" s="4" t="s">
        <v>66</v>
      </c>
      <c r="K2397" s="4">
        <v>0</v>
      </c>
      <c r="L2397" s="94">
        <v>-4010</v>
      </c>
      <c r="M2397" s="94">
        <v>0</v>
      </c>
    </row>
    <row r="2398" spans="3:13" x14ac:dyDescent="0.3">
      <c r="C2398" t="s">
        <v>71</v>
      </c>
      <c r="D2398" t="s">
        <v>67</v>
      </c>
      <c r="E2398" t="s">
        <v>68</v>
      </c>
      <c r="F2398" t="s">
        <v>26</v>
      </c>
      <c r="G2398" s="4">
        <v>-1</v>
      </c>
      <c r="H2398" s="4" t="s">
        <v>82</v>
      </c>
      <c r="I2398" s="4" t="s">
        <v>69</v>
      </c>
      <c r="J2398" s="4" t="s">
        <v>73</v>
      </c>
      <c r="K2398" s="4">
        <v>1</v>
      </c>
      <c r="L2398" s="94">
        <v>2754</v>
      </c>
      <c r="M2398" s="94">
        <v>0</v>
      </c>
    </row>
    <row r="2399" spans="3:13" x14ac:dyDescent="0.3">
      <c r="C2399" t="s">
        <v>71</v>
      </c>
      <c r="D2399" t="s">
        <v>62</v>
      </c>
      <c r="E2399" t="s">
        <v>68</v>
      </c>
      <c r="F2399" t="s">
        <v>24</v>
      </c>
      <c r="G2399" s="4">
        <v>12</v>
      </c>
      <c r="I2399" s="4" t="s">
        <v>69</v>
      </c>
      <c r="J2399" s="4" t="s">
        <v>66</v>
      </c>
      <c r="K2399" s="4">
        <v>0</v>
      </c>
      <c r="L2399" s="94">
        <v>4177489</v>
      </c>
      <c r="M2399" s="94">
        <v>50129868</v>
      </c>
    </row>
    <row r="2400" spans="3:13" x14ac:dyDescent="0.3">
      <c r="C2400" t="s">
        <v>71</v>
      </c>
      <c r="D2400" t="s">
        <v>67</v>
      </c>
      <c r="E2400" t="s">
        <v>68</v>
      </c>
      <c r="F2400" t="s">
        <v>25</v>
      </c>
      <c r="G2400" s="4">
        <v>-4</v>
      </c>
      <c r="H2400" s="4" t="s">
        <v>81</v>
      </c>
      <c r="I2400" s="4" t="s">
        <v>69</v>
      </c>
      <c r="J2400" s="4" t="s">
        <v>66</v>
      </c>
      <c r="K2400" s="4">
        <v>0</v>
      </c>
      <c r="L2400" s="94">
        <v>430</v>
      </c>
      <c r="M2400" s="94">
        <v>0</v>
      </c>
    </row>
    <row r="2401" spans="3:13" x14ac:dyDescent="0.3">
      <c r="C2401" t="s">
        <v>61</v>
      </c>
      <c r="D2401" t="s">
        <v>67</v>
      </c>
      <c r="E2401" t="s">
        <v>68</v>
      </c>
      <c r="F2401" t="s">
        <v>25</v>
      </c>
      <c r="G2401" s="4">
        <v>5</v>
      </c>
      <c r="H2401" s="4" t="s">
        <v>75</v>
      </c>
      <c r="I2401" s="4" t="s">
        <v>69</v>
      </c>
      <c r="J2401" s="4" t="s">
        <v>66</v>
      </c>
      <c r="K2401" s="4">
        <v>0</v>
      </c>
      <c r="L2401" s="94">
        <v>42125108</v>
      </c>
      <c r="M2401" s="94">
        <v>210625540</v>
      </c>
    </row>
    <row r="2402" spans="3:13" x14ac:dyDescent="0.3">
      <c r="C2402" t="s">
        <v>70</v>
      </c>
      <c r="D2402" t="s">
        <v>67</v>
      </c>
      <c r="E2402" t="s">
        <v>68</v>
      </c>
      <c r="F2402" t="s">
        <v>25</v>
      </c>
      <c r="G2402" s="4">
        <v>16</v>
      </c>
      <c r="H2402" s="4" t="s">
        <v>83</v>
      </c>
      <c r="I2402" s="4" t="s">
        <v>69</v>
      </c>
      <c r="J2402" s="4" t="s">
        <v>66</v>
      </c>
      <c r="K2402" s="4">
        <v>0</v>
      </c>
      <c r="L2402" s="94">
        <v>34731</v>
      </c>
      <c r="M2402" s="94">
        <v>555696</v>
      </c>
    </row>
    <row r="2403" spans="3:13" x14ac:dyDescent="0.3">
      <c r="C2403" t="s">
        <v>70</v>
      </c>
      <c r="D2403" t="s">
        <v>67</v>
      </c>
      <c r="E2403" t="s">
        <v>68</v>
      </c>
      <c r="F2403" t="s">
        <v>72</v>
      </c>
      <c r="G2403" s="4">
        <v>-4</v>
      </c>
      <c r="H2403" s="4" t="s">
        <v>64</v>
      </c>
      <c r="I2403" s="4" t="s">
        <v>69</v>
      </c>
      <c r="J2403" s="4" t="s">
        <v>66</v>
      </c>
      <c r="K2403" s="4">
        <v>0</v>
      </c>
      <c r="L2403" s="94">
        <v>10898</v>
      </c>
      <c r="M2403" s="94">
        <v>0</v>
      </c>
    </row>
    <row r="2404" spans="3:13" x14ac:dyDescent="0.3">
      <c r="C2404" t="s">
        <v>70</v>
      </c>
      <c r="D2404" t="s">
        <v>62</v>
      </c>
      <c r="E2404" t="s">
        <v>68</v>
      </c>
      <c r="F2404" t="s">
        <v>25</v>
      </c>
      <c r="G2404" s="4">
        <v>19</v>
      </c>
      <c r="I2404" s="4" t="s">
        <v>69</v>
      </c>
      <c r="J2404" s="4" t="s">
        <v>66</v>
      </c>
      <c r="K2404" s="4">
        <v>0</v>
      </c>
      <c r="L2404" s="94">
        <v>61407</v>
      </c>
      <c r="M2404" s="94">
        <v>1166733</v>
      </c>
    </row>
    <row r="2405" spans="3:13" x14ac:dyDescent="0.3">
      <c r="C2405" t="s">
        <v>70</v>
      </c>
      <c r="D2405" t="s">
        <v>67</v>
      </c>
      <c r="E2405" t="s">
        <v>68</v>
      </c>
      <c r="F2405" t="s">
        <v>72</v>
      </c>
      <c r="G2405" s="4">
        <v>2</v>
      </c>
      <c r="H2405" s="4" t="s">
        <v>18</v>
      </c>
      <c r="I2405" s="4" t="s">
        <v>69</v>
      </c>
      <c r="J2405" s="4" t="s">
        <v>73</v>
      </c>
      <c r="K2405" s="4">
        <v>1</v>
      </c>
      <c r="L2405" s="94">
        <v>518370</v>
      </c>
      <c r="M2405" s="94">
        <v>1036740</v>
      </c>
    </row>
    <row r="2406" spans="3:13" x14ac:dyDescent="0.3">
      <c r="C2406" t="s">
        <v>61</v>
      </c>
      <c r="D2406" t="s">
        <v>67</v>
      </c>
      <c r="E2406" t="s">
        <v>63</v>
      </c>
      <c r="F2406" t="s">
        <v>25</v>
      </c>
      <c r="G2406" s="4">
        <v>14</v>
      </c>
      <c r="H2406" s="4" t="s">
        <v>74</v>
      </c>
      <c r="I2406" s="4" t="s">
        <v>69</v>
      </c>
      <c r="J2406" s="4" t="s">
        <v>66</v>
      </c>
      <c r="K2406" s="4">
        <v>0</v>
      </c>
      <c r="L2406" s="94">
        <v>-7382</v>
      </c>
      <c r="M2406" s="94">
        <v>0</v>
      </c>
    </row>
    <row r="2407" spans="3:13" x14ac:dyDescent="0.3">
      <c r="C2407" t="s">
        <v>71</v>
      </c>
      <c r="D2407" t="s">
        <v>67</v>
      </c>
      <c r="E2407" t="s">
        <v>63</v>
      </c>
      <c r="F2407" t="s">
        <v>26</v>
      </c>
      <c r="G2407" s="4">
        <v>4</v>
      </c>
      <c r="H2407" s="4" t="s">
        <v>14</v>
      </c>
      <c r="I2407" s="4" t="s">
        <v>69</v>
      </c>
      <c r="J2407" s="4" t="s">
        <v>73</v>
      </c>
      <c r="K2407" s="4">
        <v>1</v>
      </c>
      <c r="L2407" s="94">
        <v>-849431</v>
      </c>
      <c r="M2407" s="94">
        <v>0</v>
      </c>
    </row>
    <row r="2408" spans="3:13" x14ac:dyDescent="0.3">
      <c r="C2408" t="s">
        <v>61</v>
      </c>
      <c r="D2408" t="s">
        <v>67</v>
      </c>
      <c r="E2408" t="s">
        <v>68</v>
      </c>
      <c r="F2408" t="s">
        <v>72</v>
      </c>
      <c r="G2408" s="4">
        <v>7</v>
      </c>
      <c r="H2408" s="4" t="s">
        <v>81</v>
      </c>
      <c r="I2408" s="4" t="s">
        <v>69</v>
      </c>
      <c r="J2408" s="4" t="s">
        <v>66</v>
      </c>
      <c r="K2408" s="4">
        <v>0</v>
      </c>
      <c r="L2408" s="94">
        <v>62495</v>
      </c>
      <c r="M2408" s="94">
        <v>437465</v>
      </c>
    </row>
    <row r="2409" spans="3:13" x14ac:dyDescent="0.3">
      <c r="C2409" t="s">
        <v>61</v>
      </c>
      <c r="D2409" t="s">
        <v>62</v>
      </c>
      <c r="E2409" t="s">
        <v>63</v>
      </c>
      <c r="F2409" t="s">
        <v>24</v>
      </c>
      <c r="G2409" s="4">
        <v>32</v>
      </c>
      <c r="I2409" s="4" t="s">
        <v>69</v>
      </c>
      <c r="J2409" s="4" t="s">
        <v>66</v>
      </c>
      <c r="K2409" s="4">
        <v>1</v>
      </c>
      <c r="L2409" s="94">
        <v>-694</v>
      </c>
      <c r="M2409" s="94">
        <v>0</v>
      </c>
    </row>
    <row r="2410" spans="3:13" x14ac:dyDescent="0.3">
      <c r="C2410" t="s">
        <v>70</v>
      </c>
      <c r="D2410" t="s">
        <v>67</v>
      </c>
      <c r="E2410" t="s">
        <v>68</v>
      </c>
      <c r="F2410" t="s">
        <v>26</v>
      </c>
      <c r="G2410" s="4">
        <v>6</v>
      </c>
      <c r="H2410" s="4" t="s">
        <v>12</v>
      </c>
      <c r="I2410" s="4" t="s">
        <v>65</v>
      </c>
      <c r="J2410" s="4" t="s">
        <v>73</v>
      </c>
      <c r="K2410" s="4">
        <v>1</v>
      </c>
      <c r="L2410" s="94">
        <v>32675</v>
      </c>
      <c r="M2410" s="94">
        <v>196050</v>
      </c>
    </row>
    <row r="2411" spans="3:13" x14ac:dyDescent="0.3">
      <c r="C2411" t="s">
        <v>61</v>
      </c>
      <c r="D2411" t="s">
        <v>67</v>
      </c>
      <c r="E2411" t="s">
        <v>68</v>
      </c>
      <c r="F2411" t="s">
        <v>25</v>
      </c>
      <c r="G2411" s="4">
        <v>12</v>
      </c>
      <c r="H2411" s="4" t="s">
        <v>79</v>
      </c>
      <c r="I2411" s="4" t="s">
        <v>69</v>
      </c>
      <c r="J2411" s="4" t="s">
        <v>66</v>
      </c>
      <c r="K2411" s="4">
        <v>0</v>
      </c>
      <c r="L2411" s="94">
        <v>31779248</v>
      </c>
      <c r="M2411" s="94">
        <v>381350976</v>
      </c>
    </row>
    <row r="2412" spans="3:13" x14ac:dyDescent="0.3">
      <c r="C2412" t="s">
        <v>70</v>
      </c>
      <c r="D2412" t="s">
        <v>67</v>
      </c>
      <c r="E2412" t="s">
        <v>68</v>
      </c>
      <c r="F2412" t="s">
        <v>72</v>
      </c>
      <c r="G2412" s="4">
        <v>1</v>
      </c>
      <c r="H2412" s="4" t="s">
        <v>74</v>
      </c>
      <c r="I2412" s="4" t="s">
        <v>69</v>
      </c>
      <c r="J2412" s="4" t="s">
        <v>66</v>
      </c>
      <c r="K2412" s="4">
        <v>0</v>
      </c>
      <c r="L2412" s="94">
        <v>186300</v>
      </c>
      <c r="M2412" s="94">
        <v>186300</v>
      </c>
    </row>
    <row r="2413" spans="3:13" x14ac:dyDescent="0.3">
      <c r="C2413" t="s">
        <v>61</v>
      </c>
      <c r="D2413" t="s">
        <v>62</v>
      </c>
      <c r="E2413" t="s">
        <v>68</v>
      </c>
      <c r="F2413" t="s">
        <v>24</v>
      </c>
      <c r="G2413" s="4">
        <v>18</v>
      </c>
      <c r="I2413" s="4" t="s">
        <v>69</v>
      </c>
      <c r="J2413" s="4" t="s">
        <v>66</v>
      </c>
      <c r="K2413" s="4">
        <v>0</v>
      </c>
      <c r="L2413" s="94">
        <v>401403465</v>
      </c>
      <c r="M2413" s="94">
        <v>7225262370</v>
      </c>
    </row>
    <row r="2414" spans="3:13" x14ac:dyDescent="0.3">
      <c r="C2414" t="s">
        <v>71</v>
      </c>
      <c r="D2414" t="s">
        <v>67</v>
      </c>
      <c r="E2414" t="s">
        <v>63</v>
      </c>
      <c r="F2414" t="s">
        <v>72</v>
      </c>
      <c r="G2414" s="4">
        <v>5</v>
      </c>
      <c r="H2414" s="4" t="s">
        <v>82</v>
      </c>
      <c r="I2414" s="4" t="s">
        <v>69</v>
      </c>
      <c r="J2414" s="4" t="s">
        <v>66</v>
      </c>
      <c r="K2414" s="4">
        <v>0</v>
      </c>
      <c r="L2414" s="94">
        <v>-49022</v>
      </c>
      <c r="M2414" s="94">
        <v>0</v>
      </c>
    </row>
    <row r="2415" spans="3:13" x14ac:dyDescent="0.3">
      <c r="C2415" t="s">
        <v>70</v>
      </c>
      <c r="D2415" t="s">
        <v>67</v>
      </c>
      <c r="E2415" t="s">
        <v>63</v>
      </c>
      <c r="F2415" t="s">
        <v>26</v>
      </c>
      <c r="G2415" s="4">
        <v>1</v>
      </c>
      <c r="H2415" s="4" t="s">
        <v>17</v>
      </c>
      <c r="I2415" s="4" t="s">
        <v>65</v>
      </c>
      <c r="J2415" s="4" t="s">
        <v>66</v>
      </c>
      <c r="K2415" s="4">
        <v>1</v>
      </c>
      <c r="L2415" s="94">
        <v>-5100</v>
      </c>
      <c r="M2415" s="94">
        <v>0</v>
      </c>
    </row>
    <row r="2416" spans="3:13" x14ac:dyDescent="0.3">
      <c r="C2416" t="s">
        <v>61</v>
      </c>
      <c r="D2416" t="s">
        <v>67</v>
      </c>
      <c r="E2416" t="s">
        <v>68</v>
      </c>
      <c r="F2416" t="s">
        <v>72</v>
      </c>
      <c r="G2416" s="4">
        <v>1</v>
      </c>
      <c r="H2416" s="4" t="s">
        <v>15</v>
      </c>
      <c r="I2416" s="4" t="s">
        <v>69</v>
      </c>
      <c r="J2416" s="4" t="s">
        <v>66</v>
      </c>
      <c r="K2416" s="4">
        <v>0</v>
      </c>
      <c r="L2416" s="94">
        <v>15019</v>
      </c>
      <c r="M2416" s="94">
        <v>15019</v>
      </c>
    </row>
    <row r="2417" spans="3:13" x14ac:dyDescent="0.3">
      <c r="C2417" t="s">
        <v>70</v>
      </c>
      <c r="D2417" t="s">
        <v>67</v>
      </c>
      <c r="E2417" t="s">
        <v>68</v>
      </c>
      <c r="F2417" t="s">
        <v>25</v>
      </c>
      <c r="G2417" s="4">
        <v>2</v>
      </c>
      <c r="H2417" s="4" t="s">
        <v>76</v>
      </c>
      <c r="I2417" s="4" t="s">
        <v>69</v>
      </c>
      <c r="J2417" s="4" t="s">
        <v>66</v>
      </c>
      <c r="K2417" s="4">
        <v>0</v>
      </c>
      <c r="L2417" s="94">
        <v>838530</v>
      </c>
      <c r="M2417" s="94">
        <v>1677060</v>
      </c>
    </row>
    <row r="2418" spans="3:13" x14ac:dyDescent="0.3">
      <c r="C2418" t="s">
        <v>70</v>
      </c>
      <c r="D2418" t="s">
        <v>67</v>
      </c>
      <c r="E2418" t="s">
        <v>68</v>
      </c>
      <c r="F2418" t="s">
        <v>25</v>
      </c>
      <c r="G2418" s="4">
        <v>5</v>
      </c>
      <c r="H2418" s="4" t="s">
        <v>74</v>
      </c>
      <c r="I2418" s="4" t="s">
        <v>69</v>
      </c>
      <c r="J2418" s="4" t="s">
        <v>66</v>
      </c>
      <c r="K2418" s="4">
        <v>0</v>
      </c>
      <c r="L2418" s="94">
        <v>1856886</v>
      </c>
      <c r="M2418" s="94">
        <v>9284430</v>
      </c>
    </row>
    <row r="2419" spans="3:13" x14ac:dyDescent="0.3">
      <c r="C2419" t="s">
        <v>61</v>
      </c>
      <c r="D2419" t="s">
        <v>67</v>
      </c>
      <c r="E2419" t="s">
        <v>68</v>
      </c>
      <c r="F2419" t="s">
        <v>26</v>
      </c>
      <c r="G2419" s="4">
        <v>1</v>
      </c>
      <c r="H2419" s="4" t="s">
        <v>82</v>
      </c>
      <c r="I2419" s="4" t="s">
        <v>69</v>
      </c>
      <c r="J2419" s="4" t="s">
        <v>73</v>
      </c>
      <c r="K2419" s="4">
        <v>1</v>
      </c>
      <c r="L2419" s="94">
        <v>48678</v>
      </c>
      <c r="M2419" s="94">
        <v>48678</v>
      </c>
    </row>
    <row r="2420" spans="3:13" x14ac:dyDescent="0.3">
      <c r="C2420" t="s">
        <v>61</v>
      </c>
      <c r="D2420" t="s">
        <v>67</v>
      </c>
      <c r="E2420" t="s">
        <v>68</v>
      </c>
      <c r="F2420" t="s">
        <v>25</v>
      </c>
      <c r="G2420" s="4">
        <v>16</v>
      </c>
      <c r="H2420" s="4" t="s">
        <v>80</v>
      </c>
      <c r="I2420" s="4" t="s">
        <v>69</v>
      </c>
      <c r="J2420" s="4" t="s">
        <v>66</v>
      </c>
      <c r="K2420" s="4">
        <v>0</v>
      </c>
      <c r="L2420" s="94">
        <v>1609851</v>
      </c>
      <c r="M2420" s="94">
        <v>25757616</v>
      </c>
    </row>
    <row r="2421" spans="3:13" x14ac:dyDescent="0.3">
      <c r="C2421" t="s">
        <v>61</v>
      </c>
      <c r="D2421" t="s">
        <v>67</v>
      </c>
      <c r="E2421" t="s">
        <v>63</v>
      </c>
      <c r="F2421" t="s">
        <v>26</v>
      </c>
      <c r="G2421" s="4">
        <v>8</v>
      </c>
      <c r="H2421" s="4" t="s">
        <v>74</v>
      </c>
      <c r="I2421" s="4" t="s">
        <v>69</v>
      </c>
      <c r="J2421" s="4" t="s">
        <v>66</v>
      </c>
      <c r="K2421" s="4">
        <v>0</v>
      </c>
      <c r="L2421" s="94">
        <v>-7402</v>
      </c>
      <c r="M2421" s="94">
        <v>0</v>
      </c>
    </row>
    <row r="2422" spans="3:13" x14ac:dyDescent="0.3">
      <c r="C2422" t="s">
        <v>71</v>
      </c>
      <c r="D2422" t="s">
        <v>62</v>
      </c>
      <c r="E2422" t="s">
        <v>63</v>
      </c>
      <c r="F2422" t="s">
        <v>25</v>
      </c>
      <c r="G2422" s="4">
        <v>12</v>
      </c>
      <c r="I2422" s="4" t="s">
        <v>69</v>
      </c>
      <c r="J2422" s="4" t="s">
        <v>66</v>
      </c>
      <c r="K2422" s="4">
        <v>0</v>
      </c>
      <c r="L2422" s="94">
        <v>-406716</v>
      </c>
      <c r="M2422" s="94">
        <v>0</v>
      </c>
    </row>
    <row r="2423" spans="3:13" x14ac:dyDescent="0.3">
      <c r="C2423" t="s">
        <v>71</v>
      </c>
      <c r="D2423" t="s">
        <v>62</v>
      </c>
      <c r="E2423" t="s">
        <v>68</v>
      </c>
      <c r="F2423" t="s">
        <v>25</v>
      </c>
      <c r="G2423" s="4">
        <v>16</v>
      </c>
      <c r="I2423" s="4" t="s">
        <v>69</v>
      </c>
      <c r="J2423" s="4" t="s">
        <v>66</v>
      </c>
      <c r="K2423" s="4">
        <v>0</v>
      </c>
      <c r="L2423" s="94">
        <v>21865</v>
      </c>
      <c r="M2423" s="94">
        <v>349840</v>
      </c>
    </row>
    <row r="2424" spans="3:13" x14ac:dyDescent="0.3">
      <c r="C2424" t="s">
        <v>70</v>
      </c>
      <c r="D2424" t="s">
        <v>67</v>
      </c>
      <c r="E2424" t="s">
        <v>68</v>
      </c>
      <c r="F2424" t="s">
        <v>26</v>
      </c>
      <c r="G2424" s="4">
        <v>6</v>
      </c>
      <c r="H2424" s="4" t="s">
        <v>14</v>
      </c>
      <c r="I2424" s="4" t="s">
        <v>69</v>
      </c>
      <c r="J2424" s="4" t="s">
        <v>73</v>
      </c>
      <c r="K2424" s="4">
        <v>1</v>
      </c>
      <c r="L2424" s="94">
        <v>3165296</v>
      </c>
      <c r="M2424" s="94">
        <v>18991776</v>
      </c>
    </row>
    <row r="2425" spans="3:13" x14ac:dyDescent="0.3">
      <c r="C2425" t="s">
        <v>71</v>
      </c>
      <c r="D2425" t="s">
        <v>62</v>
      </c>
      <c r="E2425" t="s">
        <v>63</v>
      </c>
      <c r="F2425" t="s">
        <v>24</v>
      </c>
      <c r="G2425" s="4">
        <v>13</v>
      </c>
      <c r="I2425" s="4" t="s">
        <v>69</v>
      </c>
      <c r="J2425" s="4" t="s">
        <v>66</v>
      </c>
      <c r="K2425" s="4">
        <v>1</v>
      </c>
      <c r="L2425" s="94">
        <v>-3950</v>
      </c>
      <c r="M2425" s="94">
        <v>0</v>
      </c>
    </row>
    <row r="2426" spans="3:13" x14ac:dyDescent="0.3">
      <c r="C2426" t="s">
        <v>71</v>
      </c>
      <c r="D2426" t="s">
        <v>67</v>
      </c>
      <c r="E2426" t="s">
        <v>68</v>
      </c>
      <c r="F2426" t="s">
        <v>26</v>
      </c>
      <c r="G2426" s="4">
        <v>11</v>
      </c>
      <c r="H2426" s="4" t="s">
        <v>64</v>
      </c>
      <c r="I2426" s="4" t="s">
        <v>69</v>
      </c>
      <c r="J2426" s="4" t="s">
        <v>66</v>
      </c>
      <c r="K2426" s="4">
        <v>0</v>
      </c>
      <c r="L2426" s="94">
        <v>7673718</v>
      </c>
      <c r="M2426" s="94">
        <v>84410898</v>
      </c>
    </row>
    <row r="2427" spans="3:13" x14ac:dyDescent="0.3">
      <c r="C2427" t="s">
        <v>71</v>
      </c>
      <c r="D2427" t="s">
        <v>67</v>
      </c>
      <c r="E2427" t="s">
        <v>68</v>
      </c>
      <c r="F2427" t="s">
        <v>72</v>
      </c>
      <c r="G2427" s="4">
        <v>-4</v>
      </c>
      <c r="H2427" s="4" t="s">
        <v>83</v>
      </c>
      <c r="I2427" s="4" t="s">
        <v>69</v>
      </c>
      <c r="J2427" s="4" t="s">
        <v>66</v>
      </c>
      <c r="K2427" s="4">
        <v>0</v>
      </c>
      <c r="L2427" s="94">
        <v>33349</v>
      </c>
      <c r="M2427" s="94">
        <v>0</v>
      </c>
    </row>
    <row r="2428" spans="3:13" x14ac:dyDescent="0.3">
      <c r="C2428" t="s">
        <v>61</v>
      </c>
      <c r="D2428" t="s">
        <v>62</v>
      </c>
      <c r="E2428" t="s">
        <v>63</v>
      </c>
      <c r="F2428" t="s">
        <v>24</v>
      </c>
      <c r="G2428" s="4">
        <v>-4</v>
      </c>
      <c r="I2428" s="4" t="s">
        <v>69</v>
      </c>
      <c r="J2428" s="4" t="s">
        <v>66</v>
      </c>
      <c r="K2428" s="4">
        <v>0</v>
      </c>
      <c r="L2428" s="94">
        <v>-60</v>
      </c>
      <c r="M2428" s="94">
        <v>0</v>
      </c>
    </row>
    <row r="2429" spans="3:13" x14ac:dyDescent="0.3">
      <c r="C2429" t="s">
        <v>71</v>
      </c>
      <c r="D2429" t="s">
        <v>67</v>
      </c>
      <c r="E2429" t="s">
        <v>68</v>
      </c>
      <c r="F2429" t="s">
        <v>72</v>
      </c>
      <c r="G2429" s="4">
        <v>1</v>
      </c>
      <c r="H2429" s="4" t="s">
        <v>79</v>
      </c>
      <c r="I2429" s="4" t="s">
        <v>69</v>
      </c>
      <c r="J2429" s="4" t="s">
        <v>66</v>
      </c>
      <c r="K2429" s="4">
        <v>0</v>
      </c>
      <c r="L2429" s="94">
        <v>41435</v>
      </c>
      <c r="M2429" s="94">
        <v>41435</v>
      </c>
    </row>
    <row r="2430" spans="3:13" x14ac:dyDescent="0.3">
      <c r="C2430" t="s">
        <v>70</v>
      </c>
      <c r="D2430" t="s">
        <v>67</v>
      </c>
      <c r="E2430" t="s">
        <v>68</v>
      </c>
      <c r="F2430" t="s">
        <v>25</v>
      </c>
      <c r="G2430" s="4">
        <v>12</v>
      </c>
      <c r="H2430" s="4" t="s">
        <v>78</v>
      </c>
      <c r="I2430" s="4" t="s">
        <v>69</v>
      </c>
      <c r="J2430" s="4" t="s">
        <v>66</v>
      </c>
      <c r="K2430" s="4">
        <v>0</v>
      </c>
      <c r="L2430" s="94">
        <v>159273</v>
      </c>
      <c r="M2430" s="94">
        <v>1911276</v>
      </c>
    </row>
    <row r="2431" spans="3:13" x14ac:dyDescent="0.3">
      <c r="C2431" t="s">
        <v>71</v>
      </c>
      <c r="D2431" t="s">
        <v>67</v>
      </c>
      <c r="E2431" t="s">
        <v>68</v>
      </c>
      <c r="F2431" t="s">
        <v>25</v>
      </c>
      <c r="G2431" s="4">
        <v>7</v>
      </c>
      <c r="H2431" s="4" t="s">
        <v>75</v>
      </c>
      <c r="I2431" s="4" t="s">
        <v>69</v>
      </c>
      <c r="J2431" s="4" t="s">
        <v>66</v>
      </c>
      <c r="K2431" s="4">
        <v>0</v>
      </c>
      <c r="L2431" s="94">
        <v>3596656</v>
      </c>
      <c r="M2431" s="94">
        <v>25176592</v>
      </c>
    </row>
    <row r="2432" spans="3:13" x14ac:dyDescent="0.3">
      <c r="C2432" t="s">
        <v>71</v>
      </c>
      <c r="D2432" t="s">
        <v>67</v>
      </c>
      <c r="E2432" t="s">
        <v>68</v>
      </c>
      <c r="F2432" t="s">
        <v>26</v>
      </c>
      <c r="G2432" s="4">
        <v>2</v>
      </c>
      <c r="H2432" s="4" t="s">
        <v>76</v>
      </c>
      <c r="I2432" s="4" t="s">
        <v>69</v>
      </c>
      <c r="J2432" s="4" t="s">
        <v>66</v>
      </c>
      <c r="K2432" s="4">
        <v>0</v>
      </c>
      <c r="L2432" s="94">
        <v>511946</v>
      </c>
      <c r="M2432" s="94">
        <v>1023892</v>
      </c>
    </row>
    <row r="2433" spans="3:13" x14ac:dyDescent="0.3">
      <c r="C2433" t="s">
        <v>61</v>
      </c>
      <c r="D2433" t="s">
        <v>67</v>
      </c>
      <c r="E2433" t="s">
        <v>63</v>
      </c>
      <c r="F2433" t="s">
        <v>72</v>
      </c>
      <c r="G2433" s="4">
        <v>1</v>
      </c>
      <c r="H2433" s="4" t="s">
        <v>83</v>
      </c>
      <c r="I2433" s="4" t="s">
        <v>69</v>
      </c>
      <c r="J2433" s="4" t="s">
        <v>66</v>
      </c>
      <c r="K2433" s="4">
        <v>0</v>
      </c>
      <c r="L2433" s="94">
        <v>-427</v>
      </c>
      <c r="M2433" s="94">
        <v>0</v>
      </c>
    </row>
    <row r="2434" spans="3:13" x14ac:dyDescent="0.3">
      <c r="C2434" t="s">
        <v>70</v>
      </c>
      <c r="D2434" t="s">
        <v>62</v>
      </c>
      <c r="E2434" t="s">
        <v>68</v>
      </c>
      <c r="F2434" t="s">
        <v>24</v>
      </c>
      <c r="G2434" s="4">
        <v>16</v>
      </c>
      <c r="I2434" s="4" t="s">
        <v>65</v>
      </c>
      <c r="J2434" s="4" t="s">
        <v>66</v>
      </c>
      <c r="K2434" s="4">
        <v>1</v>
      </c>
      <c r="L2434" s="94">
        <v>373303</v>
      </c>
      <c r="M2434" s="94">
        <v>5972848</v>
      </c>
    </row>
    <row r="2435" spans="3:13" x14ac:dyDescent="0.3">
      <c r="C2435" t="s">
        <v>70</v>
      </c>
      <c r="D2435" t="s">
        <v>67</v>
      </c>
      <c r="E2435" t="s">
        <v>63</v>
      </c>
      <c r="F2435" t="s">
        <v>26</v>
      </c>
      <c r="G2435" s="4">
        <v>-1</v>
      </c>
      <c r="H2435" s="4" t="s">
        <v>75</v>
      </c>
      <c r="I2435" s="4" t="s">
        <v>65</v>
      </c>
      <c r="J2435" s="4" t="s">
        <v>66</v>
      </c>
      <c r="K2435" s="4">
        <v>1</v>
      </c>
      <c r="L2435" s="94">
        <v>-56</v>
      </c>
      <c r="M2435" s="94">
        <v>0</v>
      </c>
    </row>
    <row r="2436" spans="3:13" x14ac:dyDescent="0.3">
      <c r="C2436" t="s">
        <v>70</v>
      </c>
      <c r="D2436" t="s">
        <v>67</v>
      </c>
      <c r="E2436" t="s">
        <v>68</v>
      </c>
      <c r="F2436" t="s">
        <v>25</v>
      </c>
      <c r="G2436" s="4">
        <v>9</v>
      </c>
      <c r="H2436" s="4" t="s">
        <v>14</v>
      </c>
      <c r="I2436" s="4" t="s">
        <v>65</v>
      </c>
      <c r="J2436" s="4" t="s">
        <v>66</v>
      </c>
      <c r="K2436" s="4">
        <v>1</v>
      </c>
      <c r="L2436" s="94">
        <v>144287</v>
      </c>
      <c r="M2436" s="94">
        <v>1298583</v>
      </c>
    </row>
    <row r="2437" spans="3:13" x14ac:dyDescent="0.3">
      <c r="C2437" t="s">
        <v>61</v>
      </c>
      <c r="D2437" t="s">
        <v>67</v>
      </c>
      <c r="E2437" t="s">
        <v>63</v>
      </c>
      <c r="F2437" t="s">
        <v>26</v>
      </c>
      <c r="G2437" s="4">
        <v>4</v>
      </c>
      <c r="H2437" s="4" t="s">
        <v>14</v>
      </c>
      <c r="I2437" s="4" t="s">
        <v>65</v>
      </c>
      <c r="J2437" s="4" t="s">
        <v>73</v>
      </c>
      <c r="K2437" s="4">
        <v>1</v>
      </c>
      <c r="L2437" s="94">
        <v>-1948</v>
      </c>
      <c r="M2437" s="94">
        <v>0</v>
      </c>
    </row>
    <row r="2438" spans="3:13" x14ac:dyDescent="0.3">
      <c r="C2438" t="s">
        <v>71</v>
      </c>
      <c r="D2438" t="s">
        <v>62</v>
      </c>
      <c r="E2438" t="s">
        <v>68</v>
      </c>
      <c r="F2438" t="s">
        <v>24</v>
      </c>
      <c r="G2438" s="4">
        <v>13</v>
      </c>
      <c r="I2438" s="4" t="s">
        <v>69</v>
      </c>
      <c r="J2438" s="4" t="s">
        <v>66</v>
      </c>
      <c r="K2438" s="4">
        <v>0</v>
      </c>
      <c r="L2438" s="94">
        <v>3201560</v>
      </c>
      <c r="M2438" s="94">
        <v>41620280</v>
      </c>
    </row>
    <row r="2439" spans="3:13" x14ac:dyDescent="0.3">
      <c r="C2439" t="s">
        <v>71</v>
      </c>
      <c r="D2439" t="s">
        <v>67</v>
      </c>
      <c r="E2439" t="s">
        <v>68</v>
      </c>
      <c r="F2439" t="s">
        <v>26</v>
      </c>
      <c r="G2439" s="4">
        <v>7</v>
      </c>
      <c r="H2439" s="4" t="s">
        <v>18</v>
      </c>
      <c r="I2439" s="4" t="s">
        <v>69</v>
      </c>
      <c r="J2439" s="4" t="s">
        <v>66</v>
      </c>
      <c r="K2439" s="4">
        <v>0</v>
      </c>
      <c r="L2439" s="94">
        <v>1154524</v>
      </c>
      <c r="M2439" s="94">
        <v>8081668</v>
      </c>
    </row>
    <row r="2440" spans="3:13" x14ac:dyDescent="0.3">
      <c r="C2440" t="s">
        <v>71</v>
      </c>
      <c r="D2440" t="s">
        <v>62</v>
      </c>
      <c r="E2440" t="s">
        <v>68</v>
      </c>
      <c r="F2440" t="s">
        <v>25</v>
      </c>
      <c r="G2440" s="4">
        <v>4</v>
      </c>
      <c r="I2440" s="4" t="s">
        <v>69</v>
      </c>
      <c r="J2440" s="4" t="s">
        <v>66</v>
      </c>
      <c r="K2440" s="4">
        <v>0</v>
      </c>
      <c r="L2440" s="94">
        <v>6121535</v>
      </c>
      <c r="M2440" s="94">
        <v>24486140</v>
      </c>
    </row>
    <row r="2441" spans="3:13" x14ac:dyDescent="0.3">
      <c r="C2441" t="s">
        <v>61</v>
      </c>
      <c r="D2441" t="s">
        <v>62</v>
      </c>
      <c r="E2441" t="s">
        <v>68</v>
      </c>
      <c r="F2441" t="s">
        <v>24</v>
      </c>
      <c r="G2441" s="4">
        <v>3</v>
      </c>
      <c r="I2441" s="4" t="s">
        <v>69</v>
      </c>
      <c r="J2441" s="4" t="s">
        <v>66</v>
      </c>
      <c r="K2441" s="4">
        <v>1</v>
      </c>
      <c r="L2441" s="94">
        <v>292092</v>
      </c>
      <c r="M2441" s="94">
        <v>876276</v>
      </c>
    </row>
    <row r="2442" spans="3:13" x14ac:dyDescent="0.3">
      <c r="C2442" t="s">
        <v>61</v>
      </c>
      <c r="D2442" t="s">
        <v>67</v>
      </c>
      <c r="E2442" t="s">
        <v>68</v>
      </c>
      <c r="F2442" t="s">
        <v>25</v>
      </c>
      <c r="G2442" s="4">
        <v>15</v>
      </c>
      <c r="H2442" s="4" t="s">
        <v>14</v>
      </c>
      <c r="I2442" s="4" t="s">
        <v>69</v>
      </c>
      <c r="J2442" s="4" t="s">
        <v>66</v>
      </c>
      <c r="K2442" s="4">
        <v>0</v>
      </c>
      <c r="L2442" s="94">
        <v>526556</v>
      </c>
      <c r="M2442" s="94">
        <v>7898340</v>
      </c>
    </row>
    <row r="2443" spans="3:13" x14ac:dyDescent="0.3">
      <c r="C2443" t="s">
        <v>70</v>
      </c>
      <c r="D2443" t="s">
        <v>67</v>
      </c>
      <c r="E2443" t="s">
        <v>63</v>
      </c>
      <c r="F2443" t="s">
        <v>26</v>
      </c>
      <c r="G2443" s="4">
        <v>6</v>
      </c>
      <c r="H2443" s="4" t="s">
        <v>74</v>
      </c>
      <c r="I2443" s="4" t="s">
        <v>69</v>
      </c>
      <c r="J2443" s="4" t="s">
        <v>66</v>
      </c>
      <c r="K2443" s="4">
        <v>0</v>
      </c>
      <c r="L2443" s="94">
        <v>-60597</v>
      </c>
      <c r="M2443" s="94">
        <v>0</v>
      </c>
    </row>
    <row r="2444" spans="3:13" x14ac:dyDescent="0.3">
      <c r="C2444" t="s">
        <v>70</v>
      </c>
      <c r="D2444" t="s">
        <v>67</v>
      </c>
      <c r="E2444" t="s">
        <v>68</v>
      </c>
      <c r="F2444" t="s">
        <v>72</v>
      </c>
      <c r="G2444" s="4">
        <v>5</v>
      </c>
      <c r="H2444" s="4" t="s">
        <v>14</v>
      </c>
      <c r="I2444" s="4" t="s">
        <v>69</v>
      </c>
      <c r="J2444" s="4" t="s">
        <v>73</v>
      </c>
      <c r="K2444" s="4">
        <v>1</v>
      </c>
      <c r="L2444" s="94">
        <v>2035436</v>
      </c>
      <c r="M2444" s="94">
        <v>10177180</v>
      </c>
    </row>
    <row r="2445" spans="3:13" x14ac:dyDescent="0.3">
      <c r="C2445" t="s">
        <v>61</v>
      </c>
      <c r="D2445" t="s">
        <v>67</v>
      </c>
      <c r="E2445" t="s">
        <v>63</v>
      </c>
      <c r="F2445" t="s">
        <v>25</v>
      </c>
      <c r="G2445" s="4">
        <v>7</v>
      </c>
      <c r="H2445" s="4" t="s">
        <v>12</v>
      </c>
      <c r="I2445" s="4" t="s">
        <v>69</v>
      </c>
      <c r="J2445" s="4" t="s">
        <v>66</v>
      </c>
      <c r="K2445" s="4">
        <v>1</v>
      </c>
      <c r="L2445" s="94">
        <v>-1862</v>
      </c>
      <c r="M2445" s="94">
        <v>0</v>
      </c>
    </row>
    <row r="2446" spans="3:13" x14ac:dyDescent="0.3">
      <c r="C2446" t="s">
        <v>70</v>
      </c>
      <c r="D2446" t="s">
        <v>62</v>
      </c>
      <c r="E2446" t="s">
        <v>63</v>
      </c>
      <c r="F2446" t="s">
        <v>24</v>
      </c>
      <c r="G2446" s="4">
        <v>13</v>
      </c>
      <c r="I2446" s="4" t="s">
        <v>69</v>
      </c>
      <c r="J2446" s="4" t="s">
        <v>66</v>
      </c>
      <c r="K2446" s="4">
        <v>1</v>
      </c>
      <c r="L2446" s="94">
        <v>-6115</v>
      </c>
      <c r="M2446" s="94">
        <v>0</v>
      </c>
    </row>
    <row r="2447" spans="3:13" x14ac:dyDescent="0.3">
      <c r="C2447" t="s">
        <v>61</v>
      </c>
      <c r="D2447" t="s">
        <v>67</v>
      </c>
      <c r="E2447" t="s">
        <v>63</v>
      </c>
      <c r="F2447" t="s">
        <v>72</v>
      </c>
      <c r="G2447" s="4">
        <v>12</v>
      </c>
      <c r="H2447" s="4" t="s">
        <v>76</v>
      </c>
      <c r="I2447" s="4" t="s">
        <v>69</v>
      </c>
      <c r="J2447" s="4" t="s">
        <v>66</v>
      </c>
      <c r="K2447" s="4">
        <v>0</v>
      </c>
      <c r="L2447" s="94">
        <v>-1</v>
      </c>
      <c r="M2447" s="94">
        <v>0</v>
      </c>
    </row>
    <row r="2448" spans="3:13" x14ac:dyDescent="0.3">
      <c r="C2448" t="s">
        <v>70</v>
      </c>
      <c r="D2448" t="s">
        <v>67</v>
      </c>
      <c r="E2448" t="s">
        <v>68</v>
      </c>
      <c r="F2448" t="s">
        <v>72</v>
      </c>
      <c r="G2448" s="4">
        <v>4</v>
      </c>
      <c r="H2448" s="4" t="s">
        <v>77</v>
      </c>
      <c r="I2448" s="4" t="s">
        <v>69</v>
      </c>
      <c r="J2448" s="4" t="s">
        <v>66</v>
      </c>
      <c r="K2448" s="4">
        <v>0</v>
      </c>
      <c r="L2448" s="94">
        <v>307248</v>
      </c>
      <c r="M2448" s="94">
        <v>1228992</v>
      </c>
    </row>
    <row r="2449" spans="3:13" x14ac:dyDescent="0.3">
      <c r="C2449" t="s">
        <v>70</v>
      </c>
      <c r="D2449" t="s">
        <v>62</v>
      </c>
      <c r="E2449" t="s">
        <v>63</v>
      </c>
      <c r="F2449" t="s">
        <v>25</v>
      </c>
      <c r="G2449" s="4">
        <v>8</v>
      </c>
      <c r="I2449" s="4" t="s">
        <v>69</v>
      </c>
      <c r="J2449" s="4" t="s">
        <v>66</v>
      </c>
      <c r="K2449" s="4">
        <v>0</v>
      </c>
      <c r="L2449" s="94">
        <v>-29768</v>
      </c>
      <c r="M2449" s="94">
        <v>0</v>
      </c>
    </row>
    <row r="2450" spans="3:13" x14ac:dyDescent="0.3">
      <c r="C2450" t="s">
        <v>70</v>
      </c>
      <c r="D2450" t="s">
        <v>67</v>
      </c>
      <c r="E2450" t="s">
        <v>63</v>
      </c>
      <c r="F2450" t="s">
        <v>72</v>
      </c>
      <c r="G2450" s="4">
        <v>1</v>
      </c>
      <c r="H2450" s="4" t="s">
        <v>83</v>
      </c>
      <c r="I2450" s="4" t="s">
        <v>69</v>
      </c>
      <c r="J2450" s="4" t="s">
        <v>66</v>
      </c>
      <c r="K2450" s="4">
        <v>0</v>
      </c>
      <c r="L2450" s="94">
        <v>-1212</v>
      </c>
      <c r="M2450" s="94">
        <v>0</v>
      </c>
    </row>
    <row r="2451" spans="3:13" x14ac:dyDescent="0.3">
      <c r="C2451" t="s">
        <v>61</v>
      </c>
      <c r="D2451" t="s">
        <v>67</v>
      </c>
      <c r="E2451" t="s">
        <v>68</v>
      </c>
      <c r="F2451" t="s">
        <v>72</v>
      </c>
      <c r="G2451" s="4">
        <v>0</v>
      </c>
      <c r="H2451" s="4" t="s">
        <v>64</v>
      </c>
      <c r="I2451" s="4" t="s">
        <v>69</v>
      </c>
      <c r="J2451" s="4" t="s">
        <v>66</v>
      </c>
      <c r="K2451" s="4">
        <v>0</v>
      </c>
      <c r="L2451" s="94">
        <v>19091496</v>
      </c>
      <c r="M2451" s="94">
        <v>0</v>
      </c>
    </row>
    <row r="2452" spans="3:13" x14ac:dyDescent="0.3">
      <c r="C2452" t="s">
        <v>71</v>
      </c>
      <c r="D2452" t="s">
        <v>67</v>
      </c>
      <c r="E2452" t="s">
        <v>63</v>
      </c>
      <c r="F2452" t="s">
        <v>72</v>
      </c>
      <c r="G2452" s="4">
        <v>-4</v>
      </c>
      <c r="H2452" s="4" t="s">
        <v>78</v>
      </c>
      <c r="I2452" s="4" t="s">
        <v>69</v>
      </c>
      <c r="J2452" s="4" t="s">
        <v>66</v>
      </c>
      <c r="K2452" s="4">
        <v>0</v>
      </c>
      <c r="L2452" s="94">
        <v>-7347</v>
      </c>
      <c r="M2452" s="94">
        <v>0</v>
      </c>
    </row>
    <row r="2453" spans="3:13" x14ac:dyDescent="0.3">
      <c r="C2453" t="s">
        <v>61</v>
      </c>
      <c r="D2453" t="s">
        <v>67</v>
      </c>
      <c r="E2453" t="s">
        <v>68</v>
      </c>
      <c r="F2453" t="s">
        <v>72</v>
      </c>
      <c r="G2453" s="4">
        <v>3</v>
      </c>
      <c r="H2453" s="4" t="s">
        <v>86</v>
      </c>
      <c r="I2453" s="4" t="s">
        <v>69</v>
      </c>
      <c r="J2453" s="4" t="s">
        <v>66</v>
      </c>
      <c r="K2453" s="4">
        <v>0</v>
      </c>
      <c r="L2453" s="94">
        <v>13739</v>
      </c>
      <c r="M2453" s="94">
        <v>41217</v>
      </c>
    </row>
    <row r="2454" spans="3:13" x14ac:dyDescent="0.3">
      <c r="C2454" t="s">
        <v>61</v>
      </c>
      <c r="D2454" t="s">
        <v>62</v>
      </c>
      <c r="E2454" t="s">
        <v>68</v>
      </c>
      <c r="F2454" t="s">
        <v>24</v>
      </c>
      <c r="G2454" s="4">
        <v>16</v>
      </c>
      <c r="I2454" s="4" t="s">
        <v>69</v>
      </c>
      <c r="J2454" s="4" t="s">
        <v>66</v>
      </c>
      <c r="K2454" s="4">
        <v>0</v>
      </c>
      <c r="L2454" s="94">
        <v>309566007</v>
      </c>
      <c r="M2454" s="94">
        <v>4953056112</v>
      </c>
    </row>
    <row r="2455" spans="3:13" x14ac:dyDescent="0.3">
      <c r="C2455" t="s">
        <v>61</v>
      </c>
      <c r="D2455" t="s">
        <v>67</v>
      </c>
      <c r="E2455" t="s">
        <v>63</v>
      </c>
      <c r="F2455" t="s">
        <v>72</v>
      </c>
      <c r="G2455" s="4">
        <v>3</v>
      </c>
      <c r="H2455" s="4" t="s">
        <v>17</v>
      </c>
      <c r="I2455" s="4" t="s">
        <v>69</v>
      </c>
      <c r="J2455" s="4" t="s">
        <v>73</v>
      </c>
      <c r="K2455" s="4">
        <v>1</v>
      </c>
      <c r="L2455" s="94">
        <v>-1022</v>
      </c>
      <c r="M2455" s="94">
        <v>0</v>
      </c>
    </row>
    <row r="2456" spans="3:13" x14ac:dyDescent="0.3">
      <c r="C2456" t="s">
        <v>71</v>
      </c>
      <c r="D2456" t="s">
        <v>67</v>
      </c>
      <c r="E2456" t="s">
        <v>68</v>
      </c>
      <c r="F2456" t="s">
        <v>26</v>
      </c>
      <c r="G2456" s="4">
        <v>0</v>
      </c>
      <c r="H2456" s="4" t="s">
        <v>77</v>
      </c>
      <c r="I2456" s="4" t="s">
        <v>69</v>
      </c>
      <c r="J2456" s="4" t="s">
        <v>66</v>
      </c>
      <c r="K2456" s="4">
        <v>0</v>
      </c>
      <c r="L2456" s="94">
        <v>147252</v>
      </c>
      <c r="M2456" s="94">
        <v>0</v>
      </c>
    </row>
    <row r="2457" spans="3:13" x14ac:dyDescent="0.3">
      <c r="C2457" t="s">
        <v>61</v>
      </c>
      <c r="D2457" t="s">
        <v>67</v>
      </c>
      <c r="E2457" t="s">
        <v>63</v>
      </c>
      <c r="F2457" t="s">
        <v>25</v>
      </c>
      <c r="G2457" s="4">
        <v>-4</v>
      </c>
      <c r="H2457" s="4" t="s">
        <v>18</v>
      </c>
      <c r="I2457" s="4" t="s">
        <v>69</v>
      </c>
      <c r="J2457" s="4" t="s">
        <v>66</v>
      </c>
      <c r="K2457" s="4">
        <v>0</v>
      </c>
      <c r="L2457" s="94">
        <v>-178</v>
      </c>
      <c r="M2457" s="94">
        <v>0</v>
      </c>
    </row>
    <row r="2458" spans="3:13" x14ac:dyDescent="0.3">
      <c r="C2458" t="s">
        <v>71</v>
      </c>
      <c r="D2458" t="s">
        <v>67</v>
      </c>
      <c r="E2458" t="s">
        <v>63</v>
      </c>
      <c r="F2458" t="s">
        <v>26</v>
      </c>
      <c r="G2458" s="4">
        <v>-1</v>
      </c>
      <c r="H2458" s="4" t="s">
        <v>14</v>
      </c>
      <c r="I2458" s="4" t="s">
        <v>69</v>
      </c>
      <c r="J2458" s="4" t="s">
        <v>66</v>
      </c>
      <c r="K2458" s="4">
        <v>0</v>
      </c>
      <c r="L2458" s="94">
        <v>-1615366</v>
      </c>
      <c r="M2458" s="94">
        <v>0</v>
      </c>
    </row>
    <row r="2459" spans="3:13" x14ac:dyDescent="0.3">
      <c r="C2459" t="s">
        <v>61</v>
      </c>
      <c r="D2459" t="s">
        <v>67</v>
      </c>
      <c r="E2459" t="s">
        <v>68</v>
      </c>
      <c r="F2459" t="s">
        <v>26</v>
      </c>
      <c r="G2459" s="4">
        <v>3</v>
      </c>
      <c r="H2459" s="4" t="s">
        <v>81</v>
      </c>
      <c r="I2459" s="4" t="s">
        <v>69</v>
      </c>
      <c r="J2459" s="4" t="s">
        <v>66</v>
      </c>
      <c r="K2459" s="4">
        <v>0</v>
      </c>
      <c r="L2459" s="94">
        <v>107423</v>
      </c>
      <c r="M2459" s="94">
        <v>322269</v>
      </c>
    </row>
    <row r="2460" spans="3:13" x14ac:dyDescent="0.3">
      <c r="C2460" t="s">
        <v>71</v>
      </c>
      <c r="D2460" t="s">
        <v>62</v>
      </c>
      <c r="E2460" t="s">
        <v>63</v>
      </c>
      <c r="F2460" t="s">
        <v>24</v>
      </c>
      <c r="G2460" s="4">
        <v>36</v>
      </c>
      <c r="I2460" s="4" t="s">
        <v>65</v>
      </c>
      <c r="J2460" s="4" t="s">
        <v>66</v>
      </c>
      <c r="K2460" s="4">
        <v>1</v>
      </c>
      <c r="L2460" s="94">
        <v>-26770</v>
      </c>
      <c r="M2460" s="94">
        <v>0</v>
      </c>
    </row>
    <row r="2461" spans="3:13" x14ac:dyDescent="0.3">
      <c r="C2461" t="s">
        <v>70</v>
      </c>
      <c r="D2461" t="s">
        <v>67</v>
      </c>
      <c r="E2461" t="s">
        <v>63</v>
      </c>
      <c r="F2461" t="s">
        <v>25</v>
      </c>
      <c r="G2461" s="4">
        <v>-4</v>
      </c>
      <c r="H2461" s="4" t="s">
        <v>17</v>
      </c>
      <c r="I2461" s="4" t="s">
        <v>69</v>
      </c>
      <c r="J2461" s="4" t="s">
        <v>66</v>
      </c>
      <c r="K2461" s="4">
        <v>0</v>
      </c>
      <c r="L2461" s="94">
        <v>-7126</v>
      </c>
      <c r="M2461" s="94">
        <v>0</v>
      </c>
    </row>
    <row r="2462" spans="3:13" x14ac:dyDescent="0.3">
      <c r="C2462" t="s">
        <v>61</v>
      </c>
      <c r="D2462" t="s">
        <v>67</v>
      </c>
      <c r="E2462" t="s">
        <v>63</v>
      </c>
      <c r="F2462" t="s">
        <v>26</v>
      </c>
      <c r="G2462" s="4">
        <v>5</v>
      </c>
      <c r="H2462" s="4" t="s">
        <v>12</v>
      </c>
      <c r="I2462" s="4" t="s">
        <v>69</v>
      </c>
      <c r="J2462" s="4" t="s">
        <v>73</v>
      </c>
      <c r="K2462" s="4">
        <v>1</v>
      </c>
      <c r="L2462" s="94">
        <v>-8621</v>
      </c>
      <c r="M2462" s="94">
        <v>0</v>
      </c>
    </row>
    <row r="2463" spans="3:13" x14ac:dyDescent="0.3">
      <c r="C2463" t="s">
        <v>70</v>
      </c>
      <c r="D2463" t="s">
        <v>67</v>
      </c>
      <c r="E2463" t="s">
        <v>68</v>
      </c>
      <c r="F2463" t="s">
        <v>72</v>
      </c>
      <c r="G2463" s="4">
        <v>0</v>
      </c>
      <c r="H2463" s="4" t="s">
        <v>18</v>
      </c>
      <c r="I2463" s="4" t="s">
        <v>69</v>
      </c>
      <c r="J2463" s="4" t="s">
        <v>73</v>
      </c>
      <c r="K2463" s="4">
        <v>1</v>
      </c>
      <c r="L2463" s="94">
        <v>7095</v>
      </c>
      <c r="M2463" s="94">
        <v>0</v>
      </c>
    </row>
    <row r="2464" spans="3:13" x14ac:dyDescent="0.3">
      <c r="C2464" t="s">
        <v>70</v>
      </c>
      <c r="D2464" t="s">
        <v>67</v>
      </c>
      <c r="E2464" t="s">
        <v>68</v>
      </c>
      <c r="F2464" t="s">
        <v>25</v>
      </c>
      <c r="G2464" s="4">
        <v>12</v>
      </c>
      <c r="H2464" s="4" t="s">
        <v>64</v>
      </c>
      <c r="I2464" s="4" t="s">
        <v>69</v>
      </c>
      <c r="J2464" s="4" t="s">
        <v>66</v>
      </c>
      <c r="K2464" s="4">
        <v>0</v>
      </c>
      <c r="L2464" s="94">
        <v>415624</v>
      </c>
      <c r="M2464" s="94">
        <v>4987488</v>
      </c>
    </row>
    <row r="2465" spans="3:13" x14ac:dyDescent="0.3">
      <c r="C2465" t="s">
        <v>61</v>
      </c>
      <c r="D2465" t="s">
        <v>62</v>
      </c>
      <c r="E2465" t="s">
        <v>68</v>
      </c>
      <c r="F2465" t="s">
        <v>24</v>
      </c>
      <c r="G2465" s="4">
        <v>17</v>
      </c>
      <c r="I2465" s="4" t="s">
        <v>65</v>
      </c>
      <c r="J2465" s="4" t="s">
        <v>66</v>
      </c>
      <c r="K2465" s="4">
        <v>1</v>
      </c>
      <c r="L2465" s="94">
        <v>4522914</v>
      </c>
      <c r="M2465" s="94">
        <v>76889538</v>
      </c>
    </row>
    <row r="2466" spans="3:13" x14ac:dyDescent="0.3">
      <c r="C2466" t="s">
        <v>61</v>
      </c>
      <c r="D2466" t="s">
        <v>67</v>
      </c>
      <c r="E2466" t="s">
        <v>63</v>
      </c>
      <c r="F2466" t="s">
        <v>72</v>
      </c>
      <c r="G2466" s="4">
        <v>4</v>
      </c>
      <c r="H2466" s="4" t="s">
        <v>17</v>
      </c>
      <c r="I2466" s="4" t="s">
        <v>69</v>
      </c>
      <c r="J2466" s="4" t="s">
        <v>73</v>
      </c>
      <c r="K2466" s="4">
        <v>1</v>
      </c>
      <c r="L2466" s="94">
        <v>-2313</v>
      </c>
      <c r="M2466" s="94">
        <v>0</v>
      </c>
    </row>
    <row r="2467" spans="3:13" x14ac:dyDescent="0.3">
      <c r="C2467" t="s">
        <v>61</v>
      </c>
      <c r="D2467" t="s">
        <v>67</v>
      </c>
      <c r="E2467" t="s">
        <v>68</v>
      </c>
      <c r="F2467" t="s">
        <v>25</v>
      </c>
      <c r="G2467" s="4">
        <v>13</v>
      </c>
      <c r="H2467" s="4" t="s">
        <v>14</v>
      </c>
      <c r="I2467" s="4" t="s">
        <v>69</v>
      </c>
      <c r="J2467" s="4" t="s">
        <v>66</v>
      </c>
      <c r="K2467" s="4">
        <v>0</v>
      </c>
      <c r="L2467" s="94">
        <v>516904</v>
      </c>
      <c r="M2467" s="94">
        <v>6719752</v>
      </c>
    </row>
    <row r="2468" spans="3:13" x14ac:dyDescent="0.3">
      <c r="C2468" t="s">
        <v>71</v>
      </c>
      <c r="D2468" t="s">
        <v>67</v>
      </c>
      <c r="E2468" t="s">
        <v>63</v>
      </c>
      <c r="F2468" t="s">
        <v>25</v>
      </c>
      <c r="G2468" s="4">
        <v>11</v>
      </c>
      <c r="H2468" s="4" t="s">
        <v>18</v>
      </c>
      <c r="I2468" s="4" t="s">
        <v>69</v>
      </c>
      <c r="J2468" s="4" t="s">
        <v>66</v>
      </c>
      <c r="K2468" s="4">
        <v>0</v>
      </c>
      <c r="L2468" s="94">
        <v>-23894</v>
      </c>
      <c r="M2468" s="94">
        <v>0</v>
      </c>
    </row>
    <row r="2469" spans="3:13" x14ac:dyDescent="0.3">
      <c r="C2469" t="s">
        <v>70</v>
      </c>
      <c r="D2469" t="s">
        <v>67</v>
      </c>
      <c r="E2469" t="s">
        <v>63</v>
      </c>
      <c r="F2469" t="s">
        <v>72</v>
      </c>
      <c r="G2469" s="4">
        <v>2</v>
      </c>
      <c r="H2469" s="4" t="s">
        <v>18</v>
      </c>
      <c r="I2469" s="4" t="s">
        <v>65</v>
      </c>
      <c r="J2469" s="4" t="s">
        <v>66</v>
      </c>
      <c r="K2469" s="4">
        <v>1</v>
      </c>
      <c r="L2469" s="94">
        <v>-280</v>
      </c>
      <c r="M2469" s="94">
        <v>0</v>
      </c>
    </row>
    <row r="2470" spans="3:13" x14ac:dyDescent="0.3">
      <c r="C2470" t="s">
        <v>61</v>
      </c>
      <c r="D2470" t="s">
        <v>67</v>
      </c>
      <c r="E2470" t="s">
        <v>63</v>
      </c>
      <c r="F2470" t="s">
        <v>26</v>
      </c>
      <c r="G2470" s="4">
        <v>11</v>
      </c>
      <c r="H2470" s="4" t="s">
        <v>15</v>
      </c>
      <c r="I2470" s="4" t="s">
        <v>69</v>
      </c>
      <c r="J2470" s="4" t="s">
        <v>73</v>
      </c>
      <c r="K2470" s="4">
        <v>1</v>
      </c>
      <c r="L2470" s="94">
        <v>-11886</v>
      </c>
      <c r="M2470" s="94">
        <v>0</v>
      </c>
    </row>
    <row r="2471" spans="3:13" x14ac:dyDescent="0.3">
      <c r="C2471" t="s">
        <v>71</v>
      </c>
      <c r="D2471" t="s">
        <v>67</v>
      </c>
      <c r="E2471" t="s">
        <v>63</v>
      </c>
      <c r="F2471" t="s">
        <v>26</v>
      </c>
      <c r="G2471" s="4">
        <v>7</v>
      </c>
      <c r="H2471" s="4" t="s">
        <v>75</v>
      </c>
      <c r="I2471" s="4" t="s">
        <v>69</v>
      </c>
      <c r="J2471" s="4" t="s">
        <v>66</v>
      </c>
      <c r="K2471" s="4">
        <v>0</v>
      </c>
      <c r="L2471" s="94">
        <v>-210690</v>
      </c>
      <c r="M2471" s="94">
        <v>0</v>
      </c>
    </row>
    <row r="2472" spans="3:13" x14ac:dyDescent="0.3">
      <c r="C2472" t="s">
        <v>61</v>
      </c>
      <c r="D2472" t="s">
        <v>67</v>
      </c>
      <c r="E2472" t="s">
        <v>68</v>
      </c>
      <c r="F2472" t="s">
        <v>72</v>
      </c>
      <c r="G2472" s="4">
        <v>-1</v>
      </c>
      <c r="H2472" s="4" t="s">
        <v>18</v>
      </c>
      <c r="I2472" s="4" t="s">
        <v>65</v>
      </c>
      <c r="J2472" s="4" t="s">
        <v>66</v>
      </c>
      <c r="K2472" s="4">
        <v>1</v>
      </c>
      <c r="L2472" s="94">
        <v>85759</v>
      </c>
      <c r="M2472" s="94">
        <v>0</v>
      </c>
    </row>
    <row r="2473" spans="3:13" x14ac:dyDescent="0.3">
      <c r="C2473" t="s">
        <v>61</v>
      </c>
      <c r="D2473" t="s">
        <v>67</v>
      </c>
      <c r="E2473" t="s">
        <v>63</v>
      </c>
      <c r="F2473" t="s">
        <v>72</v>
      </c>
      <c r="G2473" s="4">
        <v>1</v>
      </c>
      <c r="H2473" s="4" t="s">
        <v>75</v>
      </c>
      <c r="I2473" s="4" t="s">
        <v>69</v>
      </c>
      <c r="J2473" s="4" t="s">
        <v>66</v>
      </c>
      <c r="K2473" s="4">
        <v>0</v>
      </c>
      <c r="L2473" s="94">
        <v>-1855</v>
      </c>
      <c r="M2473" s="94">
        <v>0</v>
      </c>
    </row>
    <row r="2474" spans="3:13" x14ac:dyDescent="0.3">
      <c r="C2474" t="s">
        <v>70</v>
      </c>
      <c r="D2474" t="s">
        <v>67</v>
      </c>
      <c r="E2474" t="s">
        <v>63</v>
      </c>
      <c r="F2474" t="s">
        <v>25</v>
      </c>
      <c r="G2474" s="4">
        <v>6</v>
      </c>
      <c r="H2474" s="4" t="s">
        <v>18</v>
      </c>
      <c r="I2474" s="4" t="s">
        <v>69</v>
      </c>
      <c r="J2474" s="4" t="s">
        <v>66</v>
      </c>
      <c r="K2474" s="4">
        <v>0</v>
      </c>
      <c r="L2474" s="94">
        <v>-187358</v>
      </c>
      <c r="M2474" s="94">
        <v>0</v>
      </c>
    </row>
    <row r="2475" spans="3:13" x14ac:dyDescent="0.3">
      <c r="C2475" t="s">
        <v>71</v>
      </c>
      <c r="D2475" t="s">
        <v>67</v>
      </c>
      <c r="E2475" t="s">
        <v>63</v>
      </c>
      <c r="F2475" t="s">
        <v>72</v>
      </c>
      <c r="G2475" s="4">
        <v>4</v>
      </c>
      <c r="H2475" s="4" t="s">
        <v>17</v>
      </c>
      <c r="I2475" s="4" t="s">
        <v>69</v>
      </c>
      <c r="J2475" s="4" t="s">
        <v>66</v>
      </c>
      <c r="K2475" s="4">
        <v>0</v>
      </c>
      <c r="L2475" s="94">
        <v>-74239</v>
      </c>
      <c r="M2475" s="94">
        <v>0</v>
      </c>
    </row>
    <row r="2476" spans="3:13" x14ac:dyDescent="0.3">
      <c r="C2476" t="s">
        <v>70</v>
      </c>
      <c r="D2476" t="s">
        <v>62</v>
      </c>
      <c r="E2476" t="s">
        <v>63</v>
      </c>
      <c r="F2476" t="s">
        <v>24</v>
      </c>
      <c r="G2476" s="4">
        <v>12</v>
      </c>
      <c r="I2476" s="4" t="s">
        <v>69</v>
      </c>
      <c r="J2476" s="4" t="s">
        <v>66</v>
      </c>
      <c r="K2476" s="4">
        <v>1</v>
      </c>
      <c r="L2476" s="94">
        <v>-3781</v>
      </c>
      <c r="M2476" s="94">
        <v>0</v>
      </c>
    </row>
    <row r="2477" spans="3:13" x14ac:dyDescent="0.3">
      <c r="C2477" t="s">
        <v>70</v>
      </c>
      <c r="D2477" t="s">
        <v>62</v>
      </c>
      <c r="E2477" t="s">
        <v>68</v>
      </c>
      <c r="F2477" t="s">
        <v>24</v>
      </c>
      <c r="G2477" s="4">
        <v>17</v>
      </c>
      <c r="I2477" s="4" t="s">
        <v>69</v>
      </c>
      <c r="J2477" s="4" t="s">
        <v>66</v>
      </c>
      <c r="K2477" s="4">
        <v>0</v>
      </c>
      <c r="L2477" s="94">
        <v>27649681</v>
      </c>
      <c r="M2477" s="94">
        <v>470044577</v>
      </c>
    </row>
    <row r="2478" spans="3:13" x14ac:dyDescent="0.3">
      <c r="C2478" t="s">
        <v>71</v>
      </c>
      <c r="D2478" t="s">
        <v>67</v>
      </c>
      <c r="E2478" t="s">
        <v>68</v>
      </c>
      <c r="F2478" t="s">
        <v>26</v>
      </c>
      <c r="G2478" s="4">
        <v>9</v>
      </c>
      <c r="H2478" s="4" t="s">
        <v>80</v>
      </c>
      <c r="I2478" s="4" t="s">
        <v>69</v>
      </c>
      <c r="J2478" s="4" t="s">
        <v>66</v>
      </c>
      <c r="K2478" s="4">
        <v>0</v>
      </c>
      <c r="L2478" s="94">
        <v>96342</v>
      </c>
      <c r="M2478" s="94">
        <v>867078</v>
      </c>
    </row>
    <row r="2479" spans="3:13" x14ac:dyDescent="0.3">
      <c r="C2479" t="s">
        <v>61</v>
      </c>
      <c r="D2479" t="s">
        <v>62</v>
      </c>
      <c r="E2479" t="s">
        <v>68</v>
      </c>
      <c r="F2479" t="s">
        <v>25</v>
      </c>
      <c r="G2479" s="4">
        <v>25</v>
      </c>
      <c r="I2479" s="4" t="s">
        <v>69</v>
      </c>
      <c r="J2479" s="4" t="s">
        <v>66</v>
      </c>
      <c r="K2479" s="4">
        <v>0</v>
      </c>
      <c r="L2479" s="94">
        <v>432298</v>
      </c>
      <c r="M2479" s="94">
        <v>10807450</v>
      </c>
    </row>
    <row r="2480" spans="3:13" x14ac:dyDescent="0.3">
      <c r="C2480" t="s">
        <v>61</v>
      </c>
      <c r="D2480" t="s">
        <v>62</v>
      </c>
      <c r="E2480" t="s">
        <v>63</v>
      </c>
      <c r="F2480" t="s">
        <v>24</v>
      </c>
      <c r="G2480" s="4">
        <v>8</v>
      </c>
      <c r="I2480" s="4" t="s">
        <v>69</v>
      </c>
      <c r="J2480" s="4" t="s">
        <v>66</v>
      </c>
      <c r="K2480" s="4">
        <v>1</v>
      </c>
      <c r="L2480" s="94">
        <v>-793</v>
      </c>
      <c r="M2480" s="94">
        <v>0</v>
      </c>
    </row>
    <row r="2481" spans="3:13" x14ac:dyDescent="0.3">
      <c r="C2481" t="s">
        <v>70</v>
      </c>
      <c r="D2481" t="s">
        <v>67</v>
      </c>
      <c r="E2481" t="s">
        <v>68</v>
      </c>
      <c r="F2481" t="s">
        <v>26</v>
      </c>
      <c r="G2481" s="4">
        <v>-1</v>
      </c>
      <c r="H2481" s="4" t="s">
        <v>15</v>
      </c>
      <c r="I2481" s="4" t="s">
        <v>69</v>
      </c>
      <c r="J2481" s="4" t="s">
        <v>73</v>
      </c>
      <c r="K2481" s="4">
        <v>1</v>
      </c>
      <c r="L2481" s="94">
        <v>153155</v>
      </c>
      <c r="M2481" s="94">
        <v>0</v>
      </c>
    </row>
    <row r="2482" spans="3:13" x14ac:dyDescent="0.3">
      <c r="C2482" t="s">
        <v>70</v>
      </c>
      <c r="D2482" t="s">
        <v>67</v>
      </c>
      <c r="E2482" t="s">
        <v>68</v>
      </c>
      <c r="F2482" t="s">
        <v>25</v>
      </c>
      <c r="G2482" s="4">
        <v>5</v>
      </c>
      <c r="H2482" s="4" t="s">
        <v>80</v>
      </c>
      <c r="I2482" s="4" t="s">
        <v>69</v>
      </c>
      <c r="J2482" s="4" t="s">
        <v>66</v>
      </c>
      <c r="K2482" s="4">
        <v>0</v>
      </c>
      <c r="L2482" s="94">
        <v>26104</v>
      </c>
      <c r="M2482" s="94">
        <v>130520</v>
      </c>
    </row>
    <row r="2483" spans="3:13" x14ac:dyDescent="0.3">
      <c r="C2483" t="s">
        <v>61</v>
      </c>
      <c r="D2483" t="s">
        <v>67</v>
      </c>
      <c r="E2483" t="s">
        <v>63</v>
      </c>
      <c r="F2483" t="s">
        <v>26</v>
      </c>
      <c r="G2483" s="4">
        <v>1</v>
      </c>
      <c r="H2483" s="4" t="s">
        <v>81</v>
      </c>
      <c r="I2483" s="4" t="s">
        <v>69</v>
      </c>
      <c r="J2483" s="4" t="s">
        <v>66</v>
      </c>
      <c r="K2483" s="4">
        <v>0</v>
      </c>
      <c r="L2483" s="94">
        <v>-218</v>
      </c>
      <c r="M2483" s="94">
        <v>0</v>
      </c>
    </row>
    <row r="2484" spans="3:13" x14ac:dyDescent="0.3">
      <c r="C2484" t="s">
        <v>61</v>
      </c>
      <c r="D2484" t="s">
        <v>67</v>
      </c>
      <c r="E2484" t="s">
        <v>68</v>
      </c>
      <c r="F2484" t="s">
        <v>25</v>
      </c>
      <c r="G2484" s="4">
        <v>16</v>
      </c>
      <c r="H2484" s="4" t="s">
        <v>74</v>
      </c>
      <c r="I2484" s="4" t="s">
        <v>69</v>
      </c>
      <c r="J2484" s="4" t="s">
        <v>66</v>
      </c>
      <c r="K2484" s="4">
        <v>0</v>
      </c>
      <c r="L2484" s="94">
        <v>267500</v>
      </c>
      <c r="M2484" s="94">
        <v>4280000</v>
      </c>
    </row>
    <row r="2485" spans="3:13" x14ac:dyDescent="0.3">
      <c r="C2485" t="s">
        <v>70</v>
      </c>
      <c r="D2485" t="s">
        <v>67</v>
      </c>
      <c r="E2485" t="s">
        <v>68</v>
      </c>
      <c r="F2485" t="s">
        <v>26</v>
      </c>
      <c r="G2485" s="4">
        <v>-1</v>
      </c>
      <c r="H2485" s="4" t="s">
        <v>14</v>
      </c>
      <c r="I2485" s="4" t="s">
        <v>65</v>
      </c>
      <c r="J2485" s="4" t="s">
        <v>66</v>
      </c>
      <c r="K2485" s="4">
        <v>1</v>
      </c>
      <c r="L2485" s="94">
        <v>46905</v>
      </c>
      <c r="M2485" s="94">
        <v>0</v>
      </c>
    </row>
    <row r="2486" spans="3:13" x14ac:dyDescent="0.3">
      <c r="C2486" t="s">
        <v>71</v>
      </c>
      <c r="D2486" t="s">
        <v>67</v>
      </c>
      <c r="E2486" t="s">
        <v>68</v>
      </c>
      <c r="F2486" t="s">
        <v>26</v>
      </c>
      <c r="G2486" s="4">
        <v>15</v>
      </c>
      <c r="H2486" s="4" t="s">
        <v>17</v>
      </c>
      <c r="I2486" s="4" t="s">
        <v>69</v>
      </c>
      <c r="J2486" s="4" t="s">
        <v>66</v>
      </c>
      <c r="K2486" s="4">
        <v>0</v>
      </c>
      <c r="L2486" s="94">
        <v>72717</v>
      </c>
      <c r="M2486" s="94">
        <v>1090755</v>
      </c>
    </row>
    <row r="2487" spans="3:13" x14ac:dyDescent="0.3">
      <c r="C2487" t="s">
        <v>71</v>
      </c>
      <c r="D2487" t="s">
        <v>67</v>
      </c>
      <c r="E2487" t="s">
        <v>63</v>
      </c>
      <c r="F2487" t="s">
        <v>25</v>
      </c>
      <c r="G2487" s="4">
        <v>1</v>
      </c>
      <c r="H2487" s="4" t="s">
        <v>75</v>
      </c>
      <c r="I2487" s="4" t="s">
        <v>69</v>
      </c>
      <c r="J2487" s="4" t="s">
        <v>66</v>
      </c>
      <c r="K2487" s="4">
        <v>0</v>
      </c>
      <c r="L2487" s="94">
        <v>-2075695</v>
      </c>
      <c r="M2487" s="94">
        <v>0</v>
      </c>
    </row>
    <row r="2488" spans="3:13" x14ac:dyDescent="0.3">
      <c r="C2488" t="s">
        <v>70</v>
      </c>
      <c r="D2488" t="s">
        <v>67</v>
      </c>
      <c r="E2488" t="s">
        <v>63</v>
      </c>
      <c r="F2488" t="s">
        <v>72</v>
      </c>
      <c r="G2488" s="4">
        <v>4</v>
      </c>
      <c r="H2488" s="4" t="s">
        <v>17</v>
      </c>
      <c r="I2488" s="4" t="s">
        <v>69</v>
      </c>
      <c r="J2488" s="4" t="s">
        <v>73</v>
      </c>
      <c r="K2488" s="4">
        <v>1</v>
      </c>
      <c r="L2488" s="94">
        <v>-5602</v>
      </c>
      <c r="M2488" s="94">
        <v>0</v>
      </c>
    </row>
    <row r="2489" spans="3:13" x14ac:dyDescent="0.3">
      <c r="C2489" t="s">
        <v>61</v>
      </c>
      <c r="D2489" t="s">
        <v>67</v>
      </c>
      <c r="E2489" t="s">
        <v>63</v>
      </c>
      <c r="F2489" t="s">
        <v>25</v>
      </c>
      <c r="G2489" s="4">
        <v>17</v>
      </c>
      <c r="H2489" s="4" t="s">
        <v>17</v>
      </c>
      <c r="I2489" s="4" t="s">
        <v>69</v>
      </c>
      <c r="J2489" s="4" t="s">
        <v>66</v>
      </c>
      <c r="K2489" s="4">
        <v>0</v>
      </c>
      <c r="L2489" s="94">
        <v>-12130</v>
      </c>
      <c r="M2489" s="94">
        <v>0</v>
      </c>
    </row>
    <row r="2490" spans="3:13" x14ac:dyDescent="0.3">
      <c r="C2490" t="s">
        <v>61</v>
      </c>
      <c r="D2490" t="s">
        <v>67</v>
      </c>
      <c r="E2490" t="s">
        <v>68</v>
      </c>
      <c r="F2490" t="s">
        <v>26</v>
      </c>
      <c r="G2490" s="4">
        <v>4</v>
      </c>
      <c r="H2490" s="4" t="s">
        <v>17</v>
      </c>
      <c r="I2490" s="4" t="s">
        <v>69</v>
      </c>
      <c r="J2490" s="4" t="s">
        <v>66</v>
      </c>
      <c r="K2490" s="4">
        <v>0</v>
      </c>
      <c r="L2490" s="94">
        <v>29933028</v>
      </c>
      <c r="M2490" s="94">
        <v>119732112</v>
      </c>
    </row>
    <row r="2491" spans="3:13" x14ac:dyDescent="0.3">
      <c r="C2491" t="s">
        <v>70</v>
      </c>
      <c r="D2491" t="s">
        <v>67</v>
      </c>
      <c r="E2491" t="s">
        <v>63</v>
      </c>
      <c r="F2491" t="s">
        <v>72</v>
      </c>
      <c r="G2491" s="4">
        <v>1</v>
      </c>
      <c r="H2491" s="4" t="s">
        <v>75</v>
      </c>
      <c r="I2491" s="4" t="s">
        <v>69</v>
      </c>
      <c r="J2491" s="4" t="s">
        <v>66</v>
      </c>
      <c r="K2491" s="4">
        <v>0</v>
      </c>
      <c r="L2491" s="94">
        <v>-453</v>
      </c>
      <c r="M2491" s="94">
        <v>0</v>
      </c>
    </row>
    <row r="2492" spans="3:13" x14ac:dyDescent="0.3">
      <c r="C2492" t="s">
        <v>71</v>
      </c>
      <c r="D2492" t="s">
        <v>67</v>
      </c>
      <c r="E2492" t="s">
        <v>63</v>
      </c>
      <c r="F2492" t="s">
        <v>25</v>
      </c>
      <c r="G2492" s="4">
        <v>-4</v>
      </c>
      <c r="H2492" s="4" t="s">
        <v>14</v>
      </c>
      <c r="I2492" s="4" t="s">
        <v>69</v>
      </c>
      <c r="J2492" s="4" t="s">
        <v>66</v>
      </c>
      <c r="K2492" s="4">
        <v>0</v>
      </c>
      <c r="L2492" s="94">
        <v>-466945</v>
      </c>
      <c r="M2492" s="94">
        <v>0</v>
      </c>
    </row>
    <row r="2493" spans="3:13" x14ac:dyDescent="0.3">
      <c r="C2493" t="s">
        <v>71</v>
      </c>
      <c r="D2493" t="s">
        <v>67</v>
      </c>
      <c r="E2493" t="s">
        <v>63</v>
      </c>
      <c r="F2493" t="s">
        <v>26</v>
      </c>
      <c r="G2493" s="4">
        <v>1</v>
      </c>
      <c r="H2493" s="4" t="s">
        <v>76</v>
      </c>
      <c r="I2493" s="4" t="s">
        <v>69</v>
      </c>
      <c r="J2493" s="4" t="s">
        <v>66</v>
      </c>
      <c r="K2493" s="4">
        <v>0</v>
      </c>
      <c r="L2493" s="94">
        <v>-653964</v>
      </c>
      <c r="M2493" s="94">
        <v>0</v>
      </c>
    </row>
    <row r="2494" spans="3:13" x14ac:dyDescent="0.3">
      <c r="C2494" t="s">
        <v>61</v>
      </c>
      <c r="D2494" t="s">
        <v>67</v>
      </c>
      <c r="E2494" t="s">
        <v>68</v>
      </c>
      <c r="F2494" t="s">
        <v>72</v>
      </c>
      <c r="G2494" s="4">
        <v>0</v>
      </c>
      <c r="H2494" s="4" t="s">
        <v>78</v>
      </c>
      <c r="I2494" s="4" t="s">
        <v>69</v>
      </c>
      <c r="J2494" s="4" t="s">
        <v>66</v>
      </c>
      <c r="K2494" s="4">
        <v>0</v>
      </c>
      <c r="L2494" s="94">
        <v>3874</v>
      </c>
      <c r="M2494" s="94">
        <v>0</v>
      </c>
    </row>
    <row r="2495" spans="3:13" x14ac:dyDescent="0.3">
      <c r="C2495" t="s">
        <v>61</v>
      </c>
      <c r="D2495" t="s">
        <v>62</v>
      </c>
      <c r="E2495" t="s">
        <v>63</v>
      </c>
      <c r="F2495" t="s">
        <v>24</v>
      </c>
      <c r="G2495" s="4">
        <v>19</v>
      </c>
      <c r="I2495" s="4" t="s">
        <v>69</v>
      </c>
      <c r="J2495" s="4" t="s">
        <v>66</v>
      </c>
      <c r="K2495" s="4">
        <v>0</v>
      </c>
      <c r="L2495" s="94">
        <v>-195505</v>
      </c>
      <c r="M2495" s="94">
        <v>0</v>
      </c>
    </row>
    <row r="2496" spans="3:13" x14ac:dyDescent="0.3">
      <c r="C2496" t="s">
        <v>71</v>
      </c>
      <c r="D2496" t="s">
        <v>67</v>
      </c>
      <c r="E2496" t="s">
        <v>63</v>
      </c>
      <c r="F2496" t="s">
        <v>26</v>
      </c>
      <c r="G2496" s="4">
        <v>4</v>
      </c>
      <c r="H2496" s="4" t="s">
        <v>77</v>
      </c>
      <c r="I2496" s="4" t="s">
        <v>69</v>
      </c>
      <c r="J2496" s="4" t="s">
        <v>66</v>
      </c>
      <c r="K2496" s="4">
        <v>0</v>
      </c>
      <c r="L2496" s="94">
        <v>-168859</v>
      </c>
      <c r="M2496" s="94">
        <v>0</v>
      </c>
    </row>
    <row r="2497" spans="3:13" x14ac:dyDescent="0.3">
      <c r="C2497" t="s">
        <v>71</v>
      </c>
      <c r="D2497" t="s">
        <v>62</v>
      </c>
      <c r="E2497" t="s">
        <v>68</v>
      </c>
      <c r="F2497" t="s">
        <v>24</v>
      </c>
      <c r="G2497" s="4">
        <v>37</v>
      </c>
      <c r="I2497" s="4" t="s">
        <v>65</v>
      </c>
      <c r="J2497" s="4" t="s">
        <v>66</v>
      </c>
      <c r="K2497" s="4">
        <v>1</v>
      </c>
      <c r="L2497" s="94">
        <v>617877</v>
      </c>
      <c r="M2497" s="94">
        <v>22861449</v>
      </c>
    </row>
    <row r="2498" spans="3:13" x14ac:dyDescent="0.3">
      <c r="C2498" t="s">
        <v>61</v>
      </c>
      <c r="D2498" t="s">
        <v>67</v>
      </c>
      <c r="E2498" t="s">
        <v>68</v>
      </c>
      <c r="F2498" t="s">
        <v>72</v>
      </c>
      <c r="G2498" s="4">
        <v>1</v>
      </c>
      <c r="H2498" s="4" t="s">
        <v>17</v>
      </c>
      <c r="I2498" s="4" t="s">
        <v>65</v>
      </c>
      <c r="J2498" s="4" t="s">
        <v>73</v>
      </c>
      <c r="K2498" s="4">
        <v>1</v>
      </c>
      <c r="L2498" s="94">
        <v>639962</v>
      </c>
      <c r="M2498" s="94">
        <v>639962</v>
      </c>
    </row>
    <row r="2499" spans="3:13" x14ac:dyDescent="0.3">
      <c r="C2499" t="s">
        <v>61</v>
      </c>
      <c r="D2499" t="s">
        <v>67</v>
      </c>
      <c r="E2499" t="s">
        <v>68</v>
      </c>
      <c r="F2499" t="s">
        <v>25</v>
      </c>
      <c r="G2499" s="4">
        <v>7</v>
      </c>
      <c r="H2499" s="4" t="s">
        <v>77</v>
      </c>
      <c r="I2499" s="4" t="s">
        <v>69</v>
      </c>
      <c r="J2499" s="4" t="s">
        <v>66</v>
      </c>
      <c r="K2499" s="4">
        <v>0</v>
      </c>
      <c r="L2499" s="94">
        <v>1905117</v>
      </c>
      <c r="M2499" s="94">
        <v>13335819</v>
      </c>
    </row>
    <row r="2500" spans="3:13" x14ac:dyDescent="0.3">
      <c r="C2500" t="s">
        <v>61</v>
      </c>
      <c r="D2500" t="s">
        <v>67</v>
      </c>
      <c r="E2500" t="s">
        <v>68</v>
      </c>
      <c r="F2500" t="s">
        <v>26</v>
      </c>
      <c r="G2500" s="4">
        <v>-1</v>
      </c>
      <c r="H2500" s="4" t="s">
        <v>76</v>
      </c>
      <c r="I2500" s="4" t="s">
        <v>69</v>
      </c>
      <c r="J2500" s="4" t="s">
        <v>66</v>
      </c>
      <c r="K2500" s="4">
        <v>0</v>
      </c>
      <c r="L2500" s="94">
        <v>18878051</v>
      </c>
      <c r="M2500" s="94">
        <v>0</v>
      </c>
    </row>
    <row r="2501" spans="3:13" x14ac:dyDescent="0.3">
      <c r="C2501" t="s">
        <v>70</v>
      </c>
      <c r="D2501" t="s">
        <v>67</v>
      </c>
      <c r="E2501" t="s">
        <v>68</v>
      </c>
      <c r="F2501" t="s">
        <v>25</v>
      </c>
      <c r="G2501" s="4">
        <v>4</v>
      </c>
      <c r="H2501" s="4" t="s">
        <v>74</v>
      </c>
      <c r="I2501" s="4" t="s">
        <v>69</v>
      </c>
      <c r="J2501" s="4" t="s">
        <v>66</v>
      </c>
      <c r="K2501" s="4">
        <v>0</v>
      </c>
      <c r="L2501" s="94">
        <v>211338</v>
      </c>
      <c r="M2501" s="94">
        <v>845352</v>
      </c>
    </row>
    <row r="2502" spans="3:13" x14ac:dyDescent="0.3">
      <c r="C2502" t="s">
        <v>70</v>
      </c>
      <c r="D2502" t="s">
        <v>67</v>
      </c>
      <c r="E2502" t="s">
        <v>68</v>
      </c>
      <c r="F2502" t="s">
        <v>72</v>
      </c>
      <c r="G2502" s="4">
        <v>2</v>
      </c>
      <c r="H2502" s="4" t="s">
        <v>18</v>
      </c>
      <c r="I2502" s="4" t="s">
        <v>69</v>
      </c>
      <c r="J2502" s="4" t="s">
        <v>66</v>
      </c>
      <c r="K2502" s="4">
        <v>0</v>
      </c>
      <c r="L2502" s="94">
        <v>1394189</v>
      </c>
      <c r="M2502" s="94">
        <v>2788378</v>
      </c>
    </row>
    <row r="2503" spans="3:13" x14ac:dyDescent="0.3">
      <c r="C2503" t="s">
        <v>61</v>
      </c>
      <c r="D2503" t="s">
        <v>67</v>
      </c>
      <c r="E2503" t="s">
        <v>68</v>
      </c>
      <c r="F2503" t="s">
        <v>25</v>
      </c>
      <c r="G2503" s="4">
        <v>1</v>
      </c>
      <c r="H2503" s="4" t="s">
        <v>80</v>
      </c>
      <c r="I2503" s="4" t="s">
        <v>69</v>
      </c>
      <c r="J2503" s="4" t="s">
        <v>66</v>
      </c>
      <c r="K2503" s="4">
        <v>0</v>
      </c>
      <c r="L2503" s="94">
        <v>227028</v>
      </c>
      <c r="M2503" s="94">
        <v>227028</v>
      </c>
    </row>
    <row r="2504" spans="3:13" x14ac:dyDescent="0.3">
      <c r="C2504" t="s">
        <v>61</v>
      </c>
      <c r="D2504" t="s">
        <v>67</v>
      </c>
      <c r="E2504" t="s">
        <v>68</v>
      </c>
      <c r="F2504" t="s">
        <v>26</v>
      </c>
      <c r="G2504" s="4">
        <v>5</v>
      </c>
      <c r="H2504" s="4" t="s">
        <v>16</v>
      </c>
      <c r="I2504" s="4" t="s">
        <v>69</v>
      </c>
      <c r="J2504" s="4" t="s">
        <v>66</v>
      </c>
      <c r="K2504" s="4">
        <v>0</v>
      </c>
      <c r="L2504" s="94">
        <v>693817</v>
      </c>
      <c r="M2504" s="94">
        <v>3469085</v>
      </c>
    </row>
    <row r="2505" spans="3:13" x14ac:dyDescent="0.3">
      <c r="C2505" t="s">
        <v>61</v>
      </c>
      <c r="D2505" t="s">
        <v>67</v>
      </c>
      <c r="E2505" t="s">
        <v>63</v>
      </c>
      <c r="F2505" t="s">
        <v>25</v>
      </c>
      <c r="G2505" s="4">
        <v>1</v>
      </c>
      <c r="H2505" s="4" t="s">
        <v>82</v>
      </c>
      <c r="I2505" s="4" t="s">
        <v>69</v>
      </c>
      <c r="J2505" s="4" t="s">
        <v>66</v>
      </c>
      <c r="K2505" s="4">
        <v>0</v>
      </c>
      <c r="L2505" s="94">
        <v>-488</v>
      </c>
      <c r="M2505" s="94">
        <v>0</v>
      </c>
    </row>
    <row r="2506" spans="3:13" x14ac:dyDescent="0.3">
      <c r="C2506" t="s">
        <v>70</v>
      </c>
      <c r="D2506" t="s">
        <v>67</v>
      </c>
      <c r="E2506" t="s">
        <v>63</v>
      </c>
      <c r="F2506" t="s">
        <v>25</v>
      </c>
      <c r="G2506" s="4">
        <v>1</v>
      </c>
      <c r="H2506" s="4" t="s">
        <v>76</v>
      </c>
      <c r="I2506" s="4" t="s">
        <v>69</v>
      </c>
      <c r="J2506" s="4" t="s">
        <v>66</v>
      </c>
      <c r="K2506" s="4">
        <v>0</v>
      </c>
      <c r="L2506" s="94">
        <v>-3070</v>
      </c>
      <c r="M2506" s="94">
        <v>0</v>
      </c>
    </row>
    <row r="2507" spans="3:13" x14ac:dyDescent="0.3">
      <c r="C2507" t="s">
        <v>70</v>
      </c>
      <c r="D2507" t="s">
        <v>67</v>
      </c>
      <c r="E2507" t="s">
        <v>68</v>
      </c>
      <c r="F2507" t="s">
        <v>25</v>
      </c>
      <c r="G2507" s="4">
        <v>-4</v>
      </c>
      <c r="H2507" s="4" t="s">
        <v>75</v>
      </c>
      <c r="I2507" s="4" t="s">
        <v>69</v>
      </c>
      <c r="J2507" s="4" t="s">
        <v>66</v>
      </c>
      <c r="K2507" s="4">
        <v>0</v>
      </c>
      <c r="L2507" s="94">
        <v>1592</v>
      </c>
      <c r="M2507" s="94">
        <v>0</v>
      </c>
    </row>
    <row r="2508" spans="3:13" x14ac:dyDescent="0.3">
      <c r="C2508" t="s">
        <v>61</v>
      </c>
      <c r="D2508" t="s">
        <v>67</v>
      </c>
      <c r="E2508" t="s">
        <v>63</v>
      </c>
      <c r="F2508" t="s">
        <v>25</v>
      </c>
      <c r="G2508" s="4">
        <v>15</v>
      </c>
      <c r="H2508" s="4" t="s">
        <v>78</v>
      </c>
      <c r="I2508" s="4" t="s">
        <v>69</v>
      </c>
      <c r="J2508" s="4" t="s">
        <v>66</v>
      </c>
      <c r="K2508" s="4">
        <v>0</v>
      </c>
      <c r="L2508" s="94">
        <v>-2534</v>
      </c>
      <c r="M2508" s="94">
        <v>0</v>
      </c>
    </row>
    <row r="2509" spans="3:13" x14ac:dyDescent="0.3">
      <c r="C2509" t="s">
        <v>71</v>
      </c>
      <c r="D2509" t="s">
        <v>67</v>
      </c>
      <c r="E2509" t="s">
        <v>63</v>
      </c>
      <c r="F2509" t="s">
        <v>26</v>
      </c>
      <c r="G2509" s="4">
        <v>5</v>
      </c>
      <c r="H2509" s="4" t="s">
        <v>14</v>
      </c>
      <c r="I2509" s="4" t="s">
        <v>69</v>
      </c>
      <c r="J2509" s="4" t="s">
        <v>73</v>
      </c>
      <c r="K2509" s="4">
        <v>1</v>
      </c>
      <c r="L2509" s="94">
        <v>-590747</v>
      </c>
      <c r="M2509" s="94">
        <v>0</v>
      </c>
    </row>
    <row r="2510" spans="3:13" x14ac:dyDescent="0.3">
      <c r="C2510" t="s">
        <v>70</v>
      </c>
      <c r="D2510" t="s">
        <v>67</v>
      </c>
      <c r="E2510" t="s">
        <v>63</v>
      </c>
      <c r="F2510" t="s">
        <v>25</v>
      </c>
      <c r="G2510" s="4">
        <v>15</v>
      </c>
      <c r="H2510" s="4" t="s">
        <v>79</v>
      </c>
      <c r="I2510" s="4" t="s">
        <v>69</v>
      </c>
      <c r="J2510" s="4" t="s">
        <v>66</v>
      </c>
      <c r="K2510" s="4">
        <v>0</v>
      </c>
      <c r="L2510" s="94">
        <v>-17414</v>
      </c>
      <c r="M2510" s="94">
        <v>0</v>
      </c>
    </row>
    <row r="2511" spans="3:13" x14ac:dyDescent="0.3">
      <c r="C2511" t="s">
        <v>61</v>
      </c>
      <c r="D2511" t="s">
        <v>62</v>
      </c>
      <c r="E2511" t="s">
        <v>68</v>
      </c>
      <c r="F2511" t="s">
        <v>24</v>
      </c>
      <c r="G2511" s="4">
        <v>29</v>
      </c>
      <c r="I2511" s="4" t="s">
        <v>69</v>
      </c>
      <c r="J2511" s="4" t="s">
        <v>66</v>
      </c>
      <c r="K2511" s="4">
        <v>1</v>
      </c>
      <c r="L2511" s="94">
        <v>2057204</v>
      </c>
      <c r="M2511" s="94">
        <v>59658916</v>
      </c>
    </row>
    <row r="2512" spans="3:13" x14ac:dyDescent="0.3">
      <c r="C2512" t="s">
        <v>70</v>
      </c>
      <c r="D2512" t="s">
        <v>62</v>
      </c>
      <c r="E2512" t="s">
        <v>63</v>
      </c>
      <c r="F2512" t="s">
        <v>24</v>
      </c>
      <c r="G2512" s="4">
        <v>23</v>
      </c>
      <c r="I2512" s="4" t="s">
        <v>69</v>
      </c>
      <c r="J2512" s="4" t="s">
        <v>73</v>
      </c>
      <c r="K2512" s="4">
        <v>1</v>
      </c>
      <c r="L2512" s="94">
        <v>-4</v>
      </c>
      <c r="M2512" s="94">
        <v>0</v>
      </c>
    </row>
    <row r="2513" spans="3:13" x14ac:dyDescent="0.3">
      <c r="C2513" t="s">
        <v>70</v>
      </c>
      <c r="D2513" t="s">
        <v>67</v>
      </c>
      <c r="E2513" t="s">
        <v>68</v>
      </c>
      <c r="F2513" t="s">
        <v>72</v>
      </c>
      <c r="G2513" s="4">
        <v>4</v>
      </c>
      <c r="H2513" s="4" t="s">
        <v>17</v>
      </c>
      <c r="I2513" s="4" t="s">
        <v>65</v>
      </c>
      <c r="J2513" s="4" t="s">
        <v>73</v>
      </c>
      <c r="K2513" s="4">
        <v>1</v>
      </c>
      <c r="L2513" s="94">
        <v>102638</v>
      </c>
      <c r="M2513" s="94">
        <v>410552</v>
      </c>
    </row>
    <row r="2514" spans="3:13" x14ac:dyDescent="0.3">
      <c r="C2514" t="s">
        <v>70</v>
      </c>
      <c r="D2514" t="s">
        <v>67</v>
      </c>
      <c r="E2514" t="s">
        <v>63</v>
      </c>
      <c r="F2514" t="s">
        <v>72</v>
      </c>
      <c r="G2514" s="4">
        <v>-1</v>
      </c>
      <c r="H2514" s="4" t="s">
        <v>77</v>
      </c>
      <c r="I2514" s="4" t="s">
        <v>69</v>
      </c>
      <c r="J2514" s="4" t="s">
        <v>66</v>
      </c>
      <c r="K2514" s="4">
        <v>0</v>
      </c>
      <c r="L2514" s="94">
        <v>-15426</v>
      </c>
      <c r="M2514" s="94">
        <v>0</v>
      </c>
    </row>
    <row r="2515" spans="3:13" x14ac:dyDescent="0.3">
      <c r="C2515" t="s">
        <v>61</v>
      </c>
      <c r="D2515" t="s">
        <v>62</v>
      </c>
      <c r="E2515" t="s">
        <v>68</v>
      </c>
      <c r="F2515" t="s">
        <v>24</v>
      </c>
      <c r="G2515" s="4">
        <v>24</v>
      </c>
      <c r="I2515" s="4" t="s">
        <v>69</v>
      </c>
      <c r="J2515" s="4" t="s">
        <v>66</v>
      </c>
      <c r="K2515" s="4">
        <v>1</v>
      </c>
      <c r="L2515" s="94">
        <v>2006726</v>
      </c>
      <c r="M2515" s="94">
        <v>48161424</v>
      </c>
    </row>
    <row r="2516" spans="3:13" x14ac:dyDescent="0.3">
      <c r="C2516" t="s">
        <v>61</v>
      </c>
      <c r="D2516" t="s">
        <v>67</v>
      </c>
      <c r="E2516" t="s">
        <v>63</v>
      </c>
      <c r="F2516" t="s">
        <v>26</v>
      </c>
      <c r="G2516" s="4">
        <v>9</v>
      </c>
      <c r="H2516" s="4" t="s">
        <v>14</v>
      </c>
      <c r="I2516" s="4" t="s">
        <v>69</v>
      </c>
      <c r="J2516" s="4" t="s">
        <v>66</v>
      </c>
      <c r="K2516" s="4">
        <v>0</v>
      </c>
      <c r="L2516" s="94">
        <v>-28340</v>
      </c>
      <c r="M2516" s="94">
        <v>0</v>
      </c>
    </row>
    <row r="2517" spans="3:13" x14ac:dyDescent="0.3">
      <c r="C2517" t="s">
        <v>61</v>
      </c>
      <c r="D2517" t="s">
        <v>67</v>
      </c>
      <c r="E2517" t="s">
        <v>63</v>
      </c>
      <c r="F2517" t="s">
        <v>26</v>
      </c>
      <c r="G2517" s="4">
        <v>4</v>
      </c>
      <c r="H2517" s="4" t="s">
        <v>17</v>
      </c>
      <c r="I2517" s="4" t="s">
        <v>69</v>
      </c>
      <c r="J2517" s="4" t="s">
        <v>66</v>
      </c>
      <c r="K2517" s="4">
        <v>0</v>
      </c>
      <c r="L2517" s="94">
        <v>-79908</v>
      </c>
      <c r="M2517" s="94">
        <v>0</v>
      </c>
    </row>
    <row r="2518" spans="3:13" x14ac:dyDescent="0.3">
      <c r="C2518" t="s">
        <v>70</v>
      </c>
      <c r="D2518" t="s">
        <v>67</v>
      </c>
      <c r="E2518" t="s">
        <v>63</v>
      </c>
      <c r="F2518" t="s">
        <v>25</v>
      </c>
      <c r="G2518" s="4">
        <v>6</v>
      </c>
      <c r="H2518" s="4" t="s">
        <v>76</v>
      </c>
      <c r="I2518" s="4" t="s">
        <v>69</v>
      </c>
      <c r="J2518" s="4" t="s">
        <v>66</v>
      </c>
      <c r="K2518" s="4">
        <v>0</v>
      </c>
      <c r="L2518" s="94">
        <v>-331237</v>
      </c>
      <c r="M2518" s="94">
        <v>0</v>
      </c>
    </row>
    <row r="2519" spans="3:13" x14ac:dyDescent="0.3">
      <c r="C2519" t="s">
        <v>71</v>
      </c>
      <c r="D2519" t="s">
        <v>67</v>
      </c>
      <c r="E2519" t="s">
        <v>63</v>
      </c>
      <c r="F2519" t="s">
        <v>72</v>
      </c>
      <c r="G2519" s="4">
        <v>4</v>
      </c>
      <c r="H2519" s="4" t="s">
        <v>82</v>
      </c>
      <c r="I2519" s="4" t="s">
        <v>69</v>
      </c>
      <c r="J2519" s="4" t="s">
        <v>66</v>
      </c>
      <c r="K2519" s="4">
        <v>0</v>
      </c>
      <c r="L2519" s="94">
        <v>-62772</v>
      </c>
      <c r="M2519" s="94">
        <v>0</v>
      </c>
    </row>
    <row r="2520" spans="3:13" x14ac:dyDescent="0.3">
      <c r="C2520" t="s">
        <v>61</v>
      </c>
      <c r="D2520" t="s">
        <v>67</v>
      </c>
      <c r="E2520" t="s">
        <v>63</v>
      </c>
      <c r="F2520" t="s">
        <v>25</v>
      </c>
      <c r="G2520" s="4">
        <v>6</v>
      </c>
      <c r="H2520" s="4" t="s">
        <v>82</v>
      </c>
      <c r="I2520" s="4" t="s">
        <v>69</v>
      </c>
      <c r="J2520" s="4" t="s">
        <v>66</v>
      </c>
      <c r="K2520" s="4">
        <v>0</v>
      </c>
      <c r="L2520" s="94">
        <v>-233</v>
      </c>
      <c r="M2520" s="94">
        <v>0</v>
      </c>
    </row>
    <row r="2521" spans="3:13" x14ac:dyDescent="0.3">
      <c r="C2521" t="s">
        <v>61</v>
      </c>
      <c r="D2521" t="s">
        <v>62</v>
      </c>
      <c r="E2521" t="s">
        <v>68</v>
      </c>
      <c r="F2521" t="s">
        <v>24</v>
      </c>
      <c r="G2521" s="4">
        <v>2</v>
      </c>
      <c r="I2521" s="4" t="s">
        <v>69</v>
      </c>
      <c r="J2521" s="4" t="s">
        <v>66</v>
      </c>
      <c r="K2521" s="4">
        <v>0</v>
      </c>
      <c r="L2521" s="94">
        <v>21127909</v>
      </c>
      <c r="M2521" s="94">
        <v>42255818</v>
      </c>
    </row>
    <row r="2522" spans="3:13" x14ac:dyDescent="0.3">
      <c r="C2522" t="s">
        <v>71</v>
      </c>
      <c r="D2522" t="s">
        <v>67</v>
      </c>
      <c r="E2522" t="s">
        <v>63</v>
      </c>
      <c r="F2522" t="s">
        <v>72</v>
      </c>
      <c r="G2522" s="4">
        <v>1</v>
      </c>
      <c r="H2522" s="4" t="s">
        <v>13</v>
      </c>
      <c r="I2522" s="4" t="s">
        <v>69</v>
      </c>
      <c r="J2522" s="4" t="s">
        <v>73</v>
      </c>
      <c r="K2522" s="4">
        <v>1</v>
      </c>
      <c r="L2522" s="94">
        <v>-43586</v>
      </c>
      <c r="M2522" s="94">
        <v>0</v>
      </c>
    </row>
    <row r="2523" spans="3:13" x14ac:dyDescent="0.3">
      <c r="C2523" t="s">
        <v>70</v>
      </c>
      <c r="D2523" t="s">
        <v>67</v>
      </c>
      <c r="E2523" t="s">
        <v>68</v>
      </c>
      <c r="F2523" t="s">
        <v>72</v>
      </c>
      <c r="G2523" s="4">
        <v>7</v>
      </c>
      <c r="H2523" s="4" t="s">
        <v>83</v>
      </c>
      <c r="I2523" s="4" t="s">
        <v>69</v>
      </c>
      <c r="J2523" s="4" t="s">
        <v>66</v>
      </c>
      <c r="K2523" s="4">
        <v>0</v>
      </c>
      <c r="L2523" s="94">
        <v>242677</v>
      </c>
      <c r="M2523" s="94">
        <v>1698739</v>
      </c>
    </row>
    <row r="2524" spans="3:13" x14ac:dyDescent="0.3">
      <c r="C2524" t="s">
        <v>71</v>
      </c>
      <c r="D2524" t="s">
        <v>67</v>
      </c>
      <c r="E2524" t="s">
        <v>63</v>
      </c>
      <c r="F2524" t="s">
        <v>26</v>
      </c>
      <c r="G2524" s="4">
        <v>0</v>
      </c>
      <c r="H2524" s="4" t="s">
        <v>75</v>
      </c>
      <c r="I2524" s="4" t="s">
        <v>69</v>
      </c>
      <c r="J2524" s="4" t="s">
        <v>66</v>
      </c>
      <c r="K2524" s="4">
        <v>0</v>
      </c>
      <c r="L2524" s="94">
        <v>-25483</v>
      </c>
      <c r="M2524" s="94">
        <v>0</v>
      </c>
    </row>
    <row r="2525" spans="3:13" x14ac:dyDescent="0.3">
      <c r="C2525" t="s">
        <v>61</v>
      </c>
      <c r="D2525" t="s">
        <v>67</v>
      </c>
      <c r="E2525" t="s">
        <v>68</v>
      </c>
      <c r="F2525" t="s">
        <v>72</v>
      </c>
      <c r="G2525" s="4">
        <v>3</v>
      </c>
      <c r="H2525" s="4" t="s">
        <v>14</v>
      </c>
      <c r="I2525" s="4" t="s">
        <v>65</v>
      </c>
      <c r="J2525" s="4" t="s">
        <v>73</v>
      </c>
      <c r="K2525" s="4">
        <v>1</v>
      </c>
      <c r="L2525" s="94">
        <v>18701</v>
      </c>
      <c r="M2525" s="94">
        <v>56103</v>
      </c>
    </row>
    <row r="2526" spans="3:13" x14ac:dyDescent="0.3">
      <c r="C2526" t="s">
        <v>61</v>
      </c>
      <c r="D2526" t="s">
        <v>67</v>
      </c>
      <c r="E2526" t="s">
        <v>68</v>
      </c>
      <c r="F2526" t="s">
        <v>25</v>
      </c>
      <c r="G2526" s="4">
        <v>10</v>
      </c>
      <c r="H2526" s="4" t="s">
        <v>18</v>
      </c>
      <c r="I2526" s="4" t="s">
        <v>69</v>
      </c>
      <c r="J2526" s="4" t="s">
        <v>66</v>
      </c>
      <c r="K2526" s="4">
        <v>0</v>
      </c>
      <c r="L2526" s="94">
        <v>10699255</v>
      </c>
      <c r="M2526" s="94">
        <v>106992550</v>
      </c>
    </row>
    <row r="2527" spans="3:13" x14ac:dyDescent="0.3">
      <c r="C2527" t="s">
        <v>71</v>
      </c>
      <c r="D2527" t="s">
        <v>67</v>
      </c>
      <c r="E2527" t="s">
        <v>63</v>
      </c>
      <c r="F2527" t="s">
        <v>26</v>
      </c>
      <c r="G2527" s="4">
        <v>-4</v>
      </c>
      <c r="H2527" s="4" t="s">
        <v>64</v>
      </c>
      <c r="I2527" s="4" t="s">
        <v>69</v>
      </c>
      <c r="J2527" s="4" t="s">
        <v>66</v>
      </c>
      <c r="K2527" s="4">
        <v>0</v>
      </c>
      <c r="L2527" s="94">
        <v>-554193</v>
      </c>
      <c r="M2527" s="94">
        <v>0</v>
      </c>
    </row>
    <row r="2528" spans="3:13" x14ac:dyDescent="0.3">
      <c r="C2528" t="s">
        <v>71</v>
      </c>
      <c r="D2528" t="s">
        <v>67</v>
      </c>
      <c r="E2528" t="s">
        <v>68</v>
      </c>
      <c r="F2528" t="s">
        <v>72</v>
      </c>
      <c r="G2528" s="4">
        <v>1</v>
      </c>
      <c r="H2528" s="4" t="s">
        <v>12</v>
      </c>
      <c r="I2528" s="4" t="s">
        <v>69</v>
      </c>
      <c r="J2528" s="4" t="s">
        <v>66</v>
      </c>
      <c r="K2528" s="4">
        <v>0</v>
      </c>
      <c r="L2528" s="94">
        <v>47165</v>
      </c>
      <c r="M2528" s="94">
        <v>47165</v>
      </c>
    </row>
    <row r="2529" spans="3:13" x14ac:dyDescent="0.3">
      <c r="C2529" t="s">
        <v>71</v>
      </c>
      <c r="D2529" t="s">
        <v>67</v>
      </c>
      <c r="E2529" t="s">
        <v>63</v>
      </c>
      <c r="F2529" t="s">
        <v>25</v>
      </c>
      <c r="G2529" s="4">
        <v>11</v>
      </c>
      <c r="H2529" s="4" t="s">
        <v>76</v>
      </c>
      <c r="I2529" s="4" t="s">
        <v>69</v>
      </c>
      <c r="J2529" s="4" t="s">
        <v>66</v>
      </c>
      <c r="K2529" s="4">
        <v>0</v>
      </c>
      <c r="L2529" s="94">
        <v>-22332</v>
      </c>
      <c r="M2529" s="94">
        <v>0</v>
      </c>
    </row>
    <row r="2530" spans="3:13" x14ac:dyDescent="0.3">
      <c r="C2530" t="s">
        <v>70</v>
      </c>
      <c r="D2530" t="s">
        <v>62</v>
      </c>
      <c r="E2530" t="s">
        <v>63</v>
      </c>
      <c r="F2530" t="s">
        <v>24</v>
      </c>
      <c r="G2530" s="4">
        <v>-1</v>
      </c>
      <c r="I2530" s="4" t="s">
        <v>69</v>
      </c>
      <c r="J2530" s="4" t="s">
        <v>66</v>
      </c>
      <c r="K2530" s="4">
        <v>0</v>
      </c>
      <c r="L2530" s="94">
        <v>-3811</v>
      </c>
      <c r="M2530" s="94">
        <v>0</v>
      </c>
    </row>
    <row r="2531" spans="3:13" x14ac:dyDescent="0.3">
      <c r="C2531" t="s">
        <v>61</v>
      </c>
      <c r="D2531" t="s">
        <v>67</v>
      </c>
      <c r="E2531" t="s">
        <v>68</v>
      </c>
      <c r="F2531" t="s">
        <v>25</v>
      </c>
      <c r="G2531" s="4">
        <v>13</v>
      </c>
      <c r="H2531" s="4" t="s">
        <v>74</v>
      </c>
      <c r="I2531" s="4" t="s">
        <v>69</v>
      </c>
      <c r="J2531" s="4" t="s">
        <v>66</v>
      </c>
      <c r="K2531" s="4">
        <v>0</v>
      </c>
      <c r="L2531" s="94">
        <v>2679192</v>
      </c>
      <c r="M2531" s="94">
        <v>34829496</v>
      </c>
    </row>
    <row r="2532" spans="3:13" x14ac:dyDescent="0.3">
      <c r="C2532" t="s">
        <v>61</v>
      </c>
      <c r="D2532" t="s">
        <v>67</v>
      </c>
      <c r="E2532" t="s">
        <v>63</v>
      </c>
      <c r="F2532" t="s">
        <v>72</v>
      </c>
      <c r="G2532" s="4">
        <v>1</v>
      </c>
      <c r="H2532" s="4" t="s">
        <v>13</v>
      </c>
      <c r="I2532" s="4" t="s">
        <v>69</v>
      </c>
      <c r="J2532" s="4" t="s">
        <v>66</v>
      </c>
      <c r="K2532" s="4">
        <v>0</v>
      </c>
      <c r="L2532" s="94">
        <v>-121</v>
      </c>
      <c r="M2532" s="94">
        <v>0</v>
      </c>
    </row>
    <row r="2533" spans="3:13" x14ac:dyDescent="0.3">
      <c r="C2533" t="s">
        <v>61</v>
      </c>
      <c r="D2533" t="s">
        <v>67</v>
      </c>
      <c r="E2533" t="s">
        <v>63</v>
      </c>
      <c r="F2533" t="s">
        <v>25</v>
      </c>
      <c r="G2533" s="4">
        <v>-4</v>
      </c>
      <c r="H2533" s="4" t="s">
        <v>76</v>
      </c>
      <c r="I2533" s="4" t="s">
        <v>69</v>
      </c>
      <c r="J2533" s="4" t="s">
        <v>66</v>
      </c>
      <c r="K2533" s="4">
        <v>0</v>
      </c>
      <c r="L2533" s="94">
        <v>0</v>
      </c>
      <c r="M2533" s="94">
        <v>0</v>
      </c>
    </row>
    <row r="2534" spans="3:13" x14ac:dyDescent="0.3">
      <c r="C2534" t="s">
        <v>70</v>
      </c>
      <c r="D2534" t="s">
        <v>67</v>
      </c>
      <c r="E2534" t="s">
        <v>63</v>
      </c>
      <c r="F2534" t="s">
        <v>25</v>
      </c>
      <c r="G2534" s="4">
        <v>-4</v>
      </c>
      <c r="H2534" s="4" t="s">
        <v>82</v>
      </c>
      <c r="I2534" s="4" t="s">
        <v>69</v>
      </c>
      <c r="J2534" s="4" t="s">
        <v>66</v>
      </c>
      <c r="K2534" s="4">
        <v>0</v>
      </c>
      <c r="L2534" s="94">
        <v>-25146</v>
      </c>
      <c r="M2534" s="94">
        <v>0</v>
      </c>
    </row>
    <row r="2535" spans="3:13" x14ac:dyDescent="0.3">
      <c r="C2535" t="s">
        <v>61</v>
      </c>
      <c r="D2535" t="s">
        <v>67</v>
      </c>
      <c r="E2535" t="s">
        <v>68</v>
      </c>
      <c r="F2535" t="s">
        <v>26</v>
      </c>
      <c r="G2535" s="4">
        <v>3</v>
      </c>
      <c r="H2535" s="4" t="s">
        <v>16</v>
      </c>
      <c r="I2535" s="4" t="s">
        <v>69</v>
      </c>
      <c r="J2535" s="4" t="s">
        <v>66</v>
      </c>
      <c r="K2535" s="4">
        <v>0</v>
      </c>
      <c r="L2535" s="94">
        <v>5094693</v>
      </c>
      <c r="M2535" s="94">
        <v>15284079</v>
      </c>
    </row>
    <row r="2536" spans="3:13" x14ac:dyDescent="0.3">
      <c r="C2536" t="s">
        <v>61</v>
      </c>
      <c r="D2536" t="s">
        <v>62</v>
      </c>
      <c r="E2536" t="s">
        <v>63</v>
      </c>
      <c r="F2536" t="s">
        <v>25</v>
      </c>
      <c r="G2536" s="4">
        <v>1</v>
      </c>
      <c r="I2536" s="4" t="s">
        <v>69</v>
      </c>
      <c r="J2536" s="4" t="s">
        <v>66</v>
      </c>
      <c r="K2536" s="4">
        <v>0</v>
      </c>
      <c r="L2536" s="94">
        <v>-5243</v>
      </c>
      <c r="M2536" s="94">
        <v>0</v>
      </c>
    </row>
    <row r="2537" spans="3:13" x14ac:dyDescent="0.3">
      <c r="C2537" t="s">
        <v>61</v>
      </c>
      <c r="D2537" t="s">
        <v>67</v>
      </c>
      <c r="E2537" t="s">
        <v>63</v>
      </c>
      <c r="F2537" t="s">
        <v>25</v>
      </c>
      <c r="G2537" s="4">
        <v>1</v>
      </c>
      <c r="H2537" s="4" t="s">
        <v>17</v>
      </c>
      <c r="I2537" s="4" t="s">
        <v>69</v>
      </c>
      <c r="J2537" s="4" t="s">
        <v>66</v>
      </c>
      <c r="K2537" s="4">
        <v>0</v>
      </c>
      <c r="L2537" s="94">
        <v>-40868</v>
      </c>
      <c r="M2537" s="94">
        <v>0</v>
      </c>
    </row>
    <row r="2538" spans="3:13" x14ac:dyDescent="0.3">
      <c r="C2538" t="s">
        <v>71</v>
      </c>
      <c r="D2538" t="s">
        <v>67</v>
      </c>
      <c r="E2538" t="s">
        <v>68</v>
      </c>
      <c r="F2538" t="s">
        <v>26</v>
      </c>
      <c r="G2538" s="4">
        <v>-1</v>
      </c>
      <c r="H2538" s="4" t="s">
        <v>74</v>
      </c>
      <c r="I2538" s="4" t="s">
        <v>69</v>
      </c>
      <c r="J2538" s="4" t="s">
        <v>66</v>
      </c>
      <c r="K2538" s="4">
        <v>0</v>
      </c>
      <c r="L2538" s="94">
        <v>2270788</v>
      </c>
      <c r="M2538" s="94">
        <v>0</v>
      </c>
    </row>
    <row r="2539" spans="3:13" x14ac:dyDescent="0.3">
      <c r="C2539" t="s">
        <v>61</v>
      </c>
      <c r="D2539" t="s">
        <v>67</v>
      </c>
      <c r="E2539" t="s">
        <v>68</v>
      </c>
      <c r="F2539" t="s">
        <v>72</v>
      </c>
      <c r="G2539" s="4">
        <v>6</v>
      </c>
      <c r="H2539" s="4" t="s">
        <v>75</v>
      </c>
      <c r="I2539" s="4" t="s">
        <v>69</v>
      </c>
      <c r="J2539" s="4" t="s">
        <v>66</v>
      </c>
      <c r="K2539" s="4">
        <v>0</v>
      </c>
      <c r="L2539" s="94">
        <v>1367036</v>
      </c>
      <c r="M2539" s="94">
        <v>8202216</v>
      </c>
    </row>
    <row r="2540" spans="3:13" x14ac:dyDescent="0.3">
      <c r="C2540" t="s">
        <v>70</v>
      </c>
      <c r="D2540" t="s">
        <v>67</v>
      </c>
      <c r="E2540" t="s">
        <v>68</v>
      </c>
      <c r="F2540" t="s">
        <v>72</v>
      </c>
      <c r="G2540" s="4">
        <v>1</v>
      </c>
      <c r="H2540" s="4" t="s">
        <v>14</v>
      </c>
      <c r="I2540" s="4" t="s">
        <v>69</v>
      </c>
      <c r="J2540" s="4" t="s">
        <v>73</v>
      </c>
      <c r="K2540" s="4">
        <v>1</v>
      </c>
      <c r="L2540" s="94">
        <v>828235</v>
      </c>
      <c r="M2540" s="94">
        <v>828235</v>
      </c>
    </row>
    <row r="2541" spans="3:13" x14ac:dyDescent="0.3">
      <c r="C2541" t="s">
        <v>70</v>
      </c>
      <c r="D2541" t="s">
        <v>67</v>
      </c>
      <c r="E2541" t="s">
        <v>68</v>
      </c>
      <c r="F2541" t="s">
        <v>72</v>
      </c>
      <c r="G2541" s="4">
        <v>2</v>
      </c>
      <c r="H2541" s="4" t="s">
        <v>76</v>
      </c>
      <c r="I2541" s="4" t="s">
        <v>69</v>
      </c>
      <c r="J2541" s="4" t="s">
        <v>66</v>
      </c>
      <c r="K2541" s="4">
        <v>0</v>
      </c>
      <c r="L2541" s="94">
        <v>213135</v>
      </c>
      <c r="M2541" s="94">
        <v>426270</v>
      </c>
    </row>
    <row r="2542" spans="3:13" x14ac:dyDescent="0.3">
      <c r="C2542" t="s">
        <v>70</v>
      </c>
      <c r="D2542" t="s">
        <v>62</v>
      </c>
      <c r="E2542" t="s">
        <v>68</v>
      </c>
      <c r="F2542" t="s">
        <v>25</v>
      </c>
      <c r="G2542" s="4">
        <v>5</v>
      </c>
      <c r="I2542" s="4" t="s">
        <v>69</v>
      </c>
      <c r="J2542" s="4" t="s">
        <v>66</v>
      </c>
      <c r="K2542" s="4">
        <v>0</v>
      </c>
      <c r="L2542" s="94">
        <v>895958</v>
      </c>
      <c r="M2542" s="94">
        <v>4479790</v>
      </c>
    </row>
    <row r="2543" spans="3:13" x14ac:dyDescent="0.3">
      <c r="C2543" t="s">
        <v>70</v>
      </c>
      <c r="D2543" t="s">
        <v>67</v>
      </c>
      <c r="E2543" t="s">
        <v>68</v>
      </c>
      <c r="F2543" t="s">
        <v>25</v>
      </c>
      <c r="G2543" s="4">
        <v>4</v>
      </c>
      <c r="H2543" s="4" t="s">
        <v>14</v>
      </c>
      <c r="I2543" s="4" t="s">
        <v>69</v>
      </c>
      <c r="J2543" s="4" t="s">
        <v>66</v>
      </c>
      <c r="K2543" s="4">
        <v>0</v>
      </c>
      <c r="L2543" s="94">
        <v>1535250</v>
      </c>
      <c r="M2543" s="94">
        <v>6141000</v>
      </c>
    </row>
    <row r="2544" spans="3:13" x14ac:dyDescent="0.3">
      <c r="C2544" t="s">
        <v>70</v>
      </c>
      <c r="D2544" t="s">
        <v>62</v>
      </c>
      <c r="E2544" t="s">
        <v>63</v>
      </c>
      <c r="F2544" t="s">
        <v>25</v>
      </c>
      <c r="G2544" s="4">
        <v>0</v>
      </c>
      <c r="I2544" s="4" t="s">
        <v>65</v>
      </c>
      <c r="J2544" s="4" t="s">
        <v>66</v>
      </c>
      <c r="K2544" s="4">
        <v>1</v>
      </c>
      <c r="L2544" s="94">
        <v>-6</v>
      </c>
      <c r="M2544" s="94">
        <v>0</v>
      </c>
    </row>
    <row r="2545" spans="3:13" x14ac:dyDescent="0.3">
      <c r="C2545" t="s">
        <v>70</v>
      </c>
      <c r="D2545" t="s">
        <v>62</v>
      </c>
      <c r="E2545" t="s">
        <v>68</v>
      </c>
      <c r="F2545" t="s">
        <v>24</v>
      </c>
      <c r="G2545" s="4">
        <v>20</v>
      </c>
      <c r="I2545" s="4" t="s">
        <v>69</v>
      </c>
      <c r="J2545" s="4" t="s">
        <v>66</v>
      </c>
      <c r="K2545" s="4">
        <v>0</v>
      </c>
      <c r="L2545" s="94">
        <v>46293226</v>
      </c>
      <c r="M2545" s="94">
        <v>925864520</v>
      </c>
    </row>
    <row r="2546" spans="3:13" x14ac:dyDescent="0.3">
      <c r="C2546" t="s">
        <v>61</v>
      </c>
      <c r="D2546" t="s">
        <v>67</v>
      </c>
      <c r="E2546" t="s">
        <v>63</v>
      </c>
      <c r="F2546" t="s">
        <v>72</v>
      </c>
      <c r="G2546" s="4">
        <v>-1</v>
      </c>
      <c r="H2546" s="4" t="s">
        <v>77</v>
      </c>
      <c r="I2546" s="4" t="s">
        <v>69</v>
      </c>
      <c r="J2546" s="4" t="s">
        <v>66</v>
      </c>
      <c r="K2546" s="4">
        <v>0</v>
      </c>
      <c r="L2546" s="94">
        <v>-737</v>
      </c>
      <c r="M2546" s="94">
        <v>0</v>
      </c>
    </row>
    <row r="2547" spans="3:13" x14ac:dyDescent="0.3">
      <c r="C2547" t="s">
        <v>61</v>
      </c>
      <c r="D2547" t="s">
        <v>67</v>
      </c>
      <c r="E2547" t="s">
        <v>68</v>
      </c>
      <c r="F2547" t="s">
        <v>26</v>
      </c>
      <c r="G2547" s="4">
        <v>5</v>
      </c>
      <c r="H2547" s="4" t="s">
        <v>81</v>
      </c>
      <c r="I2547" s="4" t="s">
        <v>69</v>
      </c>
      <c r="J2547" s="4" t="s">
        <v>66</v>
      </c>
      <c r="K2547" s="4">
        <v>0</v>
      </c>
      <c r="L2547" s="94">
        <v>246453</v>
      </c>
      <c r="M2547" s="94">
        <v>1232265</v>
      </c>
    </row>
    <row r="2548" spans="3:13" x14ac:dyDescent="0.3">
      <c r="C2548" t="s">
        <v>70</v>
      </c>
      <c r="D2548" t="s">
        <v>67</v>
      </c>
      <c r="E2548" t="s">
        <v>63</v>
      </c>
      <c r="F2548" t="s">
        <v>25</v>
      </c>
      <c r="G2548" s="4">
        <v>5</v>
      </c>
      <c r="H2548" s="4" t="s">
        <v>14</v>
      </c>
      <c r="I2548" s="4" t="s">
        <v>69</v>
      </c>
      <c r="J2548" s="4" t="s">
        <v>66</v>
      </c>
      <c r="K2548" s="4">
        <v>1</v>
      </c>
      <c r="L2548" s="94">
        <v>-41733</v>
      </c>
      <c r="M2548" s="94">
        <v>0</v>
      </c>
    </row>
    <row r="2549" spans="3:13" x14ac:dyDescent="0.3">
      <c r="C2549" t="s">
        <v>61</v>
      </c>
      <c r="D2549" t="s">
        <v>62</v>
      </c>
      <c r="E2549" t="s">
        <v>68</v>
      </c>
      <c r="F2549" t="s">
        <v>24</v>
      </c>
      <c r="G2549" s="4">
        <v>20</v>
      </c>
      <c r="I2549" s="4" t="s">
        <v>65</v>
      </c>
      <c r="J2549" s="4" t="s">
        <v>66</v>
      </c>
      <c r="K2549" s="4">
        <v>1</v>
      </c>
      <c r="L2549" s="94">
        <v>7791587</v>
      </c>
      <c r="M2549" s="94">
        <v>155831740</v>
      </c>
    </row>
    <row r="2550" spans="3:13" x14ac:dyDescent="0.3">
      <c r="C2550" t="s">
        <v>61</v>
      </c>
      <c r="D2550" t="s">
        <v>67</v>
      </c>
      <c r="E2550" t="s">
        <v>63</v>
      </c>
      <c r="F2550" t="s">
        <v>26</v>
      </c>
      <c r="G2550" s="4">
        <v>0</v>
      </c>
      <c r="H2550" s="4" t="s">
        <v>64</v>
      </c>
      <c r="I2550" s="4" t="s">
        <v>69</v>
      </c>
      <c r="J2550" s="4" t="s">
        <v>66</v>
      </c>
      <c r="K2550" s="4">
        <v>0</v>
      </c>
      <c r="L2550" s="94">
        <v>-78761</v>
      </c>
      <c r="M2550" s="94">
        <v>0</v>
      </c>
    </row>
    <row r="2551" spans="3:13" x14ac:dyDescent="0.3">
      <c r="C2551" t="s">
        <v>70</v>
      </c>
      <c r="D2551" t="s">
        <v>67</v>
      </c>
      <c r="E2551" t="s">
        <v>68</v>
      </c>
      <c r="F2551" t="s">
        <v>26</v>
      </c>
      <c r="G2551" s="4">
        <v>0</v>
      </c>
      <c r="H2551" s="4" t="s">
        <v>14</v>
      </c>
      <c r="I2551" s="4" t="s">
        <v>69</v>
      </c>
      <c r="J2551" s="4" t="s">
        <v>73</v>
      </c>
      <c r="K2551" s="4">
        <v>1</v>
      </c>
      <c r="L2551" s="94">
        <v>7361682</v>
      </c>
      <c r="M2551" s="94">
        <v>0</v>
      </c>
    </row>
    <row r="2552" spans="3:13" x14ac:dyDescent="0.3">
      <c r="C2552" t="s">
        <v>70</v>
      </c>
      <c r="D2552" t="s">
        <v>67</v>
      </c>
      <c r="E2552" t="s">
        <v>63</v>
      </c>
      <c r="F2552" t="s">
        <v>25</v>
      </c>
      <c r="G2552" s="4">
        <v>11</v>
      </c>
      <c r="H2552" s="4" t="s">
        <v>75</v>
      </c>
      <c r="I2552" s="4" t="s">
        <v>69</v>
      </c>
      <c r="J2552" s="4" t="s">
        <v>66</v>
      </c>
      <c r="K2552" s="4">
        <v>0</v>
      </c>
      <c r="L2552" s="94">
        <v>-317465</v>
      </c>
      <c r="M2552" s="94">
        <v>0</v>
      </c>
    </row>
    <row r="2553" spans="3:13" x14ac:dyDescent="0.3">
      <c r="C2553" t="s">
        <v>61</v>
      </c>
      <c r="D2553" t="s">
        <v>67</v>
      </c>
      <c r="E2553" t="s">
        <v>68</v>
      </c>
      <c r="F2553" t="s">
        <v>25</v>
      </c>
      <c r="G2553" s="4">
        <v>7</v>
      </c>
      <c r="H2553" s="4" t="s">
        <v>15</v>
      </c>
      <c r="I2553" s="4" t="s">
        <v>69</v>
      </c>
      <c r="J2553" s="4" t="s">
        <v>66</v>
      </c>
      <c r="K2553" s="4">
        <v>0</v>
      </c>
      <c r="L2553" s="94">
        <v>61783</v>
      </c>
      <c r="M2553" s="94">
        <v>432481</v>
      </c>
    </row>
    <row r="2554" spans="3:13" x14ac:dyDescent="0.3">
      <c r="C2554" t="s">
        <v>61</v>
      </c>
      <c r="D2554" t="s">
        <v>67</v>
      </c>
      <c r="E2554" t="s">
        <v>68</v>
      </c>
      <c r="F2554" t="s">
        <v>26</v>
      </c>
      <c r="G2554" s="4">
        <v>4</v>
      </c>
      <c r="H2554" s="4" t="s">
        <v>82</v>
      </c>
      <c r="I2554" s="4" t="s">
        <v>69</v>
      </c>
      <c r="J2554" s="4" t="s">
        <v>66</v>
      </c>
      <c r="K2554" s="4">
        <v>0</v>
      </c>
      <c r="L2554" s="94">
        <v>13268811</v>
      </c>
      <c r="M2554" s="94">
        <v>53075244</v>
      </c>
    </row>
    <row r="2555" spans="3:13" x14ac:dyDescent="0.3">
      <c r="C2555" t="s">
        <v>61</v>
      </c>
      <c r="D2555" t="s">
        <v>67</v>
      </c>
      <c r="E2555" t="s">
        <v>68</v>
      </c>
      <c r="F2555" t="s">
        <v>26</v>
      </c>
      <c r="G2555" s="4">
        <v>10</v>
      </c>
      <c r="H2555" s="4" t="s">
        <v>78</v>
      </c>
      <c r="I2555" s="4" t="s">
        <v>69</v>
      </c>
      <c r="J2555" s="4" t="s">
        <v>66</v>
      </c>
      <c r="K2555" s="4">
        <v>0</v>
      </c>
      <c r="L2555" s="94">
        <v>3614309</v>
      </c>
      <c r="M2555" s="94">
        <v>36143090</v>
      </c>
    </row>
    <row r="2556" spans="3:13" x14ac:dyDescent="0.3">
      <c r="C2556" t="s">
        <v>70</v>
      </c>
      <c r="D2556" t="s">
        <v>67</v>
      </c>
      <c r="E2556" t="s">
        <v>63</v>
      </c>
      <c r="F2556" t="s">
        <v>25</v>
      </c>
      <c r="G2556" s="4">
        <v>12</v>
      </c>
      <c r="H2556" s="4" t="s">
        <v>80</v>
      </c>
      <c r="I2556" s="4" t="s">
        <v>69</v>
      </c>
      <c r="J2556" s="4" t="s">
        <v>66</v>
      </c>
      <c r="K2556" s="4">
        <v>0</v>
      </c>
      <c r="L2556" s="94">
        <v>-8050</v>
      </c>
      <c r="M2556" s="94">
        <v>0</v>
      </c>
    </row>
    <row r="2557" spans="3:13" x14ac:dyDescent="0.3">
      <c r="C2557" t="s">
        <v>61</v>
      </c>
      <c r="D2557" t="s">
        <v>67</v>
      </c>
      <c r="E2557" t="s">
        <v>68</v>
      </c>
      <c r="F2557" t="s">
        <v>26</v>
      </c>
      <c r="G2557" s="4">
        <v>4</v>
      </c>
      <c r="H2557" s="4" t="s">
        <v>12</v>
      </c>
      <c r="I2557" s="4" t="s">
        <v>65</v>
      </c>
      <c r="J2557" s="4" t="s">
        <v>73</v>
      </c>
      <c r="K2557" s="4">
        <v>1</v>
      </c>
      <c r="L2557" s="94">
        <v>576093</v>
      </c>
      <c r="M2557" s="94">
        <v>2304372</v>
      </c>
    </row>
    <row r="2558" spans="3:13" x14ac:dyDescent="0.3">
      <c r="C2558" t="s">
        <v>70</v>
      </c>
      <c r="D2558" t="s">
        <v>67</v>
      </c>
      <c r="E2558" t="s">
        <v>63</v>
      </c>
      <c r="F2558" t="s">
        <v>25</v>
      </c>
      <c r="G2558" s="4">
        <v>10</v>
      </c>
      <c r="H2558" s="4" t="s">
        <v>18</v>
      </c>
      <c r="I2558" s="4" t="s">
        <v>69</v>
      </c>
      <c r="J2558" s="4" t="s">
        <v>66</v>
      </c>
      <c r="K2558" s="4">
        <v>1</v>
      </c>
      <c r="L2558" s="94">
        <v>-5855</v>
      </c>
      <c r="M2558" s="94">
        <v>0</v>
      </c>
    </row>
    <row r="2559" spans="3:13" x14ac:dyDescent="0.3">
      <c r="C2559" t="s">
        <v>70</v>
      </c>
      <c r="D2559" t="s">
        <v>67</v>
      </c>
      <c r="E2559" t="s">
        <v>63</v>
      </c>
      <c r="F2559" t="s">
        <v>26</v>
      </c>
      <c r="G2559" s="4">
        <v>5</v>
      </c>
      <c r="H2559" s="4" t="s">
        <v>16</v>
      </c>
      <c r="I2559" s="4" t="s">
        <v>69</v>
      </c>
      <c r="J2559" s="4" t="s">
        <v>66</v>
      </c>
      <c r="K2559" s="4">
        <v>0</v>
      </c>
      <c r="L2559" s="94">
        <v>-9009</v>
      </c>
      <c r="M2559" s="94">
        <v>0</v>
      </c>
    </row>
    <row r="2560" spans="3:13" x14ac:dyDescent="0.3">
      <c r="C2560" t="s">
        <v>71</v>
      </c>
      <c r="D2560" t="s">
        <v>67</v>
      </c>
      <c r="E2560" t="s">
        <v>68</v>
      </c>
      <c r="F2560" t="s">
        <v>25</v>
      </c>
      <c r="G2560" s="4">
        <v>3</v>
      </c>
      <c r="H2560" s="4" t="s">
        <v>17</v>
      </c>
      <c r="I2560" s="4" t="s">
        <v>69</v>
      </c>
      <c r="J2560" s="4" t="s">
        <v>66</v>
      </c>
      <c r="K2560" s="4">
        <v>0</v>
      </c>
      <c r="L2560" s="94">
        <v>2765686</v>
      </c>
      <c r="M2560" s="94">
        <v>8297058</v>
      </c>
    </row>
    <row r="2561" spans="3:13" x14ac:dyDescent="0.3">
      <c r="C2561" t="s">
        <v>61</v>
      </c>
      <c r="D2561" t="s">
        <v>67</v>
      </c>
      <c r="E2561" t="s">
        <v>68</v>
      </c>
      <c r="F2561" t="s">
        <v>25</v>
      </c>
      <c r="G2561" s="4">
        <v>5</v>
      </c>
      <c r="H2561" s="4" t="s">
        <v>18</v>
      </c>
      <c r="I2561" s="4" t="s">
        <v>69</v>
      </c>
      <c r="J2561" s="4" t="s">
        <v>66</v>
      </c>
      <c r="K2561" s="4">
        <v>1</v>
      </c>
      <c r="L2561" s="94">
        <v>375826</v>
      </c>
      <c r="M2561" s="94">
        <v>1879130</v>
      </c>
    </row>
    <row r="2562" spans="3:13" x14ac:dyDescent="0.3">
      <c r="C2562" t="s">
        <v>61</v>
      </c>
      <c r="D2562" t="s">
        <v>67</v>
      </c>
      <c r="E2562" t="s">
        <v>68</v>
      </c>
      <c r="F2562" t="s">
        <v>26</v>
      </c>
      <c r="G2562" s="4">
        <v>1</v>
      </c>
      <c r="H2562" s="4" t="s">
        <v>17</v>
      </c>
      <c r="I2562" s="4" t="s">
        <v>69</v>
      </c>
      <c r="J2562" s="4" t="s">
        <v>73</v>
      </c>
      <c r="K2562" s="4">
        <v>1</v>
      </c>
      <c r="L2562" s="94">
        <v>1005358</v>
      </c>
      <c r="M2562" s="94">
        <v>1005358</v>
      </c>
    </row>
    <row r="2563" spans="3:13" x14ac:dyDescent="0.3">
      <c r="C2563" t="s">
        <v>71</v>
      </c>
      <c r="D2563" t="s">
        <v>67</v>
      </c>
      <c r="E2563" t="s">
        <v>63</v>
      </c>
      <c r="F2563" t="s">
        <v>25</v>
      </c>
      <c r="G2563" s="4">
        <v>3</v>
      </c>
      <c r="H2563" s="4" t="s">
        <v>14</v>
      </c>
      <c r="I2563" s="4" t="s">
        <v>69</v>
      </c>
      <c r="J2563" s="4" t="s">
        <v>66</v>
      </c>
      <c r="K2563" s="4">
        <v>1</v>
      </c>
      <c r="L2563" s="94">
        <v>-362244</v>
      </c>
      <c r="M2563" s="94">
        <v>0</v>
      </c>
    </row>
    <row r="2564" spans="3:13" x14ac:dyDescent="0.3">
      <c r="C2564" t="s">
        <v>70</v>
      </c>
      <c r="D2564" t="s">
        <v>62</v>
      </c>
      <c r="E2564" t="s">
        <v>68</v>
      </c>
      <c r="F2564" t="s">
        <v>24</v>
      </c>
      <c r="G2564" s="4">
        <v>36</v>
      </c>
      <c r="I2564" s="4" t="s">
        <v>69</v>
      </c>
      <c r="J2564" s="4" t="s">
        <v>66</v>
      </c>
      <c r="K2564" s="4">
        <v>1</v>
      </c>
      <c r="L2564" s="94">
        <v>394590</v>
      </c>
      <c r="M2564" s="94">
        <v>14205240</v>
      </c>
    </row>
    <row r="2565" spans="3:13" x14ac:dyDescent="0.3">
      <c r="C2565" t="s">
        <v>61</v>
      </c>
      <c r="D2565" t="s">
        <v>67</v>
      </c>
      <c r="E2565" t="s">
        <v>63</v>
      </c>
      <c r="F2565" t="s">
        <v>25</v>
      </c>
      <c r="G2565" s="4">
        <v>-4</v>
      </c>
      <c r="H2565" s="4" t="s">
        <v>14</v>
      </c>
      <c r="I2565" s="4" t="s">
        <v>65</v>
      </c>
      <c r="J2565" s="4" t="s">
        <v>66</v>
      </c>
      <c r="K2565" s="4">
        <v>1</v>
      </c>
      <c r="L2565" s="94">
        <v>-3</v>
      </c>
      <c r="M2565" s="94">
        <v>0</v>
      </c>
    </row>
    <row r="2566" spans="3:13" x14ac:dyDescent="0.3">
      <c r="C2566" t="s">
        <v>70</v>
      </c>
      <c r="D2566" t="s">
        <v>67</v>
      </c>
      <c r="E2566" t="s">
        <v>68</v>
      </c>
      <c r="F2566" t="s">
        <v>25</v>
      </c>
      <c r="G2566" s="4">
        <v>5</v>
      </c>
      <c r="H2566" s="4" t="s">
        <v>14</v>
      </c>
      <c r="I2566" s="4" t="s">
        <v>69</v>
      </c>
      <c r="J2566" s="4" t="s">
        <v>73</v>
      </c>
      <c r="K2566" s="4">
        <v>1</v>
      </c>
      <c r="L2566" s="94">
        <v>94220</v>
      </c>
      <c r="M2566" s="94">
        <v>471100</v>
      </c>
    </row>
    <row r="2567" spans="3:13" x14ac:dyDescent="0.3">
      <c r="C2567" t="s">
        <v>61</v>
      </c>
      <c r="D2567" t="s">
        <v>67</v>
      </c>
      <c r="E2567" t="s">
        <v>68</v>
      </c>
      <c r="F2567" t="s">
        <v>26</v>
      </c>
      <c r="G2567" s="4">
        <v>2</v>
      </c>
      <c r="H2567" s="4" t="s">
        <v>74</v>
      </c>
      <c r="I2567" s="4" t="s">
        <v>69</v>
      </c>
      <c r="J2567" s="4" t="s">
        <v>66</v>
      </c>
      <c r="K2567" s="4">
        <v>0</v>
      </c>
      <c r="L2567" s="94">
        <v>25503523</v>
      </c>
      <c r="M2567" s="94">
        <v>51007046</v>
      </c>
    </row>
    <row r="2568" spans="3:13" x14ac:dyDescent="0.3">
      <c r="C2568" t="s">
        <v>61</v>
      </c>
      <c r="D2568" t="s">
        <v>67</v>
      </c>
      <c r="E2568" t="s">
        <v>63</v>
      </c>
      <c r="F2568" t="s">
        <v>26</v>
      </c>
      <c r="G2568" s="4">
        <v>3</v>
      </c>
      <c r="H2568" s="4" t="s">
        <v>17</v>
      </c>
      <c r="I2568" s="4" t="s">
        <v>69</v>
      </c>
      <c r="J2568" s="4" t="s">
        <v>73</v>
      </c>
      <c r="K2568" s="4">
        <v>1</v>
      </c>
      <c r="L2568" s="94">
        <v>-4821</v>
      </c>
      <c r="M2568" s="94">
        <v>0</v>
      </c>
    </row>
    <row r="2569" spans="3:13" x14ac:dyDescent="0.3">
      <c r="C2569" t="s">
        <v>70</v>
      </c>
      <c r="D2569" t="s">
        <v>67</v>
      </c>
      <c r="E2569" t="s">
        <v>63</v>
      </c>
      <c r="F2569" t="s">
        <v>26</v>
      </c>
      <c r="G2569" s="4">
        <v>3</v>
      </c>
      <c r="H2569" s="4" t="s">
        <v>83</v>
      </c>
      <c r="I2569" s="4" t="s">
        <v>69</v>
      </c>
      <c r="J2569" s="4" t="s">
        <v>66</v>
      </c>
      <c r="K2569" s="4">
        <v>0</v>
      </c>
      <c r="L2569" s="94">
        <v>-72225</v>
      </c>
      <c r="M2569" s="94">
        <v>0</v>
      </c>
    </row>
    <row r="2570" spans="3:13" x14ac:dyDescent="0.3">
      <c r="C2570" t="s">
        <v>70</v>
      </c>
      <c r="D2570" t="s">
        <v>67</v>
      </c>
      <c r="E2570" t="s">
        <v>68</v>
      </c>
      <c r="F2570" t="s">
        <v>25</v>
      </c>
      <c r="G2570" s="4">
        <v>2</v>
      </c>
      <c r="H2570" s="4" t="s">
        <v>18</v>
      </c>
      <c r="I2570" s="4" t="s">
        <v>69</v>
      </c>
      <c r="J2570" s="4" t="s">
        <v>66</v>
      </c>
      <c r="K2570" s="4">
        <v>0</v>
      </c>
      <c r="L2570" s="94">
        <v>614629</v>
      </c>
      <c r="M2570" s="94">
        <v>1229258</v>
      </c>
    </row>
    <row r="2571" spans="3:13" x14ac:dyDescent="0.3">
      <c r="C2571" t="s">
        <v>70</v>
      </c>
      <c r="D2571" t="s">
        <v>62</v>
      </c>
      <c r="E2571" t="s">
        <v>63</v>
      </c>
      <c r="F2571" t="s">
        <v>24</v>
      </c>
      <c r="G2571" s="4">
        <v>47</v>
      </c>
      <c r="I2571" s="4" t="s">
        <v>69</v>
      </c>
      <c r="J2571" s="4" t="s">
        <v>66</v>
      </c>
      <c r="K2571" s="4">
        <v>0</v>
      </c>
      <c r="L2571" s="94">
        <v>-8544</v>
      </c>
      <c r="M2571" s="94">
        <v>0</v>
      </c>
    </row>
    <row r="2572" spans="3:13" x14ac:dyDescent="0.3">
      <c r="C2572" t="s">
        <v>71</v>
      </c>
      <c r="D2572" t="s">
        <v>67</v>
      </c>
      <c r="E2572" t="s">
        <v>68</v>
      </c>
      <c r="F2572" t="s">
        <v>26</v>
      </c>
      <c r="G2572" s="4">
        <v>3</v>
      </c>
      <c r="H2572" s="4" t="s">
        <v>79</v>
      </c>
      <c r="I2572" s="4" t="s">
        <v>69</v>
      </c>
      <c r="J2572" s="4" t="s">
        <v>66</v>
      </c>
      <c r="K2572" s="4">
        <v>0</v>
      </c>
      <c r="L2572" s="94">
        <v>73633</v>
      </c>
      <c r="M2572" s="94">
        <v>220899</v>
      </c>
    </row>
    <row r="2573" spans="3:13" x14ac:dyDescent="0.3">
      <c r="C2573" t="s">
        <v>61</v>
      </c>
      <c r="D2573" t="s">
        <v>67</v>
      </c>
      <c r="E2573" t="s">
        <v>68</v>
      </c>
      <c r="F2573" t="s">
        <v>26</v>
      </c>
      <c r="G2573" s="4">
        <v>7</v>
      </c>
      <c r="H2573" s="4" t="s">
        <v>14</v>
      </c>
      <c r="I2573" s="4" t="s">
        <v>69</v>
      </c>
      <c r="J2573" s="4" t="s">
        <v>66</v>
      </c>
      <c r="K2573" s="4">
        <v>0</v>
      </c>
      <c r="L2573" s="94">
        <v>28564050</v>
      </c>
      <c r="M2573" s="94">
        <v>199948350</v>
      </c>
    </row>
    <row r="2574" spans="3:13" x14ac:dyDescent="0.3">
      <c r="C2574" t="s">
        <v>70</v>
      </c>
      <c r="D2574" t="s">
        <v>67</v>
      </c>
      <c r="E2574" t="s">
        <v>68</v>
      </c>
      <c r="F2574" t="s">
        <v>72</v>
      </c>
      <c r="G2574" s="4">
        <v>-1</v>
      </c>
      <c r="H2574" s="4" t="s">
        <v>18</v>
      </c>
      <c r="I2574" s="4" t="s">
        <v>69</v>
      </c>
      <c r="J2574" s="4" t="s">
        <v>66</v>
      </c>
      <c r="K2574" s="4">
        <v>0</v>
      </c>
      <c r="L2574" s="94">
        <v>2827522</v>
      </c>
      <c r="M2574" s="94">
        <v>0</v>
      </c>
    </row>
    <row r="2575" spans="3:13" x14ac:dyDescent="0.3">
      <c r="C2575" t="s">
        <v>70</v>
      </c>
      <c r="D2575" t="s">
        <v>67</v>
      </c>
      <c r="E2575" t="s">
        <v>68</v>
      </c>
      <c r="F2575" t="s">
        <v>26</v>
      </c>
      <c r="G2575" s="4">
        <v>2</v>
      </c>
      <c r="H2575" s="4" t="s">
        <v>18</v>
      </c>
      <c r="I2575" s="4" t="s">
        <v>65</v>
      </c>
      <c r="J2575" s="4" t="s">
        <v>66</v>
      </c>
      <c r="K2575" s="4">
        <v>1</v>
      </c>
      <c r="L2575" s="94">
        <v>42097</v>
      </c>
      <c r="M2575" s="94">
        <v>84194</v>
      </c>
    </row>
    <row r="2576" spans="3:13" x14ac:dyDescent="0.3">
      <c r="C2576" t="s">
        <v>61</v>
      </c>
      <c r="D2576" t="s">
        <v>67</v>
      </c>
      <c r="E2576" t="s">
        <v>63</v>
      </c>
      <c r="F2576" t="s">
        <v>25</v>
      </c>
      <c r="G2576" s="4">
        <v>11</v>
      </c>
      <c r="H2576" s="4" t="s">
        <v>80</v>
      </c>
      <c r="I2576" s="4" t="s">
        <v>69</v>
      </c>
      <c r="J2576" s="4" t="s">
        <v>66</v>
      </c>
      <c r="K2576" s="4">
        <v>0</v>
      </c>
      <c r="L2576" s="94">
        <v>-1126</v>
      </c>
      <c r="M2576" s="94">
        <v>0</v>
      </c>
    </row>
    <row r="2577" spans="3:13" x14ac:dyDescent="0.3">
      <c r="C2577" t="s">
        <v>71</v>
      </c>
      <c r="D2577" t="s">
        <v>62</v>
      </c>
      <c r="E2577" t="s">
        <v>68</v>
      </c>
      <c r="F2577" t="s">
        <v>24</v>
      </c>
      <c r="G2577" s="4">
        <v>45</v>
      </c>
      <c r="I2577" s="4" t="s">
        <v>69</v>
      </c>
      <c r="J2577" s="4" t="s">
        <v>66</v>
      </c>
      <c r="K2577" s="4">
        <v>0</v>
      </c>
      <c r="L2577" s="94">
        <v>166910</v>
      </c>
      <c r="M2577" s="94">
        <v>7510950</v>
      </c>
    </row>
    <row r="2578" spans="3:13" x14ac:dyDescent="0.3">
      <c r="C2578" t="s">
        <v>70</v>
      </c>
      <c r="D2578" t="s">
        <v>67</v>
      </c>
      <c r="E2578" t="s">
        <v>63</v>
      </c>
      <c r="F2578" t="s">
        <v>72</v>
      </c>
      <c r="G2578" s="4">
        <v>5</v>
      </c>
      <c r="H2578" s="4" t="s">
        <v>17</v>
      </c>
      <c r="I2578" s="4" t="s">
        <v>69</v>
      </c>
      <c r="J2578" s="4" t="s">
        <v>73</v>
      </c>
      <c r="K2578" s="4">
        <v>1</v>
      </c>
      <c r="L2578" s="94">
        <v>-12550</v>
      </c>
      <c r="M2578" s="94">
        <v>0</v>
      </c>
    </row>
    <row r="2579" spans="3:13" x14ac:dyDescent="0.3">
      <c r="C2579" t="s">
        <v>70</v>
      </c>
      <c r="D2579" t="s">
        <v>67</v>
      </c>
      <c r="E2579" t="s">
        <v>68</v>
      </c>
      <c r="F2579" t="s">
        <v>26</v>
      </c>
      <c r="G2579" s="4">
        <v>1</v>
      </c>
      <c r="H2579" s="4" t="s">
        <v>81</v>
      </c>
      <c r="I2579" s="4" t="s">
        <v>69</v>
      </c>
      <c r="J2579" s="4" t="s">
        <v>66</v>
      </c>
      <c r="K2579" s="4">
        <v>0</v>
      </c>
      <c r="L2579" s="94">
        <v>1801</v>
      </c>
      <c r="M2579" s="94">
        <v>1801</v>
      </c>
    </row>
    <row r="2580" spans="3:13" x14ac:dyDescent="0.3">
      <c r="C2580" t="s">
        <v>61</v>
      </c>
      <c r="D2580" t="s">
        <v>67</v>
      </c>
      <c r="E2580" t="s">
        <v>63</v>
      </c>
      <c r="F2580" t="s">
        <v>26</v>
      </c>
      <c r="G2580" s="4">
        <v>2</v>
      </c>
      <c r="H2580" s="4" t="s">
        <v>76</v>
      </c>
      <c r="I2580" s="4" t="s">
        <v>69</v>
      </c>
      <c r="J2580" s="4" t="s">
        <v>66</v>
      </c>
      <c r="K2580" s="4">
        <v>0</v>
      </c>
      <c r="L2580" s="94">
        <v>-100315</v>
      </c>
      <c r="M2580" s="94">
        <v>0</v>
      </c>
    </row>
    <row r="2581" spans="3:13" x14ac:dyDescent="0.3">
      <c r="C2581" t="s">
        <v>70</v>
      </c>
      <c r="D2581" t="s">
        <v>67</v>
      </c>
      <c r="E2581" t="s">
        <v>63</v>
      </c>
      <c r="F2581" t="s">
        <v>26</v>
      </c>
      <c r="G2581" s="4">
        <v>6</v>
      </c>
      <c r="H2581" s="4" t="s">
        <v>14</v>
      </c>
      <c r="I2581" s="4" t="s">
        <v>69</v>
      </c>
      <c r="J2581" s="4" t="s">
        <v>66</v>
      </c>
      <c r="K2581" s="4">
        <v>0</v>
      </c>
      <c r="L2581" s="94">
        <v>-36034</v>
      </c>
      <c r="M2581" s="94">
        <v>0</v>
      </c>
    </row>
    <row r="2582" spans="3:13" x14ac:dyDescent="0.3">
      <c r="C2582" t="s">
        <v>61</v>
      </c>
      <c r="D2582" t="s">
        <v>67</v>
      </c>
      <c r="E2582" t="s">
        <v>68</v>
      </c>
      <c r="F2582" t="s">
        <v>25</v>
      </c>
      <c r="G2582" s="4">
        <v>15</v>
      </c>
      <c r="H2582" s="4" t="s">
        <v>74</v>
      </c>
      <c r="I2582" s="4" t="s">
        <v>69</v>
      </c>
      <c r="J2582" s="4" t="s">
        <v>66</v>
      </c>
      <c r="K2582" s="4">
        <v>0</v>
      </c>
      <c r="L2582" s="94">
        <v>3456961</v>
      </c>
      <c r="M2582" s="94">
        <v>51854415</v>
      </c>
    </row>
    <row r="2583" spans="3:13" x14ac:dyDescent="0.3">
      <c r="C2583" t="s">
        <v>71</v>
      </c>
      <c r="D2583" t="s">
        <v>67</v>
      </c>
      <c r="E2583" t="s">
        <v>63</v>
      </c>
      <c r="F2583" t="s">
        <v>26</v>
      </c>
      <c r="G2583" s="4">
        <v>-1</v>
      </c>
      <c r="H2583" s="4" t="s">
        <v>17</v>
      </c>
      <c r="I2583" s="4" t="s">
        <v>65</v>
      </c>
      <c r="J2583" s="4" t="s">
        <v>73</v>
      </c>
      <c r="K2583" s="4">
        <v>1</v>
      </c>
      <c r="L2583" s="94">
        <v>-125125</v>
      </c>
      <c r="M2583" s="94">
        <v>0</v>
      </c>
    </row>
    <row r="2584" spans="3:13" x14ac:dyDescent="0.3">
      <c r="C2584" t="s">
        <v>70</v>
      </c>
      <c r="D2584" t="s">
        <v>62</v>
      </c>
      <c r="E2584" t="s">
        <v>68</v>
      </c>
      <c r="F2584" t="s">
        <v>24</v>
      </c>
      <c r="G2584" s="4">
        <v>25</v>
      </c>
      <c r="I2584" s="4" t="s">
        <v>69</v>
      </c>
      <c r="J2584" s="4" t="s">
        <v>66</v>
      </c>
      <c r="K2584" s="4">
        <v>1</v>
      </c>
      <c r="L2584" s="94">
        <v>618650</v>
      </c>
      <c r="M2584" s="94">
        <v>15466250</v>
      </c>
    </row>
    <row r="2585" spans="3:13" x14ac:dyDescent="0.3">
      <c r="C2585" t="s">
        <v>70</v>
      </c>
      <c r="D2585" t="s">
        <v>67</v>
      </c>
      <c r="E2585" t="s">
        <v>63</v>
      </c>
      <c r="F2585" t="s">
        <v>25</v>
      </c>
      <c r="G2585" s="4">
        <v>12</v>
      </c>
      <c r="H2585" s="4" t="s">
        <v>74</v>
      </c>
      <c r="I2585" s="4" t="s">
        <v>69</v>
      </c>
      <c r="J2585" s="4" t="s">
        <v>66</v>
      </c>
      <c r="K2585" s="4">
        <v>0</v>
      </c>
      <c r="L2585" s="94">
        <v>-3353668</v>
      </c>
      <c r="M2585" s="94">
        <v>0</v>
      </c>
    </row>
    <row r="2586" spans="3:13" x14ac:dyDescent="0.3">
      <c r="C2586" t="s">
        <v>71</v>
      </c>
      <c r="D2586" t="s">
        <v>67</v>
      </c>
      <c r="E2586" t="s">
        <v>68</v>
      </c>
      <c r="F2586" t="s">
        <v>26</v>
      </c>
      <c r="G2586" s="4">
        <v>3</v>
      </c>
      <c r="H2586" s="4" t="s">
        <v>17</v>
      </c>
      <c r="I2586" s="4" t="s">
        <v>65</v>
      </c>
      <c r="J2586" s="4" t="s">
        <v>73</v>
      </c>
      <c r="K2586" s="4">
        <v>1</v>
      </c>
      <c r="L2586" s="94">
        <v>324102</v>
      </c>
      <c r="M2586" s="94">
        <v>972306</v>
      </c>
    </row>
    <row r="2587" spans="3:13" x14ac:dyDescent="0.3">
      <c r="C2587" t="s">
        <v>61</v>
      </c>
      <c r="D2587" t="s">
        <v>84</v>
      </c>
      <c r="E2587" t="s">
        <v>63</v>
      </c>
      <c r="F2587" t="s">
        <v>25</v>
      </c>
      <c r="G2587" s="4">
        <v>9</v>
      </c>
      <c r="H2587" s="4" t="s">
        <v>81</v>
      </c>
      <c r="I2587" s="4" t="s">
        <v>69</v>
      </c>
      <c r="J2587" s="4" t="s">
        <v>66</v>
      </c>
      <c r="K2587" s="4">
        <v>0</v>
      </c>
      <c r="L2587" s="94">
        <v>-86</v>
      </c>
      <c r="M2587" s="94">
        <v>0</v>
      </c>
    </row>
    <row r="2588" spans="3:13" x14ac:dyDescent="0.3">
      <c r="C2588" t="s">
        <v>61</v>
      </c>
      <c r="D2588" t="s">
        <v>67</v>
      </c>
      <c r="E2588" t="s">
        <v>68</v>
      </c>
      <c r="F2588" t="s">
        <v>72</v>
      </c>
      <c r="G2588" s="4">
        <v>9</v>
      </c>
      <c r="H2588" s="4" t="s">
        <v>18</v>
      </c>
      <c r="I2588" s="4" t="s">
        <v>69</v>
      </c>
      <c r="J2588" s="4" t="s">
        <v>66</v>
      </c>
      <c r="K2588" s="4">
        <v>0</v>
      </c>
      <c r="L2588" s="94">
        <v>188627</v>
      </c>
      <c r="M2588" s="94">
        <v>1697643</v>
      </c>
    </row>
    <row r="2589" spans="3:13" x14ac:dyDescent="0.3">
      <c r="C2589" t="s">
        <v>71</v>
      </c>
      <c r="D2589" t="s">
        <v>67</v>
      </c>
      <c r="E2589" t="s">
        <v>68</v>
      </c>
      <c r="F2589" t="s">
        <v>26</v>
      </c>
      <c r="G2589" s="4">
        <v>-1</v>
      </c>
      <c r="H2589" s="4" t="s">
        <v>80</v>
      </c>
      <c r="I2589" s="4" t="s">
        <v>69</v>
      </c>
      <c r="J2589" s="4" t="s">
        <v>66</v>
      </c>
      <c r="K2589" s="4">
        <v>0</v>
      </c>
      <c r="L2589" s="94">
        <v>522913</v>
      </c>
      <c r="M2589" s="94">
        <v>0</v>
      </c>
    </row>
    <row r="2590" spans="3:13" x14ac:dyDescent="0.3">
      <c r="C2590" t="s">
        <v>71</v>
      </c>
      <c r="D2590" t="s">
        <v>67</v>
      </c>
      <c r="E2590" t="s">
        <v>68</v>
      </c>
      <c r="F2590" t="s">
        <v>26</v>
      </c>
      <c r="G2590" s="4">
        <v>7</v>
      </c>
      <c r="H2590" s="4" t="s">
        <v>76</v>
      </c>
      <c r="I2590" s="4" t="s">
        <v>69</v>
      </c>
      <c r="J2590" s="4" t="s">
        <v>66</v>
      </c>
      <c r="K2590" s="4">
        <v>0</v>
      </c>
      <c r="L2590" s="94">
        <v>78453</v>
      </c>
      <c r="M2590" s="94">
        <v>549171</v>
      </c>
    </row>
    <row r="2591" spans="3:13" x14ac:dyDescent="0.3">
      <c r="C2591" t="s">
        <v>61</v>
      </c>
      <c r="D2591" t="s">
        <v>67</v>
      </c>
      <c r="E2591" t="s">
        <v>63</v>
      </c>
      <c r="F2591" t="s">
        <v>25</v>
      </c>
      <c r="G2591" s="4">
        <v>3</v>
      </c>
      <c r="H2591" s="4" t="s">
        <v>18</v>
      </c>
      <c r="I2591" s="4" t="s">
        <v>69</v>
      </c>
      <c r="J2591" s="4" t="s">
        <v>66</v>
      </c>
      <c r="K2591" s="4">
        <v>1</v>
      </c>
      <c r="L2591" s="94">
        <v>-523</v>
      </c>
      <c r="M2591" s="94">
        <v>0</v>
      </c>
    </row>
    <row r="2592" spans="3:13" x14ac:dyDescent="0.3">
      <c r="C2592" t="s">
        <v>61</v>
      </c>
      <c r="D2592" t="s">
        <v>67</v>
      </c>
      <c r="E2592" t="s">
        <v>68</v>
      </c>
      <c r="F2592" t="s">
        <v>72</v>
      </c>
      <c r="G2592" s="4">
        <v>5</v>
      </c>
      <c r="H2592" s="4" t="s">
        <v>17</v>
      </c>
      <c r="I2592" s="4" t="s">
        <v>65</v>
      </c>
      <c r="J2592" s="4" t="s">
        <v>73</v>
      </c>
      <c r="K2592" s="4">
        <v>1</v>
      </c>
      <c r="L2592" s="94">
        <v>58314</v>
      </c>
      <c r="M2592" s="94">
        <v>291570</v>
      </c>
    </row>
    <row r="2593" spans="3:13" x14ac:dyDescent="0.3">
      <c r="C2593" t="s">
        <v>70</v>
      </c>
      <c r="D2593" t="s">
        <v>67</v>
      </c>
      <c r="E2593" t="s">
        <v>68</v>
      </c>
      <c r="F2593" t="s">
        <v>25</v>
      </c>
      <c r="G2593" s="4">
        <v>1</v>
      </c>
      <c r="H2593" s="4" t="s">
        <v>18</v>
      </c>
      <c r="I2593" s="4" t="s">
        <v>69</v>
      </c>
      <c r="J2593" s="4" t="s">
        <v>66</v>
      </c>
      <c r="K2593" s="4">
        <v>1</v>
      </c>
      <c r="L2593" s="94">
        <v>31823</v>
      </c>
      <c r="M2593" s="94">
        <v>31823</v>
      </c>
    </row>
    <row r="2594" spans="3:13" x14ac:dyDescent="0.3">
      <c r="C2594" t="s">
        <v>71</v>
      </c>
      <c r="D2594" t="s">
        <v>67</v>
      </c>
      <c r="E2594" t="s">
        <v>68</v>
      </c>
      <c r="F2594" t="s">
        <v>26</v>
      </c>
      <c r="G2594" s="4">
        <v>8</v>
      </c>
      <c r="H2594" s="4" t="s">
        <v>16</v>
      </c>
      <c r="I2594" s="4" t="s">
        <v>69</v>
      </c>
      <c r="J2594" s="4" t="s">
        <v>66</v>
      </c>
      <c r="K2594" s="4">
        <v>0</v>
      </c>
      <c r="L2594" s="94">
        <v>848697</v>
      </c>
      <c r="M2594" s="94">
        <v>6789576</v>
      </c>
    </row>
    <row r="2595" spans="3:13" x14ac:dyDescent="0.3">
      <c r="C2595" t="s">
        <v>70</v>
      </c>
      <c r="D2595" t="s">
        <v>67</v>
      </c>
      <c r="E2595" t="s">
        <v>68</v>
      </c>
      <c r="F2595" t="s">
        <v>26</v>
      </c>
      <c r="G2595" s="4">
        <v>1</v>
      </c>
      <c r="H2595" s="4" t="s">
        <v>76</v>
      </c>
      <c r="I2595" s="4" t="s">
        <v>69</v>
      </c>
      <c r="J2595" s="4" t="s">
        <v>66</v>
      </c>
      <c r="K2595" s="4">
        <v>0</v>
      </c>
      <c r="L2595" s="94">
        <v>6204937</v>
      </c>
      <c r="M2595" s="94">
        <v>6204937</v>
      </c>
    </row>
    <row r="2596" spans="3:13" x14ac:dyDescent="0.3">
      <c r="C2596" t="s">
        <v>70</v>
      </c>
      <c r="D2596" t="s">
        <v>67</v>
      </c>
      <c r="E2596" t="s">
        <v>68</v>
      </c>
      <c r="F2596" t="s">
        <v>26</v>
      </c>
      <c r="G2596" s="4">
        <v>2</v>
      </c>
      <c r="H2596" s="4" t="s">
        <v>13</v>
      </c>
      <c r="I2596" s="4" t="s">
        <v>69</v>
      </c>
      <c r="J2596" s="4" t="s">
        <v>73</v>
      </c>
      <c r="K2596" s="4">
        <v>1</v>
      </c>
      <c r="L2596" s="94">
        <v>109194</v>
      </c>
      <c r="M2596" s="94">
        <v>218388</v>
      </c>
    </row>
    <row r="2597" spans="3:13" x14ac:dyDescent="0.3">
      <c r="C2597" t="s">
        <v>71</v>
      </c>
      <c r="D2597" t="s">
        <v>67</v>
      </c>
      <c r="E2597" t="s">
        <v>63</v>
      </c>
      <c r="F2597" t="s">
        <v>25</v>
      </c>
      <c r="G2597" s="4">
        <v>-4</v>
      </c>
      <c r="H2597" s="4" t="s">
        <v>79</v>
      </c>
      <c r="I2597" s="4" t="s">
        <v>69</v>
      </c>
      <c r="J2597" s="4" t="s">
        <v>66</v>
      </c>
      <c r="K2597" s="4">
        <v>0</v>
      </c>
      <c r="L2597" s="94">
        <v>-44203</v>
      </c>
      <c r="M2597" s="94">
        <v>0</v>
      </c>
    </row>
    <row r="2598" spans="3:13" x14ac:dyDescent="0.3">
      <c r="C2598" t="s">
        <v>61</v>
      </c>
      <c r="D2598" t="s">
        <v>67</v>
      </c>
      <c r="E2598" t="s">
        <v>68</v>
      </c>
      <c r="F2598" t="s">
        <v>26</v>
      </c>
      <c r="G2598" s="4">
        <v>10</v>
      </c>
      <c r="H2598" s="4" t="s">
        <v>75</v>
      </c>
      <c r="I2598" s="4" t="s">
        <v>69</v>
      </c>
      <c r="J2598" s="4" t="s">
        <v>66</v>
      </c>
      <c r="K2598" s="4">
        <v>0</v>
      </c>
      <c r="L2598" s="94">
        <v>1653310</v>
      </c>
      <c r="M2598" s="94">
        <v>16533100</v>
      </c>
    </row>
    <row r="2599" spans="3:13" x14ac:dyDescent="0.3">
      <c r="C2599" t="s">
        <v>71</v>
      </c>
      <c r="D2599" t="s">
        <v>67</v>
      </c>
      <c r="E2599" t="s">
        <v>63</v>
      </c>
      <c r="F2599" t="s">
        <v>25</v>
      </c>
      <c r="G2599" s="4">
        <v>4</v>
      </c>
      <c r="H2599" s="4" t="s">
        <v>14</v>
      </c>
      <c r="I2599" s="4" t="s">
        <v>69</v>
      </c>
      <c r="J2599" s="4" t="s">
        <v>66</v>
      </c>
      <c r="K2599" s="4">
        <v>0</v>
      </c>
      <c r="L2599" s="94">
        <v>-35064</v>
      </c>
      <c r="M2599" s="94">
        <v>0</v>
      </c>
    </row>
    <row r="2600" spans="3:13" x14ac:dyDescent="0.3">
      <c r="C2600" t="s">
        <v>61</v>
      </c>
      <c r="D2600" t="s">
        <v>67</v>
      </c>
      <c r="E2600" t="s">
        <v>63</v>
      </c>
      <c r="F2600" t="s">
        <v>26</v>
      </c>
      <c r="G2600" s="4">
        <v>0</v>
      </c>
      <c r="H2600" s="4" t="s">
        <v>83</v>
      </c>
      <c r="I2600" s="4" t="s">
        <v>69</v>
      </c>
      <c r="J2600" s="4" t="s">
        <v>66</v>
      </c>
      <c r="K2600" s="4">
        <v>0</v>
      </c>
      <c r="L2600" s="94">
        <v>-45524</v>
      </c>
      <c r="M2600" s="94">
        <v>0</v>
      </c>
    </row>
    <row r="2601" spans="3:13" x14ac:dyDescent="0.3">
      <c r="C2601" t="s">
        <v>70</v>
      </c>
      <c r="D2601" t="s">
        <v>67</v>
      </c>
      <c r="E2601" t="s">
        <v>68</v>
      </c>
      <c r="F2601" t="s">
        <v>26</v>
      </c>
      <c r="G2601" s="4">
        <v>-4</v>
      </c>
      <c r="H2601" s="4" t="s">
        <v>17</v>
      </c>
      <c r="I2601" s="4" t="s">
        <v>69</v>
      </c>
      <c r="J2601" s="4" t="s">
        <v>66</v>
      </c>
      <c r="K2601" s="4">
        <v>0</v>
      </c>
      <c r="L2601" s="94">
        <v>17515</v>
      </c>
      <c r="M2601" s="94">
        <v>0</v>
      </c>
    </row>
    <row r="2602" spans="3:13" x14ac:dyDescent="0.3">
      <c r="C2602" t="s">
        <v>61</v>
      </c>
      <c r="D2602" t="s">
        <v>62</v>
      </c>
      <c r="E2602" t="s">
        <v>68</v>
      </c>
      <c r="F2602" t="s">
        <v>24</v>
      </c>
      <c r="G2602" s="4">
        <v>32</v>
      </c>
      <c r="I2602" s="4" t="s">
        <v>69</v>
      </c>
      <c r="J2602" s="4" t="s">
        <v>66</v>
      </c>
      <c r="K2602" s="4">
        <v>0</v>
      </c>
      <c r="L2602" s="94">
        <v>803205449</v>
      </c>
      <c r="M2602" s="94">
        <v>25702574368</v>
      </c>
    </row>
    <row r="2603" spans="3:13" x14ac:dyDescent="0.3">
      <c r="C2603" t="s">
        <v>70</v>
      </c>
      <c r="D2603" t="s">
        <v>67</v>
      </c>
      <c r="E2603" t="s">
        <v>63</v>
      </c>
      <c r="F2603" t="s">
        <v>25</v>
      </c>
      <c r="G2603" s="4">
        <v>11</v>
      </c>
      <c r="H2603" s="4" t="s">
        <v>78</v>
      </c>
      <c r="I2603" s="4" t="s">
        <v>69</v>
      </c>
      <c r="J2603" s="4" t="s">
        <v>66</v>
      </c>
      <c r="K2603" s="4">
        <v>0</v>
      </c>
      <c r="L2603" s="94">
        <v>-3542</v>
      </c>
      <c r="M2603" s="94">
        <v>0</v>
      </c>
    </row>
    <row r="2604" spans="3:13" x14ac:dyDescent="0.3">
      <c r="C2604" t="s">
        <v>61</v>
      </c>
      <c r="D2604" t="s">
        <v>67</v>
      </c>
      <c r="E2604" t="s">
        <v>63</v>
      </c>
      <c r="F2604" t="s">
        <v>25</v>
      </c>
      <c r="G2604" s="4">
        <v>11</v>
      </c>
      <c r="H2604" s="4" t="s">
        <v>79</v>
      </c>
      <c r="I2604" s="4" t="s">
        <v>69</v>
      </c>
      <c r="J2604" s="4" t="s">
        <v>66</v>
      </c>
      <c r="K2604" s="4">
        <v>0</v>
      </c>
      <c r="L2604" s="94">
        <v>-8335</v>
      </c>
      <c r="M2604" s="94">
        <v>0</v>
      </c>
    </row>
    <row r="2605" spans="3:13" x14ac:dyDescent="0.3">
      <c r="C2605" t="s">
        <v>71</v>
      </c>
      <c r="D2605" t="s">
        <v>67</v>
      </c>
      <c r="E2605" t="s">
        <v>68</v>
      </c>
      <c r="F2605" t="s">
        <v>26</v>
      </c>
      <c r="G2605" s="4">
        <v>6</v>
      </c>
      <c r="H2605" s="4" t="s">
        <v>82</v>
      </c>
      <c r="I2605" s="4" t="s">
        <v>69</v>
      </c>
      <c r="J2605" s="4" t="s">
        <v>66</v>
      </c>
      <c r="K2605" s="4">
        <v>0</v>
      </c>
      <c r="L2605" s="94">
        <v>534425</v>
      </c>
      <c r="M2605" s="94">
        <v>3206550</v>
      </c>
    </row>
    <row r="2606" spans="3:13" x14ac:dyDescent="0.3">
      <c r="C2606" t="s">
        <v>71</v>
      </c>
      <c r="D2606" t="s">
        <v>67</v>
      </c>
      <c r="E2606" t="s">
        <v>63</v>
      </c>
      <c r="F2606" t="s">
        <v>25</v>
      </c>
      <c r="G2606" s="4">
        <v>0</v>
      </c>
      <c r="H2606" s="4" t="s">
        <v>14</v>
      </c>
      <c r="I2606" s="4" t="s">
        <v>69</v>
      </c>
      <c r="J2606" s="4" t="s">
        <v>66</v>
      </c>
      <c r="K2606" s="4">
        <v>1</v>
      </c>
      <c r="L2606" s="94">
        <v>0</v>
      </c>
      <c r="M2606" s="94">
        <v>0</v>
      </c>
    </row>
    <row r="2607" spans="3:13" x14ac:dyDescent="0.3">
      <c r="C2607" t="s">
        <v>70</v>
      </c>
      <c r="D2607" t="s">
        <v>62</v>
      </c>
      <c r="E2607" t="s">
        <v>68</v>
      </c>
      <c r="F2607" t="s">
        <v>24</v>
      </c>
      <c r="G2607" s="4">
        <v>32</v>
      </c>
      <c r="I2607" s="4" t="s">
        <v>65</v>
      </c>
      <c r="J2607" s="4" t="s">
        <v>66</v>
      </c>
      <c r="K2607" s="4">
        <v>1</v>
      </c>
      <c r="L2607" s="94">
        <v>1038632</v>
      </c>
      <c r="M2607" s="94">
        <v>33236224</v>
      </c>
    </row>
    <row r="2608" spans="3:13" x14ac:dyDescent="0.3">
      <c r="C2608" t="s">
        <v>71</v>
      </c>
      <c r="D2608" t="s">
        <v>67</v>
      </c>
      <c r="E2608" t="s">
        <v>63</v>
      </c>
      <c r="F2608" t="s">
        <v>72</v>
      </c>
      <c r="G2608" s="4">
        <v>2</v>
      </c>
      <c r="H2608" s="4" t="s">
        <v>83</v>
      </c>
      <c r="I2608" s="4" t="s">
        <v>69</v>
      </c>
      <c r="J2608" s="4" t="s">
        <v>66</v>
      </c>
      <c r="K2608" s="4">
        <v>0</v>
      </c>
      <c r="L2608" s="94">
        <v>-10500</v>
      </c>
      <c r="M2608" s="94">
        <v>0</v>
      </c>
    </row>
    <row r="2609" spans="3:13" x14ac:dyDescent="0.3">
      <c r="C2609" t="s">
        <v>70</v>
      </c>
      <c r="D2609" t="s">
        <v>62</v>
      </c>
      <c r="E2609" t="s">
        <v>68</v>
      </c>
      <c r="F2609" t="s">
        <v>24</v>
      </c>
      <c r="G2609" s="4">
        <v>23</v>
      </c>
      <c r="I2609" s="4" t="s">
        <v>69</v>
      </c>
      <c r="J2609" s="4" t="s">
        <v>66</v>
      </c>
      <c r="K2609" s="4">
        <v>1</v>
      </c>
      <c r="L2609" s="94">
        <v>779969</v>
      </c>
      <c r="M2609" s="94">
        <v>17939287</v>
      </c>
    </row>
    <row r="2610" spans="3:13" x14ac:dyDescent="0.3">
      <c r="C2610" t="s">
        <v>61</v>
      </c>
      <c r="D2610" t="s">
        <v>67</v>
      </c>
      <c r="E2610" t="s">
        <v>63</v>
      </c>
      <c r="F2610" t="s">
        <v>25</v>
      </c>
      <c r="G2610" s="4">
        <v>-1</v>
      </c>
      <c r="H2610" s="4" t="s">
        <v>82</v>
      </c>
      <c r="I2610" s="4" t="s">
        <v>69</v>
      </c>
      <c r="J2610" s="4" t="s">
        <v>66</v>
      </c>
      <c r="K2610" s="4">
        <v>0</v>
      </c>
      <c r="L2610" s="94">
        <v>0</v>
      </c>
      <c r="M2610" s="94">
        <v>0</v>
      </c>
    </row>
    <row r="2611" spans="3:13" x14ac:dyDescent="0.3">
      <c r="C2611" t="s">
        <v>71</v>
      </c>
      <c r="D2611" t="s">
        <v>67</v>
      </c>
      <c r="E2611" t="s">
        <v>68</v>
      </c>
      <c r="F2611" t="s">
        <v>26</v>
      </c>
      <c r="G2611" s="4">
        <v>-1</v>
      </c>
      <c r="H2611" s="4" t="s">
        <v>79</v>
      </c>
      <c r="I2611" s="4" t="s">
        <v>69</v>
      </c>
      <c r="J2611" s="4" t="s">
        <v>66</v>
      </c>
      <c r="K2611" s="4">
        <v>0</v>
      </c>
      <c r="L2611" s="94">
        <v>903539</v>
      </c>
      <c r="M2611" s="94">
        <v>0</v>
      </c>
    </row>
    <row r="2612" spans="3:13" x14ac:dyDescent="0.3">
      <c r="C2612" t="s">
        <v>70</v>
      </c>
      <c r="D2612" t="s">
        <v>67</v>
      </c>
      <c r="E2612" t="s">
        <v>63</v>
      </c>
      <c r="F2612" t="s">
        <v>25</v>
      </c>
      <c r="G2612" s="4">
        <v>-1</v>
      </c>
      <c r="H2612" s="4" t="s">
        <v>76</v>
      </c>
      <c r="I2612" s="4" t="s">
        <v>69</v>
      </c>
      <c r="J2612" s="4" t="s">
        <v>66</v>
      </c>
      <c r="K2612" s="4">
        <v>0</v>
      </c>
      <c r="L2612" s="94">
        <v>-3953</v>
      </c>
      <c r="M2612" s="94">
        <v>0</v>
      </c>
    </row>
    <row r="2613" spans="3:13" x14ac:dyDescent="0.3">
      <c r="C2613" t="s">
        <v>71</v>
      </c>
      <c r="D2613" t="s">
        <v>67</v>
      </c>
      <c r="E2613" t="s">
        <v>68</v>
      </c>
      <c r="F2613" t="s">
        <v>25</v>
      </c>
      <c r="G2613" s="4">
        <v>16</v>
      </c>
      <c r="H2613" s="4" t="s">
        <v>18</v>
      </c>
      <c r="I2613" s="4" t="s">
        <v>69</v>
      </c>
      <c r="J2613" s="4" t="s">
        <v>66</v>
      </c>
      <c r="K2613" s="4">
        <v>0</v>
      </c>
      <c r="L2613" s="94">
        <v>236471</v>
      </c>
      <c r="M2613" s="94">
        <v>3783536</v>
      </c>
    </row>
    <row r="2614" spans="3:13" x14ac:dyDescent="0.3">
      <c r="C2614" t="s">
        <v>61</v>
      </c>
      <c r="D2614" t="s">
        <v>67</v>
      </c>
      <c r="E2614" t="s">
        <v>68</v>
      </c>
      <c r="F2614" t="s">
        <v>72</v>
      </c>
      <c r="G2614" s="4">
        <v>6</v>
      </c>
      <c r="H2614" s="4" t="s">
        <v>78</v>
      </c>
      <c r="I2614" s="4" t="s">
        <v>69</v>
      </c>
      <c r="J2614" s="4" t="s">
        <v>66</v>
      </c>
      <c r="K2614" s="4">
        <v>0</v>
      </c>
      <c r="L2614" s="94">
        <v>245529</v>
      </c>
      <c r="M2614" s="94">
        <v>1473174</v>
      </c>
    </row>
    <row r="2615" spans="3:13" x14ac:dyDescent="0.3">
      <c r="C2615" t="s">
        <v>61</v>
      </c>
      <c r="D2615" t="s">
        <v>62</v>
      </c>
      <c r="E2615" t="s">
        <v>63</v>
      </c>
      <c r="F2615" t="s">
        <v>24</v>
      </c>
      <c r="G2615" s="4">
        <v>47</v>
      </c>
      <c r="I2615" s="4" t="s">
        <v>69</v>
      </c>
      <c r="J2615" s="4" t="s">
        <v>66</v>
      </c>
      <c r="K2615" s="4">
        <v>0</v>
      </c>
      <c r="L2615" s="94">
        <v>-15</v>
      </c>
      <c r="M2615" s="94">
        <v>0</v>
      </c>
    </row>
    <row r="2616" spans="3:13" x14ac:dyDescent="0.3">
      <c r="C2616" t="s">
        <v>70</v>
      </c>
      <c r="D2616" t="s">
        <v>67</v>
      </c>
      <c r="E2616" t="s">
        <v>63</v>
      </c>
      <c r="F2616" t="s">
        <v>25</v>
      </c>
      <c r="G2616" s="4">
        <v>4</v>
      </c>
      <c r="H2616" s="4" t="s">
        <v>17</v>
      </c>
      <c r="I2616" s="4" t="s">
        <v>69</v>
      </c>
      <c r="J2616" s="4" t="s">
        <v>66</v>
      </c>
      <c r="K2616" s="4">
        <v>0</v>
      </c>
      <c r="L2616" s="94">
        <v>-3537</v>
      </c>
      <c r="M2616" s="94">
        <v>0</v>
      </c>
    </row>
    <row r="2617" spans="3:13" x14ac:dyDescent="0.3">
      <c r="C2617" t="s">
        <v>61</v>
      </c>
      <c r="D2617" t="s">
        <v>84</v>
      </c>
      <c r="E2617" t="s">
        <v>63</v>
      </c>
      <c r="F2617" t="s">
        <v>25</v>
      </c>
      <c r="G2617" s="4">
        <v>7</v>
      </c>
      <c r="H2617" s="4" t="s">
        <v>75</v>
      </c>
      <c r="I2617" s="4" t="s">
        <v>69</v>
      </c>
      <c r="J2617" s="4" t="s">
        <v>66</v>
      </c>
      <c r="K2617" s="4">
        <v>0</v>
      </c>
      <c r="L2617" s="94">
        <v>-2948</v>
      </c>
      <c r="M2617" s="94">
        <v>0</v>
      </c>
    </row>
    <row r="2618" spans="3:13" x14ac:dyDescent="0.3">
      <c r="C2618" t="s">
        <v>61</v>
      </c>
      <c r="D2618" t="s">
        <v>67</v>
      </c>
      <c r="E2618" t="s">
        <v>68</v>
      </c>
      <c r="F2618" t="s">
        <v>25</v>
      </c>
      <c r="G2618" s="4">
        <v>6</v>
      </c>
      <c r="H2618" s="4" t="s">
        <v>17</v>
      </c>
      <c r="I2618" s="4" t="s">
        <v>69</v>
      </c>
      <c r="J2618" s="4" t="s">
        <v>73</v>
      </c>
      <c r="K2618" s="4">
        <v>1</v>
      </c>
      <c r="L2618" s="94">
        <v>296235</v>
      </c>
      <c r="M2618" s="94">
        <v>1777410</v>
      </c>
    </row>
    <row r="2619" spans="3:13" x14ac:dyDescent="0.3">
      <c r="C2619" t="s">
        <v>61</v>
      </c>
      <c r="D2619" t="s">
        <v>67</v>
      </c>
      <c r="E2619" t="s">
        <v>68</v>
      </c>
      <c r="F2619" t="s">
        <v>25</v>
      </c>
      <c r="G2619" s="4">
        <v>13</v>
      </c>
      <c r="H2619" s="4" t="s">
        <v>79</v>
      </c>
      <c r="I2619" s="4" t="s">
        <v>69</v>
      </c>
      <c r="J2619" s="4" t="s">
        <v>66</v>
      </c>
      <c r="K2619" s="4">
        <v>0</v>
      </c>
      <c r="L2619" s="94">
        <v>9229857</v>
      </c>
      <c r="M2619" s="94">
        <v>119988141</v>
      </c>
    </row>
    <row r="2620" spans="3:13" x14ac:dyDescent="0.3">
      <c r="C2620" t="s">
        <v>71</v>
      </c>
      <c r="D2620" t="s">
        <v>67</v>
      </c>
      <c r="E2620" t="s">
        <v>68</v>
      </c>
      <c r="F2620" t="s">
        <v>26</v>
      </c>
      <c r="G2620" s="4">
        <v>2</v>
      </c>
      <c r="H2620" s="4" t="s">
        <v>16</v>
      </c>
      <c r="I2620" s="4" t="s">
        <v>69</v>
      </c>
      <c r="J2620" s="4" t="s">
        <v>66</v>
      </c>
      <c r="K2620" s="4">
        <v>0</v>
      </c>
      <c r="L2620" s="94">
        <v>98479</v>
      </c>
      <c r="M2620" s="94">
        <v>196958</v>
      </c>
    </row>
    <row r="2621" spans="3:13" x14ac:dyDescent="0.3">
      <c r="C2621" t="s">
        <v>71</v>
      </c>
      <c r="D2621" t="s">
        <v>67</v>
      </c>
      <c r="E2621" t="s">
        <v>63</v>
      </c>
      <c r="F2621" t="s">
        <v>26</v>
      </c>
      <c r="G2621" s="4">
        <v>-4</v>
      </c>
      <c r="H2621" s="4" t="s">
        <v>83</v>
      </c>
      <c r="I2621" s="4" t="s">
        <v>69</v>
      </c>
      <c r="J2621" s="4" t="s">
        <v>66</v>
      </c>
      <c r="K2621" s="4">
        <v>0</v>
      </c>
      <c r="L2621" s="94">
        <v>-117517</v>
      </c>
      <c r="M2621" s="94">
        <v>0</v>
      </c>
    </row>
    <row r="2622" spans="3:13" x14ac:dyDescent="0.3">
      <c r="C2622" t="s">
        <v>71</v>
      </c>
      <c r="D2622" t="s">
        <v>67</v>
      </c>
      <c r="E2622" t="s">
        <v>68</v>
      </c>
      <c r="F2622" t="s">
        <v>26</v>
      </c>
      <c r="G2622" s="4">
        <v>-4</v>
      </c>
      <c r="H2622" s="4" t="s">
        <v>17</v>
      </c>
      <c r="I2622" s="4" t="s">
        <v>65</v>
      </c>
      <c r="J2622" s="4" t="s">
        <v>66</v>
      </c>
      <c r="K2622" s="4">
        <v>1</v>
      </c>
      <c r="L2622" s="94">
        <v>510</v>
      </c>
      <c r="M2622" s="94">
        <v>0</v>
      </c>
    </row>
    <row r="2623" spans="3:13" x14ac:dyDescent="0.3">
      <c r="C2623" t="s">
        <v>70</v>
      </c>
      <c r="D2623" t="s">
        <v>62</v>
      </c>
      <c r="E2623" t="s">
        <v>68</v>
      </c>
      <c r="F2623" t="s">
        <v>24</v>
      </c>
      <c r="G2623" s="4">
        <v>27</v>
      </c>
      <c r="I2623" s="4" t="s">
        <v>65</v>
      </c>
      <c r="J2623" s="4" t="s">
        <v>66</v>
      </c>
      <c r="K2623" s="4">
        <v>1</v>
      </c>
      <c r="L2623" s="94">
        <v>268433</v>
      </c>
      <c r="M2623" s="94">
        <v>7247691</v>
      </c>
    </row>
    <row r="2624" spans="3:13" x14ac:dyDescent="0.3">
      <c r="C2624" t="s">
        <v>70</v>
      </c>
      <c r="D2624" t="s">
        <v>67</v>
      </c>
      <c r="E2624" t="s">
        <v>63</v>
      </c>
      <c r="F2624" t="s">
        <v>26</v>
      </c>
      <c r="G2624" s="4">
        <v>3</v>
      </c>
      <c r="H2624" s="4" t="s">
        <v>78</v>
      </c>
      <c r="I2624" s="4" t="s">
        <v>69</v>
      </c>
      <c r="J2624" s="4" t="s">
        <v>66</v>
      </c>
      <c r="K2624" s="4">
        <v>0</v>
      </c>
      <c r="L2624" s="94">
        <v>-51714</v>
      </c>
      <c r="M2624" s="94">
        <v>0</v>
      </c>
    </row>
    <row r="2625" spans="3:13" x14ac:dyDescent="0.3">
      <c r="C2625" t="s">
        <v>70</v>
      </c>
      <c r="D2625" t="s">
        <v>67</v>
      </c>
      <c r="E2625" t="s">
        <v>68</v>
      </c>
      <c r="F2625" t="s">
        <v>72</v>
      </c>
      <c r="G2625" s="4">
        <v>6</v>
      </c>
      <c r="H2625" s="4" t="s">
        <v>18</v>
      </c>
      <c r="I2625" s="4" t="s">
        <v>69</v>
      </c>
      <c r="J2625" s="4" t="s">
        <v>73</v>
      </c>
      <c r="K2625" s="4">
        <v>1</v>
      </c>
      <c r="L2625" s="94">
        <v>157757</v>
      </c>
      <c r="M2625" s="94">
        <v>946542</v>
      </c>
    </row>
    <row r="2626" spans="3:13" x14ac:dyDescent="0.3">
      <c r="C2626" t="s">
        <v>61</v>
      </c>
      <c r="D2626" t="s">
        <v>67</v>
      </c>
      <c r="E2626" t="s">
        <v>63</v>
      </c>
      <c r="F2626" t="s">
        <v>26</v>
      </c>
      <c r="G2626" s="4">
        <v>3</v>
      </c>
      <c r="H2626" s="4" t="s">
        <v>15</v>
      </c>
      <c r="I2626" s="4" t="s">
        <v>69</v>
      </c>
      <c r="J2626" s="4" t="s">
        <v>73</v>
      </c>
      <c r="K2626" s="4">
        <v>1</v>
      </c>
      <c r="L2626" s="94">
        <v>-277</v>
      </c>
      <c r="M2626" s="94">
        <v>0</v>
      </c>
    </row>
    <row r="2627" spans="3:13" x14ac:dyDescent="0.3">
      <c r="C2627" t="s">
        <v>61</v>
      </c>
      <c r="D2627" t="s">
        <v>67</v>
      </c>
      <c r="E2627" t="s">
        <v>68</v>
      </c>
      <c r="F2627" t="s">
        <v>26</v>
      </c>
      <c r="G2627" s="4">
        <v>1</v>
      </c>
      <c r="H2627" s="4" t="s">
        <v>14</v>
      </c>
      <c r="I2627" s="4" t="s">
        <v>65</v>
      </c>
      <c r="J2627" s="4" t="s">
        <v>66</v>
      </c>
      <c r="K2627" s="4">
        <v>1</v>
      </c>
      <c r="L2627" s="94">
        <v>113291</v>
      </c>
      <c r="M2627" s="94">
        <v>113291</v>
      </c>
    </row>
    <row r="2628" spans="3:13" x14ac:dyDescent="0.3">
      <c r="C2628" t="s">
        <v>61</v>
      </c>
      <c r="D2628" t="s">
        <v>67</v>
      </c>
      <c r="E2628" t="s">
        <v>68</v>
      </c>
      <c r="F2628" t="s">
        <v>72</v>
      </c>
      <c r="G2628" s="4">
        <v>1</v>
      </c>
      <c r="H2628" s="4" t="s">
        <v>82</v>
      </c>
      <c r="I2628" s="4" t="s">
        <v>69</v>
      </c>
      <c r="J2628" s="4" t="s">
        <v>66</v>
      </c>
      <c r="K2628" s="4">
        <v>0</v>
      </c>
      <c r="L2628" s="94">
        <v>6956240</v>
      </c>
      <c r="M2628" s="94">
        <v>6956240</v>
      </c>
    </row>
    <row r="2629" spans="3:13" x14ac:dyDescent="0.3">
      <c r="C2629" t="s">
        <v>71</v>
      </c>
      <c r="D2629" t="s">
        <v>67</v>
      </c>
      <c r="E2629" t="s">
        <v>68</v>
      </c>
      <c r="F2629" t="s">
        <v>25</v>
      </c>
      <c r="G2629" s="4">
        <v>4</v>
      </c>
      <c r="H2629" s="4" t="s">
        <v>14</v>
      </c>
      <c r="I2629" s="4" t="s">
        <v>69</v>
      </c>
      <c r="J2629" s="4" t="s">
        <v>66</v>
      </c>
      <c r="K2629" s="4">
        <v>1</v>
      </c>
      <c r="L2629" s="94">
        <v>30442</v>
      </c>
      <c r="M2629" s="94">
        <v>121768</v>
      </c>
    </row>
    <row r="2630" spans="3:13" x14ac:dyDescent="0.3">
      <c r="C2630" t="s">
        <v>61</v>
      </c>
      <c r="D2630" t="s">
        <v>67</v>
      </c>
      <c r="E2630" t="s">
        <v>68</v>
      </c>
      <c r="F2630" t="s">
        <v>26</v>
      </c>
      <c r="G2630" s="4">
        <v>0</v>
      </c>
      <c r="H2630" s="4" t="s">
        <v>83</v>
      </c>
      <c r="I2630" s="4" t="s">
        <v>69</v>
      </c>
      <c r="J2630" s="4" t="s">
        <v>66</v>
      </c>
      <c r="K2630" s="4">
        <v>0</v>
      </c>
      <c r="L2630" s="94">
        <v>4910548</v>
      </c>
      <c r="M2630" s="94">
        <v>0</v>
      </c>
    </row>
    <row r="2631" spans="3:13" x14ac:dyDescent="0.3">
      <c r="C2631" t="s">
        <v>61</v>
      </c>
      <c r="D2631" t="s">
        <v>67</v>
      </c>
      <c r="E2631" t="s">
        <v>63</v>
      </c>
      <c r="F2631" t="s">
        <v>25</v>
      </c>
      <c r="G2631" s="4">
        <v>0</v>
      </c>
      <c r="H2631" s="4" t="s">
        <v>18</v>
      </c>
      <c r="I2631" s="4" t="s">
        <v>69</v>
      </c>
      <c r="J2631" s="4" t="s">
        <v>66</v>
      </c>
      <c r="K2631" s="4">
        <v>1</v>
      </c>
      <c r="L2631" s="94">
        <v>-87</v>
      </c>
      <c r="M2631" s="94">
        <v>0</v>
      </c>
    </row>
    <row r="2632" spans="3:13" x14ac:dyDescent="0.3">
      <c r="C2632" t="s">
        <v>61</v>
      </c>
      <c r="D2632" t="s">
        <v>67</v>
      </c>
      <c r="E2632" t="s">
        <v>68</v>
      </c>
      <c r="F2632" t="s">
        <v>25</v>
      </c>
      <c r="G2632" s="4">
        <v>2</v>
      </c>
      <c r="H2632" s="4" t="s">
        <v>12</v>
      </c>
      <c r="I2632" s="4" t="s">
        <v>69</v>
      </c>
      <c r="J2632" s="4" t="s">
        <v>66</v>
      </c>
      <c r="K2632" s="4">
        <v>1</v>
      </c>
      <c r="L2632" s="94">
        <v>117749</v>
      </c>
      <c r="M2632" s="94">
        <v>235498</v>
      </c>
    </row>
    <row r="2633" spans="3:13" x14ac:dyDescent="0.3">
      <c r="C2633" t="s">
        <v>61</v>
      </c>
      <c r="D2633" t="s">
        <v>67</v>
      </c>
      <c r="E2633" t="s">
        <v>63</v>
      </c>
      <c r="F2633" t="s">
        <v>26</v>
      </c>
      <c r="G2633" s="4">
        <v>3</v>
      </c>
      <c r="H2633" s="4" t="s">
        <v>14</v>
      </c>
      <c r="I2633" s="4" t="s">
        <v>65</v>
      </c>
      <c r="J2633" s="4" t="s">
        <v>66</v>
      </c>
      <c r="K2633" s="4">
        <v>1</v>
      </c>
      <c r="L2633" s="94">
        <v>-234</v>
      </c>
      <c r="M2633" s="94">
        <v>0</v>
      </c>
    </row>
    <row r="2634" spans="3:13" x14ac:dyDescent="0.3">
      <c r="C2634" t="s">
        <v>61</v>
      </c>
      <c r="D2634" t="s">
        <v>67</v>
      </c>
      <c r="E2634" t="s">
        <v>68</v>
      </c>
      <c r="F2634" t="s">
        <v>26</v>
      </c>
      <c r="G2634" s="4">
        <v>1</v>
      </c>
      <c r="H2634" s="4" t="s">
        <v>15</v>
      </c>
      <c r="I2634" s="4" t="s">
        <v>69</v>
      </c>
      <c r="J2634" s="4" t="s">
        <v>73</v>
      </c>
      <c r="K2634" s="4">
        <v>1</v>
      </c>
      <c r="L2634" s="94">
        <v>222736259</v>
      </c>
      <c r="M2634" s="94">
        <v>222736259</v>
      </c>
    </row>
    <row r="2635" spans="3:13" x14ac:dyDescent="0.3">
      <c r="C2635" t="s">
        <v>61</v>
      </c>
      <c r="D2635" t="s">
        <v>67</v>
      </c>
      <c r="E2635" t="s">
        <v>63</v>
      </c>
      <c r="F2635" t="s">
        <v>26</v>
      </c>
      <c r="G2635" s="4">
        <v>-1</v>
      </c>
      <c r="H2635" s="4" t="s">
        <v>17</v>
      </c>
      <c r="I2635" s="4" t="s">
        <v>65</v>
      </c>
      <c r="J2635" s="4" t="s">
        <v>73</v>
      </c>
      <c r="K2635" s="4">
        <v>1</v>
      </c>
      <c r="L2635" s="94">
        <v>-15450</v>
      </c>
      <c r="M2635" s="94">
        <v>0</v>
      </c>
    </row>
    <row r="2636" spans="3:13" x14ac:dyDescent="0.3">
      <c r="C2636" t="s">
        <v>71</v>
      </c>
      <c r="D2636" t="s">
        <v>67</v>
      </c>
      <c r="E2636" t="s">
        <v>63</v>
      </c>
      <c r="F2636" t="s">
        <v>25</v>
      </c>
      <c r="G2636" s="4">
        <v>3</v>
      </c>
      <c r="H2636" s="4" t="s">
        <v>12</v>
      </c>
      <c r="I2636" s="4" t="s">
        <v>69</v>
      </c>
      <c r="J2636" s="4" t="s">
        <v>66</v>
      </c>
      <c r="K2636" s="4">
        <v>1</v>
      </c>
      <c r="L2636" s="94">
        <v>-33710</v>
      </c>
      <c r="M2636" s="94">
        <v>0</v>
      </c>
    </row>
    <row r="2637" spans="3:13" x14ac:dyDescent="0.3">
      <c r="C2637" t="s">
        <v>70</v>
      </c>
      <c r="D2637" t="s">
        <v>67</v>
      </c>
      <c r="E2637" t="s">
        <v>68</v>
      </c>
      <c r="F2637" t="s">
        <v>25</v>
      </c>
      <c r="G2637" s="4">
        <v>5</v>
      </c>
      <c r="H2637" s="4" t="s">
        <v>12</v>
      </c>
      <c r="I2637" s="4" t="s">
        <v>69</v>
      </c>
      <c r="J2637" s="4" t="s">
        <v>66</v>
      </c>
      <c r="K2637" s="4">
        <v>0</v>
      </c>
      <c r="L2637" s="94">
        <v>137239</v>
      </c>
      <c r="M2637" s="94">
        <v>686195</v>
      </c>
    </row>
    <row r="2638" spans="3:13" x14ac:dyDescent="0.3">
      <c r="C2638" t="s">
        <v>61</v>
      </c>
      <c r="D2638" t="s">
        <v>67</v>
      </c>
      <c r="E2638" t="s">
        <v>68</v>
      </c>
      <c r="F2638" t="s">
        <v>72</v>
      </c>
      <c r="G2638" s="4">
        <v>2</v>
      </c>
      <c r="H2638" s="4" t="s">
        <v>13</v>
      </c>
      <c r="I2638" s="4" t="s">
        <v>69</v>
      </c>
      <c r="J2638" s="4" t="s">
        <v>73</v>
      </c>
      <c r="K2638" s="4">
        <v>1</v>
      </c>
      <c r="L2638" s="94">
        <v>578107</v>
      </c>
      <c r="M2638" s="94">
        <v>1156214</v>
      </c>
    </row>
    <row r="2639" spans="3:13" x14ac:dyDescent="0.3">
      <c r="C2639" t="s">
        <v>61</v>
      </c>
      <c r="D2639" t="s">
        <v>67</v>
      </c>
      <c r="E2639" t="s">
        <v>63</v>
      </c>
      <c r="F2639" t="s">
        <v>26</v>
      </c>
      <c r="G2639" s="4">
        <v>8</v>
      </c>
      <c r="H2639" s="4" t="s">
        <v>12</v>
      </c>
      <c r="I2639" s="4" t="s">
        <v>69</v>
      </c>
      <c r="J2639" s="4" t="s">
        <v>66</v>
      </c>
      <c r="K2639" s="4">
        <v>0</v>
      </c>
      <c r="L2639" s="94">
        <v>-1592</v>
      </c>
      <c r="M2639" s="94">
        <v>0</v>
      </c>
    </row>
    <row r="2640" spans="3:13" x14ac:dyDescent="0.3">
      <c r="C2640" t="s">
        <v>71</v>
      </c>
      <c r="D2640" t="s">
        <v>67</v>
      </c>
      <c r="E2640" t="s">
        <v>63</v>
      </c>
      <c r="F2640" t="s">
        <v>25</v>
      </c>
      <c r="G2640" s="4">
        <v>-1</v>
      </c>
      <c r="H2640" s="4" t="s">
        <v>75</v>
      </c>
      <c r="I2640" s="4" t="s">
        <v>69</v>
      </c>
      <c r="J2640" s="4" t="s">
        <v>66</v>
      </c>
      <c r="K2640" s="4">
        <v>0</v>
      </c>
      <c r="L2640" s="94">
        <v>-1</v>
      </c>
      <c r="M2640" s="94">
        <v>0</v>
      </c>
    </row>
    <row r="2641" spans="3:13" x14ac:dyDescent="0.3">
      <c r="C2641" t="s">
        <v>61</v>
      </c>
      <c r="D2641" t="s">
        <v>67</v>
      </c>
      <c r="E2641" t="s">
        <v>68</v>
      </c>
      <c r="F2641" t="s">
        <v>26</v>
      </c>
      <c r="G2641" s="4">
        <v>2</v>
      </c>
      <c r="H2641" s="4" t="s">
        <v>17</v>
      </c>
      <c r="I2641" s="4" t="s">
        <v>65</v>
      </c>
      <c r="J2641" s="4" t="s">
        <v>73</v>
      </c>
      <c r="K2641" s="4">
        <v>1</v>
      </c>
      <c r="L2641" s="94">
        <v>1218341</v>
      </c>
      <c r="M2641" s="94">
        <v>2436682</v>
      </c>
    </row>
    <row r="2642" spans="3:13" x14ac:dyDescent="0.3">
      <c r="C2642" t="s">
        <v>70</v>
      </c>
      <c r="D2642" t="s">
        <v>62</v>
      </c>
      <c r="E2642" t="s">
        <v>63</v>
      </c>
      <c r="F2642" t="s">
        <v>25</v>
      </c>
      <c r="G2642" s="4">
        <v>2</v>
      </c>
      <c r="I2642" s="4" t="s">
        <v>69</v>
      </c>
      <c r="J2642" s="4" t="s">
        <v>66</v>
      </c>
      <c r="K2642" s="4">
        <v>1</v>
      </c>
      <c r="L2642" s="94">
        <v>-195</v>
      </c>
      <c r="M2642" s="94">
        <v>0</v>
      </c>
    </row>
    <row r="2643" spans="3:13" x14ac:dyDescent="0.3">
      <c r="C2643" t="s">
        <v>71</v>
      </c>
      <c r="D2643" t="s">
        <v>67</v>
      </c>
      <c r="E2643" t="s">
        <v>63</v>
      </c>
      <c r="F2643" t="s">
        <v>72</v>
      </c>
      <c r="G2643" s="4">
        <v>2</v>
      </c>
      <c r="H2643" s="4" t="s">
        <v>75</v>
      </c>
      <c r="I2643" s="4" t="s">
        <v>69</v>
      </c>
      <c r="J2643" s="4" t="s">
        <v>66</v>
      </c>
      <c r="K2643" s="4">
        <v>0</v>
      </c>
      <c r="L2643" s="94">
        <v>-20457</v>
      </c>
      <c r="M2643" s="94">
        <v>0</v>
      </c>
    </row>
    <row r="2644" spans="3:13" x14ac:dyDescent="0.3">
      <c r="C2644" t="s">
        <v>70</v>
      </c>
      <c r="D2644" t="s">
        <v>67</v>
      </c>
      <c r="E2644" t="s">
        <v>68</v>
      </c>
      <c r="F2644" t="s">
        <v>72</v>
      </c>
      <c r="G2644" s="4">
        <v>-4</v>
      </c>
      <c r="H2644" s="4" t="s">
        <v>13</v>
      </c>
      <c r="I2644" s="4" t="s">
        <v>69</v>
      </c>
      <c r="J2644" s="4" t="s">
        <v>73</v>
      </c>
      <c r="K2644" s="4">
        <v>1</v>
      </c>
      <c r="L2644" s="94">
        <v>529</v>
      </c>
      <c r="M2644" s="94">
        <v>0</v>
      </c>
    </row>
    <row r="2645" spans="3:13" x14ac:dyDescent="0.3">
      <c r="C2645" t="s">
        <v>61</v>
      </c>
      <c r="D2645" t="s">
        <v>67</v>
      </c>
      <c r="E2645" t="s">
        <v>63</v>
      </c>
      <c r="F2645" t="s">
        <v>25</v>
      </c>
      <c r="G2645" s="4">
        <v>8</v>
      </c>
      <c r="H2645" s="4" t="s">
        <v>14</v>
      </c>
      <c r="I2645" s="4" t="s">
        <v>69</v>
      </c>
      <c r="J2645" s="4" t="s">
        <v>66</v>
      </c>
      <c r="K2645" s="4">
        <v>0</v>
      </c>
      <c r="L2645" s="94">
        <v>-5484</v>
      </c>
      <c r="M2645" s="94">
        <v>0</v>
      </c>
    </row>
    <row r="2646" spans="3:13" x14ac:dyDescent="0.3">
      <c r="C2646" t="s">
        <v>61</v>
      </c>
      <c r="D2646" t="s">
        <v>62</v>
      </c>
      <c r="E2646" t="s">
        <v>68</v>
      </c>
      <c r="F2646" t="s">
        <v>24</v>
      </c>
      <c r="G2646" s="4">
        <v>26</v>
      </c>
      <c r="I2646" s="4" t="s">
        <v>65</v>
      </c>
      <c r="J2646" s="4" t="s">
        <v>66</v>
      </c>
      <c r="K2646" s="4">
        <v>1</v>
      </c>
      <c r="L2646" s="94">
        <v>12111765</v>
      </c>
      <c r="M2646" s="94">
        <v>314905890</v>
      </c>
    </row>
    <row r="2647" spans="3:13" x14ac:dyDescent="0.3">
      <c r="C2647" t="s">
        <v>61</v>
      </c>
      <c r="D2647" t="s">
        <v>67</v>
      </c>
      <c r="E2647" t="s">
        <v>63</v>
      </c>
      <c r="F2647" t="s">
        <v>72</v>
      </c>
      <c r="G2647" s="4">
        <v>-1</v>
      </c>
      <c r="H2647" s="4" t="s">
        <v>82</v>
      </c>
      <c r="I2647" s="4" t="s">
        <v>69</v>
      </c>
      <c r="J2647" s="4" t="s">
        <v>66</v>
      </c>
      <c r="K2647" s="4">
        <v>0</v>
      </c>
      <c r="L2647" s="94">
        <v>-642</v>
      </c>
      <c r="M2647" s="94">
        <v>0</v>
      </c>
    </row>
    <row r="2648" spans="3:13" x14ac:dyDescent="0.3">
      <c r="C2648" t="s">
        <v>61</v>
      </c>
      <c r="D2648" t="s">
        <v>67</v>
      </c>
      <c r="E2648" t="s">
        <v>68</v>
      </c>
      <c r="F2648" t="s">
        <v>72</v>
      </c>
      <c r="G2648" s="4">
        <v>8</v>
      </c>
      <c r="H2648" s="4" t="s">
        <v>17</v>
      </c>
      <c r="I2648" s="4" t="s">
        <v>69</v>
      </c>
      <c r="J2648" s="4" t="s">
        <v>66</v>
      </c>
      <c r="K2648" s="4">
        <v>0</v>
      </c>
      <c r="L2648" s="94">
        <v>366492</v>
      </c>
      <c r="M2648" s="94">
        <v>2931936</v>
      </c>
    </row>
    <row r="2649" spans="3:13" x14ac:dyDescent="0.3">
      <c r="C2649" t="s">
        <v>61</v>
      </c>
      <c r="D2649" t="s">
        <v>67</v>
      </c>
      <c r="E2649" t="s">
        <v>68</v>
      </c>
      <c r="F2649" t="s">
        <v>72</v>
      </c>
      <c r="G2649" s="4">
        <v>6</v>
      </c>
      <c r="H2649" s="4" t="s">
        <v>64</v>
      </c>
      <c r="I2649" s="4" t="s">
        <v>69</v>
      </c>
      <c r="J2649" s="4" t="s">
        <v>66</v>
      </c>
      <c r="K2649" s="4">
        <v>0</v>
      </c>
      <c r="L2649" s="94">
        <v>736015</v>
      </c>
      <c r="M2649" s="94">
        <v>4416090</v>
      </c>
    </row>
    <row r="2650" spans="3:13" x14ac:dyDescent="0.3">
      <c r="C2650" t="s">
        <v>61</v>
      </c>
      <c r="D2650" t="s">
        <v>85</v>
      </c>
      <c r="E2650" t="s">
        <v>63</v>
      </c>
      <c r="F2650" t="s">
        <v>25</v>
      </c>
      <c r="G2650" s="4">
        <v>12</v>
      </c>
      <c r="H2650" s="4" t="s">
        <v>81</v>
      </c>
      <c r="I2650" s="4" t="s">
        <v>69</v>
      </c>
      <c r="J2650" s="4" t="s">
        <v>66</v>
      </c>
      <c r="K2650" s="4">
        <v>0</v>
      </c>
      <c r="L2650" s="94">
        <v>-101</v>
      </c>
      <c r="M2650" s="94">
        <v>0</v>
      </c>
    </row>
    <row r="2651" spans="3:13" x14ac:dyDescent="0.3">
      <c r="C2651" t="s">
        <v>61</v>
      </c>
      <c r="D2651" t="s">
        <v>67</v>
      </c>
      <c r="E2651" t="s">
        <v>68</v>
      </c>
      <c r="F2651" t="s">
        <v>25</v>
      </c>
      <c r="G2651" s="4">
        <v>15</v>
      </c>
      <c r="H2651" s="4" t="s">
        <v>79</v>
      </c>
      <c r="I2651" s="4" t="s">
        <v>69</v>
      </c>
      <c r="J2651" s="4" t="s">
        <v>66</v>
      </c>
      <c r="K2651" s="4">
        <v>0</v>
      </c>
      <c r="L2651" s="94">
        <v>4198203</v>
      </c>
      <c r="M2651" s="94">
        <v>62973045</v>
      </c>
    </row>
    <row r="2652" spans="3:13" x14ac:dyDescent="0.3">
      <c r="C2652" t="s">
        <v>71</v>
      </c>
      <c r="D2652" t="s">
        <v>67</v>
      </c>
      <c r="E2652" t="s">
        <v>63</v>
      </c>
      <c r="F2652" t="s">
        <v>26</v>
      </c>
      <c r="G2652" s="4">
        <v>9</v>
      </c>
      <c r="H2652" s="4" t="s">
        <v>14</v>
      </c>
      <c r="I2652" s="4" t="s">
        <v>69</v>
      </c>
      <c r="J2652" s="4" t="s">
        <v>66</v>
      </c>
      <c r="K2652" s="4">
        <v>0</v>
      </c>
      <c r="L2652" s="94">
        <v>-201962</v>
      </c>
      <c r="M2652" s="94">
        <v>0</v>
      </c>
    </row>
    <row r="2653" spans="3:13" x14ac:dyDescent="0.3">
      <c r="C2653" t="s">
        <v>61</v>
      </c>
      <c r="D2653" t="s">
        <v>67</v>
      </c>
      <c r="E2653" t="s">
        <v>63</v>
      </c>
      <c r="F2653" t="s">
        <v>26</v>
      </c>
      <c r="G2653" s="4">
        <v>2</v>
      </c>
      <c r="H2653" s="4" t="s">
        <v>87</v>
      </c>
      <c r="I2653" s="4" t="s">
        <v>69</v>
      </c>
      <c r="J2653" s="4" t="s">
        <v>66</v>
      </c>
      <c r="K2653" s="4">
        <v>0</v>
      </c>
      <c r="L2653" s="94">
        <v>-1734</v>
      </c>
      <c r="M2653" s="94">
        <v>0</v>
      </c>
    </row>
    <row r="2654" spans="3:13" x14ac:dyDescent="0.3">
      <c r="C2654" t="s">
        <v>61</v>
      </c>
      <c r="D2654" t="s">
        <v>84</v>
      </c>
      <c r="E2654" t="s">
        <v>68</v>
      </c>
      <c r="F2654" t="s">
        <v>25</v>
      </c>
      <c r="G2654" s="4">
        <v>5</v>
      </c>
      <c r="H2654" s="4" t="s">
        <v>81</v>
      </c>
      <c r="I2654" s="4" t="s">
        <v>69</v>
      </c>
      <c r="J2654" s="4" t="s">
        <v>66</v>
      </c>
      <c r="K2654" s="4">
        <v>0</v>
      </c>
      <c r="L2654" s="94">
        <v>71163</v>
      </c>
      <c r="M2654" s="94">
        <v>355815</v>
      </c>
    </row>
    <row r="2655" spans="3:13" x14ac:dyDescent="0.3">
      <c r="C2655" t="s">
        <v>70</v>
      </c>
      <c r="D2655" t="s">
        <v>67</v>
      </c>
      <c r="E2655" t="s">
        <v>68</v>
      </c>
      <c r="F2655" t="s">
        <v>25</v>
      </c>
      <c r="G2655" s="4">
        <v>0</v>
      </c>
      <c r="H2655" s="4" t="s">
        <v>75</v>
      </c>
      <c r="I2655" s="4" t="s">
        <v>69</v>
      </c>
      <c r="J2655" s="4" t="s">
        <v>66</v>
      </c>
      <c r="K2655" s="4">
        <v>0</v>
      </c>
      <c r="L2655" s="94">
        <v>705573</v>
      </c>
      <c r="M2655" s="94">
        <v>0</v>
      </c>
    </row>
    <row r="2656" spans="3:13" x14ac:dyDescent="0.3">
      <c r="C2656" t="s">
        <v>61</v>
      </c>
      <c r="D2656" t="s">
        <v>67</v>
      </c>
      <c r="E2656" t="s">
        <v>68</v>
      </c>
      <c r="F2656" t="s">
        <v>26</v>
      </c>
      <c r="G2656" s="4">
        <v>4</v>
      </c>
      <c r="H2656" s="4" t="s">
        <v>77</v>
      </c>
      <c r="I2656" s="4" t="s">
        <v>69</v>
      </c>
      <c r="J2656" s="4" t="s">
        <v>66</v>
      </c>
      <c r="K2656" s="4">
        <v>0</v>
      </c>
      <c r="L2656" s="94">
        <v>6046962</v>
      </c>
      <c r="M2656" s="94">
        <v>24187848</v>
      </c>
    </row>
    <row r="2657" spans="3:13" x14ac:dyDescent="0.3">
      <c r="C2657" t="s">
        <v>61</v>
      </c>
      <c r="D2657" t="s">
        <v>62</v>
      </c>
      <c r="E2657" t="s">
        <v>68</v>
      </c>
      <c r="F2657" t="s">
        <v>25</v>
      </c>
      <c r="G2657" s="4">
        <v>19</v>
      </c>
      <c r="I2657" s="4" t="s">
        <v>69</v>
      </c>
      <c r="J2657" s="4" t="s">
        <v>66</v>
      </c>
      <c r="K2657" s="4">
        <v>0</v>
      </c>
      <c r="L2657" s="94">
        <v>291634</v>
      </c>
      <c r="M2657" s="94">
        <v>5541046</v>
      </c>
    </row>
    <row r="2658" spans="3:13" x14ac:dyDescent="0.3">
      <c r="C2658" t="s">
        <v>61</v>
      </c>
      <c r="D2658" t="s">
        <v>67</v>
      </c>
      <c r="E2658" t="s">
        <v>68</v>
      </c>
      <c r="F2658" t="s">
        <v>26</v>
      </c>
      <c r="G2658" s="4">
        <v>-1</v>
      </c>
      <c r="H2658" s="4" t="s">
        <v>16</v>
      </c>
      <c r="I2658" s="4" t="s">
        <v>69</v>
      </c>
      <c r="J2658" s="4" t="s">
        <v>66</v>
      </c>
      <c r="K2658" s="4">
        <v>0</v>
      </c>
      <c r="L2658" s="94">
        <v>4635753</v>
      </c>
      <c r="M2658" s="94">
        <v>0</v>
      </c>
    </row>
    <row r="2659" spans="3:13" x14ac:dyDescent="0.3">
      <c r="C2659" t="s">
        <v>70</v>
      </c>
      <c r="D2659" t="s">
        <v>62</v>
      </c>
      <c r="E2659" t="s">
        <v>68</v>
      </c>
      <c r="F2659" t="s">
        <v>24</v>
      </c>
      <c r="G2659" s="4">
        <v>26</v>
      </c>
      <c r="I2659" s="4" t="s">
        <v>69</v>
      </c>
      <c r="J2659" s="4" t="s">
        <v>66</v>
      </c>
      <c r="K2659" s="4">
        <v>0</v>
      </c>
      <c r="L2659" s="94">
        <v>51820138</v>
      </c>
      <c r="M2659" s="94">
        <v>1347323588</v>
      </c>
    </row>
    <row r="2660" spans="3:13" x14ac:dyDescent="0.3">
      <c r="C2660" t="s">
        <v>61</v>
      </c>
      <c r="D2660" t="s">
        <v>67</v>
      </c>
      <c r="E2660" t="s">
        <v>63</v>
      </c>
      <c r="F2660" t="s">
        <v>25</v>
      </c>
      <c r="G2660" s="4">
        <v>6</v>
      </c>
      <c r="H2660" s="4" t="s">
        <v>77</v>
      </c>
      <c r="I2660" s="4" t="s">
        <v>69</v>
      </c>
      <c r="J2660" s="4" t="s">
        <v>66</v>
      </c>
      <c r="K2660" s="4">
        <v>0</v>
      </c>
      <c r="L2660" s="94">
        <v>-119</v>
      </c>
      <c r="M2660" s="94">
        <v>0</v>
      </c>
    </row>
    <row r="2661" spans="3:13" x14ac:dyDescent="0.3">
      <c r="C2661" t="s">
        <v>70</v>
      </c>
      <c r="D2661" t="s">
        <v>67</v>
      </c>
      <c r="E2661" t="s">
        <v>63</v>
      </c>
      <c r="F2661" t="s">
        <v>26</v>
      </c>
      <c r="G2661" s="4">
        <v>3</v>
      </c>
      <c r="H2661" s="4" t="s">
        <v>64</v>
      </c>
      <c r="I2661" s="4" t="s">
        <v>69</v>
      </c>
      <c r="J2661" s="4" t="s">
        <v>66</v>
      </c>
      <c r="K2661" s="4">
        <v>0</v>
      </c>
      <c r="L2661" s="94">
        <v>-281571</v>
      </c>
      <c r="M2661" s="94">
        <v>0</v>
      </c>
    </row>
    <row r="2662" spans="3:13" x14ac:dyDescent="0.3">
      <c r="C2662" t="s">
        <v>71</v>
      </c>
      <c r="D2662" t="s">
        <v>67</v>
      </c>
      <c r="E2662" t="s">
        <v>63</v>
      </c>
      <c r="F2662" t="s">
        <v>25</v>
      </c>
      <c r="G2662" s="4">
        <v>8</v>
      </c>
      <c r="H2662" s="4" t="s">
        <v>18</v>
      </c>
      <c r="I2662" s="4" t="s">
        <v>69</v>
      </c>
      <c r="J2662" s="4" t="s">
        <v>66</v>
      </c>
      <c r="K2662" s="4">
        <v>0</v>
      </c>
      <c r="L2662" s="94">
        <v>-52966</v>
      </c>
      <c r="M2662" s="94">
        <v>0</v>
      </c>
    </row>
    <row r="2663" spans="3:13" x14ac:dyDescent="0.3">
      <c r="C2663" t="s">
        <v>71</v>
      </c>
      <c r="D2663" t="s">
        <v>67</v>
      </c>
      <c r="E2663" t="s">
        <v>68</v>
      </c>
      <c r="F2663" t="s">
        <v>25</v>
      </c>
      <c r="G2663" s="4">
        <v>1</v>
      </c>
      <c r="H2663" s="4" t="s">
        <v>18</v>
      </c>
      <c r="I2663" s="4" t="s">
        <v>69</v>
      </c>
      <c r="J2663" s="4" t="s">
        <v>66</v>
      </c>
      <c r="K2663" s="4">
        <v>0</v>
      </c>
      <c r="L2663" s="94">
        <v>57819</v>
      </c>
      <c r="M2663" s="94">
        <v>57819</v>
      </c>
    </row>
    <row r="2664" spans="3:13" x14ac:dyDescent="0.3">
      <c r="C2664" t="s">
        <v>61</v>
      </c>
      <c r="D2664" t="s">
        <v>67</v>
      </c>
      <c r="E2664" t="s">
        <v>63</v>
      </c>
      <c r="F2664" t="s">
        <v>72</v>
      </c>
      <c r="G2664" s="4">
        <v>11</v>
      </c>
      <c r="H2664" s="4" t="s">
        <v>75</v>
      </c>
      <c r="I2664" s="4" t="s">
        <v>69</v>
      </c>
      <c r="J2664" s="4" t="s">
        <v>66</v>
      </c>
      <c r="K2664" s="4">
        <v>0</v>
      </c>
      <c r="L2664" s="94">
        <v>-464</v>
      </c>
      <c r="M2664" s="94">
        <v>0</v>
      </c>
    </row>
    <row r="2665" spans="3:13" x14ac:dyDescent="0.3">
      <c r="C2665" t="s">
        <v>70</v>
      </c>
      <c r="D2665" t="s">
        <v>67</v>
      </c>
      <c r="E2665" t="s">
        <v>68</v>
      </c>
      <c r="F2665" t="s">
        <v>25</v>
      </c>
      <c r="G2665" s="4">
        <v>10</v>
      </c>
      <c r="H2665" s="4" t="s">
        <v>12</v>
      </c>
      <c r="I2665" s="4" t="s">
        <v>69</v>
      </c>
      <c r="J2665" s="4" t="s">
        <v>66</v>
      </c>
      <c r="K2665" s="4">
        <v>1</v>
      </c>
      <c r="L2665" s="94">
        <v>897802</v>
      </c>
      <c r="M2665" s="94">
        <v>8978020</v>
      </c>
    </row>
    <row r="2666" spans="3:13" x14ac:dyDescent="0.3">
      <c r="C2666" t="s">
        <v>70</v>
      </c>
      <c r="D2666" t="s">
        <v>67</v>
      </c>
      <c r="E2666" t="s">
        <v>68</v>
      </c>
      <c r="F2666" t="s">
        <v>26</v>
      </c>
      <c r="G2666" s="4">
        <v>-1</v>
      </c>
      <c r="H2666" s="4" t="s">
        <v>82</v>
      </c>
      <c r="I2666" s="4" t="s">
        <v>69</v>
      </c>
      <c r="J2666" s="4" t="s">
        <v>73</v>
      </c>
      <c r="K2666" s="4">
        <v>1</v>
      </c>
      <c r="L2666" s="94">
        <v>65296</v>
      </c>
      <c r="M2666" s="94">
        <v>0</v>
      </c>
    </row>
    <row r="2667" spans="3:13" x14ac:dyDescent="0.3">
      <c r="C2667" t="s">
        <v>61</v>
      </c>
      <c r="D2667" t="s">
        <v>67</v>
      </c>
      <c r="E2667" t="s">
        <v>68</v>
      </c>
      <c r="F2667" t="s">
        <v>72</v>
      </c>
      <c r="G2667" s="4">
        <v>3</v>
      </c>
      <c r="H2667" s="4" t="s">
        <v>12</v>
      </c>
      <c r="I2667" s="4" t="s">
        <v>65</v>
      </c>
      <c r="J2667" s="4" t="s">
        <v>73</v>
      </c>
      <c r="K2667" s="4">
        <v>1</v>
      </c>
      <c r="L2667" s="94">
        <v>98525</v>
      </c>
      <c r="M2667" s="94">
        <v>295575</v>
      </c>
    </row>
    <row r="2668" spans="3:13" x14ac:dyDescent="0.3">
      <c r="C2668" t="s">
        <v>71</v>
      </c>
      <c r="D2668" t="s">
        <v>67</v>
      </c>
      <c r="E2668" t="s">
        <v>63</v>
      </c>
      <c r="F2668" t="s">
        <v>26</v>
      </c>
      <c r="G2668" s="4">
        <v>0</v>
      </c>
      <c r="H2668" s="4" t="s">
        <v>64</v>
      </c>
      <c r="I2668" s="4" t="s">
        <v>69</v>
      </c>
      <c r="J2668" s="4" t="s">
        <v>66</v>
      </c>
      <c r="K2668" s="4">
        <v>0</v>
      </c>
      <c r="L2668" s="94">
        <v>-9968</v>
      </c>
      <c r="M2668" s="94">
        <v>0</v>
      </c>
    </row>
    <row r="2669" spans="3:13" x14ac:dyDescent="0.3">
      <c r="C2669" t="s">
        <v>71</v>
      </c>
      <c r="D2669" t="s">
        <v>62</v>
      </c>
      <c r="E2669" t="s">
        <v>68</v>
      </c>
      <c r="F2669" t="s">
        <v>24</v>
      </c>
      <c r="G2669" s="4">
        <v>5</v>
      </c>
      <c r="I2669" s="4" t="s">
        <v>69</v>
      </c>
      <c r="J2669" s="4" t="s">
        <v>66</v>
      </c>
      <c r="K2669" s="4">
        <v>0</v>
      </c>
      <c r="L2669" s="94">
        <v>1675310</v>
      </c>
      <c r="M2669" s="94">
        <v>8376550</v>
      </c>
    </row>
    <row r="2670" spans="3:13" x14ac:dyDescent="0.3">
      <c r="C2670" t="s">
        <v>71</v>
      </c>
      <c r="D2670" t="s">
        <v>62</v>
      </c>
      <c r="E2670" t="s">
        <v>68</v>
      </c>
      <c r="F2670" t="s">
        <v>25</v>
      </c>
      <c r="G2670" s="4">
        <v>-4</v>
      </c>
      <c r="I2670" s="4" t="s">
        <v>69</v>
      </c>
      <c r="J2670" s="4" t="s">
        <v>66</v>
      </c>
      <c r="K2670" s="4">
        <v>1</v>
      </c>
      <c r="L2670" s="94">
        <v>10537</v>
      </c>
      <c r="M2670" s="94">
        <v>0</v>
      </c>
    </row>
    <row r="2671" spans="3:13" x14ac:dyDescent="0.3">
      <c r="C2671" t="s">
        <v>70</v>
      </c>
      <c r="D2671" t="s">
        <v>67</v>
      </c>
      <c r="E2671" t="s">
        <v>68</v>
      </c>
      <c r="F2671" t="s">
        <v>26</v>
      </c>
      <c r="G2671" s="4">
        <v>4</v>
      </c>
      <c r="H2671" s="4" t="s">
        <v>18</v>
      </c>
      <c r="I2671" s="4" t="s">
        <v>69</v>
      </c>
      <c r="J2671" s="4" t="s">
        <v>73</v>
      </c>
      <c r="K2671" s="4">
        <v>1</v>
      </c>
      <c r="L2671" s="94">
        <v>2342347</v>
      </c>
      <c r="M2671" s="94">
        <v>9369388</v>
      </c>
    </row>
    <row r="2672" spans="3:13" x14ac:dyDescent="0.3">
      <c r="C2672" t="s">
        <v>70</v>
      </c>
      <c r="D2672" t="s">
        <v>67</v>
      </c>
      <c r="E2672" t="s">
        <v>63</v>
      </c>
      <c r="F2672" t="s">
        <v>25</v>
      </c>
      <c r="G2672" s="4">
        <v>-4</v>
      </c>
      <c r="H2672" s="4" t="s">
        <v>77</v>
      </c>
      <c r="I2672" s="4" t="s">
        <v>69</v>
      </c>
      <c r="J2672" s="4" t="s">
        <v>66</v>
      </c>
      <c r="K2672" s="4">
        <v>0</v>
      </c>
      <c r="L2672" s="94">
        <v>-166</v>
      </c>
      <c r="M2672" s="94">
        <v>0</v>
      </c>
    </row>
    <row r="2673" spans="3:13" x14ac:dyDescent="0.3">
      <c r="C2673" t="s">
        <v>70</v>
      </c>
      <c r="D2673" t="s">
        <v>62</v>
      </c>
      <c r="E2673" t="s">
        <v>63</v>
      </c>
      <c r="F2673" t="s">
        <v>25</v>
      </c>
      <c r="G2673" s="4">
        <v>-4</v>
      </c>
      <c r="I2673" s="4" t="s">
        <v>69</v>
      </c>
      <c r="J2673" s="4" t="s">
        <v>66</v>
      </c>
      <c r="K2673" s="4">
        <v>0</v>
      </c>
      <c r="L2673" s="94">
        <v>-38485</v>
      </c>
      <c r="M2673" s="94">
        <v>0</v>
      </c>
    </row>
    <row r="2674" spans="3:13" x14ac:dyDescent="0.3">
      <c r="C2674" t="s">
        <v>61</v>
      </c>
      <c r="D2674" t="s">
        <v>62</v>
      </c>
      <c r="E2674" t="s">
        <v>68</v>
      </c>
      <c r="F2674" t="s">
        <v>24</v>
      </c>
      <c r="G2674" s="4">
        <v>22</v>
      </c>
      <c r="I2674" s="4" t="s">
        <v>69</v>
      </c>
      <c r="J2674" s="4" t="s">
        <v>66</v>
      </c>
      <c r="K2674" s="4">
        <v>1</v>
      </c>
      <c r="L2674" s="94">
        <v>3575247</v>
      </c>
      <c r="M2674" s="94">
        <v>78655434</v>
      </c>
    </row>
    <row r="2675" spans="3:13" x14ac:dyDescent="0.3">
      <c r="C2675" t="s">
        <v>61</v>
      </c>
      <c r="D2675" t="s">
        <v>62</v>
      </c>
      <c r="E2675" t="s">
        <v>68</v>
      </c>
      <c r="F2675" t="s">
        <v>24</v>
      </c>
      <c r="G2675" s="4">
        <v>34</v>
      </c>
      <c r="I2675" s="4" t="s">
        <v>65</v>
      </c>
      <c r="J2675" s="4" t="s">
        <v>66</v>
      </c>
      <c r="K2675" s="4">
        <v>1</v>
      </c>
      <c r="L2675" s="94">
        <v>18032521</v>
      </c>
      <c r="M2675" s="94">
        <v>613105714</v>
      </c>
    </row>
    <row r="2676" spans="3:13" x14ac:dyDescent="0.3">
      <c r="C2676" t="s">
        <v>71</v>
      </c>
      <c r="D2676" t="s">
        <v>67</v>
      </c>
      <c r="E2676" t="s">
        <v>63</v>
      </c>
      <c r="F2676" t="s">
        <v>26</v>
      </c>
      <c r="G2676" s="4">
        <v>-4</v>
      </c>
      <c r="H2676" s="4" t="s">
        <v>75</v>
      </c>
      <c r="I2676" s="4" t="s">
        <v>69</v>
      </c>
      <c r="J2676" s="4" t="s">
        <v>66</v>
      </c>
      <c r="K2676" s="4">
        <v>0</v>
      </c>
      <c r="L2676" s="94">
        <v>-976755</v>
      </c>
      <c r="M2676" s="94">
        <v>0</v>
      </c>
    </row>
    <row r="2677" spans="3:13" x14ac:dyDescent="0.3">
      <c r="C2677" t="s">
        <v>61</v>
      </c>
      <c r="D2677" t="s">
        <v>67</v>
      </c>
      <c r="E2677" t="s">
        <v>68</v>
      </c>
      <c r="F2677" t="s">
        <v>25</v>
      </c>
      <c r="G2677" s="4">
        <v>12</v>
      </c>
      <c r="H2677" s="4" t="s">
        <v>17</v>
      </c>
      <c r="I2677" s="4" t="s">
        <v>69</v>
      </c>
      <c r="J2677" s="4" t="s">
        <v>66</v>
      </c>
      <c r="K2677" s="4">
        <v>1</v>
      </c>
      <c r="L2677" s="94">
        <v>75903</v>
      </c>
      <c r="M2677" s="94">
        <v>910836</v>
      </c>
    </row>
    <row r="2678" spans="3:13" x14ac:dyDescent="0.3">
      <c r="C2678" t="s">
        <v>61</v>
      </c>
      <c r="D2678" t="s">
        <v>67</v>
      </c>
      <c r="E2678" t="s">
        <v>63</v>
      </c>
      <c r="F2678" t="s">
        <v>72</v>
      </c>
      <c r="G2678" s="4">
        <v>0</v>
      </c>
      <c r="H2678" s="4" t="s">
        <v>17</v>
      </c>
      <c r="I2678" s="4" t="s">
        <v>69</v>
      </c>
      <c r="J2678" s="4" t="s">
        <v>73</v>
      </c>
      <c r="K2678" s="4">
        <v>1</v>
      </c>
      <c r="L2678" s="94">
        <v>-25</v>
      </c>
      <c r="M2678" s="94">
        <v>0</v>
      </c>
    </row>
    <row r="2679" spans="3:13" x14ac:dyDescent="0.3">
      <c r="C2679" t="s">
        <v>61</v>
      </c>
      <c r="D2679" t="s">
        <v>67</v>
      </c>
      <c r="E2679" t="s">
        <v>68</v>
      </c>
      <c r="F2679" t="s">
        <v>72</v>
      </c>
      <c r="G2679" s="4">
        <v>5</v>
      </c>
      <c r="H2679" s="4" t="s">
        <v>17</v>
      </c>
      <c r="I2679" s="4" t="s">
        <v>69</v>
      </c>
      <c r="J2679" s="4" t="s">
        <v>66</v>
      </c>
      <c r="K2679" s="4">
        <v>0</v>
      </c>
      <c r="L2679" s="94">
        <v>4428896</v>
      </c>
      <c r="M2679" s="94">
        <v>22144480</v>
      </c>
    </row>
    <row r="2680" spans="3:13" x14ac:dyDescent="0.3">
      <c r="C2680" t="s">
        <v>61</v>
      </c>
      <c r="D2680" t="s">
        <v>67</v>
      </c>
      <c r="E2680" t="s">
        <v>68</v>
      </c>
      <c r="F2680" t="s">
        <v>26</v>
      </c>
      <c r="G2680" s="4">
        <v>7</v>
      </c>
      <c r="H2680" s="4" t="s">
        <v>79</v>
      </c>
      <c r="I2680" s="4" t="s">
        <v>69</v>
      </c>
      <c r="J2680" s="4" t="s">
        <v>66</v>
      </c>
      <c r="K2680" s="4">
        <v>0</v>
      </c>
      <c r="L2680" s="94">
        <v>428461</v>
      </c>
      <c r="M2680" s="94">
        <v>2999227</v>
      </c>
    </row>
    <row r="2681" spans="3:13" x14ac:dyDescent="0.3">
      <c r="C2681" t="s">
        <v>61</v>
      </c>
      <c r="D2681" t="s">
        <v>67</v>
      </c>
      <c r="E2681" t="s">
        <v>63</v>
      </c>
      <c r="F2681" t="s">
        <v>26</v>
      </c>
      <c r="G2681" s="4">
        <v>0</v>
      </c>
      <c r="H2681" s="4" t="s">
        <v>13</v>
      </c>
      <c r="I2681" s="4" t="s">
        <v>69</v>
      </c>
      <c r="J2681" s="4" t="s">
        <v>66</v>
      </c>
      <c r="K2681" s="4">
        <v>0</v>
      </c>
      <c r="L2681" s="94">
        <v>-134</v>
      </c>
      <c r="M2681" s="94">
        <v>0</v>
      </c>
    </row>
    <row r="2682" spans="3:13" x14ac:dyDescent="0.3">
      <c r="C2682" t="s">
        <v>61</v>
      </c>
      <c r="D2682" t="s">
        <v>67</v>
      </c>
      <c r="E2682" t="s">
        <v>68</v>
      </c>
      <c r="F2682" t="s">
        <v>72</v>
      </c>
      <c r="G2682" s="4">
        <v>3</v>
      </c>
      <c r="H2682" s="4" t="s">
        <v>80</v>
      </c>
      <c r="I2682" s="4" t="s">
        <v>69</v>
      </c>
      <c r="J2682" s="4" t="s">
        <v>66</v>
      </c>
      <c r="K2682" s="4">
        <v>0</v>
      </c>
      <c r="L2682" s="94">
        <v>681775</v>
      </c>
      <c r="M2682" s="94">
        <v>2045325</v>
      </c>
    </row>
    <row r="2683" spans="3:13" x14ac:dyDescent="0.3">
      <c r="C2683" t="s">
        <v>61</v>
      </c>
      <c r="D2683" t="s">
        <v>62</v>
      </c>
      <c r="E2683" t="s">
        <v>68</v>
      </c>
      <c r="F2683" t="s">
        <v>24</v>
      </c>
      <c r="G2683" s="4">
        <v>40</v>
      </c>
      <c r="I2683" s="4" t="s">
        <v>65</v>
      </c>
      <c r="J2683" s="4" t="s">
        <v>66</v>
      </c>
      <c r="K2683" s="4">
        <v>1</v>
      </c>
      <c r="L2683" s="94">
        <v>4918588</v>
      </c>
      <c r="M2683" s="94">
        <v>196743520</v>
      </c>
    </row>
    <row r="2684" spans="3:13" x14ac:dyDescent="0.3">
      <c r="C2684" t="s">
        <v>61</v>
      </c>
      <c r="D2684" t="s">
        <v>67</v>
      </c>
      <c r="E2684" t="s">
        <v>63</v>
      </c>
      <c r="F2684" t="s">
        <v>72</v>
      </c>
      <c r="G2684" s="4">
        <v>2</v>
      </c>
      <c r="H2684" s="4" t="s">
        <v>13</v>
      </c>
      <c r="I2684" s="4" t="s">
        <v>69</v>
      </c>
      <c r="J2684" s="4" t="s">
        <v>73</v>
      </c>
      <c r="K2684" s="4">
        <v>1</v>
      </c>
      <c r="L2684" s="94">
        <v>-4114</v>
      </c>
      <c r="M2684" s="94">
        <v>0</v>
      </c>
    </row>
    <row r="2685" spans="3:13" x14ac:dyDescent="0.3">
      <c r="C2685" t="s">
        <v>61</v>
      </c>
      <c r="D2685" t="s">
        <v>67</v>
      </c>
      <c r="E2685" t="s">
        <v>68</v>
      </c>
      <c r="F2685" t="s">
        <v>72</v>
      </c>
      <c r="G2685" s="4">
        <v>0</v>
      </c>
      <c r="H2685" s="4" t="s">
        <v>83</v>
      </c>
      <c r="I2685" s="4" t="s">
        <v>69</v>
      </c>
      <c r="J2685" s="4" t="s">
        <v>66</v>
      </c>
      <c r="K2685" s="4">
        <v>0</v>
      </c>
      <c r="L2685" s="94">
        <v>8064</v>
      </c>
      <c r="M2685" s="94">
        <v>0</v>
      </c>
    </row>
    <row r="2686" spans="3:13" x14ac:dyDescent="0.3">
      <c r="C2686" t="s">
        <v>61</v>
      </c>
      <c r="D2686" t="s">
        <v>67</v>
      </c>
      <c r="E2686" t="s">
        <v>68</v>
      </c>
      <c r="F2686" t="s">
        <v>25</v>
      </c>
      <c r="G2686" s="4">
        <v>7</v>
      </c>
      <c r="H2686" s="4" t="s">
        <v>82</v>
      </c>
      <c r="I2686" s="4" t="s">
        <v>69</v>
      </c>
      <c r="J2686" s="4" t="s">
        <v>66</v>
      </c>
      <c r="K2686" s="4">
        <v>0</v>
      </c>
      <c r="L2686" s="94">
        <v>388517</v>
      </c>
      <c r="M2686" s="94">
        <v>2719619</v>
      </c>
    </row>
    <row r="2687" spans="3:13" x14ac:dyDescent="0.3">
      <c r="C2687" t="s">
        <v>61</v>
      </c>
      <c r="D2687" t="s">
        <v>67</v>
      </c>
      <c r="E2687" t="s">
        <v>63</v>
      </c>
      <c r="F2687" t="s">
        <v>25</v>
      </c>
      <c r="G2687" s="4">
        <v>2</v>
      </c>
      <c r="H2687" s="4" t="s">
        <v>17</v>
      </c>
      <c r="I2687" s="4" t="s">
        <v>69</v>
      </c>
      <c r="J2687" s="4" t="s">
        <v>66</v>
      </c>
      <c r="K2687" s="4">
        <v>1</v>
      </c>
      <c r="L2687" s="94">
        <v>-27</v>
      </c>
      <c r="M2687" s="94">
        <v>0</v>
      </c>
    </row>
    <row r="2688" spans="3:13" x14ac:dyDescent="0.3">
      <c r="C2688" t="s">
        <v>61</v>
      </c>
      <c r="D2688" t="s">
        <v>67</v>
      </c>
      <c r="E2688" t="s">
        <v>68</v>
      </c>
      <c r="F2688" t="s">
        <v>26</v>
      </c>
      <c r="G2688" s="4">
        <v>-1</v>
      </c>
      <c r="H2688" s="4" t="s">
        <v>81</v>
      </c>
      <c r="I2688" s="4" t="s">
        <v>69</v>
      </c>
      <c r="J2688" s="4" t="s">
        <v>66</v>
      </c>
      <c r="K2688" s="4">
        <v>0</v>
      </c>
      <c r="L2688" s="94">
        <v>1835694</v>
      </c>
      <c r="M2688" s="94">
        <v>0</v>
      </c>
    </row>
    <row r="2689" spans="3:13" x14ac:dyDescent="0.3">
      <c r="C2689" t="s">
        <v>61</v>
      </c>
      <c r="D2689" t="s">
        <v>62</v>
      </c>
      <c r="E2689" t="s">
        <v>68</v>
      </c>
      <c r="F2689" t="s">
        <v>25</v>
      </c>
      <c r="G2689" s="4">
        <v>13</v>
      </c>
      <c r="I2689" s="4" t="s">
        <v>69</v>
      </c>
      <c r="J2689" s="4" t="s">
        <v>66</v>
      </c>
      <c r="K2689" s="4">
        <v>0</v>
      </c>
      <c r="L2689" s="94">
        <v>1947405</v>
      </c>
      <c r="M2689" s="94">
        <v>25316265</v>
      </c>
    </row>
    <row r="2690" spans="3:13" x14ac:dyDescent="0.3">
      <c r="C2690" t="s">
        <v>61</v>
      </c>
      <c r="D2690" t="s">
        <v>62</v>
      </c>
      <c r="E2690" t="s">
        <v>68</v>
      </c>
      <c r="F2690" t="s">
        <v>24</v>
      </c>
      <c r="G2690" s="4">
        <v>19</v>
      </c>
      <c r="I2690" s="4" t="s">
        <v>69</v>
      </c>
      <c r="J2690" s="4" t="s">
        <v>66</v>
      </c>
      <c r="K2690" s="4">
        <v>1</v>
      </c>
      <c r="L2690" s="94">
        <v>2025857</v>
      </c>
      <c r="M2690" s="94">
        <v>38491283</v>
      </c>
    </row>
    <row r="2691" spans="3:13" x14ac:dyDescent="0.3">
      <c r="C2691" t="s">
        <v>61</v>
      </c>
      <c r="D2691" t="s">
        <v>67</v>
      </c>
      <c r="E2691" t="s">
        <v>68</v>
      </c>
      <c r="F2691" t="s">
        <v>25</v>
      </c>
      <c r="G2691" s="4">
        <v>3</v>
      </c>
      <c r="H2691" s="4" t="s">
        <v>75</v>
      </c>
      <c r="I2691" s="4" t="s">
        <v>69</v>
      </c>
      <c r="J2691" s="4" t="s">
        <v>66</v>
      </c>
      <c r="K2691" s="4">
        <v>0</v>
      </c>
      <c r="L2691" s="94">
        <v>63354576</v>
      </c>
      <c r="M2691" s="94">
        <v>190063728</v>
      </c>
    </row>
    <row r="2692" spans="3:13" x14ac:dyDescent="0.3">
      <c r="C2692" t="s">
        <v>71</v>
      </c>
      <c r="D2692" t="s">
        <v>67</v>
      </c>
      <c r="E2692" t="s">
        <v>63</v>
      </c>
      <c r="F2692" t="s">
        <v>25</v>
      </c>
      <c r="G2692" s="4">
        <v>-4</v>
      </c>
      <c r="H2692" s="4" t="s">
        <v>12</v>
      </c>
      <c r="I2692" s="4" t="s">
        <v>69</v>
      </c>
      <c r="J2692" s="4" t="s">
        <v>66</v>
      </c>
      <c r="K2692" s="4">
        <v>0</v>
      </c>
      <c r="L2692" s="94">
        <v>-29086</v>
      </c>
      <c r="M2692" s="94">
        <v>0</v>
      </c>
    </row>
    <row r="2693" spans="3:13" x14ac:dyDescent="0.3">
      <c r="C2693" t="s">
        <v>61</v>
      </c>
      <c r="D2693" t="s">
        <v>67</v>
      </c>
      <c r="E2693" t="s">
        <v>68</v>
      </c>
      <c r="F2693" t="s">
        <v>72</v>
      </c>
      <c r="G2693" s="4">
        <v>-4</v>
      </c>
      <c r="I2693" s="4" t="s">
        <v>69</v>
      </c>
      <c r="J2693" s="4" t="s">
        <v>66</v>
      </c>
      <c r="K2693" s="4">
        <v>0</v>
      </c>
      <c r="L2693" s="94">
        <v>19684</v>
      </c>
      <c r="M2693" s="94">
        <v>0</v>
      </c>
    </row>
    <row r="2694" spans="3:13" x14ac:dyDescent="0.3">
      <c r="C2694" t="s">
        <v>71</v>
      </c>
      <c r="D2694" t="s">
        <v>67</v>
      </c>
      <c r="E2694" t="s">
        <v>68</v>
      </c>
      <c r="F2694" t="s">
        <v>26</v>
      </c>
      <c r="G2694" s="4">
        <v>-1</v>
      </c>
      <c r="H2694" s="4" t="s">
        <v>12</v>
      </c>
      <c r="I2694" s="4" t="s">
        <v>69</v>
      </c>
      <c r="J2694" s="4" t="s">
        <v>66</v>
      </c>
      <c r="K2694" s="4">
        <v>0</v>
      </c>
      <c r="L2694" s="94">
        <v>421360</v>
      </c>
      <c r="M2694" s="94">
        <v>0</v>
      </c>
    </row>
    <row r="2695" spans="3:13" x14ac:dyDescent="0.3">
      <c r="C2695" t="s">
        <v>61</v>
      </c>
      <c r="D2695" t="s">
        <v>67</v>
      </c>
      <c r="E2695" t="s">
        <v>68</v>
      </c>
      <c r="F2695" t="s">
        <v>26</v>
      </c>
      <c r="G2695" s="4">
        <v>6</v>
      </c>
      <c r="H2695" s="4" t="s">
        <v>83</v>
      </c>
      <c r="I2695" s="4" t="s">
        <v>69</v>
      </c>
      <c r="J2695" s="4" t="s">
        <v>66</v>
      </c>
      <c r="K2695" s="4">
        <v>0</v>
      </c>
      <c r="L2695" s="94">
        <v>9585801</v>
      </c>
      <c r="M2695" s="94">
        <v>57514806</v>
      </c>
    </row>
    <row r="2696" spans="3:13" x14ac:dyDescent="0.3">
      <c r="C2696" t="s">
        <v>61</v>
      </c>
      <c r="D2696" t="s">
        <v>62</v>
      </c>
      <c r="E2696" t="s">
        <v>63</v>
      </c>
      <c r="F2696" t="s">
        <v>24</v>
      </c>
      <c r="G2696" s="4">
        <v>27</v>
      </c>
      <c r="I2696" s="4" t="s">
        <v>69</v>
      </c>
      <c r="J2696" s="4" t="s">
        <v>66</v>
      </c>
      <c r="K2696" s="4">
        <v>0</v>
      </c>
      <c r="L2696" s="94">
        <v>-367400</v>
      </c>
      <c r="M2696" s="94">
        <v>0</v>
      </c>
    </row>
    <row r="2697" spans="3:13" x14ac:dyDescent="0.3">
      <c r="C2697" t="s">
        <v>61</v>
      </c>
      <c r="D2697" t="s">
        <v>67</v>
      </c>
      <c r="E2697" t="s">
        <v>63</v>
      </c>
      <c r="F2697" t="s">
        <v>25</v>
      </c>
      <c r="G2697" s="4">
        <v>1</v>
      </c>
      <c r="H2697" s="4" t="s">
        <v>77</v>
      </c>
      <c r="I2697" s="4" t="s">
        <v>69</v>
      </c>
      <c r="J2697" s="4" t="s">
        <v>66</v>
      </c>
      <c r="K2697" s="4">
        <v>0</v>
      </c>
      <c r="L2697" s="94">
        <v>-54</v>
      </c>
      <c r="M2697" s="94">
        <v>0</v>
      </c>
    </row>
    <row r="2698" spans="3:13" x14ac:dyDescent="0.3">
      <c r="C2698" t="s">
        <v>61</v>
      </c>
      <c r="D2698" t="s">
        <v>67</v>
      </c>
      <c r="E2698" t="s">
        <v>68</v>
      </c>
      <c r="F2698" t="s">
        <v>25</v>
      </c>
      <c r="G2698" s="4">
        <v>-1</v>
      </c>
      <c r="H2698" s="4" t="s">
        <v>78</v>
      </c>
      <c r="I2698" s="4" t="s">
        <v>69</v>
      </c>
      <c r="J2698" s="4" t="s">
        <v>66</v>
      </c>
      <c r="K2698" s="4">
        <v>0</v>
      </c>
      <c r="L2698" s="94">
        <v>200446</v>
      </c>
      <c r="M2698" s="94">
        <v>0</v>
      </c>
    </row>
    <row r="2699" spans="3:13" x14ac:dyDescent="0.3">
      <c r="C2699" t="s">
        <v>71</v>
      </c>
      <c r="D2699" t="s">
        <v>67</v>
      </c>
      <c r="E2699" t="s">
        <v>63</v>
      </c>
      <c r="F2699" t="s">
        <v>26</v>
      </c>
      <c r="G2699" s="4">
        <v>5</v>
      </c>
      <c r="H2699" s="4" t="s">
        <v>12</v>
      </c>
      <c r="I2699" s="4" t="s">
        <v>69</v>
      </c>
      <c r="J2699" s="4" t="s">
        <v>73</v>
      </c>
      <c r="K2699" s="4">
        <v>1</v>
      </c>
      <c r="L2699" s="94">
        <v>-577280</v>
      </c>
      <c r="M2699" s="94">
        <v>0</v>
      </c>
    </row>
    <row r="2700" spans="3:13" x14ac:dyDescent="0.3">
      <c r="C2700" t="s">
        <v>61</v>
      </c>
      <c r="D2700" t="s">
        <v>67</v>
      </c>
      <c r="E2700" t="s">
        <v>63</v>
      </c>
      <c r="F2700" t="s">
        <v>25</v>
      </c>
      <c r="G2700" s="4">
        <v>15</v>
      </c>
      <c r="H2700" s="4" t="s">
        <v>83</v>
      </c>
      <c r="I2700" s="4" t="s">
        <v>69</v>
      </c>
      <c r="J2700" s="4" t="s">
        <v>66</v>
      </c>
      <c r="K2700" s="4">
        <v>0</v>
      </c>
      <c r="L2700" s="94">
        <v>-1538</v>
      </c>
      <c r="M2700" s="94">
        <v>0</v>
      </c>
    </row>
    <row r="2701" spans="3:13" x14ac:dyDescent="0.3">
      <c r="C2701" t="s">
        <v>61</v>
      </c>
      <c r="D2701" t="s">
        <v>67</v>
      </c>
      <c r="E2701" t="s">
        <v>68</v>
      </c>
      <c r="F2701" t="s">
        <v>25</v>
      </c>
      <c r="G2701" s="4">
        <v>1</v>
      </c>
      <c r="H2701" s="4" t="s">
        <v>79</v>
      </c>
      <c r="I2701" s="4" t="s">
        <v>69</v>
      </c>
      <c r="J2701" s="4" t="s">
        <v>66</v>
      </c>
      <c r="K2701" s="4">
        <v>0</v>
      </c>
      <c r="L2701" s="94">
        <v>404131</v>
      </c>
      <c r="M2701" s="94">
        <v>404131</v>
      </c>
    </row>
    <row r="2702" spans="3:13" x14ac:dyDescent="0.3">
      <c r="C2702" t="s">
        <v>71</v>
      </c>
      <c r="D2702" t="s">
        <v>67</v>
      </c>
      <c r="E2702" t="s">
        <v>68</v>
      </c>
      <c r="F2702" t="s">
        <v>72</v>
      </c>
      <c r="G2702" s="4">
        <v>0</v>
      </c>
      <c r="H2702" s="4" t="s">
        <v>18</v>
      </c>
      <c r="I2702" s="4" t="s">
        <v>69</v>
      </c>
      <c r="J2702" s="4" t="s">
        <v>66</v>
      </c>
      <c r="K2702" s="4">
        <v>0</v>
      </c>
      <c r="L2702" s="94">
        <v>21588</v>
      </c>
      <c r="M2702" s="94">
        <v>0</v>
      </c>
    </row>
    <row r="2703" spans="3:13" x14ac:dyDescent="0.3">
      <c r="C2703" t="s">
        <v>71</v>
      </c>
      <c r="D2703" t="s">
        <v>67</v>
      </c>
      <c r="E2703" t="s">
        <v>68</v>
      </c>
      <c r="F2703" t="s">
        <v>72</v>
      </c>
      <c r="G2703" s="4">
        <v>3</v>
      </c>
      <c r="H2703" s="4" t="s">
        <v>17</v>
      </c>
      <c r="I2703" s="4" t="s">
        <v>69</v>
      </c>
      <c r="J2703" s="4" t="s">
        <v>66</v>
      </c>
      <c r="K2703" s="4">
        <v>0</v>
      </c>
      <c r="L2703" s="94">
        <v>234639</v>
      </c>
      <c r="M2703" s="94">
        <v>703917</v>
      </c>
    </row>
    <row r="2704" spans="3:13" x14ac:dyDescent="0.3">
      <c r="C2704" t="s">
        <v>61</v>
      </c>
      <c r="D2704" t="s">
        <v>67</v>
      </c>
      <c r="E2704" t="s">
        <v>63</v>
      </c>
      <c r="F2704" t="s">
        <v>26</v>
      </c>
      <c r="G2704" s="4">
        <v>7</v>
      </c>
      <c r="H2704" s="4" t="s">
        <v>75</v>
      </c>
      <c r="I2704" s="4" t="s">
        <v>69</v>
      </c>
      <c r="J2704" s="4" t="s">
        <v>66</v>
      </c>
      <c r="K2704" s="4">
        <v>0</v>
      </c>
      <c r="L2704" s="94">
        <v>-3022</v>
      </c>
      <c r="M2704" s="94">
        <v>0</v>
      </c>
    </row>
    <row r="2705" spans="3:13" x14ac:dyDescent="0.3">
      <c r="C2705" t="s">
        <v>70</v>
      </c>
      <c r="D2705" t="s">
        <v>62</v>
      </c>
      <c r="E2705" t="s">
        <v>68</v>
      </c>
      <c r="F2705" t="s">
        <v>24</v>
      </c>
      <c r="G2705" s="4">
        <v>40</v>
      </c>
      <c r="I2705" s="4" t="s">
        <v>69</v>
      </c>
      <c r="J2705" s="4" t="s">
        <v>66</v>
      </c>
      <c r="K2705" s="4">
        <v>0</v>
      </c>
      <c r="L2705" s="94">
        <v>9390068</v>
      </c>
      <c r="M2705" s="94">
        <v>375602720</v>
      </c>
    </row>
    <row r="2706" spans="3:13" x14ac:dyDescent="0.3">
      <c r="C2706" t="s">
        <v>71</v>
      </c>
      <c r="D2706" t="s">
        <v>67</v>
      </c>
      <c r="E2706" t="s">
        <v>68</v>
      </c>
      <c r="F2706" t="s">
        <v>26</v>
      </c>
      <c r="G2706" s="4">
        <v>4</v>
      </c>
      <c r="H2706" s="4" t="s">
        <v>64</v>
      </c>
      <c r="I2706" s="4" t="s">
        <v>69</v>
      </c>
      <c r="J2706" s="4" t="s">
        <v>66</v>
      </c>
      <c r="K2706" s="4">
        <v>0</v>
      </c>
      <c r="L2706" s="94">
        <v>185226</v>
      </c>
      <c r="M2706" s="94">
        <v>740904</v>
      </c>
    </row>
    <row r="2707" spans="3:13" x14ac:dyDescent="0.3">
      <c r="C2707" t="s">
        <v>61</v>
      </c>
      <c r="D2707" t="s">
        <v>67</v>
      </c>
      <c r="E2707" t="s">
        <v>68</v>
      </c>
      <c r="F2707" t="s">
        <v>26</v>
      </c>
      <c r="G2707" s="4">
        <v>5</v>
      </c>
      <c r="H2707" s="4" t="s">
        <v>18</v>
      </c>
      <c r="I2707" s="4" t="s">
        <v>69</v>
      </c>
      <c r="J2707" s="4" t="s">
        <v>66</v>
      </c>
      <c r="K2707" s="4">
        <v>0</v>
      </c>
      <c r="L2707" s="94">
        <v>21154935</v>
      </c>
      <c r="M2707" s="94">
        <v>105774675</v>
      </c>
    </row>
    <row r="2708" spans="3:13" x14ac:dyDescent="0.3">
      <c r="C2708" t="s">
        <v>70</v>
      </c>
      <c r="D2708" t="s">
        <v>67</v>
      </c>
      <c r="E2708" t="s">
        <v>63</v>
      </c>
      <c r="F2708" t="s">
        <v>25</v>
      </c>
      <c r="G2708" s="4">
        <v>8</v>
      </c>
      <c r="H2708" s="4" t="s">
        <v>75</v>
      </c>
      <c r="I2708" s="4" t="s">
        <v>69</v>
      </c>
      <c r="J2708" s="4" t="s">
        <v>66</v>
      </c>
      <c r="K2708" s="4">
        <v>0</v>
      </c>
      <c r="L2708" s="94">
        <v>-595528</v>
      </c>
      <c r="M2708" s="94">
        <v>0</v>
      </c>
    </row>
    <row r="2709" spans="3:13" x14ac:dyDescent="0.3">
      <c r="C2709" t="s">
        <v>61</v>
      </c>
      <c r="D2709" t="s">
        <v>67</v>
      </c>
      <c r="E2709" t="s">
        <v>63</v>
      </c>
      <c r="F2709" t="s">
        <v>72</v>
      </c>
      <c r="G2709" s="4">
        <v>-1</v>
      </c>
      <c r="H2709" s="4" t="s">
        <v>17</v>
      </c>
      <c r="I2709" s="4" t="s">
        <v>69</v>
      </c>
      <c r="J2709" s="4" t="s">
        <v>66</v>
      </c>
      <c r="K2709" s="4">
        <v>0</v>
      </c>
      <c r="L2709" s="94">
        <v>-5821</v>
      </c>
      <c r="M2709" s="94">
        <v>0</v>
      </c>
    </row>
    <row r="2710" spans="3:13" x14ac:dyDescent="0.3">
      <c r="C2710" t="s">
        <v>71</v>
      </c>
      <c r="D2710" t="s">
        <v>67</v>
      </c>
      <c r="E2710" t="s">
        <v>68</v>
      </c>
      <c r="F2710" t="s">
        <v>72</v>
      </c>
      <c r="G2710" s="4">
        <v>1</v>
      </c>
      <c r="H2710" s="4" t="s">
        <v>74</v>
      </c>
      <c r="I2710" s="4" t="s">
        <v>69</v>
      </c>
      <c r="J2710" s="4" t="s">
        <v>66</v>
      </c>
      <c r="K2710" s="4">
        <v>0</v>
      </c>
      <c r="L2710" s="94">
        <v>52692</v>
      </c>
      <c r="M2710" s="94">
        <v>52692</v>
      </c>
    </row>
    <row r="2711" spans="3:13" x14ac:dyDescent="0.3">
      <c r="C2711" t="s">
        <v>61</v>
      </c>
      <c r="D2711" t="s">
        <v>67</v>
      </c>
      <c r="E2711" t="s">
        <v>63</v>
      </c>
      <c r="F2711" t="s">
        <v>26</v>
      </c>
      <c r="G2711" s="4">
        <v>5</v>
      </c>
      <c r="H2711" s="4" t="s">
        <v>15</v>
      </c>
      <c r="I2711" s="4" t="s">
        <v>65</v>
      </c>
      <c r="J2711" s="4" t="s">
        <v>66</v>
      </c>
      <c r="K2711" s="4">
        <v>1</v>
      </c>
      <c r="L2711" s="94">
        <v>-4288</v>
      </c>
      <c r="M2711" s="94">
        <v>0</v>
      </c>
    </row>
    <row r="2712" spans="3:13" x14ac:dyDescent="0.3">
      <c r="C2712" t="s">
        <v>61</v>
      </c>
      <c r="D2712" t="s">
        <v>67</v>
      </c>
      <c r="E2712" t="s">
        <v>63</v>
      </c>
      <c r="F2712" t="s">
        <v>72</v>
      </c>
      <c r="G2712" s="4">
        <v>1</v>
      </c>
      <c r="H2712" s="4" t="s">
        <v>64</v>
      </c>
      <c r="I2712" s="4" t="s">
        <v>69</v>
      </c>
      <c r="J2712" s="4" t="s">
        <v>66</v>
      </c>
      <c r="K2712" s="4">
        <v>0</v>
      </c>
      <c r="L2712" s="94">
        <v>-31316</v>
      </c>
      <c r="M2712" s="94">
        <v>0</v>
      </c>
    </row>
    <row r="2713" spans="3:13" x14ac:dyDescent="0.3">
      <c r="C2713" t="s">
        <v>71</v>
      </c>
      <c r="D2713" t="s">
        <v>67</v>
      </c>
      <c r="E2713" t="s">
        <v>68</v>
      </c>
      <c r="F2713" t="s">
        <v>26</v>
      </c>
      <c r="G2713" s="4">
        <v>13</v>
      </c>
      <c r="H2713" s="4" t="s">
        <v>18</v>
      </c>
      <c r="I2713" s="4" t="s">
        <v>69</v>
      </c>
      <c r="J2713" s="4" t="s">
        <v>66</v>
      </c>
      <c r="K2713" s="4">
        <v>0</v>
      </c>
      <c r="L2713" s="94">
        <v>64489</v>
      </c>
      <c r="M2713" s="94">
        <v>838357</v>
      </c>
    </row>
    <row r="2714" spans="3:13" x14ac:dyDescent="0.3">
      <c r="C2714" t="s">
        <v>70</v>
      </c>
      <c r="D2714" t="s">
        <v>62</v>
      </c>
      <c r="E2714" t="s">
        <v>68</v>
      </c>
      <c r="F2714" t="s">
        <v>24</v>
      </c>
      <c r="G2714" s="4">
        <v>31</v>
      </c>
      <c r="I2714" s="4" t="s">
        <v>69</v>
      </c>
      <c r="J2714" s="4" t="s">
        <v>66</v>
      </c>
      <c r="K2714" s="4">
        <v>0</v>
      </c>
      <c r="L2714" s="94">
        <v>41338079</v>
      </c>
      <c r="M2714" s="94">
        <v>1281480449</v>
      </c>
    </row>
    <row r="2715" spans="3:13" x14ac:dyDescent="0.3">
      <c r="C2715" t="s">
        <v>71</v>
      </c>
      <c r="D2715" t="s">
        <v>67</v>
      </c>
      <c r="E2715" t="s">
        <v>63</v>
      </c>
      <c r="F2715" t="s">
        <v>26</v>
      </c>
      <c r="G2715" s="4">
        <v>7</v>
      </c>
      <c r="H2715" s="4" t="s">
        <v>64</v>
      </c>
      <c r="I2715" s="4" t="s">
        <v>69</v>
      </c>
      <c r="J2715" s="4" t="s">
        <v>66</v>
      </c>
      <c r="K2715" s="4">
        <v>0</v>
      </c>
      <c r="L2715" s="94">
        <v>-365531</v>
      </c>
      <c r="M2715" s="94">
        <v>0</v>
      </c>
    </row>
    <row r="2716" spans="3:13" x14ac:dyDescent="0.3">
      <c r="C2716" t="s">
        <v>61</v>
      </c>
      <c r="D2716" t="s">
        <v>67</v>
      </c>
      <c r="E2716" t="s">
        <v>68</v>
      </c>
      <c r="F2716" t="s">
        <v>72</v>
      </c>
      <c r="G2716" s="4">
        <v>5</v>
      </c>
      <c r="H2716" s="4" t="s">
        <v>82</v>
      </c>
      <c r="I2716" s="4" t="s">
        <v>69</v>
      </c>
      <c r="J2716" s="4" t="s">
        <v>66</v>
      </c>
      <c r="K2716" s="4">
        <v>0</v>
      </c>
      <c r="L2716" s="94">
        <v>8144057</v>
      </c>
      <c r="M2716" s="94">
        <v>40720285</v>
      </c>
    </row>
    <row r="2717" spans="3:13" x14ac:dyDescent="0.3">
      <c r="C2717" t="s">
        <v>61</v>
      </c>
      <c r="D2717" t="s">
        <v>67</v>
      </c>
      <c r="E2717" t="s">
        <v>68</v>
      </c>
      <c r="F2717" t="s">
        <v>26</v>
      </c>
      <c r="G2717" s="4">
        <v>3</v>
      </c>
      <c r="H2717" s="4" t="s">
        <v>76</v>
      </c>
      <c r="I2717" s="4" t="s">
        <v>69</v>
      </c>
      <c r="J2717" s="4" t="s">
        <v>66</v>
      </c>
      <c r="K2717" s="4">
        <v>0</v>
      </c>
      <c r="L2717" s="94">
        <v>48339994</v>
      </c>
      <c r="M2717" s="94">
        <v>145019982</v>
      </c>
    </row>
    <row r="2718" spans="3:13" x14ac:dyDescent="0.3">
      <c r="C2718" t="s">
        <v>61</v>
      </c>
      <c r="D2718" t="s">
        <v>67</v>
      </c>
      <c r="E2718" t="s">
        <v>68</v>
      </c>
      <c r="F2718" t="s">
        <v>72</v>
      </c>
      <c r="G2718" s="4">
        <v>4</v>
      </c>
      <c r="H2718" s="4" t="s">
        <v>17</v>
      </c>
      <c r="I2718" s="4" t="s">
        <v>65</v>
      </c>
      <c r="J2718" s="4" t="s">
        <v>66</v>
      </c>
      <c r="K2718" s="4">
        <v>1</v>
      </c>
      <c r="L2718" s="94">
        <v>16989</v>
      </c>
      <c r="M2718" s="94">
        <v>67956</v>
      </c>
    </row>
    <row r="2719" spans="3:13" x14ac:dyDescent="0.3">
      <c r="C2719" t="s">
        <v>61</v>
      </c>
      <c r="D2719" t="s">
        <v>67</v>
      </c>
      <c r="E2719" t="s">
        <v>63</v>
      </c>
      <c r="F2719" t="s">
        <v>26</v>
      </c>
      <c r="G2719" s="4">
        <v>5</v>
      </c>
      <c r="H2719" s="4" t="s">
        <v>14</v>
      </c>
      <c r="I2719" s="4" t="s">
        <v>69</v>
      </c>
      <c r="J2719" s="4" t="s">
        <v>73</v>
      </c>
      <c r="K2719" s="4">
        <v>1</v>
      </c>
      <c r="L2719" s="94">
        <v>-33893</v>
      </c>
      <c r="M2719" s="94">
        <v>0</v>
      </c>
    </row>
    <row r="2720" spans="3:13" x14ac:dyDescent="0.3">
      <c r="C2720" t="s">
        <v>71</v>
      </c>
      <c r="D2720" t="s">
        <v>67</v>
      </c>
      <c r="E2720" t="s">
        <v>68</v>
      </c>
      <c r="F2720" t="s">
        <v>26</v>
      </c>
      <c r="G2720" s="4">
        <v>0</v>
      </c>
      <c r="H2720" s="4" t="s">
        <v>82</v>
      </c>
      <c r="I2720" s="4" t="s">
        <v>69</v>
      </c>
      <c r="J2720" s="4" t="s">
        <v>66</v>
      </c>
      <c r="K2720" s="4">
        <v>0</v>
      </c>
      <c r="L2720" s="94">
        <v>190555</v>
      </c>
      <c r="M2720" s="94">
        <v>0</v>
      </c>
    </row>
    <row r="2721" spans="3:13" x14ac:dyDescent="0.3">
      <c r="C2721" t="s">
        <v>61</v>
      </c>
      <c r="D2721" t="s">
        <v>62</v>
      </c>
      <c r="E2721" t="s">
        <v>63</v>
      </c>
      <c r="F2721" t="s">
        <v>24</v>
      </c>
      <c r="G2721" s="4">
        <v>12</v>
      </c>
      <c r="I2721" s="4" t="s">
        <v>69</v>
      </c>
      <c r="J2721" s="4" t="s">
        <v>66</v>
      </c>
      <c r="K2721" s="4">
        <v>1</v>
      </c>
      <c r="L2721" s="94">
        <v>-2025</v>
      </c>
      <c r="M2721" s="94">
        <v>0</v>
      </c>
    </row>
    <row r="2722" spans="3:13" x14ac:dyDescent="0.3">
      <c r="C2722" t="s">
        <v>70</v>
      </c>
      <c r="D2722" t="s">
        <v>67</v>
      </c>
      <c r="E2722" t="s">
        <v>68</v>
      </c>
      <c r="F2722" t="s">
        <v>72</v>
      </c>
      <c r="G2722" s="4">
        <v>3</v>
      </c>
      <c r="H2722" s="4" t="s">
        <v>15</v>
      </c>
      <c r="I2722" s="4" t="s">
        <v>69</v>
      </c>
      <c r="J2722" s="4" t="s">
        <v>73</v>
      </c>
      <c r="K2722" s="4">
        <v>1</v>
      </c>
      <c r="L2722" s="94">
        <v>23819</v>
      </c>
      <c r="M2722" s="94">
        <v>71457</v>
      </c>
    </row>
    <row r="2723" spans="3:13" x14ac:dyDescent="0.3">
      <c r="C2723" t="s">
        <v>71</v>
      </c>
      <c r="D2723" t="s">
        <v>67</v>
      </c>
      <c r="E2723" t="s">
        <v>68</v>
      </c>
      <c r="F2723" t="s">
        <v>72</v>
      </c>
      <c r="G2723" s="4">
        <v>-4</v>
      </c>
      <c r="H2723" s="4" t="s">
        <v>64</v>
      </c>
      <c r="I2723" s="4" t="s">
        <v>69</v>
      </c>
      <c r="J2723" s="4" t="s">
        <v>66</v>
      </c>
      <c r="K2723" s="4">
        <v>0</v>
      </c>
      <c r="L2723" s="94">
        <v>732187</v>
      </c>
      <c r="M2723" s="94">
        <v>0</v>
      </c>
    </row>
    <row r="2724" spans="3:13" x14ac:dyDescent="0.3">
      <c r="C2724" t="s">
        <v>71</v>
      </c>
      <c r="D2724" t="s">
        <v>62</v>
      </c>
      <c r="E2724" t="s">
        <v>63</v>
      </c>
      <c r="F2724" t="s">
        <v>24</v>
      </c>
      <c r="G2724" s="4">
        <v>19</v>
      </c>
      <c r="I2724" s="4" t="s">
        <v>69</v>
      </c>
      <c r="J2724" s="4" t="s">
        <v>66</v>
      </c>
      <c r="K2724" s="4">
        <v>0</v>
      </c>
      <c r="L2724" s="94">
        <v>-2063023</v>
      </c>
      <c r="M2724" s="94">
        <v>0</v>
      </c>
    </row>
    <row r="2725" spans="3:13" x14ac:dyDescent="0.3">
      <c r="C2725" t="s">
        <v>61</v>
      </c>
      <c r="D2725" t="s">
        <v>67</v>
      </c>
      <c r="E2725" t="s">
        <v>68</v>
      </c>
      <c r="F2725" t="s">
        <v>25</v>
      </c>
      <c r="G2725" s="4">
        <v>10</v>
      </c>
      <c r="H2725" s="4" t="s">
        <v>75</v>
      </c>
      <c r="I2725" s="4" t="s">
        <v>65</v>
      </c>
      <c r="J2725" s="4" t="s">
        <v>66</v>
      </c>
      <c r="K2725" s="4">
        <v>1</v>
      </c>
      <c r="L2725" s="94">
        <v>263987</v>
      </c>
      <c r="M2725" s="94">
        <v>2639870</v>
      </c>
    </row>
    <row r="2726" spans="3:13" x14ac:dyDescent="0.3">
      <c r="C2726" t="s">
        <v>70</v>
      </c>
      <c r="D2726" t="s">
        <v>67</v>
      </c>
      <c r="E2726" t="s">
        <v>63</v>
      </c>
      <c r="F2726" t="s">
        <v>72</v>
      </c>
      <c r="G2726" s="4">
        <v>-1</v>
      </c>
      <c r="H2726" s="4" t="s">
        <v>17</v>
      </c>
      <c r="I2726" s="4" t="s">
        <v>69</v>
      </c>
      <c r="J2726" s="4" t="s">
        <v>66</v>
      </c>
      <c r="K2726" s="4">
        <v>0</v>
      </c>
      <c r="L2726" s="94">
        <v>-10651</v>
      </c>
      <c r="M2726" s="94">
        <v>0</v>
      </c>
    </row>
    <row r="2727" spans="3:13" x14ac:dyDescent="0.3">
      <c r="C2727" t="s">
        <v>71</v>
      </c>
      <c r="D2727" t="s">
        <v>67</v>
      </c>
      <c r="E2727" t="s">
        <v>63</v>
      </c>
      <c r="F2727" t="s">
        <v>72</v>
      </c>
      <c r="G2727" s="4">
        <v>0</v>
      </c>
      <c r="H2727" s="4" t="s">
        <v>82</v>
      </c>
      <c r="I2727" s="4" t="s">
        <v>69</v>
      </c>
      <c r="J2727" s="4" t="s">
        <v>66</v>
      </c>
      <c r="K2727" s="4">
        <v>0</v>
      </c>
      <c r="L2727" s="94">
        <v>-116316</v>
      </c>
      <c r="M2727" s="94">
        <v>0</v>
      </c>
    </row>
    <row r="2728" spans="3:13" x14ac:dyDescent="0.3">
      <c r="C2728" t="s">
        <v>61</v>
      </c>
      <c r="D2728" t="s">
        <v>67</v>
      </c>
      <c r="E2728" t="s">
        <v>63</v>
      </c>
      <c r="F2728" t="s">
        <v>26</v>
      </c>
      <c r="G2728" s="4">
        <v>4</v>
      </c>
      <c r="H2728" s="4" t="s">
        <v>77</v>
      </c>
      <c r="I2728" s="4" t="s">
        <v>69</v>
      </c>
      <c r="J2728" s="4" t="s">
        <v>66</v>
      </c>
      <c r="K2728" s="4">
        <v>0</v>
      </c>
      <c r="L2728" s="94">
        <v>-15140</v>
      </c>
      <c r="M2728" s="94">
        <v>0</v>
      </c>
    </row>
    <row r="2729" spans="3:13" x14ac:dyDescent="0.3">
      <c r="C2729" t="s">
        <v>71</v>
      </c>
      <c r="D2729" t="s">
        <v>67</v>
      </c>
      <c r="E2729" t="s">
        <v>68</v>
      </c>
      <c r="F2729" t="s">
        <v>26</v>
      </c>
      <c r="G2729" s="4">
        <v>3</v>
      </c>
      <c r="H2729" s="4" t="s">
        <v>14</v>
      </c>
      <c r="I2729" s="4" t="s">
        <v>69</v>
      </c>
      <c r="J2729" s="4" t="s">
        <v>66</v>
      </c>
      <c r="K2729" s="4">
        <v>0</v>
      </c>
      <c r="L2729" s="94">
        <v>3698014</v>
      </c>
      <c r="M2729" s="94">
        <v>11094042</v>
      </c>
    </row>
    <row r="2730" spans="3:13" x14ac:dyDescent="0.3">
      <c r="C2730" t="s">
        <v>71</v>
      </c>
      <c r="D2730" t="s">
        <v>67</v>
      </c>
      <c r="E2730" t="s">
        <v>68</v>
      </c>
      <c r="F2730" t="s">
        <v>25</v>
      </c>
      <c r="G2730" s="4">
        <v>1</v>
      </c>
      <c r="H2730" s="4" t="s">
        <v>76</v>
      </c>
      <c r="I2730" s="4" t="s">
        <v>69</v>
      </c>
      <c r="J2730" s="4" t="s">
        <v>66</v>
      </c>
      <c r="K2730" s="4">
        <v>0</v>
      </c>
      <c r="L2730" s="94">
        <v>70715</v>
      </c>
      <c r="M2730" s="94">
        <v>70715</v>
      </c>
    </row>
    <row r="2731" spans="3:13" x14ac:dyDescent="0.3">
      <c r="C2731" t="s">
        <v>61</v>
      </c>
      <c r="D2731" t="s">
        <v>67</v>
      </c>
      <c r="E2731" t="s">
        <v>68</v>
      </c>
      <c r="F2731" t="s">
        <v>26</v>
      </c>
      <c r="G2731" s="4">
        <v>0</v>
      </c>
      <c r="H2731" s="4" t="s">
        <v>13</v>
      </c>
      <c r="I2731" s="4" t="s">
        <v>69</v>
      </c>
      <c r="J2731" s="4" t="s">
        <v>66</v>
      </c>
      <c r="K2731" s="4">
        <v>0</v>
      </c>
      <c r="L2731" s="94">
        <v>140609</v>
      </c>
      <c r="M2731" s="94">
        <v>0</v>
      </c>
    </row>
    <row r="2732" spans="3:13" x14ac:dyDescent="0.3">
      <c r="C2732" t="s">
        <v>70</v>
      </c>
      <c r="D2732" t="s">
        <v>67</v>
      </c>
      <c r="E2732" t="s">
        <v>63</v>
      </c>
      <c r="F2732" t="s">
        <v>25</v>
      </c>
      <c r="G2732" s="4">
        <v>-1</v>
      </c>
      <c r="H2732" s="4" t="s">
        <v>18</v>
      </c>
      <c r="I2732" s="4" t="s">
        <v>69</v>
      </c>
      <c r="J2732" s="4" t="s">
        <v>66</v>
      </c>
      <c r="K2732" s="4">
        <v>0</v>
      </c>
      <c r="L2732" s="94">
        <v>-34773</v>
      </c>
      <c r="M2732" s="94">
        <v>0</v>
      </c>
    </row>
    <row r="2733" spans="3:13" x14ac:dyDescent="0.3">
      <c r="C2733" t="s">
        <v>70</v>
      </c>
      <c r="D2733" t="s">
        <v>67</v>
      </c>
      <c r="E2733" t="s">
        <v>63</v>
      </c>
      <c r="F2733" t="s">
        <v>25</v>
      </c>
      <c r="G2733" s="4">
        <v>15</v>
      </c>
      <c r="H2733" s="4" t="s">
        <v>74</v>
      </c>
      <c r="I2733" s="4" t="s">
        <v>69</v>
      </c>
      <c r="J2733" s="4" t="s">
        <v>66</v>
      </c>
      <c r="K2733" s="4">
        <v>0</v>
      </c>
      <c r="L2733" s="94">
        <v>-16155</v>
      </c>
      <c r="M2733" s="94">
        <v>0</v>
      </c>
    </row>
    <row r="2734" spans="3:13" x14ac:dyDescent="0.3">
      <c r="C2734" t="s">
        <v>70</v>
      </c>
      <c r="D2734" t="s">
        <v>67</v>
      </c>
      <c r="E2734" t="s">
        <v>68</v>
      </c>
      <c r="F2734" t="s">
        <v>25</v>
      </c>
      <c r="G2734" s="4">
        <v>9</v>
      </c>
      <c r="H2734" s="4" t="s">
        <v>17</v>
      </c>
      <c r="I2734" s="4" t="s">
        <v>69</v>
      </c>
      <c r="J2734" s="4" t="s">
        <v>66</v>
      </c>
      <c r="K2734" s="4">
        <v>0</v>
      </c>
      <c r="L2734" s="94">
        <v>1581125</v>
      </c>
      <c r="M2734" s="94">
        <v>14230125</v>
      </c>
    </row>
    <row r="2735" spans="3:13" x14ac:dyDescent="0.3">
      <c r="C2735" t="s">
        <v>61</v>
      </c>
      <c r="D2735" t="s">
        <v>62</v>
      </c>
      <c r="E2735" t="s">
        <v>63</v>
      </c>
      <c r="F2735" t="s">
        <v>24</v>
      </c>
      <c r="G2735" s="4">
        <v>13</v>
      </c>
      <c r="I2735" s="4" t="s">
        <v>69</v>
      </c>
      <c r="J2735" s="4" t="s">
        <v>66</v>
      </c>
      <c r="K2735" s="4">
        <v>1</v>
      </c>
      <c r="L2735" s="94">
        <v>-622</v>
      </c>
      <c r="M2735" s="94">
        <v>0</v>
      </c>
    </row>
    <row r="2736" spans="3:13" x14ac:dyDescent="0.3">
      <c r="C2736" t="s">
        <v>61</v>
      </c>
      <c r="D2736" t="s">
        <v>67</v>
      </c>
      <c r="E2736" t="s">
        <v>63</v>
      </c>
      <c r="F2736" t="s">
        <v>26</v>
      </c>
      <c r="G2736" s="4">
        <v>7</v>
      </c>
      <c r="H2736" s="4" t="s">
        <v>83</v>
      </c>
      <c r="I2736" s="4" t="s">
        <v>69</v>
      </c>
      <c r="J2736" s="4" t="s">
        <v>66</v>
      </c>
      <c r="K2736" s="4">
        <v>0</v>
      </c>
      <c r="L2736" s="94">
        <v>-3812</v>
      </c>
      <c r="M2736" s="94">
        <v>0</v>
      </c>
    </row>
    <row r="2737" spans="3:13" x14ac:dyDescent="0.3">
      <c r="C2737" t="s">
        <v>61</v>
      </c>
      <c r="D2737" t="s">
        <v>62</v>
      </c>
      <c r="E2737" t="s">
        <v>68</v>
      </c>
      <c r="F2737" t="s">
        <v>24</v>
      </c>
      <c r="G2737" s="4">
        <v>30</v>
      </c>
      <c r="I2737" s="4" t="s">
        <v>69</v>
      </c>
      <c r="J2737" s="4" t="s">
        <v>66</v>
      </c>
      <c r="K2737" s="4">
        <v>0</v>
      </c>
      <c r="L2737" s="94">
        <v>829760995</v>
      </c>
      <c r="M2737" s="94">
        <v>24892829850</v>
      </c>
    </row>
    <row r="2738" spans="3:13" x14ac:dyDescent="0.3">
      <c r="C2738" t="s">
        <v>61</v>
      </c>
      <c r="D2738" t="s">
        <v>67</v>
      </c>
      <c r="E2738" t="s">
        <v>68</v>
      </c>
      <c r="F2738" t="s">
        <v>25</v>
      </c>
      <c r="G2738" s="4">
        <v>-1</v>
      </c>
      <c r="H2738" s="4" t="s">
        <v>76</v>
      </c>
      <c r="I2738" s="4" t="s">
        <v>65</v>
      </c>
      <c r="J2738" s="4" t="s">
        <v>66</v>
      </c>
      <c r="K2738" s="4">
        <v>1</v>
      </c>
      <c r="L2738" s="94">
        <v>191533</v>
      </c>
      <c r="M2738" s="94">
        <v>0</v>
      </c>
    </row>
    <row r="2739" spans="3:13" x14ac:dyDescent="0.3">
      <c r="C2739" t="s">
        <v>61</v>
      </c>
      <c r="D2739" t="s">
        <v>67</v>
      </c>
      <c r="E2739" t="s">
        <v>63</v>
      </c>
      <c r="F2739" t="s">
        <v>26</v>
      </c>
      <c r="G2739" s="4">
        <v>4</v>
      </c>
      <c r="H2739" s="4" t="s">
        <v>12</v>
      </c>
      <c r="I2739" s="4" t="s">
        <v>65</v>
      </c>
      <c r="J2739" s="4" t="s">
        <v>73</v>
      </c>
      <c r="K2739" s="4">
        <v>1</v>
      </c>
      <c r="L2739" s="94">
        <v>-1915</v>
      </c>
      <c r="M2739" s="94">
        <v>0</v>
      </c>
    </row>
    <row r="2740" spans="3:13" x14ac:dyDescent="0.3">
      <c r="C2740" t="s">
        <v>61</v>
      </c>
      <c r="D2740" t="s">
        <v>84</v>
      </c>
      <c r="E2740" t="s">
        <v>68</v>
      </c>
      <c r="F2740" t="s">
        <v>25</v>
      </c>
      <c r="G2740" s="4">
        <v>11</v>
      </c>
      <c r="H2740" s="4" t="s">
        <v>75</v>
      </c>
      <c r="I2740" s="4" t="s">
        <v>69</v>
      </c>
      <c r="J2740" s="4" t="s">
        <v>66</v>
      </c>
      <c r="K2740" s="4">
        <v>0</v>
      </c>
      <c r="L2740" s="94">
        <v>3625638</v>
      </c>
      <c r="M2740" s="94">
        <v>39882018</v>
      </c>
    </row>
    <row r="2741" spans="3:13" x14ac:dyDescent="0.3">
      <c r="C2741" t="s">
        <v>70</v>
      </c>
      <c r="D2741" t="s">
        <v>67</v>
      </c>
      <c r="E2741" t="s">
        <v>68</v>
      </c>
      <c r="F2741" t="s">
        <v>26</v>
      </c>
      <c r="G2741" s="4">
        <v>-4</v>
      </c>
      <c r="H2741" s="4" t="s">
        <v>82</v>
      </c>
      <c r="I2741" s="4" t="s">
        <v>69</v>
      </c>
      <c r="J2741" s="4" t="s">
        <v>66</v>
      </c>
      <c r="K2741" s="4">
        <v>0</v>
      </c>
      <c r="L2741" s="94">
        <v>60751</v>
      </c>
      <c r="M2741" s="94">
        <v>0</v>
      </c>
    </row>
    <row r="2742" spans="3:13" x14ac:dyDescent="0.3">
      <c r="C2742" t="s">
        <v>70</v>
      </c>
      <c r="D2742" t="s">
        <v>67</v>
      </c>
      <c r="E2742" t="s">
        <v>63</v>
      </c>
      <c r="F2742" t="s">
        <v>26</v>
      </c>
      <c r="G2742" s="4">
        <v>0</v>
      </c>
      <c r="H2742" s="4" t="s">
        <v>82</v>
      </c>
      <c r="I2742" s="4" t="s">
        <v>69</v>
      </c>
      <c r="J2742" s="4" t="s">
        <v>73</v>
      </c>
      <c r="K2742" s="4">
        <v>1</v>
      </c>
      <c r="L2742" s="94">
        <v>-263</v>
      </c>
      <c r="M2742" s="94">
        <v>0</v>
      </c>
    </row>
    <row r="2743" spans="3:13" x14ac:dyDescent="0.3">
      <c r="C2743" t="s">
        <v>71</v>
      </c>
      <c r="D2743" t="s">
        <v>62</v>
      </c>
      <c r="E2743" t="s">
        <v>68</v>
      </c>
      <c r="F2743" t="s">
        <v>24</v>
      </c>
      <c r="G2743" s="4">
        <v>7</v>
      </c>
      <c r="I2743" s="4" t="s">
        <v>69</v>
      </c>
      <c r="J2743" s="4" t="s">
        <v>66</v>
      </c>
      <c r="K2743" s="4">
        <v>1</v>
      </c>
      <c r="L2743" s="94">
        <v>58625</v>
      </c>
      <c r="M2743" s="94">
        <v>410375</v>
      </c>
    </row>
    <row r="2744" spans="3:13" x14ac:dyDescent="0.3">
      <c r="C2744" t="s">
        <v>61</v>
      </c>
      <c r="D2744" t="s">
        <v>67</v>
      </c>
      <c r="E2744" t="s">
        <v>68</v>
      </c>
      <c r="F2744" t="s">
        <v>72</v>
      </c>
      <c r="G2744" s="4">
        <v>0</v>
      </c>
      <c r="H2744" s="4" t="s">
        <v>75</v>
      </c>
      <c r="I2744" s="4" t="s">
        <v>69</v>
      </c>
      <c r="J2744" s="4" t="s">
        <v>66</v>
      </c>
      <c r="K2744" s="4">
        <v>0</v>
      </c>
      <c r="L2744" s="94">
        <v>1931049</v>
      </c>
      <c r="M2744" s="94">
        <v>0</v>
      </c>
    </row>
    <row r="2745" spans="3:13" x14ac:dyDescent="0.3">
      <c r="C2745" t="s">
        <v>61</v>
      </c>
      <c r="D2745" t="s">
        <v>67</v>
      </c>
      <c r="E2745" t="s">
        <v>68</v>
      </c>
      <c r="F2745" t="s">
        <v>26</v>
      </c>
      <c r="G2745" s="4">
        <v>-1</v>
      </c>
      <c r="H2745" s="4" t="s">
        <v>87</v>
      </c>
      <c r="I2745" s="4" t="s">
        <v>69</v>
      </c>
      <c r="J2745" s="4" t="s">
        <v>66</v>
      </c>
      <c r="K2745" s="4">
        <v>0</v>
      </c>
      <c r="L2745" s="94">
        <v>119</v>
      </c>
      <c r="M2745" s="94">
        <v>0</v>
      </c>
    </row>
    <row r="2746" spans="3:13" x14ac:dyDescent="0.3">
      <c r="C2746" t="s">
        <v>61</v>
      </c>
      <c r="D2746" t="s">
        <v>62</v>
      </c>
      <c r="E2746" t="s">
        <v>63</v>
      </c>
      <c r="F2746" t="s">
        <v>24</v>
      </c>
      <c r="G2746" s="4">
        <v>24</v>
      </c>
      <c r="I2746" s="4" t="s">
        <v>65</v>
      </c>
      <c r="J2746" s="4" t="s">
        <v>73</v>
      </c>
      <c r="K2746" s="4">
        <v>1</v>
      </c>
      <c r="L2746" s="94">
        <v>-4</v>
      </c>
      <c r="M2746" s="94">
        <v>0</v>
      </c>
    </row>
    <row r="2747" spans="3:13" x14ac:dyDescent="0.3">
      <c r="C2747" t="s">
        <v>71</v>
      </c>
      <c r="D2747" t="s">
        <v>67</v>
      </c>
      <c r="E2747" t="s">
        <v>68</v>
      </c>
      <c r="F2747" t="s">
        <v>26</v>
      </c>
      <c r="G2747" s="4">
        <v>6</v>
      </c>
      <c r="H2747" s="4" t="s">
        <v>17</v>
      </c>
      <c r="I2747" s="4" t="s">
        <v>69</v>
      </c>
      <c r="J2747" s="4" t="s">
        <v>66</v>
      </c>
      <c r="K2747" s="4">
        <v>0</v>
      </c>
      <c r="L2747" s="94">
        <v>1137159</v>
      </c>
      <c r="M2747" s="94">
        <v>6822954</v>
      </c>
    </row>
    <row r="2748" spans="3:13" x14ac:dyDescent="0.3">
      <c r="C2748" t="s">
        <v>71</v>
      </c>
      <c r="D2748" t="s">
        <v>67</v>
      </c>
      <c r="E2748" t="s">
        <v>68</v>
      </c>
      <c r="F2748" t="s">
        <v>26</v>
      </c>
      <c r="G2748" s="4">
        <v>0</v>
      </c>
      <c r="H2748" s="4" t="s">
        <v>12</v>
      </c>
      <c r="I2748" s="4" t="s">
        <v>65</v>
      </c>
      <c r="J2748" s="4" t="s">
        <v>73</v>
      </c>
      <c r="K2748" s="4">
        <v>1</v>
      </c>
      <c r="L2748" s="94">
        <v>62700</v>
      </c>
      <c r="M2748" s="94">
        <v>0</v>
      </c>
    </row>
    <row r="2749" spans="3:13" x14ac:dyDescent="0.3">
      <c r="C2749" t="s">
        <v>70</v>
      </c>
      <c r="D2749" t="s">
        <v>67</v>
      </c>
      <c r="E2749" t="s">
        <v>68</v>
      </c>
      <c r="F2749" t="s">
        <v>72</v>
      </c>
      <c r="G2749" s="4">
        <v>5</v>
      </c>
      <c r="H2749" s="4" t="s">
        <v>12</v>
      </c>
      <c r="I2749" s="4" t="s">
        <v>69</v>
      </c>
      <c r="J2749" s="4" t="s">
        <v>73</v>
      </c>
      <c r="K2749" s="4">
        <v>1</v>
      </c>
      <c r="L2749" s="94">
        <v>183919</v>
      </c>
      <c r="M2749" s="94">
        <v>919595</v>
      </c>
    </row>
    <row r="2750" spans="3:13" x14ac:dyDescent="0.3">
      <c r="C2750" t="s">
        <v>61</v>
      </c>
      <c r="D2750" t="s">
        <v>84</v>
      </c>
      <c r="E2750" t="s">
        <v>63</v>
      </c>
      <c r="F2750" t="s">
        <v>25</v>
      </c>
      <c r="G2750" s="4">
        <v>10</v>
      </c>
      <c r="H2750" s="4" t="s">
        <v>81</v>
      </c>
      <c r="I2750" s="4" t="s">
        <v>69</v>
      </c>
      <c r="J2750" s="4" t="s">
        <v>66</v>
      </c>
      <c r="K2750" s="4">
        <v>0</v>
      </c>
      <c r="L2750" s="94">
        <v>-130</v>
      </c>
      <c r="M2750" s="94">
        <v>0</v>
      </c>
    </row>
    <row r="2751" spans="3:13" x14ac:dyDescent="0.3">
      <c r="C2751" t="s">
        <v>71</v>
      </c>
      <c r="D2751" t="s">
        <v>67</v>
      </c>
      <c r="E2751" t="s">
        <v>63</v>
      </c>
      <c r="F2751" t="s">
        <v>26</v>
      </c>
      <c r="G2751" s="4">
        <v>8</v>
      </c>
      <c r="H2751" s="4" t="s">
        <v>74</v>
      </c>
      <c r="I2751" s="4" t="s">
        <v>69</v>
      </c>
      <c r="J2751" s="4" t="s">
        <v>66</v>
      </c>
      <c r="K2751" s="4">
        <v>0</v>
      </c>
      <c r="L2751" s="94">
        <v>-426552</v>
      </c>
      <c r="M2751" s="94">
        <v>0</v>
      </c>
    </row>
    <row r="2752" spans="3:13" x14ac:dyDescent="0.3">
      <c r="C2752" t="s">
        <v>61</v>
      </c>
      <c r="D2752" t="s">
        <v>67</v>
      </c>
      <c r="E2752" t="s">
        <v>63</v>
      </c>
      <c r="F2752" t="s">
        <v>26</v>
      </c>
      <c r="G2752" s="4">
        <v>2</v>
      </c>
      <c r="H2752" s="4" t="s">
        <v>16</v>
      </c>
      <c r="I2752" s="4" t="s">
        <v>69</v>
      </c>
      <c r="J2752" s="4" t="s">
        <v>66</v>
      </c>
      <c r="K2752" s="4">
        <v>0</v>
      </c>
      <c r="L2752" s="94">
        <v>-3917</v>
      </c>
      <c r="M2752" s="94">
        <v>0</v>
      </c>
    </row>
    <row r="2753" spans="3:13" x14ac:dyDescent="0.3">
      <c r="C2753" t="s">
        <v>70</v>
      </c>
      <c r="D2753" t="s">
        <v>67</v>
      </c>
      <c r="E2753" t="s">
        <v>68</v>
      </c>
      <c r="F2753" t="s">
        <v>25</v>
      </c>
      <c r="G2753" s="4">
        <v>14</v>
      </c>
      <c r="H2753" s="4" t="s">
        <v>75</v>
      </c>
      <c r="I2753" s="4" t="s">
        <v>69</v>
      </c>
      <c r="J2753" s="4" t="s">
        <v>66</v>
      </c>
      <c r="K2753" s="4">
        <v>0</v>
      </c>
      <c r="L2753" s="94">
        <v>5708213</v>
      </c>
      <c r="M2753" s="94">
        <v>79914982</v>
      </c>
    </row>
    <row r="2754" spans="3:13" x14ac:dyDescent="0.3">
      <c r="C2754" t="s">
        <v>70</v>
      </c>
      <c r="D2754" t="s">
        <v>67</v>
      </c>
      <c r="E2754" t="s">
        <v>68</v>
      </c>
      <c r="F2754" t="s">
        <v>26</v>
      </c>
      <c r="G2754" s="4">
        <v>1</v>
      </c>
      <c r="H2754" s="4" t="s">
        <v>18</v>
      </c>
      <c r="I2754" s="4" t="s">
        <v>69</v>
      </c>
      <c r="J2754" s="4" t="s">
        <v>66</v>
      </c>
      <c r="K2754" s="4">
        <v>0</v>
      </c>
      <c r="L2754" s="94">
        <v>15803870</v>
      </c>
      <c r="M2754" s="94">
        <v>15803870</v>
      </c>
    </row>
    <row r="2755" spans="3:13" x14ac:dyDescent="0.3">
      <c r="C2755" t="s">
        <v>71</v>
      </c>
      <c r="D2755" t="s">
        <v>62</v>
      </c>
      <c r="E2755" t="s">
        <v>68</v>
      </c>
      <c r="F2755" t="s">
        <v>24</v>
      </c>
      <c r="G2755" s="4">
        <v>10</v>
      </c>
      <c r="I2755" s="4" t="s">
        <v>69</v>
      </c>
      <c r="J2755" s="4" t="s">
        <v>66</v>
      </c>
      <c r="K2755" s="4">
        <v>0</v>
      </c>
      <c r="L2755" s="94">
        <v>2599067</v>
      </c>
      <c r="M2755" s="94">
        <v>25990670</v>
      </c>
    </row>
    <row r="2756" spans="3:13" x14ac:dyDescent="0.3">
      <c r="C2756" t="s">
        <v>70</v>
      </c>
      <c r="D2756" t="s">
        <v>67</v>
      </c>
      <c r="E2756" t="s">
        <v>63</v>
      </c>
      <c r="F2756" t="s">
        <v>72</v>
      </c>
      <c r="G2756" s="4">
        <v>1</v>
      </c>
      <c r="H2756" s="4" t="s">
        <v>78</v>
      </c>
      <c r="I2756" s="4" t="s">
        <v>69</v>
      </c>
      <c r="J2756" s="4" t="s">
        <v>66</v>
      </c>
      <c r="K2756" s="4">
        <v>0</v>
      </c>
      <c r="L2756" s="94">
        <v>-753</v>
      </c>
      <c r="M2756" s="94">
        <v>0</v>
      </c>
    </row>
    <row r="2757" spans="3:13" x14ac:dyDescent="0.3">
      <c r="C2757" t="s">
        <v>61</v>
      </c>
      <c r="D2757" t="s">
        <v>67</v>
      </c>
      <c r="E2757" t="s">
        <v>68</v>
      </c>
      <c r="F2757" t="s">
        <v>25</v>
      </c>
      <c r="G2757" s="4">
        <v>7</v>
      </c>
      <c r="H2757" s="4" t="s">
        <v>79</v>
      </c>
      <c r="I2757" s="4" t="s">
        <v>65</v>
      </c>
      <c r="J2757" s="4" t="s">
        <v>66</v>
      </c>
      <c r="K2757" s="4">
        <v>1</v>
      </c>
      <c r="L2757" s="94">
        <v>99766</v>
      </c>
      <c r="M2757" s="94">
        <v>698362</v>
      </c>
    </row>
    <row r="2758" spans="3:13" x14ac:dyDescent="0.3">
      <c r="C2758" t="s">
        <v>61</v>
      </c>
      <c r="D2758" t="s">
        <v>67</v>
      </c>
      <c r="E2758" t="s">
        <v>63</v>
      </c>
      <c r="F2758" t="s">
        <v>25</v>
      </c>
      <c r="G2758" s="4">
        <v>7</v>
      </c>
      <c r="H2758" s="4" t="s">
        <v>14</v>
      </c>
      <c r="I2758" s="4" t="s">
        <v>69</v>
      </c>
      <c r="J2758" s="4" t="s">
        <v>66</v>
      </c>
      <c r="K2758" s="4">
        <v>1</v>
      </c>
      <c r="L2758" s="94">
        <v>-5990</v>
      </c>
      <c r="M2758" s="94">
        <v>0</v>
      </c>
    </row>
    <row r="2759" spans="3:13" x14ac:dyDescent="0.3">
      <c r="C2759" t="s">
        <v>71</v>
      </c>
      <c r="D2759" t="s">
        <v>67</v>
      </c>
      <c r="E2759" t="s">
        <v>63</v>
      </c>
      <c r="F2759" t="s">
        <v>25</v>
      </c>
      <c r="G2759" s="4">
        <v>4</v>
      </c>
      <c r="H2759" s="4" t="s">
        <v>74</v>
      </c>
      <c r="I2759" s="4" t="s">
        <v>69</v>
      </c>
      <c r="J2759" s="4" t="s">
        <v>66</v>
      </c>
      <c r="K2759" s="4">
        <v>0</v>
      </c>
      <c r="L2759" s="94">
        <v>-36107</v>
      </c>
      <c r="M2759" s="94">
        <v>0</v>
      </c>
    </row>
    <row r="2760" spans="3:13" x14ac:dyDescent="0.3">
      <c r="C2760" t="s">
        <v>61</v>
      </c>
      <c r="D2760" t="s">
        <v>67</v>
      </c>
      <c r="E2760" t="s">
        <v>63</v>
      </c>
      <c r="F2760" t="s">
        <v>25</v>
      </c>
      <c r="G2760" s="4">
        <v>9</v>
      </c>
      <c r="H2760" s="4" t="s">
        <v>17</v>
      </c>
      <c r="I2760" s="4" t="s">
        <v>69</v>
      </c>
      <c r="J2760" s="4" t="s">
        <v>66</v>
      </c>
      <c r="K2760" s="4">
        <v>1</v>
      </c>
      <c r="L2760" s="94">
        <v>-733</v>
      </c>
      <c r="M2760" s="94">
        <v>0</v>
      </c>
    </row>
    <row r="2761" spans="3:13" x14ac:dyDescent="0.3">
      <c r="C2761" t="s">
        <v>61</v>
      </c>
      <c r="D2761" t="s">
        <v>84</v>
      </c>
      <c r="E2761" t="s">
        <v>68</v>
      </c>
      <c r="F2761" t="s">
        <v>25</v>
      </c>
      <c r="G2761" s="4">
        <v>0</v>
      </c>
      <c r="H2761" s="4" t="s">
        <v>82</v>
      </c>
      <c r="I2761" s="4" t="s">
        <v>69</v>
      </c>
      <c r="J2761" s="4" t="s">
        <v>66</v>
      </c>
      <c r="K2761" s="4">
        <v>0</v>
      </c>
      <c r="L2761" s="94">
        <v>15858</v>
      </c>
      <c r="M2761" s="94">
        <v>0</v>
      </c>
    </row>
    <row r="2762" spans="3:13" x14ac:dyDescent="0.3">
      <c r="C2762" t="s">
        <v>70</v>
      </c>
      <c r="D2762" t="s">
        <v>62</v>
      </c>
      <c r="E2762" t="s">
        <v>68</v>
      </c>
      <c r="F2762" t="s">
        <v>24</v>
      </c>
      <c r="G2762" s="4">
        <v>18</v>
      </c>
      <c r="I2762" s="4" t="s">
        <v>69</v>
      </c>
      <c r="J2762" s="4" t="s">
        <v>66</v>
      </c>
      <c r="K2762" s="4">
        <v>1</v>
      </c>
      <c r="L2762" s="94">
        <v>272745</v>
      </c>
      <c r="M2762" s="94">
        <v>4909410</v>
      </c>
    </row>
    <row r="2763" spans="3:13" x14ac:dyDescent="0.3">
      <c r="C2763" t="s">
        <v>71</v>
      </c>
      <c r="D2763" t="s">
        <v>67</v>
      </c>
      <c r="E2763" t="s">
        <v>68</v>
      </c>
      <c r="F2763" t="s">
        <v>25</v>
      </c>
      <c r="G2763" s="4">
        <v>-4</v>
      </c>
      <c r="H2763" s="4" t="s">
        <v>75</v>
      </c>
      <c r="I2763" s="4" t="s">
        <v>69</v>
      </c>
      <c r="J2763" s="4" t="s">
        <v>66</v>
      </c>
      <c r="K2763" s="4">
        <v>1</v>
      </c>
      <c r="L2763" s="94">
        <v>11921911</v>
      </c>
      <c r="M2763" s="94">
        <v>0</v>
      </c>
    </row>
    <row r="2764" spans="3:13" x14ac:dyDescent="0.3">
      <c r="C2764" t="s">
        <v>70</v>
      </c>
      <c r="D2764" t="s">
        <v>62</v>
      </c>
      <c r="E2764" t="s">
        <v>63</v>
      </c>
      <c r="F2764" t="s">
        <v>24</v>
      </c>
      <c r="G2764" s="4">
        <v>-4</v>
      </c>
      <c r="I2764" s="4" t="s">
        <v>69</v>
      </c>
      <c r="J2764" s="4" t="s">
        <v>66</v>
      </c>
      <c r="K2764" s="4">
        <v>0</v>
      </c>
      <c r="L2764" s="94">
        <v>-125</v>
      </c>
      <c r="M2764" s="94">
        <v>0</v>
      </c>
    </row>
    <row r="2765" spans="3:13" x14ac:dyDescent="0.3">
      <c r="C2765" t="s">
        <v>61</v>
      </c>
      <c r="D2765" t="s">
        <v>67</v>
      </c>
      <c r="E2765" t="s">
        <v>68</v>
      </c>
      <c r="F2765" t="s">
        <v>26</v>
      </c>
      <c r="G2765" s="4">
        <v>2</v>
      </c>
      <c r="H2765" s="4" t="s">
        <v>12</v>
      </c>
      <c r="I2765" s="4" t="s">
        <v>69</v>
      </c>
      <c r="J2765" s="4" t="s">
        <v>66</v>
      </c>
      <c r="K2765" s="4">
        <v>0</v>
      </c>
      <c r="L2765" s="94">
        <v>1871026</v>
      </c>
      <c r="M2765" s="94">
        <v>3742052</v>
      </c>
    </row>
    <row r="2766" spans="3:13" x14ac:dyDescent="0.3">
      <c r="C2766" t="s">
        <v>71</v>
      </c>
      <c r="D2766" t="s">
        <v>67</v>
      </c>
      <c r="E2766" t="s">
        <v>63</v>
      </c>
      <c r="F2766" t="s">
        <v>26</v>
      </c>
      <c r="G2766" s="4">
        <v>2</v>
      </c>
      <c r="H2766" s="4" t="s">
        <v>18</v>
      </c>
      <c r="I2766" s="4" t="s">
        <v>69</v>
      </c>
      <c r="J2766" s="4" t="s">
        <v>66</v>
      </c>
      <c r="K2766" s="4">
        <v>0</v>
      </c>
      <c r="L2766" s="94">
        <v>-2190313</v>
      </c>
      <c r="M2766" s="94">
        <v>0</v>
      </c>
    </row>
    <row r="2767" spans="3:13" x14ac:dyDescent="0.3">
      <c r="C2767" t="s">
        <v>61</v>
      </c>
      <c r="D2767" t="s">
        <v>67</v>
      </c>
      <c r="E2767" t="s">
        <v>68</v>
      </c>
      <c r="F2767" t="s">
        <v>72</v>
      </c>
      <c r="G2767" s="4">
        <v>1</v>
      </c>
      <c r="H2767" s="4" t="s">
        <v>17</v>
      </c>
      <c r="I2767" s="4" t="s">
        <v>69</v>
      </c>
      <c r="J2767" s="4" t="s">
        <v>66</v>
      </c>
      <c r="K2767" s="4">
        <v>0</v>
      </c>
      <c r="L2767" s="94">
        <v>4921862</v>
      </c>
      <c r="M2767" s="94">
        <v>4921862</v>
      </c>
    </row>
    <row r="2768" spans="3:13" x14ac:dyDescent="0.3">
      <c r="C2768" t="s">
        <v>61</v>
      </c>
      <c r="D2768" t="s">
        <v>67</v>
      </c>
      <c r="E2768" t="s">
        <v>68</v>
      </c>
      <c r="F2768" t="s">
        <v>26</v>
      </c>
      <c r="G2768" s="4">
        <v>11</v>
      </c>
      <c r="H2768" s="4" t="s">
        <v>17</v>
      </c>
      <c r="I2768" s="4" t="s">
        <v>69</v>
      </c>
      <c r="J2768" s="4" t="s">
        <v>66</v>
      </c>
      <c r="K2768" s="4">
        <v>0</v>
      </c>
      <c r="L2768" s="94">
        <v>32603217</v>
      </c>
      <c r="M2768" s="94">
        <v>358635387</v>
      </c>
    </row>
    <row r="2769" spans="3:13" x14ac:dyDescent="0.3">
      <c r="C2769" t="s">
        <v>70</v>
      </c>
      <c r="D2769" t="s">
        <v>62</v>
      </c>
      <c r="E2769" t="s">
        <v>63</v>
      </c>
      <c r="F2769" t="s">
        <v>24</v>
      </c>
      <c r="G2769" s="4">
        <v>17</v>
      </c>
      <c r="I2769" s="4" t="s">
        <v>69</v>
      </c>
      <c r="J2769" s="4" t="s">
        <v>66</v>
      </c>
      <c r="K2769" s="4">
        <v>0</v>
      </c>
      <c r="L2769" s="94">
        <v>-617246</v>
      </c>
      <c r="M2769" s="94">
        <v>0</v>
      </c>
    </row>
    <row r="2770" spans="3:13" x14ac:dyDescent="0.3">
      <c r="C2770" t="s">
        <v>61</v>
      </c>
      <c r="D2770" t="s">
        <v>62</v>
      </c>
      <c r="E2770" t="s">
        <v>68</v>
      </c>
      <c r="F2770" t="s">
        <v>24</v>
      </c>
      <c r="G2770" s="4">
        <v>42</v>
      </c>
      <c r="I2770" s="4" t="s">
        <v>69</v>
      </c>
      <c r="J2770" s="4" t="s">
        <v>66</v>
      </c>
      <c r="K2770" s="4">
        <v>0</v>
      </c>
      <c r="L2770" s="94">
        <v>28525550</v>
      </c>
      <c r="M2770" s="94">
        <v>1198073100</v>
      </c>
    </row>
    <row r="2771" spans="3:13" x14ac:dyDescent="0.3">
      <c r="C2771" t="s">
        <v>71</v>
      </c>
      <c r="D2771" t="s">
        <v>67</v>
      </c>
      <c r="E2771" t="s">
        <v>68</v>
      </c>
      <c r="F2771" t="s">
        <v>72</v>
      </c>
      <c r="G2771" s="4">
        <v>1</v>
      </c>
      <c r="H2771" s="4" t="s">
        <v>80</v>
      </c>
      <c r="I2771" s="4" t="s">
        <v>69</v>
      </c>
      <c r="J2771" s="4" t="s">
        <v>66</v>
      </c>
      <c r="K2771" s="4">
        <v>0</v>
      </c>
      <c r="L2771" s="94">
        <v>25782</v>
      </c>
      <c r="M2771" s="94">
        <v>25782</v>
      </c>
    </row>
    <row r="2772" spans="3:13" x14ac:dyDescent="0.3">
      <c r="C2772" t="s">
        <v>70</v>
      </c>
      <c r="D2772" t="s">
        <v>67</v>
      </c>
      <c r="E2772" t="s">
        <v>63</v>
      </c>
      <c r="F2772" t="s">
        <v>26</v>
      </c>
      <c r="G2772" s="4">
        <v>5</v>
      </c>
      <c r="H2772" s="4" t="s">
        <v>76</v>
      </c>
      <c r="I2772" s="4" t="s">
        <v>69</v>
      </c>
      <c r="J2772" s="4" t="s">
        <v>66</v>
      </c>
      <c r="K2772" s="4">
        <v>0</v>
      </c>
      <c r="L2772" s="94">
        <v>-179329</v>
      </c>
      <c r="M2772" s="94">
        <v>0</v>
      </c>
    </row>
    <row r="2773" spans="3:13" x14ac:dyDescent="0.3">
      <c r="C2773" t="s">
        <v>61</v>
      </c>
      <c r="D2773" t="s">
        <v>67</v>
      </c>
      <c r="E2773" t="s">
        <v>63</v>
      </c>
      <c r="F2773" t="s">
        <v>25</v>
      </c>
      <c r="G2773" s="4">
        <v>4</v>
      </c>
      <c r="H2773" s="4" t="s">
        <v>76</v>
      </c>
      <c r="I2773" s="4" t="s">
        <v>69</v>
      </c>
      <c r="J2773" s="4" t="s">
        <v>66</v>
      </c>
      <c r="K2773" s="4">
        <v>0</v>
      </c>
      <c r="L2773" s="94">
        <v>-10810</v>
      </c>
      <c r="M2773" s="94">
        <v>0</v>
      </c>
    </row>
    <row r="2774" spans="3:13" x14ac:dyDescent="0.3">
      <c r="C2774" t="s">
        <v>70</v>
      </c>
      <c r="D2774" t="s">
        <v>67</v>
      </c>
      <c r="E2774" t="s">
        <v>68</v>
      </c>
      <c r="F2774" t="s">
        <v>25</v>
      </c>
      <c r="G2774" s="4">
        <v>6</v>
      </c>
      <c r="H2774" s="4" t="s">
        <v>75</v>
      </c>
      <c r="I2774" s="4" t="s">
        <v>69</v>
      </c>
      <c r="J2774" s="4" t="s">
        <v>66</v>
      </c>
      <c r="K2774" s="4">
        <v>1</v>
      </c>
      <c r="L2774" s="94">
        <v>67063</v>
      </c>
      <c r="M2774" s="94">
        <v>402378</v>
      </c>
    </row>
    <row r="2775" spans="3:13" x14ac:dyDescent="0.3">
      <c r="C2775" t="s">
        <v>70</v>
      </c>
      <c r="D2775" t="s">
        <v>67</v>
      </c>
      <c r="E2775" t="s">
        <v>63</v>
      </c>
      <c r="F2775" t="s">
        <v>72</v>
      </c>
      <c r="G2775" s="4">
        <v>3</v>
      </c>
      <c r="H2775" s="4" t="s">
        <v>15</v>
      </c>
      <c r="I2775" s="4" t="s">
        <v>69</v>
      </c>
      <c r="J2775" s="4" t="s">
        <v>73</v>
      </c>
      <c r="K2775" s="4">
        <v>1</v>
      </c>
      <c r="L2775" s="94">
        <v>-1179</v>
      </c>
      <c r="M2775" s="94">
        <v>0</v>
      </c>
    </row>
    <row r="2776" spans="3:13" x14ac:dyDescent="0.3">
      <c r="C2776" t="s">
        <v>71</v>
      </c>
      <c r="D2776" t="s">
        <v>67</v>
      </c>
      <c r="E2776" t="s">
        <v>68</v>
      </c>
      <c r="F2776" t="s">
        <v>26</v>
      </c>
      <c r="G2776" s="4">
        <v>17</v>
      </c>
      <c r="H2776" s="4" t="s">
        <v>82</v>
      </c>
      <c r="I2776" s="4" t="s">
        <v>69</v>
      </c>
      <c r="J2776" s="4" t="s">
        <v>66</v>
      </c>
      <c r="K2776" s="4">
        <v>0</v>
      </c>
      <c r="L2776" s="94">
        <v>80418</v>
      </c>
      <c r="M2776" s="94">
        <v>1367106</v>
      </c>
    </row>
    <row r="2777" spans="3:13" x14ac:dyDescent="0.3">
      <c r="C2777" t="s">
        <v>71</v>
      </c>
      <c r="D2777" t="s">
        <v>67</v>
      </c>
      <c r="E2777" t="s">
        <v>63</v>
      </c>
      <c r="F2777" t="s">
        <v>26</v>
      </c>
      <c r="G2777" s="4">
        <v>5</v>
      </c>
      <c r="H2777" s="4" t="s">
        <v>76</v>
      </c>
      <c r="I2777" s="4" t="s">
        <v>69</v>
      </c>
      <c r="J2777" s="4" t="s">
        <v>66</v>
      </c>
      <c r="K2777" s="4">
        <v>0</v>
      </c>
      <c r="L2777" s="94">
        <v>-110320</v>
      </c>
      <c r="M2777" s="94">
        <v>0</v>
      </c>
    </row>
    <row r="2778" spans="3:13" x14ac:dyDescent="0.3">
      <c r="C2778" t="s">
        <v>61</v>
      </c>
      <c r="D2778" t="s">
        <v>67</v>
      </c>
      <c r="E2778" t="s">
        <v>63</v>
      </c>
      <c r="F2778" t="s">
        <v>26</v>
      </c>
      <c r="G2778" s="4">
        <v>15</v>
      </c>
      <c r="H2778" s="4" t="s">
        <v>12</v>
      </c>
      <c r="I2778" s="4" t="s">
        <v>69</v>
      </c>
      <c r="J2778" s="4" t="s">
        <v>73</v>
      </c>
      <c r="K2778" s="4">
        <v>1</v>
      </c>
      <c r="L2778" s="94">
        <v>-4797</v>
      </c>
      <c r="M2778" s="94">
        <v>0</v>
      </c>
    </row>
    <row r="2779" spans="3:13" x14ac:dyDescent="0.3">
      <c r="C2779" t="s">
        <v>61</v>
      </c>
      <c r="D2779" t="s">
        <v>67</v>
      </c>
      <c r="E2779" t="s">
        <v>63</v>
      </c>
      <c r="F2779" t="s">
        <v>26</v>
      </c>
      <c r="G2779" s="4">
        <v>7</v>
      </c>
      <c r="H2779" s="4" t="s">
        <v>15</v>
      </c>
      <c r="I2779" s="4" t="s">
        <v>69</v>
      </c>
      <c r="J2779" s="4" t="s">
        <v>73</v>
      </c>
      <c r="K2779" s="4">
        <v>1</v>
      </c>
      <c r="L2779" s="94">
        <v>-74413</v>
      </c>
      <c r="M2779" s="94">
        <v>0</v>
      </c>
    </row>
    <row r="2780" spans="3:13" x14ac:dyDescent="0.3">
      <c r="C2780" t="s">
        <v>61</v>
      </c>
      <c r="D2780" t="s">
        <v>62</v>
      </c>
      <c r="E2780" t="s">
        <v>68</v>
      </c>
      <c r="F2780" t="s">
        <v>24</v>
      </c>
      <c r="G2780" s="4">
        <v>3</v>
      </c>
      <c r="I2780" s="4" t="s">
        <v>69</v>
      </c>
      <c r="J2780" s="4" t="s">
        <v>66</v>
      </c>
      <c r="K2780" s="4">
        <v>0</v>
      </c>
      <c r="L2780" s="94">
        <v>30846847</v>
      </c>
      <c r="M2780" s="94">
        <v>92540541</v>
      </c>
    </row>
    <row r="2781" spans="3:13" x14ac:dyDescent="0.3">
      <c r="C2781" t="s">
        <v>70</v>
      </c>
      <c r="D2781" t="s">
        <v>67</v>
      </c>
      <c r="E2781" t="s">
        <v>68</v>
      </c>
      <c r="F2781" t="s">
        <v>26</v>
      </c>
      <c r="G2781" s="4">
        <v>3</v>
      </c>
      <c r="H2781" s="4" t="s">
        <v>64</v>
      </c>
      <c r="I2781" s="4" t="s">
        <v>69</v>
      </c>
      <c r="J2781" s="4" t="s">
        <v>66</v>
      </c>
      <c r="K2781" s="4">
        <v>0</v>
      </c>
      <c r="L2781" s="94">
        <v>4475511</v>
      </c>
      <c r="M2781" s="94">
        <v>13426533</v>
      </c>
    </row>
    <row r="2782" spans="3:13" x14ac:dyDescent="0.3">
      <c r="C2782" t="s">
        <v>70</v>
      </c>
      <c r="D2782" t="s">
        <v>62</v>
      </c>
      <c r="E2782" t="s">
        <v>63</v>
      </c>
      <c r="F2782" t="s">
        <v>25</v>
      </c>
      <c r="G2782" s="4">
        <v>15</v>
      </c>
      <c r="I2782" s="4" t="s">
        <v>69</v>
      </c>
      <c r="J2782" s="4" t="s">
        <v>66</v>
      </c>
      <c r="K2782" s="4">
        <v>0</v>
      </c>
      <c r="L2782" s="94">
        <v>-22874</v>
      </c>
      <c r="M2782" s="94">
        <v>0</v>
      </c>
    </row>
    <row r="2783" spans="3:13" x14ac:dyDescent="0.3">
      <c r="C2783" t="s">
        <v>61</v>
      </c>
      <c r="D2783" t="s">
        <v>62</v>
      </c>
      <c r="E2783" t="s">
        <v>63</v>
      </c>
      <c r="F2783" t="s">
        <v>24</v>
      </c>
      <c r="G2783" s="4">
        <v>19</v>
      </c>
      <c r="I2783" s="4" t="s">
        <v>69</v>
      </c>
      <c r="J2783" s="4" t="s">
        <v>66</v>
      </c>
      <c r="K2783" s="4">
        <v>1</v>
      </c>
      <c r="L2783" s="94">
        <v>-1238</v>
      </c>
      <c r="M2783" s="94">
        <v>0</v>
      </c>
    </row>
    <row r="2784" spans="3:13" x14ac:dyDescent="0.3">
      <c r="C2784" t="s">
        <v>61</v>
      </c>
      <c r="D2784" t="s">
        <v>62</v>
      </c>
      <c r="E2784" t="s">
        <v>63</v>
      </c>
      <c r="F2784" t="s">
        <v>25</v>
      </c>
      <c r="G2784" s="4">
        <v>19</v>
      </c>
      <c r="I2784" s="4" t="s">
        <v>65</v>
      </c>
      <c r="J2784" s="4" t="s">
        <v>66</v>
      </c>
      <c r="K2784" s="4">
        <v>1</v>
      </c>
      <c r="L2784" s="94">
        <v>-107</v>
      </c>
      <c r="M2784" s="94">
        <v>0</v>
      </c>
    </row>
    <row r="2785" spans="3:13" x14ac:dyDescent="0.3">
      <c r="C2785" t="s">
        <v>70</v>
      </c>
      <c r="D2785" t="s">
        <v>67</v>
      </c>
      <c r="E2785" t="s">
        <v>63</v>
      </c>
      <c r="F2785" t="s">
        <v>72</v>
      </c>
      <c r="G2785" s="4">
        <v>3</v>
      </c>
      <c r="H2785" s="4" t="s">
        <v>75</v>
      </c>
      <c r="I2785" s="4" t="s">
        <v>69</v>
      </c>
      <c r="J2785" s="4" t="s">
        <v>66</v>
      </c>
      <c r="K2785" s="4">
        <v>0</v>
      </c>
      <c r="L2785" s="94">
        <v>-17316</v>
      </c>
      <c r="M2785" s="94">
        <v>0</v>
      </c>
    </row>
    <row r="2786" spans="3:13" x14ac:dyDescent="0.3">
      <c r="C2786" t="s">
        <v>71</v>
      </c>
      <c r="D2786" t="s">
        <v>67</v>
      </c>
      <c r="E2786" t="s">
        <v>68</v>
      </c>
      <c r="F2786" t="s">
        <v>25</v>
      </c>
      <c r="G2786" s="4">
        <v>-4</v>
      </c>
      <c r="H2786" s="4" t="s">
        <v>82</v>
      </c>
      <c r="I2786" s="4" t="s">
        <v>69</v>
      </c>
      <c r="J2786" s="4" t="s">
        <v>66</v>
      </c>
      <c r="K2786" s="4">
        <v>0</v>
      </c>
      <c r="L2786" s="94">
        <v>125848</v>
      </c>
      <c r="M2786" s="94">
        <v>0</v>
      </c>
    </row>
    <row r="2787" spans="3:13" x14ac:dyDescent="0.3">
      <c r="C2787" t="s">
        <v>70</v>
      </c>
      <c r="D2787" t="s">
        <v>67</v>
      </c>
      <c r="E2787" t="s">
        <v>68</v>
      </c>
      <c r="F2787" t="s">
        <v>72</v>
      </c>
      <c r="G2787" s="4">
        <v>-4</v>
      </c>
      <c r="H2787" s="4" t="s">
        <v>74</v>
      </c>
      <c r="I2787" s="4" t="s">
        <v>69</v>
      </c>
      <c r="J2787" s="4" t="s">
        <v>66</v>
      </c>
      <c r="K2787" s="4">
        <v>0</v>
      </c>
      <c r="L2787" s="94">
        <v>2139</v>
      </c>
      <c r="M2787" s="94">
        <v>0</v>
      </c>
    </row>
    <row r="2788" spans="3:13" x14ac:dyDescent="0.3">
      <c r="C2788" t="s">
        <v>71</v>
      </c>
      <c r="D2788" t="s">
        <v>67</v>
      </c>
      <c r="E2788" t="s">
        <v>68</v>
      </c>
      <c r="F2788" t="s">
        <v>72</v>
      </c>
      <c r="G2788" s="4">
        <v>3</v>
      </c>
      <c r="H2788" s="4" t="s">
        <v>18</v>
      </c>
      <c r="I2788" s="4" t="s">
        <v>69</v>
      </c>
      <c r="J2788" s="4" t="s">
        <v>73</v>
      </c>
      <c r="K2788" s="4">
        <v>1</v>
      </c>
      <c r="L2788" s="94">
        <v>52832</v>
      </c>
      <c r="M2788" s="94">
        <v>158496</v>
      </c>
    </row>
    <row r="2789" spans="3:13" x14ac:dyDescent="0.3">
      <c r="C2789" t="s">
        <v>70</v>
      </c>
      <c r="D2789" t="s">
        <v>62</v>
      </c>
      <c r="E2789" t="s">
        <v>68</v>
      </c>
      <c r="F2789" t="s">
        <v>24</v>
      </c>
      <c r="G2789" s="4">
        <v>3</v>
      </c>
      <c r="I2789" s="4" t="s">
        <v>65</v>
      </c>
      <c r="J2789" s="4" t="s">
        <v>66</v>
      </c>
      <c r="K2789" s="4">
        <v>1</v>
      </c>
      <c r="L2789" s="94">
        <v>23752</v>
      </c>
      <c r="M2789" s="94">
        <v>71256</v>
      </c>
    </row>
    <row r="2790" spans="3:13" x14ac:dyDescent="0.3">
      <c r="C2790" t="s">
        <v>71</v>
      </c>
      <c r="D2790" t="s">
        <v>67</v>
      </c>
      <c r="E2790" t="s">
        <v>63</v>
      </c>
      <c r="F2790" t="s">
        <v>25</v>
      </c>
      <c r="G2790" s="4">
        <v>5</v>
      </c>
      <c r="H2790" s="4" t="s">
        <v>14</v>
      </c>
      <c r="I2790" s="4" t="s">
        <v>69</v>
      </c>
      <c r="J2790" s="4" t="s">
        <v>66</v>
      </c>
      <c r="K2790" s="4">
        <v>0</v>
      </c>
      <c r="L2790" s="94">
        <v>-1104167</v>
      </c>
      <c r="M2790" s="94">
        <v>0</v>
      </c>
    </row>
    <row r="2791" spans="3:13" x14ac:dyDescent="0.3">
      <c r="C2791" t="s">
        <v>61</v>
      </c>
      <c r="D2791" t="s">
        <v>67</v>
      </c>
      <c r="E2791" t="s">
        <v>68</v>
      </c>
      <c r="F2791" t="s">
        <v>26</v>
      </c>
      <c r="G2791" s="4">
        <v>-1</v>
      </c>
      <c r="H2791" s="4" t="s">
        <v>17</v>
      </c>
      <c r="I2791" s="4" t="s">
        <v>65</v>
      </c>
      <c r="J2791" s="4" t="s">
        <v>66</v>
      </c>
      <c r="K2791" s="4">
        <v>1</v>
      </c>
      <c r="L2791" s="94">
        <v>356075</v>
      </c>
      <c r="M2791" s="94">
        <v>0</v>
      </c>
    </row>
    <row r="2792" spans="3:13" x14ac:dyDescent="0.3">
      <c r="C2792" t="s">
        <v>71</v>
      </c>
      <c r="D2792" t="s">
        <v>62</v>
      </c>
      <c r="E2792" t="s">
        <v>63</v>
      </c>
      <c r="F2792" t="s">
        <v>24</v>
      </c>
      <c r="G2792" s="4">
        <v>22</v>
      </c>
      <c r="I2792" s="4" t="s">
        <v>65</v>
      </c>
      <c r="J2792" s="4" t="s">
        <v>66</v>
      </c>
      <c r="K2792" s="4">
        <v>1</v>
      </c>
      <c r="L2792" s="94">
        <v>-17228</v>
      </c>
      <c r="M2792" s="94">
        <v>0</v>
      </c>
    </row>
    <row r="2793" spans="3:13" x14ac:dyDescent="0.3">
      <c r="C2793" t="s">
        <v>71</v>
      </c>
      <c r="D2793" t="s">
        <v>62</v>
      </c>
      <c r="E2793" t="s">
        <v>63</v>
      </c>
      <c r="F2793" t="s">
        <v>25</v>
      </c>
      <c r="G2793" s="4">
        <v>0</v>
      </c>
      <c r="I2793" s="4" t="s">
        <v>69</v>
      </c>
      <c r="J2793" s="4" t="s">
        <v>66</v>
      </c>
      <c r="K2793" s="4">
        <v>0</v>
      </c>
      <c r="L2793" s="94">
        <v>-44658</v>
      </c>
      <c r="M2793" s="94">
        <v>0</v>
      </c>
    </row>
    <row r="2794" spans="3:13" x14ac:dyDescent="0.3">
      <c r="C2794" t="s">
        <v>61</v>
      </c>
      <c r="D2794" t="s">
        <v>67</v>
      </c>
      <c r="E2794" t="s">
        <v>68</v>
      </c>
      <c r="F2794" t="s">
        <v>26</v>
      </c>
      <c r="G2794" s="4">
        <v>-1</v>
      </c>
      <c r="H2794" s="4" t="s">
        <v>12</v>
      </c>
      <c r="I2794" s="4" t="s">
        <v>69</v>
      </c>
      <c r="J2794" s="4" t="s">
        <v>73</v>
      </c>
      <c r="K2794" s="4">
        <v>1</v>
      </c>
      <c r="L2794" s="94">
        <v>30619239</v>
      </c>
      <c r="M2794" s="94">
        <v>0</v>
      </c>
    </row>
    <row r="2795" spans="3:13" x14ac:dyDescent="0.3">
      <c r="C2795" t="s">
        <v>70</v>
      </c>
      <c r="D2795" t="s">
        <v>62</v>
      </c>
      <c r="E2795" t="s">
        <v>68</v>
      </c>
      <c r="F2795" t="s">
        <v>25</v>
      </c>
      <c r="G2795" s="4">
        <v>10</v>
      </c>
      <c r="I2795" s="4" t="s">
        <v>69</v>
      </c>
      <c r="J2795" s="4" t="s">
        <v>66</v>
      </c>
      <c r="K2795" s="4">
        <v>0</v>
      </c>
      <c r="L2795" s="94">
        <v>955552</v>
      </c>
      <c r="M2795" s="94">
        <v>9555520</v>
      </c>
    </row>
    <row r="2796" spans="3:13" x14ac:dyDescent="0.3">
      <c r="C2796" t="s">
        <v>61</v>
      </c>
      <c r="D2796" t="s">
        <v>67</v>
      </c>
      <c r="E2796" t="s">
        <v>63</v>
      </c>
      <c r="F2796" t="s">
        <v>25</v>
      </c>
      <c r="G2796" s="4">
        <v>10</v>
      </c>
      <c r="H2796" s="4" t="s">
        <v>76</v>
      </c>
      <c r="I2796" s="4" t="s">
        <v>65</v>
      </c>
      <c r="J2796" s="4" t="s">
        <v>66</v>
      </c>
      <c r="K2796" s="4">
        <v>1</v>
      </c>
      <c r="L2796" s="94">
        <v>-10653</v>
      </c>
      <c r="M2796" s="94">
        <v>0</v>
      </c>
    </row>
    <row r="2797" spans="3:13" x14ac:dyDescent="0.3">
      <c r="C2797" t="s">
        <v>71</v>
      </c>
      <c r="D2797" t="s">
        <v>67</v>
      </c>
      <c r="E2797" t="s">
        <v>63</v>
      </c>
      <c r="F2797" t="s">
        <v>26</v>
      </c>
      <c r="G2797" s="4">
        <v>1</v>
      </c>
      <c r="H2797" s="4" t="s">
        <v>14</v>
      </c>
      <c r="I2797" s="4" t="s">
        <v>69</v>
      </c>
      <c r="J2797" s="4" t="s">
        <v>73</v>
      </c>
      <c r="K2797" s="4">
        <v>1</v>
      </c>
      <c r="L2797" s="94">
        <v>-1431466</v>
      </c>
      <c r="M2797" s="94">
        <v>0</v>
      </c>
    </row>
    <row r="2798" spans="3:13" x14ac:dyDescent="0.3">
      <c r="C2798" t="s">
        <v>70</v>
      </c>
      <c r="D2798" t="s">
        <v>67</v>
      </c>
      <c r="E2798" t="s">
        <v>63</v>
      </c>
      <c r="F2798" t="s">
        <v>26</v>
      </c>
      <c r="G2798" s="4">
        <v>1</v>
      </c>
      <c r="H2798" s="4" t="s">
        <v>87</v>
      </c>
      <c r="I2798" s="4" t="s">
        <v>69</v>
      </c>
      <c r="J2798" s="4" t="s">
        <v>66</v>
      </c>
      <c r="K2798" s="4">
        <v>0</v>
      </c>
      <c r="L2798" s="94">
        <v>-2775</v>
      </c>
      <c r="M2798" s="94">
        <v>0</v>
      </c>
    </row>
    <row r="2799" spans="3:13" x14ac:dyDescent="0.3">
      <c r="C2799" t="s">
        <v>61</v>
      </c>
      <c r="D2799" t="s">
        <v>84</v>
      </c>
      <c r="E2799" t="s">
        <v>68</v>
      </c>
      <c r="F2799" t="s">
        <v>25</v>
      </c>
      <c r="G2799" s="4">
        <v>13</v>
      </c>
      <c r="H2799" s="4" t="s">
        <v>81</v>
      </c>
      <c r="I2799" s="4" t="s">
        <v>69</v>
      </c>
      <c r="J2799" s="4" t="s">
        <v>66</v>
      </c>
      <c r="K2799" s="4">
        <v>0</v>
      </c>
      <c r="L2799" s="94">
        <v>279728</v>
      </c>
      <c r="M2799" s="94">
        <v>3636464</v>
      </c>
    </row>
    <row r="2800" spans="3:13" x14ac:dyDescent="0.3">
      <c r="C2800" t="s">
        <v>70</v>
      </c>
      <c r="D2800" t="s">
        <v>67</v>
      </c>
      <c r="E2800" t="s">
        <v>63</v>
      </c>
      <c r="F2800" t="s">
        <v>26</v>
      </c>
      <c r="G2800" s="4">
        <v>8</v>
      </c>
      <c r="H2800" s="4" t="s">
        <v>74</v>
      </c>
      <c r="I2800" s="4" t="s">
        <v>69</v>
      </c>
      <c r="J2800" s="4" t="s">
        <v>66</v>
      </c>
      <c r="K2800" s="4">
        <v>0</v>
      </c>
      <c r="L2800" s="94">
        <v>-96433</v>
      </c>
      <c r="M2800" s="94">
        <v>0</v>
      </c>
    </row>
    <row r="2801" spans="3:13" x14ac:dyDescent="0.3">
      <c r="C2801" t="s">
        <v>61</v>
      </c>
      <c r="D2801" t="s">
        <v>67</v>
      </c>
      <c r="E2801" t="s">
        <v>63</v>
      </c>
      <c r="F2801" t="s">
        <v>72</v>
      </c>
      <c r="G2801" s="4">
        <v>3</v>
      </c>
      <c r="H2801" s="4" t="s">
        <v>75</v>
      </c>
      <c r="I2801" s="4" t="s">
        <v>69</v>
      </c>
      <c r="J2801" s="4" t="s">
        <v>66</v>
      </c>
      <c r="K2801" s="4">
        <v>0</v>
      </c>
      <c r="L2801" s="94">
        <v>-2699</v>
      </c>
      <c r="M2801" s="94">
        <v>0</v>
      </c>
    </row>
    <row r="2802" spans="3:13" x14ac:dyDescent="0.3">
      <c r="C2802" t="s">
        <v>71</v>
      </c>
      <c r="D2802" t="s">
        <v>67</v>
      </c>
      <c r="E2802" t="s">
        <v>68</v>
      </c>
      <c r="F2802" t="s">
        <v>72</v>
      </c>
      <c r="G2802" s="4">
        <v>2</v>
      </c>
      <c r="H2802" s="4" t="s">
        <v>17</v>
      </c>
      <c r="I2802" s="4" t="s">
        <v>69</v>
      </c>
      <c r="J2802" s="4" t="s">
        <v>66</v>
      </c>
      <c r="K2802" s="4">
        <v>0</v>
      </c>
      <c r="L2802" s="94">
        <v>161742</v>
      </c>
      <c r="M2802" s="94">
        <v>323484</v>
      </c>
    </row>
    <row r="2803" spans="3:13" x14ac:dyDescent="0.3">
      <c r="C2803" t="s">
        <v>61</v>
      </c>
      <c r="D2803" t="s">
        <v>67</v>
      </c>
      <c r="E2803" t="s">
        <v>68</v>
      </c>
      <c r="F2803" t="s">
        <v>26</v>
      </c>
      <c r="G2803" s="4">
        <v>0</v>
      </c>
      <c r="H2803" s="4" t="s">
        <v>82</v>
      </c>
      <c r="I2803" s="4" t="s">
        <v>69</v>
      </c>
      <c r="J2803" s="4" t="s">
        <v>73</v>
      </c>
      <c r="K2803" s="4">
        <v>1</v>
      </c>
      <c r="L2803" s="94">
        <v>1950</v>
      </c>
      <c r="M2803" s="94">
        <v>0</v>
      </c>
    </row>
    <row r="2804" spans="3:13" x14ac:dyDescent="0.3">
      <c r="C2804" t="s">
        <v>70</v>
      </c>
      <c r="D2804" t="s">
        <v>67</v>
      </c>
      <c r="E2804" t="s">
        <v>63</v>
      </c>
      <c r="F2804" t="s">
        <v>72</v>
      </c>
      <c r="G2804" s="4">
        <v>4</v>
      </c>
      <c r="H2804" s="4" t="s">
        <v>83</v>
      </c>
      <c r="I2804" s="4" t="s">
        <v>69</v>
      </c>
      <c r="J2804" s="4" t="s">
        <v>66</v>
      </c>
      <c r="K2804" s="4">
        <v>0</v>
      </c>
      <c r="L2804" s="94">
        <v>-14995</v>
      </c>
      <c r="M2804" s="94">
        <v>0</v>
      </c>
    </row>
    <row r="2805" spans="3:13" x14ac:dyDescent="0.3">
      <c r="C2805" t="s">
        <v>61</v>
      </c>
      <c r="D2805" t="s">
        <v>67</v>
      </c>
      <c r="E2805" t="s">
        <v>68</v>
      </c>
      <c r="F2805" t="s">
        <v>25</v>
      </c>
      <c r="G2805" s="4">
        <v>9</v>
      </c>
      <c r="H2805" s="4" t="s">
        <v>17</v>
      </c>
      <c r="I2805" s="4" t="s">
        <v>69</v>
      </c>
      <c r="J2805" s="4" t="s">
        <v>66</v>
      </c>
      <c r="K2805" s="4">
        <v>0</v>
      </c>
      <c r="L2805" s="94">
        <v>24684354</v>
      </c>
      <c r="M2805" s="94">
        <v>222159186</v>
      </c>
    </row>
    <row r="2806" spans="3:13" x14ac:dyDescent="0.3">
      <c r="C2806" t="s">
        <v>70</v>
      </c>
      <c r="D2806" t="s">
        <v>67</v>
      </c>
      <c r="E2806" t="s">
        <v>68</v>
      </c>
      <c r="F2806" t="s">
        <v>26</v>
      </c>
      <c r="G2806" s="4">
        <v>4</v>
      </c>
      <c r="H2806" s="4" t="s">
        <v>14</v>
      </c>
      <c r="I2806" s="4" t="s">
        <v>69</v>
      </c>
      <c r="J2806" s="4" t="s">
        <v>66</v>
      </c>
      <c r="K2806" s="4">
        <v>0</v>
      </c>
      <c r="L2806" s="94">
        <v>6455724</v>
      </c>
      <c r="M2806" s="94">
        <v>25822896</v>
      </c>
    </row>
    <row r="2807" spans="3:13" x14ac:dyDescent="0.3">
      <c r="C2807" t="s">
        <v>70</v>
      </c>
      <c r="D2807" t="s">
        <v>62</v>
      </c>
      <c r="E2807" t="s">
        <v>63</v>
      </c>
      <c r="F2807" t="s">
        <v>24</v>
      </c>
      <c r="G2807" s="4">
        <v>12</v>
      </c>
      <c r="I2807" s="4" t="s">
        <v>69</v>
      </c>
      <c r="J2807" s="4" t="s">
        <v>66</v>
      </c>
      <c r="K2807" s="4">
        <v>0</v>
      </c>
      <c r="L2807" s="94">
        <v>-353635</v>
      </c>
      <c r="M2807" s="94">
        <v>0</v>
      </c>
    </row>
    <row r="2808" spans="3:13" x14ac:dyDescent="0.3">
      <c r="C2808" t="s">
        <v>61</v>
      </c>
      <c r="D2808" t="s">
        <v>67</v>
      </c>
      <c r="E2808" t="s">
        <v>68</v>
      </c>
      <c r="F2808" t="s">
        <v>26</v>
      </c>
      <c r="G2808" s="4">
        <v>3</v>
      </c>
      <c r="H2808" s="4" t="s">
        <v>14</v>
      </c>
      <c r="I2808" s="4" t="s">
        <v>69</v>
      </c>
      <c r="J2808" s="4" t="s">
        <v>73</v>
      </c>
      <c r="K2808" s="4">
        <v>1</v>
      </c>
      <c r="L2808" s="94">
        <v>51885213</v>
      </c>
      <c r="M2808" s="94">
        <v>155655639</v>
      </c>
    </row>
    <row r="2809" spans="3:13" x14ac:dyDescent="0.3">
      <c r="C2809" t="s">
        <v>61</v>
      </c>
      <c r="D2809" t="s">
        <v>67</v>
      </c>
      <c r="E2809" t="s">
        <v>63</v>
      </c>
      <c r="F2809" t="s">
        <v>25</v>
      </c>
      <c r="G2809" s="4">
        <v>5</v>
      </c>
      <c r="H2809" s="4" t="s">
        <v>18</v>
      </c>
      <c r="I2809" s="4" t="s">
        <v>69</v>
      </c>
      <c r="J2809" s="4" t="s">
        <v>66</v>
      </c>
      <c r="K2809" s="4">
        <v>0</v>
      </c>
      <c r="L2809" s="94">
        <v>-19949</v>
      </c>
      <c r="M2809" s="94">
        <v>0</v>
      </c>
    </row>
    <row r="2810" spans="3:13" x14ac:dyDescent="0.3">
      <c r="C2810" t="s">
        <v>71</v>
      </c>
      <c r="D2810" t="s">
        <v>62</v>
      </c>
      <c r="E2810" t="s">
        <v>63</v>
      </c>
      <c r="F2810" t="s">
        <v>25</v>
      </c>
      <c r="G2810" s="4">
        <v>11</v>
      </c>
      <c r="I2810" s="4" t="s">
        <v>69</v>
      </c>
      <c r="J2810" s="4" t="s">
        <v>66</v>
      </c>
      <c r="K2810" s="4">
        <v>0</v>
      </c>
      <c r="L2810" s="94">
        <v>-17854</v>
      </c>
      <c r="M2810" s="94">
        <v>0</v>
      </c>
    </row>
    <row r="2811" spans="3:13" x14ac:dyDescent="0.3">
      <c r="C2811" t="s">
        <v>70</v>
      </c>
      <c r="D2811" t="s">
        <v>67</v>
      </c>
      <c r="E2811" t="s">
        <v>63</v>
      </c>
      <c r="F2811" t="s">
        <v>25</v>
      </c>
      <c r="G2811" s="4">
        <v>5</v>
      </c>
      <c r="H2811" s="4" t="s">
        <v>17</v>
      </c>
      <c r="I2811" s="4" t="s">
        <v>69</v>
      </c>
      <c r="J2811" s="4" t="s">
        <v>66</v>
      </c>
      <c r="K2811" s="4">
        <v>0</v>
      </c>
      <c r="L2811" s="94">
        <v>-92823</v>
      </c>
      <c r="M2811" s="94">
        <v>0</v>
      </c>
    </row>
    <row r="2812" spans="3:13" x14ac:dyDescent="0.3">
      <c r="C2812" t="s">
        <v>61</v>
      </c>
      <c r="D2812" t="s">
        <v>62</v>
      </c>
      <c r="E2812" t="s">
        <v>63</v>
      </c>
      <c r="F2812" t="s">
        <v>24</v>
      </c>
      <c r="G2812" s="4">
        <v>8</v>
      </c>
      <c r="I2812" s="4" t="s">
        <v>69</v>
      </c>
      <c r="J2812" s="4" t="s">
        <v>66</v>
      </c>
      <c r="K2812" s="4">
        <v>0</v>
      </c>
      <c r="L2812" s="94">
        <v>-65285</v>
      </c>
      <c r="M2812" s="94">
        <v>0</v>
      </c>
    </row>
    <row r="2813" spans="3:13" x14ac:dyDescent="0.3">
      <c r="C2813" t="s">
        <v>61</v>
      </c>
      <c r="D2813" t="s">
        <v>62</v>
      </c>
      <c r="E2813" t="s">
        <v>68</v>
      </c>
      <c r="F2813" t="s">
        <v>24</v>
      </c>
      <c r="G2813" s="4">
        <v>28</v>
      </c>
      <c r="I2813" s="4" t="s">
        <v>65</v>
      </c>
      <c r="J2813" s="4" t="s">
        <v>66</v>
      </c>
      <c r="K2813" s="4">
        <v>1</v>
      </c>
      <c r="L2813" s="94">
        <v>12985824</v>
      </c>
      <c r="M2813" s="94">
        <v>363603072</v>
      </c>
    </row>
    <row r="2814" spans="3:13" x14ac:dyDescent="0.3">
      <c r="C2814" t="s">
        <v>61</v>
      </c>
      <c r="D2814" t="s">
        <v>62</v>
      </c>
      <c r="E2814" t="s">
        <v>68</v>
      </c>
      <c r="F2814" t="s">
        <v>25</v>
      </c>
      <c r="G2814" s="4">
        <v>4</v>
      </c>
      <c r="I2814" s="4" t="s">
        <v>69</v>
      </c>
      <c r="J2814" s="4" t="s">
        <v>66</v>
      </c>
      <c r="K2814" s="4">
        <v>0</v>
      </c>
      <c r="L2814" s="94">
        <v>3063586</v>
      </c>
      <c r="M2814" s="94">
        <v>12254344</v>
      </c>
    </row>
    <row r="2815" spans="3:13" x14ac:dyDescent="0.3">
      <c r="C2815" t="s">
        <v>61</v>
      </c>
      <c r="D2815" t="s">
        <v>67</v>
      </c>
      <c r="E2815" t="s">
        <v>68</v>
      </c>
      <c r="F2815" t="s">
        <v>72</v>
      </c>
      <c r="G2815" s="4">
        <v>2</v>
      </c>
      <c r="H2815" s="4" t="s">
        <v>80</v>
      </c>
      <c r="I2815" s="4" t="s">
        <v>69</v>
      </c>
      <c r="J2815" s="4" t="s">
        <v>66</v>
      </c>
      <c r="K2815" s="4">
        <v>0</v>
      </c>
      <c r="L2815" s="94">
        <v>254488</v>
      </c>
      <c r="M2815" s="94">
        <v>508976</v>
      </c>
    </row>
    <row r="2816" spans="3:13" x14ac:dyDescent="0.3">
      <c r="C2816" t="s">
        <v>70</v>
      </c>
      <c r="D2816" t="s">
        <v>62</v>
      </c>
      <c r="E2816" t="s">
        <v>63</v>
      </c>
      <c r="F2816" t="s">
        <v>24</v>
      </c>
      <c r="G2816" s="4">
        <v>34</v>
      </c>
      <c r="I2816" s="4" t="s">
        <v>69</v>
      </c>
      <c r="J2816" s="4" t="s">
        <v>73</v>
      </c>
      <c r="K2816" s="4">
        <v>1</v>
      </c>
      <c r="L2816" s="94">
        <v>-314</v>
      </c>
      <c r="M2816" s="94">
        <v>0</v>
      </c>
    </row>
    <row r="2817" spans="3:13" x14ac:dyDescent="0.3">
      <c r="C2817" t="s">
        <v>70</v>
      </c>
      <c r="D2817" t="s">
        <v>67</v>
      </c>
      <c r="E2817" t="s">
        <v>68</v>
      </c>
      <c r="F2817" t="s">
        <v>72</v>
      </c>
      <c r="G2817" s="4">
        <v>-4</v>
      </c>
      <c r="H2817" s="4" t="s">
        <v>80</v>
      </c>
      <c r="I2817" s="4" t="s">
        <v>69</v>
      </c>
      <c r="J2817" s="4" t="s">
        <v>66</v>
      </c>
      <c r="K2817" s="4">
        <v>0</v>
      </c>
      <c r="L2817" s="94">
        <v>317</v>
      </c>
      <c r="M2817" s="94">
        <v>0</v>
      </c>
    </row>
    <row r="2818" spans="3:13" x14ac:dyDescent="0.3">
      <c r="C2818" t="s">
        <v>61</v>
      </c>
      <c r="D2818" t="s">
        <v>67</v>
      </c>
      <c r="E2818" t="s">
        <v>63</v>
      </c>
      <c r="F2818" t="s">
        <v>26</v>
      </c>
      <c r="G2818" s="4">
        <v>12</v>
      </c>
      <c r="H2818" s="4" t="s">
        <v>82</v>
      </c>
      <c r="I2818" s="4" t="s">
        <v>69</v>
      </c>
      <c r="J2818" s="4" t="s">
        <v>66</v>
      </c>
      <c r="K2818" s="4">
        <v>0</v>
      </c>
      <c r="L2818" s="94">
        <v>-17858</v>
      </c>
      <c r="M2818" s="94">
        <v>0</v>
      </c>
    </row>
    <row r="2819" spans="3:13" x14ac:dyDescent="0.3">
      <c r="C2819" t="s">
        <v>71</v>
      </c>
      <c r="D2819" t="s">
        <v>67</v>
      </c>
      <c r="E2819" t="s">
        <v>68</v>
      </c>
      <c r="F2819" t="s">
        <v>25</v>
      </c>
      <c r="G2819" s="4">
        <v>27</v>
      </c>
      <c r="H2819" s="4" t="s">
        <v>76</v>
      </c>
      <c r="I2819" s="4" t="s">
        <v>69</v>
      </c>
      <c r="J2819" s="4" t="s">
        <v>66</v>
      </c>
      <c r="K2819" s="4">
        <v>0</v>
      </c>
      <c r="L2819" s="94">
        <v>6330301</v>
      </c>
      <c r="M2819" s="94">
        <v>170918127</v>
      </c>
    </row>
    <row r="2820" spans="3:13" x14ac:dyDescent="0.3">
      <c r="C2820" t="s">
        <v>61</v>
      </c>
      <c r="D2820" t="s">
        <v>62</v>
      </c>
      <c r="E2820" t="s">
        <v>68</v>
      </c>
      <c r="F2820" t="s">
        <v>24</v>
      </c>
      <c r="G2820" s="4">
        <v>29</v>
      </c>
      <c r="I2820" s="4" t="s">
        <v>69</v>
      </c>
      <c r="J2820" s="4" t="s">
        <v>66</v>
      </c>
      <c r="K2820" s="4">
        <v>0</v>
      </c>
      <c r="L2820" s="94">
        <v>1087455293</v>
      </c>
      <c r="M2820" s="94">
        <v>31536203497</v>
      </c>
    </row>
    <row r="2821" spans="3:13" x14ac:dyDescent="0.3">
      <c r="C2821" t="s">
        <v>61</v>
      </c>
      <c r="D2821" t="s">
        <v>67</v>
      </c>
      <c r="E2821" t="s">
        <v>63</v>
      </c>
      <c r="F2821" t="s">
        <v>25</v>
      </c>
      <c r="G2821" s="4">
        <v>14</v>
      </c>
      <c r="H2821" s="4" t="s">
        <v>78</v>
      </c>
      <c r="I2821" s="4" t="s">
        <v>69</v>
      </c>
      <c r="J2821" s="4" t="s">
        <v>66</v>
      </c>
      <c r="K2821" s="4">
        <v>0</v>
      </c>
      <c r="L2821" s="94">
        <v>-1310</v>
      </c>
      <c r="M2821" s="94">
        <v>0</v>
      </c>
    </row>
    <row r="2822" spans="3:13" x14ac:dyDescent="0.3">
      <c r="C2822" t="s">
        <v>71</v>
      </c>
      <c r="D2822" t="s">
        <v>62</v>
      </c>
      <c r="E2822" t="s">
        <v>68</v>
      </c>
      <c r="F2822" t="s">
        <v>25</v>
      </c>
      <c r="G2822" s="4">
        <v>25</v>
      </c>
      <c r="I2822" s="4" t="s">
        <v>69</v>
      </c>
      <c r="J2822" s="4" t="s">
        <v>66</v>
      </c>
      <c r="K2822" s="4">
        <v>0</v>
      </c>
      <c r="L2822" s="94">
        <v>41349</v>
      </c>
      <c r="M2822" s="94">
        <v>1033725</v>
      </c>
    </row>
    <row r="2823" spans="3:13" x14ac:dyDescent="0.3">
      <c r="C2823" t="s">
        <v>71</v>
      </c>
      <c r="D2823" t="s">
        <v>67</v>
      </c>
      <c r="E2823" t="s">
        <v>63</v>
      </c>
      <c r="F2823" t="s">
        <v>25</v>
      </c>
      <c r="G2823" s="4">
        <v>3</v>
      </c>
      <c r="H2823" s="4" t="s">
        <v>17</v>
      </c>
      <c r="I2823" s="4" t="s">
        <v>69</v>
      </c>
      <c r="J2823" s="4" t="s">
        <v>66</v>
      </c>
      <c r="K2823" s="4">
        <v>0</v>
      </c>
      <c r="L2823" s="94">
        <v>-2241230</v>
      </c>
      <c r="M2823" s="94">
        <v>0</v>
      </c>
    </row>
    <row r="2824" spans="3:13" x14ac:dyDescent="0.3">
      <c r="C2824" t="s">
        <v>71</v>
      </c>
      <c r="D2824" t="s">
        <v>62</v>
      </c>
      <c r="E2824" t="s">
        <v>63</v>
      </c>
      <c r="F2824" t="s">
        <v>24</v>
      </c>
      <c r="G2824" s="4">
        <v>25</v>
      </c>
      <c r="I2824" s="4" t="s">
        <v>69</v>
      </c>
      <c r="J2824" s="4" t="s">
        <v>66</v>
      </c>
      <c r="K2824" s="4">
        <v>1</v>
      </c>
      <c r="L2824" s="94">
        <v>-27288</v>
      </c>
      <c r="M2824" s="94">
        <v>0</v>
      </c>
    </row>
    <row r="2825" spans="3:13" x14ac:dyDescent="0.3">
      <c r="C2825" t="s">
        <v>70</v>
      </c>
      <c r="D2825" t="s">
        <v>67</v>
      </c>
      <c r="E2825" t="s">
        <v>68</v>
      </c>
      <c r="F2825" t="s">
        <v>72</v>
      </c>
      <c r="G2825" s="4">
        <v>1</v>
      </c>
      <c r="H2825" s="4" t="s">
        <v>78</v>
      </c>
      <c r="I2825" s="4" t="s">
        <v>69</v>
      </c>
      <c r="J2825" s="4" t="s">
        <v>66</v>
      </c>
      <c r="K2825" s="4">
        <v>0</v>
      </c>
      <c r="L2825" s="94">
        <v>25827</v>
      </c>
      <c r="M2825" s="94">
        <v>25827</v>
      </c>
    </row>
    <row r="2826" spans="3:13" x14ac:dyDescent="0.3">
      <c r="C2826" t="s">
        <v>70</v>
      </c>
      <c r="D2826" t="s">
        <v>67</v>
      </c>
      <c r="E2826" t="s">
        <v>63</v>
      </c>
      <c r="F2826" t="s">
        <v>25</v>
      </c>
      <c r="G2826" s="4">
        <v>4</v>
      </c>
      <c r="H2826" s="4" t="s">
        <v>12</v>
      </c>
      <c r="I2826" s="4" t="s">
        <v>69</v>
      </c>
      <c r="J2826" s="4" t="s">
        <v>66</v>
      </c>
      <c r="K2826" s="4">
        <v>1</v>
      </c>
      <c r="L2826" s="94">
        <v>-19476</v>
      </c>
      <c r="M2826" s="94">
        <v>0</v>
      </c>
    </row>
    <row r="2827" spans="3:13" x14ac:dyDescent="0.3">
      <c r="C2827" t="s">
        <v>61</v>
      </c>
      <c r="D2827" t="s">
        <v>67</v>
      </c>
      <c r="E2827" t="s">
        <v>63</v>
      </c>
      <c r="F2827" t="s">
        <v>25</v>
      </c>
      <c r="G2827" s="4">
        <v>10</v>
      </c>
      <c r="H2827" s="4" t="s">
        <v>14</v>
      </c>
      <c r="I2827" s="4" t="s">
        <v>69</v>
      </c>
      <c r="J2827" s="4" t="s">
        <v>66</v>
      </c>
      <c r="K2827" s="4">
        <v>0</v>
      </c>
      <c r="L2827" s="94">
        <v>-5173</v>
      </c>
      <c r="M2827" s="94">
        <v>0</v>
      </c>
    </row>
    <row r="2828" spans="3:13" x14ac:dyDescent="0.3">
      <c r="C2828" t="s">
        <v>70</v>
      </c>
      <c r="D2828" t="s">
        <v>62</v>
      </c>
      <c r="E2828" t="s">
        <v>63</v>
      </c>
      <c r="F2828" t="s">
        <v>24</v>
      </c>
      <c r="G2828" s="4">
        <v>13</v>
      </c>
      <c r="I2828" s="4" t="s">
        <v>69</v>
      </c>
      <c r="J2828" s="4" t="s">
        <v>66</v>
      </c>
      <c r="K2828" s="4">
        <v>0</v>
      </c>
      <c r="L2828" s="94">
        <v>-476783</v>
      </c>
      <c r="M2828" s="94">
        <v>0</v>
      </c>
    </row>
    <row r="2829" spans="3:13" x14ac:dyDescent="0.3">
      <c r="C2829" t="s">
        <v>61</v>
      </c>
      <c r="D2829" t="s">
        <v>67</v>
      </c>
      <c r="E2829" t="s">
        <v>63</v>
      </c>
      <c r="F2829" t="s">
        <v>25</v>
      </c>
      <c r="G2829" s="4">
        <v>19</v>
      </c>
      <c r="H2829" s="4" t="s">
        <v>17</v>
      </c>
      <c r="I2829" s="4" t="s">
        <v>69</v>
      </c>
      <c r="J2829" s="4" t="s">
        <v>66</v>
      </c>
      <c r="K2829" s="4">
        <v>0</v>
      </c>
      <c r="L2829" s="94">
        <v>-2328</v>
      </c>
      <c r="M2829" s="94">
        <v>0</v>
      </c>
    </row>
    <row r="2830" spans="3:13" x14ac:dyDescent="0.3">
      <c r="C2830" t="s">
        <v>70</v>
      </c>
      <c r="D2830" t="s">
        <v>67</v>
      </c>
      <c r="E2830" t="s">
        <v>68</v>
      </c>
      <c r="F2830" t="s">
        <v>26</v>
      </c>
      <c r="G2830" s="4">
        <v>3</v>
      </c>
      <c r="H2830" s="4" t="s">
        <v>78</v>
      </c>
      <c r="I2830" s="4" t="s">
        <v>69</v>
      </c>
      <c r="J2830" s="4" t="s">
        <v>66</v>
      </c>
      <c r="K2830" s="4">
        <v>0</v>
      </c>
      <c r="L2830" s="94">
        <v>1120617</v>
      </c>
      <c r="M2830" s="94">
        <v>3361851</v>
      </c>
    </row>
    <row r="2831" spans="3:13" x14ac:dyDescent="0.3">
      <c r="C2831" t="s">
        <v>70</v>
      </c>
      <c r="D2831" t="s">
        <v>67</v>
      </c>
      <c r="E2831" t="s">
        <v>63</v>
      </c>
      <c r="F2831" t="s">
        <v>72</v>
      </c>
      <c r="G2831" s="4">
        <v>2</v>
      </c>
      <c r="H2831" s="4" t="s">
        <v>77</v>
      </c>
      <c r="I2831" s="4" t="s">
        <v>69</v>
      </c>
      <c r="J2831" s="4" t="s">
        <v>66</v>
      </c>
      <c r="K2831" s="4">
        <v>0</v>
      </c>
      <c r="L2831" s="94">
        <v>-2359</v>
      </c>
      <c r="M2831" s="94">
        <v>0</v>
      </c>
    </row>
    <row r="2832" spans="3:13" x14ac:dyDescent="0.3">
      <c r="C2832" t="s">
        <v>70</v>
      </c>
      <c r="D2832" t="s">
        <v>62</v>
      </c>
      <c r="E2832" t="s">
        <v>63</v>
      </c>
      <c r="F2832" t="s">
        <v>24</v>
      </c>
      <c r="G2832" s="4">
        <v>20</v>
      </c>
      <c r="I2832" s="4" t="s">
        <v>65</v>
      </c>
      <c r="J2832" s="4" t="s">
        <v>66</v>
      </c>
      <c r="K2832" s="4">
        <v>1</v>
      </c>
      <c r="L2832" s="94">
        <v>-34579</v>
      </c>
      <c r="M2832" s="94">
        <v>0</v>
      </c>
    </row>
    <row r="2833" spans="3:13" x14ac:dyDescent="0.3">
      <c r="C2833" t="s">
        <v>61</v>
      </c>
      <c r="D2833" t="s">
        <v>62</v>
      </c>
      <c r="E2833" t="s">
        <v>63</v>
      </c>
      <c r="F2833" t="s">
        <v>24</v>
      </c>
      <c r="G2833" s="4">
        <v>28</v>
      </c>
      <c r="I2833" s="4" t="s">
        <v>65</v>
      </c>
      <c r="J2833" s="4" t="s">
        <v>66</v>
      </c>
      <c r="K2833" s="4">
        <v>1</v>
      </c>
      <c r="L2833" s="94">
        <v>-7490</v>
      </c>
      <c r="M2833" s="94">
        <v>0</v>
      </c>
    </row>
    <row r="2834" spans="3:13" x14ac:dyDescent="0.3">
      <c r="C2834" t="s">
        <v>70</v>
      </c>
      <c r="D2834" t="s">
        <v>67</v>
      </c>
      <c r="E2834" t="s">
        <v>63</v>
      </c>
      <c r="F2834" t="s">
        <v>72</v>
      </c>
      <c r="G2834" s="4">
        <v>3</v>
      </c>
      <c r="H2834" s="4" t="s">
        <v>83</v>
      </c>
      <c r="I2834" s="4" t="s">
        <v>69</v>
      </c>
      <c r="J2834" s="4" t="s">
        <v>66</v>
      </c>
      <c r="K2834" s="4">
        <v>0</v>
      </c>
      <c r="L2834" s="94">
        <v>-13120</v>
      </c>
      <c r="M2834" s="94">
        <v>0</v>
      </c>
    </row>
    <row r="2835" spans="3:13" x14ac:dyDescent="0.3">
      <c r="C2835" t="s">
        <v>71</v>
      </c>
      <c r="D2835" t="s">
        <v>67</v>
      </c>
      <c r="E2835" t="s">
        <v>68</v>
      </c>
      <c r="F2835" t="s">
        <v>26</v>
      </c>
      <c r="G2835" s="4">
        <v>2</v>
      </c>
      <c r="H2835" s="4" t="s">
        <v>17</v>
      </c>
      <c r="I2835" s="4" t="s">
        <v>65</v>
      </c>
      <c r="J2835" s="4" t="s">
        <v>66</v>
      </c>
      <c r="K2835" s="4">
        <v>1</v>
      </c>
      <c r="L2835" s="94">
        <v>28678</v>
      </c>
      <c r="M2835" s="94">
        <v>57356</v>
      </c>
    </row>
    <row r="2836" spans="3:13" x14ac:dyDescent="0.3">
      <c r="C2836" t="s">
        <v>70</v>
      </c>
      <c r="D2836" t="s">
        <v>67</v>
      </c>
      <c r="E2836" t="s">
        <v>68</v>
      </c>
      <c r="F2836" t="s">
        <v>25</v>
      </c>
      <c r="G2836" s="4">
        <v>3</v>
      </c>
      <c r="H2836" s="4" t="s">
        <v>75</v>
      </c>
      <c r="I2836" s="4" t="s">
        <v>69</v>
      </c>
      <c r="J2836" s="4" t="s">
        <v>66</v>
      </c>
      <c r="K2836" s="4">
        <v>0</v>
      </c>
      <c r="L2836" s="94">
        <v>9640938</v>
      </c>
      <c r="M2836" s="94">
        <v>28922814</v>
      </c>
    </row>
    <row r="2837" spans="3:13" x14ac:dyDescent="0.3">
      <c r="C2837" t="s">
        <v>61</v>
      </c>
      <c r="D2837" t="s">
        <v>67</v>
      </c>
      <c r="E2837" t="s">
        <v>68</v>
      </c>
      <c r="F2837" t="s">
        <v>25</v>
      </c>
      <c r="G2837" s="4">
        <v>14</v>
      </c>
      <c r="H2837" s="4" t="s">
        <v>83</v>
      </c>
      <c r="I2837" s="4" t="s">
        <v>69</v>
      </c>
      <c r="J2837" s="4" t="s">
        <v>66</v>
      </c>
      <c r="K2837" s="4">
        <v>0</v>
      </c>
      <c r="L2837" s="94">
        <v>576586</v>
      </c>
      <c r="M2837" s="94">
        <v>8072204</v>
      </c>
    </row>
    <row r="2838" spans="3:13" x14ac:dyDescent="0.3">
      <c r="C2838" t="s">
        <v>70</v>
      </c>
      <c r="D2838" t="s">
        <v>67</v>
      </c>
      <c r="E2838" t="s">
        <v>68</v>
      </c>
      <c r="F2838" t="s">
        <v>25</v>
      </c>
      <c r="G2838" s="4">
        <v>7</v>
      </c>
      <c r="H2838" s="4" t="s">
        <v>82</v>
      </c>
      <c r="I2838" s="4" t="s">
        <v>69</v>
      </c>
      <c r="J2838" s="4" t="s">
        <v>66</v>
      </c>
      <c r="K2838" s="4">
        <v>0</v>
      </c>
      <c r="L2838" s="94">
        <v>166876</v>
      </c>
      <c r="M2838" s="94">
        <v>1168132</v>
      </c>
    </row>
    <row r="2839" spans="3:13" x14ac:dyDescent="0.3">
      <c r="C2839" t="s">
        <v>71</v>
      </c>
      <c r="D2839" t="s">
        <v>67</v>
      </c>
      <c r="E2839" t="s">
        <v>68</v>
      </c>
      <c r="F2839" t="s">
        <v>26</v>
      </c>
      <c r="G2839" s="4">
        <v>2</v>
      </c>
      <c r="H2839" s="4" t="s">
        <v>12</v>
      </c>
      <c r="I2839" s="4" t="s">
        <v>69</v>
      </c>
      <c r="J2839" s="4" t="s">
        <v>73</v>
      </c>
      <c r="K2839" s="4">
        <v>1</v>
      </c>
      <c r="L2839" s="94">
        <v>169746</v>
      </c>
      <c r="M2839" s="94">
        <v>339492</v>
      </c>
    </row>
    <row r="2840" spans="3:13" x14ac:dyDescent="0.3">
      <c r="C2840" t="s">
        <v>70</v>
      </c>
      <c r="D2840" t="s">
        <v>67</v>
      </c>
      <c r="E2840" t="s">
        <v>63</v>
      </c>
      <c r="F2840" t="s">
        <v>26</v>
      </c>
      <c r="G2840" s="4">
        <v>5</v>
      </c>
      <c r="H2840" s="4" t="s">
        <v>12</v>
      </c>
      <c r="I2840" s="4" t="s">
        <v>69</v>
      </c>
      <c r="J2840" s="4" t="s">
        <v>73</v>
      </c>
      <c r="K2840" s="4">
        <v>1</v>
      </c>
      <c r="L2840" s="94">
        <v>-37809</v>
      </c>
      <c r="M2840" s="94">
        <v>0</v>
      </c>
    </row>
    <row r="2841" spans="3:13" x14ac:dyDescent="0.3">
      <c r="C2841" t="s">
        <v>71</v>
      </c>
      <c r="D2841" t="s">
        <v>67</v>
      </c>
      <c r="E2841" t="s">
        <v>63</v>
      </c>
      <c r="F2841" t="s">
        <v>26</v>
      </c>
      <c r="G2841" s="4">
        <v>14</v>
      </c>
      <c r="H2841" s="4" t="s">
        <v>14</v>
      </c>
      <c r="I2841" s="4" t="s">
        <v>69</v>
      </c>
      <c r="J2841" s="4" t="s">
        <v>73</v>
      </c>
      <c r="K2841" s="4">
        <v>1</v>
      </c>
      <c r="L2841" s="94">
        <v>-33446</v>
      </c>
      <c r="M2841" s="94">
        <v>0</v>
      </c>
    </row>
    <row r="2842" spans="3:13" x14ac:dyDescent="0.3">
      <c r="C2842" t="s">
        <v>70</v>
      </c>
      <c r="D2842" t="s">
        <v>62</v>
      </c>
      <c r="E2842" t="s">
        <v>63</v>
      </c>
      <c r="F2842" t="s">
        <v>24</v>
      </c>
      <c r="G2842" s="4">
        <v>25</v>
      </c>
      <c r="I2842" s="4" t="s">
        <v>69</v>
      </c>
      <c r="J2842" s="4" t="s">
        <v>66</v>
      </c>
      <c r="K2842" s="4">
        <v>1</v>
      </c>
      <c r="L2842" s="94">
        <v>-14475</v>
      </c>
      <c r="M2842" s="94">
        <v>0</v>
      </c>
    </row>
    <row r="2843" spans="3:13" x14ac:dyDescent="0.3">
      <c r="C2843" t="s">
        <v>61</v>
      </c>
      <c r="D2843" t="s">
        <v>67</v>
      </c>
      <c r="E2843" t="s">
        <v>63</v>
      </c>
      <c r="F2843" t="s">
        <v>25</v>
      </c>
      <c r="G2843" s="4">
        <v>7</v>
      </c>
      <c r="H2843" s="4" t="s">
        <v>77</v>
      </c>
      <c r="I2843" s="4" t="s">
        <v>69</v>
      </c>
      <c r="J2843" s="4" t="s">
        <v>66</v>
      </c>
      <c r="K2843" s="4">
        <v>0</v>
      </c>
      <c r="L2843" s="94">
        <v>-3185</v>
      </c>
      <c r="M2843" s="94">
        <v>0</v>
      </c>
    </row>
    <row r="2844" spans="3:13" x14ac:dyDescent="0.3">
      <c r="C2844" t="s">
        <v>71</v>
      </c>
      <c r="D2844" t="s">
        <v>67</v>
      </c>
      <c r="E2844" t="s">
        <v>63</v>
      </c>
      <c r="F2844" t="s">
        <v>25</v>
      </c>
      <c r="G2844" s="4">
        <v>10</v>
      </c>
      <c r="H2844" s="4" t="s">
        <v>18</v>
      </c>
      <c r="I2844" s="4" t="s">
        <v>69</v>
      </c>
      <c r="J2844" s="4" t="s">
        <v>66</v>
      </c>
      <c r="K2844" s="4">
        <v>0</v>
      </c>
      <c r="L2844" s="94">
        <v>-179815</v>
      </c>
      <c r="M2844" s="94">
        <v>0</v>
      </c>
    </row>
    <row r="2845" spans="3:13" x14ac:dyDescent="0.3">
      <c r="C2845" t="s">
        <v>70</v>
      </c>
      <c r="D2845" t="s">
        <v>67</v>
      </c>
      <c r="E2845" t="s">
        <v>68</v>
      </c>
      <c r="F2845" t="s">
        <v>26</v>
      </c>
      <c r="G2845" s="4">
        <v>7</v>
      </c>
      <c r="H2845" s="4" t="s">
        <v>82</v>
      </c>
      <c r="I2845" s="4" t="s">
        <v>69</v>
      </c>
      <c r="J2845" s="4" t="s">
        <v>66</v>
      </c>
      <c r="K2845" s="4">
        <v>0</v>
      </c>
      <c r="L2845" s="94">
        <v>340778</v>
      </c>
      <c r="M2845" s="94">
        <v>2385446</v>
      </c>
    </row>
    <row r="2846" spans="3:13" x14ac:dyDescent="0.3">
      <c r="C2846" t="s">
        <v>70</v>
      </c>
      <c r="D2846" t="s">
        <v>67</v>
      </c>
      <c r="E2846" t="s">
        <v>63</v>
      </c>
      <c r="F2846" t="s">
        <v>26</v>
      </c>
      <c r="G2846" s="4">
        <v>1</v>
      </c>
      <c r="H2846" s="4" t="s">
        <v>81</v>
      </c>
      <c r="I2846" s="4" t="s">
        <v>69</v>
      </c>
      <c r="J2846" s="4" t="s">
        <v>66</v>
      </c>
      <c r="K2846" s="4">
        <v>0</v>
      </c>
      <c r="L2846" s="94">
        <v>-109</v>
      </c>
      <c r="M2846" s="94">
        <v>0</v>
      </c>
    </row>
    <row r="2847" spans="3:13" x14ac:dyDescent="0.3">
      <c r="C2847" t="s">
        <v>70</v>
      </c>
      <c r="D2847" t="s">
        <v>67</v>
      </c>
      <c r="E2847" t="s">
        <v>68</v>
      </c>
      <c r="F2847" t="s">
        <v>25</v>
      </c>
      <c r="G2847" s="4">
        <v>1</v>
      </c>
      <c r="H2847" s="4" t="s">
        <v>79</v>
      </c>
      <c r="I2847" s="4" t="s">
        <v>69</v>
      </c>
      <c r="J2847" s="4" t="s">
        <v>66</v>
      </c>
      <c r="K2847" s="4">
        <v>0</v>
      </c>
      <c r="L2847" s="94">
        <v>21601</v>
      </c>
      <c r="M2847" s="94">
        <v>21601</v>
      </c>
    </row>
    <row r="2848" spans="3:13" x14ac:dyDescent="0.3">
      <c r="C2848" t="s">
        <v>71</v>
      </c>
      <c r="D2848" t="s">
        <v>67</v>
      </c>
      <c r="E2848" t="s">
        <v>63</v>
      </c>
      <c r="F2848" t="s">
        <v>26</v>
      </c>
      <c r="G2848" s="4">
        <v>6</v>
      </c>
      <c r="H2848" s="4" t="s">
        <v>79</v>
      </c>
      <c r="I2848" s="4" t="s">
        <v>69</v>
      </c>
      <c r="J2848" s="4" t="s">
        <v>66</v>
      </c>
      <c r="K2848" s="4">
        <v>0</v>
      </c>
      <c r="L2848" s="94">
        <v>-27587</v>
      </c>
      <c r="M2848" s="94">
        <v>0</v>
      </c>
    </row>
    <row r="2849" spans="3:13" x14ac:dyDescent="0.3">
      <c r="C2849" t="s">
        <v>61</v>
      </c>
      <c r="D2849" t="s">
        <v>67</v>
      </c>
      <c r="E2849" t="s">
        <v>63</v>
      </c>
      <c r="F2849" t="s">
        <v>72</v>
      </c>
      <c r="G2849" s="4">
        <v>3</v>
      </c>
      <c r="H2849" s="4" t="s">
        <v>83</v>
      </c>
      <c r="I2849" s="4" t="s">
        <v>69</v>
      </c>
      <c r="J2849" s="4" t="s">
        <v>66</v>
      </c>
      <c r="K2849" s="4">
        <v>0</v>
      </c>
      <c r="L2849" s="94">
        <v>-1012</v>
      </c>
      <c r="M2849" s="94">
        <v>0</v>
      </c>
    </row>
    <row r="2850" spans="3:13" x14ac:dyDescent="0.3">
      <c r="C2850" t="s">
        <v>61</v>
      </c>
      <c r="D2850" t="s">
        <v>62</v>
      </c>
      <c r="E2850" t="s">
        <v>68</v>
      </c>
      <c r="F2850" t="s">
        <v>24</v>
      </c>
      <c r="G2850" s="4">
        <v>44</v>
      </c>
      <c r="I2850" s="4" t="s">
        <v>69</v>
      </c>
      <c r="J2850" s="4" t="s">
        <v>66</v>
      </c>
      <c r="K2850" s="4">
        <v>0</v>
      </c>
      <c r="L2850" s="94">
        <v>8065400</v>
      </c>
      <c r="M2850" s="94">
        <v>354877600</v>
      </c>
    </row>
    <row r="2851" spans="3:13" x14ac:dyDescent="0.3">
      <c r="C2851" t="s">
        <v>70</v>
      </c>
      <c r="D2851" t="s">
        <v>67</v>
      </c>
      <c r="E2851" t="s">
        <v>63</v>
      </c>
      <c r="F2851" t="s">
        <v>72</v>
      </c>
      <c r="G2851" s="4">
        <v>4</v>
      </c>
      <c r="H2851" s="4" t="s">
        <v>75</v>
      </c>
      <c r="I2851" s="4" t="s">
        <v>69</v>
      </c>
      <c r="J2851" s="4" t="s">
        <v>66</v>
      </c>
      <c r="K2851" s="4">
        <v>0</v>
      </c>
      <c r="L2851" s="94">
        <v>-41427</v>
      </c>
      <c r="M2851" s="94">
        <v>0</v>
      </c>
    </row>
    <row r="2852" spans="3:13" x14ac:dyDescent="0.3">
      <c r="C2852" t="s">
        <v>61</v>
      </c>
      <c r="D2852" t="s">
        <v>67</v>
      </c>
      <c r="E2852" t="s">
        <v>63</v>
      </c>
      <c r="F2852" t="s">
        <v>25</v>
      </c>
      <c r="G2852" s="4">
        <v>2</v>
      </c>
      <c r="H2852" s="4" t="s">
        <v>79</v>
      </c>
      <c r="I2852" s="4" t="s">
        <v>69</v>
      </c>
      <c r="J2852" s="4" t="s">
        <v>66</v>
      </c>
      <c r="K2852" s="4">
        <v>0</v>
      </c>
      <c r="L2852" s="94">
        <v>-1661</v>
      </c>
      <c r="M2852" s="94">
        <v>0</v>
      </c>
    </row>
    <row r="2853" spans="3:13" x14ac:dyDescent="0.3">
      <c r="C2853" t="s">
        <v>70</v>
      </c>
      <c r="D2853" t="s">
        <v>67</v>
      </c>
      <c r="E2853" t="s">
        <v>63</v>
      </c>
      <c r="F2853" t="s">
        <v>72</v>
      </c>
      <c r="G2853" s="4">
        <v>1</v>
      </c>
      <c r="H2853" s="4" t="s">
        <v>17</v>
      </c>
      <c r="I2853" s="4" t="s">
        <v>69</v>
      </c>
      <c r="J2853" s="4" t="s">
        <v>73</v>
      </c>
      <c r="K2853" s="4">
        <v>1</v>
      </c>
      <c r="L2853" s="94">
        <v>-803</v>
      </c>
      <c r="M2853" s="94">
        <v>0</v>
      </c>
    </row>
    <row r="2854" spans="3:13" x14ac:dyDescent="0.3">
      <c r="C2854" t="s">
        <v>61</v>
      </c>
      <c r="D2854" t="s">
        <v>67</v>
      </c>
      <c r="E2854" t="s">
        <v>68</v>
      </c>
      <c r="F2854" t="s">
        <v>72</v>
      </c>
      <c r="G2854" s="4">
        <v>3</v>
      </c>
      <c r="H2854" s="4" t="s">
        <v>13</v>
      </c>
      <c r="I2854" s="4" t="s">
        <v>69</v>
      </c>
      <c r="J2854" s="4" t="s">
        <v>73</v>
      </c>
      <c r="K2854" s="4">
        <v>1</v>
      </c>
      <c r="L2854" s="94">
        <v>116755</v>
      </c>
      <c r="M2854" s="94">
        <v>350265</v>
      </c>
    </row>
    <row r="2855" spans="3:13" x14ac:dyDescent="0.3">
      <c r="C2855" t="s">
        <v>61</v>
      </c>
      <c r="D2855" t="s">
        <v>62</v>
      </c>
      <c r="E2855" t="s">
        <v>68</v>
      </c>
      <c r="F2855" t="s">
        <v>24</v>
      </c>
      <c r="G2855" s="4">
        <v>38</v>
      </c>
      <c r="I2855" s="4" t="s">
        <v>69</v>
      </c>
      <c r="J2855" s="4" t="s">
        <v>66</v>
      </c>
      <c r="K2855" s="4">
        <v>0</v>
      </c>
      <c r="L2855" s="94">
        <v>450649899</v>
      </c>
      <c r="M2855" s="94">
        <v>17124696162</v>
      </c>
    </row>
    <row r="2856" spans="3:13" x14ac:dyDescent="0.3">
      <c r="C2856" t="s">
        <v>61</v>
      </c>
      <c r="D2856" t="s">
        <v>62</v>
      </c>
      <c r="E2856" t="s">
        <v>68</v>
      </c>
      <c r="F2856" t="s">
        <v>24</v>
      </c>
      <c r="G2856" s="4">
        <v>33</v>
      </c>
      <c r="I2856" s="4" t="s">
        <v>69</v>
      </c>
      <c r="J2856" s="4" t="s">
        <v>73</v>
      </c>
      <c r="K2856" s="4">
        <v>1</v>
      </c>
      <c r="L2856" s="94">
        <v>5435</v>
      </c>
      <c r="M2856" s="94">
        <v>179355</v>
      </c>
    </row>
    <row r="2857" spans="3:13" x14ac:dyDescent="0.3">
      <c r="C2857" t="s">
        <v>71</v>
      </c>
      <c r="D2857" t="s">
        <v>67</v>
      </c>
      <c r="E2857" t="s">
        <v>68</v>
      </c>
      <c r="F2857" t="s">
        <v>26</v>
      </c>
      <c r="G2857" s="4">
        <v>7</v>
      </c>
      <c r="H2857" s="4" t="s">
        <v>12</v>
      </c>
      <c r="I2857" s="4" t="s">
        <v>69</v>
      </c>
      <c r="J2857" s="4" t="s">
        <v>73</v>
      </c>
      <c r="K2857" s="4">
        <v>1</v>
      </c>
      <c r="L2857" s="94">
        <v>41233</v>
      </c>
      <c r="M2857" s="94">
        <v>288631</v>
      </c>
    </row>
    <row r="2858" spans="3:13" x14ac:dyDescent="0.3">
      <c r="C2858" t="s">
        <v>61</v>
      </c>
      <c r="D2858" t="s">
        <v>67</v>
      </c>
      <c r="E2858" t="s">
        <v>63</v>
      </c>
      <c r="F2858" t="s">
        <v>25</v>
      </c>
      <c r="G2858" s="4">
        <v>13</v>
      </c>
      <c r="H2858" s="4" t="s">
        <v>83</v>
      </c>
      <c r="I2858" s="4" t="s">
        <v>69</v>
      </c>
      <c r="J2858" s="4" t="s">
        <v>66</v>
      </c>
      <c r="K2858" s="4">
        <v>0</v>
      </c>
      <c r="L2858" s="94">
        <v>-24896</v>
      </c>
      <c r="M2858" s="94">
        <v>0</v>
      </c>
    </row>
    <row r="2859" spans="3:13" x14ac:dyDescent="0.3">
      <c r="C2859" t="s">
        <v>70</v>
      </c>
      <c r="D2859" t="s">
        <v>67</v>
      </c>
      <c r="E2859" t="s">
        <v>68</v>
      </c>
      <c r="F2859" t="s">
        <v>72</v>
      </c>
      <c r="G2859" s="4">
        <v>5</v>
      </c>
      <c r="H2859" s="4" t="s">
        <v>64</v>
      </c>
      <c r="I2859" s="4" t="s">
        <v>69</v>
      </c>
      <c r="J2859" s="4" t="s">
        <v>66</v>
      </c>
      <c r="K2859" s="4">
        <v>0</v>
      </c>
      <c r="L2859" s="94">
        <v>280019</v>
      </c>
      <c r="M2859" s="94">
        <v>1400095</v>
      </c>
    </row>
    <row r="2860" spans="3:13" x14ac:dyDescent="0.3">
      <c r="C2860" t="s">
        <v>71</v>
      </c>
      <c r="D2860" t="s">
        <v>67</v>
      </c>
      <c r="E2860" t="s">
        <v>68</v>
      </c>
      <c r="F2860" t="s">
        <v>25</v>
      </c>
      <c r="G2860" s="4">
        <v>1</v>
      </c>
      <c r="H2860" s="4" t="s">
        <v>14</v>
      </c>
      <c r="I2860" s="4" t="s">
        <v>69</v>
      </c>
      <c r="J2860" s="4" t="s">
        <v>66</v>
      </c>
      <c r="K2860" s="4">
        <v>1</v>
      </c>
      <c r="L2860" s="94">
        <v>403448</v>
      </c>
      <c r="M2860" s="94">
        <v>403448</v>
      </c>
    </row>
    <row r="2861" spans="3:13" x14ac:dyDescent="0.3">
      <c r="C2861" t="s">
        <v>61</v>
      </c>
      <c r="D2861" t="s">
        <v>67</v>
      </c>
      <c r="E2861" t="s">
        <v>68</v>
      </c>
      <c r="F2861" t="s">
        <v>25</v>
      </c>
      <c r="G2861" s="4">
        <v>10</v>
      </c>
      <c r="H2861" s="4" t="s">
        <v>12</v>
      </c>
      <c r="I2861" s="4" t="s">
        <v>69</v>
      </c>
      <c r="J2861" s="4" t="s">
        <v>66</v>
      </c>
      <c r="K2861" s="4">
        <v>1</v>
      </c>
      <c r="L2861" s="94">
        <v>9659808</v>
      </c>
      <c r="M2861" s="94">
        <v>96598080</v>
      </c>
    </row>
    <row r="2862" spans="3:13" x14ac:dyDescent="0.3">
      <c r="C2862" t="s">
        <v>61</v>
      </c>
      <c r="D2862" t="s">
        <v>67</v>
      </c>
      <c r="E2862" t="s">
        <v>63</v>
      </c>
      <c r="F2862" t="s">
        <v>72</v>
      </c>
      <c r="G2862" s="4">
        <v>0</v>
      </c>
      <c r="H2862" s="4" t="s">
        <v>64</v>
      </c>
      <c r="I2862" s="4" t="s">
        <v>69</v>
      </c>
      <c r="J2862" s="4" t="s">
        <v>66</v>
      </c>
      <c r="K2862" s="4">
        <v>0</v>
      </c>
      <c r="L2862" s="94">
        <v>-19230</v>
      </c>
      <c r="M2862" s="94">
        <v>0</v>
      </c>
    </row>
    <row r="2863" spans="3:13" x14ac:dyDescent="0.3">
      <c r="C2863" t="s">
        <v>70</v>
      </c>
      <c r="D2863" t="s">
        <v>67</v>
      </c>
      <c r="E2863" t="s">
        <v>63</v>
      </c>
      <c r="F2863" t="s">
        <v>25</v>
      </c>
      <c r="G2863" s="4">
        <v>10</v>
      </c>
      <c r="H2863" s="4" t="s">
        <v>75</v>
      </c>
      <c r="I2863" s="4" t="s">
        <v>69</v>
      </c>
      <c r="J2863" s="4" t="s">
        <v>66</v>
      </c>
      <c r="K2863" s="4">
        <v>0</v>
      </c>
      <c r="L2863" s="94">
        <v>-154790</v>
      </c>
      <c r="M2863" s="94">
        <v>0</v>
      </c>
    </row>
    <row r="2864" spans="3:13" x14ac:dyDescent="0.3">
      <c r="C2864" t="s">
        <v>70</v>
      </c>
      <c r="D2864" t="s">
        <v>67</v>
      </c>
      <c r="E2864" t="s">
        <v>68</v>
      </c>
      <c r="F2864" t="s">
        <v>72</v>
      </c>
      <c r="G2864" s="4">
        <v>4</v>
      </c>
      <c r="H2864" s="4" t="s">
        <v>18</v>
      </c>
      <c r="I2864" s="4" t="s">
        <v>69</v>
      </c>
      <c r="J2864" s="4" t="s">
        <v>73</v>
      </c>
      <c r="K2864" s="4">
        <v>1</v>
      </c>
      <c r="L2864" s="94">
        <v>294426</v>
      </c>
      <c r="M2864" s="94">
        <v>1177704</v>
      </c>
    </row>
    <row r="2865" spans="3:13" x14ac:dyDescent="0.3">
      <c r="C2865" t="s">
        <v>70</v>
      </c>
      <c r="D2865" t="s">
        <v>62</v>
      </c>
      <c r="E2865" t="s">
        <v>68</v>
      </c>
      <c r="F2865" t="s">
        <v>25</v>
      </c>
      <c r="G2865" s="4">
        <v>2</v>
      </c>
      <c r="I2865" s="4" t="s">
        <v>69</v>
      </c>
      <c r="J2865" s="4" t="s">
        <v>66</v>
      </c>
      <c r="K2865" s="4">
        <v>1</v>
      </c>
      <c r="L2865" s="94">
        <v>6739</v>
      </c>
      <c r="M2865" s="94">
        <v>13478</v>
      </c>
    </row>
    <row r="2866" spans="3:13" x14ac:dyDescent="0.3">
      <c r="C2866" t="s">
        <v>61</v>
      </c>
      <c r="D2866" t="s">
        <v>67</v>
      </c>
      <c r="E2866" t="s">
        <v>63</v>
      </c>
      <c r="F2866" t="s">
        <v>72</v>
      </c>
      <c r="G2866" s="4">
        <v>7</v>
      </c>
      <c r="H2866" s="4" t="s">
        <v>77</v>
      </c>
      <c r="I2866" s="4" t="s">
        <v>69</v>
      </c>
      <c r="J2866" s="4" t="s">
        <v>66</v>
      </c>
      <c r="K2866" s="4">
        <v>0</v>
      </c>
      <c r="L2866" s="94">
        <v>-724</v>
      </c>
      <c r="M2866" s="94">
        <v>0</v>
      </c>
    </row>
    <row r="2867" spans="3:13" x14ac:dyDescent="0.3">
      <c r="C2867" t="s">
        <v>61</v>
      </c>
      <c r="D2867" t="s">
        <v>67</v>
      </c>
      <c r="E2867" t="s">
        <v>63</v>
      </c>
      <c r="F2867" t="s">
        <v>26</v>
      </c>
      <c r="G2867" s="4">
        <v>2</v>
      </c>
      <c r="H2867" s="4" t="s">
        <v>14</v>
      </c>
      <c r="I2867" s="4" t="s">
        <v>69</v>
      </c>
      <c r="J2867" s="4" t="s">
        <v>73</v>
      </c>
      <c r="K2867" s="4">
        <v>1</v>
      </c>
      <c r="L2867" s="94">
        <v>-205362</v>
      </c>
      <c r="M2867" s="94">
        <v>0</v>
      </c>
    </row>
    <row r="2868" spans="3:13" x14ac:dyDescent="0.3">
      <c r="C2868" t="s">
        <v>61</v>
      </c>
      <c r="D2868" t="s">
        <v>84</v>
      </c>
      <c r="E2868" t="s">
        <v>68</v>
      </c>
      <c r="F2868" t="s">
        <v>25</v>
      </c>
      <c r="G2868" s="4">
        <v>1</v>
      </c>
      <c r="H2868" s="4" t="s">
        <v>81</v>
      </c>
      <c r="I2868" s="4" t="s">
        <v>69</v>
      </c>
      <c r="J2868" s="4" t="s">
        <v>66</v>
      </c>
      <c r="K2868" s="4">
        <v>0</v>
      </c>
      <c r="L2868" s="94">
        <v>6637269</v>
      </c>
      <c r="M2868" s="94">
        <v>6637269</v>
      </c>
    </row>
    <row r="2869" spans="3:13" x14ac:dyDescent="0.3">
      <c r="C2869" t="s">
        <v>71</v>
      </c>
      <c r="D2869" t="s">
        <v>67</v>
      </c>
      <c r="E2869" t="s">
        <v>63</v>
      </c>
      <c r="F2869" t="s">
        <v>72</v>
      </c>
      <c r="G2869" s="4">
        <v>1</v>
      </c>
      <c r="H2869" s="4" t="s">
        <v>82</v>
      </c>
      <c r="I2869" s="4" t="s">
        <v>69</v>
      </c>
      <c r="J2869" s="4" t="s">
        <v>66</v>
      </c>
      <c r="K2869" s="4">
        <v>0</v>
      </c>
      <c r="L2869" s="94">
        <v>-154291</v>
      </c>
      <c r="M2869" s="94">
        <v>0</v>
      </c>
    </row>
    <row r="2870" spans="3:13" x14ac:dyDescent="0.3">
      <c r="C2870" t="s">
        <v>61</v>
      </c>
      <c r="D2870" t="s">
        <v>67</v>
      </c>
      <c r="E2870" t="s">
        <v>63</v>
      </c>
      <c r="F2870" t="s">
        <v>25</v>
      </c>
      <c r="G2870" s="4">
        <v>9</v>
      </c>
      <c r="H2870" s="4" t="s">
        <v>12</v>
      </c>
      <c r="I2870" s="4" t="s">
        <v>69</v>
      </c>
      <c r="J2870" s="4" t="s">
        <v>66</v>
      </c>
      <c r="K2870" s="4">
        <v>0</v>
      </c>
      <c r="L2870" s="94">
        <v>-2910</v>
      </c>
      <c r="M2870" s="94">
        <v>0</v>
      </c>
    </row>
    <row r="2871" spans="3:13" x14ac:dyDescent="0.3">
      <c r="C2871" t="s">
        <v>70</v>
      </c>
      <c r="D2871" t="s">
        <v>67</v>
      </c>
      <c r="E2871" t="s">
        <v>63</v>
      </c>
      <c r="F2871" t="s">
        <v>72</v>
      </c>
      <c r="G2871" s="4">
        <v>-4</v>
      </c>
      <c r="H2871" s="4" t="s">
        <v>77</v>
      </c>
      <c r="I2871" s="4" t="s">
        <v>69</v>
      </c>
      <c r="J2871" s="4" t="s">
        <v>66</v>
      </c>
      <c r="K2871" s="4">
        <v>0</v>
      </c>
      <c r="L2871" s="94">
        <v>-191</v>
      </c>
      <c r="M2871" s="94">
        <v>0</v>
      </c>
    </row>
    <row r="2872" spans="3:13" x14ac:dyDescent="0.3">
      <c r="C2872" t="s">
        <v>61</v>
      </c>
      <c r="D2872" t="s">
        <v>67</v>
      </c>
      <c r="E2872" t="s">
        <v>63</v>
      </c>
      <c r="F2872" t="s">
        <v>25</v>
      </c>
      <c r="G2872" s="4">
        <v>0</v>
      </c>
      <c r="H2872" s="4" t="s">
        <v>64</v>
      </c>
      <c r="I2872" s="4" t="s">
        <v>69</v>
      </c>
      <c r="J2872" s="4" t="s">
        <v>66</v>
      </c>
      <c r="K2872" s="4">
        <v>0</v>
      </c>
      <c r="L2872" s="94">
        <v>-124</v>
      </c>
      <c r="M2872" s="94">
        <v>0</v>
      </c>
    </row>
    <row r="2873" spans="3:13" x14ac:dyDescent="0.3">
      <c r="C2873" t="s">
        <v>70</v>
      </c>
      <c r="D2873" t="s">
        <v>67</v>
      </c>
      <c r="E2873" t="s">
        <v>63</v>
      </c>
      <c r="F2873" t="s">
        <v>26</v>
      </c>
      <c r="G2873" s="4">
        <v>0</v>
      </c>
      <c r="H2873" s="4" t="s">
        <v>64</v>
      </c>
      <c r="I2873" s="4" t="s">
        <v>69</v>
      </c>
      <c r="J2873" s="4" t="s">
        <v>66</v>
      </c>
      <c r="K2873" s="4">
        <v>0</v>
      </c>
      <c r="L2873" s="94">
        <v>-62517</v>
      </c>
      <c r="M2873" s="94">
        <v>0</v>
      </c>
    </row>
    <row r="2874" spans="3:13" x14ac:dyDescent="0.3">
      <c r="C2874" t="s">
        <v>70</v>
      </c>
      <c r="D2874" t="s">
        <v>62</v>
      </c>
      <c r="E2874" t="s">
        <v>68</v>
      </c>
      <c r="F2874" t="s">
        <v>24</v>
      </c>
      <c r="G2874" s="4">
        <v>38</v>
      </c>
      <c r="I2874" s="4" t="s">
        <v>65</v>
      </c>
      <c r="J2874" s="4" t="s">
        <v>66</v>
      </c>
      <c r="K2874" s="4">
        <v>1</v>
      </c>
      <c r="L2874" s="94">
        <v>1470015</v>
      </c>
      <c r="M2874" s="94">
        <v>55860570</v>
      </c>
    </row>
    <row r="2875" spans="3:13" x14ac:dyDescent="0.3">
      <c r="C2875" t="s">
        <v>71</v>
      </c>
      <c r="D2875" t="s">
        <v>67</v>
      </c>
      <c r="E2875" t="s">
        <v>63</v>
      </c>
      <c r="F2875" t="s">
        <v>26</v>
      </c>
      <c r="G2875" s="4">
        <v>3</v>
      </c>
      <c r="H2875" s="4" t="s">
        <v>64</v>
      </c>
      <c r="I2875" s="4" t="s">
        <v>69</v>
      </c>
      <c r="J2875" s="4" t="s">
        <v>66</v>
      </c>
      <c r="K2875" s="4">
        <v>0</v>
      </c>
      <c r="L2875" s="94">
        <v>-139211</v>
      </c>
      <c r="M2875" s="94">
        <v>0</v>
      </c>
    </row>
    <row r="2876" spans="3:13" x14ac:dyDescent="0.3">
      <c r="C2876" t="s">
        <v>70</v>
      </c>
      <c r="D2876" t="s">
        <v>67</v>
      </c>
      <c r="E2876" t="s">
        <v>63</v>
      </c>
      <c r="F2876" t="s">
        <v>26</v>
      </c>
      <c r="G2876" s="4">
        <v>4</v>
      </c>
      <c r="H2876" s="4" t="s">
        <v>17</v>
      </c>
      <c r="I2876" s="4" t="s">
        <v>69</v>
      </c>
      <c r="J2876" s="4" t="s">
        <v>66</v>
      </c>
      <c r="K2876" s="4">
        <v>0</v>
      </c>
      <c r="L2876" s="94">
        <v>-281891</v>
      </c>
      <c r="M2876" s="94">
        <v>0</v>
      </c>
    </row>
    <row r="2877" spans="3:13" x14ac:dyDescent="0.3">
      <c r="C2877" t="s">
        <v>70</v>
      </c>
      <c r="D2877" t="s">
        <v>67</v>
      </c>
      <c r="E2877" t="s">
        <v>63</v>
      </c>
      <c r="F2877" t="s">
        <v>72</v>
      </c>
      <c r="G2877" s="4">
        <v>5</v>
      </c>
      <c r="H2877" s="4" t="s">
        <v>83</v>
      </c>
      <c r="I2877" s="4" t="s">
        <v>69</v>
      </c>
      <c r="J2877" s="4" t="s">
        <v>66</v>
      </c>
      <c r="K2877" s="4">
        <v>0</v>
      </c>
      <c r="L2877" s="94">
        <v>-24100</v>
      </c>
      <c r="M2877" s="94">
        <v>0</v>
      </c>
    </row>
    <row r="2878" spans="3:13" x14ac:dyDescent="0.3">
      <c r="C2878" t="s">
        <v>61</v>
      </c>
      <c r="D2878" t="s">
        <v>67</v>
      </c>
      <c r="E2878" t="s">
        <v>63</v>
      </c>
      <c r="F2878" t="s">
        <v>26</v>
      </c>
      <c r="G2878" s="4">
        <v>3</v>
      </c>
      <c r="H2878" s="4" t="s">
        <v>75</v>
      </c>
      <c r="I2878" s="4" t="s">
        <v>69</v>
      </c>
      <c r="J2878" s="4" t="s">
        <v>66</v>
      </c>
      <c r="K2878" s="4">
        <v>0</v>
      </c>
      <c r="L2878" s="94">
        <v>-45979</v>
      </c>
      <c r="M2878" s="94">
        <v>0</v>
      </c>
    </row>
    <row r="2879" spans="3:13" x14ac:dyDescent="0.3">
      <c r="C2879" t="s">
        <v>71</v>
      </c>
      <c r="D2879" t="s">
        <v>62</v>
      </c>
      <c r="E2879" t="s">
        <v>68</v>
      </c>
      <c r="F2879" t="s">
        <v>25</v>
      </c>
      <c r="G2879" s="4">
        <v>2</v>
      </c>
      <c r="I2879" s="4" t="s">
        <v>69</v>
      </c>
      <c r="J2879" s="4" t="s">
        <v>66</v>
      </c>
      <c r="K2879" s="4">
        <v>0</v>
      </c>
      <c r="L2879" s="94">
        <v>108426</v>
      </c>
      <c r="M2879" s="94">
        <v>216852</v>
      </c>
    </row>
    <row r="2880" spans="3:13" x14ac:dyDescent="0.3">
      <c r="C2880" t="s">
        <v>61</v>
      </c>
      <c r="D2880" t="s">
        <v>84</v>
      </c>
      <c r="E2880" t="s">
        <v>68</v>
      </c>
      <c r="F2880" t="s">
        <v>25</v>
      </c>
      <c r="G2880" s="4">
        <v>6</v>
      </c>
      <c r="H2880" s="4" t="s">
        <v>75</v>
      </c>
      <c r="I2880" s="4" t="s">
        <v>69</v>
      </c>
      <c r="J2880" s="4" t="s">
        <v>66</v>
      </c>
      <c r="K2880" s="4">
        <v>0</v>
      </c>
      <c r="L2880" s="94">
        <v>2051160</v>
      </c>
      <c r="M2880" s="94">
        <v>12306960</v>
      </c>
    </row>
    <row r="2881" spans="3:13" x14ac:dyDescent="0.3">
      <c r="C2881" t="s">
        <v>71</v>
      </c>
      <c r="D2881" t="s">
        <v>62</v>
      </c>
      <c r="E2881" t="s">
        <v>68</v>
      </c>
      <c r="F2881" t="s">
        <v>24</v>
      </c>
      <c r="G2881" s="4">
        <v>19</v>
      </c>
      <c r="I2881" s="4" t="s">
        <v>69</v>
      </c>
      <c r="J2881" s="4" t="s">
        <v>73</v>
      </c>
      <c r="K2881" s="4">
        <v>1</v>
      </c>
      <c r="L2881" s="94">
        <v>2634</v>
      </c>
      <c r="M2881" s="94">
        <v>50046</v>
      </c>
    </row>
    <row r="2882" spans="3:13" x14ac:dyDescent="0.3">
      <c r="C2882" t="s">
        <v>70</v>
      </c>
      <c r="D2882" t="s">
        <v>67</v>
      </c>
      <c r="E2882" t="s">
        <v>68</v>
      </c>
      <c r="F2882" t="s">
        <v>26</v>
      </c>
      <c r="G2882" s="4">
        <v>4</v>
      </c>
      <c r="H2882" s="4" t="s">
        <v>80</v>
      </c>
      <c r="I2882" s="4" t="s">
        <v>69</v>
      </c>
      <c r="J2882" s="4" t="s">
        <v>66</v>
      </c>
      <c r="K2882" s="4">
        <v>0</v>
      </c>
      <c r="L2882" s="94">
        <v>412049</v>
      </c>
      <c r="M2882" s="94">
        <v>1648196</v>
      </c>
    </row>
    <row r="2883" spans="3:13" x14ac:dyDescent="0.3">
      <c r="C2883" t="s">
        <v>70</v>
      </c>
      <c r="D2883" t="s">
        <v>67</v>
      </c>
      <c r="E2883" t="s">
        <v>68</v>
      </c>
      <c r="F2883" t="s">
        <v>26</v>
      </c>
      <c r="G2883" s="4">
        <v>7</v>
      </c>
      <c r="H2883" s="4" t="s">
        <v>17</v>
      </c>
      <c r="I2883" s="4" t="s">
        <v>69</v>
      </c>
      <c r="J2883" s="4" t="s">
        <v>66</v>
      </c>
      <c r="K2883" s="4">
        <v>0</v>
      </c>
      <c r="L2883" s="94">
        <v>68378</v>
      </c>
      <c r="M2883" s="94">
        <v>478646</v>
      </c>
    </row>
    <row r="2884" spans="3:13" x14ac:dyDescent="0.3">
      <c r="C2884" t="s">
        <v>61</v>
      </c>
      <c r="D2884" t="s">
        <v>67</v>
      </c>
      <c r="E2884" t="s">
        <v>63</v>
      </c>
      <c r="F2884" t="s">
        <v>25</v>
      </c>
      <c r="G2884" s="4">
        <v>12</v>
      </c>
      <c r="H2884" s="4" t="s">
        <v>18</v>
      </c>
      <c r="I2884" s="4" t="s">
        <v>69</v>
      </c>
      <c r="J2884" s="4" t="s">
        <v>66</v>
      </c>
      <c r="K2884" s="4">
        <v>1</v>
      </c>
      <c r="L2884" s="94">
        <v>-841</v>
      </c>
      <c r="M2884" s="94">
        <v>0</v>
      </c>
    </row>
    <row r="2885" spans="3:13" x14ac:dyDescent="0.3">
      <c r="C2885" t="s">
        <v>70</v>
      </c>
      <c r="D2885" t="s">
        <v>67</v>
      </c>
      <c r="E2885" t="s">
        <v>63</v>
      </c>
      <c r="F2885" t="s">
        <v>26</v>
      </c>
      <c r="G2885" s="4">
        <v>1</v>
      </c>
      <c r="H2885" s="4" t="s">
        <v>16</v>
      </c>
      <c r="I2885" s="4" t="s">
        <v>69</v>
      </c>
      <c r="J2885" s="4" t="s">
        <v>66</v>
      </c>
      <c r="K2885" s="4">
        <v>0</v>
      </c>
      <c r="L2885" s="94">
        <v>-768</v>
      </c>
      <c r="M2885" s="94">
        <v>0</v>
      </c>
    </row>
    <row r="2886" spans="3:13" x14ac:dyDescent="0.3">
      <c r="C2886" t="s">
        <v>70</v>
      </c>
      <c r="D2886" t="s">
        <v>67</v>
      </c>
      <c r="E2886" t="s">
        <v>63</v>
      </c>
      <c r="F2886" t="s">
        <v>25</v>
      </c>
      <c r="G2886" s="4">
        <v>12</v>
      </c>
      <c r="H2886" s="4" t="s">
        <v>17</v>
      </c>
      <c r="I2886" s="4" t="s">
        <v>69</v>
      </c>
      <c r="J2886" s="4" t="s">
        <v>66</v>
      </c>
      <c r="K2886" s="4">
        <v>1</v>
      </c>
      <c r="L2886" s="94">
        <v>-549</v>
      </c>
      <c r="M2886" s="94">
        <v>0</v>
      </c>
    </row>
    <row r="2887" spans="3:13" x14ac:dyDescent="0.3">
      <c r="C2887" t="s">
        <v>71</v>
      </c>
      <c r="D2887" t="s">
        <v>67</v>
      </c>
      <c r="E2887" t="s">
        <v>63</v>
      </c>
      <c r="F2887" t="s">
        <v>26</v>
      </c>
      <c r="G2887" s="4">
        <v>2</v>
      </c>
      <c r="H2887" s="4" t="s">
        <v>12</v>
      </c>
      <c r="I2887" s="4" t="s">
        <v>69</v>
      </c>
      <c r="J2887" s="4" t="s">
        <v>73</v>
      </c>
      <c r="K2887" s="4">
        <v>1</v>
      </c>
      <c r="L2887" s="94">
        <v>-104248</v>
      </c>
      <c r="M2887" s="94">
        <v>0</v>
      </c>
    </row>
    <row r="2888" spans="3:13" x14ac:dyDescent="0.3">
      <c r="C2888" t="s">
        <v>61</v>
      </c>
      <c r="D2888" t="s">
        <v>67</v>
      </c>
      <c r="E2888" t="s">
        <v>68</v>
      </c>
      <c r="F2888" t="s">
        <v>25</v>
      </c>
      <c r="G2888" s="4">
        <v>7</v>
      </c>
      <c r="H2888" s="4" t="s">
        <v>13</v>
      </c>
      <c r="I2888" s="4" t="s">
        <v>69</v>
      </c>
      <c r="J2888" s="4" t="s">
        <v>66</v>
      </c>
      <c r="K2888" s="4">
        <v>1</v>
      </c>
      <c r="L2888" s="94">
        <v>534341</v>
      </c>
      <c r="M2888" s="94">
        <v>3740387</v>
      </c>
    </row>
    <row r="2889" spans="3:13" x14ac:dyDescent="0.3">
      <c r="C2889" t="s">
        <v>70</v>
      </c>
      <c r="D2889" t="s">
        <v>62</v>
      </c>
      <c r="E2889" t="s">
        <v>68</v>
      </c>
      <c r="F2889" t="s">
        <v>25</v>
      </c>
      <c r="G2889" s="4">
        <v>8</v>
      </c>
      <c r="I2889" s="4" t="s">
        <v>69</v>
      </c>
      <c r="J2889" s="4" t="s">
        <v>66</v>
      </c>
      <c r="K2889" s="4">
        <v>1</v>
      </c>
      <c r="L2889" s="94">
        <v>126137</v>
      </c>
      <c r="M2889" s="94">
        <v>1009096</v>
      </c>
    </row>
    <row r="2890" spans="3:13" x14ac:dyDescent="0.3">
      <c r="C2890" t="s">
        <v>61</v>
      </c>
      <c r="D2890" t="s">
        <v>67</v>
      </c>
      <c r="E2890" t="s">
        <v>63</v>
      </c>
      <c r="F2890" t="s">
        <v>25</v>
      </c>
      <c r="G2890" s="4">
        <v>3</v>
      </c>
      <c r="H2890" s="4" t="s">
        <v>75</v>
      </c>
      <c r="I2890" s="4" t="s">
        <v>69</v>
      </c>
      <c r="J2890" s="4" t="s">
        <v>66</v>
      </c>
      <c r="K2890" s="4">
        <v>0</v>
      </c>
      <c r="L2890" s="94">
        <v>-105273</v>
      </c>
      <c r="M2890" s="94">
        <v>0</v>
      </c>
    </row>
    <row r="2891" spans="3:13" x14ac:dyDescent="0.3">
      <c r="C2891" t="s">
        <v>61</v>
      </c>
      <c r="D2891" t="s">
        <v>62</v>
      </c>
      <c r="E2891" t="s">
        <v>68</v>
      </c>
      <c r="F2891" t="s">
        <v>24</v>
      </c>
      <c r="G2891" s="4">
        <v>2</v>
      </c>
      <c r="I2891" s="4" t="s">
        <v>69</v>
      </c>
      <c r="J2891" s="4" t="s">
        <v>66</v>
      </c>
      <c r="K2891" s="4">
        <v>1</v>
      </c>
      <c r="L2891" s="94">
        <v>156537</v>
      </c>
      <c r="M2891" s="94">
        <v>313074</v>
      </c>
    </row>
    <row r="2892" spans="3:13" x14ac:dyDescent="0.3">
      <c r="C2892" t="s">
        <v>70</v>
      </c>
      <c r="D2892" t="s">
        <v>67</v>
      </c>
      <c r="E2892" t="s">
        <v>68</v>
      </c>
      <c r="F2892" t="s">
        <v>26</v>
      </c>
      <c r="G2892" s="4">
        <v>5</v>
      </c>
      <c r="H2892" s="4" t="s">
        <v>78</v>
      </c>
      <c r="I2892" s="4" t="s">
        <v>69</v>
      </c>
      <c r="J2892" s="4" t="s">
        <v>66</v>
      </c>
      <c r="K2892" s="4">
        <v>0</v>
      </c>
      <c r="L2892" s="94">
        <v>51764</v>
      </c>
      <c r="M2892" s="94">
        <v>258820</v>
      </c>
    </row>
    <row r="2893" spans="3:13" x14ac:dyDescent="0.3">
      <c r="C2893" t="s">
        <v>70</v>
      </c>
      <c r="D2893" t="s">
        <v>84</v>
      </c>
      <c r="E2893" t="s">
        <v>68</v>
      </c>
      <c r="F2893" t="s">
        <v>25</v>
      </c>
      <c r="G2893" s="4">
        <v>5</v>
      </c>
      <c r="H2893" s="4" t="s">
        <v>81</v>
      </c>
      <c r="I2893" s="4" t="s">
        <v>69</v>
      </c>
      <c r="J2893" s="4" t="s">
        <v>66</v>
      </c>
      <c r="K2893" s="4">
        <v>0</v>
      </c>
      <c r="L2893" s="94">
        <v>95018</v>
      </c>
      <c r="M2893" s="94">
        <v>475090</v>
      </c>
    </row>
    <row r="2894" spans="3:13" x14ac:dyDescent="0.3">
      <c r="C2894" t="s">
        <v>61</v>
      </c>
      <c r="D2894" t="s">
        <v>62</v>
      </c>
      <c r="E2894" t="s">
        <v>63</v>
      </c>
      <c r="F2894" t="s">
        <v>25</v>
      </c>
      <c r="G2894" s="4">
        <v>21</v>
      </c>
      <c r="I2894" s="4" t="s">
        <v>69</v>
      </c>
      <c r="J2894" s="4" t="s">
        <v>66</v>
      </c>
      <c r="K2894" s="4">
        <v>0</v>
      </c>
      <c r="L2894" s="94">
        <v>-1574</v>
      </c>
      <c r="M2894" s="94">
        <v>0</v>
      </c>
    </row>
    <row r="2895" spans="3:13" x14ac:dyDescent="0.3">
      <c r="C2895" t="s">
        <v>71</v>
      </c>
      <c r="D2895" t="s">
        <v>67</v>
      </c>
      <c r="E2895" t="s">
        <v>68</v>
      </c>
      <c r="F2895" t="s">
        <v>26</v>
      </c>
      <c r="G2895" s="4">
        <v>2</v>
      </c>
      <c r="H2895" s="4" t="s">
        <v>82</v>
      </c>
      <c r="I2895" s="4" t="s">
        <v>65</v>
      </c>
      <c r="J2895" s="4" t="s">
        <v>66</v>
      </c>
      <c r="K2895" s="4">
        <v>1</v>
      </c>
      <c r="L2895" s="94">
        <v>149738</v>
      </c>
      <c r="M2895" s="94">
        <v>299476</v>
      </c>
    </row>
    <row r="2896" spans="3:13" x14ac:dyDescent="0.3">
      <c r="C2896" t="s">
        <v>71</v>
      </c>
      <c r="D2896" t="s">
        <v>84</v>
      </c>
      <c r="E2896" t="s">
        <v>68</v>
      </c>
      <c r="F2896" t="s">
        <v>25</v>
      </c>
      <c r="G2896" s="4">
        <v>-1</v>
      </c>
      <c r="H2896" s="4" t="s">
        <v>83</v>
      </c>
      <c r="I2896" s="4" t="s">
        <v>69</v>
      </c>
      <c r="J2896" s="4" t="s">
        <v>66</v>
      </c>
      <c r="K2896" s="4">
        <v>0</v>
      </c>
      <c r="L2896" s="94">
        <v>2903188</v>
      </c>
      <c r="M2896" s="94">
        <v>0</v>
      </c>
    </row>
    <row r="2897" spans="3:13" x14ac:dyDescent="0.3">
      <c r="C2897" t="s">
        <v>61</v>
      </c>
      <c r="D2897" t="s">
        <v>62</v>
      </c>
      <c r="E2897" t="s">
        <v>63</v>
      </c>
      <c r="F2897" t="s">
        <v>25</v>
      </c>
      <c r="G2897" s="4">
        <v>8</v>
      </c>
      <c r="I2897" s="4" t="s">
        <v>69</v>
      </c>
      <c r="J2897" s="4" t="s">
        <v>66</v>
      </c>
      <c r="K2897" s="4">
        <v>1</v>
      </c>
      <c r="L2897" s="94">
        <v>-537</v>
      </c>
      <c r="M2897" s="94">
        <v>0</v>
      </c>
    </row>
    <row r="2898" spans="3:13" x14ac:dyDescent="0.3">
      <c r="C2898" t="s">
        <v>61</v>
      </c>
      <c r="D2898" t="s">
        <v>67</v>
      </c>
      <c r="E2898" t="s">
        <v>68</v>
      </c>
      <c r="F2898" t="s">
        <v>25</v>
      </c>
      <c r="G2898" s="4">
        <v>0</v>
      </c>
      <c r="H2898" s="4" t="s">
        <v>75</v>
      </c>
      <c r="I2898" s="4" t="s">
        <v>69</v>
      </c>
      <c r="J2898" s="4" t="s">
        <v>66</v>
      </c>
      <c r="K2898" s="4">
        <v>0</v>
      </c>
      <c r="L2898" s="94">
        <v>12191496</v>
      </c>
      <c r="M2898" s="94">
        <v>0</v>
      </c>
    </row>
    <row r="2899" spans="3:13" x14ac:dyDescent="0.3">
      <c r="C2899" t="s">
        <v>70</v>
      </c>
      <c r="D2899" t="s">
        <v>67</v>
      </c>
      <c r="E2899" t="s">
        <v>68</v>
      </c>
      <c r="F2899" t="s">
        <v>25</v>
      </c>
      <c r="G2899" s="4">
        <v>15</v>
      </c>
      <c r="H2899" s="4" t="s">
        <v>79</v>
      </c>
      <c r="I2899" s="4" t="s">
        <v>69</v>
      </c>
      <c r="J2899" s="4" t="s">
        <v>66</v>
      </c>
      <c r="K2899" s="4">
        <v>0</v>
      </c>
      <c r="L2899" s="94">
        <v>502203</v>
      </c>
      <c r="M2899" s="94">
        <v>7533045</v>
      </c>
    </row>
    <row r="2900" spans="3:13" x14ac:dyDescent="0.3">
      <c r="C2900" t="s">
        <v>61</v>
      </c>
      <c r="D2900" t="s">
        <v>67</v>
      </c>
      <c r="E2900" t="s">
        <v>63</v>
      </c>
      <c r="F2900" t="s">
        <v>72</v>
      </c>
      <c r="G2900" s="4">
        <v>-1</v>
      </c>
      <c r="H2900" s="4" t="s">
        <v>18</v>
      </c>
      <c r="I2900" s="4" t="s">
        <v>65</v>
      </c>
      <c r="J2900" s="4" t="s">
        <v>66</v>
      </c>
      <c r="K2900" s="4">
        <v>1</v>
      </c>
      <c r="L2900" s="94">
        <v>-302</v>
      </c>
      <c r="M2900" s="94">
        <v>0</v>
      </c>
    </row>
    <row r="2901" spans="3:13" x14ac:dyDescent="0.3">
      <c r="C2901" t="s">
        <v>61</v>
      </c>
      <c r="D2901" t="s">
        <v>62</v>
      </c>
      <c r="E2901" t="s">
        <v>68</v>
      </c>
      <c r="F2901" t="s">
        <v>24</v>
      </c>
      <c r="G2901" s="4">
        <v>24</v>
      </c>
      <c r="I2901" s="4" t="s">
        <v>69</v>
      </c>
      <c r="J2901" s="4" t="s">
        <v>66</v>
      </c>
      <c r="K2901" s="4">
        <v>0</v>
      </c>
      <c r="L2901" s="94">
        <v>686312552</v>
      </c>
      <c r="M2901" s="94">
        <v>16471501248</v>
      </c>
    </row>
    <row r="2902" spans="3:13" x14ac:dyDescent="0.3">
      <c r="C2902" t="s">
        <v>70</v>
      </c>
      <c r="D2902" t="s">
        <v>67</v>
      </c>
      <c r="E2902" t="s">
        <v>63</v>
      </c>
      <c r="F2902" t="s">
        <v>26</v>
      </c>
      <c r="G2902" s="4">
        <v>2</v>
      </c>
      <c r="H2902" s="4" t="s">
        <v>76</v>
      </c>
      <c r="I2902" s="4" t="s">
        <v>69</v>
      </c>
      <c r="J2902" s="4" t="s">
        <v>66</v>
      </c>
      <c r="K2902" s="4">
        <v>0</v>
      </c>
      <c r="L2902" s="94">
        <v>-392973</v>
      </c>
      <c r="M2902" s="94">
        <v>0</v>
      </c>
    </row>
    <row r="2903" spans="3:13" x14ac:dyDescent="0.3">
      <c r="C2903" t="s">
        <v>70</v>
      </c>
      <c r="D2903" t="s">
        <v>67</v>
      </c>
      <c r="E2903" t="s">
        <v>68</v>
      </c>
      <c r="F2903" t="s">
        <v>25</v>
      </c>
      <c r="G2903" s="4">
        <v>13</v>
      </c>
      <c r="H2903" s="4" t="s">
        <v>79</v>
      </c>
      <c r="I2903" s="4" t="s">
        <v>69</v>
      </c>
      <c r="J2903" s="4" t="s">
        <v>66</v>
      </c>
      <c r="K2903" s="4">
        <v>0</v>
      </c>
      <c r="L2903" s="94">
        <v>183582</v>
      </c>
      <c r="M2903" s="94">
        <v>2386566</v>
      </c>
    </row>
    <row r="2904" spans="3:13" x14ac:dyDescent="0.3">
      <c r="C2904" t="s">
        <v>61</v>
      </c>
      <c r="D2904" t="s">
        <v>67</v>
      </c>
      <c r="E2904" t="s">
        <v>68</v>
      </c>
      <c r="F2904" t="s">
        <v>26</v>
      </c>
      <c r="G2904" s="4">
        <v>4</v>
      </c>
      <c r="H2904" s="4" t="s">
        <v>18</v>
      </c>
      <c r="I2904" s="4" t="s">
        <v>65</v>
      </c>
      <c r="J2904" s="4" t="s">
        <v>66</v>
      </c>
      <c r="K2904" s="4">
        <v>1</v>
      </c>
      <c r="L2904" s="94">
        <v>47953</v>
      </c>
      <c r="M2904" s="94">
        <v>191812</v>
      </c>
    </row>
    <row r="2905" spans="3:13" x14ac:dyDescent="0.3">
      <c r="C2905" t="s">
        <v>70</v>
      </c>
      <c r="D2905" t="s">
        <v>67</v>
      </c>
      <c r="E2905" t="s">
        <v>63</v>
      </c>
      <c r="F2905" t="s">
        <v>26</v>
      </c>
      <c r="G2905" s="4">
        <v>0</v>
      </c>
      <c r="H2905" s="4" t="s">
        <v>78</v>
      </c>
      <c r="I2905" s="4" t="s">
        <v>69</v>
      </c>
      <c r="J2905" s="4" t="s">
        <v>66</v>
      </c>
      <c r="K2905" s="4">
        <v>0</v>
      </c>
      <c r="L2905" s="94">
        <v>-1561</v>
      </c>
      <c r="M2905" s="94">
        <v>0</v>
      </c>
    </row>
    <row r="2906" spans="3:13" x14ac:dyDescent="0.3">
      <c r="C2906" t="s">
        <v>70</v>
      </c>
      <c r="D2906" t="s">
        <v>67</v>
      </c>
      <c r="E2906" t="s">
        <v>63</v>
      </c>
      <c r="F2906" t="s">
        <v>25</v>
      </c>
      <c r="G2906" s="4">
        <v>0</v>
      </c>
      <c r="H2906" s="4" t="s">
        <v>79</v>
      </c>
      <c r="I2906" s="4" t="s">
        <v>69</v>
      </c>
      <c r="J2906" s="4" t="s">
        <v>66</v>
      </c>
      <c r="K2906" s="4">
        <v>0</v>
      </c>
      <c r="L2906" s="94">
        <v>-706</v>
      </c>
      <c r="M2906" s="94">
        <v>0</v>
      </c>
    </row>
    <row r="2907" spans="3:13" x14ac:dyDescent="0.3">
      <c r="C2907" t="s">
        <v>61</v>
      </c>
      <c r="D2907" t="s">
        <v>62</v>
      </c>
      <c r="E2907" t="s">
        <v>68</v>
      </c>
      <c r="F2907" t="s">
        <v>24</v>
      </c>
      <c r="G2907" s="4">
        <v>25</v>
      </c>
      <c r="I2907" s="4" t="s">
        <v>65</v>
      </c>
      <c r="J2907" s="4" t="s">
        <v>66</v>
      </c>
      <c r="K2907" s="4">
        <v>1</v>
      </c>
      <c r="L2907" s="94">
        <v>9375856</v>
      </c>
      <c r="M2907" s="94">
        <v>234396400</v>
      </c>
    </row>
    <row r="2908" spans="3:13" x14ac:dyDescent="0.3">
      <c r="C2908" t="s">
        <v>70</v>
      </c>
      <c r="D2908" t="s">
        <v>62</v>
      </c>
      <c r="E2908" t="s">
        <v>68</v>
      </c>
      <c r="F2908" t="s">
        <v>25</v>
      </c>
      <c r="G2908" s="4">
        <v>29</v>
      </c>
      <c r="I2908" s="4" t="s">
        <v>69</v>
      </c>
      <c r="J2908" s="4" t="s">
        <v>66</v>
      </c>
      <c r="K2908" s="4">
        <v>0</v>
      </c>
      <c r="L2908" s="94">
        <v>195775</v>
      </c>
      <c r="M2908" s="94">
        <v>5677475</v>
      </c>
    </row>
    <row r="2909" spans="3:13" x14ac:dyDescent="0.3">
      <c r="C2909" t="s">
        <v>70</v>
      </c>
      <c r="D2909" t="s">
        <v>62</v>
      </c>
      <c r="E2909" t="s">
        <v>63</v>
      </c>
      <c r="F2909" t="s">
        <v>25</v>
      </c>
      <c r="G2909" s="4">
        <v>6</v>
      </c>
      <c r="I2909" s="4" t="s">
        <v>69</v>
      </c>
      <c r="J2909" s="4" t="s">
        <v>66</v>
      </c>
      <c r="K2909" s="4">
        <v>0</v>
      </c>
      <c r="L2909" s="94">
        <v>-84099</v>
      </c>
      <c r="M2909" s="94">
        <v>0</v>
      </c>
    </row>
    <row r="2910" spans="3:13" x14ac:dyDescent="0.3">
      <c r="C2910" t="s">
        <v>61</v>
      </c>
      <c r="D2910" t="s">
        <v>67</v>
      </c>
      <c r="E2910" t="s">
        <v>68</v>
      </c>
      <c r="F2910" t="s">
        <v>26</v>
      </c>
      <c r="G2910" s="4">
        <v>-1</v>
      </c>
      <c r="H2910" s="4" t="s">
        <v>82</v>
      </c>
      <c r="I2910" s="4" t="s">
        <v>65</v>
      </c>
      <c r="J2910" s="4" t="s">
        <v>66</v>
      </c>
      <c r="K2910" s="4">
        <v>1</v>
      </c>
      <c r="L2910" s="94">
        <v>1534086</v>
      </c>
      <c r="M2910" s="94">
        <v>0</v>
      </c>
    </row>
    <row r="2911" spans="3:13" x14ac:dyDescent="0.3">
      <c r="C2911" t="s">
        <v>71</v>
      </c>
      <c r="D2911" t="s">
        <v>67</v>
      </c>
      <c r="E2911" t="s">
        <v>68</v>
      </c>
      <c r="F2911" t="s">
        <v>25</v>
      </c>
      <c r="G2911" s="4">
        <v>-4</v>
      </c>
      <c r="H2911" s="4" t="s">
        <v>17</v>
      </c>
      <c r="I2911" s="4" t="s">
        <v>69</v>
      </c>
      <c r="J2911" s="4" t="s">
        <v>66</v>
      </c>
      <c r="K2911" s="4">
        <v>0</v>
      </c>
      <c r="L2911" s="94">
        <v>769646</v>
      </c>
      <c r="M2911" s="94">
        <v>0</v>
      </c>
    </row>
    <row r="2912" spans="3:13" x14ac:dyDescent="0.3">
      <c r="C2912" t="s">
        <v>61</v>
      </c>
      <c r="D2912" t="s">
        <v>67</v>
      </c>
      <c r="E2912" t="s">
        <v>68</v>
      </c>
      <c r="F2912" t="s">
        <v>25</v>
      </c>
      <c r="G2912" s="4">
        <v>5</v>
      </c>
      <c r="H2912" s="4" t="s">
        <v>12</v>
      </c>
      <c r="I2912" s="4" t="s">
        <v>69</v>
      </c>
      <c r="J2912" s="4" t="s">
        <v>66</v>
      </c>
      <c r="K2912" s="4">
        <v>0</v>
      </c>
      <c r="L2912" s="94">
        <v>272608</v>
      </c>
      <c r="M2912" s="94">
        <v>1363040</v>
      </c>
    </row>
    <row r="2913" spans="3:13" x14ac:dyDescent="0.3">
      <c r="C2913" t="s">
        <v>70</v>
      </c>
      <c r="D2913" t="s">
        <v>62</v>
      </c>
      <c r="E2913" t="s">
        <v>68</v>
      </c>
      <c r="F2913" t="s">
        <v>24</v>
      </c>
      <c r="G2913" s="4">
        <v>25</v>
      </c>
      <c r="I2913" s="4" t="s">
        <v>69</v>
      </c>
      <c r="J2913" s="4" t="s">
        <v>66</v>
      </c>
      <c r="K2913" s="4">
        <v>0</v>
      </c>
      <c r="L2913" s="94">
        <v>46691269</v>
      </c>
      <c r="M2913" s="94">
        <v>1167281725</v>
      </c>
    </row>
    <row r="2914" spans="3:13" x14ac:dyDescent="0.3">
      <c r="C2914" t="s">
        <v>61</v>
      </c>
      <c r="D2914" t="s">
        <v>67</v>
      </c>
      <c r="E2914" t="s">
        <v>68</v>
      </c>
      <c r="F2914" t="s">
        <v>26</v>
      </c>
      <c r="G2914" s="4">
        <v>5</v>
      </c>
      <c r="H2914" s="4" t="s">
        <v>15</v>
      </c>
      <c r="I2914" s="4" t="s">
        <v>65</v>
      </c>
      <c r="J2914" s="4" t="s">
        <v>66</v>
      </c>
      <c r="K2914" s="4">
        <v>1</v>
      </c>
      <c r="L2914" s="94">
        <v>4766600</v>
      </c>
      <c r="M2914" s="94">
        <v>23833000</v>
      </c>
    </row>
    <row r="2915" spans="3:13" x14ac:dyDescent="0.3">
      <c r="C2915" t="s">
        <v>61</v>
      </c>
      <c r="D2915" t="s">
        <v>67</v>
      </c>
      <c r="E2915" t="s">
        <v>63</v>
      </c>
      <c r="F2915" t="s">
        <v>25</v>
      </c>
      <c r="G2915" s="4">
        <v>0</v>
      </c>
      <c r="H2915" s="4" t="s">
        <v>14</v>
      </c>
      <c r="I2915" s="4" t="s">
        <v>69</v>
      </c>
      <c r="J2915" s="4" t="s">
        <v>73</v>
      </c>
      <c r="K2915" s="4">
        <v>1</v>
      </c>
      <c r="L2915" s="94">
        <v>-9105</v>
      </c>
      <c r="M2915" s="94">
        <v>0</v>
      </c>
    </row>
    <row r="2916" spans="3:13" x14ac:dyDescent="0.3">
      <c r="C2916" t="s">
        <v>61</v>
      </c>
      <c r="D2916" t="s">
        <v>62</v>
      </c>
      <c r="E2916" t="s">
        <v>63</v>
      </c>
      <c r="F2916" t="s">
        <v>25</v>
      </c>
      <c r="G2916" s="4">
        <v>37</v>
      </c>
      <c r="I2916" s="4" t="s">
        <v>69</v>
      </c>
      <c r="J2916" s="4" t="s">
        <v>66</v>
      </c>
      <c r="K2916" s="4">
        <v>0</v>
      </c>
      <c r="L2916" s="94">
        <v>-357</v>
      </c>
      <c r="M2916" s="94">
        <v>0</v>
      </c>
    </row>
    <row r="2917" spans="3:13" x14ac:dyDescent="0.3">
      <c r="C2917" t="s">
        <v>70</v>
      </c>
      <c r="D2917" t="s">
        <v>67</v>
      </c>
      <c r="E2917" t="s">
        <v>68</v>
      </c>
      <c r="F2917" t="s">
        <v>25</v>
      </c>
      <c r="G2917" s="4">
        <v>2</v>
      </c>
      <c r="H2917" s="4" t="s">
        <v>12</v>
      </c>
      <c r="I2917" s="4" t="s">
        <v>69</v>
      </c>
      <c r="J2917" s="4" t="s">
        <v>66</v>
      </c>
      <c r="K2917" s="4">
        <v>1</v>
      </c>
      <c r="L2917" s="94">
        <v>72319</v>
      </c>
      <c r="M2917" s="94">
        <v>144638</v>
      </c>
    </row>
    <row r="2918" spans="3:13" x14ac:dyDescent="0.3">
      <c r="C2918" t="s">
        <v>61</v>
      </c>
      <c r="D2918" t="s">
        <v>67</v>
      </c>
      <c r="E2918" t="s">
        <v>63</v>
      </c>
      <c r="F2918" t="s">
        <v>72</v>
      </c>
      <c r="G2918" s="4">
        <v>5</v>
      </c>
      <c r="H2918" s="4" t="s">
        <v>75</v>
      </c>
      <c r="I2918" s="4" t="s">
        <v>69</v>
      </c>
      <c r="J2918" s="4" t="s">
        <v>66</v>
      </c>
      <c r="K2918" s="4">
        <v>0</v>
      </c>
      <c r="L2918" s="94">
        <v>-6647</v>
      </c>
      <c r="M2918" s="94">
        <v>0</v>
      </c>
    </row>
    <row r="2919" spans="3:13" x14ac:dyDescent="0.3">
      <c r="C2919" t="s">
        <v>61</v>
      </c>
      <c r="D2919" t="s">
        <v>67</v>
      </c>
      <c r="E2919" t="s">
        <v>63</v>
      </c>
      <c r="F2919" t="s">
        <v>72</v>
      </c>
      <c r="G2919" s="4">
        <v>0</v>
      </c>
      <c r="H2919" s="4" t="s">
        <v>78</v>
      </c>
      <c r="I2919" s="4" t="s">
        <v>69</v>
      </c>
      <c r="J2919" s="4" t="s">
        <v>66</v>
      </c>
      <c r="K2919" s="4">
        <v>0</v>
      </c>
      <c r="L2919" s="94">
        <v>-8</v>
      </c>
      <c r="M2919" s="94">
        <v>0</v>
      </c>
    </row>
    <row r="2920" spans="3:13" x14ac:dyDescent="0.3">
      <c r="C2920" t="s">
        <v>70</v>
      </c>
      <c r="D2920" t="s">
        <v>67</v>
      </c>
      <c r="E2920" t="s">
        <v>68</v>
      </c>
      <c r="F2920" t="s">
        <v>26</v>
      </c>
      <c r="G2920" s="4">
        <v>2</v>
      </c>
      <c r="H2920" s="4" t="s">
        <v>12</v>
      </c>
      <c r="I2920" s="4" t="s">
        <v>65</v>
      </c>
      <c r="J2920" s="4" t="s">
        <v>73</v>
      </c>
      <c r="K2920" s="4">
        <v>1</v>
      </c>
      <c r="L2920" s="94">
        <v>53757</v>
      </c>
      <c r="M2920" s="94">
        <v>107514</v>
      </c>
    </row>
    <row r="2921" spans="3:13" x14ac:dyDescent="0.3">
      <c r="C2921" t="s">
        <v>70</v>
      </c>
      <c r="D2921" t="s">
        <v>67</v>
      </c>
      <c r="E2921" t="s">
        <v>63</v>
      </c>
      <c r="F2921" t="s">
        <v>25</v>
      </c>
      <c r="G2921" s="4">
        <v>3</v>
      </c>
      <c r="H2921" s="4" t="s">
        <v>80</v>
      </c>
      <c r="I2921" s="4" t="s">
        <v>69</v>
      </c>
      <c r="J2921" s="4" t="s">
        <v>66</v>
      </c>
      <c r="K2921" s="4">
        <v>0</v>
      </c>
      <c r="L2921" s="94">
        <v>-2935</v>
      </c>
      <c r="M2921" s="94">
        <v>0</v>
      </c>
    </row>
    <row r="2922" spans="3:13" x14ac:dyDescent="0.3">
      <c r="C2922" t="s">
        <v>71</v>
      </c>
      <c r="D2922" t="s">
        <v>67</v>
      </c>
      <c r="E2922" t="s">
        <v>63</v>
      </c>
      <c r="F2922" t="s">
        <v>26</v>
      </c>
      <c r="G2922" s="4">
        <v>-1</v>
      </c>
      <c r="H2922" s="4" t="s">
        <v>18</v>
      </c>
      <c r="I2922" s="4" t="s">
        <v>69</v>
      </c>
      <c r="J2922" s="4" t="s">
        <v>73</v>
      </c>
      <c r="K2922" s="4">
        <v>1</v>
      </c>
      <c r="L2922" s="94">
        <v>-617750</v>
      </c>
      <c r="M2922" s="94">
        <v>0</v>
      </c>
    </row>
    <row r="2923" spans="3:13" x14ac:dyDescent="0.3">
      <c r="C2923" t="s">
        <v>61</v>
      </c>
      <c r="D2923" t="s">
        <v>67</v>
      </c>
      <c r="E2923" t="s">
        <v>63</v>
      </c>
      <c r="F2923" t="s">
        <v>25</v>
      </c>
      <c r="G2923" s="4">
        <v>3</v>
      </c>
      <c r="H2923" s="4" t="s">
        <v>83</v>
      </c>
      <c r="I2923" s="4" t="s">
        <v>69</v>
      </c>
      <c r="J2923" s="4" t="s">
        <v>66</v>
      </c>
      <c r="K2923" s="4">
        <v>0</v>
      </c>
      <c r="L2923" s="94">
        <v>-703</v>
      </c>
      <c r="M2923" s="94">
        <v>0</v>
      </c>
    </row>
    <row r="2924" spans="3:13" x14ac:dyDescent="0.3">
      <c r="C2924" t="s">
        <v>61</v>
      </c>
      <c r="D2924" t="s">
        <v>67</v>
      </c>
      <c r="E2924" t="s">
        <v>63</v>
      </c>
      <c r="F2924" t="s">
        <v>25</v>
      </c>
      <c r="G2924" s="4">
        <v>5</v>
      </c>
      <c r="H2924" s="4" t="s">
        <v>76</v>
      </c>
      <c r="I2924" s="4" t="s">
        <v>69</v>
      </c>
      <c r="J2924" s="4" t="s">
        <v>66</v>
      </c>
      <c r="K2924" s="4">
        <v>0</v>
      </c>
      <c r="L2924" s="94">
        <v>-60279</v>
      </c>
      <c r="M2924" s="94">
        <v>0</v>
      </c>
    </row>
    <row r="2925" spans="3:13" x14ac:dyDescent="0.3">
      <c r="C2925" t="s">
        <v>70</v>
      </c>
      <c r="D2925" t="s">
        <v>62</v>
      </c>
      <c r="E2925" t="s">
        <v>68</v>
      </c>
      <c r="F2925" t="s">
        <v>24</v>
      </c>
      <c r="G2925" s="4">
        <v>36</v>
      </c>
      <c r="I2925" s="4" t="s">
        <v>69</v>
      </c>
      <c r="J2925" s="4" t="s">
        <v>66</v>
      </c>
      <c r="K2925" s="4">
        <v>0</v>
      </c>
      <c r="L2925" s="94">
        <v>81360306</v>
      </c>
      <c r="M2925" s="94">
        <v>2928971016</v>
      </c>
    </row>
    <row r="2926" spans="3:13" x14ac:dyDescent="0.3">
      <c r="C2926" t="s">
        <v>61</v>
      </c>
      <c r="D2926" t="s">
        <v>67</v>
      </c>
      <c r="E2926" t="s">
        <v>63</v>
      </c>
      <c r="F2926" t="s">
        <v>26</v>
      </c>
      <c r="G2926" s="4">
        <v>1</v>
      </c>
      <c r="H2926" s="4" t="s">
        <v>82</v>
      </c>
      <c r="I2926" s="4" t="s">
        <v>65</v>
      </c>
      <c r="J2926" s="4" t="s">
        <v>66</v>
      </c>
      <c r="K2926" s="4">
        <v>1</v>
      </c>
      <c r="L2926" s="94">
        <v>-144707</v>
      </c>
      <c r="M2926" s="94">
        <v>0</v>
      </c>
    </row>
    <row r="2927" spans="3:13" x14ac:dyDescent="0.3">
      <c r="C2927" t="s">
        <v>61</v>
      </c>
      <c r="D2927" t="s">
        <v>67</v>
      </c>
      <c r="E2927" t="s">
        <v>63</v>
      </c>
      <c r="F2927" t="s">
        <v>25</v>
      </c>
      <c r="G2927" s="4">
        <v>11</v>
      </c>
      <c r="H2927" s="4" t="s">
        <v>17</v>
      </c>
      <c r="I2927" s="4" t="s">
        <v>69</v>
      </c>
      <c r="J2927" s="4" t="s">
        <v>66</v>
      </c>
      <c r="K2927" s="4">
        <v>1</v>
      </c>
      <c r="L2927" s="94">
        <v>-212</v>
      </c>
      <c r="M2927" s="94">
        <v>0</v>
      </c>
    </row>
    <row r="2928" spans="3:13" x14ac:dyDescent="0.3">
      <c r="C2928" t="s">
        <v>61</v>
      </c>
      <c r="D2928" t="s">
        <v>62</v>
      </c>
      <c r="E2928" t="s">
        <v>68</v>
      </c>
      <c r="F2928" t="s">
        <v>24</v>
      </c>
      <c r="G2928" s="4">
        <v>36</v>
      </c>
      <c r="I2928" s="4" t="s">
        <v>65</v>
      </c>
      <c r="J2928" s="4" t="s">
        <v>66</v>
      </c>
      <c r="K2928" s="4">
        <v>1</v>
      </c>
      <c r="L2928" s="94">
        <v>19981643</v>
      </c>
      <c r="M2928" s="94">
        <v>719339148</v>
      </c>
    </row>
    <row r="2929" spans="3:13" x14ac:dyDescent="0.3">
      <c r="C2929" t="s">
        <v>61</v>
      </c>
      <c r="D2929" t="s">
        <v>67</v>
      </c>
      <c r="E2929" t="s">
        <v>68</v>
      </c>
      <c r="F2929" t="s">
        <v>26</v>
      </c>
      <c r="G2929" s="4">
        <v>1</v>
      </c>
      <c r="H2929" s="4" t="s">
        <v>78</v>
      </c>
      <c r="I2929" s="4" t="s">
        <v>69</v>
      </c>
      <c r="J2929" s="4" t="s">
        <v>66</v>
      </c>
      <c r="K2929" s="4">
        <v>0</v>
      </c>
      <c r="L2929" s="94">
        <v>5617312</v>
      </c>
      <c r="M2929" s="94">
        <v>5617312</v>
      </c>
    </row>
    <row r="2930" spans="3:13" x14ac:dyDescent="0.3">
      <c r="C2930" t="s">
        <v>61</v>
      </c>
      <c r="D2930" t="s">
        <v>67</v>
      </c>
      <c r="E2930" t="s">
        <v>63</v>
      </c>
      <c r="F2930" t="s">
        <v>25</v>
      </c>
      <c r="G2930" s="4">
        <v>3</v>
      </c>
      <c r="H2930" s="4" t="s">
        <v>12</v>
      </c>
      <c r="I2930" s="4" t="s">
        <v>69</v>
      </c>
      <c r="J2930" s="4" t="s">
        <v>73</v>
      </c>
      <c r="K2930" s="4">
        <v>1</v>
      </c>
      <c r="L2930" s="94">
        <v>-14</v>
      </c>
      <c r="M2930" s="94">
        <v>0</v>
      </c>
    </row>
    <row r="2931" spans="3:13" x14ac:dyDescent="0.3">
      <c r="C2931" t="s">
        <v>61</v>
      </c>
      <c r="D2931" t="s">
        <v>67</v>
      </c>
      <c r="E2931" t="s">
        <v>68</v>
      </c>
      <c r="F2931" t="s">
        <v>72</v>
      </c>
      <c r="G2931" s="4">
        <v>4</v>
      </c>
      <c r="H2931" s="4" t="s">
        <v>64</v>
      </c>
      <c r="I2931" s="4" t="s">
        <v>69</v>
      </c>
      <c r="J2931" s="4" t="s">
        <v>66</v>
      </c>
      <c r="K2931" s="4">
        <v>0</v>
      </c>
      <c r="L2931" s="94">
        <v>11067200</v>
      </c>
      <c r="M2931" s="94">
        <v>44268800</v>
      </c>
    </row>
    <row r="2932" spans="3:13" x14ac:dyDescent="0.3">
      <c r="C2932" t="s">
        <v>70</v>
      </c>
      <c r="D2932" t="s">
        <v>67</v>
      </c>
      <c r="E2932" t="s">
        <v>63</v>
      </c>
      <c r="F2932" t="s">
        <v>25</v>
      </c>
      <c r="G2932" s="4">
        <v>11</v>
      </c>
      <c r="H2932" s="4" t="s">
        <v>18</v>
      </c>
      <c r="I2932" s="4" t="s">
        <v>69</v>
      </c>
      <c r="J2932" s="4" t="s">
        <v>66</v>
      </c>
      <c r="K2932" s="4">
        <v>1</v>
      </c>
      <c r="L2932" s="94">
        <v>-11524</v>
      </c>
      <c r="M2932" s="94">
        <v>0</v>
      </c>
    </row>
    <row r="2933" spans="3:13" x14ac:dyDescent="0.3">
      <c r="C2933" t="s">
        <v>70</v>
      </c>
      <c r="D2933" t="s">
        <v>67</v>
      </c>
      <c r="E2933" t="s">
        <v>63</v>
      </c>
      <c r="F2933" t="s">
        <v>72</v>
      </c>
      <c r="G2933" s="4">
        <v>0</v>
      </c>
      <c r="H2933" s="4" t="s">
        <v>78</v>
      </c>
      <c r="I2933" s="4" t="s">
        <v>69</v>
      </c>
      <c r="J2933" s="4" t="s">
        <v>66</v>
      </c>
      <c r="K2933" s="4">
        <v>0</v>
      </c>
      <c r="L2933" s="94">
        <v>-34</v>
      </c>
      <c r="M2933" s="94">
        <v>0</v>
      </c>
    </row>
    <row r="2934" spans="3:13" x14ac:dyDescent="0.3">
      <c r="C2934" t="s">
        <v>71</v>
      </c>
      <c r="D2934" t="s">
        <v>67</v>
      </c>
      <c r="E2934" t="s">
        <v>68</v>
      </c>
      <c r="F2934" t="s">
        <v>72</v>
      </c>
      <c r="G2934" s="4">
        <v>1</v>
      </c>
      <c r="H2934" s="4" t="s">
        <v>13</v>
      </c>
      <c r="I2934" s="4" t="s">
        <v>69</v>
      </c>
      <c r="J2934" s="4" t="s">
        <v>73</v>
      </c>
      <c r="K2934" s="4">
        <v>1</v>
      </c>
      <c r="L2934" s="94">
        <v>71154</v>
      </c>
      <c r="M2934" s="94">
        <v>71154</v>
      </c>
    </row>
    <row r="2935" spans="3:13" x14ac:dyDescent="0.3">
      <c r="C2935" t="s">
        <v>70</v>
      </c>
      <c r="D2935" t="s">
        <v>67</v>
      </c>
      <c r="E2935" t="s">
        <v>63</v>
      </c>
      <c r="F2935" t="s">
        <v>26</v>
      </c>
      <c r="G2935" s="4">
        <v>3</v>
      </c>
      <c r="H2935" s="4" t="s">
        <v>17</v>
      </c>
      <c r="I2935" s="4" t="s">
        <v>69</v>
      </c>
      <c r="J2935" s="4" t="s">
        <v>73</v>
      </c>
      <c r="K2935" s="4">
        <v>1</v>
      </c>
      <c r="L2935" s="94">
        <v>-93061</v>
      </c>
      <c r="M2935" s="94">
        <v>0</v>
      </c>
    </row>
    <row r="2936" spans="3:13" x14ac:dyDescent="0.3">
      <c r="C2936" t="s">
        <v>61</v>
      </c>
      <c r="D2936" t="s">
        <v>67</v>
      </c>
      <c r="E2936" t="s">
        <v>63</v>
      </c>
      <c r="F2936" t="s">
        <v>26</v>
      </c>
      <c r="G2936" s="4">
        <v>3</v>
      </c>
      <c r="H2936" s="4" t="s">
        <v>83</v>
      </c>
      <c r="I2936" s="4" t="s">
        <v>69</v>
      </c>
      <c r="J2936" s="4" t="s">
        <v>66</v>
      </c>
      <c r="K2936" s="4">
        <v>0</v>
      </c>
      <c r="L2936" s="94">
        <v>-11743</v>
      </c>
      <c r="M2936" s="94">
        <v>0</v>
      </c>
    </row>
    <row r="2937" spans="3:13" x14ac:dyDescent="0.3">
      <c r="C2937" t="s">
        <v>70</v>
      </c>
      <c r="D2937" t="s">
        <v>67</v>
      </c>
      <c r="E2937" t="s">
        <v>68</v>
      </c>
      <c r="F2937" t="s">
        <v>26</v>
      </c>
      <c r="G2937" s="4">
        <v>4</v>
      </c>
      <c r="H2937" s="4" t="s">
        <v>74</v>
      </c>
      <c r="I2937" s="4" t="s">
        <v>69</v>
      </c>
      <c r="J2937" s="4" t="s">
        <v>66</v>
      </c>
      <c r="K2937" s="4">
        <v>0</v>
      </c>
      <c r="L2937" s="94">
        <v>1627136</v>
      </c>
      <c r="M2937" s="94">
        <v>6508544</v>
      </c>
    </row>
    <row r="2938" spans="3:13" x14ac:dyDescent="0.3">
      <c r="C2938" t="s">
        <v>71</v>
      </c>
      <c r="D2938" t="s">
        <v>67</v>
      </c>
      <c r="E2938" t="s">
        <v>63</v>
      </c>
      <c r="F2938" t="s">
        <v>26</v>
      </c>
      <c r="G2938" s="4">
        <v>0</v>
      </c>
      <c r="H2938" s="4" t="s">
        <v>17</v>
      </c>
      <c r="I2938" s="4" t="s">
        <v>69</v>
      </c>
      <c r="J2938" s="4" t="s">
        <v>73</v>
      </c>
      <c r="K2938" s="4">
        <v>1</v>
      </c>
      <c r="L2938" s="94">
        <v>-10534</v>
      </c>
      <c r="M2938" s="94">
        <v>0</v>
      </c>
    </row>
    <row r="2939" spans="3:13" x14ac:dyDescent="0.3">
      <c r="C2939" t="s">
        <v>71</v>
      </c>
      <c r="D2939" t="s">
        <v>67</v>
      </c>
      <c r="E2939" t="s">
        <v>63</v>
      </c>
      <c r="F2939" t="s">
        <v>25</v>
      </c>
      <c r="G2939" s="4">
        <v>19</v>
      </c>
      <c r="H2939" s="4" t="s">
        <v>83</v>
      </c>
      <c r="I2939" s="4" t="s">
        <v>69</v>
      </c>
      <c r="J2939" s="4" t="s">
        <v>66</v>
      </c>
      <c r="K2939" s="4">
        <v>0</v>
      </c>
      <c r="L2939" s="94">
        <v>-2148609</v>
      </c>
      <c r="M2939" s="94">
        <v>0</v>
      </c>
    </row>
    <row r="2940" spans="3:13" x14ac:dyDescent="0.3">
      <c r="C2940" t="s">
        <v>61</v>
      </c>
      <c r="D2940" t="s">
        <v>62</v>
      </c>
      <c r="E2940" t="s">
        <v>68</v>
      </c>
      <c r="F2940" t="s">
        <v>24</v>
      </c>
      <c r="G2940" s="4">
        <v>21</v>
      </c>
      <c r="I2940" s="4" t="s">
        <v>69</v>
      </c>
      <c r="J2940" s="4" t="s">
        <v>66</v>
      </c>
      <c r="K2940" s="4">
        <v>1</v>
      </c>
      <c r="L2940" s="94">
        <v>3194178</v>
      </c>
      <c r="M2940" s="94">
        <v>67077738</v>
      </c>
    </row>
    <row r="2941" spans="3:13" x14ac:dyDescent="0.3">
      <c r="C2941" t="s">
        <v>70</v>
      </c>
      <c r="D2941" t="s">
        <v>67</v>
      </c>
      <c r="E2941" t="s">
        <v>68</v>
      </c>
      <c r="F2941" t="s">
        <v>26</v>
      </c>
      <c r="G2941" s="4">
        <v>-1</v>
      </c>
      <c r="H2941" s="4" t="s">
        <v>13</v>
      </c>
      <c r="I2941" s="4" t="s">
        <v>69</v>
      </c>
      <c r="J2941" s="4" t="s">
        <v>66</v>
      </c>
      <c r="K2941" s="4">
        <v>0</v>
      </c>
      <c r="L2941" s="94">
        <v>938</v>
      </c>
      <c r="M2941" s="94">
        <v>0</v>
      </c>
    </row>
    <row r="2942" spans="3:13" x14ac:dyDescent="0.3">
      <c r="C2942" t="s">
        <v>70</v>
      </c>
      <c r="D2942" t="s">
        <v>67</v>
      </c>
      <c r="E2942" t="s">
        <v>68</v>
      </c>
      <c r="F2942" t="s">
        <v>72</v>
      </c>
      <c r="G2942" s="4">
        <v>0</v>
      </c>
      <c r="H2942" s="4" t="s">
        <v>77</v>
      </c>
      <c r="I2942" s="4" t="s">
        <v>69</v>
      </c>
      <c r="J2942" s="4" t="s">
        <v>66</v>
      </c>
      <c r="K2942" s="4">
        <v>0</v>
      </c>
      <c r="L2942" s="94">
        <v>1274</v>
      </c>
      <c r="M2942" s="94">
        <v>0</v>
      </c>
    </row>
    <row r="2943" spans="3:13" x14ac:dyDescent="0.3">
      <c r="C2943" t="s">
        <v>71</v>
      </c>
      <c r="D2943" t="s">
        <v>67</v>
      </c>
      <c r="E2943" t="s">
        <v>68</v>
      </c>
      <c r="F2943" t="s">
        <v>25</v>
      </c>
      <c r="G2943" s="4">
        <v>11</v>
      </c>
      <c r="H2943" s="4" t="s">
        <v>64</v>
      </c>
      <c r="I2943" s="4" t="s">
        <v>69</v>
      </c>
      <c r="J2943" s="4" t="s">
        <v>66</v>
      </c>
      <c r="K2943" s="4">
        <v>0</v>
      </c>
      <c r="L2943" s="94">
        <v>5604</v>
      </c>
      <c r="M2943" s="94">
        <v>61644</v>
      </c>
    </row>
    <row r="2944" spans="3:13" x14ac:dyDescent="0.3">
      <c r="C2944" t="s">
        <v>61</v>
      </c>
      <c r="D2944" t="s">
        <v>67</v>
      </c>
      <c r="E2944" t="s">
        <v>63</v>
      </c>
      <c r="F2944" t="s">
        <v>72</v>
      </c>
      <c r="G2944" s="4">
        <v>3</v>
      </c>
      <c r="H2944" s="4" t="s">
        <v>13</v>
      </c>
      <c r="I2944" s="4" t="s">
        <v>69</v>
      </c>
      <c r="J2944" s="4" t="s">
        <v>66</v>
      </c>
      <c r="K2944" s="4">
        <v>0</v>
      </c>
      <c r="L2944" s="94">
        <v>-53</v>
      </c>
      <c r="M2944" s="94">
        <v>0</v>
      </c>
    </row>
    <row r="2945" spans="3:13" x14ac:dyDescent="0.3">
      <c r="C2945" t="s">
        <v>71</v>
      </c>
      <c r="D2945" t="s">
        <v>67</v>
      </c>
      <c r="E2945" t="s">
        <v>68</v>
      </c>
      <c r="F2945" t="s">
        <v>72</v>
      </c>
      <c r="G2945" s="4">
        <v>2</v>
      </c>
      <c r="H2945" s="4" t="s">
        <v>82</v>
      </c>
      <c r="I2945" s="4" t="s">
        <v>69</v>
      </c>
      <c r="J2945" s="4" t="s">
        <v>66</v>
      </c>
      <c r="K2945" s="4">
        <v>0</v>
      </c>
      <c r="L2945" s="94">
        <v>159619</v>
      </c>
      <c r="M2945" s="94">
        <v>319238</v>
      </c>
    </row>
    <row r="2946" spans="3:13" x14ac:dyDescent="0.3">
      <c r="C2946" t="s">
        <v>61</v>
      </c>
      <c r="D2946" t="s">
        <v>67</v>
      </c>
      <c r="E2946" t="s">
        <v>68</v>
      </c>
      <c r="F2946" t="s">
        <v>26</v>
      </c>
      <c r="G2946" s="4">
        <v>0</v>
      </c>
      <c r="H2946" s="4" t="s">
        <v>17</v>
      </c>
      <c r="I2946" s="4" t="s">
        <v>69</v>
      </c>
      <c r="J2946" s="4" t="s">
        <v>73</v>
      </c>
      <c r="K2946" s="4">
        <v>1</v>
      </c>
      <c r="L2946" s="94">
        <v>1492359</v>
      </c>
      <c r="M2946" s="94">
        <v>0</v>
      </c>
    </row>
    <row r="2947" spans="3:13" x14ac:dyDescent="0.3">
      <c r="C2947" t="s">
        <v>61</v>
      </c>
      <c r="D2947" t="s">
        <v>67</v>
      </c>
      <c r="E2947" t="s">
        <v>68</v>
      </c>
      <c r="F2947" t="s">
        <v>72</v>
      </c>
      <c r="G2947" s="4">
        <v>-1</v>
      </c>
      <c r="H2947" s="4" t="s">
        <v>74</v>
      </c>
      <c r="I2947" s="4" t="s">
        <v>69</v>
      </c>
      <c r="J2947" s="4" t="s">
        <v>66</v>
      </c>
      <c r="K2947" s="4">
        <v>0</v>
      </c>
      <c r="L2947" s="94">
        <v>2047332</v>
      </c>
      <c r="M2947" s="94">
        <v>0</v>
      </c>
    </row>
    <row r="2948" spans="3:13" x14ac:dyDescent="0.3">
      <c r="C2948" t="s">
        <v>71</v>
      </c>
      <c r="D2948" t="s">
        <v>67</v>
      </c>
      <c r="E2948" t="s">
        <v>68</v>
      </c>
      <c r="F2948" t="s">
        <v>72</v>
      </c>
      <c r="G2948" s="4">
        <v>-4</v>
      </c>
      <c r="H2948" s="4" t="s">
        <v>12</v>
      </c>
      <c r="I2948" s="4" t="s">
        <v>69</v>
      </c>
      <c r="J2948" s="4" t="s">
        <v>73</v>
      </c>
      <c r="K2948" s="4">
        <v>1</v>
      </c>
      <c r="L2948" s="94">
        <v>52425</v>
      </c>
      <c r="M2948" s="94">
        <v>0</v>
      </c>
    </row>
    <row r="2949" spans="3:13" x14ac:dyDescent="0.3">
      <c r="C2949" t="s">
        <v>61</v>
      </c>
      <c r="D2949" t="s">
        <v>67</v>
      </c>
      <c r="E2949" t="s">
        <v>68</v>
      </c>
      <c r="F2949" t="s">
        <v>25</v>
      </c>
      <c r="G2949" s="4">
        <v>16</v>
      </c>
      <c r="H2949" s="4" t="s">
        <v>12</v>
      </c>
      <c r="I2949" s="4" t="s">
        <v>69</v>
      </c>
      <c r="J2949" s="4" t="s">
        <v>66</v>
      </c>
      <c r="K2949" s="4">
        <v>1</v>
      </c>
      <c r="L2949" s="94">
        <v>907920</v>
      </c>
      <c r="M2949" s="94">
        <v>14526720</v>
      </c>
    </row>
    <row r="2950" spans="3:13" x14ac:dyDescent="0.3">
      <c r="C2950" t="s">
        <v>70</v>
      </c>
      <c r="D2950" t="s">
        <v>67</v>
      </c>
      <c r="E2950" t="s">
        <v>68</v>
      </c>
      <c r="F2950" t="s">
        <v>25</v>
      </c>
      <c r="G2950" s="4">
        <v>16</v>
      </c>
      <c r="H2950" s="4" t="s">
        <v>16</v>
      </c>
      <c r="I2950" s="4" t="s">
        <v>69</v>
      </c>
      <c r="J2950" s="4" t="s">
        <v>66</v>
      </c>
      <c r="K2950" s="4">
        <v>0</v>
      </c>
      <c r="L2950" s="94">
        <v>126507</v>
      </c>
      <c r="M2950" s="94">
        <v>2024112</v>
      </c>
    </row>
    <row r="2951" spans="3:13" x14ac:dyDescent="0.3">
      <c r="C2951" t="s">
        <v>71</v>
      </c>
      <c r="D2951" t="s">
        <v>62</v>
      </c>
      <c r="E2951" t="s">
        <v>68</v>
      </c>
      <c r="F2951" t="s">
        <v>24</v>
      </c>
      <c r="G2951" s="4">
        <v>29</v>
      </c>
      <c r="I2951" s="4" t="s">
        <v>69</v>
      </c>
      <c r="J2951" s="4" t="s">
        <v>66</v>
      </c>
      <c r="K2951" s="4">
        <v>0</v>
      </c>
      <c r="L2951" s="94">
        <v>10700102</v>
      </c>
      <c r="M2951" s="94">
        <v>310302958</v>
      </c>
    </row>
    <row r="2952" spans="3:13" x14ac:dyDescent="0.3">
      <c r="C2952" t="s">
        <v>61</v>
      </c>
      <c r="D2952" t="s">
        <v>67</v>
      </c>
      <c r="E2952" t="s">
        <v>68</v>
      </c>
      <c r="F2952" t="s">
        <v>26</v>
      </c>
      <c r="G2952" s="4">
        <v>8</v>
      </c>
      <c r="H2952" s="4" t="s">
        <v>12</v>
      </c>
      <c r="I2952" s="4" t="s">
        <v>69</v>
      </c>
      <c r="J2952" s="4" t="s">
        <v>73</v>
      </c>
      <c r="K2952" s="4">
        <v>1</v>
      </c>
      <c r="L2952" s="94">
        <v>1356287</v>
      </c>
      <c r="M2952" s="94">
        <v>10850296</v>
      </c>
    </row>
    <row r="2953" spans="3:13" x14ac:dyDescent="0.3">
      <c r="C2953" t="s">
        <v>70</v>
      </c>
      <c r="D2953" t="s">
        <v>67</v>
      </c>
      <c r="E2953" t="s">
        <v>63</v>
      </c>
      <c r="F2953" t="s">
        <v>26</v>
      </c>
      <c r="G2953" s="4">
        <v>-1</v>
      </c>
      <c r="H2953" s="4" t="s">
        <v>81</v>
      </c>
      <c r="I2953" s="4" t="s">
        <v>69</v>
      </c>
      <c r="J2953" s="4" t="s">
        <v>66</v>
      </c>
      <c r="K2953" s="4">
        <v>0</v>
      </c>
      <c r="L2953" s="94">
        <v>-2038</v>
      </c>
      <c r="M2953" s="94">
        <v>0</v>
      </c>
    </row>
    <row r="2954" spans="3:13" x14ac:dyDescent="0.3">
      <c r="C2954" t="s">
        <v>70</v>
      </c>
      <c r="D2954" t="s">
        <v>62</v>
      </c>
      <c r="E2954" t="s">
        <v>68</v>
      </c>
      <c r="F2954" t="s">
        <v>24</v>
      </c>
      <c r="G2954" s="4">
        <v>37</v>
      </c>
      <c r="I2954" s="4" t="s">
        <v>69</v>
      </c>
      <c r="J2954" s="4" t="s">
        <v>66</v>
      </c>
      <c r="K2954" s="4">
        <v>1</v>
      </c>
      <c r="L2954" s="94">
        <v>372293</v>
      </c>
      <c r="M2954" s="94">
        <v>13774841</v>
      </c>
    </row>
    <row r="2955" spans="3:13" x14ac:dyDescent="0.3">
      <c r="C2955" t="s">
        <v>70</v>
      </c>
      <c r="D2955" t="s">
        <v>62</v>
      </c>
      <c r="E2955" t="s">
        <v>63</v>
      </c>
      <c r="F2955" t="s">
        <v>25</v>
      </c>
      <c r="G2955" s="4">
        <v>2</v>
      </c>
      <c r="I2955" s="4" t="s">
        <v>69</v>
      </c>
      <c r="J2955" s="4" t="s">
        <v>66</v>
      </c>
      <c r="K2955" s="4">
        <v>0</v>
      </c>
      <c r="L2955" s="94">
        <v>-44148</v>
      </c>
      <c r="M2955" s="94">
        <v>0</v>
      </c>
    </row>
    <row r="2956" spans="3:13" x14ac:dyDescent="0.3">
      <c r="C2956" t="s">
        <v>61</v>
      </c>
      <c r="D2956" t="s">
        <v>67</v>
      </c>
      <c r="E2956" t="s">
        <v>63</v>
      </c>
      <c r="F2956" t="s">
        <v>72</v>
      </c>
      <c r="G2956" s="4">
        <v>0</v>
      </c>
      <c r="H2956" s="4" t="s">
        <v>77</v>
      </c>
      <c r="I2956" s="4" t="s">
        <v>69</v>
      </c>
      <c r="J2956" s="4" t="s">
        <v>66</v>
      </c>
      <c r="K2956" s="4">
        <v>0</v>
      </c>
      <c r="L2956" s="94">
        <v>-124</v>
      </c>
      <c r="M2956" s="94">
        <v>0</v>
      </c>
    </row>
    <row r="2957" spans="3:13" x14ac:dyDescent="0.3">
      <c r="C2957" t="s">
        <v>71</v>
      </c>
      <c r="D2957" t="s">
        <v>67</v>
      </c>
      <c r="E2957" t="s">
        <v>63</v>
      </c>
      <c r="F2957" t="s">
        <v>72</v>
      </c>
      <c r="G2957" s="4">
        <v>1</v>
      </c>
      <c r="H2957" s="4" t="s">
        <v>75</v>
      </c>
      <c r="I2957" s="4" t="s">
        <v>69</v>
      </c>
      <c r="J2957" s="4" t="s">
        <v>66</v>
      </c>
      <c r="K2957" s="4">
        <v>0</v>
      </c>
      <c r="L2957" s="94">
        <v>-7337</v>
      </c>
      <c r="M2957" s="94">
        <v>0</v>
      </c>
    </row>
    <row r="2958" spans="3:13" x14ac:dyDescent="0.3">
      <c r="C2958" t="s">
        <v>71</v>
      </c>
      <c r="D2958" t="s">
        <v>67</v>
      </c>
      <c r="E2958" t="s">
        <v>63</v>
      </c>
      <c r="F2958" t="s">
        <v>25</v>
      </c>
      <c r="G2958" s="4">
        <v>3</v>
      </c>
      <c r="H2958" s="4" t="s">
        <v>75</v>
      </c>
      <c r="I2958" s="4" t="s">
        <v>69</v>
      </c>
      <c r="J2958" s="4" t="s">
        <v>66</v>
      </c>
      <c r="K2958" s="4">
        <v>0</v>
      </c>
      <c r="L2958" s="94">
        <v>-680561</v>
      </c>
      <c r="M2958" s="94">
        <v>0</v>
      </c>
    </row>
    <row r="2959" spans="3:13" x14ac:dyDescent="0.3">
      <c r="C2959" t="s">
        <v>70</v>
      </c>
      <c r="D2959" t="s">
        <v>67</v>
      </c>
      <c r="E2959" t="s">
        <v>68</v>
      </c>
      <c r="F2959" t="s">
        <v>26</v>
      </c>
      <c r="G2959" s="4">
        <v>0</v>
      </c>
      <c r="H2959" s="4" t="s">
        <v>79</v>
      </c>
      <c r="I2959" s="4" t="s">
        <v>69</v>
      </c>
      <c r="J2959" s="4" t="s">
        <v>66</v>
      </c>
      <c r="K2959" s="4">
        <v>0</v>
      </c>
      <c r="L2959" s="94">
        <v>393618</v>
      </c>
      <c r="M2959" s="94">
        <v>0</v>
      </c>
    </row>
    <row r="2960" spans="3:13" x14ac:dyDescent="0.3">
      <c r="C2960" t="s">
        <v>71</v>
      </c>
      <c r="D2960" t="s">
        <v>67</v>
      </c>
      <c r="E2960" t="s">
        <v>63</v>
      </c>
      <c r="F2960" t="s">
        <v>25</v>
      </c>
      <c r="G2960" s="4">
        <v>-1</v>
      </c>
      <c r="H2960" s="4" t="s">
        <v>12</v>
      </c>
      <c r="I2960" s="4" t="s">
        <v>69</v>
      </c>
      <c r="J2960" s="4" t="s">
        <v>66</v>
      </c>
      <c r="K2960" s="4">
        <v>1</v>
      </c>
      <c r="L2960" s="94">
        <v>-223</v>
      </c>
      <c r="M2960" s="94">
        <v>0</v>
      </c>
    </row>
    <row r="2961" spans="3:13" x14ac:dyDescent="0.3">
      <c r="C2961" t="s">
        <v>70</v>
      </c>
      <c r="D2961" t="s">
        <v>67</v>
      </c>
      <c r="E2961" t="s">
        <v>68</v>
      </c>
      <c r="F2961" t="s">
        <v>26</v>
      </c>
      <c r="G2961" s="4">
        <v>2</v>
      </c>
      <c r="H2961" s="4" t="s">
        <v>75</v>
      </c>
      <c r="I2961" s="4" t="s">
        <v>69</v>
      </c>
      <c r="J2961" s="4" t="s">
        <v>66</v>
      </c>
      <c r="K2961" s="4">
        <v>0</v>
      </c>
      <c r="L2961" s="94">
        <v>2927630</v>
      </c>
      <c r="M2961" s="94">
        <v>5855260</v>
      </c>
    </row>
    <row r="2962" spans="3:13" x14ac:dyDescent="0.3">
      <c r="C2962" t="s">
        <v>61</v>
      </c>
      <c r="D2962" t="s">
        <v>67</v>
      </c>
      <c r="E2962" t="s">
        <v>63</v>
      </c>
      <c r="F2962" t="s">
        <v>72</v>
      </c>
      <c r="G2962" s="4">
        <v>0</v>
      </c>
      <c r="H2962" s="4" t="s">
        <v>12</v>
      </c>
      <c r="I2962" s="4" t="s">
        <v>65</v>
      </c>
      <c r="J2962" s="4" t="s">
        <v>73</v>
      </c>
      <c r="K2962" s="4">
        <v>1</v>
      </c>
      <c r="L2962" s="94">
        <v>-9</v>
      </c>
      <c r="M2962" s="94">
        <v>0</v>
      </c>
    </row>
    <row r="2963" spans="3:13" x14ac:dyDescent="0.3">
      <c r="C2963" t="s">
        <v>70</v>
      </c>
      <c r="D2963" t="s">
        <v>67</v>
      </c>
      <c r="E2963" t="s">
        <v>63</v>
      </c>
      <c r="F2963" t="s">
        <v>72</v>
      </c>
      <c r="G2963" s="4">
        <v>-4</v>
      </c>
      <c r="H2963" s="4" t="s">
        <v>64</v>
      </c>
      <c r="I2963" s="4" t="s">
        <v>69</v>
      </c>
      <c r="J2963" s="4" t="s">
        <v>66</v>
      </c>
      <c r="K2963" s="4">
        <v>0</v>
      </c>
      <c r="L2963" s="94">
        <v>-1797</v>
      </c>
      <c r="M2963" s="94">
        <v>0</v>
      </c>
    </row>
    <row r="2964" spans="3:13" x14ac:dyDescent="0.3">
      <c r="C2964" t="s">
        <v>70</v>
      </c>
      <c r="D2964" t="s">
        <v>67</v>
      </c>
      <c r="E2964" t="s">
        <v>68</v>
      </c>
      <c r="F2964" t="s">
        <v>26</v>
      </c>
      <c r="G2964" s="4">
        <v>1</v>
      </c>
      <c r="H2964" s="4" t="s">
        <v>18</v>
      </c>
      <c r="I2964" s="4" t="s">
        <v>69</v>
      </c>
      <c r="J2964" s="4" t="s">
        <v>73</v>
      </c>
      <c r="K2964" s="4">
        <v>1</v>
      </c>
      <c r="L2964" s="94">
        <v>662980</v>
      </c>
      <c r="M2964" s="94">
        <v>662980</v>
      </c>
    </row>
    <row r="2965" spans="3:13" x14ac:dyDescent="0.3">
      <c r="C2965" t="s">
        <v>61</v>
      </c>
      <c r="D2965" t="s">
        <v>67</v>
      </c>
      <c r="E2965" t="s">
        <v>68</v>
      </c>
      <c r="F2965" t="s">
        <v>26</v>
      </c>
      <c r="G2965" s="4">
        <v>2</v>
      </c>
      <c r="H2965" s="4" t="s">
        <v>12</v>
      </c>
      <c r="I2965" s="4" t="s">
        <v>69</v>
      </c>
      <c r="J2965" s="4" t="s">
        <v>73</v>
      </c>
      <c r="K2965" s="4">
        <v>1</v>
      </c>
      <c r="L2965" s="94">
        <v>7569136</v>
      </c>
      <c r="M2965" s="94">
        <v>15138272</v>
      </c>
    </row>
    <row r="2966" spans="3:13" x14ac:dyDescent="0.3">
      <c r="C2966" t="s">
        <v>61</v>
      </c>
      <c r="D2966" t="s">
        <v>67</v>
      </c>
      <c r="E2966" t="s">
        <v>68</v>
      </c>
      <c r="F2966" t="s">
        <v>25</v>
      </c>
      <c r="G2966" s="4">
        <v>21</v>
      </c>
      <c r="H2966" s="4" t="s">
        <v>79</v>
      </c>
      <c r="I2966" s="4" t="s">
        <v>69</v>
      </c>
      <c r="J2966" s="4" t="s">
        <v>66</v>
      </c>
      <c r="K2966" s="4">
        <v>0</v>
      </c>
      <c r="L2966" s="94">
        <v>445505</v>
      </c>
      <c r="M2966" s="94">
        <v>9355605</v>
      </c>
    </row>
    <row r="2967" spans="3:13" x14ac:dyDescent="0.3">
      <c r="C2967" t="s">
        <v>61</v>
      </c>
      <c r="D2967" t="s">
        <v>62</v>
      </c>
      <c r="E2967" t="s">
        <v>63</v>
      </c>
      <c r="F2967" t="s">
        <v>25</v>
      </c>
      <c r="G2967" s="4">
        <v>9</v>
      </c>
      <c r="I2967" s="4" t="s">
        <v>69</v>
      </c>
      <c r="J2967" s="4" t="s">
        <v>66</v>
      </c>
      <c r="K2967" s="4">
        <v>1</v>
      </c>
      <c r="L2967" s="94">
        <v>-1106</v>
      </c>
      <c r="M2967" s="94">
        <v>0</v>
      </c>
    </row>
    <row r="2968" spans="3:13" x14ac:dyDescent="0.3">
      <c r="C2968" t="s">
        <v>70</v>
      </c>
      <c r="D2968" t="s">
        <v>67</v>
      </c>
      <c r="E2968" t="s">
        <v>63</v>
      </c>
      <c r="F2968" t="s">
        <v>26</v>
      </c>
      <c r="G2968" s="4">
        <v>4</v>
      </c>
      <c r="H2968" s="4" t="s">
        <v>13</v>
      </c>
      <c r="I2968" s="4" t="s">
        <v>69</v>
      </c>
      <c r="J2968" s="4" t="s">
        <v>66</v>
      </c>
      <c r="K2968" s="4">
        <v>0</v>
      </c>
      <c r="L2968" s="94">
        <v>-11837</v>
      </c>
      <c r="M2968" s="94">
        <v>0</v>
      </c>
    </row>
    <row r="2969" spans="3:13" x14ac:dyDescent="0.3">
      <c r="C2969" t="s">
        <v>61</v>
      </c>
      <c r="D2969" t="s">
        <v>67</v>
      </c>
      <c r="E2969" t="s">
        <v>63</v>
      </c>
      <c r="F2969" t="s">
        <v>26</v>
      </c>
      <c r="G2969" s="4">
        <v>3</v>
      </c>
      <c r="H2969" s="4" t="s">
        <v>82</v>
      </c>
      <c r="I2969" s="4" t="s">
        <v>69</v>
      </c>
      <c r="J2969" s="4" t="s">
        <v>66</v>
      </c>
      <c r="K2969" s="4">
        <v>0</v>
      </c>
      <c r="L2969" s="94">
        <v>-75769</v>
      </c>
      <c r="M2969" s="94">
        <v>0</v>
      </c>
    </row>
    <row r="2970" spans="3:13" x14ac:dyDescent="0.3">
      <c r="C2970" t="s">
        <v>71</v>
      </c>
      <c r="D2970" t="s">
        <v>67</v>
      </c>
      <c r="E2970" t="s">
        <v>68</v>
      </c>
      <c r="F2970" t="s">
        <v>25</v>
      </c>
      <c r="G2970" s="4">
        <v>5</v>
      </c>
      <c r="H2970" s="4" t="s">
        <v>14</v>
      </c>
      <c r="I2970" s="4" t="s">
        <v>69</v>
      </c>
      <c r="J2970" s="4" t="s">
        <v>66</v>
      </c>
      <c r="K2970" s="4">
        <v>0</v>
      </c>
      <c r="L2970" s="94">
        <v>1201439</v>
      </c>
      <c r="M2970" s="94">
        <v>6007195</v>
      </c>
    </row>
    <row r="2971" spans="3:13" x14ac:dyDescent="0.3">
      <c r="C2971" t="s">
        <v>70</v>
      </c>
      <c r="D2971" t="s">
        <v>67</v>
      </c>
      <c r="E2971" t="s">
        <v>63</v>
      </c>
      <c r="F2971" t="s">
        <v>72</v>
      </c>
      <c r="G2971" s="4">
        <v>4</v>
      </c>
      <c r="H2971" s="4" t="s">
        <v>17</v>
      </c>
      <c r="I2971" s="4" t="s">
        <v>69</v>
      </c>
      <c r="J2971" s="4" t="s">
        <v>66</v>
      </c>
      <c r="K2971" s="4">
        <v>0</v>
      </c>
      <c r="L2971" s="94">
        <v>-103463</v>
      </c>
      <c r="M2971" s="94">
        <v>0</v>
      </c>
    </row>
    <row r="2972" spans="3:13" x14ac:dyDescent="0.3">
      <c r="C2972" t="s">
        <v>70</v>
      </c>
      <c r="D2972" t="s">
        <v>67</v>
      </c>
      <c r="E2972" t="s">
        <v>68</v>
      </c>
      <c r="F2972" t="s">
        <v>72</v>
      </c>
      <c r="G2972" s="4">
        <v>0</v>
      </c>
      <c r="H2972" s="4" t="s">
        <v>78</v>
      </c>
      <c r="I2972" s="4" t="s">
        <v>69</v>
      </c>
      <c r="J2972" s="4" t="s">
        <v>66</v>
      </c>
      <c r="K2972" s="4">
        <v>0</v>
      </c>
      <c r="L2972" s="94">
        <v>1496</v>
      </c>
      <c r="M2972" s="94">
        <v>0</v>
      </c>
    </row>
    <row r="2973" spans="3:13" x14ac:dyDescent="0.3">
      <c r="C2973" t="s">
        <v>70</v>
      </c>
      <c r="D2973" t="s">
        <v>67</v>
      </c>
      <c r="E2973" t="s">
        <v>68</v>
      </c>
      <c r="F2973" t="s">
        <v>72</v>
      </c>
      <c r="G2973" s="4">
        <v>3</v>
      </c>
      <c r="H2973" s="4" t="s">
        <v>79</v>
      </c>
      <c r="I2973" s="4" t="s">
        <v>69</v>
      </c>
      <c r="J2973" s="4" t="s">
        <v>66</v>
      </c>
      <c r="K2973" s="4">
        <v>0</v>
      </c>
      <c r="L2973" s="94">
        <v>683285</v>
      </c>
      <c r="M2973" s="94">
        <v>2049855</v>
      </c>
    </row>
    <row r="2974" spans="3:13" x14ac:dyDescent="0.3">
      <c r="C2974" t="s">
        <v>61</v>
      </c>
      <c r="D2974" t="s">
        <v>67</v>
      </c>
      <c r="E2974" t="s">
        <v>68</v>
      </c>
      <c r="F2974" t="s">
        <v>26</v>
      </c>
      <c r="G2974" s="4">
        <v>2</v>
      </c>
      <c r="H2974" s="4" t="s">
        <v>17</v>
      </c>
      <c r="I2974" s="4" t="s">
        <v>65</v>
      </c>
      <c r="J2974" s="4" t="s">
        <v>66</v>
      </c>
      <c r="K2974" s="4">
        <v>1</v>
      </c>
      <c r="L2974" s="94">
        <v>69369</v>
      </c>
      <c r="M2974" s="94">
        <v>138738</v>
      </c>
    </row>
    <row r="2975" spans="3:13" x14ac:dyDescent="0.3">
      <c r="C2975" t="s">
        <v>61</v>
      </c>
      <c r="D2975" t="s">
        <v>84</v>
      </c>
      <c r="E2975" t="s">
        <v>63</v>
      </c>
      <c r="F2975" t="s">
        <v>25</v>
      </c>
      <c r="G2975" s="4">
        <v>4</v>
      </c>
      <c r="H2975" s="4" t="s">
        <v>81</v>
      </c>
      <c r="I2975" s="4" t="s">
        <v>69</v>
      </c>
      <c r="J2975" s="4" t="s">
        <v>66</v>
      </c>
      <c r="K2975" s="4">
        <v>0</v>
      </c>
      <c r="L2975" s="94">
        <v>-23660</v>
      </c>
      <c r="M2975" s="94">
        <v>0</v>
      </c>
    </row>
    <row r="2976" spans="3:13" x14ac:dyDescent="0.3">
      <c r="C2976" t="s">
        <v>71</v>
      </c>
      <c r="D2976" t="s">
        <v>67</v>
      </c>
      <c r="E2976" t="s">
        <v>68</v>
      </c>
      <c r="F2976" t="s">
        <v>72</v>
      </c>
      <c r="G2976" s="4">
        <v>2</v>
      </c>
      <c r="H2976" s="4" t="s">
        <v>83</v>
      </c>
      <c r="I2976" s="4" t="s">
        <v>69</v>
      </c>
      <c r="J2976" s="4" t="s">
        <v>66</v>
      </c>
      <c r="K2976" s="4">
        <v>0</v>
      </c>
      <c r="L2976" s="94">
        <v>15314</v>
      </c>
      <c r="M2976" s="94">
        <v>30628</v>
      </c>
    </row>
    <row r="2977" spans="3:13" x14ac:dyDescent="0.3">
      <c r="C2977" t="s">
        <v>70</v>
      </c>
      <c r="D2977" t="s">
        <v>67</v>
      </c>
      <c r="E2977" t="s">
        <v>68</v>
      </c>
      <c r="F2977" t="s">
        <v>25</v>
      </c>
      <c r="G2977" s="4">
        <v>4</v>
      </c>
      <c r="H2977" s="4" t="s">
        <v>12</v>
      </c>
      <c r="I2977" s="4" t="s">
        <v>69</v>
      </c>
      <c r="J2977" s="4" t="s">
        <v>66</v>
      </c>
      <c r="K2977" s="4">
        <v>1</v>
      </c>
      <c r="L2977" s="94">
        <v>763356</v>
      </c>
      <c r="M2977" s="94">
        <v>3053424</v>
      </c>
    </row>
    <row r="2978" spans="3:13" x14ac:dyDescent="0.3">
      <c r="C2978" t="s">
        <v>71</v>
      </c>
      <c r="D2978" t="s">
        <v>67</v>
      </c>
      <c r="E2978" t="s">
        <v>68</v>
      </c>
      <c r="F2978" t="s">
        <v>25</v>
      </c>
      <c r="G2978" s="4">
        <v>2</v>
      </c>
      <c r="H2978" s="4" t="s">
        <v>18</v>
      </c>
      <c r="I2978" s="4" t="s">
        <v>69</v>
      </c>
      <c r="J2978" s="4" t="s">
        <v>66</v>
      </c>
      <c r="K2978" s="4">
        <v>0</v>
      </c>
      <c r="L2978" s="94">
        <v>78181</v>
      </c>
      <c r="M2978" s="94">
        <v>156362</v>
      </c>
    </row>
    <row r="2979" spans="3:13" x14ac:dyDescent="0.3">
      <c r="C2979" t="s">
        <v>70</v>
      </c>
      <c r="D2979" t="s">
        <v>67</v>
      </c>
      <c r="E2979" t="s">
        <v>63</v>
      </c>
      <c r="F2979" t="s">
        <v>26</v>
      </c>
      <c r="G2979" s="4">
        <v>9</v>
      </c>
      <c r="H2979" s="4" t="s">
        <v>18</v>
      </c>
      <c r="I2979" s="4" t="s">
        <v>69</v>
      </c>
      <c r="J2979" s="4" t="s">
        <v>66</v>
      </c>
      <c r="K2979" s="4">
        <v>0</v>
      </c>
      <c r="L2979" s="94">
        <v>-151005</v>
      </c>
      <c r="M2979" s="94">
        <v>0</v>
      </c>
    </row>
    <row r="2980" spans="3:13" x14ac:dyDescent="0.3">
      <c r="C2980" t="s">
        <v>70</v>
      </c>
      <c r="D2980" t="s">
        <v>67</v>
      </c>
      <c r="E2980" t="s">
        <v>68</v>
      </c>
      <c r="F2980" t="s">
        <v>72</v>
      </c>
      <c r="G2980" s="4">
        <v>1</v>
      </c>
      <c r="H2980" s="4" t="s">
        <v>17</v>
      </c>
      <c r="I2980" s="4" t="s">
        <v>65</v>
      </c>
      <c r="J2980" s="4" t="s">
        <v>73</v>
      </c>
      <c r="K2980" s="4">
        <v>1</v>
      </c>
      <c r="L2980" s="94">
        <v>6455</v>
      </c>
      <c r="M2980" s="94">
        <v>6455</v>
      </c>
    </row>
    <row r="2981" spans="3:13" x14ac:dyDescent="0.3">
      <c r="C2981" t="s">
        <v>61</v>
      </c>
      <c r="D2981" t="s">
        <v>67</v>
      </c>
      <c r="E2981" t="s">
        <v>68</v>
      </c>
      <c r="F2981" t="s">
        <v>72</v>
      </c>
      <c r="G2981" s="4">
        <v>2</v>
      </c>
      <c r="H2981" s="4" t="s">
        <v>18</v>
      </c>
      <c r="I2981" s="4" t="s">
        <v>69</v>
      </c>
      <c r="J2981" s="4" t="s">
        <v>66</v>
      </c>
      <c r="K2981" s="4">
        <v>0</v>
      </c>
      <c r="L2981" s="94">
        <v>8102422</v>
      </c>
      <c r="M2981" s="94">
        <v>16204844</v>
      </c>
    </row>
    <row r="2982" spans="3:13" x14ac:dyDescent="0.3">
      <c r="C2982" t="s">
        <v>70</v>
      </c>
      <c r="D2982" t="s">
        <v>67</v>
      </c>
      <c r="E2982" t="s">
        <v>63</v>
      </c>
      <c r="F2982" t="s">
        <v>26</v>
      </c>
      <c r="G2982" s="4">
        <v>2</v>
      </c>
      <c r="H2982" s="4" t="s">
        <v>17</v>
      </c>
      <c r="I2982" s="4" t="s">
        <v>65</v>
      </c>
      <c r="J2982" s="4" t="s">
        <v>73</v>
      </c>
      <c r="K2982" s="4">
        <v>1</v>
      </c>
      <c r="L2982" s="94">
        <v>-20585</v>
      </c>
      <c r="M2982" s="94">
        <v>0</v>
      </c>
    </row>
    <row r="2983" spans="3:13" x14ac:dyDescent="0.3">
      <c r="C2983" t="s">
        <v>61</v>
      </c>
      <c r="D2983" t="s">
        <v>67</v>
      </c>
      <c r="E2983" t="s">
        <v>63</v>
      </c>
      <c r="F2983" t="s">
        <v>72</v>
      </c>
      <c r="G2983" s="4">
        <v>-1</v>
      </c>
      <c r="H2983" s="4" t="s">
        <v>15</v>
      </c>
      <c r="I2983" s="4" t="s">
        <v>69</v>
      </c>
      <c r="J2983" s="4" t="s">
        <v>73</v>
      </c>
      <c r="K2983" s="4">
        <v>1</v>
      </c>
      <c r="L2983" s="94">
        <v>-1031</v>
      </c>
      <c r="M2983" s="94">
        <v>0</v>
      </c>
    </row>
    <row r="2984" spans="3:13" x14ac:dyDescent="0.3">
      <c r="C2984" t="s">
        <v>70</v>
      </c>
      <c r="D2984" t="s">
        <v>67</v>
      </c>
      <c r="E2984" t="s">
        <v>63</v>
      </c>
      <c r="F2984" t="s">
        <v>25</v>
      </c>
      <c r="G2984" s="4">
        <v>3</v>
      </c>
      <c r="H2984" s="4" t="s">
        <v>76</v>
      </c>
      <c r="I2984" s="4" t="s">
        <v>69</v>
      </c>
      <c r="J2984" s="4" t="s">
        <v>66</v>
      </c>
      <c r="K2984" s="4">
        <v>0</v>
      </c>
      <c r="L2984" s="94">
        <v>-103652</v>
      </c>
      <c r="M2984" s="94">
        <v>0</v>
      </c>
    </row>
    <row r="2985" spans="3:13" x14ac:dyDescent="0.3">
      <c r="C2985" t="s">
        <v>61</v>
      </c>
      <c r="D2985" t="s">
        <v>67</v>
      </c>
      <c r="E2985" t="s">
        <v>68</v>
      </c>
      <c r="F2985" t="s">
        <v>25</v>
      </c>
      <c r="G2985" s="4">
        <v>7</v>
      </c>
      <c r="H2985" s="4" t="s">
        <v>17</v>
      </c>
      <c r="I2985" s="4" t="s">
        <v>69</v>
      </c>
      <c r="J2985" s="4" t="s">
        <v>66</v>
      </c>
      <c r="K2985" s="4">
        <v>1</v>
      </c>
      <c r="L2985" s="94">
        <v>33276</v>
      </c>
      <c r="M2985" s="94">
        <v>232932</v>
      </c>
    </row>
    <row r="2986" spans="3:13" x14ac:dyDescent="0.3">
      <c r="C2986" t="s">
        <v>70</v>
      </c>
      <c r="D2986" t="s">
        <v>67</v>
      </c>
      <c r="E2986" t="s">
        <v>68</v>
      </c>
      <c r="F2986" t="s">
        <v>25</v>
      </c>
      <c r="G2986" s="4">
        <v>3</v>
      </c>
      <c r="H2986" s="4" t="s">
        <v>17</v>
      </c>
      <c r="I2986" s="4" t="s">
        <v>69</v>
      </c>
      <c r="J2986" s="4" t="s">
        <v>66</v>
      </c>
      <c r="K2986" s="4">
        <v>0</v>
      </c>
      <c r="L2986" s="94">
        <v>1128622</v>
      </c>
      <c r="M2986" s="94">
        <v>3385866</v>
      </c>
    </row>
    <row r="2987" spans="3:13" x14ac:dyDescent="0.3">
      <c r="C2987" t="s">
        <v>70</v>
      </c>
      <c r="D2987" t="s">
        <v>62</v>
      </c>
      <c r="E2987" t="s">
        <v>63</v>
      </c>
      <c r="F2987" t="s">
        <v>24</v>
      </c>
      <c r="G2987" s="4">
        <v>35</v>
      </c>
      <c r="I2987" s="4" t="s">
        <v>69</v>
      </c>
      <c r="J2987" s="4" t="s">
        <v>66</v>
      </c>
      <c r="K2987" s="4">
        <v>1</v>
      </c>
      <c r="L2987" s="94">
        <v>-735</v>
      </c>
      <c r="M2987" s="94">
        <v>0</v>
      </c>
    </row>
    <row r="2988" spans="3:13" x14ac:dyDescent="0.3">
      <c r="C2988" t="s">
        <v>61</v>
      </c>
      <c r="D2988" t="s">
        <v>67</v>
      </c>
      <c r="E2988" t="s">
        <v>63</v>
      </c>
      <c r="F2988" t="s">
        <v>25</v>
      </c>
      <c r="G2988" s="4">
        <v>5</v>
      </c>
      <c r="H2988" s="4" t="s">
        <v>80</v>
      </c>
      <c r="I2988" s="4" t="s">
        <v>69</v>
      </c>
      <c r="J2988" s="4" t="s">
        <v>66</v>
      </c>
      <c r="K2988" s="4">
        <v>0</v>
      </c>
      <c r="L2988" s="94">
        <v>-858</v>
      </c>
      <c r="M2988" s="94">
        <v>0</v>
      </c>
    </row>
    <row r="2989" spans="3:13" x14ac:dyDescent="0.3">
      <c r="C2989" t="s">
        <v>70</v>
      </c>
      <c r="D2989" t="s">
        <v>67</v>
      </c>
      <c r="E2989" t="s">
        <v>68</v>
      </c>
      <c r="F2989" t="s">
        <v>26</v>
      </c>
      <c r="G2989" s="4">
        <v>6</v>
      </c>
      <c r="H2989" s="4" t="s">
        <v>12</v>
      </c>
      <c r="I2989" s="4" t="s">
        <v>69</v>
      </c>
      <c r="J2989" s="4" t="s">
        <v>66</v>
      </c>
      <c r="K2989" s="4">
        <v>0</v>
      </c>
      <c r="L2989" s="94">
        <v>27420</v>
      </c>
      <c r="M2989" s="94">
        <v>164520</v>
      </c>
    </row>
    <row r="2990" spans="3:13" x14ac:dyDescent="0.3">
      <c r="C2990" t="s">
        <v>71</v>
      </c>
      <c r="D2990" t="s">
        <v>67</v>
      </c>
      <c r="E2990" t="s">
        <v>68</v>
      </c>
      <c r="F2990" t="s">
        <v>26</v>
      </c>
      <c r="G2990" s="4">
        <v>2</v>
      </c>
      <c r="H2990" s="4" t="s">
        <v>75</v>
      </c>
      <c r="I2990" s="4" t="s">
        <v>65</v>
      </c>
      <c r="J2990" s="4" t="s">
        <v>66</v>
      </c>
      <c r="K2990" s="4">
        <v>1</v>
      </c>
      <c r="L2990" s="94">
        <v>7543</v>
      </c>
      <c r="M2990" s="94">
        <v>15086</v>
      </c>
    </row>
    <row r="2991" spans="3:13" x14ac:dyDescent="0.3">
      <c r="C2991" t="s">
        <v>71</v>
      </c>
      <c r="D2991" t="s">
        <v>67</v>
      </c>
      <c r="E2991" t="s">
        <v>63</v>
      </c>
      <c r="F2991" t="s">
        <v>72</v>
      </c>
      <c r="G2991" s="4">
        <v>1</v>
      </c>
      <c r="H2991" s="4" t="s">
        <v>83</v>
      </c>
      <c r="I2991" s="4" t="s">
        <v>69</v>
      </c>
      <c r="J2991" s="4" t="s">
        <v>66</v>
      </c>
      <c r="K2991" s="4">
        <v>0</v>
      </c>
      <c r="L2991" s="94">
        <v>-10663</v>
      </c>
      <c r="M2991" s="94">
        <v>0</v>
      </c>
    </row>
    <row r="2992" spans="3:13" x14ac:dyDescent="0.3">
      <c r="C2992" t="s">
        <v>61</v>
      </c>
      <c r="D2992" t="s">
        <v>62</v>
      </c>
      <c r="E2992" t="s">
        <v>63</v>
      </c>
      <c r="F2992" t="s">
        <v>25</v>
      </c>
      <c r="G2992" s="4">
        <v>33</v>
      </c>
      <c r="I2992" s="4" t="s">
        <v>69</v>
      </c>
      <c r="J2992" s="4" t="s">
        <v>66</v>
      </c>
      <c r="K2992" s="4">
        <v>0</v>
      </c>
      <c r="L2992" s="94">
        <v>-118</v>
      </c>
      <c r="M2992" s="94">
        <v>0</v>
      </c>
    </row>
    <row r="2993" spans="3:13" x14ac:dyDescent="0.3">
      <c r="C2993" t="s">
        <v>61</v>
      </c>
      <c r="D2993" t="s">
        <v>67</v>
      </c>
      <c r="E2993" t="s">
        <v>63</v>
      </c>
      <c r="F2993" t="s">
        <v>26</v>
      </c>
      <c r="G2993" s="4">
        <v>0</v>
      </c>
      <c r="H2993" s="4" t="s">
        <v>18</v>
      </c>
      <c r="I2993" s="4" t="s">
        <v>65</v>
      </c>
      <c r="J2993" s="4" t="s">
        <v>66</v>
      </c>
      <c r="K2993" s="4">
        <v>1</v>
      </c>
      <c r="L2993" s="94">
        <v>-2342</v>
      </c>
      <c r="M2993" s="94">
        <v>0</v>
      </c>
    </row>
    <row r="2994" spans="3:13" x14ac:dyDescent="0.3">
      <c r="C2994" t="s">
        <v>70</v>
      </c>
      <c r="D2994" t="s">
        <v>67</v>
      </c>
      <c r="E2994" t="s">
        <v>63</v>
      </c>
      <c r="F2994" t="s">
        <v>26</v>
      </c>
      <c r="G2994" s="4">
        <v>2</v>
      </c>
      <c r="H2994" s="4" t="s">
        <v>74</v>
      </c>
      <c r="I2994" s="4" t="s">
        <v>69</v>
      </c>
      <c r="J2994" s="4" t="s">
        <v>66</v>
      </c>
      <c r="K2994" s="4">
        <v>0</v>
      </c>
      <c r="L2994" s="94">
        <v>-215681</v>
      </c>
      <c r="M2994" s="94">
        <v>0</v>
      </c>
    </row>
    <row r="2995" spans="3:13" x14ac:dyDescent="0.3">
      <c r="C2995" t="s">
        <v>70</v>
      </c>
      <c r="D2995" t="s">
        <v>67</v>
      </c>
      <c r="E2995" t="s">
        <v>68</v>
      </c>
      <c r="F2995" t="s">
        <v>26</v>
      </c>
      <c r="G2995" s="4">
        <v>2</v>
      </c>
      <c r="H2995" s="4" t="s">
        <v>83</v>
      </c>
      <c r="I2995" s="4" t="s">
        <v>69</v>
      </c>
      <c r="J2995" s="4" t="s">
        <v>66</v>
      </c>
      <c r="K2995" s="4">
        <v>0</v>
      </c>
      <c r="L2995" s="94">
        <v>902502</v>
      </c>
      <c r="M2995" s="94">
        <v>1805004</v>
      </c>
    </row>
    <row r="2996" spans="3:13" x14ac:dyDescent="0.3">
      <c r="C2996" t="s">
        <v>70</v>
      </c>
      <c r="D2996" t="s">
        <v>67</v>
      </c>
      <c r="E2996" t="s">
        <v>63</v>
      </c>
      <c r="F2996" t="s">
        <v>25</v>
      </c>
      <c r="G2996" s="4">
        <v>6</v>
      </c>
      <c r="H2996" s="4" t="s">
        <v>17</v>
      </c>
      <c r="I2996" s="4" t="s">
        <v>69</v>
      </c>
      <c r="J2996" s="4" t="s">
        <v>66</v>
      </c>
      <c r="K2996" s="4">
        <v>1</v>
      </c>
      <c r="L2996" s="94">
        <v>-665</v>
      </c>
      <c r="M2996" s="94">
        <v>0</v>
      </c>
    </row>
    <row r="2997" spans="3:13" x14ac:dyDescent="0.3">
      <c r="C2997" t="s">
        <v>61</v>
      </c>
      <c r="D2997" t="s">
        <v>67</v>
      </c>
      <c r="E2997" t="s">
        <v>68</v>
      </c>
      <c r="F2997" t="s">
        <v>26</v>
      </c>
      <c r="G2997" s="4">
        <v>-1</v>
      </c>
      <c r="H2997" s="4" t="s">
        <v>75</v>
      </c>
      <c r="I2997" s="4" t="s">
        <v>65</v>
      </c>
      <c r="J2997" s="4" t="s">
        <v>66</v>
      </c>
      <c r="K2997" s="4">
        <v>1</v>
      </c>
      <c r="L2997" s="94">
        <v>96936</v>
      </c>
      <c r="M2997" s="94">
        <v>0</v>
      </c>
    </row>
    <row r="2998" spans="3:13" x14ac:dyDescent="0.3">
      <c r="C2998" t="s">
        <v>71</v>
      </c>
      <c r="D2998" t="s">
        <v>67</v>
      </c>
      <c r="E2998" t="s">
        <v>63</v>
      </c>
      <c r="F2998" t="s">
        <v>25</v>
      </c>
      <c r="G2998" s="4">
        <v>5</v>
      </c>
      <c r="H2998" s="4" t="s">
        <v>76</v>
      </c>
      <c r="I2998" s="4" t="s">
        <v>69</v>
      </c>
      <c r="J2998" s="4" t="s">
        <v>66</v>
      </c>
      <c r="K2998" s="4">
        <v>0</v>
      </c>
      <c r="L2998" s="94">
        <v>-12811</v>
      </c>
      <c r="M2998" s="94">
        <v>0</v>
      </c>
    </row>
    <row r="2999" spans="3:13" x14ac:dyDescent="0.3">
      <c r="C2999" t="s">
        <v>70</v>
      </c>
      <c r="D2999" t="s">
        <v>67</v>
      </c>
      <c r="E2999" t="s">
        <v>63</v>
      </c>
      <c r="F2999" t="s">
        <v>72</v>
      </c>
      <c r="G2999" s="4">
        <v>-4</v>
      </c>
      <c r="H2999" s="4" t="s">
        <v>78</v>
      </c>
      <c r="I2999" s="4" t="s">
        <v>69</v>
      </c>
      <c r="J2999" s="4" t="s">
        <v>66</v>
      </c>
      <c r="K2999" s="4">
        <v>0</v>
      </c>
      <c r="L2999" s="94">
        <v>-9</v>
      </c>
      <c r="M2999" s="94">
        <v>0</v>
      </c>
    </row>
    <row r="3000" spans="3:13" x14ac:dyDescent="0.3">
      <c r="C3000" t="s">
        <v>71</v>
      </c>
      <c r="D3000" t="s">
        <v>62</v>
      </c>
      <c r="E3000" t="s">
        <v>68</v>
      </c>
      <c r="F3000" t="s">
        <v>24</v>
      </c>
      <c r="G3000" s="4">
        <v>3</v>
      </c>
      <c r="I3000" s="4" t="s">
        <v>69</v>
      </c>
      <c r="J3000" s="4" t="s">
        <v>66</v>
      </c>
      <c r="K3000" s="4">
        <v>0</v>
      </c>
      <c r="L3000" s="94">
        <v>544620</v>
      </c>
      <c r="M3000" s="94">
        <v>1633860</v>
      </c>
    </row>
    <row r="3001" spans="3:13" x14ac:dyDescent="0.3">
      <c r="C3001" t="s">
        <v>70</v>
      </c>
      <c r="D3001" t="s">
        <v>67</v>
      </c>
      <c r="E3001" t="s">
        <v>68</v>
      </c>
      <c r="F3001" t="s">
        <v>72</v>
      </c>
      <c r="G3001" s="4">
        <v>-4</v>
      </c>
      <c r="H3001" s="4" t="s">
        <v>18</v>
      </c>
      <c r="I3001" s="4" t="s">
        <v>69</v>
      </c>
      <c r="J3001" s="4" t="s">
        <v>66</v>
      </c>
      <c r="K3001" s="4">
        <v>0</v>
      </c>
      <c r="L3001" s="94">
        <v>28517</v>
      </c>
      <c r="M3001" s="94">
        <v>0</v>
      </c>
    </row>
    <row r="3002" spans="3:13" x14ac:dyDescent="0.3">
      <c r="C3002" t="s">
        <v>61</v>
      </c>
      <c r="D3002" t="s">
        <v>67</v>
      </c>
      <c r="E3002" t="s">
        <v>63</v>
      </c>
      <c r="F3002" t="s">
        <v>26</v>
      </c>
      <c r="G3002" s="4">
        <v>3</v>
      </c>
      <c r="H3002" s="4" t="s">
        <v>14</v>
      </c>
      <c r="I3002" s="4" t="s">
        <v>65</v>
      </c>
      <c r="J3002" s="4" t="s">
        <v>73</v>
      </c>
      <c r="K3002" s="4">
        <v>1</v>
      </c>
      <c r="L3002" s="94">
        <v>-656</v>
      </c>
      <c r="M3002" s="94">
        <v>0</v>
      </c>
    </row>
    <row r="3003" spans="3:13" x14ac:dyDescent="0.3">
      <c r="C3003" t="s">
        <v>61</v>
      </c>
      <c r="D3003" t="s">
        <v>62</v>
      </c>
      <c r="E3003" t="s">
        <v>68</v>
      </c>
      <c r="F3003" t="s">
        <v>24</v>
      </c>
      <c r="G3003" s="4">
        <v>13</v>
      </c>
      <c r="I3003" s="4" t="s">
        <v>69</v>
      </c>
      <c r="J3003" s="4" t="s">
        <v>66</v>
      </c>
      <c r="K3003" s="4">
        <v>1</v>
      </c>
      <c r="L3003" s="94">
        <v>1190325</v>
      </c>
      <c r="M3003" s="94">
        <v>15474225</v>
      </c>
    </row>
    <row r="3004" spans="3:13" x14ac:dyDescent="0.3">
      <c r="C3004" t="s">
        <v>61</v>
      </c>
      <c r="D3004" t="s">
        <v>67</v>
      </c>
      <c r="E3004" t="s">
        <v>63</v>
      </c>
      <c r="F3004" t="s">
        <v>26</v>
      </c>
      <c r="G3004" s="4">
        <v>-1</v>
      </c>
      <c r="H3004" s="4" t="s">
        <v>17</v>
      </c>
      <c r="I3004" s="4" t="s">
        <v>65</v>
      </c>
      <c r="J3004" s="4" t="s">
        <v>66</v>
      </c>
      <c r="K3004" s="4">
        <v>1</v>
      </c>
      <c r="L3004" s="94">
        <v>-3861</v>
      </c>
      <c r="M3004" s="94">
        <v>0</v>
      </c>
    </row>
    <row r="3005" spans="3:13" x14ac:dyDescent="0.3">
      <c r="C3005" t="s">
        <v>70</v>
      </c>
      <c r="D3005" t="s">
        <v>67</v>
      </c>
      <c r="E3005" t="s">
        <v>68</v>
      </c>
      <c r="F3005" t="s">
        <v>25</v>
      </c>
      <c r="G3005" s="4">
        <v>5</v>
      </c>
      <c r="H3005" s="4" t="s">
        <v>12</v>
      </c>
      <c r="I3005" s="4" t="s">
        <v>69</v>
      </c>
      <c r="J3005" s="4" t="s">
        <v>66</v>
      </c>
      <c r="K3005" s="4">
        <v>1</v>
      </c>
      <c r="L3005" s="94">
        <v>728221</v>
      </c>
      <c r="M3005" s="94">
        <v>3641105</v>
      </c>
    </row>
    <row r="3006" spans="3:13" x14ac:dyDescent="0.3">
      <c r="C3006" t="s">
        <v>70</v>
      </c>
      <c r="D3006" t="s">
        <v>67</v>
      </c>
      <c r="E3006" t="s">
        <v>68</v>
      </c>
      <c r="F3006" t="s">
        <v>26</v>
      </c>
      <c r="G3006" s="4">
        <v>3</v>
      </c>
      <c r="H3006" s="4" t="s">
        <v>15</v>
      </c>
      <c r="I3006" s="4" t="s">
        <v>69</v>
      </c>
      <c r="J3006" s="4" t="s">
        <v>66</v>
      </c>
      <c r="K3006" s="4">
        <v>0</v>
      </c>
      <c r="L3006" s="94">
        <v>15392</v>
      </c>
      <c r="M3006" s="94">
        <v>46176</v>
      </c>
    </row>
    <row r="3007" spans="3:13" x14ac:dyDescent="0.3">
      <c r="C3007" t="s">
        <v>71</v>
      </c>
      <c r="D3007" t="s">
        <v>67</v>
      </c>
      <c r="E3007" t="s">
        <v>68</v>
      </c>
      <c r="F3007" t="s">
        <v>26</v>
      </c>
      <c r="G3007" s="4">
        <v>-1</v>
      </c>
      <c r="H3007" s="4" t="s">
        <v>12</v>
      </c>
      <c r="I3007" s="4" t="s">
        <v>69</v>
      </c>
      <c r="J3007" s="4" t="s">
        <v>73</v>
      </c>
      <c r="K3007" s="4">
        <v>1</v>
      </c>
      <c r="L3007" s="94">
        <v>1514605</v>
      </c>
      <c r="M3007" s="94">
        <v>0</v>
      </c>
    </row>
    <row r="3008" spans="3:13" x14ac:dyDescent="0.3">
      <c r="C3008" t="s">
        <v>61</v>
      </c>
      <c r="D3008" t="s">
        <v>84</v>
      </c>
      <c r="E3008" t="s">
        <v>68</v>
      </c>
      <c r="F3008" t="s">
        <v>25</v>
      </c>
      <c r="G3008" s="4">
        <v>3</v>
      </c>
      <c r="H3008" s="4" t="s">
        <v>75</v>
      </c>
      <c r="I3008" s="4" t="s">
        <v>69</v>
      </c>
      <c r="J3008" s="4" t="s">
        <v>66</v>
      </c>
      <c r="K3008" s="4">
        <v>0</v>
      </c>
      <c r="L3008" s="94">
        <v>10244578</v>
      </c>
      <c r="M3008" s="94">
        <v>30733734</v>
      </c>
    </row>
    <row r="3009" spans="3:13" x14ac:dyDescent="0.3">
      <c r="C3009" t="s">
        <v>61</v>
      </c>
      <c r="D3009" t="s">
        <v>67</v>
      </c>
      <c r="E3009" t="s">
        <v>68</v>
      </c>
      <c r="F3009" t="s">
        <v>26</v>
      </c>
      <c r="G3009" s="4">
        <v>5</v>
      </c>
      <c r="H3009" s="4" t="s">
        <v>18</v>
      </c>
      <c r="I3009" s="4" t="s">
        <v>69</v>
      </c>
      <c r="J3009" s="4" t="s">
        <v>73</v>
      </c>
      <c r="K3009" s="4">
        <v>1</v>
      </c>
      <c r="L3009" s="94">
        <v>5426872</v>
      </c>
      <c r="M3009" s="94">
        <v>27134360</v>
      </c>
    </row>
    <row r="3010" spans="3:13" x14ac:dyDescent="0.3">
      <c r="C3010" t="s">
        <v>61</v>
      </c>
      <c r="D3010" t="s">
        <v>67</v>
      </c>
      <c r="E3010" t="s">
        <v>63</v>
      </c>
      <c r="F3010" t="s">
        <v>26</v>
      </c>
      <c r="G3010" s="4">
        <v>-1</v>
      </c>
      <c r="H3010" s="4" t="s">
        <v>12</v>
      </c>
      <c r="I3010" s="4" t="s">
        <v>69</v>
      </c>
      <c r="J3010" s="4" t="s">
        <v>73</v>
      </c>
      <c r="K3010" s="4">
        <v>1</v>
      </c>
      <c r="L3010" s="94">
        <v>-220115</v>
      </c>
      <c r="M3010" s="94">
        <v>0</v>
      </c>
    </row>
    <row r="3011" spans="3:13" x14ac:dyDescent="0.3">
      <c r="C3011" t="s">
        <v>71</v>
      </c>
      <c r="D3011" t="s">
        <v>67</v>
      </c>
      <c r="E3011" t="s">
        <v>68</v>
      </c>
      <c r="F3011" t="s">
        <v>25</v>
      </c>
      <c r="G3011" s="4">
        <v>4</v>
      </c>
      <c r="H3011" s="4" t="s">
        <v>14</v>
      </c>
      <c r="I3011" s="4" t="s">
        <v>69</v>
      </c>
      <c r="J3011" s="4" t="s">
        <v>66</v>
      </c>
      <c r="K3011" s="4">
        <v>0</v>
      </c>
      <c r="L3011" s="94">
        <v>54951</v>
      </c>
      <c r="M3011" s="94">
        <v>219804</v>
      </c>
    </row>
    <row r="3012" spans="3:13" x14ac:dyDescent="0.3">
      <c r="C3012" t="s">
        <v>61</v>
      </c>
      <c r="D3012" t="s">
        <v>67</v>
      </c>
      <c r="E3012" t="s">
        <v>63</v>
      </c>
      <c r="F3012" t="s">
        <v>72</v>
      </c>
      <c r="G3012" s="4">
        <v>5</v>
      </c>
      <c r="H3012" s="4" t="s">
        <v>82</v>
      </c>
      <c r="I3012" s="4" t="s">
        <v>69</v>
      </c>
      <c r="J3012" s="4" t="s">
        <v>66</v>
      </c>
      <c r="K3012" s="4">
        <v>0</v>
      </c>
      <c r="L3012" s="94">
        <v>-46624</v>
      </c>
      <c r="M3012" s="94">
        <v>0</v>
      </c>
    </row>
    <row r="3013" spans="3:13" x14ac:dyDescent="0.3">
      <c r="C3013" t="s">
        <v>61</v>
      </c>
      <c r="D3013" t="s">
        <v>67</v>
      </c>
      <c r="E3013" t="s">
        <v>68</v>
      </c>
      <c r="F3013" t="s">
        <v>25</v>
      </c>
      <c r="G3013" s="4">
        <v>11</v>
      </c>
      <c r="H3013" s="4" t="s">
        <v>83</v>
      </c>
      <c r="I3013" s="4" t="s">
        <v>69</v>
      </c>
      <c r="J3013" s="4" t="s">
        <v>66</v>
      </c>
      <c r="K3013" s="4">
        <v>0</v>
      </c>
      <c r="L3013" s="94">
        <v>236519</v>
      </c>
      <c r="M3013" s="94">
        <v>2601709</v>
      </c>
    </row>
    <row r="3014" spans="3:13" x14ac:dyDescent="0.3">
      <c r="C3014" t="s">
        <v>70</v>
      </c>
      <c r="D3014" t="s">
        <v>67</v>
      </c>
      <c r="E3014" t="s">
        <v>68</v>
      </c>
      <c r="F3014" t="s">
        <v>26</v>
      </c>
      <c r="G3014" s="4">
        <v>5</v>
      </c>
      <c r="H3014" s="4" t="s">
        <v>77</v>
      </c>
      <c r="I3014" s="4" t="s">
        <v>69</v>
      </c>
      <c r="J3014" s="4" t="s">
        <v>66</v>
      </c>
      <c r="K3014" s="4">
        <v>0</v>
      </c>
      <c r="L3014" s="94">
        <v>1031850</v>
      </c>
      <c r="M3014" s="94">
        <v>5159250</v>
      </c>
    </row>
    <row r="3015" spans="3:13" x14ac:dyDescent="0.3">
      <c r="C3015" t="s">
        <v>61</v>
      </c>
      <c r="D3015" t="s">
        <v>62</v>
      </c>
      <c r="E3015" t="s">
        <v>68</v>
      </c>
      <c r="F3015" t="s">
        <v>25</v>
      </c>
      <c r="G3015" s="4">
        <v>12</v>
      </c>
      <c r="I3015" s="4" t="s">
        <v>65</v>
      </c>
      <c r="J3015" s="4" t="s">
        <v>66</v>
      </c>
      <c r="K3015" s="4">
        <v>1</v>
      </c>
      <c r="L3015" s="94">
        <v>31303</v>
      </c>
      <c r="M3015" s="94">
        <v>375636</v>
      </c>
    </row>
    <row r="3016" spans="3:13" x14ac:dyDescent="0.3">
      <c r="C3016" t="s">
        <v>71</v>
      </c>
      <c r="D3016" t="s">
        <v>67</v>
      </c>
      <c r="E3016" t="s">
        <v>63</v>
      </c>
      <c r="F3016" t="s">
        <v>72</v>
      </c>
      <c r="G3016" s="4">
        <v>3</v>
      </c>
      <c r="H3016" s="4" t="s">
        <v>17</v>
      </c>
      <c r="I3016" s="4" t="s">
        <v>69</v>
      </c>
      <c r="J3016" s="4" t="s">
        <v>73</v>
      </c>
      <c r="K3016" s="4">
        <v>1</v>
      </c>
      <c r="L3016" s="94">
        <v>-31827</v>
      </c>
      <c r="M3016" s="94">
        <v>0</v>
      </c>
    </row>
    <row r="3017" spans="3:13" x14ac:dyDescent="0.3">
      <c r="C3017" t="s">
        <v>61</v>
      </c>
      <c r="D3017" t="s">
        <v>67</v>
      </c>
      <c r="E3017" t="s">
        <v>63</v>
      </c>
      <c r="F3017" t="s">
        <v>72</v>
      </c>
      <c r="G3017" s="4">
        <v>-4</v>
      </c>
      <c r="H3017" s="4" t="s">
        <v>78</v>
      </c>
      <c r="I3017" s="4" t="s">
        <v>69</v>
      </c>
      <c r="J3017" s="4" t="s">
        <v>66</v>
      </c>
      <c r="K3017" s="4">
        <v>0</v>
      </c>
      <c r="L3017" s="94">
        <v>0</v>
      </c>
      <c r="M3017" s="94">
        <v>0</v>
      </c>
    </row>
    <row r="3018" spans="3:13" x14ac:dyDescent="0.3">
      <c r="C3018" t="s">
        <v>70</v>
      </c>
      <c r="D3018" t="s">
        <v>67</v>
      </c>
      <c r="E3018" t="s">
        <v>68</v>
      </c>
      <c r="F3018" t="s">
        <v>25</v>
      </c>
      <c r="G3018" s="4">
        <v>15</v>
      </c>
      <c r="H3018" s="4" t="s">
        <v>81</v>
      </c>
      <c r="I3018" s="4" t="s">
        <v>69</v>
      </c>
      <c r="J3018" s="4" t="s">
        <v>66</v>
      </c>
      <c r="K3018" s="4">
        <v>0</v>
      </c>
      <c r="L3018" s="94">
        <v>167919</v>
      </c>
      <c r="M3018" s="94">
        <v>2518785</v>
      </c>
    </row>
    <row r="3019" spans="3:13" x14ac:dyDescent="0.3">
      <c r="C3019" t="s">
        <v>70</v>
      </c>
      <c r="D3019" t="s">
        <v>67</v>
      </c>
      <c r="E3019" t="s">
        <v>63</v>
      </c>
      <c r="F3019" t="s">
        <v>26</v>
      </c>
      <c r="G3019" s="4">
        <v>0</v>
      </c>
      <c r="H3019" s="4" t="s">
        <v>12</v>
      </c>
      <c r="I3019" s="4" t="s">
        <v>65</v>
      </c>
      <c r="J3019" s="4" t="s">
        <v>73</v>
      </c>
      <c r="K3019" s="4">
        <v>1</v>
      </c>
      <c r="L3019" s="94">
        <v>-1583</v>
      </c>
      <c r="M3019" s="94">
        <v>0</v>
      </c>
    </row>
    <row r="3020" spans="3:13" x14ac:dyDescent="0.3">
      <c r="C3020" t="s">
        <v>61</v>
      </c>
      <c r="D3020" t="s">
        <v>67</v>
      </c>
      <c r="E3020" t="s">
        <v>63</v>
      </c>
      <c r="F3020" t="s">
        <v>25</v>
      </c>
      <c r="G3020" s="4">
        <v>2</v>
      </c>
      <c r="H3020" s="4" t="s">
        <v>79</v>
      </c>
      <c r="I3020" s="4" t="s">
        <v>65</v>
      </c>
      <c r="J3020" s="4" t="s">
        <v>66</v>
      </c>
      <c r="K3020" s="4">
        <v>1</v>
      </c>
      <c r="L3020" s="94">
        <v>-33</v>
      </c>
      <c r="M3020" s="94">
        <v>0</v>
      </c>
    </row>
    <row r="3021" spans="3:13" x14ac:dyDescent="0.3">
      <c r="C3021" t="s">
        <v>70</v>
      </c>
      <c r="D3021" t="s">
        <v>62</v>
      </c>
      <c r="E3021" t="s">
        <v>68</v>
      </c>
      <c r="F3021" t="s">
        <v>25</v>
      </c>
      <c r="G3021" s="4">
        <v>14</v>
      </c>
      <c r="I3021" s="4" t="s">
        <v>69</v>
      </c>
      <c r="J3021" s="4" t="s">
        <v>66</v>
      </c>
      <c r="K3021" s="4">
        <v>0</v>
      </c>
      <c r="L3021" s="94">
        <v>210556</v>
      </c>
      <c r="M3021" s="94">
        <v>2947784</v>
      </c>
    </row>
    <row r="3022" spans="3:13" x14ac:dyDescent="0.3">
      <c r="C3022" t="s">
        <v>71</v>
      </c>
      <c r="D3022" t="s">
        <v>67</v>
      </c>
      <c r="E3022" t="s">
        <v>63</v>
      </c>
      <c r="F3022" t="s">
        <v>25</v>
      </c>
      <c r="G3022" s="4">
        <v>6</v>
      </c>
      <c r="H3022" s="4" t="s">
        <v>14</v>
      </c>
      <c r="I3022" s="4" t="s">
        <v>69</v>
      </c>
      <c r="J3022" s="4" t="s">
        <v>66</v>
      </c>
      <c r="K3022" s="4">
        <v>1</v>
      </c>
      <c r="L3022" s="94">
        <v>-469979</v>
      </c>
      <c r="M3022" s="94">
        <v>0</v>
      </c>
    </row>
    <row r="3023" spans="3:13" x14ac:dyDescent="0.3">
      <c r="C3023" t="s">
        <v>71</v>
      </c>
      <c r="D3023" t="s">
        <v>62</v>
      </c>
      <c r="E3023" t="s">
        <v>68</v>
      </c>
      <c r="F3023" t="s">
        <v>24</v>
      </c>
      <c r="G3023" s="4">
        <v>28</v>
      </c>
      <c r="I3023" s="4" t="s">
        <v>65</v>
      </c>
      <c r="J3023" s="4" t="s">
        <v>66</v>
      </c>
      <c r="K3023" s="4">
        <v>1</v>
      </c>
      <c r="L3023" s="94">
        <v>110233</v>
      </c>
      <c r="M3023" s="94">
        <v>3086524</v>
      </c>
    </row>
    <row r="3024" spans="3:13" x14ac:dyDescent="0.3">
      <c r="C3024" t="s">
        <v>70</v>
      </c>
      <c r="D3024" t="s">
        <v>67</v>
      </c>
      <c r="E3024" t="s">
        <v>68</v>
      </c>
      <c r="F3024" t="s">
        <v>26</v>
      </c>
      <c r="G3024" s="4">
        <v>4</v>
      </c>
      <c r="H3024" s="4" t="s">
        <v>76</v>
      </c>
      <c r="I3024" s="4" t="s">
        <v>69</v>
      </c>
      <c r="J3024" s="4" t="s">
        <v>66</v>
      </c>
      <c r="K3024" s="4">
        <v>0</v>
      </c>
      <c r="L3024" s="94">
        <v>2945576</v>
      </c>
      <c r="M3024" s="94">
        <v>11782304</v>
      </c>
    </row>
    <row r="3025" spans="3:13" x14ac:dyDescent="0.3">
      <c r="C3025" t="s">
        <v>70</v>
      </c>
      <c r="D3025" t="s">
        <v>62</v>
      </c>
      <c r="E3025" t="s">
        <v>68</v>
      </c>
      <c r="F3025" t="s">
        <v>24</v>
      </c>
      <c r="G3025" s="4">
        <v>23</v>
      </c>
      <c r="I3025" s="4" t="s">
        <v>69</v>
      </c>
      <c r="J3025" s="4" t="s">
        <v>73</v>
      </c>
      <c r="K3025" s="4">
        <v>1</v>
      </c>
      <c r="L3025" s="94">
        <v>1042</v>
      </c>
      <c r="M3025" s="94">
        <v>23966</v>
      </c>
    </row>
    <row r="3026" spans="3:13" x14ac:dyDescent="0.3">
      <c r="C3026" t="s">
        <v>61</v>
      </c>
      <c r="D3026" t="s">
        <v>67</v>
      </c>
      <c r="E3026" t="s">
        <v>63</v>
      </c>
      <c r="F3026" t="s">
        <v>26</v>
      </c>
      <c r="G3026" s="4">
        <v>1</v>
      </c>
      <c r="H3026" s="4" t="s">
        <v>75</v>
      </c>
      <c r="I3026" s="4" t="s">
        <v>65</v>
      </c>
      <c r="J3026" s="4" t="s">
        <v>66</v>
      </c>
      <c r="K3026" s="4">
        <v>1</v>
      </c>
      <c r="L3026" s="94">
        <v>-15</v>
      </c>
      <c r="M3026" s="94">
        <v>0</v>
      </c>
    </row>
    <row r="3027" spans="3:13" x14ac:dyDescent="0.3">
      <c r="C3027" t="s">
        <v>61</v>
      </c>
      <c r="D3027" t="s">
        <v>67</v>
      </c>
      <c r="E3027" t="s">
        <v>68</v>
      </c>
      <c r="F3027" t="s">
        <v>25</v>
      </c>
      <c r="G3027" s="4">
        <v>9</v>
      </c>
      <c r="H3027" s="4" t="s">
        <v>75</v>
      </c>
      <c r="I3027" s="4" t="s">
        <v>69</v>
      </c>
      <c r="J3027" s="4" t="s">
        <v>66</v>
      </c>
      <c r="K3027" s="4">
        <v>0</v>
      </c>
      <c r="L3027" s="94">
        <v>37297417</v>
      </c>
      <c r="M3027" s="94">
        <v>335676753</v>
      </c>
    </row>
    <row r="3028" spans="3:13" x14ac:dyDescent="0.3">
      <c r="C3028" t="s">
        <v>61</v>
      </c>
      <c r="D3028" t="s">
        <v>67</v>
      </c>
      <c r="E3028" t="s">
        <v>63</v>
      </c>
      <c r="F3028" t="s">
        <v>25</v>
      </c>
      <c r="G3028" s="4">
        <v>2</v>
      </c>
      <c r="H3028" s="4" t="s">
        <v>16</v>
      </c>
      <c r="I3028" s="4" t="s">
        <v>69</v>
      </c>
      <c r="J3028" s="4" t="s">
        <v>66</v>
      </c>
      <c r="K3028" s="4">
        <v>0</v>
      </c>
      <c r="L3028" s="94">
        <v>-557</v>
      </c>
      <c r="M3028" s="94">
        <v>0</v>
      </c>
    </row>
    <row r="3029" spans="3:13" x14ac:dyDescent="0.3">
      <c r="C3029" t="s">
        <v>70</v>
      </c>
      <c r="D3029" t="s">
        <v>67</v>
      </c>
      <c r="E3029" t="s">
        <v>63</v>
      </c>
      <c r="F3029" t="s">
        <v>25</v>
      </c>
      <c r="G3029" s="4">
        <v>11</v>
      </c>
      <c r="H3029" s="4" t="s">
        <v>14</v>
      </c>
      <c r="I3029" s="4" t="s">
        <v>69</v>
      </c>
      <c r="J3029" s="4" t="s">
        <v>66</v>
      </c>
      <c r="K3029" s="4">
        <v>1</v>
      </c>
      <c r="L3029" s="94">
        <v>-62721</v>
      </c>
      <c r="M3029" s="94">
        <v>0</v>
      </c>
    </row>
    <row r="3030" spans="3:13" x14ac:dyDescent="0.3">
      <c r="C3030" t="s">
        <v>70</v>
      </c>
      <c r="D3030" t="s">
        <v>67</v>
      </c>
      <c r="E3030" t="s">
        <v>68</v>
      </c>
      <c r="F3030" t="s">
        <v>72</v>
      </c>
      <c r="G3030" s="4">
        <v>0</v>
      </c>
      <c r="H3030" s="4" t="s">
        <v>64</v>
      </c>
      <c r="I3030" s="4" t="s">
        <v>69</v>
      </c>
      <c r="J3030" s="4" t="s">
        <v>66</v>
      </c>
      <c r="K3030" s="4">
        <v>0</v>
      </c>
      <c r="L3030" s="94">
        <v>136880</v>
      </c>
      <c r="M3030" s="94">
        <v>0</v>
      </c>
    </row>
    <row r="3031" spans="3:13" x14ac:dyDescent="0.3">
      <c r="C3031" t="s">
        <v>61</v>
      </c>
      <c r="D3031" t="s">
        <v>67</v>
      </c>
      <c r="E3031" t="s">
        <v>68</v>
      </c>
      <c r="F3031" t="s">
        <v>26</v>
      </c>
      <c r="G3031" s="4">
        <v>0</v>
      </c>
      <c r="H3031" s="4" t="s">
        <v>13</v>
      </c>
      <c r="I3031" s="4" t="s">
        <v>69</v>
      </c>
      <c r="J3031" s="4" t="s">
        <v>73</v>
      </c>
      <c r="K3031" s="4">
        <v>1</v>
      </c>
      <c r="L3031" s="94">
        <v>2258916</v>
      </c>
      <c r="M3031" s="94">
        <v>0</v>
      </c>
    </row>
    <row r="3032" spans="3:13" x14ac:dyDescent="0.3">
      <c r="C3032" t="s">
        <v>71</v>
      </c>
      <c r="D3032" t="s">
        <v>67</v>
      </c>
      <c r="E3032" t="s">
        <v>63</v>
      </c>
      <c r="F3032" t="s">
        <v>25</v>
      </c>
      <c r="G3032" s="4">
        <v>0</v>
      </c>
      <c r="H3032" s="4" t="s">
        <v>14</v>
      </c>
      <c r="I3032" s="4" t="s">
        <v>69</v>
      </c>
      <c r="J3032" s="4" t="s">
        <v>73</v>
      </c>
      <c r="K3032" s="4">
        <v>1</v>
      </c>
      <c r="L3032" s="94">
        <v>-4532</v>
      </c>
      <c r="M3032" s="94">
        <v>0</v>
      </c>
    </row>
    <row r="3033" spans="3:13" x14ac:dyDescent="0.3">
      <c r="C3033" t="s">
        <v>70</v>
      </c>
      <c r="D3033" t="s">
        <v>67</v>
      </c>
      <c r="E3033" t="s">
        <v>63</v>
      </c>
      <c r="F3033" t="s">
        <v>25</v>
      </c>
      <c r="G3033" s="4">
        <v>13</v>
      </c>
      <c r="H3033" s="4" t="s">
        <v>18</v>
      </c>
      <c r="I3033" s="4" t="s">
        <v>69</v>
      </c>
      <c r="J3033" s="4" t="s">
        <v>66</v>
      </c>
      <c r="K3033" s="4">
        <v>0</v>
      </c>
      <c r="L3033" s="94">
        <v>-46385</v>
      </c>
      <c r="M3033" s="94">
        <v>0</v>
      </c>
    </row>
    <row r="3034" spans="3:13" x14ac:dyDescent="0.3">
      <c r="C3034" t="s">
        <v>61</v>
      </c>
      <c r="D3034" t="s">
        <v>67</v>
      </c>
      <c r="E3034" t="s">
        <v>63</v>
      </c>
      <c r="F3034" t="s">
        <v>26</v>
      </c>
      <c r="G3034" s="4">
        <v>-1</v>
      </c>
      <c r="H3034" s="4" t="s">
        <v>82</v>
      </c>
      <c r="I3034" s="4" t="s">
        <v>65</v>
      </c>
      <c r="J3034" s="4" t="s">
        <v>66</v>
      </c>
      <c r="K3034" s="4">
        <v>1</v>
      </c>
      <c r="L3034" s="94">
        <v>-10417</v>
      </c>
      <c r="M3034" s="94">
        <v>0</v>
      </c>
    </row>
    <row r="3035" spans="3:13" x14ac:dyDescent="0.3">
      <c r="C3035" t="s">
        <v>61</v>
      </c>
      <c r="D3035" t="s">
        <v>67</v>
      </c>
      <c r="E3035" t="s">
        <v>68</v>
      </c>
      <c r="F3035" t="s">
        <v>25</v>
      </c>
      <c r="G3035" s="4">
        <v>5</v>
      </c>
      <c r="H3035" s="4" t="s">
        <v>81</v>
      </c>
      <c r="I3035" s="4" t="s">
        <v>69</v>
      </c>
      <c r="J3035" s="4" t="s">
        <v>66</v>
      </c>
      <c r="K3035" s="4">
        <v>0</v>
      </c>
      <c r="L3035" s="94">
        <v>4602070</v>
      </c>
      <c r="M3035" s="94">
        <v>23010350</v>
      </c>
    </row>
    <row r="3036" spans="3:13" x14ac:dyDescent="0.3">
      <c r="C3036" t="s">
        <v>71</v>
      </c>
      <c r="D3036" t="s">
        <v>67</v>
      </c>
      <c r="E3036" t="s">
        <v>68</v>
      </c>
      <c r="F3036" t="s">
        <v>25</v>
      </c>
      <c r="G3036" s="4">
        <v>-4</v>
      </c>
      <c r="H3036" s="4" t="s">
        <v>75</v>
      </c>
      <c r="I3036" s="4" t="s">
        <v>69</v>
      </c>
      <c r="J3036" s="4" t="s">
        <v>66</v>
      </c>
      <c r="K3036" s="4">
        <v>0</v>
      </c>
      <c r="L3036" s="94">
        <v>5574910</v>
      </c>
      <c r="M3036" s="94">
        <v>0</v>
      </c>
    </row>
    <row r="3037" spans="3:13" x14ac:dyDescent="0.3">
      <c r="C3037" t="s">
        <v>70</v>
      </c>
      <c r="D3037" t="s">
        <v>67</v>
      </c>
      <c r="E3037" t="s">
        <v>63</v>
      </c>
      <c r="F3037" t="s">
        <v>72</v>
      </c>
      <c r="G3037" s="4">
        <v>3</v>
      </c>
      <c r="H3037" s="4" t="s">
        <v>82</v>
      </c>
      <c r="I3037" s="4" t="s">
        <v>69</v>
      </c>
      <c r="J3037" s="4" t="s">
        <v>66</v>
      </c>
      <c r="K3037" s="4">
        <v>0</v>
      </c>
      <c r="L3037" s="94">
        <v>-160901</v>
      </c>
      <c r="M3037" s="94">
        <v>0</v>
      </c>
    </row>
    <row r="3038" spans="3:13" x14ac:dyDescent="0.3">
      <c r="C3038" t="s">
        <v>61</v>
      </c>
      <c r="D3038" t="s">
        <v>67</v>
      </c>
      <c r="E3038" t="s">
        <v>63</v>
      </c>
      <c r="F3038" t="s">
        <v>25</v>
      </c>
      <c r="G3038" s="4">
        <v>13</v>
      </c>
      <c r="H3038" s="4" t="s">
        <v>17</v>
      </c>
      <c r="I3038" s="4" t="s">
        <v>69</v>
      </c>
      <c r="J3038" s="4" t="s">
        <v>66</v>
      </c>
      <c r="K3038" s="4">
        <v>0</v>
      </c>
      <c r="L3038" s="94">
        <v>-27321</v>
      </c>
      <c r="M3038" s="94">
        <v>0</v>
      </c>
    </row>
    <row r="3039" spans="3:13" x14ac:dyDescent="0.3">
      <c r="C3039" t="s">
        <v>61</v>
      </c>
      <c r="D3039" t="s">
        <v>62</v>
      </c>
      <c r="E3039" t="s">
        <v>63</v>
      </c>
      <c r="F3039" t="s">
        <v>24</v>
      </c>
      <c r="G3039" s="4">
        <v>21</v>
      </c>
      <c r="I3039" s="4" t="s">
        <v>69</v>
      </c>
      <c r="J3039" s="4" t="s">
        <v>66</v>
      </c>
      <c r="K3039" s="4">
        <v>1</v>
      </c>
      <c r="L3039" s="94">
        <v>-5148</v>
      </c>
      <c r="M3039" s="94">
        <v>0</v>
      </c>
    </row>
    <row r="3040" spans="3:13" x14ac:dyDescent="0.3">
      <c r="C3040" t="s">
        <v>70</v>
      </c>
      <c r="D3040" t="s">
        <v>67</v>
      </c>
      <c r="E3040" t="s">
        <v>63</v>
      </c>
      <c r="F3040" t="s">
        <v>72</v>
      </c>
      <c r="G3040" s="4">
        <v>2</v>
      </c>
      <c r="H3040" s="4" t="s">
        <v>78</v>
      </c>
      <c r="I3040" s="4" t="s">
        <v>69</v>
      </c>
      <c r="J3040" s="4" t="s">
        <v>66</v>
      </c>
      <c r="K3040" s="4">
        <v>0</v>
      </c>
      <c r="L3040" s="94">
        <v>-247</v>
      </c>
      <c r="M3040" s="94">
        <v>0</v>
      </c>
    </row>
    <row r="3041" spans="3:13" x14ac:dyDescent="0.3">
      <c r="C3041" t="s">
        <v>71</v>
      </c>
      <c r="D3041" t="s">
        <v>67</v>
      </c>
      <c r="E3041" t="s">
        <v>68</v>
      </c>
      <c r="F3041" t="s">
        <v>26</v>
      </c>
      <c r="G3041" s="4">
        <v>5</v>
      </c>
      <c r="H3041" s="4" t="s">
        <v>14</v>
      </c>
      <c r="I3041" s="4" t="s">
        <v>69</v>
      </c>
      <c r="J3041" s="4" t="s">
        <v>73</v>
      </c>
      <c r="K3041" s="4">
        <v>1</v>
      </c>
      <c r="L3041" s="94">
        <v>905065</v>
      </c>
      <c r="M3041" s="94">
        <v>4525325</v>
      </c>
    </row>
    <row r="3042" spans="3:13" x14ac:dyDescent="0.3">
      <c r="C3042" t="s">
        <v>70</v>
      </c>
      <c r="D3042" t="s">
        <v>67</v>
      </c>
      <c r="E3042" t="s">
        <v>68</v>
      </c>
      <c r="F3042" t="s">
        <v>72</v>
      </c>
      <c r="G3042" s="4">
        <v>-4</v>
      </c>
      <c r="H3042" s="4" t="s">
        <v>76</v>
      </c>
      <c r="I3042" s="4" t="s">
        <v>69</v>
      </c>
      <c r="J3042" s="4" t="s">
        <v>66</v>
      </c>
      <c r="K3042" s="4">
        <v>0</v>
      </c>
      <c r="L3042" s="94">
        <v>949</v>
      </c>
      <c r="M3042" s="94">
        <v>0</v>
      </c>
    </row>
    <row r="3043" spans="3:13" x14ac:dyDescent="0.3">
      <c r="C3043" t="s">
        <v>71</v>
      </c>
      <c r="D3043" t="s">
        <v>67</v>
      </c>
      <c r="E3043" t="s">
        <v>68</v>
      </c>
      <c r="F3043" t="s">
        <v>72</v>
      </c>
      <c r="G3043" s="4">
        <v>3</v>
      </c>
      <c r="H3043" s="4" t="s">
        <v>14</v>
      </c>
      <c r="I3043" s="4" t="s">
        <v>69</v>
      </c>
      <c r="J3043" s="4" t="s">
        <v>73</v>
      </c>
      <c r="K3043" s="4">
        <v>1</v>
      </c>
      <c r="L3043" s="94">
        <v>113503</v>
      </c>
      <c r="M3043" s="94">
        <v>340509</v>
      </c>
    </row>
    <row r="3044" spans="3:13" x14ac:dyDescent="0.3">
      <c r="C3044" t="s">
        <v>70</v>
      </c>
      <c r="D3044" t="s">
        <v>67</v>
      </c>
      <c r="E3044" t="s">
        <v>68</v>
      </c>
      <c r="F3044" t="s">
        <v>72</v>
      </c>
      <c r="G3044" s="4">
        <v>1</v>
      </c>
      <c r="H3044" s="4" t="s">
        <v>77</v>
      </c>
      <c r="I3044" s="4" t="s">
        <v>69</v>
      </c>
      <c r="J3044" s="4" t="s">
        <v>66</v>
      </c>
      <c r="K3044" s="4">
        <v>0</v>
      </c>
      <c r="L3044" s="94">
        <v>34811</v>
      </c>
      <c r="M3044" s="94">
        <v>34811</v>
      </c>
    </row>
    <row r="3045" spans="3:13" x14ac:dyDescent="0.3">
      <c r="C3045" t="s">
        <v>61</v>
      </c>
      <c r="D3045" t="s">
        <v>62</v>
      </c>
      <c r="E3045" t="s">
        <v>63</v>
      </c>
      <c r="F3045" t="s">
        <v>24</v>
      </c>
      <c r="G3045" s="4">
        <v>7</v>
      </c>
      <c r="I3045" s="4" t="s">
        <v>65</v>
      </c>
      <c r="J3045" s="4" t="s">
        <v>66</v>
      </c>
      <c r="K3045" s="4">
        <v>1</v>
      </c>
      <c r="L3045" s="94">
        <v>-764</v>
      </c>
      <c r="M3045" s="94">
        <v>0</v>
      </c>
    </row>
    <row r="3046" spans="3:13" x14ac:dyDescent="0.3">
      <c r="C3046" t="s">
        <v>70</v>
      </c>
      <c r="D3046" t="s">
        <v>67</v>
      </c>
      <c r="E3046" t="s">
        <v>68</v>
      </c>
      <c r="F3046" t="s">
        <v>26</v>
      </c>
      <c r="G3046" s="4">
        <v>0</v>
      </c>
      <c r="H3046" s="4" t="s">
        <v>12</v>
      </c>
      <c r="I3046" s="4" t="s">
        <v>69</v>
      </c>
      <c r="J3046" s="4" t="s">
        <v>66</v>
      </c>
      <c r="K3046" s="4">
        <v>0</v>
      </c>
      <c r="L3046" s="94">
        <v>248771</v>
      </c>
      <c r="M3046" s="94">
        <v>0</v>
      </c>
    </row>
    <row r="3047" spans="3:13" x14ac:dyDescent="0.3">
      <c r="C3047" t="s">
        <v>61</v>
      </c>
      <c r="D3047" t="s">
        <v>62</v>
      </c>
      <c r="E3047" t="s">
        <v>68</v>
      </c>
      <c r="F3047" t="s">
        <v>24</v>
      </c>
      <c r="G3047" s="4">
        <v>45</v>
      </c>
      <c r="I3047" s="4" t="s">
        <v>69</v>
      </c>
      <c r="J3047" s="4" t="s">
        <v>66</v>
      </c>
      <c r="K3047" s="4">
        <v>1</v>
      </c>
      <c r="L3047" s="94">
        <v>141357</v>
      </c>
      <c r="M3047" s="94">
        <v>6361065</v>
      </c>
    </row>
    <row r="3048" spans="3:13" x14ac:dyDescent="0.3">
      <c r="C3048" t="s">
        <v>71</v>
      </c>
      <c r="D3048" t="s">
        <v>67</v>
      </c>
      <c r="E3048" t="s">
        <v>63</v>
      </c>
      <c r="F3048" t="s">
        <v>25</v>
      </c>
      <c r="G3048" s="4">
        <v>1</v>
      </c>
      <c r="H3048" s="4" t="s">
        <v>14</v>
      </c>
      <c r="I3048" s="4" t="s">
        <v>69</v>
      </c>
      <c r="J3048" s="4" t="s">
        <v>66</v>
      </c>
      <c r="K3048" s="4">
        <v>1</v>
      </c>
      <c r="L3048" s="94">
        <v>-383640</v>
      </c>
      <c r="M3048" s="94">
        <v>0</v>
      </c>
    </row>
    <row r="3049" spans="3:13" x14ac:dyDescent="0.3">
      <c r="C3049" t="s">
        <v>70</v>
      </c>
      <c r="D3049" t="s">
        <v>67</v>
      </c>
      <c r="E3049" t="s">
        <v>68</v>
      </c>
      <c r="F3049" t="s">
        <v>26</v>
      </c>
      <c r="G3049" s="4">
        <v>-1</v>
      </c>
      <c r="H3049" s="4" t="s">
        <v>82</v>
      </c>
      <c r="I3049" s="4" t="s">
        <v>69</v>
      </c>
      <c r="J3049" s="4" t="s">
        <v>66</v>
      </c>
      <c r="K3049" s="4">
        <v>0</v>
      </c>
      <c r="L3049" s="94">
        <v>7148097</v>
      </c>
      <c r="M3049" s="94">
        <v>0</v>
      </c>
    </row>
    <row r="3050" spans="3:13" x14ac:dyDescent="0.3">
      <c r="C3050" t="s">
        <v>70</v>
      </c>
      <c r="D3050" t="s">
        <v>67</v>
      </c>
      <c r="E3050" t="s">
        <v>68</v>
      </c>
      <c r="F3050" t="s">
        <v>72</v>
      </c>
      <c r="G3050" s="4">
        <v>3</v>
      </c>
      <c r="H3050" s="4" t="s">
        <v>12</v>
      </c>
      <c r="I3050" s="4" t="s">
        <v>69</v>
      </c>
      <c r="J3050" s="4" t="s">
        <v>66</v>
      </c>
      <c r="K3050" s="4">
        <v>0</v>
      </c>
      <c r="L3050" s="94">
        <v>513047</v>
      </c>
      <c r="M3050" s="94">
        <v>1539141</v>
      </c>
    </row>
    <row r="3051" spans="3:13" x14ac:dyDescent="0.3">
      <c r="C3051" t="s">
        <v>61</v>
      </c>
      <c r="D3051" t="s">
        <v>67</v>
      </c>
      <c r="E3051" t="s">
        <v>68</v>
      </c>
      <c r="F3051" t="s">
        <v>72</v>
      </c>
      <c r="G3051" s="4">
        <v>-1</v>
      </c>
      <c r="H3051" s="4" t="s">
        <v>18</v>
      </c>
      <c r="I3051" s="4" t="s">
        <v>69</v>
      </c>
      <c r="J3051" s="4" t="s">
        <v>66</v>
      </c>
      <c r="K3051" s="4">
        <v>0</v>
      </c>
      <c r="L3051" s="94">
        <v>8541053</v>
      </c>
      <c r="M3051" s="94">
        <v>0</v>
      </c>
    </row>
    <row r="3052" spans="3:13" x14ac:dyDescent="0.3">
      <c r="C3052" t="s">
        <v>61</v>
      </c>
      <c r="D3052" t="s">
        <v>67</v>
      </c>
      <c r="E3052" t="s">
        <v>63</v>
      </c>
      <c r="F3052" t="s">
        <v>72</v>
      </c>
      <c r="G3052" s="4">
        <v>3</v>
      </c>
      <c r="H3052" s="4" t="s">
        <v>82</v>
      </c>
      <c r="I3052" s="4" t="s">
        <v>69</v>
      </c>
      <c r="J3052" s="4" t="s">
        <v>66</v>
      </c>
      <c r="K3052" s="4">
        <v>0</v>
      </c>
      <c r="L3052" s="94">
        <v>-45461</v>
      </c>
      <c r="M3052" s="94">
        <v>0</v>
      </c>
    </row>
    <row r="3053" spans="3:13" x14ac:dyDescent="0.3">
      <c r="C3053" t="s">
        <v>61</v>
      </c>
      <c r="D3053" t="s">
        <v>67</v>
      </c>
      <c r="E3053" t="s">
        <v>68</v>
      </c>
      <c r="F3053" t="s">
        <v>72</v>
      </c>
      <c r="G3053" s="4">
        <v>17</v>
      </c>
      <c r="H3053" s="4" t="s">
        <v>80</v>
      </c>
      <c r="I3053" s="4" t="s">
        <v>69</v>
      </c>
      <c r="J3053" s="4" t="s">
        <v>66</v>
      </c>
      <c r="K3053" s="4">
        <v>0</v>
      </c>
      <c r="L3053" s="94">
        <v>1882773</v>
      </c>
      <c r="M3053" s="94">
        <v>32007141</v>
      </c>
    </row>
    <row r="3054" spans="3:13" x14ac:dyDescent="0.3">
      <c r="C3054" t="s">
        <v>61</v>
      </c>
      <c r="D3054" t="s">
        <v>67</v>
      </c>
      <c r="E3054" t="s">
        <v>63</v>
      </c>
      <c r="F3054" t="s">
        <v>26</v>
      </c>
      <c r="G3054" s="4">
        <v>9</v>
      </c>
      <c r="H3054" s="4" t="s">
        <v>14</v>
      </c>
      <c r="I3054" s="4" t="s">
        <v>69</v>
      </c>
      <c r="J3054" s="4" t="s">
        <v>73</v>
      </c>
      <c r="K3054" s="4">
        <v>1</v>
      </c>
      <c r="L3054" s="94">
        <v>-1158</v>
      </c>
      <c r="M3054" s="94">
        <v>0</v>
      </c>
    </row>
    <row r="3055" spans="3:13" x14ac:dyDescent="0.3">
      <c r="C3055" t="s">
        <v>70</v>
      </c>
      <c r="D3055" t="s">
        <v>67</v>
      </c>
      <c r="E3055" t="s">
        <v>68</v>
      </c>
      <c r="F3055" t="s">
        <v>26</v>
      </c>
      <c r="G3055" s="4">
        <v>7</v>
      </c>
      <c r="H3055" s="4" t="s">
        <v>83</v>
      </c>
      <c r="I3055" s="4" t="s">
        <v>69</v>
      </c>
      <c r="J3055" s="4" t="s">
        <v>66</v>
      </c>
      <c r="K3055" s="4">
        <v>0</v>
      </c>
      <c r="L3055" s="94">
        <v>22386</v>
      </c>
      <c r="M3055" s="94">
        <v>156702</v>
      </c>
    </row>
    <row r="3056" spans="3:13" x14ac:dyDescent="0.3">
      <c r="C3056" t="s">
        <v>61</v>
      </c>
      <c r="D3056" t="s">
        <v>67</v>
      </c>
      <c r="E3056" t="s">
        <v>63</v>
      </c>
      <c r="F3056" t="s">
        <v>25</v>
      </c>
      <c r="G3056" s="4">
        <v>7</v>
      </c>
      <c r="H3056" s="4" t="s">
        <v>78</v>
      </c>
      <c r="I3056" s="4" t="s">
        <v>69</v>
      </c>
      <c r="J3056" s="4" t="s">
        <v>66</v>
      </c>
      <c r="K3056" s="4">
        <v>0</v>
      </c>
      <c r="L3056" s="94">
        <v>-1184</v>
      </c>
      <c r="M3056" s="94">
        <v>0</v>
      </c>
    </row>
    <row r="3057" spans="3:13" x14ac:dyDescent="0.3">
      <c r="C3057" t="s">
        <v>71</v>
      </c>
      <c r="D3057" t="s">
        <v>67</v>
      </c>
      <c r="E3057" t="s">
        <v>63</v>
      </c>
      <c r="F3057" t="s">
        <v>25</v>
      </c>
      <c r="G3057" s="4">
        <v>-4</v>
      </c>
      <c r="H3057" s="4" t="s">
        <v>75</v>
      </c>
      <c r="I3057" s="4" t="s">
        <v>69</v>
      </c>
      <c r="J3057" s="4" t="s">
        <v>66</v>
      </c>
      <c r="K3057" s="4">
        <v>1</v>
      </c>
      <c r="L3057" s="94">
        <v>-11921911</v>
      </c>
      <c r="M3057" s="94">
        <v>0</v>
      </c>
    </row>
    <row r="3058" spans="3:13" x14ac:dyDescent="0.3">
      <c r="C3058" t="s">
        <v>61</v>
      </c>
      <c r="D3058" t="s">
        <v>67</v>
      </c>
      <c r="E3058" t="s">
        <v>63</v>
      </c>
      <c r="F3058" t="s">
        <v>72</v>
      </c>
      <c r="G3058" s="4">
        <v>2</v>
      </c>
      <c r="H3058" s="4" t="s">
        <v>78</v>
      </c>
      <c r="I3058" s="4" t="s">
        <v>69</v>
      </c>
      <c r="J3058" s="4" t="s">
        <v>66</v>
      </c>
      <c r="K3058" s="4">
        <v>0</v>
      </c>
      <c r="L3058" s="94">
        <v>-229</v>
      </c>
      <c r="M3058" s="94">
        <v>0</v>
      </c>
    </row>
    <row r="3059" spans="3:13" x14ac:dyDescent="0.3">
      <c r="C3059" t="s">
        <v>61</v>
      </c>
      <c r="D3059" t="s">
        <v>67</v>
      </c>
      <c r="E3059" t="s">
        <v>63</v>
      </c>
      <c r="F3059" t="s">
        <v>26</v>
      </c>
      <c r="G3059" s="4">
        <v>4</v>
      </c>
      <c r="H3059" s="4" t="s">
        <v>12</v>
      </c>
      <c r="I3059" s="4" t="s">
        <v>65</v>
      </c>
      <c r="J3059" s="4" t="s">
        <v>66</v>
      </c>
      <c r="K3059" s="4">
        <v>1</v>
      </c>
      <c r="L3059" s="94">
        <v>-692</v>
      </c>
      <c r="M3059" s="94">
        <v>0</v>
      </c>
    </row>
    <row r="3060" spans="3:13" x14ac:dyDescent="0.3">
      <c r="C3060" t="s">
        <v>70</v>
      </c>
      <c r="D3060" t="s">
        <v>67</v>
      </c>
      <c r="E3060" t="s">
        <v>63</v>
      </c>
      <c r="F3060" t="s">
        <v>25</v>
      </c>
      <c r="G3060" s="4">
        <v>7</v>
      </c>
      <c r="H3060" s="4" t="s">
        <v>79</v>
      </c>
      <c r="I3060" s="4" t="s">
        <v>69</v>
      </c>
      <c r="J3060" s="4" t="s">
        <v>66</v>
      </c>
      <c r="K3060" s="4">
        <v>0</v>
      </c>
      <c r="L3060" s="94">
        <v>-6125</v>
      </c>
      <c r="M3060" s="94">
        <v>0</v>
      </c>
    </row>
    <row r="3061" spans="3:13" x14ac:dyDescent="0.3">
      <c r="C3061" t="s">
        <v>70</v>
      </c>
      <c r="D3061" t="s">
        <v>62</v>
      </c>
      <c r="E3061" t="s">
        <v>63</v>
      </c>
      <c r="F3061" t="s">
        <v>25</v>
      </c>
      <c r="G3061" s="4">
        <v>35</v>
      </c>
      <c r="I3061" s="4" t="s">
        <v>69</v>
      </c>
      <c r="J3061" s="4" t="s">
        <v>66</v>
      </c>
      <c r="K3061" s="4">
        <v>0</v>
      </c>
      <c r="L3061" s="94">
        <v>-12639</v>
      </c>
      <c r="M3061" s="94">
        <v>0</v>
      </c>
    </row>
    <row r="3062" spans="3:13" x14ac:dyDescent="0.3">
      <c r="C3062" t="s">
        <v>70</v>
      </c>
      <c r="D3062" t="s">
        <v>67</v>
      </c>
      <c r="E3062" t="s">
        <v>68</v>
      </c>
      <c r="F3062" t="s">
        <v>26</v>
      </c>
      <c r="G3062" s="4">
        <v>4</v>
      </c>
      <c r="H3062" s="4" t="s">
        <v>18</v>
      </c>
      <c r="I3062" s="4" t="s">
        <v>69</v>
      </c>
      <c r="J3062" s="4" t="s">
        <v>66</v>
      </c>
      <c r="K3062" s="4">
        <v>0</v>
      </c>
      <c r="L3062" s="94">
        <v>16275629</v>
      </c>
      <c r="M3062" s="94">
        <v>65102516</v>
      </c>
    </row>
    <row r="3063" spans="3:13" x14ac:dyDescent="0.3">
      <c r="C3063" t="s">
        <v>70</v>
      </c>
      <c r="D3063" t="s">
        <v>67</v>
      </c>
      <c r="E3063" t="s">
        <v>63</v>
      </c>
      <c r="F3063" t="s">
        <v>72</v>
      </c>
      <c r="G3063" s="4">
        <v>6</v>
      </c>
      <c r="H3063" s="4" t="s">
        <v>64</v>
      </c>
      <c r="I3063" s="4" t="s">
        <v>69</v>
      </c>
      <c r="J3063" s="4" t="s">
        <v>66</v>
      </c>
      <c r="K3063" s="4">
        <v>0</v>
      </c>
      <c r="L3063" s="94">
        <v>-6862</v>
      </c>
      <c r="M3063" s="94">
        <v>0</v>
      </c>
    </row>
    <row r="3064" spans="3:13" x14ac:dyDescent="0.3">
      <c r="C3064" t="s">
        <v>70</v>
      </c>
      <c r="D3064" t="s">
        <v>67</v>
      </c>
      <c r="E3064" t="s">
        <v>63</v>
      </c>
      <c r="F3064" t="s">
        <v>26</v>
      </c>
      <c r="G3064" s="4">
        <v>4</v>
      </c>
      <c r="H3064" s="4" t="s">
        <v>83</v>
      </c>
      <c r="I3064" s="4" t="s">
        <v>69</v>
      </c>
      <c r="J3064" s="4" t="s">
        <v>66</v>
      </c>
      <c r="K3064" s="4">
        <v>0</v>
      </c>
      <c r="L3064" s="94">
        <v>-112642</v>
      </c>
      <c r="M3064" s="94">
        <v>0</v>
      </c>
    </row>
    <row r="3065" spans="3:13" x14ac:dyDescent="0.3">
      <c r="C3065" t="s">
        <v>61</v>
      </c>
      <c r="D3065" t="s">
        <v>67</v>
      </c>
      <c r="E3065" t="s">
        <v>68</v>
      </c>
      <c r="F3065" t="s">
        <v>72</v>
      </c>
      <c r="G3065" s="4">
        <v>4</v>
      </c>
      <c r="H3065" s="4" t="s">
        <v>15</v>
      </c>
      <c r="I3065" s="4" t="s">
        <v>69</v>
      </c>
      <c r="J3065" s="4" t="s">
        <v>66</v>
      </c>
      <c r="K3065" s="4">
        <v>0</v>
      </c>
      <c r="L3065" s="94">
        <v>81782</v>
      </c>
      <c r="M3065" s="94">
        <v>327128</v>
      </c>
    </row>
    <row r="3066" spans="3:13" x14ac:dyDescent="0.3">
      <c r="C3066" t="s">
        <v>70</v>
      </c>
      <c r="D3066" t="s">
        <v>62</v>
      </c>
      <c r="E3066" t="s">
        <v>63</v>
      </c>
      <c r="F3066" t="s">
        <v>24</v>
      </c>
      <c r="G3066" s="4">
        <v>50</v>
      </c>
      <c r="I3066" s="4" t="s">
        <v>69</v>
      </c>
      <c r="J3066" s="4" t="s">
        <v>66</v>
      </c>
      <c r="K3066" s="4">
        <v>0</v>
      </c>
      <c r="L3066" s="94">
        <v>-4826</v>
      </c>
      <c r="M3066" s="94">
        <v>0</v>
      </c>
    </row>
    <row r="3067" spans="3:13" x14ac:dyDescent="0.3">
      <c r="C3067" t="s">
        <v>61</v>
      </c>
      <c r="D3067" t="s">
        <v>62</v>
      </c>
      <c r="E3067" t="s">
        <v>63</v>
      </c>
      <c r="F3067" t="s">
        <v>24</v>
      </c>
      <c r="G3067" s="4">
        <v>11</v>
      </c>
      <c r="I3067" s="4" t="s">
        <v>69</v>
      </c>
      <c r="J3067" s="4" t="s">
        <v>66</v>
      </c>
      <c r="K3067" s="4">
        <v>0</v>
      </c>
      <c r="L3067" s="94">
        <v>-88037</v>
      </c>
      <c r="M3067" s="94">
        <v>0</v>
      </c>
    </row>
    <row r="3068" spans="3:13" x14ac:dyDescent="0.3">
      <c r="C3068" t="s">
        <v>61</v>
      </c>
      <c r="D3068" t="s">
        <v>67</v>
      </c>
      <c r="E3068" t="s">
        <v>68</v>
      </c>
      <c r="F3068" t="s">
        <v>26</v>
      </c>
      <c r="G3068" s="4">
        <v>3</v>
      </c>
      <c r="H3068" s="4" t="s">
        <v>18</v>
      </c>
      <c r="I3068" s="4" t="s">
        <v>69</v>
      </c>
      <c r="J3068" s="4" t="s">
        <v>73</v>
      </c>
      <c r="K3068" s="4">
        <v>1</v>
      </c>
      <c r="L3068" s="94">
        <v>6399906</v>
      </c>
      <c r="M3068" s="94">
        <v>19199718</v>
      </c>
    </row>
    <row r="3069" spans="3:13" x14ac:dyDescent="0.3">
      <c r="C3069" t="s">
        <v>70</v>
      </c>
      <c r="D3069" t="s">
        <v>67</v>
      </c>
      <c r="E3069" t="s">
        <v>68</v>
      </c>
      <c r="F3069" t="s">
        <v>26</v>
      </c>
      <c r="G3069" s="4">
        <v>6</v>
      </c>
      <c r="H3069" s="4" t="s">
        <v>79</v>
      </c>
      <c r="I3069" s="4" t="s">
        <v>69</v>
      </c>
      <c r="J3069" s="4" t="s">
        <v>66</v>
      </c>
      <c r="K3069" s="4">
        <v>0</v>
      </c>
      <c r="L3069" s="94">
        <v>3032107</v>
      </c>
      <c r="M3069" s="94">
        <v>18192642</v>
      </c>
    </row>
    <row r="3070" spans="3:13" x14ac:dyDescent="0.3">
      <c r="C3070" t="s">
        <v>61</v>
      </c>
      <c r="D3070" t="s">
        <v>67</v>
      </c>
      <c r="E3070" t="s">
        <v>63</v>
      </c>
      <c r="F3070" t="s">
        <v>72</v>
      </c>
      <c r="G3070" s="4">
        <v>3</v>
      </c>
      <c r="H3070" s="4" t="s">
        <v>14</v>
      </c>
      <c r="I3070" s="4" t="s">
        <v>65</v>
      </c>
      <c r="J3070" s="4" t="s">
        <v>73</v>
      </c>
      <c r="K3070" s="4">
        <v>1</v>
      </c>
      <c r="L3070" s="94">
        <v>-35</v>
      </c>
      <c r="M3070" s="94">
        <v>0</v>
      </c>
    </row>
    <row r="3071" spans="3:13" x14ac:dyDescent="0.3">
      <c r="C3071" t="s">
        <v>70</v>
      </c>
      <c r="D3071" t="s">
        <v>62</v>
      </c>
      <c r="E3071" t="s">
        <v>63</v>
      </c>
      <c r="F3071" t="s">
        <v>24</v>
      </c>
      <c r="G3071" s="4">
        <v>15</v>
      </c>
      <c r="I3071" s="4" t="s">
        <v>69</v>
      </c>
      <c r="J3071" s="4" t="s">
        <v>66</v>
      </c>
      <c r="K3071" s="4">
        <v>0</v>
      </c>
      <c r="L3071" s="94">
        <v>-472240</v>
      </c>
      <c r="M3071" s="94">
        <v>0</v>
      </c>
    </row>
    <row r="3072" spans="3:13" x14ac:dyDescent="0.3">
      <c r="C3072" t="s">
        <v>70</v>
      </c>
      <c r="D3072" t="s">
        <v>67</v>
      </c>
      <c r="E3072" t="s">
        <v>68</v>
      </c>
      <c r="F3072" t="s">
        <v>26</v>
      </c>
      <c r="G3072" s="4">
        <v>14</v>
      </c>
      <c r="H3072" s="4" t="s">
        <v>76</v>
      </c>
      <c r="I3072" s="4" t="s">
        <v>69</v>
      </c>
      <c r="J3072" s="4" t="s">
        <v>66</v>
      </c>
      <c r="K3072" s="4">
        <v>0</v>
      </c>
      <c r="L3072" s="94">
        <v>39467</v>
      </c>
      <c r="M3072" s="94">
        <v>552538</v>
      </c>
    </row>
    <row r="3073" spans="3:13" x14ac:dyDescent="0.3">
      <c r="C3073" t="s">
        <v>70</v>
      </c>
      <c r="D3073" t="s">
        <v>67</v>
      </c>
      <c r="E3073" t="s">
        <v>63</v>
      </c>
      <c r="F3073" t="s">
        <v>25</v>
      </c>
      <c r="G3073" s="4">
        <v>8</v>
      </c>
      <c r="H3073" s="4" t="s">
        <v>12</v>
      </c>
      <c r="I3073" s="4" t="s">
        <v>69</v>
      </c>
      <c r="J3073" s="4" t="s">
        <v>66</v>
      </c>
      <c r="K3073" s="4">
        <v>1</v>
      </c>
      <c r="L3073" s="94">
        <v>-20468</v>
      </c>
      <c r="M3073" s="94">
        <v>0</v>
      </c>
    </row>
    <row r="3074" spans="3:13" x14ac:dyDescent="0.3">
      <c r="C3074" t="s">
        <v>70</v>
      </c>
      <c r="D3074" t="s">
        <v>62</v>
      </c>
      <c r="E3074" t="s">
        <v>63</v>
      </c>
      <c r="F3074" t="s">
        <v>24</v>
      </c>
      <c r="G3074" s="4">
        <v>16</v>
      </c>
      <c r="I3074" s="4" t="s">
        <v>65</v>
      </c>
      <c r="J3074" s="4" t="s">
        <v>66</v>
      </c>
      <c r="K3074" s="4">
        <v>1</v>
      </c>
      <c r="L3074" s="94">
        <v>-3412</v>
      </c>
      <c r="M3074" s="94">
        <v>0</v>
      </c>
    </row>
    <row r="3075" spans="3:13" x14ac:dyDescent="0.3">
      <c r="C3075" t="s">
        <v>71</v>
      </c>
      <c r="D3075" t="s">
        <v>62</v>
      </c>
      <c r="E3075" t="s">
        <v>68</v>
      </c>
      <c r="F3075" t="s">
        <v>24</v>
      </c>
      <c r="G3075" s="4">
        <v>21</v>
      </c>
      <c r="I3075" s="4" t="s">
        <v>69</v>
      </c>
      <c r="J3075" s="4" t="s">
        <v>66</v>
      </c>
      <c r="K3075" s="4">
        <v>1</v>
      </c>
      <c r="L3075" s="94">
        <v>350917</v>
      </c>
      <c r="M3075" s="94">
        <v>7369257</v>
      </c>
    </row>
    <row r="3076" spans="3:13" x14ac:dyDescent="0.3">
      <c r="C3076" t="s">
        <v>61</v>
      </c>
      <c r="D3076" t="s">
        <v>67</v>
      </c>
      <c r="E3076" t="s">
        <v>63</v>
      </c>
      <c r="F3076" t="s">
        <v>26</v>
      </c>
      <c r="G3076" s="4">
        <v>12</v>
      </c>
      <c r="H3076" s="4" t="s">
        <v>75</v>
      </c>
      <c r="I3076" s="4" t="s">
        <v>69</v>
      </c>
      <c r="J3076" s="4" t="s">
        <v>66</v>
      </c>
      <c r="K3076" s="4">
        <v>0</v>
      </c>
      <c r="L3076" s="94">
        <v>-4973</v>
      </c>
      <c r="M3076" s="94">
        <v>0</v>
      </c>
    </row>
    <row r="3077" spans="3:13" x14ac:dyDescent="0.3">
      <c r="C3077" t="s">
        <v>61</v>
      </c>
      <c r="D3077" t="s">
        <v>67</v>
      </c>
      <c r="E3077" t="s">
        <v>68</v>
      </c>
      <c r="F3077" t="s">
        <v>72</v>
      </c>
      <c r="G3077" s="4">
        <v>4</v>
      </c>
      <c r="H3077" s="4" t="s">
        <v>17</v>
      </c>
      <c r="I3077" s="4" t="s">
        <v>65</v>
      </c>
      <c r="J3077" s="4" t="s">
        <v>73</v>
      </c>
      <c r="K3077" s="4">
        <v>1</v>
      </c>
      <c r="L3077" s="94">
        <v>464215</v>
      </c>
      <c r="M3077" s="94">
        <v>1856860</v>
      </c>
    </row>
    <row r="3078" spans="3:13" x14ac:dyDescent="0.3">
      <c r="C3078" t="s">
        <v>70</v>
      </c>
      <c r="D3078" t="s">
        <v>67</v>
      </c>
      <c r="E3078" t="s">
        <v>63</v>
      </c>
      <c r="F3078" t="s">
        <v>26</v>
      </c>
      <c r="G3078" s="4">
        <v>0</v>
      </c>
      <c r="H3078" s="4" t="s">
        <v>15</v>
      </c>
      <c r="I3078" s="4" t="s">
        <v>69</v>
      </c>
      <c r="J3078" s="4" t="s">
        <v>66</v>
      </c>
      <c r="K3078" s="4">
        <v>0</v>
      </c>
      <c r="L3078" s="94">
        <v>-1461</v>
      </c>
      <c r="M3078" s="94">
        <v>0</v>
      </c>
    </row>
    <row r="3079" spans="3:13" x14ac:dyDescent="0.3">
      <c r="C3079" t="s">
        <v>71</v>
      </c>
      <c r="D3079" t="s">
        <v>67</v>
      </c>
      <c r="E3079" t="s">
        <v>68</v>
      </c>
      <c r="F3079" t="s">
        <v>25</v>
      </c>
      <c r="G3079" s="4">
        <v>14</v>
      </c>
      <c r="H3079" s="4" t="s">
        <v>64</v>
      </c>
      <c r="I3079" s="4" t="s">
        <v>69</v>
      </c>
      <c r="J3079" s="4" t="s">
        <v>66</v>
      </c>
      <c r="K3079" s="4">
        <v>0</v>
      </c>
      <c r="L3079" s="94">
        <v>139174</v>
      </c>
      <c r="M3079" s="94">
        <v>1948436</v>
      </c>
    </row>
    <row r="3080" spans="3:13" x14ac:dyDescent="0.3">
      <c r="C3080" t="s">
        <v>70</v>
      </c>
      <c r="D3080" t="s">
        <v>67</v>
      </c>
      <c r="E3080" t="s">
        <v>63</v>
      </c>
      <c r="F3080" t="s">
        <v>25</v>
      </c>
      <c r="G3080" s="4">
        <v>9</v>
      </c>
      <c r="H3080" s="4" t="s">
        <v>77</v>
      </c>
      <c r="I3080" s="4" t="s">
        <v>69</v>
      </c>
      <c r="J3080" s="4" t="s">
        <v>66</v>
      </c>
      <c r="K3080" s="4">
        <v>0</v>
      </c>
      <c r="L3080" s="94">
        <v>-39962</v>
      </c>
      <c r="M3080" s="94">
        <v>0</v>
      </c>
    </row>
    <row r="3081" spans="3:13" x14ac:dyDescent="0.3">
      <c r="C3081" t="s">
        <v>61</v>
      </c>
      <c r="D3081" t="s">
        <v>67</v>
      </c>
      <c r="E3081" t="s">
        <v>68</v>
      </c>
      <c r="F3081" t="s">
        <v>25</v>
      </c>
      <c r="G3081" s="4">
        <v>13</v>
      </c>
      <c r="H3081" s="4" t="s">
        <v>12</v>
      </c>
      <c r="I3081" s="4" t="s">
        <v>69</v>
      </c>
      <c r="J3081" s="4" t="s">
        <v>66</v>
      </c>
      <c r="K3081" s="4">
        <v>1</v>
      </c>
      <c r="L3081" s="94">
        <v>4482227</v>
      </c>
      <c r="M3081" s="94">
        <v>58268951</v>
      </c>
    </row>
    <row r="3082" spans="3:13" x14ac:dyDescent="0.3">
      <c r="C3082" t="s">
        <v>61</v>
      </c>
      <c r="D3082" t="s">
        <v>62</v>
      </c>
      <c r="E3082" t="s">
        <v>68</v>
      </c>
      <c r="F3082" t="s">
        <v>24</v>
      </c>
      <c r="G3082" s="4">
        <v>0</v>
      </c>
      <c r="I3082" s="4" t="s">
        <v>65</v>
      </c>
      <c r="J3082" s="4" t="s">
        <v>66</v>
      </c>
      <c r="K3082" s="4">
        <v>1</v>
      </c>
      <c r="L3082" s="94">
        <v>19099</v>
      </c>
      <c r="M3082" s="94">
        <v>0</v>
      </c>
    </row>
    <row r="3083" spans="3:13" x14ac:dyDescent="0.3">
      <c r="C3083" t="s">
        <v>61</v>
      </c>
      <c r="D3083" t="s">
        <v>67</v>
      </c>
      <c r="E3083" t="s">
        <v>63</v>
      </c>
      <c r="F3083" t="s">
        <v>25</v>
      </c>
      <c r="G3083" s="4">
        <v>9</v>
      </c>
      <c r="H3083" s="4" t="s">
        <v>81</v>
      </c>
      <c r="I3083" s="4" t="s">
        <v>69</v>
      </c>
      <c r="J3083" s="4" t="s">
        <v>66</v>
      </c>
      <c r="K3083" s="4">
        <v>0</v>
      </c>
      <c r="L3083" s="94">
        <v>-185</v>
      </c>
      <c r="M3083" s="94">
        <v>0</v>
      </c>
    </row>
    <row r="3084" spans="3:13" x14ac:dyDescent="0.3">
      <c r="C3084" t="s">
        <v>61</v>
      </c>
      <c r="D3084" t="s">
        <v>67</v>
      </c>
      <c r="E3084" t="s">
        <v>68</v>
      </c>
      <c r="F3084" t="s">
        <v>25</v>
      </c>
      <c r="G3084" s="4">
        <v>12</v>
      </c>
      <c r="H3084" s="4" t="s">
        <v>82</v>
      </c>
      <c r="I3084" s="4" t="s">
        <v>69</v>
      </c>
      <c r="J3084" s="4" t="s">
        <v>66</v>
      </c>
      <c r="K3084" s="4">
        <v>0</v>
      </c>
      <c r="L3084" s="94">
        <v>248788</v>
      </c>
      <c r="M3084" s="94">
        <v>2985456</v>
      </c>
    </row>
    <row r="3085" spans="3:13" x14ac:dyDescent="0.3">
      <c r="C3085" t="s">
        <v>61</v>
      </c>
      <c r="D3085" t="s">
        <v>67</v>
      </c>
      <c r="E3085" t="s">
        <v>68</v>
      </c>
      <c r="F3085" t="s">
        <v>26</v>
      </c>
      <c r="G3085" s="4">
        <v>7</v>
      </c>
      <c r="H3085" s="4" t="s">
        <v>12</v>
      </c>
      <c r="I3085" s="4" t="s">
        <v>69</v>
      </c>
      <c r="J3085" s="4" t="s">
        <v>73</v>
      </c>
      <c r="K3085" s="4">
        <v>1</v>
      </c>
      <c r="L3085" s="94">
        <v>2124380</v>
      </c>
      <c r="M3085" s="94">
        <v>14870660</v>
      </c>
    </row>
    <row r="3086" spans="3:13" x14ac:dyDescent="0.3">
      <c r="C3086" t="s">
        <v>71</v>
      </c>
      <c r="D3086" t="s">
        <v>67</v>
      </c>
      <c r="E3086" t="s">
        <v>63</v>
      </c>
      <c r="F3086" t="s">
        <v>26</v>
      </c>
      <c r="G3086" s="4">
        <v>8</v>
      </c>
      <c r="H3086" s="4" t="s">
        <v>12</v>
      </c>
      <c r="I3086" s="4" t="s">
        <v>69</v>
      </c>
      <c r="J3086" s="4" t="s">
        <v>73</v>
      </c>
      <c r="K3086" s="4">
        <v>1</v>
      </c>
      <c r="L3086" s="94">
        <v>-78706</v>
      </c>
      <c r="M3086" s="94">
        <v>0</v>
      </c>
    </row>
    <row r="3087" spans="3:13" x14ac:dyDescent="0.3">
      <c r="C3087" t="s">
        <v>70</v>
      </c>
      <c r="D3087" t="s">
        <v>67</v>
      </c>
      <c r="E3087" t="s">
        <v>63</v>
      </c>
      <c r="F3087" t="s">
        <v>26</v>
      </c>
      <c r="G3087" s="4">
        <v>6</v>
      </c>
      <c r="H3087" s="4" t="s">
        <v>14</v>
      </c>
      <c r="I3087" s="4" t="s">
        <v>69</v>
      </c>
      <c r="J3087" s="4" t="s">
        <v>73</v>
      </c>
      <c r="K3087" s="4">
        <v>1</v>
      </c>
      <c r="L3087" s="94">
        <v>-315606</v>
      </c>
      <c r="M3087" s="94">
        <v>0</v>
      </c>
    </row>
    <row r="3088" spans="3:13" x14ac:dyDescent="0.3">
      <c r="C3088" t="s">
        <v>70</v>
      </c>
      <c r="D3088" t="s">
        <v>62</v>
      </c>
      <c r="E3088" t="s">
        <v>63</v>
      </c>
      <c r="F3088" t="s">
        <v>24</v>
      </c>
      <c r="G3088" s="4">
        <v>14</v>
      </c>
      <c r="I3088" s="4" t="s">
        <v>69</v>
      </c>
      <c r="J3088" s="4" t="s">
        <v>66</v>
      </c>
      <c r="K3088" s="4">
        <v>0</v>
      </c>
      <c r="L3088" s="94">
        <v>-570287</v>
      </c>
      <c r="M3088" s="94">
        <v>0</v>
      </c>
    </row>
    <row r="3089" spans="3:13" x14ac:dyDescent="0.3">
      <c r="C3089" t="s">
        <v>61</v>
      </c>
      <c r="D3089" t="s">
        <v>62</v>
      </c>
      <c r="E3089" t="s">
        <v>63</v>
      </c>
      <c r="F3089" t="s">
        <v>24</v>
      </c>
      <c r="G3089" s="4">
        <v>38</v>
      </c>
      <c r="I3089" s="4" t="s">
        <v>69</v>
      </c>
      <c r="J3089" s="4" t="s">
        <v>66</v>
      </c>
      <c r="K3089" s="4">
        <v>0</v>
      </c>
      <c r="L3089" s="94">
        <v>-228145</v>
      </c>
      <c r="M3089" s="94">
        <v>0</v>
      </c>
    </row>
    <row r="3090" spans="3:13" x14ac:dyDescent="0.3">
      <c r="C3090" t="s">
        <v>71</v>
      </c>
      <c r="D3090" t="s">
        <v>62</v>
      </c>
      <c r="E3090" t="s">
        <v>63</v>
      </c>
      <c r="F3090" t="s">
        <v>24</v>
      </c>
      <c r="G3090" s="4">
        <v>3</v>
      </c>
      <c r="I3090" s="4" t="s">
        <v>69</v>
      </c>
      <c r="J3090" s="4" t="s">
        <v>66</v>
      </c>
      <c r="K3090" s="4">
        <v>0</v>
      </c>
      <c r="L3090" s="94">
        <v>-201947</v>
      </c>
      <c r="M3090" s="94">
        <v>0</v>
      </c>
    </row>
    <row r="3091" spans="3:13" x14ac:dyDescent="0.3">
      <c r="C3091" t="s">
        <v>61</v>
      </c>
      <c r="D3091" t="s">
        <v>67</v>
      </c>
      <c r="E3091" t="s">
        <v>68</v>
      </c>
      <c r="F3091" t="s">
        <v>25</v>
      </c>
      <c r="G3091" s="4">
        <v>17</v>
      </c>
      <c r="H3091" s="4" t="s">
        <v>12</v>
      </c>
      <c r="I3091" s="4" t="s">
        <v>69</v>
      </c>
      <c r="J3091" s="4" t="s">
        <v>66</v>
      </c>
      <c r="K3091" s="4">
        <v>0</v>
      </c>
      <c r="L3091" s="94">
        <v>209625</v>
      </c>
      <c r="M3091" s="94">
        <v>3563625</v>
      </c>
    </row>
    <row r="3092" spans="3:13" x14ac:dyDescent="0.3">
      <c r="C3092" t="s">
        <v>61</v>
      </c>
      <c r="D3092" t="s">
        <v>67</v>
      </c>
      <c r="E3092" t="s">
        <v>63</v>
      </c>
      <c r="F3092" t="s">
        <v>25</v>
      </c>
      <c r="G3092" s="4">
        <v>4</v>
      </c>
      <c r="H3092" s="4" t="s">
        <v>15</v>
      </c>
      <c r="I3092" s="4" t="s">
        <v>69</v>
      </c>
      <c r="J3092" s="4" t="s">
        <v>66</v>
      </c>
      <c r="K3092" s="4">
        <v>1</v>
      </c>
      <c r="L3092" s="94">
        <v>-5313</v>
      </c>
      <c r="M3092" s="94">
        <v>0</v>
      </c>
    </row>
    <row r="3093" spans="3:13" x14ac:dyDescent="0.3">
      <c r="C3093" t="s">
        <v>61</v>
      </c>
      <c r="D3093" t="s">
        <v>67</v>
      </c>
      <c r="E3093" t="s">
        <v>63</v>
      </c>
      <c r="F3093" t="s">
        <v>25</v>
      </c>
      <c r="G3093" s="4">
        <v>10</v>
      </c>
      <c r="H3093" s="4" t="s">
        <v>18</v>
      </c>
      <c r="I3093" s="4" t="s">
        <v>69</v>
      </c>
      <c r="J3093" s="4" t="s">
        <v>66</v>
      </c>
      <c r="K3093" s="4">
        <v>0</v>
      </c>
      <c r="L3093" s="94">
        <v>-12743</v>
      </c>
      <c r="M3093" s="94">
        <v>0</v>
      </c>
    </row>
    <row r="3094" spans="3:13" x14ac:dyDescent="0.3">
      <c r="C3094" t="s">
        <v>61</v>
      </c>
      <c r="D3094" t="s">
        <v>84</v>
      </c>
      <c r="E3094" t="s">
        <v>63</v>
      </c>
      <c r="F3094" t="s">
        <v>25</v>
      </c>
      <c r="G3094" s="4">
        <v>12</v>
      </c>
      <c r="H3094" s="4" t="s">
        <v>75</v>
      </c>
      <c r="I3094" s="4" t="s">
        <v>69</v>
      </c>
      <c r="J3094" s="4" t="s">
        <v>66</v>
      </c>
      <c r="K3094" s="4">
        <v>0</v>
      </c>
      <c r="L3094" s="94">
        <v>-10069</v>
      </c>
      <c r="M3094" s="94">
        <v>0</v>
      </c>
    </row>
    <row r="3095" spans="3:13" x14ac:dyDescent="0.3">
      <c r="C3095" t="s">
        <v>61</v>
      </c>
      <c r="D3095" t="s">
        <v>62</v>
      </c>
      <c r="E3095" t="s">
        <v>63</v>
      </c>
      <c r="F3095" t="s">
        <v>24</v>
      </c>
      <c r="G3095" s="4">
        <v>10</v>
      </c>
      <c r="I3095" s="4" t="s">
        <v>69</v>
      </c>
      <c r="J3095" s="4" t="s">
        <v>66</v>
      </c>
      <c r="K3095" s="4">
        <v>0</v>
      </c>
      <c r="L3095" s="94">
        <v>-66409</v>
      </c>
      <c r="M3095" s="94">
        <v>0</v>
      </c>
    </row>
    <row r="3096" spans="3:13" x14ac:dyDescent="0.3">
      <c r="C3096" t="s">
        <v>71</v>
      </c>
      <c r="D3096" t="s">
        <v>62</v>
      </c>
      <c r="E3096" t="s">
        <v>68</v>
      </c>
      <c r="F3096" t="s">
        <v>25</v>
      </c>
      <c r="G3096" s="4">
        <v>3</v>
      </c>
      <c r="I3096" s="4" t="s">
        <v>69</v>
      </c>
      <c r="J3096" s="4" t="s">
        <v>66</v>
      </c>
      <c r="K3096" s="4">
        <v>0</v>
      </c>
      <c r="L3096" s="94">
        <v>2083518</v>
      </c>
      <c r="M3096" s="94">
        <v>6250554</v>
      </c>
    </row>
    <row r="3097" spans="3:13" x14ac:dyDescent="0.3">
      <c r="C3097" t="s">
        <v>61</v>
      </c>
      <c r="D3097" t="s">
        <v>67</v>
      </c>
      <c r="E3097" t="s">
        <v>63</v>
      </c>
      <c r="F3097" t="s">
        <v>72</v>
      </c>
      <c r="G3097" s="4">
        <v>4</v>
      </c>
      <c r="H3097" s="4" t="s">
        <v>82</v>
      </c>
      <c r="I3097" s="4" t="s">
        <v>69</v>
      </c>
      <c r="J3097" s="4" t="s">
        <v>66</v>
      </c>
      <c r="K3097" s="4">
        <v>0</v>
      </c>
      <c r="L3097" s="94">
        <v>-72321</v>
      </c>
      <c r="M3097" s="94">
        <v>0</v>
      </c>
    </row>
    <row r="3098" spans="3:13" x14ac:dyDescent="0.3">
      <c r="C3098" t="s">
        <v>61</v>
      </c>
      <c r="D3098" t="s">
        <v>67</v>
      </c>
      <c r="E3098" t="s">
        <v>68</v>
      </c>
      <c r="F3098" t="s">
        <v>25</v>
      </c>
      <c r="G3098" s="4">
        <v>2</v>
      </c>
      <c r="H3098" s="4" t="s">
        <v>79</v>
      </c>
      <c r="I3098" s="4" t="s">
        <v>69</v>
      </c>
      <c r="J3098" s="4" t="s">
        <v>66</v>
      </c>
      <c r="K3098" s="4">
        <v>0</v>
      </c>
      <c r="L3098" s="94">
        <v>1174677</v>
      </c>
      <c r="M3098" s="94">
        <v>2349354</v>
      </c>
    </row>
    <row r="3099" spans="3:13" x14ac:dyDescent="0.3">
      <c r="C3099" t="s">
        <v>71</v>
      </c>
      <c r="D3099" t="s">
        <v>62</v>
      </c>
      <c r="E3099" t="s">
        <v>63</v>
      </c>
      <c r="F3099" t="s">
        <v>25</v>
      </c>
      <c r="G3099" s="4">
        <v>-1</v>
      </c>
      <c r="I3099" s="4" t="s">
        <v>69</v>
      </c>
      <c r="J3099" s="4" t="s">
        <v>66</v>
      </c>
      <c r="K3099" s="4">
        <v>0</v>
      </c>
      <c r="L3099" s="94">
        <v>-11</v>
      </c>
      <c r="M3099" s="94">
        <v>0</v>
      </c>
    </row>
    <row r="3100" spans="3:13" x14ac:dyDescent="0.3">
      <c r="C3100" t="s">
        <v>61</v>
      </c>
      <c r="D3100" t="s">
        <v>67</v>
      </c>
      <c r="E3100" t="s">
        <v>68</v>
      </c>
      <c r="F3100" t="s">
        <v>26</v>
      </c>
      <c r="G3100" s="4">
        <v>8</v>
      </c>
      <c r="H3100" s="4" t="s">
        <v>82</v>
      </c>
      <c r="I3100" s="4" t="s">
        <v>65</v>
      </c>
      <c r="J3100" s="4" t="s">
        <v>66</v>
      </c>
      <c r="K3100" s="4">
        <v>1</v>
      </c>
      <c r="L3100" s="94">
        <v>44801335</v>
      </c>
      <c r="M3100" s="94">
        <v>358410680</v>
      </c>
    </row>
    <row r="3101" spans="3:13" x14ac:dyDescent="0.3">
      <c r="C3101" t="s">
        <v>71</v>
      </c>
      <c r="D3101" t="s">
        <v>67</v>
      </c>
      <c r="E3101" t="s">
        <v>68</v>
      </c>
      <c r="F3101" t="s">
        <v>25</v>
      </c>
      <c r="G3101" s="4">
        <v>-4</v>
      </c>
      <c r="H3101" s="4" t="s">
        <v>83</v>
      </c>
      <c r="I3101" s="4" t="s">
        <v>69</v>
      </c>
      <c r="J3101" s="4" t="s">
        <v>66</v>
      </c>
      <c r="K3101" s="4">
        <v>0</v>
      </c>
      <c r="L3101" s="94">
        <v>4698</v>
      </c>
      <c r="M3101" s="94">
        <v>0</v>
      </c>
    </row>
    <row r="3102" spans="3:13" x14ac:dyDescent="0.3">
      <c r="C3102" t="s">
        <v>70</v>
      </c>
      <c r="D3102" t="s">
        <v>67</v>
      </c>
      <c r="E3102" t="s">
        <v>68</v>
      </c>
      <c r="F3102" t="s">
        <v>26</v>
      </c>
      <c r="G3102" s="4">
        <v>-1</v>
      </c>
      <c r="H3102" s="4" t="s">
        <v>12</v>
      </c>
      <c r="I3102" s="4" t="s">
        <v>65</v>
      </c>
      <c r="J3102" s="4" t="s">
        <v>73</v>
      </c>
      <c r="K3102" s="4">
        <v>1</v>
      </c>
      <c r="L3102" s="94">
        <v>670712</v>
      </c>
      <c r="M3102" s="94">
        <v>0</v>
      </c>
    </row>
    <row r="3103" spans="3:13" x14ac:dyDescent="0.3">
      <c r="C3103" t="s">
        <v>70</v>
      </c>
      <c r="D3103" t="s">
        <v>62</v>
      </c>
      <c r="E3103" t="s">
        <v>63</v>
      </c>
      <c r="F3103" t="s">
        <v>24</v>
      </c>
      <c r="G3103" s="4">
        <v>18</v>
      </c>
      <c r="I3103" s="4" t="s">
        <v>65</v>
      </c>
      <c r="J3103" s="4" t="s">
        <v>66</v>
      </c>
      <c r="K3103" s="4">
        <v>1</v>
      </c>
      <c r="L3103" s="94">
        <v>-5676</v>
      </c>
      <c r="M3103" s="94">
        <v>0</v>
      </c>
    </row>
    <row r="3104" spans="3:13" x14ac:dyDescent="0.3">
      <c r="C3104" t="s">
        <v>70</v>
      </c>
      <c r="D3104" t="s">
        <v>67</v>
      </c>
      <c r="E3104" t="s">
        <v>63</v>
      </c>
      <c r="F3104" t="s">
        <v>26</v>
      </c>
      <c r="G3104" s="4">
        <v>7</v>
      </c>
      <c r="H3104" s="4" t="s">
        <v>77</v>
      </c>
      <c r="I3104" s="4" t="s">
        <v>69</v>
      </c>
      <c r="J3104" s="4" t="s">
        <v>66</v>
      </c>
      <c r="K3104" s="4">
        <v>0</v>
      </c>
      <c r="L3104" s="94">
        <v>-39660</v>
      </c>
      <c r="M3104" s="94">
        <v>0</v>
      </c>
    </row>
    <row r="3105" spans="3:13" x14ac:dyDescent="0.3">
      <c r="C3105" t="s">
        <v>70</v>
      </c>
      <c r="D3105" t="s">
        <v>67</v>
      </c>
      <c r="E3105" t="s">
        <v>63</v>
      </c>
      <c r="F3105" t="s">
        <v>72</v>
      </c>
      <c r="G3105" s="4">
        <v>2</v>
      </c>
      <c r="H3105" s="4" t="s">
        <v>64</v>
      </c>
      <c r="I3105" s="4" t="s">
        <v>69</v>
      </c>
      <c r="J3105" s="4" t="s">
        <v>66</v>
      </c>
      <c r="K3105" s="4">
        <v>0</v>
      </c>
      <c r="L3105" s="94">
        <v>-26241</v>
      </c>
      <c r="M3105" s="94">
        <v>0</v>
      </c>
    </row>
    <row r="3106" spans="3:13" x14ac:dyDescent="0.3">
      <c r="C3106" t="s">
        <v>61</v>
      </c>
      <c r="D3106" t="s">
        <v>62</v>
      </c>
      <c r="E3106" t="s">
        <v>63</v>
      </c>
      <c r="F3106" t="s">
        <v>25</v>
      </c>
      <c r="G3106" s="4">
        <v>5</v>
      </c>
      <c r="I3106" s="4" t="s">
        <v>69</v>
      </c>
      <c r="J3106" s="4" t="s">
        <v>66</v>
      </c>
      <c r="K3106" s="4">
        <v>1</v>
      </c>
      <c r="L3106" s="94">
        <v>-2842</v>
      </c>
      <c r="M3106" s="94">
        <v>0</v>
      </c>
    </row>
    <row r="3107" spans="3:13" x14ac:dyDescent="0.3">
      <c r="C3107" t="s">
        <v>71</v>
      </c>
      <c r="D3107" t="s">
        <v>67</v>
      </c>
      <c r="E3107" t="s">
        <v>68</v>
      </c>
      <c r="F3107" t="s">
        <v>26</v>
      </c>
      <c r="G3107" s="4">
        <v>-4</v>
      </c>
      <c r="H3107" s="4" t="s">
        <v>12</v>
      </c>
      <c r="I3107" s="4" t="s">
        <v>69</v>
      </c>
      <c r="J3107" s="4" t="s">
        <v>66</v>
      </c>
      <c r="K3107" s="4">
        <v>0</v>
      </c>
      <c r="L3107" s="94">
        <v>298014</v>
      </c>
      <c r="M3107" s="94">
        <v>0</v>
      </c>
    </row>
    <row r="3108" spans="3:13" x14ac:dyDescent="0.3">
      <c r="C3108" t="s">
        <v>61</v>
      </c>
      <c r="D3108" t="s">
        <v>62</v>
      </c>
      <c r="E3108" t="s">
        <v>68</v>
      </c>
      <c r="F3108" t="s">
        <v>24</v>
      </c>
      <c r="G3108" s="4">
        <v>19</v>
      </c>
      <c r="I3108" s="4" t="s">
        <v>69</v>
      </c>
      <c r="J3108" s="4" t="s">
        <v>73</v>
      </c>
      <c r="K3108" s="4">
        <v>1</v>
      </c>
      <c r="L3108" s="94">
        <v>21321</v>
      </c>
      <c r="M3108" s="94">
        <v>405099</v>
      </c>
    </row>
    <row r="3109" spans="3:13" x14ac:dyDescent="0.3">
      <c r="C3109" t="s">
        <v>70</v>
      </c>
      <c r="D3109" t="s">
        <v>67</v>
      </c>
      <c r="E3109" t="s">
        <v>68</v>
      </c>
      <c r="F3109" t="s">
        <v>72</v>
      </c>
      <c r="G3109" s="4">
        <v>6</v>
      </c>
      <c r="H3109" s="4" t="s">
        <v>75</v>
      </c>
      <c r="I3109" s="4" t="s">
        <v>69</v>
      </c>
      <c r="J3109" s="4" t="s">
        <v>66</v>
      </c>
      <c r="K3109" s="4">
        <v>0</v>
      </c>
      <c r="L3109" s="94">
        <v>127497</v>
      </c>
      <c r="M3109" s="94">
        <v>764982</v>
      </c>
    </row>
    <row r="3110" spans="3:13" x14ac:dyDescent="0.3">
      <c r="C3110" t="s">
        <v>61</v>
      </c>
      <c r="D3110" t="s">
        <v>62</v>
      </c>
      <c r="E3110" t="s">
        <v>63</v>
      </c>
      <c r="F3110" t="s">
        <v>24</v>
      </c>
      <c r="G3110" s="4">
        <v>23</v>
      </c>
      <c r="I3110" s="4" t="s">
        <v>69</v>
      </c>
      <c r="J3110" s="4" t="s">
        <v>66</v>
      </c>
      <c r="K3110" s="4">
        <v>1</v>
      </c>
      <c r="L3110" s="94">
        <v>-2980</v>
      </c>
      <c r="M3110" s="94">
        <v>0</v>
      </c>
    </row>
    <row r="3111" spans="3:13" x14ac:dyDescent="0.3">
      <c r="C3111" t="s">
        <v>71</v>
      </c>
      <c r="D3111" t="s">
        <v>67</v>
      </c>
      <c r="E3111" t="s">
        <v>68</v>
      </c>
      <c r="F3111" t="s">
        <v>26</v>
      </c>
      <c r="G3111" s="4">
        <v>1</v>
      </c>
      <c r="H3111" s="4" t="s">
        <v>64</v>
      </c>
      <c r="I3111" s="4" t="s">
        <v>69</v>
      </c>
      <c r="J3111" s="4" t="s">
        <v>66</v>
      </c>
      <c r="K3111" s="4">
        <v>0</v>
      </c>
      <c r="L3111" s="94">
        <v>438042</v>
      </c>
      <c r="M3111" s="94">
        <v>438042</v>
      </c>
    </row>
    <row r="3112" spans="3:13" x14ac:dyDescent="0.3">
      <c r="C3112" t="s">
        <v>61</v>
      </c>
      <c r="D3112" t="s">
        <v>62</v>
      </c>
      <c r="E3112" t="s">
        <v>68</v>
      </c>
      <c r="F3112" t="s">
        <v>25</v>
      </c>
      <c r="G3112" s="4">
        <v>7</v>
      </c>
      <c r="I3112" s="4" t="s">
        <v>69</v>
      </c>
      <c r="J3112" s="4" t="s">
        <v>66</v>
      </c>
      <c r="K3112" s="4">
        <v>1</v>
      </c>
      <c r="L3112" s="94">
        <v>1100879</v>
      </c>
      <c r="M3112" s="94">
        <v>7706153</v>
      </c>
    </row>
    <row r="3113" spans="3:13" x14ac:dyDescent="0.3">
      <c r="C3113" t="s">
        <v>70</v>
      </c>
      <c r="D3113" t="s">
        <v>67</v>
      </c>
      <c r="E3113" t="s">
        <v>63</v>
      </c>
      <c r="F3113" t="s">
        <v>25</v>
      </c>
      <c r="G3113" s="4">
        <v>3</v>
      </c>
      <c r="H3113" s="4" t="s">
        <v>18</v>
      </c>
      <c r="I3113" s="4" t="s">
        <v>69</v>
      </c>
      <c r="J3113" s="4" t="s">
        <v>66</v>
      </c>
      <c r="K3113" s="4">
        <v>0</v>
      </c>
      <c r="L3113" s="94">
        <v>-16415</v>
      </c>
      <c r="M3113" s="94">
        <v>0</v>
      </c>
    </row>
    <row r="3114" spans="3:13" x14ac:dyDescent="0.3">
      <c r="C3114" t="s">
        <v>61</v>
      </c>
      <c r="D3114" t="s">
        <v>67</v>
      </c>
      <c r="E3114" t="s">
        <v>63</v>
      </c>
      <c r="F3114" t="s">
        <v>26</v>
      </c>
      <c r="G3114" s="4">
        <v>5</v>
      </c>
      <c r="H3114" s="4" t="s">
        <v>79</v>
      </c>
      <c r="I3114" s="4" t="s">
        <v>69</v>
      </c>
      <c r="J3114" s="4" t="s">
        <v>66</v>
      </c>
      <c r="K3114" s="4">
        <v>0</v>
      </c>
      <c r="L3114" s="94">
        <v>-9512</v>
      </c>
      <c r="M3114" s="94">
        <v>0</v>
      </c>
    </row>
    <row r="3115" spans="3:13" x14ac:dyDescent="0.3">
      <c r="C3115" t="s">
        <v>61</v>
      </c>
      <c r="D3115" t="s">
        <v>67</v>
      </c>
      <c r="E3115" t="s">
        <v>63</v>
      </c>
      <c r="F3115" t="s">
        <v>25</v>
      </c>
      <c r="G3115" s="4">
        <v>3</v>
      </c>
      <c r="H3115" s="4" t="s">
        <v>17</v>
      </c>
      <c r="I3115" s="4" t="s">
        <v>69</v>
      </c>
      <c r="J3115" s="4" t="s">
        <v>66</v>
      </c>
      <c r="K3115" s="4">
        <v>0</v>
      </c>
      <c r="L3115" s="94">
        <v>-90183</v>
      </c>
      <c r="M3115" s="94">
        <v>0</v>
      </c>
    </row>
    <row r="3116" spans="3:13" x14ac:dyDescent="0.3">
      <c r="C3116" t="s">
        <v>71</v>
      </c>
      <c r="D3116" t="s">
        <v>62</v>
      </c>
      <c r="E3116" t="s">
        <v>68</v>
      </c>
      <c r="F3116" t="s">
        <v>24</v>
      </c>
      <c r="G3116" s="4">
        <v>2</v>
      </c>
      <c r="I3116" s="4" t="s">
        <v>69</v>
      </c>
      <c r="J3116" s="4" t="s">
        <v>66</v>
      </c>
      <c r="K3116" s="4">
        <v>1</v>
      </c>
      <c r="L3116" s="94">
        <v>0</v>
      </c>
      <c r="M3116" s="94">
        <v>0</v>
      </c>
    </row>
    <row r="3117" spans="3:13" x14ac:dyDescent="0.3">
      <c r="C3117" t="s">
        <v>71</v>
      </c>
      <c r="D3117" t="s">
        <v>67</v>
      </c>
      <c r="E3117" t="s">
        <v>68</v>
      </c>
      <c r="F3117" t="s">
        <v>25</v>
      </c>
      <c r="G3117" s="4">
        <v>2</v>
      </c>
      <c r="H3117" s="4" t="s">
        <v>76</v>
      </c>
      <c r="I3117" s="4" t="s">
        <v>69</v>
      </c>
      <c r="J3117" s="4" t="s">
        <v>66</v>
      </c>
      <c r="K3117" s="4">
        <v>0</v>
      </c>
      <c r="L3117" s="94">
        <v>654974</v>
      </c>
      <c r="M3117" s="94">
        <v>1309948</v>
      </c>
    </row>
    <row r="3118" spans="3:13" x14ac:dyDescent="0.3">
      <c r="C3118" t="s">
        <v>61</v>
      </c>
      <c r="D3118" t="s">
        <v>67</v>
      </c>
      <c r="E3118" t="s">
        <v>68</v>
      </c>
      <c r="F3118" t="s">
        <v>26</v>
      </c>
      <c r="G3118" s="4">
        <v>2</v>
      </c>
      <c r="H3118" s="4" t="s">
        <v>82</v>
      </c>
      <c r="I3118" s="4" t="s">
        <v>65</v>
      </c>
      <c r="J3118" s="4" t="s">
        <v>66</v>
      </c>
      <c r="K3118" s="4">
        <v>1</v>
      </c>
      <c r="L3118" s="94">
        <v>1588473</v>
      </c>
      <c r="M3118" s="94">
        <v>3176946</v>
      </c>
    </row>
    <row r="3119" spans="3:13" x14ac:dyDescent="0.3">
      <c r="C3119" t="s">
        <v>71</v>
      </c>
      <c r="D3119" t="s">
        <v>62</v>
      </c>
      <c r="E3119" t="s">
        <v>63</v>
      </c>
      <c r="F3119" t="s">
        <v>24</v>
      </c>
      <c r="G3119" s="4">
        <v>14</v>
      </c>
      <c r="I3119" s="4" t="s">
        <v>69</v>
      </c>
      <c r="J3119" s="4" t="s">
        <v>66</v>
      </c>
      <c r="K3119" s="4">
        <v>0</v>
      </c>
      <c r="L3119" s="94">
        <v>-1701871</v>
      </c>
      <c r="M3119" s="94">
        <v>0</v>
      </c>
    </row>
    <row r="3120" spans="3:13" x14ac:dyDescent="0.3">
      <c r="C3120" t="s">
        <v>61</v>
      </c>
      <c r="D3120" t="s">
        <v>67</v>
      </c>
      <c r="E3120" t="s">
        <v>68</v>
      </c>
      <c r="F3120" t="s">
        <v>26</v>
      </c>
      <c r="G3120" s="4">
        <v>-4</v>
      </c>
      <c r="H3120" s="4" t="s">
        <v>81</v>
      </c>
      <c r="I3120" s="4" t="s">
        <v>69</v>
      </c>
      <c r="J3120" s="4" t="s">
        <v>66</v>
      </c>
      <c r="K3120" s="4">
        <v>0</v>
      </c>
      <c r="L3120" s="94">
        <v>333880</v>
      </c>
      <c r="M3120" s="94">
        <v>0</v>
      </c>
    </row>
    <row r="3121" spans="3:13" x14ac:dyDescent="0.3">
      <c r="C3121" t="s">
        <v>70</v>
      </c>
      <c r="D3121" t="s">
        <v>62</v>
      </c>
      <c r="E3121" t="s">
        <v>63</v>
      </c>
      <c r="F3121" t="s">
        <v>24</v>
      </c>
      <c r="G3121" s="4">
        <v>3</v>
      </c>
      <c r="I3121" s="4" t="s">
        <v>69</v>
      </c>
      <c r="J3121" s="4" t="s">
        <v>66</v>
      </c>
      <c r="K3121" s="4">
        <v>0</v>
      </c>
      <c r="L3121" s="94">
        <v>-123693</v>
      </c>
      <c r="M3121" s="94">
        <v>0</v>
      </c>
    </row>
    <row r="3122" spans="3:13" x14ac:dyDescent="0.3">
      <c r="C3122" t="s">
        <v>61</v>
      </c>
      <c r="D3122" t="s">
        <v>67</v>
      </c>
      <c r="E3122" t="s">
        <v>63</v>
      </c>
      <c r="F3122" t="s">
        <v>25</v>
      </c>
      <c r="G3122" s="4">
        <v>7</v>
      </c>
      <c r="H3122" s="4" t="s">
        <v>64</v>
      </c>
      <c r="I3122" s="4" t="s">
        <v>69</v>
      </c>
      <c r="J3122" s="4" t="s">
        <v>66</v>
      </c>
      <c r="K3122" s="4">
        <v>0</v>
      </c>
      <c r="L3122" s="94">
        <v>-377</v>
      </c>
      <c r="M3122" s="94">
        <v>0</v>
      </c>
    </row>
    <row r="3123" spans="3:13" x14ac:dyDescent="0.3">
      <c r="C3123" t="s">
        <v>70</v>
      </c>
      <c r="D3123" t="s">
        <v>62</v>
      </c>
      <c r="E3123" t="s">
        <v>68</v>
      </c>
      <c r="F3123" t="s">
        <v>24</v>
      </c>
      <c r="G3123" s="4">
        <v>9</v>
      </c>
      <c r="I3123" s="4" t="s">
        <v>65</v>
      </c>
      <c r="J3123" s="4" t="s">
        <v>66</v>
      </c>
      <c r="K3123" s="4">
        <v>1</v>
      </c>
      <c r="L3123" s="94">
        <v>132124</v>
      </c>
      <c r="M3123" s="94">
        <v>1189116</v>
      </c>
    </row>
    <row r="3124" spans="3:13" x14ac:dyDescent="0.3">
      <c r="C3124" t="s">
        <v>71</v>
      </c>
      <c r="D3124" t="s">
        <v>62</v>
      </c>
      <c r="E3124" t="s">
        <v>63</v>
      </c>
      <c r="F3124" t="s">
        <v>24</v>
      </c>
      <c r="G3124" s="4">
        <v>18</v>
      </c>
      <c r="I3124" s="4" t="s">
        <v>65</v>
      </c>
      <c r="J3124" s="4" t="s">
        <v>66</v>
      </c>
      <c r="K3124" s="4">
        <v>1</v>
      </c>
      <c r="L3124" s="94">
        <v>-188930</v>
      </c>
      <c r="M3124" s="94">
        <v>0</v>
      </c>
    </row>
    <row r="3125" spans="3:13" x14ac:dyDescent="0.3">
      <c r="C3125" t="s">
        <v>61</v>
      </c>
      <c r="D3125" t="s">
        <v>67</v>
      </c>
      <c r="E3125" t="s">
        <v>68</v>
      </c>
      <c r="F3125" t="s">
        <v>26</v>
      </c>
      <c r="G3125" s="4">
        <v>1</v>
      </c>
      <c r="H3125" s="4" t="s">
        <v>15</v>
      </c>
      <c r="I3125" s="4" t="s">
        <v>69</v>
      </c>
      <c r="J3125" s="4" t="s">
        <v>66</v>
      </c>
      <c r="K3125" s="4">
        <v>0</v>
      </c>
      <c r="L3125" s="94">
        <v>6916711</v>
      </c>
      <c r="M3125" s="94">
        <v>6916711</v>
      </c>
    </row>
    <row r="3126" spans="3:13" x14ac:dyDescent="0.3">
      <c r="C3126" t="s">
        <v>61</v>
      </c>
      <c r="D3126" t="s">
        <v>67</v>
      </c>
      <c r="E3126" t="s">
        <v>68</v>
      </c>
      <c r="F3126" t="s">
        <v>25</v>
      </c>
      <c r="G3126" s="4">
        <v>-4</v>
      </c>
      <c r="H3126" s="4" t="s">
        <v>77</v>
      </c>
      <c r="I3126" s="4" t="s">
        <v>69</v>
      </c>
      <c r="J3126" s="4" t="s">
        <v>66</v>
      </c>
      <c r="K3126" s="4">
        <v>0</v>
      </c>
      <c r="L3126" s="94">
        <v>185725</v>
      </c>
      <c r="M3126" s="94">
        <v>0</v>
      </c>
    </row>
    <row r="3127" spans="3:13" x14ac:dyDescent="0.3">
      <c r="C3127" t="s">
        <v>61</v>
      </c>
      <c r="D3127" t="s">
        <v>67</v>
      </c>
      <c r="E3127" t="s">
        <v>63</v>
      </c>
      <c r="F3127" t="s">
        <v>26</v>
      </c>
      <c r="G3127" s="4">
        <v>3</v>
      </c>
      <c r="H3127" s="4" t="s">
        <v>17</v>
      </c>
      <c r="I3127" s="4" t="s">
        <v>69</v>
      </c>
      <c r="J3127" s="4" t="s">
        <v>66</v>
      </c>
      <c r="K3127" s="4">
        <v>0</v>
      </c>
      <c r="L3127" s="94">
        <v>-148132</v>
      </c>
      <c r="M3127" s="94">
        <v>0</v>
      </c>
    </row>
    <row r="3128" spans="3:13" x14ac:dyDescent="0.3">
      <c r="C3128" t="s">
        <v>71</v>
      </c>
      <c r="D3128" t="s">
        <v>67</v>
      </c>
      <c r="E3128" t="s">
        <v>63</v>
      </c>
      <c r="F3128" t="s">
        <v>26</v>
      </c>
      <c r="G3128" s="4">
        <v>-4</v>
      </c>
      <c r="H3128" s="4" t="s">
        <v>17</v>
      </c>
      <c r="I3128" s="4" t="s">
        <v>69</v>
      </c>
      <c r="J3128" s="4" t="s">
        <v>73</v>
      </c>
      <c r="K3128" s="4">
        <v>1</v>
      </c>
      <c r="L3128" s="94">
        <v>-4547</v>
      </c>
      <c r="M3128" s="94">
        <v>0</v>
      </c>
    </row>
    <row r="3129" spans="3:13" x14ac:dyDescent="0.3">
      <c r="C3129" t="s">
        <v>61</v>
      </c>
      <c r="D3129" t="s">
        <v>67</v>
      </c>
      <c r="E3129" t="s">
        <v>63</v>
      </c>
      <c r="F3129" t="s">
        <v>25</v>
      </c>
      <c r="G3129" s="4">
        <v>5</v>
      </c>
      <c r="H3129" s="4" t="s">
        <v>81</v>
      </c>
      <c r="I3129" s="4" t="s">
        <v>69</v>
      </c>
      <c r="J3129" s="4" t="s">
        <v>66</v>
      </c>
      <c r="K3129" s="4">
        <v>0</v>
      </c>
      <c r="L3129" s="94">
        <v>-12415</v>
      </c>
      <c r="M3129" s="94">
        <v>0</v>
      </c>
    </row>
    <row r="3130" spans="3:13" x14ac:dyDescent="0.3">
      <c r="C3130" t="s">
        <v>70</v>
      </c>
      <c r="D3130" t="s">
        <v>67</v>
      </c>
      <c r="E3130" t="s">
        <v>68</v>
      </c>
      <c r="F3130" t="s">
        <v>25</v>
      </c>
      <c r="G3130" s="4">
        <v>15</v>
      </c>
      <c r="H3130" s="4" t="s">
        <v>74</v>
      </c>
      <c r="I3130" s="4" t="s">
        <v>69</v>
      </c>
      <c r="J3130" s="4" t="s">
        <v>66</v>
      </c>
      <c r="K3130" s="4">
        <v>0</v>
      </c>
      <c r="L3130" s="94">
        <v>342614</v>
      </c>
      <c r="M3130" s="94">
        <v>5139210</v>
      </c>
    </row>
    <row r="3131" spans="3:13" x14ac:dyDescent="0.3">
      <c r="C3131" t="s">
        <v>61</v>
      </c>
      <c r="D3131" t="s">
        <v>67</v>
      </c>
      <c r="E3131" t="s">
        <v>68</v>
      </c>
      <c r="F3131" t="s">
        <v>26</v>
      </c>
      <c r="G3131" s="4">
        <v>3</v>
      </c>
      <c r="H3131" s="4" t="s">
        <v>82</v>
      </c>
      <c r="I3131" s="4" t="s">
        <v>65</v>
      </c>
      <c r="J3131" s="4" t="s">
        <v>66</v>
      </c>
      <c r="K3131" s="4">
        <v>1</v>
      </c>
      <c r="L3131" s="94">
        <v>297036</v>
      </c>
      <c r="M3131" s="94">
        <v>891108</v>
      </c>
    </row>
    <row r="3132" spans="3:13" x14ac:dyDescent="0.3">
      <c r="C3132" t="s">
        <v>61</v>
      </c>
      <c r="D3132" t="s">
        <v>67</v>
      </c>
      <c r="E3132" t="s">
        <v>63</v>
      </c>
      <c r="F3132" t="s">
        <v>26</v>
      </c>
      <c r="G3132" s="4">
        <v>5</v>
      </c>
      <c r="H3132" s="4" t="s">
        <v>18</v>
      </c>
      <c r="I3132" s="4" t="s">
        <v>69</v>
      </c>
      <c r="J3132" s="4" t="s">
        <v>66</v>
      </c>
      <c r="K3132" s="4">
        <v>0</v>
      </c>
      <c r="L3132" s="94">
        <v>-84466</v>
      </c>
      <c r="M3132" s="94">
        <v>0</v>
      </c>
    </row>
    <row r="3133" spans="3:13" x14ac:dyDescent="0.3">
      <c r="C3133" t="s">
        <v>61</v>
      </c>
      <c r="D3133" t="s">
        <v>67</v>
      </c>
      <c r="E3133" t="s">
        <v>63</v>
      </c>
      <c r="F3133" t="s">
        <v>25</v>
      </c>
      <c r="G3133" s="4">
        <v>7</v>
      </c>
      <c r="H3133" s="4" t="s">
        <v>75</v>
      </c>
      <c r="I3133" s="4" t="s">
        <v>65</v>
      </c>
      <c r="J3133" s="4" t="s">
        <v>66</v>
      </c>
      <c r="K3133" s="4">
        <v>1</v>
      </c>
      <c r="L3133" s="94">
        <v>-1376</v>
      </c>
      <c r="M3133" s="94">
        <v>0</v>
      </c>
    </row>
    <row r="3134" spans="3:13" x14ac:dyDescent="0.3">
      <c r="C3134" t="s">
        <v>61</v>
      </c>
      <c r="D3134" t="s">
        <v>62</v>
      </c>
      <c r="E3134" t="s">
        <v>63</v>
      </c>
      <c r="F3134" t="s">
        <v>25</v>
      </c>
      <c r="G3134" s="4">
        <v>22</v>
      </c>
      <c r="I3134" s="4" t="s">
        <v>69</v>
      </c>
      <c r="J3134" s="4" t="s">
        <v>66</v>
      </c>
      <c r="K3134" s="4">
        <v>0</v>
      </c>
      <c r="L3134" s="94">
        <v>-345</v>
      </c>
      <c r="M3134" s="94">
        <v>0</v>
      </c>
    </row>
    <row r="3135" spans="3:13" x14ac:dyDescent="0.3">
      <c r="C3135" t="s">
        <v>61</v>
      </c>
      <c r="D3135" t="s">
        <v>62</v>
      </c>
      <c r="E3135" t="s">
        <v>68</v>
      </c>
      <c r="F3135" t="s">
        <v>25</v>
      </c>
      <c r="G3135" s="4">
        <v>26</v>
      </c>
      <c r="I3135" s="4" t="s">
        <v>69</v>
      </c>
      <c r="J3135" s="4" t="s">
        <v>66</v>
      </c>
      <c r="K3135" s="4">
        <v>0</v>
      </c>
      <c r="L3135" s="94">
        <v>238180</v>
      </c>
      <c r="M3135" s="94">
        <v>6192680</v>
      </c>
    </row>
    <row r="3136" spans="3:13" x14ac:dyDescent="0.3">
      <c r="C3136" t="s">
        <v>61</v>
      </c>
      <c r="D3136" t="s">
        <v>62</v>
      </c>
      <c r="E3136" t="s">
        <v>63</v>
      </c>
      <c r="F3136" t="s">
        <v>24</v>
      </c>
      <c r="G3136" s="4">
        <v>-1</v>
      </c>
      <c r="I3136" s="4" t="s">
        <v>69</v>
      </c>
      <c r="J3136" s="4" t="s">
        <v>66</v>
      </c>
      <c r="K3136" s="4">
        <v>1</v>
      </c>
      <c r="L3136" s="94">
        <v>-245</v>
      </c>
      <c r="M3136" s="94">
        <v>0</v>
      </c>
    </row>
    <row r="3137" spans="3:13" x14ac:dyDescent="0.3">
      <c r="C3137" t="s">
        <v>61</v>
      </c>
      <c r="D3137" t="s">
        <v>67</v>
      </c>
      <c r="E3137" t="s">
        <v>68</v>
      </c>
      <c r="F3137" t="s">
        <v>26</v>
      </c>
      <c r="G3137" s="4">
        <v>0</v>
      </c>
      <c r="H3137" s="4" t="s">
        <v>15</v>
      </c>
      <c r="I3137" s="4" t="s">
        <v>69</v>
      </c>
      <c r="J3137" s="4" t="s">
        <v>73</v>
      </c>
      <c r="K3137" s="4">
        <v>1</v>
      </c>
      <c r="L3137" s="94">
        <v>10796878</v>
      </c>
      <c r="M3137" s="94">
        <v>0</v>
      </c>
    </row>
    <row r="3138" spans="3:13" x14ac:dyDescent="0.3">
      <c r="C3138" t="s">
        <v>70</v>
      </c>
      <c r="D3138" t="s">
        <v>67</v>
      </c>
      <c r="E3138" t="s">
        <v>68</v>
      </c>
      <c r="F3138" t="s">
        <v>72</v>
      </c>
      <c r="G3138" s="4">
        <v>3</v>
      </c>
      <c r="H3138" s="4" t="s">
        <v>76</v>
      </c>
      <c r="I3138" s="4" t="s">
        <v>69</v>
      </c>
      <c r="J3138" s="4" t="s">
        <v>66</v>
      </c>
      <c r="K3138" s="4">
        <v>0</v>
      </c>
      <c r="L3138" s="94">
        <v>208076</v>
      </c>
      <c r="M3138" s="94">
        <v>624228</v>
      </c>
    </row>
    <row r="3139" spans="3:13" x14ac:dyDescent="0.3">
      <c r="C3139" t="s">
        <v>71</v>
      </c>
      <c r="D3139" t="s">
        <v>67</v>
      </c>
      <c r="E3139" t="s">
        <v>68</v>
      </c>
      <c r="F3139" t="s">
        <v>72</v>
      </c>
      <c r="G3139" s="4">
        <v>-4</v>
      </c>
      <c r="H3139" s="4" t="s">
        <v>14</v>
      </c>
      <c r="I3139" s="4" t="s">
        <v>69</v>
      </c>
      <c r="J3139" s="4" t="s">
        <v>73</v>
      </c>
      <c r="K3139" s="4">
        <v>1</v>
      </c>
      <c r="L3139" s="94">
        <v>492112</v>
      </c>
      <c r="M3139" s="94">
        <v>0</v>
      </c>
    </row>
    <row r="3140" spans="3:13" x14ac:dyDescent="0.3">
      <c r="C3140" t="s">
        <v>61</v>
      </c>
      <c r="D3140" t="s">
        <v>62</v>
      </c>
      <c r="E3140" t="s">
        <v>68</v>
      </c>
      <c r="F3140" t="s">
        <v>25</v>
      </c>
      <c r="G3140" s="4">
        <v>13</v>
      </c>
      <c r="I3140" s="4" t="s">
        <v>65</v>
      </c>
      <c r="J3140" s="4" t="s">
        <v>66</v>
      </c>
      <c r="K3140" s="4">
        <v>1</v>
      </c>
      <c r="L3140" s="94">
        <v>119064</v>
      </c>
      <c r="M3140" s="94">
        <v>1547832</v>
      </c>
    </row>
    <row r="3141" spans="3:13" x14ac:dyDescent="0.3">
      <c r="C3141" t="s">
        <v>61</v>
      </c>
      <c r="D3141" t="s">
        <v>67</v>
      </c>
      <c r="E3141" t="s">
        <v>68</v>
      </c>
      <c r="F3141" t="s">
        <v>25</v>
      </c>
      <c r="G3141" s="4">
        <v>1</v>
      </c>
      <c r="H3141" s="4" t="s">
        <v>18</v>
      </c>
      <c r="I3141" s="4" t="s">
        <v>69</v>
      </c>
      <c r="J3141" s="4" t="s">
        <v>66</v>
      </c>
      <c r="K3141" s="4">
        <v>1</v>
      </c>
      <c r="L3141" s="94">
        <v>322138</v>
      </c>
      <c r="M3141" s="94">
        <v>322138</v>
      </c>
    </row>
    <row r="3142" spans="3:13" x14ac:dyDescent="0.3">
      <c r="C3142" t="s">
        <v>70</v>
      </c>
      <c r="D3142" t="s">
        <v>67</v>
      </c>
      <c r="E3142" t="s">
        <v>68</v>
      </c>
      <c r="F3142" t="s">
        <v>72</v>
      </c>
      <c r="G3142" s="4">
        <v>0</v>
      </c>
      <c r="H3142" s="4" t="s">
        <v>82</v>
      </c>
      <c r="I3142" s="4" t="s">
        <v>69</v>
      </c>
      <c r="J3142" s="4" t="s">
        <v>66</v>
      </c>
      <c r="K3142" s="4">
        <v>0</v>
      </c>
      <c r="L3142" s="94">
        <v>269362</v>
      </c>
      <c r="M3142" s="94">
        <v>0</v>
      </c>
    </row>
    <row r="3143" spans="3:13" x14ac:dyDescent="0.3">
      <c r="C3143" t="s">
        <v>61</v>
      </c>
      <c r="D3143" t="s">
        <v>67</v>
      </c>
      <c r="E3143" t="s">
        <v>68</v>
      </c>
      <c r="F3143" t="s">
        <v>25</v>
      </c>
      <c r="G3143" s="4">
        <v>9</v>
      </c>
      <c r="H3143" s="4" t="s">
        <v>77</v>
      </c>
      <c r="I3143" s="4" t="s">
        <v>69</v>
      </c>
      <c r="J3143" s="4" t="s">
        <v>66</v>
      </c>
      <c r="K3143" s="4">
        <v>0</v>
      </c>
      <c r="L3143" s="94">
        <v>1387877</v>
      </c>
      <c r="M3143" s="94">
        <v>12490893</v>
      </c>
    </row>
    <row r="3144" spans="3:13" x14ac:dyDescent="0.3">
      <c r="C3144" t="s">
        <v>61</v>
      </c>
      <c r="D3144" t="s">
        <v>67</v>
      </c>
      <c r="E3144" t="s">
        <v>63</v>
      </c>
      <c r="F3144" t="s">
        <v>25</v>
      </c>
      <c r="G3144" s="4">
        <v>2</v>
      </c>
      <c r="H3144" s="4" t="s">
        <v>14</v>
      </c>
      <c r="I3144" s="4" t="s">
        <v>69</v>
      </c>
      <c r="J3144" s="4" t="s">
        <v>66</v>
      </c>
      <c r="K3144" s="4">
        <v>0</v>
      </c>
      <c r="L3144" s="94">
        <v>-5123</v>
      </c>
      <c r="M3144" s="94">
        <v>0</v>
      </c>
    </row>
    <row r="3145" spans="3:13" x14ac:dyDescent="0.3">
      <c r="C3145" t="s">
        <v>70</v>
      </c>
      <c r="D3145" t="s">
        <v>67</v>
      </c>
      <c r="E3145" t="s">
        <v>63</v>
      </c>
      <c r="F3145" t="s">
        <v>72</v>
      </c>
      <c r="G3145" s="4">
        <v>0</v>
      </c>
      <c r="H3145" s="4" t="s">
        <v>83</v>
      </c>
      <c r="I3145" s="4" t="s">
        <v>69</v>
      </c>
      <c r="J3145" s="4" t="s">
        <v>66</v>
      </c>
      <c r="K3145" s="4">
        <v>0</v>
      </c>
      <c r="L3145" s="94">
        <v>-141</v>
      </c>
      <c r="M3145" s="94">
        <v>0</v>
      </c>
    </row>
    <row r="3146" spans="3:13" x14ac:dyDescent="0.3">
      <c r="C3146" t="s">
        <v>61</v>
      </c>
      <c r="D3146" t="s">
        <v>67</v>
      </c>
      <c r="E3146" t="s">
        <v>63</v>
      </c>
      <c r="F3146" t="s">
        <v>26</v>
      </c>
      <c r="G3146" s="4">
        <v>3</v>
      </c>
      <c r="H3146" s="4" t="s">
        <v>78</v>
      </c>
      <c r="I3146" s="4" t="s">
        <v>69</v>
      </c>
      <c r="J3146" s="4" t="s">
        <v>66</v>
      </c>
      <c r="K3146" s="4">
        <v>0</v>
      </c>
      <c r="L3146" s="94">
        <v>-9867</v>
      </c>
      <c r="M3146" s="94">
        <v>0</v>
      </c>
    </row>
    <row r="3147" spans="3:13" x14ac:dyDescent="0.3">
      <c r="C3147" t="s">
        <v>61</v>
      </c>
      <c r="D3147" t="s">
        <v>67</v>
      </c>
      <c r="E3147" t="s">
        <v>68</v>
      </c>
      <c r="F3147" t="s">
        <v>25</v>
      </c>
      <c r="G3147" s="4">
        <v>8</v>
      </c>
      <c r="H3147" s="4" t="s">
        <v>14</v>
      </c>
      <c r="I3147" s="4" t="s">
        <v>69</v>
      </c>
      <c r="J3147" s="4" t="s">
        <v>66</v>
      </c>
      <c r="K3147" s="4">
        <v>1</v>
      </c>
      <c r="L3147" s="94">
        <v>12288145</v>
      </c>
      <c r="M3147" s="94">
        <v>98305160</v>
      </c>
    </row>
    <row r="3148" spans="3:13" x14ac:dyDescent="0.3">
      <c r="C3148" t="s">
        <v>71</v>
      </c>
      <c r="D3148" t="s">
        <v>62</v>
      </c>
      <c r="E3148" t="s">
        <v>68</v>
      </c>
      <c r="F3148" t="s">
        <v>24</v>
      </c>
      <c r="G3148" s="4">
        <v>41</v>
      </c>
      <c r="I3148" s="4" t="s">
        <v>65</v>
      </c>
      <c r="J3148" s="4" t="s">
        <v>66</v>
      </c>
      <c r="K3148" s="4">
        <v>1</v>
      </c>
      <c r="L3148" s="94">
        <v>97803</v>
      </c>
      <c r="M3148" s="94">
        <v>4009923</v>
      </c>
    </row>
    <row r="3149" spans="3:13" x14ac:dyDescent="0.3">
      <c r="C3149" t="s">
        <v>70</v>
      </c>
      <c r="D3149" t="s">
        <v>67</v>
      </c>
      <c r="E3149" t="s">
        <v>63</v>
      </c>
      <c r="F3149" t="s">
        <v>26</v>
      </c>
      <c r="G3149" s="4">
        <v>0</v>
      </c>
      <c r="H3149" s="4" t="s">
        <v>83</v>
      </c>
      <c r="I3149" s="4" t="s">
        <v>69</v>
      </c>
      <c r="J3149" s="4" t="s">
        <v>66</v>
      </c>
      <c r="K3149" s="4">
        <v>0</v>
      </c>
      <c r="L3149" s="94">
        <v>-18416</v>
      </c>
      <c r="M3149" s="94">
        <v>0</v>
      </c>
    </row>
    <row r="3150" spans="3:13" x14ac:dyDescent="0.3">
      <c r="C3150" t="s">
        <v>70</v>
      </c>
      <c r="D3150" t="s">
        <v>62</v>
      </c>
      <c r="E3150" t="s">
        <v>68</v>
      </c>
      <c r="F3150" t="s">
        <v>24</v>
      </c>
      <c r="G3150" s="4">
        <v>23</v>
      </c>
      <c r="I3150" s="4" t="s">
        <v>69</v>
      </c>
      <c r="J3150" s="4" t="s">
        <v>66</v>
      </c>
      <c r="K3150" s="4">
        <v>0</v>
      </c>
      <c r="L3150" s="94">
        <v>47997796</v>
      </c>
      <c r="M3150" s="94">
        <v>1103949308</v>
      </c>
    </row>
    <row r="3151" spans="3:13" x14ac:dyDescent="0.3">
      <c r="C3151" t="s">
        <v>61</v>
      </c>
      <c r="D3151" t="s">
        <v>67</v>
      </c>
      <c r="E3151" t="s">
        <v>63</v>
      </c>
      <c r="F3151" t="s">
        <v>25</v>
      </c>
      <c r="G3151" s="4">
        <v>0</v>
      </c>
      <c r="H3151" s="4" t="s">
        <v>83</v>
      </c>
      <c r="I3151" s="4" t="s">
        <v>69</v>
      </c>
      <c r="J3151" s="4" t="s">
        <v>66</v>
      </c>
      <c r="K3151" s="4">
        <v>0</v>
      </c>
      <c r="L3151" s="94">
        <v>-5</v>
      </c>
      <c r="M3151" s="94">
        <v>0</v>
      </c>
    </row>
    <row r="3152" spans="3:13" x14ac:dyDescent="0.3">
      <c r="C3152" t="s">
        <v>71</v>
      </c>
      <c r="D3152" t="s">
        <v>67</v>
      </c>
      <c r="E3152" t="s">
        <v>63</v>
      </c>
      <c r="F3152" t="s">
        <v>26</v>
      </c>
      <c r="G3152" s="4">
        <v>3</v>
      </c>
      <c r="H3152" s="4" t="s">
        <v>83</v>
      </c>
      <c r="I3152" s="4" t="s">
        <v>69</v>
      </c>
      <c r="J3152" s="4" t="s">
        <v>66</v>
      </c>
      <c r="K3152" s="4">
        <v>0</v>
      </c>
      <c r="L3152" s="94">
        <v>-58665</v>
      </c>
      <c r="M3152" s="94">
        <v>0</v>
      </c>
    </row>
    <row r="3153" spans="3:13" x14ac:dyDescent="0.3">
      <c r="C3153" t="s">
        <v>70</v>
      </c>
      <c r="D3153" t="s">
        <v>67</v>
      </c>
      <c r="E3153" t="s">
        <v>63</v>
      </c>
      <c r="F3153" t="s">
        <v>25</v>
      </c>
      <c r="G3153" s="4">
        <v>10</v>
      </c>
      <c r="H3153" s="4" t="s">
        <v>14</v>
      </c>
      <c r="I3153" s="4" t="s">
        <v>69</v>
      </c>
      <c r="J3153" s="4" t="s">
        <v>73</v>
      </c>
      <c r="K3153" s="4">
        <v>1</v>
      </c>
      <c r="L3153" s="94">
        <v>-145</v>
      </c>
      <c r="M3153" s="94">
        <v>0</v>
      </c>
    </row>
    <row r="3154" spans="3:13" x14ac:dyDescent="0.3">
      <c r="C3154" t="s">
        <v>70</v>
      </c>
      <c r="D3154" t="s">
        <v>67</v>
      </c>
      <c r="E3154" t="s">
        <v>63</v>
      </c>
      <c r="F3154" t="s">
        <v>25</v>
      </c>
      <c r="G3154" s="4">
        <v>14</v>
      </c>
      <c r="H3154" s="4" t="s">
        <v>14</v>
      </c>
      <c r="I3154" s="4" t="s">
        <v>69</v>
      </c>
      <c r="J3154" s="4" t="s">
        <v>66</v>
      </c>
      <c r="K3154" s="4">
        <v>0</v>
      </c>
      <c r="L3154" s="94">
        <v>-4774</v>
      </c>
      <c r="M3154" s="94">
        <v>0</v>
      </c>
    </row>
    <row r="3155" spans="3:13" x14ac:dyDescent="0.3">
      <c r="C3155" t="s">
        <v>61</v>
      </c>
      <c r="D3155" t="s">
        <v>67</v>
      </c>
      <c r="E3155" t="s">
        <v>68</v>
      </c>
      <c r="F3155" t="s">
        <v>72</v>
      </c>
      <c r="G3155" s="4">
        <v>2</v>
      </c>
      <c r="H3155" s="4" t="s">
        <v>14</v>
      </c>
      <c r="I3155" s="4" t="s">
        <v>65</v>
      </c>
      <c r="J3155" s="4" t="s">
        <v>73</v>
      </c>
      <c r="K3155" s="4">
        <v>1</v>
      </c>
      <c r="L3155" s="94">
        <v>19901</v>
      </c>
      <c r="M3155" s="94">
        <v>39802</v>
      </c>
    </row>
    <row r="3156" spans="3:13" x14ac:dyDescent="0.3">
      <c r="C3156" t="s">
        <v>70</v>
      </c>
      <c r="D3156" t="s">
        <v>67</v>
      </c>
      <c r="E3156" t="s">
        <v>68</v>
      </c>
      <c r="F3156" t="s">
        <v>72</v>
      </c>
      <c r="G3156" s="4">
        <v>5</v>
      </c>
      <c r="H3156" s="4" t="s">
        <v>83</v>
      </c>
      <c r="I3156" s="4" t="s">
        <v>69</v>
      </c>
      <c r="J3156" s="4" t="s">
        <v>66</v>
      </c>
      <c r="K3156" s="4">
        <v>0</v>
      </c>
      <c r="L3156" s="94">
        <v>293530</v>
      </c>
      <c r="M3156" s="94">
        <v>1467650</v>
      </c>
    </row>
    <row r="3157" spans="3:13" x14ac:dyDescent="0.3">
      <c r="C3157" t="s">
        <v>71</v>
      </c>
      <c r="D3157" t="s">
        <v>67</v>
      </c>
      <c r="E3157" t="s">
        <v>68</v>
      </c>
      <c r="F3157" t="s">
        <v>25</v>
      </c>
      <c r="G3157" s="4">
        <v>-4</v>
      </c>
      <c r="H3157" s="4" t="s">
        <v>14</v>
      </c>
      <c r="I3157" s="4" t="s">
        <v>65</v>
      </c>
      <c r="J3157" s="4" t="s">
        <v>66</v>
      </c>
      <c r="K3157" s="4">
        <v>1</v>
      </c>
      <c r="L3157" s="94">
        <v>32363</v>
      </c>
      <c r="M3157" s="94">
        <v>0</v>
      </c>
    </row>
    <row r="3158" spans="3:13" x14ac:dyDescent="0.3">
      <c r="C3158" t="s">
        <v>61</v>
      </c>
      <c r="D3158" t="s">
        <v>67</v>
      </c>
      <c r="E3158" t="s">
        <v>63</v>
      </c>
      <c r="F3158" t="s">
        <v>26</v>
      </c>
      <c r="G3158" s="4">
        <v>-1</v>
      </c>
      <c r="H3158" s="4" t="s">
        <v>18</v>
      </c>
      <c r="I3158" s="4" t="s">
        <v>69</v>
      </c>
      <c r="J3158" s="4" t="s">
        <v>73</v>
      </c>
      <c r="K3158" s="4">
        <v>1</v>
      </c>
      <c r="L3158" s="94">
        <v>-85266</v>
      </c>
      <c r="M3158" s="94">
        <v>0</v>
      </c>
    </row>
    <row r="3159" spans="3:13" x14ac:dyDescent="0.3">
      <c r="C3159" t="s">
        <v>61</v>
      </c>
      <c r="D3159" t="s">
        <v>67</v>
      </c>
      <c r="E3159" t="s">
        <v>68</v>
      </c>
      <c r="F3159" t="s">
        <v>26</v>
      </c>
      <c r="G3159" s="4">
        <v>5</v>
      </c>
      <c r="H3159" s="4" t="s">
        <v>12</v>
      </c>
      <c r="I3159" s="4" t="s">
        <v>69</v>
      </c>
      <c r="J3159" s="4" t="s">
        <v>73</v>
      </c>
      <c r="K3159" s="4">
        <v>1</v>
      </c>
      <c r="L3159" s="94">
        <v>2649894</v>
      </c>
      <c r="M3159" s="94">
        <v>13249470</v>
      </c>
    </row>
    <row r="3160" spans="3:13" x14ac:dyDescent="0.3">
      <c r="C3160" t="s">
        <v>71</v>
      </c>
      <c r="D3160" t="s">
        <v>62</v>
      </c>
      <c r="E3160" t="s">
        <v>63</v>
      </c>
      <c r="F3160" t="s">
        <v>24</v>
      </c>
      <c r="G3160" s="4">
        <v>33</v>
      </c>
      <c r="I3160" s="4" t="s">
        <v>65</v>
      </c>
      <c r="J3160" s="4" t="s">
        <v>66</v>
      </c>
      <c r="K3160" s="4">
        <v>1</v>
      </c>
      <c r="L3160" s="94">
        <v>-10854</v>
      </c>
      <c r="M3160" s="94">
        <v>0</v>
      </c>
    </row>
    <row r="3161" spans="3:13" x14ac:dyDescent="0.3">
      <c r="C3161" t="s">
        <v>61</v>
      </c>
      <c r="D3161" t="s">
        <v>62</v>
      </c>
      <c r="E3161" t="s">
        <v>68</v>
      </c>
      <c r="F3161" t="s">
        <v>24</v>
      </c>
      <c r="G3161" s="4">
        <v>23</v>
      </c>
      <c r="I3161" s="4" t="s">
        <v>65</v>
      </c>
      <c r="J3161" s="4" t="s">
        <v>66</v>
      </c>
      <c r="K3161" s="4">
        <v>1</v>
      </c>
      <c r="L3161" s="94">
        <v>7451465</v>
      </c>
      <c r="M3161" s="94">
        <v>171383695</v>
      </c>
    </row>
    <row r="3162" spans="3:13" x14ac:dyDescent="0.3">
      <c r="C3162" t="s">
        <v>61</v>
      </c>
      <c r="D3162" t="s">
        <v>67</v>
      </c>
      <c r="E3162" t="s">
        <v>68</v>
      </c>
      <c r="F3162" t="s">
        <v>25</v>
      </c>
      <c r="G3162" s="4">
        <v>5</v>
      </c>
      <c r="H3162" s="4" t="s">
        <v>14</v>
      </c>
      <c r="I3162" s="4" t="s">
        <v>69</v>
      </c>
      <c r="J3162" s="4" t="s">
        <v>66</v>
      </c>
      <c r="K3162" s="4">
        <v>0</v>
      </c>
      <c r="L3162" s="94">
        <v>12251740</v>
      </c>
      <c r="M3162" s="94">
        <v>61258700</v>
      </c>
    </row>
    <row r="3163" spans="3:13" x14ac:dyDescent="0.3">
      <c r="C3163" t="s">
        <v>70</v>
      </c>
      <c r="D3163" t="s">
        <v>67</v>
      </c>
      <c r="E3163" t="s">
        <v>68</v>
      </c>
      <c r="F3163" t="s">
        <v>25</v>
      </c>
      <c r="G3163" s="4">
        <v>5</v>
      </c>
      <c r="H3163" s="4" t="s">
        <v>18</v>
      </c>
      <c r="I3163" s="4" t="s">
        <v>69</v>
      </c>
      <c r="J3163" s="4" t="s">
        <v>66</v>
      </c>
      <c r="K3163" s="4">
        <v>1</v>
      </c>
      <c r="L3163" s="94">
        <v>46190</v>
      </c>
      <c r="M3163" s="94">
        <v>230950</v>
      </c>
    </row>
    <row r="3164" spans="3:13" x14ac:dyDescent="0.3">
      <c r="C3164" t="s">
        <v>70</v>
      </c>
      <c r="D3164" t="s">
        <v>67</v>
      </c>
      <c r="E3164" t="s">
        <v>68</v>
      </c>
      <c r="F3164" t="s">
        <v>72</v>
      </c>
      <c r="G3164" s="4">
        <v>6</v>
      </c>
      <c r="H3164" s="4" t="s">
        <v>17</v>
      </c>
      <c r="I3164" s="4" t="s">
        <v>65</v>
      </c>
      <c r="J3164" s="4" t="s">
        <v>73</v>
      </c>
      <c r="K3164" s="4">
        <v>1</v>
      </c>
      <c r="L3164" s="94">
        <v>136944</v>
      </c>
      <c r="M3164" s="94">
        <v>821664</v>
      </c>
    </row>
    <row r="3165" spans="3:13" x14ac:dyDescent="0.3">
      <c r="C3165" t="s">
        <v>71</v>
      </c>
      <c r="D3165" t="s">
        <v>67</v>
      </c>
      <c r="E3165" t="s">
        <v>63</v>
      </c>
      <c r="F3165" t="s">
        <v>25</v>
      </c>
      <c r="G3165" s="4">
        <v>2</v>
      </c>
      <c r="H3165" s="4" t="s">
        <v>18</v>
      </c>
      <c r="I3165" s="4" t="s">
        <v>69</v>
      </c>
      <c r="J3165" s="4" t="s">
        <v>66</v>
      </c>
      <c r="K3165" s="4">
        <v>0</v>
      </c>
      <c r="L3165" s="94">
        <v>-54576</v>
      </c>
      <c r="M3165" s="94">
        <v>0</v>
      </c>
    </row>
    <row r="3166" spans="3:13" x14ac:dyDescent="0.3">
      <c r="C3166" t="s">
        <v>61</v>
      </c>
      <c r="D3166" t="s">
        <v>67</v>
      </c>
      <c r="E3166" t="s">
        <v>63</v>
      </c>
      <c r="F3166" t="s">
        <v>72</v>
      </c>
      <c r="G3166" s="4">
        <v>2</v>
      </c>
      <c r="H3166" s="4" t="s">
        <v>17</v>
      </c>
      <c r="I3166" s="4" t="s">
        <v>69</v>
      </c>
      <c r="J3166" s="4" t="s">
        <v>66</v>
      </c>
      <c r="K3166" s="4">
        <v>0</v>
      </c>
      <c r="L3166" s="94">
        <v>-16588</v>
      </c>
      <c r="M3166" s="94">
        <v>0</v>
      </c>
    </row>
    <row r="3167" spans="3:13" x14ac:dyDescent="0.3">
      <c r="C3167" t="s">
        <v>61</v>
      </c>
      <c r="D3167" t="s">
        <v>67</v>
      </c>
      <c r="E3167" t="s">
        <v>63</v>
      </c>
      <c r="F3167" t="s">
        <v>25</v>
      </c>
      <c r="G3167" s="4">
        <v>7</v>
      </c>
      <c r="H3167" s="4" t="s">
        <v>17</v>
      </c>
      <c r="I3167" s="4" t="s">
        <v>69</v>
      </c>
      <c r="J3167" s="4" t="s">
        <v>66</v>
      </c>
      <c r="K3167" s="4">
        <v>0</v>
      </c>
      <c r="L3167" s="94">
        <v>-2889</v>
      </c>
      <c r="M3167" s="94">
        <v>0</v>
      </c>
    </row>
    <row r="3168" spans="3:13" x14ac:dyDescent="0.3">
      <c r="C3168" t="s">
        <v>70</v>
      </c>
      <c r="D3168" t="s">
        <v>67</v>
      </c>
      <c r="E3168" t="s">
        <v>68</v>
      </c>
      <c r="F3168" t="s">
        <v>25</v>
      </c>
      <c r="G3168" s="4">
        <v>4</v>
      </c>
      <c r="H3168" s="4" t="s">
        <v>18</v>
      </c>
      <c r="I3168" s="4" t="s">
        <v>69</v>
      </c>
      <c r="J3168" s="4" t="s">
        <v>66</v>
      </c>
      <c r="K3168" s="4">
        <v>1</v>
      </c>
      <c r="L3168" s="94">
        <v>360399</v>
      </c>
      <c r="M3168" s="94">
        <v>1441596</v>
      </c>
    </row>
    <row r="3169" spans="3:13" x14ac:dyDescent="0.3">
      <c r="C3169" t="s">
        <v>71</v>
      </c>
      <c r="D3169" t="s">
        <v>67</v>
      </c>
      <c r="E3169" t="s">
        <v>63</v>
      </c>
      <c r="F3169" t="s">
        <v>26</v>
      </c>
      <c r="G3169" s="4">
        <v>2</v>
      </c>
      <c r="H3169" s="4" t="s">
        <v>14</v>
      </c>
      <c r="I3169" s="4" t="s">
        <v>69</v>
      </c>
      <c r="J3169" s="4" t="s">
        <v>73</v>
      </c>
      <c r="K3169" s="4">
        <v>1</v>
      </c>
      <c r="L3169" s="94">
        <v>-1997754</v>
      </c>
      <c r="M3169" s="94">
        <v>0</v>
      </c>
    </row>
    <row r="3170" spans="3:13" x14ac:dyDescent="0.3">
      <c r="C3170" t="s">
        <v>61</v>
      </c>
      <c r="D3170" t="s">
        <v>67</v>
      </c>
      <c r="E3170" t="s">
        <v>68</v>
      </c>
      <c r="F3170" t="s">
        <v>72</v>
      </c>
      <c r="G3170" s="4">
        <v>4</v>
      </c>
      <c r="H3170" s="4" t="s">
        <v>83</v>
      </c>
      <c r="I3170" s="4" t="s">
        <v>69</v>
      </c>
      <c r="J3170" s="4" t="s">
        <v>66</v>
      </c>
      <c r="K3170" s="4">
        <v>0</v>
      </c>
      <c r="L3170" s="94">
        <v>1258715</v>
      </c>
      <c r="M3170" s="94">
        <v>5034860</v>
      </c>
    </row>
    <row r="3171" spans="3:13" x14ac:dyDescent="0.3">
      <c r="C3171" t="s">
        <v>61</v>
      </c>
      <c r="D3171" t="s">
        <v>67</v>
      </c>
      <c r="E3171" t="s">
        <v>63</v>
      </c>
      <c r="F3171" t="s">
        <v>26</v>
      </c>
      <c r="G3171" s="4">
        <v>3</v>
      </c>
      <c r="H3171" s="4" t="s">
        <v>64</v>
      </c>
      <c r="I3171" s="4" t="s">
        <v>69</v>
      </c>
      <c r="J3171" s="4" t="s">
        <v>66</v>
      </c>
      <c r="K3171" s="4">
        <v>0</v>
      </c>
      <c r="L3171" s="94">
        <v>-71764</v>
      </c>
      <c r="M3171" s="94">
        <v>0</v>
      </c>
    </row>
    <row r="3172" spans="3:13" x14ac:dyDescent="0.3">
      <c r="C3172" t="s">
        <v>70</v>
      </c>
      <c r="D3172" t="s">
        <v>62</v>
      </c>
      <c r="E3172" t="s">
        <v>68</v>
      </c>
      <c r="F3172" t="s">
        <v>24</v>
      </c>
      <c r="G3172" s="4">
        <v>22</v>
      </c>
      <c r="I3172" s="4" t="s">
        <v>65</v>
      </c>
      <c r="J3172" s="4" t="s">
        <v>66</v>
      </c>
      <c r="K3172" s="4">
        <v>1</v>
      </c>
      <c r="L3172" s="94">
        <v>521532</v>
      </c>
      <c r="M3172" s="94">
        <v>11473704</v>
      </c>
    </row>
    <row r="3173" spans="3:13" x14ac:dyDescent="0.3">
      <c r="C3173" t="s">
        <v>71</v>
      </c>
      <c r="D3173" t="s">
        <v>67</v>
      </c>
      <c r="E3173" t="s">
        <v>68</v>
      </c>
      <c r="F3173" t="s">
        <v>72</v>
      </c>
      <c r="G3173" s="4">
        <v>4</v>
      </c>
      <c r="H3173" s="4" t="s">
        <v>18</v>
      </c>
      <c r="I3173" s="4" t="s">
        <v>69</v>
      </c>
      <c r="J3173" s="4" t="s">
        <v>66</v>
      </c>
      <c r="K3173" s="4">
        <v>0</v>
      </c>
      <c r="L3173" s="94">
        <v>131191</v>
      </c>
      <c r="M3173" s="94">
        <v>524764</v>
      </c>
    </row>
    <row r="3174" spans="3:13" x14ac:dyDescent="0.3">
      <c r="C3174" t="s">
        <v>71</v>
      </c>
      <c r="D3174" t="s">
        <v>62</v>
      </c>
      <c r="E3174" t="s">
        <v>68</v>
      </c>
      <c r="F3174" t="s">
        <v>24</v>
      </c>
      <c r="G3174" s="4">
        <v>5</v>
      </c>
      <c r="I3174" s="4" t="s">
        <v>69</v>
      </c>
      <c r="J3174" s="4" t="s">
        <v>66</v>
      </c>
      <c r="K3174" s="4">
        <v>1</v>
      </c>
      <c r="L3174" s="94">
        <v>30112</v>
      </c>
      <c r="M3174" s="94">
        <v>150560</v>
      </c>
    </row>
    <row r="3175" spans="3:13" x14ac:dyDescent="0.3">
      <c r="C3175" t="s">
        <v>61</v>
      </c>
      <c r="D3175" t="s">
        <v>67</v>
      </c>
      <c r="E3175" t="s">
        <v>68</v>
      </c>
      <c r="F3175" t="s">
        <v>26</v>
      </c>
      <c r="G3175" s="4">
        <v>9</v>
      </c>
      <c r="H3175" s="4" t="s">
        <v>14</v>
      </c>
      <c r="I3175" s="4" t="s">
        <v>69</v>
      </c>
      <c r="J3175" s="4" t="s">
        <v>73</v>
      </c>
      <c r="K3175" s="4">
        <v>1</v>
      </c>
      <c r="L3175" s="94">
        <v>424155</v>
      </c>
      <c r="M3175" s="94">
        <v>3817395</v>
      </c>
    </row>
    <row r="3176" spans="3:13" x14ac:dyDescent="0.3">
      <c r="C3176" t="s">
        <v>61</v>
      </c>
      <c r="D3176" t="s">
        <v>67</v>
      </c>
      <c r="E3176" t="s">
        <v>63</v>
      </c>
      <c r="F3176" t="s">
        <v>25</v>
      </c>
      <c r="G3176" s="4">
        <v>3</v>
      </c>
      <c r="H3176" s="4" t="s">
        <v>64</v>
      </c>
      <c r="I3176" s="4" t="s">
        <v>69</v>
      </c>
      <c r="J3176" s="4" t="s">
        <v>66</v>
      </c>
      <c r="K3176" s="4">
        <v>0</v>
      </c>
      <c r="L3176" s="94">
        <v>-148</v>
      </c>
      <c r="M3176" s="94">
        <v>0</v>
      </c>
    </row>
    <row r="3177" spans="3:13" x14ac:dyDescent="0.3">
      <c r="C3177" t="s">
        <v>61</v>
      </c>
      <c r="D3177" t="s">
        <v>67</v>
      </c>
      <c r="E3177" t="s">
        <v>63</v>
      </c>
      <c r="F3177" t="s">
        <v>72</v>
      </c>
      <c r="G3177" s="4">
        <v>-4</v>
      </c>
      <c r="H3177" s="4" t="s">
        <v>82</v>
      </c>
      <c r="I3177" s="4" t="s">
        <v>69</v>
      </c>
      <c r="J3177" s="4" t="s">
        <v>66</v>
      </c>
      <c r="K3177" s="4">
        <v>0</v>
      </c>
      <c r="L3177" s="94">
        <v>-6</v>
      </c>
      <c r="M3177" s="94">
        <v>0</v>
      </c>
    </row>
    <row r="3178" spans="3:13" x14ac:dyDescent="0.3">
      <c r="C3178" t="s">
        <v>71</v>
      </c>
      <c r="D3178" t="s">
        <v>67</v>
      </c>
      <c r="E3178" t="s">
        <v>68</v>
      </c>
      <c r="F3178" t="s">
        <v>26</v>
      </c>
      <c r="G3178" s="4">
        <v>1</v>
      </c>
      <c r="H3178" s="4" t="s">
        <v>17</v>
      </c>
      <c r="I3178" s="4" t="s">
        <v>69</v>
      </c>
      <c r="J3178" s="4" t="s">
        <v>66</v>
      </c>
      <c r="K3178" s="4">
        <v>0</v>
      </c>
      <c r="L3178" s="94">
        <v>1164737</v>
      </c>
      <c r="M3178" s="94">
        <v>1164737</v>
      </c>
    </row>
    <row r="3179" spans="3:13" x14ac:dyDescent="0.3">
      <c r="C3179" t="s">
        <v>70</v>
      </c>
      <c r="D3179" t="s">
        <v>67</v>
      </c>
      <c r="E3179" t="s">
        <v>63</v>
      </c>
      <c r="F3179" t="s">
        <v>25</v>
      </c>
      <c r="G3179" s="4">
        <v>-1</v>
      </c>
      <c r="H3179" s="4" t="s">
        <v>13</v>
      </c>
      <c r="I3179" s="4" t="s">
        <v>69</v>
      </c>
      <c r="J3179" s="4" t="s">
        <v>66</v>
      </c>
      <c r="K3179" s="4">
        <v>1</v>
      </c>
      <c r="L3179" s="94">
        <v>0</v>
      </c>
      <c r="M3179" s="94">
        <v>0</v>
      </c>
    </row>
    <row r="3180" spans="3:13" x14ac:dyDescent="0.3">
      <c r="C3180" t="s">
        <v>61</v>
      </c>
      <c r="D3180" t="s">
        <v>67</v>
      </c>
      <c r="E3180" t="s">
        <v>68</v>
      </c>
      <c r="F3180" t="s">
        <v>72</v>
      </c>
      <c r="G3180" s="4">
        <v>2</v>
      </c>
      <c r="H3180" s="4" t="s">
        <v>12</v>
      </c>
      <c r="I3180" s="4" t="s">
        <v>69</v>
      </c>
      <c r="J3180" s="4" t="s">
        <v>66</v>
      </c>
      <c r="K3180" s="4">
        <v>0</v>
      </c>
      <c r="L3180" s="94">
        <v>424307</v>
      </c>
      <c r="M3180" s="94">
        <v>848614</v>
      </c>
    </row>
    <row r="3181" spans="3:13" x14ac:dyDescent="0.3">
      <c r="C3181" t="s">
        <v>71</v>
      </c>
      <c r="D3181" t="s">
        <v>62</v>
      </c>
      <c r="E3181" t="s">
        <v>68</v>
      </c>
      <c r="F3181" t="s">
        <v>24</v>
      </c>
      <c r="G3181" s="4">
        <v>14</v>
      </c>
      <c r="I3181" s="4" t="s">
        <v>69</v>
      </c>
      <c r="J3181" s="4" t="s">
        <v>66</v>
      </c>
      <c r="K3181" s="4">
        <v>0</v>
      </c>
      <c r="L3181" s="94">
        <v>4566592</v>
      </c>
      <c r="M3181" s="94">
        <v>63932288</v>
      </c>
    </row>
    <row r="3182" spans="3:13" x14ac:dyDescent="0.3">
      <c r="C3182" t="s">
        <v>61</v>
      </c>
      <c r="D3182" t="s">
        <v>67</v>
      </c>
      <c r="E3182" t="s">
        <v>63</v>
      </c>
      <c r="F3182" t="s">
        <v>72</v>
      </c>
      <c r="G3182" s="4">
        <v>5</v>
      </c>
      <c r="H3182" s="4" t="s">
        <v>78</v>
      </c>
      <c r="I3182" s="4" t="s">
        <v>69</v>
      </c>
      <c r="J3182" s="4" t="s">
        <v>66</v>
      </c>
      <c r="K3182" s="4">
        <v>0</v>
      </c>
      <c r="L3182" s="94">
        <v>-542</v>
      </c>
      <c r="M3182" s="94">
        <v>0</v>
      </c>
    </row>
    <row r="3183" spans="3:13" x14ac:dyDescent="0.3">
      <c r="C3183" t="s">
        <v>61</v>
      </c>
      <c r="D3183" t="s">
        <v>67</v>
      </c>
      <c r="E3183" t="s">
        <v>63</v>
      </c>
      <c r="F3183" t="s">
        <v>72</v>
      </c>
      <c r="G3183" s="4">
        <v>0</v>
      </c>
      <c r="H3183" s="4" t="s">
        <v>75</v>
      </c>
      <c r="I3183" s="4" t="s">
        <v>69</v>
      </c>
      <c r="J3183" s="4" t="s">
        <v>66</v>
      </c>
      <c r="K3183" s="4">
        <v>0</v>
      </c>
      <c r="L3183" s="94">
        <v>-660</v>
      </c>
      <c r="M3183" s="94">
        <v>0</v>
      </c>
    </row>
    <row r="3184" spans="3:13" x14ac:dyDescent="0.3">
      <c r="C3184" t="s">
        <v>70</v>
      </c>
      <c r="D3184" t="s">
        <v>67</v>
      </c>
      <c r="E3184" t="s">
        <v>68</v>
      </c>
      <c r="F3184" t="s">
        <v>26</v>
      </c>
      <c r="G3184" s="4">
        <v>4</v>
      </c>
      <c r="H3184" s="4" t="s">
        <v>17</v>
      </c>
      <c r="I3184" s="4" t="s">
        <v>65</v>
      </c>
      <c r="J3184" s="4" t="s">
        <v>73</v>
      </c>
      <c r="K3184" s="4">
        <v>1</v>
      </c>
      <c r="L3184" s="94">
        <v>277674</v>
      </c>
      <c r="M3184" s="94">
        <v>1110696</v>
      </c>
    </row>
    <row r="3185" spans="3:13" x14ac:dyDescent="0.3">
      <c r="C3185" t="s">
        <v>71</v>
      </c>
      <c r="D3185" t="s">
        <v>67</v>
      </c>
      <c r="E3185" t="s">
        <v>68</v>
      </c>
      <c r="F3185" t="s">
        <v>25</v>
      </c>
      <c r="G3185" s="4">
        <v>1</v>
      </c>
      <c r="H3185" s="4" t="s">
        <v>12</v>
      </c>
      <c r="I3185" s="4" t="s">
        <v>69</v>
      </c>
      <c r="J3185" s="4" t="s">
        <v>66</v>
      </c>
      <c r="K3185" s="4">
        <v>1</v>
      </c>
      <c r="L3185" s="94">
        <v>45195</v>
      </c>
      <c r="M3185" s="94">
        <v>45195</v>
      </c>
    </row>
    <row r="3186" spans="3:13" x14ac:dyDescent="0.3">
      <c r="C3186" t="s">
        <v>61</v>
      </c>
      <c r="D3186" t="s">
        <v>67</v>
      </c>
      <c r="E3186" t="s">
        <v>68</v>
      </c>
      <c r="F3186" t="s">
        <v>72</v>
      </c>
      <c r="G3186" s="4">
        <v>0</v>
      </c>
      <c r="H3186" s="4" t="s">
        <v>17</v>
      </c>
      <c r="I3186" s="4" t="s">
        <v>65</v>
      </c>
      <c r="J3186" s="4" t="s">
        <v>66</v>
      </c>
      <c r="K3186" s="4">
        <v>1</v>
      </c>
      <c r="L3186" s="94">
        <v>1092</v>
      </c>
      <c r="M3186" s="94">
        <v>0</v>
      </c>
    </row>
    <row r="3187" spans="3:13" x14ac:dyDescent="0.3">
      <c r="C3187" t="s">
        <v>61</v>
      </c>
      <c r="D3187" t="s">
        <v>67</v>
      </c>
      <c r="E3187" t="s">
        <v>63</v>
      </c>
      <c r="F3187" t="s">
        <v>72</v>
      </c>
      <c r="G3187" s="4">
        <v>7</v>
      </c>
      <c r="H3187" s="4" t="s">
        <v>82</v>
      </c>
      <c r="I3187" s="4" t="s">
        <v>69</v>
      </c>
      <c r="J3187" s="4" t="s">
        <v>66</v>
      </c>
      <c r="K3187" s="4">
        <v>0</v>
      </c>
      <c r="L3187" s="94">
        <v>-9723</v>
      </c>
      <c r="M3187" s="94">
        <v>0</v>
      </c>
    </row>
    <row r="3188" spans="3:13" x14ac:dyDescent="0.3">
      <c r="C3188" t="s">
        <v>70</v>
      </c>
      <c r="D3188" t="s">
        <v>62</v>
      </c>
      <c r="E3188" t="s">
        <v>68</v>
      </c>
      <c r="F3188" t="s">
        <v>24</v>
      </c>
      <c r="G3188" s="4">
        <v>26</v>
      </c>
      <c r="I3188" s="4" t="s">
        <v>69</v>
      </c>
      <c r="J3188" s="4" t="s">
        <v>66</v>
      </c>
      <c r="K3188" s="4">
        <v>1</v>
      </c>
      <c r="L3188" s="94">
        <v>23617</v>
      </c>
      <c r="M3188" s="94">
        <v>614042</v>
      </c>
    </row>
    <row r="3189" spans="3:13" x14ac:dyDescent="0.3">
      <c r="C3189" t="s">
        <v>70</v>
      </c>
      <c r="D3189" t="s">
        <v>67</v>
      </c>
      <c r="E3189" t="s">
        <v>63</v>
      </c>
      <c r="F3189" t="s">
        <v>26</v>
      </c>
      <c r="G3189" s="4">
        <v>-1</v>
      </c>
      <c r="H3189" s="4" t="s">
        <v>74</v>
      </c>
      <c r="I3189" s="4" t="s">
        <v>69</v>
      </c>
      <c r="J3189" s="4" t="s">
        <v>66</v>
      </c>
      <c r="K3189" s="4">
        <v>0</v>
      </c>
      <c r="L3189" s="94">
        <v>-665389</v>
      </c>
      <c r="M3189" s="94">
        <v>0</v>
      </c>
    </row>
    <row r="3190" spans="3:13" x14ac:dyDescent="0.3">
      <c r="C3190" t="s">
        <v>61</v>
      </c>
      <c r="D3190" t="s">
        <v>67</v>
      </c>
      <c r="E3190" t="s">
        <v>68</v>
      </c>
      <c r="F3190" t="s">
        <v>26</v>
      </c>
      <c r="G3190" s="4">
        <v>8</v>
      </c>
      <c r="H3190" s="4" t="s">
        <v>18</v>
      </c>
      <c r="I3190" s="4" t="s">
        <v>69</v>
      </c>
      <c r="J3190" s="4" t="s">
        <v>73</v>
      </c>
      <c r="K3190" s="4">
        <v>1</v>
      </c>
      <c r="L3190" s="94">
        <v>1323535</v>
      </c>
      <c r="M3190" s="94">
        <v>10588280</v>
      </c>
    </row>
    <row r="3191" spans="3:13" x14ac:dyDescent="0.3">
      <c r="C3191" t="s">
        <v>70</v>
      </c>
      <c r="D3191" t="s">
        <v>67</v>
      </c>
      <c r="E3191" t="s">
        <v>63</v>
      </c>
      <c r="F3191" t="s">
        <v>72</v>
      </c>
      <c r="G3191" s="4">
        <v>2</v>
      </c>
      <c r="H3191" s="4" t="s">
        <v>17</v>
      </c>
      <c r="I3191" s="4" t="s">
        <v>69</v>
      </c>
      <c r="J3191" s="4" t="s">
        <v>66</v>
      </c>
      <c r="K3191" s="4">
        <v>0</v>
      </c>
      <c r="L3191" s="94">
        <v>-48670</v>
      </c>
      <c r="M3191" s="94">
        <v>0</v>
      </c>
    </row>
    <row r="3192" spans="3:13" x14ac:dyDescent="0.3">
      <c r="C3192" t="s">
        <v>71</v>
      </c>
      <c r="D3192" t="s">
        <v>67</v>
      </c>
      <c r="E3192" t="s">
        <v>68</v>
      </c>
      <c r="F3192" t="s">
        <v>25</v>
      </c>
      <c r="G3192" s="4">
        <v>9</v>
      </c>
      <c r="H3192" s="4" t="s">
        <v>75</v>
      </c>
      <c r="I3192" s="4" t="s">
        <v>69</v>
      </c>
      <c r="J3192" s="4" t="s">
        <v>66</v>
      </c>
      <c r="K3192" s="4">
        <v>0</v>
      </c>
      <c r="L3192" s="94">
        <v>27607</v>
      </c>
      <c r="M3192" s="94">
        <v>248463</v>
      </c>
    </row>
    <row r="3193" spans="3:13" x14ac:dyDescent="0.3">
      <c r="C3193" t="s">
        <v>61</v>
      </c>
      <c r="D3193" t="s">
        <v>67</v>
      </c>
      <c r="E3193" t="s">
        <v>63</v>
      </c>
      <c r="F3193" t="s">
        <v>25</v>
      </c>
      <c r="G3193" s="4">
        <v>13</v>
      </c>
      <c r="H3193" s="4" t="s">
        <v>78</v>
      </c>
      <c r="I3193" s="4" t="s">
        <v>69</v>
      </c>
      <c r="J3193" s="4" t="s">
        <v>66</v>
      </c>
      <c r="K3193" s="4">
        <v>0</v>
      </c>
      <c r="L3193" s="94">
        <v>-175</v>
      </c>
      <c r="M3193" s="94">
        <v>0</v>
      </c>
    </row>
    <row r="3194" spans="3:13" x14ac:dyDescent="0.3">
      <c r="C3194" t="s">
        <v>71</v>
      </c>
      <c r="D3194" t="s">
        <v>67</v>
      </c>
      <c r="E3194" t="s">
        <v>68</v>
      </c>
      <c r="F3194" t="s">
        <v>26</v>
      </c>
      <c r="G3194" s="4">
        <v>7</v>
      </c>
      <c r="H3194" s="4" t="s">
        <v>14</v>
      </c>
      <c r="I3194" s="4" t="s">
        <v>69</v>
      </c>
      <c r="J3194" s="4" t="s">
        <v>73</v>
      </c>
      <c r="K3194" s="4">
        <v>1</v>
      </c>
      <c r="L3194" s="94">
        <v>924699</v>
      </c>
      <c r="M3194" s="94">
        <v>6472893</v>
      </c>
    </row>
    <row r="3195" spans="3:13" x14ac:dyDescent="0.3">
      <c r="C3195" t="s">
        <v>70</v>
      </c>
      <c r="D3195" t="s">
        <v>67</v>
      </c>
      <c r="E3195" t="s">
        <v>68</v>
      </c>
      <c r="F3195" t="s">
        <v>26</v>
      </c>
      <c r="G3195" s="4">
        <v>1</v>
      </c>
      <c r="H3195" s="4" t="s">
        <v>12</v>
      </c>
      <c r="I3195" s="4" t="s">
        <v>69</v>
      </c>
      <c r="J3195" s="4" t="s">
        <v>73</v>
      </c>
      <c r="K3195" s="4">
        <v>1</v>
      </c>
      <c r="L3195" s="94">
        <v>1277109</v>
      </c>
      <c r="M3195" s="94">
        <v>1277109</v>
      </c>
    </row>
    <row r="3196" spans="3:13" x14ac:dyDescent="0.3">
      <c r="C3196" t="s">
        <v>70</v>
      </c>
      <c r="D3196" t="s">
        <v>67</v>
      </c>
      <c r="E3196" t="s">
        <v>63</v>
      </c>
      <c r="F3196" t="s">
        <v>26</v>
      </c>
      <c r="G3196" s="4">
        <v>0</v>
      </c>
      <c r="H3196" s="4" t="s">
        <v>75</v>
      </c>
      <c r="I3196" s="4" t="s">
        <v>69</v>
      </c>
      <c r="J3196" s="4" t="s">
        <v>66</v>
      </c>
      <c r="K3196" s="4">
        <v>0</v>
      </c>
      <c r="L3196" s="94">
        <v>-46965</v>
      </c>
      <c r="M3196" s="94">
        <v>0</v>
      </c>
    </row>
    <row r="3197" spans="3:13" x14ac:dyDescent="0.3">
      <c r="C3197" t="s">
        <v>70</v>
      </c>
      <c r="D3197" t="s">
        <v>67</v>
      </c>
      <c r="E3197" t="s">
        <v>68</v>
      </c>
      <c r="F3197" t="s">
        <v>26</v>
      </c>
      <c r="G3197" s="4">
        <v>2</v>
      </c>
      <c r="H3197" s="4" t="s">
        <v>77</v>
      </c>
      <c r="I3197" s="4" t="s">
        <v>69</v>
      </c>
      <c r="J3197" s="4" t="s">
        <v>66</v>
      </c>
      <c r="K3197" s="4">
        <v>0</v>
      </c>
      <c r="L3197" s="94">
        <v>1611543</v>
      </c>
      <c r="M3197" s="94">
        <v>3223086</v>
      </c>
    </row>
    <row r="3198" spans="3:13" x14ac:dyDescent="0.3">
      <c r="C3198" t="s">
        <v>70</v>
      </c>
      <c r="D3198" t="s">
        <v>67</v>
      </c>
      <c r="E3198" t="s">
        <v>68</v>
      </c>
      <c r="F3198" t="s">
        <v>26</v>
      </c>
      <c r="G3198" s="4">
        <v>1</v>
      </c>
      <c r="H3198" s="4" t="s">
        <v>17</v>
      </c>
      <c r="I3198" s="4" t="s">
        <v>65</v>
      </c>
      <c r="J3198" s="4" t="s">
        <v>66</v>
      </c>
      <c r="K3198" s="4">
        <v>1</v>
      </c>
      <c r="L3198" s="94">
        <v>45523</v>
      </c>
      <c r="M3198" s="94">
        <v>45523</v>
      </c>
    </row>
    <row r="3199" spans="3:13" x14ac:dyDescent="0.3">
      <c r="C3199" t="s">
        <v>61</v>
      </c>
      <c r="D3199" t="s">
        <v>67</v>
      </c>
      <c r="E3199" t="s">
        <v>63</v>
      </c>
      <c r="F3199" t="s">
        <v>26</v>
      </c>
      <c r="G3199" s="4">
        <v>2</v>
      </c>
      <c r="H3199" s="4" t="s">
        <v>12</v>
      </c>
      <c r="I3199" s="4" t="s">
        <v>69</v>
      </c>
      <c r="J3199" s="4" t="s">
        <v>73</v>
      </c>
      <c r="K3199" s="4">
        <v>1</v>
      </c>
      <c r="L3199" s="94">
        <v>-22931</v>
      </c>
      <c r="M3199" s="94">
        <v>0</v>
      </c>
    </row>
    <row r="3200" spans="3:13" x14ac:dyDescent="0.3">
      <c r="C3200" t="s">
        <v>70</v>
      </c>
      <c r="D3200" t="s">
        <v>67</v>
      </c>
      <c r="E3200" t="s">
        <v>63</v>
      </c>
      <c r="F3200" t="s">
        <v>26</v>
      </c>
      <c r="G3200" s="4">
        <v>5</v>
      </c>
      <c r="H3200" s="4" t="s">
        <v>14</v>
      </c>
      <c r="I3200" s="4" t="s">
        <v>69</v>
      </c>
      <c r="J3200" s="4" t="s">
        <v>73</v>
      </c>
      <c r="K3200" s="4">
        <v>1</v>
      </c>
      <c r="L3200" s="94">
        <v>-218920</v>
      </c>
      <c r="M3200" s="94">
        <v>0</v>
      </c>
    </row>
    <row r="3201" spans="3:13" x14ac:dyDescent="0.3">
      <c r="C3201" t="s">
        <v>70</v>
      </c>
      <c r="D3201" t="s">
        <v>67</v>
      </c>
      <c r="E3201" t="s">
        <v>63</v>
      </c>
      <c r="F3201" t="s">
        <v>25</v>
      </c>
      <c r="G3201" s="4">
        <v>15</v>
      </c>
      <c r="H3201" s="4" t="s">
        <v>17</v>
      </c>
      <c r="I3201" s="4" t="s">
        <v>69</v>
      </c>
      <c r="J3201" s="4" t="s">
        <v>66</v>
      </c>
      <c r="K3201" s="4">
        <v>1</v>
      </c>
      <c r="L3201" s="94">
        <v>-1535</v>
      </c>
      <c r="M3201" s="94">
        <v>0</v>
      </c>
    </row>
    <row r="3202" spans="3:13" x14ac:dyDescent="0.3">
      <c r="C3202" t="s">
        <v>61</v>
      </c>
      <c r="D3202" t="s">
        <v>62</v>
      </c>
      <c r="E3202" t="s">
        <v>63</v>
      </c>
      <c r="F3202" t="s">
        <v>24</v>
      </c>
      <c r="G3202" s="4">
        <v>4</v>
      </c>
      <c r="I3202" s="4" t="s">
        <v>65</v>
      </c>
      <c r="J3202" s="4" t="s">
        <v>66</v>
      </c>
      <c r="K3202" s="4">
        <v>1</v>
      </c>
      <c r="L3202" s="94">
        <v>-234</v>
      </c>
      <c r="M3202" s="94">
        <v>0</v>
      </c>
    </row>
    <row r="3203" spans="3:13" x14ac:dyDescent="0.3">
      <c r="C3203" t="s">
        <v>61</v>
      </c>
      <c r="D3203" t="s">
        <v>67</v>
      </c>
      <c r="E3203" t="s">
        <v>63</v>
      </c>
      <c r="F3203" t="s">
        <v>72</v>
      </c>
      <c r="G3203" s="4">
        <v>-4</v>
      </c>
      <c r="H3203" s="4" t="s">
        <v>17</v>
      </c>
      <c r="I3203" s="4" t="s">
        <v>69</v>
      </c>
      <c r="J3203" s="4" t="s">
        <v>66</v>
      </c>
      <c r="K3203" s="4">
        <v>0</v>
      </c>
      <c r="L3203" s="94">
        <v>-2</v>
      </c>
      <c r="M3203" s="94">
        <v>0</v>
      </c>
    </row>
    <row r="3204" spans="3:13" x14ac:dyDescent="0.3">
      <c r="C3204" t="s">
        <v>71</v>
      </c>
      <c r="D3204" t="s">
        <v>67</v>
      </c>
      <c r="E3204" t="s">
        <v>68</v>
      </c>
      <c r="F3204" t="s">
        <v>26</v>
      </c>
      <c r="G3204" s="4">
        <v>1</v>
      </c>
      <c r="H3204" s="4" t="s">
        <v>82</v>
      </c>
      <c r="I3204" s="4" t="s">
        <v>69</v>
      </c>
      <c r="J3204" s="4" t="s">
        <v>66</v>
      </c>
      <c r="K3204" s="4">
        <v>0</v>
      </c>
      <c r="L3204" s="94">
        <v>1121051</v>
      </c>
      <c r="M3204" s="94">
        <v>1121051</v>
      </c>
    </row>
    <row r="3205" spans="3:13" x14ac:dyDescent="0.3">
      <c r="C3205" t="s">
        <v>71</v>
      </c>
      <c r="D3205" t="s">
        <v>62</v>
      </c>
      <c r="E3205" t="s">
        <v>63</v>
      </c>
      <c r="F3205" t="s">
        <v>24</v>
      </c>
      <c r="G3205" s="4">
        <v>28</v>
      </c>
      <c r="I3205" s="4" t="s">
        <v>65</v>
      </c>
      <c r="J3205" s="4" t="s">
        <v>66</v>
      </c>
      <c r="K3205" s="4">
        <v>1</v>
      </c>
      <c r="L3205" s="94">
        <v>-40694</v>
      </c>
      <c r="M3205" s="94">
        <v>0</v>
      </c>
    </row>
    <row r="3206" spans="3:13" x14ac:dyDescent="0.3">
      <c r="C3206" t="s">
        <v>61</v>
      </c>
      <c r="D3206" t="s">
        <v>67</v>
      </c>
      <c r="E3206" t="s">
        <v>63</v>
      </c>
      <c r="F3206" t="s">
        <v>25</v>
      </c>
      <c r="G3206" s="4">
        <v>2</v>
      </c>
      <c r="H3206" s="4" t="s">
        <v>18</v>
      </c>
      <c r="I3206" s="4" t="s">
        <v>65</v>
      </c>
      <c r="J3206" s="4" t="s">
        <v>66</v>
      </c>
      <c r="K3206" s="4">
        <v>1</v>
      </c>
      <c r="L3206" s="94">
        <v>-113</v>
      </c>
      <c r="M3206" s="94">
        <v>0</v>
      </c>
    </row>
    <row r="3207" spans="3:13" x14ac:dyDescent="0.3">
      <c r="C3207" t="s">
        <v>70</v>
      </c>
      <c r="D3207" t="s">
        <v>67</v>
      </c>
      <c r="E3207" t="s">
        <v>68</v>
      </c>
      <c r="F3207" t="s">
        <v>72</v>
      </c>
      <c r="G3207" s="4">
        <v>6</v>
      </c>
      <c r="H3207" s="4" t="s">
        <v>77</v>
      </c>
      <c r="I3207" s="4" t="s">
        <v>69</v>
      </c>
      <c r="J3207" s="4" t="s">
        <v>66</v>
      </c>
      <c r="K3207" s="4">
        <v>0</v>
      </c>
      <c r="L3207" s="94">
        <v>15659</v>
      </c>
      <c r="M3207" s="94">
        <v>93954</v>
      </c>
    </row>
    <row r="3208" spans="3:13" x14ac:dyDescent="0.3">
      <c r="C3208" t="s">
        <v>61</v>
      </c>
      <c r="D3208" t="s">
        <v>67</v>
      </c>
      <c r="E3208" t="s">
        <v>68</v>
      </c>
      <c r="F3208" t="s">
        <v>25</v>
      </c>
      <c r="G3208" s="4">
        <v>14</v>
      </c>
      <c r="H3208" s="4" t="s">
        <v>78</v>
      </c>
      <c r="I3208" s="4" t="s">
        <v>69</v>
      </c>
      <c r="J3208" s="4" t="s">
        <v>66</v>
      </c>
      <c r="K3208" s="4">
        <v>0</v>
      </c>
      <c r="L3208" s="94">
        <v>801320</v>
      </c>
      <c r="M3208" s="94">
        <v>11218480</v>
      </c>
    </row>
    <row r="3209" spans="3:13" x14ac:dyDescent="0.3">
      <c r="C3209" t="s">
        <v>70</v>
      </c>
      <c r="D3209" t="s">
        <v>67</v>
      </c>
      <c r="E3209" t="s">
        <v>68</v>
      </c>
      <c r="F3209" t="s">
        <v>25</v>
      </c>
      <c r="G3209" s="4">
        <v>3</v>
      </c>
      <c r="H3209" s="4" t="s">
        <v>64</v>
      </c>
      <c r="I3209" s="4" t="s">
        <v>69</v>
      </c>
      <c r="J3209" s="4" t="s">
        <v>66</v>
      </c>
      <c r="K3209" s="4">
        <v>0</v>
      </c>
      <c r="L3209" s="94">
        <v>201666</v>
      </c>
      <c r="M3209" s="94">
        <v>604998</v>
      </c>
    </row>
    <row r="3210" spans="3:13" x14ac:dyDescent="0.3">
      <c r="C3210" t="s">
        <v>71</v>
      </c>
      <c r="D3210" t="s">
        <v>67</v>
      </c>
      <c r="E3210" t="s">
        <v>68</v>
      </c>
      <c r="F3210" t="s">
        <v>26</v>
      </c>
      <c r="G3210" s="4">
        <v>-4</v>
      </c>
      <c r="H3210" s="4" t="s">
        <v>18</v>
      </c>
      <c r="I3210" s="4" t="s">
        <v>69</v>
      </c>
      <c r="J3210" s="4" t="s">
        <v>66</v>
      </c>
      <c r="K3210" s="4">
        <v>0</v>
      </c>
      <c r="L3210" s="94">
        <v>7623382</v>
      </c>
      <c r="M3210" s="94">
        <v>0</v>
      </c>
    </row>
    <row r="3211" spans="3:13" x14ac:dyDescent="0.3">
      <c r="C3211" t="s">
        <v>70</v>
      </c>
      <c r="D3211" t="s">
        <v>67</v>
      </c>
      <c r="E3211" t="s">
        <v>68</v>
      </c>
      <c r="F3211" t="s">
        <v>72</v>
      </c>
      <c r="G3211" s="4">
        <v>7</v>
      </c>
      <c r="H3211" s="4" t="s">
        <v>14</v>
      </c>
      <c r="I3211" s="4" t="s">
        <v>69</v>
      </c>
      <c r="J3211" s="4" t="s">
        <v>73</v>
      </c>
      <c r="K3211" s="4">
        <v>1</v>
      </c>
      <c r="L3211" s="94">
        <v>169746</v>
      </c>
      <c r="M3211" s="94">
        <v>1188222</v>
      </c>
    </row>
    <row r="3212" spans="3:13" x14ac:dyDescent="0.3">
      <c r="C3212" t="s">
        <v>71</v>
      </c>
      <c r="D3212" t="s">
        <v>62</v>
      </c>
      <c r="E3212" t="s">
        <v>63</v>
      </c>
      <c r="F3212" t="s">
        <v>24</v>
      </c>
      <c r="G3212" s="4">
        <v>42</v>
      </c>
      <c r="I3212" s="4" t="s">
        <v>69</v>
      </c>
      <c r="J3212" s="4" t="s">
        <v>66</v>
      </c>
      <c r="K3212" s="4">
        <v>0</v>
      </c>
      <c r="L3212" s="94">
        <v>-298050</v>
      </c>
      <c r="M3212" s="94">
        <v>0</v>
      </c>
    </row>
    <row r="3213" spans="3:13" x14ac:dyDescent="0.3">
      <c r="C3213" t="s">
        <v>61</v>
      </c>
      <c r="D3213" t="s">
        <v>62</v>
      </c>
      <c r="E3213" t="s">
        <v>68</v>
      </c>
      <c r="F3213" t="s">
        <v>24</v>
      </c>
      <c r="G3213" s="4">
        <v>48</v>
      </c>
      <c r="I3213" s="4" t="s">
        <v>69</v>
      </c>
      <c r="J3213" s="4" t="s">
        <v>66</v>
      </c>
      <c r="K3213" s="4">
        <v>0</v>
      </c>
      <c r="L3213" s="94">
        <v>102988</v>
      </c>
      <c r="M3213" s="94">
        <v>4943424</v>
      </c>
    </row>
    <row r="3214" spans="3:13" x14ac:dyDescent="0.3">
      <c r="C3214" t="s">
        <v>61</v>
      </c>
      <c r="D3214" t="s">
        <v>67</v>
      </c>
      <c r="E3214" t="s">
        <v>68</v>
      </c>
      <c r="F3214" t="s">
        <v>26</v>
      </c>
      <c r="G3214" s="4">
        <v>1</v>
      </c>
      <c r="H3214" s="4" t="s">
        <v>13</v>
      </c>
      <c r="I3214" s="4" t="s">
        <v>69</v>
      </c>
      <c r="J3214" s="4" t="s">
        <v>66</v>
      </c>
      <c r="K3214" s="4">
        <v>0</v>
      </c>
      <c r="L3214" s="94">
        <v>56355</v>
      </c>
      <c r="M3214" s="94">
        <v>56355</v>
      </c>
    </row>
    <row r="3215" spans="3:13" x14ac:dyDescent="0.3">
      <c r="C3215" t="s">
        <v>61</v>
      </c>
      <c r="D3215" t="s">
        <v>67</v>
      </c>
      <c r="E3215" t="s">
        <v>68</v>
      </c>
      <c r="F3215" t="s">
        <v>25</v>
      </c>
      <c r="G3215" s="4">
        <v>-4</v>
      </c>
      <c r="H3215" s="4" t="s">
        <v>75</v>
      </c>
      <c r="I3215" s="4" t="s">
        <v>69</v>
      </c>
      <c r="J3215" s="4" t="s">
        <v>66</v>
      </c>
      <c r="K3215" s="4">
        <v>0</v>
      </c>
      <c r="L3215" s="94">
        <v>373679</v>
      </c>
      <c r="M3215" s="94">
        <v>0</v>
      </c>
    </row>
    <row r="3216" spans="3:13" x14ac:dyDescent="0.3">
      <c r="C3216" t="s">
        <v>70</v>
      </c>
      <c r="D3216" t="s">
        <v>62</v>
      </c>
      <c r="E3216" t="s">
        <v>63</v>
      </c>
      <c r="F3216" t="s">
        <v>24</v>
      </c>
      <c r="G3216" s="4">
        <v>17</v>
      </c>
      <c r="I3216" s="4" t="s">
        <v>69</v>
      </c>
      <c r="J3216" s="4" t="s">
        <v>66</v>
      </c>
      <c r="K3216" s="4">
        <v>1</v>
      </c>
      <c r="L3216" s="94">
        <v>-1741</v>
      </c>
      <c r="M3216" s="94">
        <v>0</v>
      </c>
    </row>
    <row r="3217" spans="3:13" x14ac:dyDescent="0.3">
      <c r="C3217" t="s">
        <v>70</v>
      </c>
      <c r="D3217" t="s">
        <v>67</v>
      </c>
      <c r="E3217" t="s">
        <v>68</v>
      </c>
      <c r="F3217" t="s">
        <v>26</v>
      </c>
      <c r="G3217" s="4">
        <v>10</v>
      </c>
      <c r="H3217" s="4" t="s">
        <v>18</v>
      </c>
      <c r="I3217" s="4" t="s">
        <v>69</v>
      </c>
      <c r="J3217" s="4" t="s">
        <v>66</v>
      </c>
      <c r="K3217" s="4">
        <v>0</v>
      </c>
      <c r="L3217" s="94">
        <v>29849</v>
      </c>
      <c r="M3217" s="94">
        <v>298490</v>
      </c>
    </row>
    <row r="3218" spans="3:13" x14ac:dyDescent="0.3">
      <c r="C3218" t="s">
        <v>61</v>
      </c>
      <c r="D3218" t="s">
        <v>62</v>
      </c>
      <c r="E3218" t="s">
        <v>63</v>
      </c>
      <c r="F3218" t="s">
        <v>24</v>
      </c>
      <c r="G3218" s="4">
        <v>25</v>
      </c>
      <c r="I3218" s="4" t="s">
        <v>69</v>
      </c>
      <c r="J3218" s="4" t="s">
        <v>66</v>
      </c>
      <c r="K3218" s="4">
        <v>1</v>
      </c>
      <c r="L3218" s="94">
        <v>-1236</v>
      </c>
      <c r="M3218" s="94">
        <v>0</v>
      </c>
    </row>
    <row r="3219" spans="3:13" x14ac:dyDescent="0.3">
      <c r="C3219" t="s">
        <v>70</v>
      </c>
      <c r="D3219" t="s">
        <v>67</v>
      </c>
      <c r="E3219" t="s">
        <v>63</v>
      </c>
      <c r="F3219" t="s">
        <v>25</v>
      </c>
      <c r="G3219" s="4">
        <v>7</v>
      </c>
      <c r="H3219" s="4" t="s">
        <v>76</v>
      </c>
      <c r="I3219" s="4" t="s">
        <v>69</v>
      </c>
      <c r="J3219" s="4" t="s">
        <v>66</v>
      </c>
      <c r="K3219" s="4">
        <v>0</v>
      </c>
      <c r="L3219" s="94">
        <v>-475171</v>
      </c>
      <c r="M3219" s="94">
        <v>0</v>
      </c>
    </row>
    <row r="3220" spans="3:13" x14ac:dyDescent="0.3">
      <c r="C3220" t="s">
        <v>61</v>
      </c>
      <c r="D3220" t="s">
        <v>67</v>
      </c>
      <c r="E3220" t="s">
        <v>63</v>
      </c>
      <c r="F3220" t="s">
        <v>25</v>
      </c>
      <c r="G3220" s="4">
        <v>7</v>
      </c>
      <c r="H3220" s="4" t="s">
        <v>82</v>
      </c>
      <c r="I3220" s="4" t="s">
        <v>69</v>
      </c>
      <c r="J3220" s="4" t="s">
        <v>66</v>
      </c>
      <c r="K3220" s="4">
        <v>0</v>
      </c>
      <c r="L3220" s="94">
        <v>-961</v>
      </c>
      <c r="M3220" s="94">
        <v>0</v>
      </c>
    </row>
    <row r="3221" spans="3:13" x14ac:dyDescent="0.3">
      <c r="C3221" t="s">
        <v>61</v>
      </c>
      <c r="D3221" t="s">
        <v>67</v>
      </c>
      <c r="E3221" t="s">
        <v>63</v>
      </c>
      <c r="F3221" t="s">
        <v>72</v>
      </c>
      <c r="G3221" s="4">
        <v>3</v>
      </c>
      <c r="H3221" s="4" t="s">
        <v>78</v>
      </c>
      <c r="I3221" s="4" t="s">
        <v>69</v>
      </c>
      <c r="J3221" s="4" t="s">
        <v>66</v>
      </c>
      <c r="K3221" s="4">
        <v>0</v>
      </c>
      <c r="L3221" s="94">
        <v>-700</v>
      </c>
      <c r="M3221" s="94">
        <v>0</v>
      </c>
    </row>
    <row r="3222" spans="3:13" x14ac:dyDescent="0.3">
      <c r="C3222" t="s">
        <v>70</v>
      </c>
      <c r="D3222" t="s">
        <v>62</v>
      </c>
      <c r="E3222" t="s">
        <v>68</v>
      </c>
      <c r="F3222" t="s">
        <v>24</v>
      </c>
      <c r="G3222" s="4">
        <v>31</v>
      </c>
      <c r="I3222" s="4" t="s">
        <v>69</v>
      </c>
      <c r="J3222" s="4" t="s">
        <v>66</v>
      </c>
      <c r="K3222" s="4">
        <v>1</v>
      </c>
      <c r="L3222" s="94">
        <v>72541</v>
      </c>
      <c r="M3222" s="94">
        <v>2248771</v>
      </c>
    </row>
    <row r="3223" spans="3:13" x14ac:dyDescent="0.3">
      <c r="C3223" t="s">
        <v>70</v>
      </c>
      <c r="D3223" t="s">
        <v>67</v>
      </c>
      <c r="E3223" t="s">
        <v>68</v>
      </c>
      <c r="F3223" t="s">
        <v>26</v>
      </c>
      <c r="G3223" s="4">
        <v>-1</v>
      </c>
      <c r="H3223" s="4" t="s">
        <v>78</v>
      </c>
      <c r="I3223" s="4" t="s">
        <v>69</v>
      </c>
      <c r="J3223" s="4" t="s">
        <v>66</v>
      </c>
      <c r="K3223" s="4">
        <v>0</v>
      </c>
      <c r="L3223" s="94">
        <v>698084</v>
      </c>
      <c r="M3223" s="94">
        <v>0</v>
      </c>
    </row>
    <row r="3224" spans="3:13" x14ac:dyDescent="0.3">
      <c r="C3224" t="s">
        <v>70</v>
      </c>
      <c r="D3224" t="s">
        <v>67</v>
      </c>
      <c r="E3224" t="s">
        <v>68</v>
      </c>
      <c r="F3224" t="s">
        <v>25</v>
      </c>
      <c r="G3224" s="4">
        <v>1</v>
      </c>
      <c r="H3224" s="4" t="s">
        <v>80</v>
      </c>
      <c r="I3224" s="4" t="s">
        <v>69</v>
      </c>
      <c r="J3224" s="4" t="s">
        <v>66</v>
      </c>
      <c r="K3224" s="4">
        <v>0</v>
      </c>
      <c r="L3224" s="94">
        <v>92879</v>
      </c>
      <c r="M3224" s="94">
        <v>92879</v>
      </c>
    </row>
    <row r="3225" spans="3:13" x14ac:dyDescent="0.3">
      <c r="C3225" t="s">
        <v>61</v>
      </c>
      <c r="D3225" t="s">
        <v>67</v>
      </c>
      <c r="E3225" t="s">
        <v>63</v>
      </c>
      <c r="F3225" t="s">
        <v>26</v>
      </c>
      <c r="G3225" s="4">
        <v>6</v>
      </c>
      <c r="H3225" s="4" t="s">
        <v>79</v>
      </c>
      <c r="I3225" s="4" t="s">
        <v>69</v>
      </c>
      <c r="J3225" s="4" t="s">
        <v>66</v>
      </c>
      <c r="K3225" s="4">
        <v>0</v>
      </c>
      <c r="L3225" s="94">
        <v>-1030</v>
      </c>
      <c r="M3225" s="94">
        <v>0</v>
      </c>
    </row>
    <row r="3226" spans="3:13" x14ac:dyDescent="0.3">
      <c r="C3226" t="s">
        <v>61</v>
      </c>
      <c r="D3226" t="s">
        <v>67</v>
      </c>
      <c r="E3226" t="s">
        <v>68</v>
      </c>
      <c r="F3226" t="s">
        <v>26</v>
      </c>
      <c r="G3226" s="4">
        <v>7</v>
      </c>
      <c r="H3226" s="4" t="s">
        <v>18</v>
      </c>
      <c r="I3226" s="4" t="s">
        <v>69</v>
      </c>
      <c r="J3226" s="4" t="s">
        <v>73</v>
      </c>
      <c r="K3226" s="4">
        <v>1</v>
      </c>
      <c r="L3226" s="94">
        <v>3218979</v>
      </c>
      <c r="M3226" s="94">
        <v>22532853</v>
      </c>
    </row>
    <row r="3227" spans="3:13" x14ac:dyDescent="0.3">
      <c r="C3227" t="s">
        <v>70</v>
      </c>
      <c r="D3227" t="s">
        <v>62</v>
      </c>
      <c r="E3227" t="s">
        <v>63</v>
      </c>
      <c r="F3227" t="s">
        <v>24</v>
      </c>
      <c r="G3227" s="4">
        <v>28</v>
      </c>
      <c r="I3227" s="4" t="s">
        <v>65</v>
      </c>
      <c r="J3227" s="4" t="s">
        <v>66</v>
      </c>
      <c r="K3227" s="4">
        <v>1</v>
      </c>
      <c r="L3227" s="94">
        <v>-33197</v>
      </c>
      <c r="M3227" s="94">
        <v>0</v>
      </c>
    </row>
    <row r="3228" spans="3:13" x14ac:dyDescent="0.3">
      <c r="C3228" t="s">
        <v>71</v>
      </c>
      <c r="D3228" t="s">
        <v>62</v>
      </c>
      <c r="E3228" t="s">
        <v>63</v>
      </c>
      <c r="F3228" t="s">
        <v>24</v>
      </c>
      <c r="G3228" s="4">
        <v>6</v>
      </c>
      <c r="I3228" s="4" t="s">
        <v>65</v>
      </c>
      <c r="J3228" s="4" t="s">
        <v>66</v>
      </c>
      <c r="K3228" s="4">
        <v>1</v>
      </c>
      <c r="L3228" s="94">
        <v>-27879</v>
      </c>
      <c r="M3228" s="94">
        <v>0</v>
      </c>
    </row>
    <row r="3229" spans="3:13" x14ac:dyDescent="0.3">
      <c r="C3229" t="s">
        <v>70</v>
      </c>
      <c r="D3229" t="s">
        <v>67</v>
      </c>
      <c r="E3229" t="s">
        <v>68</v>
      </c>
      <c r="F3229" t="s">
        <v>26</v>
      </c>
      <c r="G3229" s="4">
        <v>1</v>
      </c>
      <c r="H3229" s="4" t="s">
        <v>82</v>
      </c>
      <c r="I3229" s="4" t="s">
        <v>65</v>
      </c>
      <c r="J3229" s="4" t="s">
        <v>66</v>
      </c>
      <c r="K3229" s="4">
        <v>1</v>
      </c>
      <c r="L3229" s="94">
        <v>81461</v>
      </c>
      <c r="M3229" s="94">
        <v>81461</v>
      </c>
    </row>
    <row r="3230" spans="3:13" x14ac:dyDescent="0.3">
      <c r="C3230" t="s">
        <v>61</v>
      </c>
      <c r="D3230" t="s">
        <v>67</v>
      </c>
      <c r="E3230" t="s">
        <v>63</v>
      </c>
      <c r="F3230" t="s">
        <v>25</v>
      </c>
      <c r="G3230" s="4">
        <v>9</v>
      </c>
      <c r="H3230" s="4" t="s">
        <v>74</v>
      </c>
      <c r="I3230" s="4" t="s">
        <v>69</v>
      </c>
      <c r="J3230" s="4" t="s">
        <v>66</v>
      </c>
      <c r="K3230" s="4">
        <v>0</v>
      </c>
      <c r="L3230" s="94">
        <v>-7433</v>
      </c>
      <c r="M3230" s="94">
        <v>0</v>
      </c>
    </row>
    <row r="3231" spans="3:13" x14ac:dyDescent="0.3">
      <c r="C3231" t="s">
        <v>70</v>
      </c>
      <c r="D3231" t="s">
        <v>67</v>
      </c>
      <c r="E3231" t="s">
        <v>68</v>
      </c>
      <c r="F3231" t="s">
        <v>72</v>
      </c>
      <c r="G3231" s="4">
        <v>1</v>
      </c>
      <c r="H3231" s="4" t="s">
        <v>83</v>
      </c>
      <c r="I3231" s="4" t="s">
        <v>69</v>
      </c>
      <c r="J3231" s="4" t="s">
        <v>66</v>
      </c>
      <c r="K3231" s="4">
        <v>0</v>
      </c>
      <c r="L3231" s="94">
        <v>62653</v>
      </c>
      <c r="M3231" s="94">
        <v>62653</v>
      </c>
    </row>
    <row r="3232" spans="3:13" x14ac:dyDescent="0.3">
      <c r="C3232" t="s">
        <v>61</v>
      </c>
      <c r="D3232" t="s">
        <v>67</v>
      </c>
      <c r="E3232" t="s">
        <v>68</v>
      </c>
      <c r="F3232" t="s">
        <v>25</v>
      </c>
      <c r="G3232" s="4">
        <v>13</v>
      </c>
      <c r="H3232" s="4" t="s">
        <v>18</v>
      </c>
      <c r="I3232" s="4" t="s">
        <v>69</v>
      </c>
      <c r="J3232" s="4" t="s">
        <v>66</v>
      </c>
      <c r="K3232" s="4">
        <v>1</v>
      </c>
      <c r="L3232" s="94">
        <v>152328</v>
      </c>
      <c r="M3232" s="94">
        <v>1980264</v>
      </c>
    </row>
    <row r="3233" spans="3:13" x14ac:dyDescent="0.3">
      <c r="C3233" t="s">
        <v>70</v>
      </c>
      <c r="D3233" t="s">
        <v>67</v>
      </c>
      <c r="E3233" t="s">
        <v>63</v>
      </c>
      <c r="F3233" t="s">
        <v>26</v>
      </c>
      <c r="G3233" s="4">
        <v>0</v>
      </c>
      <c r="H3233" s="4" t="s">
        <v>13</v>
      </c>
      <c r="I3233" s="4" t="s">
        <v>69</v>
      </c>
      <c r="J3233" s="4" t="s">
        <v>66</v>
      </c>
      <c r="K3233" s="4">
        <v>0</v>
      </c>
      <c r="L3233" s="94">
        <v>-32</v>
      </c>
      <c r="M3233" s="94">
        <v>0</v>
      </c>
    </row>
    <row r="3234" spans="3:13" x14ac:dyDescent="0.3">
      <c r="C3234" t="s">
        <v>70</v>
      </c>
      <c r="D3234" t="s">
        <v>67</v>
      </c>
      <c r="E3234" t="s">
        <v>68</v>
      </c>
      <c r="F3234" t="s">
        <v>72</v>
      </c>
      <c r="G3234" s="4">
        <v>-4</v>
      </c>
      <c r="H3234" s="4" t="s">
        <v>79</v>
      </c>
      <c r="I3234" s="4" t="s">
        <v>69</v>
      </c>
      <c r="J3234" s="4" t="s">
        <v>66</v>
      </c>
      <c r="K3234" s="4">
        <v>0</v>
      </c>
      <c r="L3234" s="94">
        <v>780</v>
      </c>
      <c r="M3234" s="94">
        <v>0</v>
      </c>
    </row>
    <row r="3235" spans="3:13" x14ac:dyDescent="0.3">
      <c r="C3235" t="s">
        <v>71</v>
      </c>
      <c r="D3235" t="s">
        <v>67</v>
      </c>
      <c r="E3235" t="s">
        <v>68</v>
      </c>
      <c r="F3235" t="s">
        <v>26</v>
      </c>
      <c r="G3235" s="4">
        <v>8</v>
      </c>
      <c r="H3235" s="4" t="s">
        <v>14</v>
      </c>
      <c r="I3235" s="4" t="s">
        <v>69</v>
      </c>
      <c r="J3235" s="4" t="s">
        <v>73</v>
      </c>
      <c r="K3235" s="4">
        <v>1</v>
      </c>
      <c r="L3235" s="94">
        <v>90267</v>
      </c>
      <c r="M3235" s="94">
        <v>722136</v>
      </c>
    </row>
    <row r="3236" spans="3:13" x14ac:dyDescent="0.3">
      <c r="C3236" t="s">
        <v>70</v>
      </c>
      <c r="D3236" t="s">
        <v>67</v>
      </c>
      <c r="E3236" t="s">
        <v>63</v>
      </c>
      <c r="F3236" t="s">
        <v>72</v>
      </c>
      <c r="G3236" s="4">
        <v>-4</v>
      </c>
      <c r="H3236" s="4" t="s">
        <v>17</v>
      </c>
      <c r="I3236" s="4" t="s">
        <v>69</v>
      </c>
      <c r="J3236" s="4" t="s">
        <v>66</v>
      </c>
      <c r="K3236" s="4">
        <v>0</v>
      </c>
      <c r="L3236" s="94">
        <v>-935</v>
      </c>
      <c r="M3236" s="94">
        <v>0</v>
      </c>
    </row>
    <row r="3237" spans="3:13" x14ac:dyDescent="0.3">
      <c r="C3237" t="s">
        <v>71</v>
      </c>
      <c r="D3237" t="s">
        <v>62</v>
      </c>
      <c r="E3237" t="s">
        <v>68</v>
      </c>
      <c r="F3237" t="s">
        <v>24</v>
      </c>
      <c r="G3237" s="4">
        <v>1</v>
      </c>
      <c r="I3237" s="4" t="s">
        <v>65</v>
      </c>
      <c r="J3237" s="4" t="s">
        <v>66</v>
      </c>
      <c r="K3237" s="4">
        <v>1</v>
      </c>
      <c r="L3237" s="94">
        <v>5543</v>
      </c>
      <c r="M3237" s="94">
        <v>5543</v>
      </c>
    </row>
    <row r="3238" spans="3:13" x14ac:dyDescent="0.3">
      <c r="C3238" t="s">
        <v>70</v>
      </c>
      <c r="D3238" t="s">
        <v>62</v>
      </c>
      <c r="E3238" t="s">
        <v>63</v>
      </c>
      <c r="F3238" t="s">
        <v>24</v>
      </c>
      <c r="G3238" s="4">
        <v>42</v>
      </c>
      <c r="I3238" s="4" t="s">
        <v>69</v>
      </c>
      <c r="J3238" s="4" t="s">
        <v>66</v>
      </c>
      <c r="K3238" s="4">
        <v>0</v>
      </c>
      <c r="L3238" s="94">
        <v>-137655</v>
      </c>
      <c r="M3238" s="94">
        <v>0</v>
      </c>
    </row>
    <row r="3239" spans="3:13" x14ac:dyDescent="0.3">
      <c r="C3239" t="s">
        <v>70</v>
      </c>
      <c r="D3239" t="s">
        <v>67</v>
      </c>
      <c r="E3239" t="s">
        <v>63</v>
      </c>
      <c r="F3239" t="s">
        <v>25</v>
      </c>
      <c r="G3239" s="4">
        <v>14</v>
      </c>
      <c r="H3239" s="4" t="s">
        <v>80</v>
      </c>
      <c r="I3239" s="4" t="s">
        <v>69</v>
      </c>
      <c r="J3239" s="4" t="s">
        <v>66</v>
      </c>
      <c r="K3239" s="4">
        <v>0</v>
      </c>
      <c r="L3239" s="94">
        <v>-3122</v>
      </c>
      <c r="M3239" s="94">
        <v>0</v>
      </c>
    </row>
    <row r="3240" spans="3:13" x14ac:dyDescent="0.3">
      <c r="C3240" t="s">
        <v>70</v>
      </c>
      <c r="D3240" t="s">
        <v>62</v>
      </c>
      <c r="E3240" t="s">
        <v>63</v>
      </c>
      <c r="F3240" t="s">
        <v>24</v>
      </c>
      <c r="G3240" s="4">
        <v>9</v>
      </c>
      <c r="I3240" s="4" t="s">
        <v>69</v>
      </c>
      <c r="J3240" s="4" t="s">
        <v>66</v>
      </c>
      <c r="K3240" s="4">
        <v>0</v>
      </c>
      <c r="L3240" s="94">
        <v>-351681</v>
      </c>
      <c r="M3240" s="94">
        <v>0</v>
      </c>
    </row>
    <row r="3241" spans="3:13" x14ac:dyDescent="0.3">
      <c r="C3241" t="s">
        <v>61</v>
      </c>
      <c r="D3241" t="s">
        <v>67</v>
      </c>
      <c r="E3241" t="s">
        <v>68</v>
      </c>
      <c r="F3241" t="s">
        <v>26</v>
      </c>
      <c r="G3241" s="4">
        <v>6</v>
      </c>
      <c r="H3241" s="4" t="s">
        <v>15</v>
      </c>
      <c r="I3241" s="4" t="s">
        <v>69</v>
      </c>
      <c r="J3241" s="4" t="s">
        <v>73</v>
      </c>
      <c r="K3241" s="4">
        <v>1</v>
      </c>
      <c r="L3241" s="94">
        <v>6473826</v>
      </c>
      <c r="M3241" s="94">
        <v>38842956</v>
      </c>
    </row>
    <row r="3242" spans="3:13" x14ac:dyDescent="0.3">
      <c r="C3242" t="s">
        <v>70</v>
      </c>
      <c r="D3242" t="s">
        <v>67</v>
      </c>
      <c r="E3242" t="s">
        <v>68</v>
      </c>
      <c r="F3242" t="s">
        <v>26</v>
      </c>
      <c r="G3242" s="4">
        <v>3</v>
      </c>
      <c r="H3242" s="4" t="s">
        <v>83</v>
      </c>
      <c r="I3242" s="4" t="s">
        <v>69</v>
      </c>
      <c r="J3242" s="4" t="s">
        <v>66</v>
      </c>
      <c r="K3242" s="4">
        <v>0</v>
      </c>
      <c r="L3242" s="94">
        <v>1176445</v>
      </c>
      <c r="M3242" s="94">
        <v>3529335</v>
      </c>
    </row>
    <row r="3243" spans="3:13" x14ac:dyDescent="0.3">
      <c r="C3243" t="s">
        <v>61</v>
      </c>
      <c r="D3243" t="s">
        <v>67</v>
      </c>
      <c r="E3243" t="s">
        <v>68</v>
      </c>
      <c r="F3243" t="s">
        <v>25</v>
      </c>
      <c r="G3243" s="4">
        <v>5</v>
      </c>
      <c r="H3243" s="4" t="s">
        <v>80</v>
      </c>
      <c r="I3243" s="4" t="s">
        <v>69</v>
      </c>
      <c r="J3243" s="4" t="s">
        <v>66</v>
      </c>
      <c r="K3243" s="4">
        <v>0</v>
      </c>
      <c r="L3243" s="94">
        <v>1464658</v>
      </c>
      <c r="M3243" s="94">
        <v>7323290</v>
      </c>
    </row>
    <row r="3244" spans="3:13" x14ac:dyDescent="0.3">
      <c r="C3244" t="s">
        <v>71</v>
      </c>
      <c r="D3244" t="s">
        <v>62</v>
      </c>
      <c r="E3244" t="s">
        <v>63</v>
      </c>
      <c r="F3244" t="s">
        <v>24</v>
      </c>
      <c r="G3244" s="4">
        <v>17</v>
      </c>
      <c r="I3244" s="4" t="s">
        <v>69</v>
      </c>
      <c r="J3244" s="4" t="s">
        <v>66</v>
      </c>
      <c r="K3244" s="4">
        <v>1</v>
      </c>
      <c r="L3244" s="94">
        <v>-40322</v>
      </c>
      <c r="M3244" s="94">
        <v>0</v>
      </c>
    </row>
    <row r="3245" spans="3:13" x14ac:dyDescent="0.3">
      <c r="C3245" t="s">
        <v>61</v>
      </c>
      <c r="D3245" t="s">
        <v>67</v>
      </c>
      <c r="E3245" t="s">
        <v>68</v>
      </c>
      <c r="F3245" t="s">
        <v>72</v>
      </c>
      <c r="G3245" s="4">
        <v>0</v>
      </c>
      <c r="H3245" s="4" t="s">
        <v>82</v>
      </c>
      <c r="I3245" s="4" t="s">
        <v>65</v>
      </c>
      <c r="J3245" s="4" t="s">
        <v>66</v>
      </c>
      <c r="K3245" s="4">
        <v>1</v>
      </c>
      <c r="L3245" s="94">
        <v>1960</v>
      </c>
      <c r="M3245" s="94">
        <v>0</v>
      </c>
    </row>
    <row r="3246" spans="3:13" x14ac:dyDescent="0.3">
      <c r="C3246" t="s">
        <v>70</v>
      </c>
      <c r="D3246" t="s">
        <v>67</v>
      </c>
      <c r="E3246" t="s">
        <v>68</v>
      </c>
      <c r="F3246" t="s">
        <v>25</v>
      </c>
      <c r="G3246" s="4">
        <v>10</v>
      </c>
      <c r="H3246" s="4" t="s">
        <v>76</v>
      </c>
      <c r="I3246" s="4" t="s">
        <v>69</v>
      </c>
      <c r="J3246" s="4" t="s">
        <v>66</v>
      </c>
      <c r="K3246" s="4">
        <v>0</v>
      </c>
      <c r="L3246" s="94">
        <v>14089808</v>
      </c>
      <c r="M3246" s="94">
        <v>140898080</v>
      </c>
    </row>
    <row r="3247" spans="3:13" x14ac:dyDescent="0.3">
      <c r="C3247" t="s">
        <v>71</v>
      </c>
      <c r="D3247" t="s">
        <v>67</v>
      </c>
      <c r="E3247" t="s">
        <v>63</v>
      </c>
      <c r="F3247" t="s">
        <v>25</v>
      </c>
      <c r="G3247" s="4">
        <v>7</v>
      </c>
      <c r="H3247" s="4" t="s">
        <v>75</v>
      </c>
      <c r="I3247" s="4" t="s">
        <v>69</v>
      </c>
      <c r="J3247" s="4" t="s">
        <v>66</v>
      </c>
      <c r="K3247" s="4">
        <v>0</v>
      </c>
      <c r="L3247" s="94">
        <v>-3481980</v>
      </c>
      <c r="M3247" s="94">
        <v>0</v>
      </c>
    </row>
    <row r="3248" spans="3:13" x14ac:dyDescent="0.3">
      <c r="C3248" t="s">
        <v>61</v>
      </c>
      <c r="D3248" t="s">
        <v>67</v>
      </c>
      <c r="E3248" t="s">
        <v>63</v>
      </c>
      <c r="F3248" t="s">
        <v>25</v>
      </c>
      <c r="G3248" s="4">
        <v>2</v>
      </c>
      <c r="H3248" s="4" t="s">
        <v>74</v>
      </c>
      <c r="I3248" s="4" t="s">
        <v>69</v>
      </c>
      <c r="J3248" s="4" t="s">
        <v>66</v>
      </c>
      <c r="K3248" s="4">
        <v>0</v>
      </c>
      <c r="L3248" s="94">
        <v>-5518</v>
      </c>
      <c r="M3248" s="94">
        <v>0</v>
      </c>
    </row>
    <row r="3249" spans="3:13" x14ac:dyDescent="0.3">
      <c r="C3249" t="s">
        <v>70</v>
      </c>
      <c r="D3249" t="s">
        <v>67</v>
      </c>
      <c r="E3249" t="s">
        <v>63</v>
      </c>
      <c r="F3249" t="s">
        <v>72</v>
      </c>
      <c r="G3249" s="4">
        <v>4</v>
      </c>
      <c r="H3249" s="4" t="s">
        <v>78</v>
      </c>
      <c r="I3249" s="4" t="s">
        <v>69</v>
      </c>
      <c r="J3249" s="4" t="s">
        <v>66</v>
      </c>
      <c r="K3249" s="4">
        <v>0</v>
      </c>
      <c r="L3249" s="94">
        <v>-3660</v>
      </c>
      <c r="M3249" s="94">
        <v>0</v>
      </c>
    </row>
    <row r="3250" spans="3:13" x14ac:dyDescent="0.3">
      <c r="C3250" t="s">
        <v>61</v>
      </c>
      <c r="D3250" t="s">
        <v>62</v>
      </c>
      <c r="E3250" t="s">
        <v>63</v>
      </c>
      <c r="F3250" t="s">
        <v>24</v>
      </c>
      <c r="G3250" s="4">
        <v>22</v>
      </c>
      <c r="I3250" s="4" t="s">
        <v>65</v>
      </c>
      <c r="J3250" s="4" t="s">
        <v>66</v>
      </c>
      <c r="K3250" s="4">
        <v>1</v>
      </c>
      <c r="L3250" s="94">
        <v>-6177</v>
      </c>
      <c r="M3250" s="94">
        <v>0</v>
      </c>
    </row>
    <row r="3251" spans="3:13" x14ac:dyDescent="0.3">
      <c r="C3251" t="s">
        <v>70</v>
      </c>
      <c r="D3251" t="s">
        <v>67</v>
      </c>
      <c r="E3251" t="s">
        <v>68</v>
      </c>
      <c r="F3251" t="s">
        <v>25</v>
      </c>
      <c r="G3251" s="4">
        <v>-1</v>
      </c>
      <c r="H3251" s="4" t="s">
        <v>75</v>
      </c>
      <c r="I3251" s="4" t="s">
        <v>69</v>
      </c>
      <c r="J3251" s="4" t="s">
        <v>66</v>
      </c>
      <c r="K3251" s="4">
        <v>0</v>
      </c>
      <c r="L3251" s="94">
        <v>400261</v>
      </c>
      <c r="M3251" s="94">
        <v>0</v>
      </c>
    </row>
    <row r="3252" spans="3:13" x14ac:dyDescent="0.3">
      <c r="C3252" t="s">
        <v>70</v>
      </c>
      <c r="D3252" t="s">
        <v>67</v>
      </c>
      <c r="E3252" t="s">
        <v>63</v>
      </c>
      <c r="F3252" t="s">
        <v>25</v>
      </c>
      <c r="G3252" s="4">
        <v>2</v>
      </c>
      <c r="H3252" s="4" t="s">
        <v>75</v>
      </c>
      <c r="I3252" s="4" t="s">
        <v>69</v>
      </c>
      <c r="J3252" s="4" t="s">
        <v>66</v>
      </c>
      <c r="K3252" s="4">
        <v>0</v>
      </c>
      <c r="L3252" s="94">
        <v>-47225</v>
      </c>
      <c r="M3252" s="94">
        <v>0</v>
      </c>
    </row>
    <row r="3253" spans="3:13" x14ac:dyDescent="0.3">
      <c r="C3253" t="s">
        <v>61</v>
      </c>
      <c r="D3253" t="s">
        <v>62</v>
      </c>
      <c r="E3253" t="s">
        <v>68</v>
      </c>
      <c r="F3253" t="s">
        <v>24</v>
      </c>
      <c r="G3253" s="4">
        <v>18</v>
      </c>
      <c r="I3253" s="4" t="s">
        <v>65</v>
      </c>
      <c r="J3253" s="4" t="s">
        <v>66</v>
      </c>
      <c r="K3253" s="4">
        <v>1</v>
      </c>
      <c r="L3253" s="94">
        <v>3724469</v>
      </c>
      <c r="M3253" s="94">
        <v>67040442</v>
      </c>
    </row>
    <row r="3254" spans="3:13" x14ac:dyDescent="0.3">
      <c r="C3254" t="s">
        <v>61</v>
      </c>
      <c r="D3254" t="s">
        <v>67</v>
      </c>
      <c r="E3254" t="s">
        <v>68</v>
      </c>
      <c r="F3254" t="s">
        <v>25</v>
      </c>
      <c r="G3254" s="4">
        <v>21</v>
      </c>
      <c r="H3254" s="4" t="s">
        <v>18</v>
      </c>
      <c r="I3254" s="4" t="s">
        <v>69</v>
      </c>
      <c r="J3254" s="4" t="s">
        <v>66</v>
      </c>
      <c r="K3254" s="4">
        <v>0</v>
      </c>
      <c r="L3254" s="94">
        <v>428340</v>
      </c>
      <c r="M3254" s="94">
        <v>8995140</v>
      </c>
    </row>
    <row r="3255" spans="3:13" x14ac:dyDescent="0.3">
      <c r="C3255" t="s">
        <v>70</v>
      </c>
      <c r="D3255" t="s">
        <v>67</v>
      </c>
      <c r="E3255" t="s">
        <v>68</v>
      </c>
      <c r="F3255" t="s">
        <v>26</v>
      </c>
      <c r="G3255" s="4">
        <v>4</v>
      </c>
      <c r="H3255" s="4" t="s">
        <v>12</v>
      </c>
      <c r="I3255" s="4" t="s">
        <v>69</v>
      </c>
      <c r="J3255" s="4" t="s">
        <v>66</v>
      </c>
      <c r="K3255" s="4">
        <v>0</v>
      </c>
      <c r="L3255" s="94">
        <v>852302</v>
      </c>
      <c r="M3255" s="94">
        <v>3409208</v>
      </c>
    </row>
    <row r="3256" spans="3:13" x14ac:dyDescent="0.3">
      <c r="C3256" t="s">
        <v>61</v>
      </c>
      <c r="D3256" t="s">
        <v>62</v>
      </c>
      <c r="E3256" t="s">
        <v>68</v>
      </c>
      <c r="F3256" t="s">
        <v>25</v>
      </c>
      <c r="G3256" s="4">
        <v>19</v>
      </c>
      <c r="I3256" s="4" t="s">
        <v>65</v>
      </c>
      <c r="J3256" s="4" t="s">
        <v>66</v>
      </c>
      <c r="K3256" s="4">
        <v>1</v>
      </c>
      <c r="L3256" s="94">
        <v>72801</v>
      </c>
      <c r="M3256" s="94">
        <v>1383219</v>
      </c>
    </row>
    <row r="3257" spans="3:13" x14ac:dyDescent="0.3">
      <c r="C3257" t="s">
        <v>61</v>
      </c>
      <c r="D3257" t="s">
        <v>67</v>
      </c>
      <c r="E3257" t="s">
        <v>63</v>
      </c>
      <c r="F3257" t="s">
        <v>26</v>
      </c>
      <c r="G3257" s="4">
        <v>4</v>
      </c>
      <c r="H3257" s="4" t="s">
        <v>18</v>
      </c>
      <c r="I3257" s="4" t="s">
        <v>65</v>
      </c>
      <c r="J3257" s="4" t="s">
        <v>66</v>
      </c>
      <c r="K3257" s="4">
        <v>1</v>
      </c>
      <c r="L3257" s="94">
        <v>-270</v>
      </c>
      <c r="M3257" s="94">
        <v>0</v>
      </c>
    </row>
    <row r="3258" spans="3:13" x14ac:dyDescent="0.3">
      <c r="C3258" t="s">
        <v>70</v>
      </c>
      <c r="D3258" t="s">
        <v>67</v>
      </c>
      <c r="E3258" t="s">
        <v>68</v>
      </c>
      <c r="F3258" t="s">
        <v>72</v>
      </c>
      <c r="G3258" s="4">
        <v>3</v>
      </c>
      <c r="H3258" s="4" t="s">
        <v>18</v>
      </c>
      <c r="I3258" s="4" t="s">
        <v>69</v>
      </c>
      <c r="J3258" s="4" t="s">
        <v>66</v>
      </c>
      <c r="K3258" s="4">
        <v>0</v>
      </c>
      <c r="L3258" s="94">
        <v>2064943</v>
      </c>
      <c r="M3258" s="94">
        <v>6194829</v>
      </c>
    </row>
    <row r="3259" spans="3:13" x14ac:dyDescent="0.3">
      <c r="C3259" t="s">
        <v>61</v>
      </c>
      <c r="D3259" t="s">
        <v>67</v>
      </c>
      <c r="E3259" t="s">
        <v>68</v>
      </c>
      <c r="F3259" t="s">
        <v>72</v>
      </c>
      <c r="G3259" s="4">
        <v>-1</v>
      </c>
      <c r="H3259" s="4" t="s">
        <v>12</v>
      </c>
      <c r="I3259" s="4" t="s">
        <v>69</v>
      </c>
      <c r="J3259" s="4" t="s">
        <v>66</v>
      </c>
      <c r="K3259" s="4">
        <v>0</v>
      </c>
      <c r="L3259" s="94">
        <v>583513</v>
      </c>
      <c r="M3259" s="94">
        <v>0</v>
      </c>
    </row>
    <row r="3260" spans="3:13" x14ac:dyDescent="0.3">
      <c r="C3260" t="s">
        <v>61</v>
      </c>
      <c r="D3260" t="s">
        <v>67</v>
      </c>
      <c r="E3260" t="s">
        <v>68</v>
      </c>
      <c r="F3260" t="s">
        <v>25</v>
      </c>
      <c r="G3260" s="4">
        <v>4</v>
      </c>
      <c r="H3260" s="4" t="s">
        <v>80</v>
      </c>
      <c r="I3260" s="4" t="s">
        <v>69</v>
      </c>
      <c r="J3260" s="4" t="s">
        <v>66</v>
      </c>
      <c r="K3260" s="4">
        <v>0</v>
      </c>
      <c r="L3260" s="94">
        <v>169917</v>
      </c>
      <c r="M3260" s="94">
        <v>679668</v>
      </c>
    </row>
    <row r="3261" spans="3:13" x14ac:dyDescent="0.3">
      <c r="C3261" t="s">
        <v>61</v>
      </c>
      <c r="D3261" t="s">
        <v>62</v>
      </c>
      <c r="E3261" t="s">
        <v>63</v>
      </c>
      <c r="F3261" t="s">
        <v>24</v>
      </c>
      <c r="G3261" s="4">
        <v>12</v>
      </c>
      <c r="I3261" s="4" t="s">
        <v>69</v>
      </c>
      <c r="J3261" s="4" t="s">
        <v>66</v>
      </c>
      <c r="K3261" s="4">
        <v>0</v>
      </c>
      <c r="L3261" s="94">
        <v>-81985</v>
      </c>
      <c r="M3261" s="94">
        <v>0</v>
      </c>
    </row>
    <row r="3262" spans="3:13" x14ac:dyDescent="0.3">
      <c r="C3262" t="s">
        <v>71</v>
      </c>
      <c r="D3262" t="s">
        <v>67</v>
      </c>
      <c r="E3262" t="s">
        <v>68</v>
      </c>
      <c r="F3262" t="s">
        <v>25</v>
      </c>
      <c r="G3262" s="4">
        <v>2</v>
      </c>
      <c r="H3262" s="4" t="s">
        <v>79</v>
      </c>
      <c r="I3262" s="4" t="s">
        <v>69</v>
      </c>
      <c r="J3262" s="4" t="s">
        <v>66</v>
      </c>
      <c r="K3262" s="4">
        <v>0</v>
      </c>
      <c r="L3262" s="94">
        <v>87545</v>
      </c>
      <c r="M3262" s="94">
        <v>175090</v>
      </c>
    </row>
    <row r="3263" spans="3:13" x14ac:dyDescent="0.3">
      <c r="C3263" t="s">
        <v>61</v>
      </c>
      <c r="D3263" t="s">
        <v>67</v>
      </c>
      <c r="E3263" t="s">
        <v>63</v>
      </c>
      <c r="F3263" t="s">
        <v>72</v>
      </c>
      <c r="G3263" s="4">
        <v>3</v>
      </c>
      <c r="H3263" s="4" t="s">
        <v>64</v>
      </c>
      <c r="I3263" s="4" t="s">
        <v>69</v>
      </c>
      <c r="J3263" s="4" t="s">
        <v>66</v>
      </c>
      <c r="K3263" s="4">
        <v>0</v>
      </c>
      <c r="L3263" s="94">
        <v>-22241</v>
      </c>
      <c r="M3263" s="94">
        <v>0</v>
      </c>
    </row>
    <row r="3264" spans="3:13" x14ac:dyDescent="0.3">
      <c r="C3264" t="s">
        <v>71</v>
      </c>
      <c r="D3264" t="s">
        <v>67</v>
      </c>
      <c r="E3264" t="s">
        <v>63</v>
      </c>
      <c r="F3264" t="s">
        <v>26</v>
      </c>
      <c r="G3264" s="4">
        <v>6</v>
      </c>
      <c r="H3264" s="4" t="s">
        <v>74</v>
      </c>
      <c r="I3264" s="4" t="s">
        <v>69</v>
      </c>
      <c r="J3264" s="4" t="s">
        <v>66</v>
      </c>
      <c r="K3264" s="4">
        <v>0</v>
      </c>
      <c r="L3264" s="94">
        <v>-164578</v>
      </c>
      <c r="M3264" s="94">
        <v>0</v>
      </c>
    </row>
    <row r="3265" spans="3:13" x14ac:dyDescent="0.3">
      <c r="C3265" t="s">
        <v>61</v>
      </c>
      <c r="D3265" t="s">
        <v>62</v>
      </c>
      <c r="E3265" t="s">
        <v>63</v>
      </c>
      <c r="F3265" t="s">
        <v>25</v>
      </c>
      <c r="G3265" s="4">
        <v>2</v>
      </c>
      <c r="I3265" s="4" t="s">
        <v>69</v>
      </c>
      <c r="J3265" s="4" t="s">
        <v>66</v>
      </c>
      <c r="K3265" s="4">
        <v>0</v>
      </c>
      <c r="L3265" s="94">
        <v>-3107</v>
      </c>
      <c r="M3265" s="94">
        <v>0</v>
      </c>
    </row>
    <row r="3266" spans="3:13" x14ac:dyDescent="0.3">
      <c r="C3266" t="s">
        <v>61</v>
      </c>
      <c r="D3266" t="s">
        <v>62</v>
      </c>
      <c r="E3266" t="s">
        <v>63</v>
      </c>
      <c r="F3266" t="s">
        <v>24</v>
      </c>
      <c r="G3266" s="4">
        <v>0</v>
      </c>
      <c r="I3266" s="4" t="s">
        <v>65</v>
      </c>
      <c r="J3266" s="4" t="s">
        <v>66</v>
      </c>
      <c r="K3266" s="4">
        <v>1</v>
      </c>
      <c r="L3266" s="94">
        <v>-4</v>
      </c>
      <c r="M3266" s="94">
        <v>0</v>
      </c>
    </row>
    <row r="3267" spans="3:13" x14ac:dyDescent="0.3">
      <c r="C3267" t="s">
        <v>71</v>
      </c>
      <c r="D3267" t="s">
        <v>67</v>
      </c>
      <c r="E3267" t="s">
        <v>63</v>
      </c>
      <c r="F3267" t="s">
        <v>26</v>
      </c>
      <c r="G3267" s="4">
        <v>15</v>
      </c>
      <c r="H3267" s="4" t="s">
        <v>12</v>
      </c>
      <c r="I3267" s="4" t="s">
        <v>69</v>
      </c>
      <c r="J3267" s="4" t="s">
        <v>73</v>
      </c>
      <c r="K3267" s="4">
        <v>1</v>
      </c>
      <c r="L3267" s="94">
        <v>-26792</v>
      </c>
      <c r="M3267" s="94">
        <v>0</v>
      </c>
    </row>
    <row r="3268" spans="3:13" x14ac:dyDescent="0.3">
      <c r="C3268" t="s">
        <v>71</v>
      </c>
      <c r="D3268" t="s">
        <v>62</v>
      </c>
      <c r="E3268" t="s">
        <v>63</v>
      </c>
      <c r="F3268" t="s">
        <v>24</v>
      </c>
      <c r="G3268" s="4">
        <v>19</v>
      </c>
      <c r="I3268" s="4" t="s">
        <v>69</v>
      </c>
      <c r="J3268" s="4" t="s">
        <v>66</v>
      </c>
      <c r="K3268" s="4">
        <v>1</v>
      </c>
      <c r="L3268" s="94">
        <v>-52171</v>
      </c>
      <c r="M3268" s="94">
        <v>0</v>
      </c>
    </row>
    <row r="3269" spans="3:13" x14ac:dyDescent="0.3">
      <c r="C3269" t="s">
        <v>71</v>
      </c>
      <c r="D3269" t="s">
        <v>67</v>
      </c>
      <c r="E3269" t="s">
        <v>68</v>
      </c>
      <c r="F3269" t="s">
        <v>26</v>
      </c>
      <c r="G3269" s="4">
        <v>0</v>
      </c>
      <c r="H3269" s="4" t="s">
        <v>18</v>
      </c>
      <c r="I3269" s="4" t="s">
        <v>65</v>
      </c>
      <c r="J3269" s="4" t="s">
        <v>66</v>
      </c>
      <c r="K3269" s="4">
        <v>1</v>
      </c>
      <c r="L3269" s="94">
        <v>33034</v>
      </c>
      <c r="M3269" s="94">
        <v>0</v>
      </c>
    </row>
    <row r="3270" spans="3:13" x14ac:dyDescent="0.3">
      <c r="C3270" t="s">
        <v>61</v>
      </c>
      <c r="D3270" t="s">
        <v>67</v>
      </c>
      <c r="E3270" t="s">
        <v>68</v>
      </c>
      <c r="F3270" t="s">
        <v>72</v>
      </c>
      <c r="G3270" s="4">
        <v>2</v>
      </c>
      <c r="H3270" s="4" t="s">
        <v>79</v>
      </c>
      <c r="I3270" s="4" t="s">
        <v>69</v>
      </c>
      <c r="J3270" s="4" t="s">
        <v>66</v>
      </c>
      <c r="K3270" s="4">
        <v>0</v>
      </c>
      <c r="L3270" s="94">
        <v>3369145</v>
      </c>
      <c r="M3270" s="94">
        <v>6738290</v>
      </c>
    </row>
    <row r="3271" spans="3:13" x14ac:dyDescent="0.3">
      <c r="C3271" t="s">
        <v>61</v>
      </c>
      <c r="D3271" t="s">
        <v>67</v>
      </c>
      <c r="E3271" t="s">
        <v>63</v>
      </c>
      <c r="F3271" t="s">
        <v>25</v>
      </c>
      <c r="G3271" s="4">
        <v>1</v>
      </c>
      <c r="H3271" s="4" t="s">
        <v>12</v>
      </c>
      <c r="I3271" s="4" t="s">
        <v>69</v>
      </c>
      <c r="J3271" s="4" t="s">
        <v>66</v>
      </c>
      <c r="K3271" s="4">
        <v>1</v>
      </c>
      <c r="L3271" s="94">
        <v>-1874</v>
      </c>
      <c r="M3271" s="94">
        <v>0</v>
      </c>
    </row>
    <row r="3272" spans="3:13" x14ac:dyDescent="0.3">
      <c r="C3272" t="s">
        <v>70</v>
      </c>
      <c r="D3272" t="s">
        <v>62</v>
      </c>
      <c r="E3272" t="s">
        <v>68</v>
      </c>
      <c r="F3272" t="s">
        <v>24</v>
      </c>
      <c r="G3272" s="4">
        <v>18</v>
      </c>
      <c r="I3272" s="4" t="s">
        <v>69</v>
      </c>
      <c r="J3272" s="4" t="s">
        <v>66</v>
      </c>
      <c r="K3272" s="4">
        <v>0</v>
      </c>
      <c r="L3272" s="94">
        <v>34377923</v>
      </c>
      <c r="M3272" s="94">
        <v>618802614</v>
      </c>
    </row>
    <row r="3273" spans="3:13" x14ac:dyDescent="0.3">
      <c r="C3273" t="s">
        <v>61</v>
      </c>
      <c r="D3273" t="s">
        <v>67</v>
      </c>
      <c r="E3273" t="s">
        <v>63</v>
      </c>
      <c r="F3273" t="s">
        <v>25</v>
      </c>
      <c r="G3273" s="4">
        <v>8</v>
      </c>
      <c r="H3273" s="4" t="s">
        <v>17</v>
      </c>
      <c r="I3273" s="4" t="s">
        <v>69</v>
      </c>
      <c r="J3273" s="4" t="s">
        <v>66</v>
      </c>
      <c r="K3273" s="4">
        <v>1</v>
      </c>
      <c r="L3273" s="94">
        <v>-1095</v>
      </c>
      <c r="M3273" s="94">
        <v>0</v>
      </c>
    </row>
    <row r="3274" spans="3:13" x14ac:dyDescent="0.3">
      <c r="C3274" t="s">
        <v>61</v>
      </c>
      <c r="D3274" t="s">
        <v>67</v>
      </c>
      <c r="E3274" t="s">
        <v>68</v>
      </c>
      <c r="F3274" t="s">
        <v>25</v>
      </c>
      <c r="G3274" s="4">
        <v>15</v>
      </c>
      <c r="H3274" s="4" t="s">
        <v>18</v>
      </c>
      <c r="I3274" s="4" t="s">
        <v>69</v>
      </c>
      <c r="J3274" s="4" t="s">
        <v>66</v>
      </c>
      <c r="K3274" s="4">
        <v>1</v>
      </c>
      <c r="L3274" s="94">
        <v>318554</v>
      </c>
      <c r="M3274" s="94">
        <v>4778310</v>
      </c>
    </row>
    <row r="3275" spans="3:13" x14ac:dyDescent="0.3">
      <c r="C3275" t="s">
        <v>61</v>
      </c>
      <c r="D3275" t="s">
        <v>67</v>
      </c>
      <c r="E3275" t="s">
        <v>63</v>
      </c>
      <c r="F3275" t="s">
        <v>26</v>
      </c>
      <c r="G3275" s="4">
        <v>10</v>
      </c>
      <c r="H3275" s="4" t="s">
        <v>83</v>
      </c>
      <c r="I3275" s="4" t="s">
        <v>69</v>
      </c>
      <c r="J3275" s="4" t="s">
        <v>66</v>
      </c>
      <c r="K3275" s="4">
        <v>0</v>
      </c>
      <c r="L3275" s="94">
        <v>-48953</v>
      </c>
      <c r="M3275" s="94">
        <v>0</v>
      </c>
    </row>
    <row r="3276" spans="3:13" x14ac:dyDescent="0.3">
      <c r="C3276" t="s">
        <v>71</v>
      </c>
      <c r="D3276" t="s">
        <v>67</v>
      </c>
      <c r="E3276" t="s">
        <v>68</v>
      </c>
      <c r="F3276" t="s">
        <v>25</v>
      </c>
      <c r="G3276" s="4">
        <v>4</v>
      </c>
      <c r="H3276" s="4" t="s">
        <v>75</v>
      </c>
      <c r="I3276" s="4" t="s">
        <v>65</v>
      </c>
      <c r="J3276" s="4" t="s">
        <v>66</v>
      </c>
      <c r="K3276" s="4">
        <v>1</v>
      </c>
      <c r="L3276" s="94">
        <v>67507</v>
      </c>
      <c r="M3276" s="94">
        <v>270028</v>
      </c>
    </row>
    <row r="3277" spans="3:13" x14ac:dyDescent="0.3">
      <c r="C3277" t="s">
        <v>70</v>
      </c>
      <c r="D3277" t="s">
        <v>67</v>
      </c>
      <c r="E3277" t="s">
        <v>68</v>
      </c>
      <c r="F3277" t="s">
        <v>26</v>
      </c>
      <c r="G3277" s="4">
        <v>3</v>
      </c>
      <c r="H3277" s="4" t="s">
        <v>75</v>
      </c>
      <c r="I3277" s="4" t="s">
        <v>69</v>
      </c>
      <c r="J3277" s="4" t="s">
        <v>66</v>
      </c>
      <c r="K3277" s="4">
        <v>0</v>
      </c>
      <c r="L3277" s="94">
        <v>5565898</v>
      </c>
      <c r="M3277" s="94">
        <v>16697694</v>
      </c>
    </row>
    <row r="3278" spans="3:13" x14ac:dyDescent="0.3">
      <c r="C3278" t="s">
        <v>70</v>
      </c>
      <c r="D3278" t="s">
        <v>62</v>
      </c>
      <c r="E3278" t="s">
        <v>63</v>
      </c>
      <c r="F3278" t="s">
        <v>25</v>
      </c>
      <c r="G3278" s="4">
        <v>9</v>
      </c>
      <c r="I3278" s="4" t="s">
        <v>69</v>
      </c>
      <c r="J3278" s="4" t="s">
        <v>66</v>
      </c>
      <c r="K3278" s="4">
        <v>1</v>
      </c>
      <c r="L3278" s="94">
        <v>-3505</v>
      </c>
      <c r="M3278" s="94">
        <v>0</v>
      </c>
    </row>
    <row r="3279" spans="3:13" x14ac:dyDescent="0.3">
      <c r="C3279" t="s">
        <v>70</v>
      </c>
      <c r="D3279" t="s">
        <v>67</v>
      </c>
      <c r="E3279" t="s">
        <v>63</v>
      </c>
      <c r="F3279" t="s">
        <v>72</v>
      </c>
      <c r="G3279" s="4">
        <v>3</v>
      </c>
      <c r="H3279" s="4" t="s">
        <v>64</v>
      </c>
      <c r="I3279" s="4" t="s">
        <v>69</v>
      </c>
      <c r="J3279" s="4" t="s">
        <v>66</v>
      </c>
      <c r="K3279" s="4">
        <v>0</v>
      </c>
      <c r="L3279" s="94">
        <v>-34308</v>
      </c>
      <c r="M3279" s="94">
        <v>0</v>
      </c>
    </row>
    <row r="3280" spans="3:13" x14ac:dyDescent="0.3">
      <c r="C3280" t="s">
        <v>71</v>
      </c>
      <c r="D3280" t="s">
        <v>67</v>
      </c>
      <c r="E3280" t="s">
        <v>68</v>
      </c>
      <c r="F3280" t="s">
        <v>25</v>
      </c>
      <c r="G3280" s="4">
        <v>-4</v>
      </c>
      <c r="H3280" s="4" t="s">
        <v>77</v>
      </c>
      <c r="I3280" s="4" t="s">
        <v>69</v>
      </c>
      <c r="J3280" s="4" t="s">
        <v>66</v>
      </c>
      <c r="K3280" s="4">
        <v>0</v>
      </c>
      <c r="L3280" s="94">
        <v>54484</v>
      </c>
      <c r="M3280" s="94">
        <v>0</v>
      </c>
    </row>
    <row r="3281" spans="3:13" x14ac:dyDescent="0.3">
      <c r="C3281" t="s">
        <v>70</v>
      </c>
      <c r="D3281" t="s">
        <v>62</v>
      </c>
      <c r="E3281" t="s">
        <v>68</v>
      </c>
      <c r="F3281" t="s">
        <v>24</v>
      </c>
      <c r="G3281" s="4">
        <v>50</v>
      </c>
      <c r="I3281" s="4" t="s">
        <v>69</v>
      </c>
      <c r="J3281" s="4" t="s">
        <v>66</v>
      </c>
      <c r="K3281" s="4">
        <v>0</v>
      </c>
      <c r="L3281" s="94">
        <v>59102</v>
      </c>
      <c r="M3281" s="94">
        <v>2955100</v>
      </c>
    </row>
    <row r="3282" spans="3:13" x14ac:dyDescent="0.3">
      <c r="C3282" t="s">
        <v>70</v>
      </c>
      <c r="D3282" t="s">
        <v>62</v>
      </c>
      <c r="E3282" t="s">
        <v>63</v>
      </c>
      <c r="F3282" t="s">
        <v>25</v>
      </c>
      <c r="G3282" s="4">
        <v>23</v>
      </c>
      <c r="I3282" s="4" t="s">
        <v>69</v>
      </c>
      <c r="J3282" s="4" t="s">
        <v>66</v>
      </c>
      <c r="K3282" s="4">
        <v>0</v>
      </c>
      <c r="L3282" s="94">
        <v>-5818</v>
      </c>
      <c r="M3282" s="94">
        <v>0</v>
      </c>
    </row>
    <row r="3283" spans="3:13" x14ac:dyDescent="0.3">
      <c r="C3283" t="s">
        <v>71</v>
      </c>
      <c r="D3283" t="s">
        <v>62</v>
      </c>
      <c r="E3283" t="s">
        <v>68</v>
      </c>
      <c r="F3283" t="s">
        <v>24</v>
      </c>
      <c r="G3283" s="4">
        <v>35</v>
      </c>
      <c r="I3283" s="4" t="s">
        <v>65</v>
      </c>
      <c r="J3283" s="4" t="s">
        <v>66</v>
      </c>
      <c r="K3283" s="4">
        <v>1</v>
      </c>
      <c r="L3283" s="94">
        <v>307689</v>
      </c>
      <c r="M3283" s="94">
        <v>10769115</v>
      </c>
    </row>
    <row r="3284" spans="3:13" x14ac:dyDescent="0.3">
      <c r="C3284" t="s">
        <v>61</v>
      </c>
      <c r="D3284" t="s">
        <v>67</v>
      </c>
      <c r="E3284" t="s">
        <v>68</v>
      </c>
      <c r="F3284" t="s">
        <v>25</v>
      </c>
      <c r="G3284" s="4">
        <v>2</v>
      </c>
      <c r="H3284" s="4" t="s">
        <v>76</v>
      </c>
      <c r="I3284" s="4" t="s">
        <v>69</v>
      </c>
      <c r="J3284" s="4" t="s">
        <v>66</v>
      </c>
      <c r="K3284" s="4">
        <v>0</v>
      </c>
      <c r="L3284" s="94">
        <v>51765437</v>
      </c>
      <c r="M3284" s="94">
        <v>103530874</v>
      </c>
    </row>
    <row r="3285" spans="3:13" x14ac:dyDescent="0.3">
      <c r="C3285" t="s">
        <v>71</v>
      </c>
      <c r="D3285" t="s">
        <v>84</v>
      </c>
      <c r="E3285" t="s">
        <v>63</v>
      </c>
      <c r="F3285" t="s">
        <v>25</v>
      </c>
      <c r="G3285" s="4">
        <v>-4</v>
      </c>
      <c r="H3285" s="4" t="s">
        <v>81</v>
      </c>
      <c r="I3285" s="4" t="s">
        <v>69</v>
      </c>
      <c r="J3285" s="4" t="s">
        <v>66</v>
      </c>
      <c r="K3285" s="4">
        <v>0</v>
      </c>
      <c r="L3285" s="94">
        <v>-210953</v>
      </c>
      <c r="M3285" s="94">
        <v>0</v>
      </c>
    </row>
    <row r="3286" spans="3:13" x14ac:dyDescent="0.3">
      <c r="C3286" t="s">
        <v>61</v>
      </c>
      <c r="D3286" t="s">
        <v>67</v>
      </c>
      <c r="E3286" t="s">
        <v>63</v>
      </c>
      <c r="F3286" t="s">
        <v>72</v>
      </c>
      <c r="G3286" s="4">
        <v>4</v>
      </c>
      <c r="H3286" s="4" t="s">
        <v>78</v>
      </c>
      <c r="I3286" s="4" t="s">
        <v>69</v>
      </c>
      <c r="J3286" s="4" t="s">
        <v>66</v>
      </c>
      <c r="K3286" s="4">
        <v>0</v>
      </c>
      <c r="L3286" s="94">
        <v>-1413</v>
      </c>
      <c r="M3286" s="94">
        <v>0</v>
      </c>
    </row>
    <row r="3287" spans="3:13" x14ac:dyDescent="0.3">
      <c r="C3287" t="s">
        <v>70</v>
      </c>
      <c r="D3287" t="s">
        <v>67</v>
      </c>
      <c r="E3287" t="s">
        <v>63</v>
      </c>
      <c r="F3287" t="s">
        <v>26</v>
      </c>
      <c r="G3287" s="4">
        <v>14</v>
      </c>
      <c r="H3287" s="4" t="s">
        <v>76</v>
      </c>
      <c r="I3287" s="4" t="s">
        <v>69</v>
      </c>
      <c r="J3287" s="4" t="s">
        <v>66</v>
      </c>
      <c r="K3287" s="4">
        <v>0</v>
      </c>
      <c r="L3287" s="94">
        <v>-11322</v>
      </c>
      <c r="M3287" s="94">
        <v>0</v>
      </c>
    </row>
    <row r="3288" spans="3:13" x14ac:dyDescent="0.3">
      <c r="C3288" t="s">
        <v>61</v>
      </c>
      <c r="D3288" t="s">
        <v>62</v>
      </c>
      <c r="E3288" t="s">
        <v>63</v>
      </c>
      <c r="F3288" t="s">
        <v>24</v>
      </c>
      <c r="G3288" s="4">
        <v>27</v>
      </c>
      <c r="I3288" s="4" t="s">
        <v>69</v>
      </c>
      <c r="J3288" s="4" t="s">
        <v>66</v>
      </c>
      <c r="K3288" s="4">
        <v>1</v>
      </c>
      <c r="L3288" s="94">
        <v>-676</v>
      </c>
      <c r="M3288" s="94">
        <v>0</v>
      </c>
    </row>
    <row r="3289" spans="3:13" x14ac:dyDescent="0.3">
      <c r="C3289" t="s">
        <v>70</v>
      </c>
      <c r="D3289" t="s">
        <v>67</v>
      </c>
      <c r="E3289" t="s">
        <v>63</v>
      </c>
      <c r="F3289" t="s">
        <v>26</v>
      </c>
      <c r="G3289" s="4">
        <v>2</v>
      </c>
      <c r="H3289" s="4" t="s">
        <v>16</v>
      </c>
      <c r="I3289" s="4" t="s">
        <v>69</v>
      </c>
      <c r="J3289" s="4" t="s">
        <v>66</v>
      </c>
      <c r="K3289" s="4">
        <v>0</v>
      </c>
      <c r="L3289" s="94">
        <v>-15972</v>
      </c>
      <c r="M3289" s="94">
        <v>0</v>
      </c>
    </row>
    <row r="3290" spans="3:13" x14ac:dyDescent="0.3">
      <c r="C3290" t="s">
        <v>70</v>
      </c>
      <c r="D3290" t="s">
        <v>67</v>
      </c>
      <c r="E3290" t="s">
        <v>68</v>
      </c>
      <c r="F3290" t="s">
        <v>72</v>
      </c>
      <c r="G3290" s="4">
        <v>1</v>
      </c>
      <c r="H3290" s="4" t="s">
        <v>75</v>
      </c>
      <c r="I3290" s="4" t="s">
        <v>69</v>
      </c>
      <c r="J3290" s="4" t="s">
        <v>66</v>
      </c>
      <c r="K3290" s="4">
        <v>0</v>
      </c>
      <c r="L3290" s="94">
        <v>35405</v>
      </c>
      <c r="M3290" s="94">
        <v>35405</v>
      </c>
    </row>
    <row r="3291" spans="3:13" x14ac:dyDescent="0.3">
      <c r="C3291" t="s">
        <v>61</v>
      </c>
      <c r="D3291" t="s">
        <v>62</v>
      </c>
      <c r="E3291" t="s">
        <v>68</v>
      </c>
      <c r="F3291" t="s">
        <v>24</v>
      </c>
      <c r="G3291" s="4">
        <v>30</v>
      </c>
      <c r="I3291" s="4" t="s">
        <v>69</v>
      </c>
      <c r="J3291" s="4" t="s">
        <v>66</v>
      </c>
      <c r="K3291" s="4">
        <v>1</v>
      </c>
      <c r="L3291" s="94">
        <v>2794077</v>
      </c>
      <c r="M3291" s="94">
        <v>83822310</v>
      </c>
    </row>
    <row r="3292" spans="3:13" x14ac:dyDescent="0.3">
      <c r="C3292" t="s">
        <v>71</v>
      </c>
      <c r="D3292" t="s">
        <v>67</v>
      </c>
      <c r="E3292" t="s">
        <v>63</v>
      </c>
      <c r="F3292" t="s">
        <v>26</v>
      </c>
      <c r="G3292" s="4">
        <v>1</v>
      </c>
      <c r="H3292" s="4" t="s">
        <v>12</v>
      </c>
      <c r="I3292" s="4" t="s">
        <v>69</v>
      </c>
      <c r="J3292" s="4" t="s">
        <v>73</v>
      </c>
      <c r="K3292" s="4">
        <v>1</v>
      </c>
      <c r="L3292" s="94">
        <v>-236201</v>
      </c>
      <c r="M3292" s="94">
        <v>0</v>
      </c>
    </row>
    <row r="3293" spans="3:13" x14ac:dyDescent="0.3">
      <c r="C3293" t="s">
        <v>61</v>
      </c>
      <c r="D3293" t="s">
        <v>67</v>
      </c>
      <c r="E3293" t="s">
        <v>68</v>
      </c>
      <c r="F3293" t="s">
        <v>72</v>
      </c>
      <c r="G3293" s="4">
        <v>6</v>
      </c>
      <c r="H3293" s="4" t="s">
        <v>14</v>
      </c>
      <c r="I3293" s="4" t="s">
        <v>69</v>
      </c>
      <c r="J3293" s="4" t="s">
        <v>73</v>
      </c>
      <c r="K3293" s="4">
        <v>1</v>
      </c>
      <c r="L3293" s="94">
        <v>549475</v>
      </c>
      <c r="M3293" s="94">
        <v>3296850</v>
      </c>
    </row>
    <row r="3294" spans="3:13" x14ac:dyDescent="0.3">
      <c r="C3294" t="s">
        <v>61</v>
      </c>
      <c r="D3294" t="s">
        <v>67</v>
      </c>
      <c r="E3294" t="s">
        <v>63</v>
      </c>
      <c r="F3294" t="s">
        <v>25</v>
      </c>
      <c r="G3294" s="4">
        <v>9</v>
      </c>
      <c r="H3294" s="4" t="s">
        <v>80</v>
      </c>
      <c r="I3294" s="4" t="s">
        <v>69</v>
      </c>
      <c r="J3294" s="4" t="s">
        <v>66</v>
      </c>
      <c r="K3294" s="4">
        <v>0</v>
      </c>
      <c r="L3294" s="94">
        <v>-779</v>
      </c>
      <c r="M3294" s="94">
        <v>0</v>
      </c>
    </row>
    <row r="3295" spans="3:13" x14ac:dyDescent="0.3">
      <c r="C3295" t="s">
        <v>70</v>
      </c>
      <c r="D3295" t="s">
        <v>67</v>
      </c>
      <c r="E3295" t="s">
        <v>63</v>
      </c>
      <c r="F3295" t="s">
        <v>25</v>
      </c>
      <c r="G3295" s="4">
        <v>9</v>
      </c>
      <c r="H3295" s="4" t="s">
        <v>83</v>
      </c>
      <c r="I3295" s="4" t="s">
        <v>69</v>
      </c>
      <c r="J3295" s="4" t="s">
        <v>66</v>
      </c>
      <c r="K3295" s="4">
        <v>0</v>
      </c>
      <c r="L3295" s="94">
        <v>-9625</v>
      </c>
      <c r="M3295" s="94">
        <v>0</v>
      </c>
    </row>
    <row r="3296" spans="3:13" x14ac:dyDescent="0.3">
      <c r="C3296" t="s">
        <v>70</v>
      </c>
      <c r="D3296" t="s">
        <v>67</v>
      </c>
      <c r="E3296" t="s">
        <v>68</v>
      </c>
      <c r="F3296" t="s">
        <v>72</v>
      </c>
      <c r="G3296" s="4">
        <v>2</v>
      </c>
      <c r="H3296" s="4" t="s">
        <v>17</v>
      </c>
      <c r="I3296" s="4" t="s">
        <v>69</v>
      </c>
      <c r="J3296" s="4" t="s">
        <v>73</v>
      </c>
      <c r="K3296" s="4">
        <v>1</v>
      </c>
      <c r="L3296" s="94">
        <v>9684</v>
      </c>
      <c r="M3296" s="94">
        <v>19368</v>
      </c>
    </row>
    <row r="3297" spans="3:13" x14ac:dyDescent="0.3">
      <c r="C3297" t="s">
        <v>71</v>
      </c>
      <c r="D3297" t="s">
        <v>67</v>
      </c>
      <c r="E3297" t="s">
        <v>63</v>
      </c>
      <c r="F3297" t="s">
        <v>26</v>
      </c>
      <c r="G3297" s="4">
        <v>1</v>
      </c>
      <c r="H3297" s="4" t="s">
        <v>17</v>
      </c>
      <c r="I3297" s="4" t="s">
        <v>65</v>
      </c>
      <c r="J3297" s="4" t="s">
        <v>66</v>
      </c>
      <c r="K3297" s="4">
        <v>1</v>
      </c>
      <c r="L3297" s="94">
        <v>-22169</v>
      </c>
      <c r="M3297" s="94">
        <v>0</v>
      </c>
    </row>
    <row r="3298" spans="3:13" x14ac:dyDescent="0.3">
      <c r="C3298" t="s">
        <v>70</v>
      </c>
      <c r="D3298" t="s">
        <v>67</v>
      </c>
      <c r="E3298" t="s">
        <v>63</v>
      </c>
      <c r="F3298" t="s">
        <v>26</v>
      </c>
      <c r="G3298" s="4">
        <v>5</v>
      </c>
      <c r="H3298" s="4" t="s">
        <v>18</v>
      </c>
      <c r="I3298" s="4" t="s">
        <v>69</v>
      </c>
      <c r="J3298" s="4" t="s">
        <v>73</v>
      </c>
      <c r="K3298" s="4">
        <v>1</v>
      </c>
      <c r="L3298" s="94">
        <v>-50363</v>
      </c>
      <c r="M3298" s="94">
        <v>0</v>
      </c>
    </row>
    <row r="3299" spans="3:13" x14ac:dyDescent="0.3">
      <c r="C3299" t="s">
        <v>61</v>
      </c>
      <c r="D3299" t="s">
        <v>67</v>
      </c>
      <c r="E3299" t="s">
        <v>63</v>
      </c>
      <c r="F3299" t="s">
        <v>26</v>
      </c>
      <c r="G3299" s="4">
        <v>5</v>
      </c>
      <c r="H3299" s="4" t="s">
        <v>80</v>
      </c>
      <c r="I3299" s="4" t="s">
        <v>69</v>
      </c>
      <c r="J3299" s="4" t="s">
        <v>66</v>
      </c>
      <c r="K3299" s="4">
        <v>0</v>
      </c>
      <c r="L3299" s="94">
        <v>-385</v>
      </c>
      <c r="M3299" s="94">
        <v>0</v>
      </c>
    </row>
    <row r="3300" spans="3:13" x14ac:dyDescent="0.3">
      <c r="C3300" t="s">
        <v>70</v>
      </c>
      <c r="D3300" t="s">
        <v>67</v>
      </c>
      <c r="E3300" t="s">
        <v>68</v>
      </c>
      <c r="F3300" t="s">
        <v>25</v>
      </c>
      <c r="G3300" s="4">
        <v>7</v>
      </c>
      <c r="H3300" s="4" t="s">
        <v>64</v>
      </c>
      <c r="I3300" s="4" t="s">
        <v>69</v>
      </c>
      <c r="J3300" s="4" t="s">
        <v>66</v>
      </c>
      <c r="K3300" s="4">
        <v>0</v>
      </c>
      <c r="L3300" s="94">
        <v>3127206</v>
      </c>
      <c r="M3300" s="94">
        <v>21890442</v>
      </c>
    </row>
    <row r="3301" spans="3:13" x14ac:dyDescent="0.3">
      <c r="C3301" t="s">
        <v>61</v>
      </c>
      <c r="D3301" t="s">
        <v>67</v>
      </c>
      <c r="E3301" t="s">
        <v>63</v>
      </c>
      <c r="F3301" t="s">
        <v>25</v>
      </c>
      <c r="G3301" s="4">
        <v>15</v>
      </c>
      <c r="H3301" s="4" t="s">
        <v>14</v>
      </c>
      <c r="I3301" s="4" t="s">
        <v>69</v>
      </c>
      <c r="J3301" s="4" t="s">
        <v>66</v>
      </c>
      <c r="K3301" s="4">
        <v>1</v>
      </c>
      <c r="L3301" s="94">
        <v>-6693</v>
      </c>
      <c r="M3301" s="94">
        <v>0</v>
      </c>
    </row>
    <row r="3302" spans="3:13" x14ac:dyDescent="0.3">
      <c r="C3302" t="s">
        <v>71</v>
      </c>
      <c r="D3302" t="s">
        <v>67</v>
      </c>
      <c r="E3302" t="s">
        <v>63</v>
      </c>
      <c r="F3302" t="s">
        <v>25</v>
      </c>
      <c r="G3302" s="4">
        <v>9</v>
      </c>
      <c r="H3302" s="4" t="s">
        <v>74</v>
      </c>
      <c r="I3302" s="4" t="s">
        <v>69</v>
      </c>
      <c r="J3302" s="4" t="s">
        <v>66</v>
      </c>
      <c r="K3302" s="4">
        <v>0</v>
      </c>
      <c r="L3302" s="94">
        <v>-486861</v>
      </c>
      <c r="M3302" s="94">
        <v>0</v>
      </c>
    </row>
    <row r="3303" spans="3:13" x14ac:dyDescent="0.3">
      <c r="C3303" t="s">
        <v>61</v>
      </c>
      <c r="D3303" t="s">
        <v>62</v>
      </c>
      <c r="E3303" t="s">
        <v>63</v>
      </c>
      <c r="F3303" t="s">
        <v>24</v>
      </c>
      <c r="G3303" s="4">
        <v>3</v>
      </c>
      <c r="I3303" s="4" t="s">
        <v>69</v>
      </c>
      <c r="J3303" s="4" t="s">
        <v>66</v>
      </c>
      <c r="K3303" s="4">
        <v>0</v>
      </c>
      <c r="L3303" s="94">
        <v>-10878</v>
      </c>
      <c r="M3303" s="94">
        <v>0</v>
      </c>
    </row>
    <row r="3304" spans="3:13" x14ac:dyDescent="0.3">
      <c r="C3304" t="s">
        <v>61</v>
      </c>
      <c r="D3304" t="s">
        <v>67</v>
      </c>
      <c r="E3304" t="s">
        <v>63</v>
      </c>
      <c r="F3304" t="s">
        <v>26</v>
      </c>
      <c r="G3304" s="4">
        <v>10</v>
      </c>
      <c r="H3304" s="4" t="s">
        <v>82</v>
      </c>
      <c r="I3304" s="4" t="s">
        <v>69</v>
      </c>
      <c r="J3304" s="4" t="s">
        <v>66</v>
      </c>
      <c r="K3304" s="4">
        <v>0</v>
      </c>
      <c r="L3304" s="94">
        <v>-1047</v>
      </c>
      <c r="M3304" s="94">
        <v>0</v>
      </c>
    </row>
    <row r="3305" spans="3:13" x14ac:dyDescent="0.3">
      <c r="C3305" t="s">
        <v>61</v>
      </c>
      <c r="D3305" t="s">
        <v>67</v>
      </c>
      <c r="E3305" t="s">
        <v>68</v>
      </c>
      <c r="F3305" t="s">
        <v>72</v>
      </c>
      <c r="G3305" s="4">
        <v>1</v>
      </c>
      <c r="H3305" s="4" t="s">
        <v>12</v>
      </c>
      <c r="I3305" s="4" t="s">
        <v>69</v>
      </c>
      <c r="J3305" s="4" t="s">
        <v>73</v>
      </c>
      <c r="K3305" s="4">
        <v>1</v>
      </c>
      <c r="L3305" s="94">
        <v>1240501</v>
      </c>
      <c r="M3305" s="94">
        <v>1240501</v>
      </c>
    </row>
    <row r="3306" spans="3:13" x14ac:dyDescent="0.3">
      <c r="C3306" t="s">
        <v>70</v>
      </c>
      <c r="D3306" t="s">
        <v>67</v>
      </c>
      <c r="E3306" t="s">
        <v>68</v>
      </c>
      <c r="F3306" t="s">
        <v>72</v>
      </c>
      <c r="G3306" s="4">
        <v>6</v>
      </c>
      <c r="H3306" s="4" t="s">
        <v>64</v>
      </c>
      <c r="I3306" s="4" t="s">
        <v>69</v>
      </c>
      <c r="J3306" s="4" t="s">
        <v>66</v>
      </c>
      <c r="K3306" s="4">
        <v>0</v>
      </c>
      <c r="L3306" s="94">
        <v>131372</v>
      </c>
      <c r="M3306" s="94">
        <v>788232</v>
      </c>
    </row>
    <row r="3307" spans="3:13" x14ac:dyDescent="0.3">
      <c r="C3307" t="s">
        <v>61</v>
      </c>
      <c r="D3307" t="s">
        <v>62</v>
      </c>
      <c r="E3307" t="s">
        <v>68</v>
      </c>
      <c r="F3307" t="s">
        <v>24</v>
      </c>
      <c r="G3307" s="4">
        <v>5</v>
      </c>
      <c r="I3307" s="4" t="s">
        <v>69</v>
      </c>
      <c r="J3307" s="4" t="s">
        <v>66</v>
      </c>
      <c r="K3307" s="4">
        <v>1</v>
      </c>
      <c r="L3307" s="94">
        <v>499532</v>
      </c>
      <c r="M3307" s="94">
        <v>2497660</v>
      </c>
    </row>
    <row r="3308" spans="3:13" x14ac:dyDescent="0.3">
      <c r="C3308" t="s">
        <v>61</v>
      </c>
      <c r="D3308" t="s">
        <v>62</v>
      </c>
      <c r="E3308" t="s">
        <v>63</v>
      </c>
      <c r="F3308" t="s">
        <v>24</v>
      </c>
      <c r="G3308" s="4">
        <v>31</v>
      </c>
      <c r="I3308" s="4" t="s">
        <v>69</v>
      </c>
      <c r="J3308" s="4" t="s">
        <v>66</v>
      </c>
      <c r="K3308" s="4">
        <v>1</v>
      </c>
      <c r="L3308" s="94">
        <v>-2062</v>
      </c>
      <c r="M3308" s="94">
        <v>0</v>
      </c>
    </row>
    <row r="3309" spans="3:13" x14ac:dyDescent="0.3">
      <c r="C3309" t="s">
        <v>61</v>
      </c>
      <c r="D3309" t="s">
        <v>67</v>
      </c>
      <c r="E3309" t="s">
        <v>68</v>
      </c>
      <c r="F3309" t="s">
        <v>26</v>
      </c>
      <c r="G3309" s="4">
        <v>1</v>
      </c>
      <c r="H3309" s="4" t="s">
        <v>17</v>
      </c>
      <c r="I3309" s="4" t="s">
        <v>69</v>
      </c>
      <c r="J3309" s="4" t="s">
        <v>66</v>
      </c>
      <c r="K3309" s="4">
        <v>0</v>
      </c>
      <c r="L3309" s="94">
        <v>36123841</v>
      </c>
      <c r="M3309" s="94">
        <v>36123841</v>
      </c>
    </row>
    <row r="3310" spans="3:13" x14ac:dyDescent="0.3">
      <c r="C3310" t="s">
        <v>61</v>
      </c>
      <c r="D3310" t="s">
        <v>67</v>
      </c>
      <c r="E3310" t="s">
        <v>63</v>
      </c>
      <c r="F3310" t="s">
        <v>26</v>
      </c>
      <c r="G3310" s="4">
        <v>8</v>
      </c>
      <c r="H3310" s="4" t="s">
        <v>12</v>
      </c>
      <c r="I3310" s="4" t="s">
        <v>69</v>
      </c>
      <c r="J3310" s="4" t="s">
        <v>73</v>
      </c>
      <c r="K3310" s="4">
        <v>1</v>
      </c>
      <c r="L3310" s="94">
        <v>-5846</v>
      </c>
      <c r="M3310" s="94">
        <v>0</v>
      </c>
    </row>
    <row r="3311" spans="3:13" x14ac:dyDescent="0.3">
      <c r="C3311" t="s">
        <v>61</v>
      </c>
      <c r="D3311" t="s">
        <v>67</v>
      </c>
      <c r="E3311" t="s">
        <v>68</v>
      </c>
      <c r="F3311" t="s">
        <v>25</v>
      </c>
      <c r="G3311" s="4">
        <v>4</v>
      </c>
      <c r="H3311" s="4" t="s">
        <v>76</v>
      </c>
      <c r="I3311" s="4" t="s">
        <v>69</v>
      </c>
      <c r="J3311" s="4" t="s">
        <v>66</v>
      </c>
      <c r="K3311" s="4">
        <v>0</v>
      </c>
      <c r="L3311" s="94">
        <v>10460463</v>
      </c>
      <c r="M3311" s="94">
        <v>41841852</v>
      </c>
    </row>
    <row r="3312" spans="3:13" x14ac:dyDescent="0.3">
      <c r="C3312" t="s">
        <v>70</v>
      </c>
      <c r="D3312" t="s">
        <v>67</v>
      </c>
      <c r="E3312" t="s">
        <v>68</v>
      </c>
      <c r="F3312" t="s">
        <v>26</v>
      </c>
      <c r="G3312" s="4">
        <v>-1</v>
      </c>
      <c r="H3312" s="4" t="s">
        <v>89</v>
      </c>
      <c r="I3312" s="4" t="s">
        <v>69</v>
      </c>
      <c r="J3312" s="4" t="s">
        <v>66</v>
      </c>
      <c r="K3312" s="4">
        <v>0</v>
      </c>
      <c r="L3312" s="94">
        <v>13</v>
      </c>
      <c r="M3312" s="94">
        <v>0</v>
      </c>
    </row>
    <row r="3313" spans="3:13" x14ac:dyDescent="0.3">
      <c r="C3313" t="s">
        <v>61</v>
      </c>
      <c r="D3313" t="s">
        <v>62</v>
      </c>
      <c r="E3313" t="s">
        <v>68</v>
      </c>
      <c r="F3313" t="s">
        <v>24</v>
      </c>
      <c r="G3313" s="4">
        <v>14</v>
      </c>
      <c r="I3313" s="4" t="s">
        <v>69</v>
      </c>
      <c r="J3313" s="4" t="s">
        <v>66</v>
      </c>
      <c r="K3313" s="4">
        <v>0</v>
      </c>
      <c r="L3313" s="94">
        <v>269135226</v>
      </c>
      <c r="M3313" s="94">
        <v>3767893164</v>
      </c>
    </row>
    <row r="3314" spans="3:13" x14ac:dyDescent="0.3">
      <c r="C3314" t="s">
        <v>70</v>
      </c>
      <c r="D3314" t="s">
        <v>67</v>
      </c>
      <c r="E3314" t="s">
        <v>68</v>
      </c>
      <c r="F3314" t="s">
        <v>26</v>
      </c>
      <c r="G3314" s="4">
        <v>3</v>
      </c>
      <c r="H3314" s="4" t="s">
        <v>12</v>
      </c>
      <c r="I3314" s="4" t="s">
        <v>65</v>
      </c>
      <c r="J3314" s="4" t="s">
        <v>73</v>
      </c>
      <c r="K3314" s="4">
        <v>1</v>
      </c>
      <c r="L3314" s="94">
        <v>502433</v>
      </c>
      <c r="M3314" s="94">
        <v>1507299</v>
      </c>
    </row>
    <row r="3315" spans="3:13" x14ac:dyDescent="0.3">
      <c r="C3315" t="s">
        <v>61</v>
      </c>
      <c r="D3315" t="s">
        <v>67</v>
      </c>
      <c r="E3315" t="s">
        <v>63</v>
      </c>
      <c r="F3315" t="s">
        <v>72</v>
      </c>
      <c r="G3315" s="4">
        <v>2</v>
      </c>
      <c r="H3315" s="4" t="s">
        <v>75</v>
      </c>
      <c r="I3315" s="4" t="s">
        <v>69</v>
      </c>
      <c r="J3315" s="4" t="s">
        <v>66</v>
      </c>
      <c r="K3315" s="4">
        <v>0</v>
      </c>
      <c r="L3315" s="94">
        <v>-12167</v>
      </c>
      <c r="M3315" s="94">
        <v>0</v>
      </c>
    </row>
    <row r="3316" spans="3:13" x14ac:dyDescent="0.3">
      <c r="C3316" t="s">
        <v>61</v>
      </c>
      <c r="D3316" t="s">
        <v>67</v>
      </c>
      <c r="E3316" t="s">
        <v>63</v>
      </c>
      <c r="F3316" t="s">
        <v>25</v>
      </c>
      <c r="G3316" s="4">
        <v>7</v>
      </c>
      <c r="H3316" s="4" t="s">
        <v>75</v>
      </c>
      <c r="I3316" s="4" t="s">
        <v>69</v>
      </c>
      <c r="J3316" s="4" t="s">
        <v>66</v>
      </c>
      <c r="K3316" s="4">
        <v>0</v>
      </c>
      <c r="L3316" s="94">
        <v>-118183</v>
      </c>
      <c r="M3316" s="94">
        <v>0</v>
      </c>
    </row>
    <row r="3317" spans="3:13" x14ac:dyDescent="0.3">
      <c r="C3317" t="s">
        <v>71</v>
      </c>
      <c r="D3317" t="s">
        <v>67</v>
      </c>
      <c r="E3317" t="s">
        <v>63</v>
      </c>
      <c r="F3317" t="s">
        <v>72</v>
      </c>
      <c r="G3317" s="4">
        <v>-4</v>
      </c>
      <c r="H3317" s="4" t="s">
        <v>13</v>
      </c>
      <c r="I3317" s="4" t="s">
        <v>69</v>
      </c>
      <c r="J3317" s="4" t="s">
        <v>73</v>
      </c>
      <c r="K3317" s="4">
        <v>1</v>
      </c>
      <c r="L3317" s="94">
        <v>-32424</v>
      </c>
      <c r="M3317" s="94">
        <v>0</v>
      </c>
    </row>
    <row r="3318" spans="3:13" x14ac:dyDescent="0.3">
      <c r="C3318" t="s">
        <v>71</v>
      </c>
      <c r="D3318" t="s">
        <v>67</v>
      </c>
      <c r="E3318" t="s">
        <v>68</v>
      </c>
      <c r="F3318" t="s">
        <v>26</v>
      </c>
      <c r="G3318" s="4">
        <v>9</v>
      </c>
      <c r="H3318" s="4" t="s">
        <v>14</v>
      </c>
      <c r="I3318" s="4" t="s">
        <v>69</v>
      </c>
      <c r="J3318" s="4" t="s">
        <v>73</v>
      </c>
      <c r="K3318" s="4">
        <v>1</v>
      </c>
      <c r="L3318" s="94">
        <v>887709</v>
      </c>
      <c r="M3318" s="94">
        <v>7989381</v>
      </c>
    </row>
    <row r="3319" spans="3:13" x14ac:dyDescent="0.3">
      <c r="C3319" t="s">
        <v>70</v>
      </c>
      <c r="D3319" t="s">
        <v>67</v>
      </c>
      <c r="E3319" t="s">
        <v>68</v>
      </c>
      <c r="F3319" t="s">
        <v>26</v>
      </c>
      <c r="G3319" s="4">
        <v>11</v>
      </c>
      <c r="H3319" s="4" t="s">
        <v>18</v>
      </c>
      <c r="I3319" s="4" t="s">
        <v>69</v>
      </c>
      <c r="J3319" s="4" t="s">
        <v>66</v>
      </c>
      <c r="K3319" s="4">
        <v>0</v>
      </c>
      <c r="L3319" s="94">
        <v>1906766</v>
      </c>
      <c r="M3319" s="94">
        <v>20974426</v>
      </c>
    </row>
    <row r="3320" spans="3:13" x14ac:dyDescent="0.3">
      <c r="C3320" t="s">
        <v>61</v>
      </c>
      <c r="D3320" t="s">
        <v>62</v>
      </c>
      <c r="E3320" t="s">
        <v>63</v>
      </c>
      <c r="F3320" t="s">
        <v>25</v>
      </c>
      <c r="G3320" s="4">
        <v>18</v>
      </c>
      <c r="I3320" s="4" t="s">
        <v>65</v>
      </c>
      <c r="J3320" s="4" t="s">
        <v>66</v>
      </c>
      <c r="K3320" s="4">
        <v>1</v>
      </c>
      <c r="L3320" s="94">
        <v>-204</v>
      </c>
      <c r="M3320" s="94">
        <v>0</v>
      </c>
    </row>
    <row r="3321" spans="3:13" x14ac:dyDescent="0.3">
      <c r="C3321" t="s">
        <v>61</v>
      </c>
      <c r="D3321" t="s">
        <v>67</v>
      </c>
      <c r="E3321" t="s">
        <v>68</v>
      </c>
      <c r="F3321" t="s">
        <v>25</v>
      </c>
      <c r="G3321" s="4">
        <v>13</v>
      </c>
      <c r="H3321" s="4" t="s">
        <v>14</v>
      </c>
      <c r="I3321" s="4" t="s">
        <v>69</v>
      </c>
      <c r="J3321" s="4" t="s">
        <v>66</v>
      </c>
      <c r="K3321" s="4">
        <v>1</v>
      </c>
      <c r="L3321" s="94">
        <v>1385637</v>
      </c>
      <c r="M3321" s="94">
        <v>18013281</v>
      </c>
    </row>
    <row r="3322" spans="3:13" x14ac:dyDescent="0.3">
      <c r="C3322" t="s">
        <v>70</v>
      </c>
      <c r="D3322" t="s">
        <v>67</v>
      </c>
      <c r="E3322" t="s">
        <v>63</v>
      </c>
      <c r="F3322" t="s">
        <v>25</v>
      </c>
      <c r="G3322" s="4">
        <v>9</v>
      </c>
      <c r="H3322" s="4" t="s">
        <v>82</v>
      </c>
      <c r="I3322" s="4" t="s">
        <v>69</v>
      </c>
      <c r="J3322" s="4" t="s">
        <v>66</v>
      </c>
      <c r="K3322" s="4">
        <v>0</v>
      </c>
      <c r="L3322" s="94">
        <v>-164456</v>
      </c>
      <c r="M3322" s="94">
        <v>0</v>
      </c>
    </row>
    <row r="3323" spans="3:13" x14ac:dyDescent="0.3">
      <c r="C3323" t="s">
        <v>61</v>
      </c>
      <c r="D3323" t="s">
        <v>67</v>
      </c>
      <c r="E3323" t="s">
        <v>63</v>
      </c>
      <c r="F3323" t="s">
        <v>26</v>
      </c>
      <c r="G3323" s="4">
        <v>5</v>
      </c>
      <c r="H3323" s="4" t="s">
        <v>17</v>
      </c>
      <c r="I3323" s="4" t="s">
        <v>65</v>
      </c>
      <c r="J3323" s="4" t="s">
        <v>73</v>
      </c>
      <c r="K3323" s="4">
        <v>1</v>
      </c>
      <c r="L3323" s="94">
        <v>-3445</v>
      </c>
      <c r="M3323" s="94">
        <v>0</v>
      </c>
    </row>
    <row r="3324" spans="3:13" x14ac:dyDescent="0.3">
      <c r="C3324" t="s">
        <v>71</v>
      </c>
      <c r="D3324" t="s">
        <v>67</v>
      </c>
      <c r="E3324" t="s">
        <v>63</v>
      </c>
      <c r="F3324" t="s">
        <v>26</v>
      </c>
      <c r="G3324" s="4">
        <v>8</v>
      </c>
      <c r="H3324" s="4" t="s">
        <v>14</v>
      </c>
      <c r="I3324" s="4" t="s">
        <v>69</v>
      </c>
      <c r="J3324" s="4" t="s">
        <v>73</v>
      </c>
      <c r="K3324" s="4">
        <v>1</v>
      </c>
      <c r="L3324" s="94">
        <v>-67987</v>
      </c>
      <c r="M3324" s="94">
        <v>0</v>
      </c>
    </row>
    <row r="3325" spans="3:13" x14ac:dyDescent="0.3">
      <c r="C3325" t="s">
        <v>61</v>
      </c>
      <c r="D3325" t="s">
        <v>67</v>
      </c>
      <c r="E3325" t="s">
        <v>68</v>
      </c>
      <c r="F3325" t="s">
        <v>72</v>
      </c>
      <c r="G3325" s="4">
        <v>7</v>
      </c>
      <c r="H3325" s="4" t="s">
        <v>78</v>
      </c>
      <c r="I3325" s="4" t="s">
        <v>69</v>
      </c>
      <c r="J3325" s="4" t="s">
        <v>66</v>
      </c>
      <c r="K3325" s="4">
        <v>0</v>
      </c>
      <c r="L3325" s="94">
        <v>38867</v>
      </c>
      <c r="M3325" s="94">
        <v>272069</v>
      </c>
    </row>
    <row r="3326" spans="3:13" x14ac:dyDescent="0.3">
      <c r="C3326" t="s">
        <v>61</v>
      </c>
      <c r="D3326" t="s">
        <v>62</v>
      </c>
      <c r="E3326" t="s">
        <v>68</v>
      </c>
      <c r="F3326" t="s">
        <v>24</v>
      </c>
      <c r="G3326" s="4">
        <v>6</v>
      </c>
      <c r="I3326" s="4" t="s">
        <v>65</v>
      </c>
      <c r="J3326" s="4" t="s">
        <v>66</v>
      </c>
      <c r="K3326" s="4">
        <v>1</v>
      </c>
      <c r="L3326" s="94">
        <v>2040746</v>
      </c>
      <c r="M3326" s="94">
        <v>12244476</v>
      </c>
    </row>
    <row r="3327" spans="3:13" x14ac:dyDescent="0.3">
      <c r="C3327" t="s">
        <v>71</v>
      </c>
      <c r="D3327" t="s">
        <v>62</v>
      </c>
      <c r="E3327" t="s">
        <v>63</v>
      </c>
      <c r="F3327" t="s">
        <v>24</v>
      </c>
      <c r="G3327" s="4">
        <v>2</v>
      </c>
      <c r="I3327" s="4" t="s">
        <v>69</v>
      </c>
      <c r="J3327" s="4" t="s">
        <v>66</v>
      </c>
      <c r="K3327" s="4">
        <v>0</v>
      </c>
      <c r="L3327" s="94">
        <v>-75705</v>
      </c>
      <c r="M3327" s="94">
        <v>0</v>
      </c>
    </row>
    <row r="3328" spans="3:13" x14ac:dyDescent="0.3">
      <c r="C3328" t="s">
        <v>61</v>
      </c>
      <c r="D3328" t="s">
        <v>67</v>
      </c>
      <c r="E3328" t="s">
        <v>63</v>
      </c>
      <c r="F3328" t="s">
        <v>26</v>
      </c>
      <c r="G3328" s="4">
        <v>2</v>
      </c>
      <c r="H3328" s="4" t="s">
        <v>75</v>
      </c>
      <c r="I3328" s="4" t="s">
        <v>65</v>
      </c>
      <c r="J3328" s="4" t="s">
        <v>66</v>
      </c>
      <c r="K3328" s="4">
        <v>1</v>
      </c>
      <c r="L3328" s="94">
        <v>-770</v>
      </c>
      <c r="M3328" s="94">
        <v>0</v>
      </c>
    </row>
    <row r="3329" spans="3:13" x14ac:dyDescent="0.3">
      <c r="C3329" t="s">
        <v>61</v>
      </c>
      <c r="D3329" t="s">
        <v>62</v>
      </c>
      <c r="E3329" t="s">
        <v>63</v>
      </c>
      <c r="F3329" t="s">
        <v>24</v>
      </c>
      <c r="G3329" s="4">
        <v>14</v>
      </c>
      <c r="I3329" s="4" t="s">
        <v>69</v>
      </c>
      <c r="J3329" s="4" t="s">
        <v>66</v>
      </c>
      <c r="K3329" s="4">
        <v>0</v>
      </c>
      <c r="L3329" s="94">
        <v>-108225</v>
      </c>
      <c r="M3329" s="94">
        <v>0</v>
      </c>
    </row>
    <row r="3330" spans="3:13" x14ac:dyDescent="0.3">
      <c r="C3330" t="s">
        <v>70</v>
      </c>
      <c r="D3330" t="s">
        <v>67</v>
      </c>
      <c r="E3330" t="s">
        <v>63</v>
      </c>
      <c r="F3330" t="s">
        <v>25</v>
      </c>
      <c r="G3330" s="4">
        <v>0</v>
      </c>
      <c r="H3330" s="4" t="s">
        <v>18</v>
      </c>
      <c r="I3330" s="4" t="s">
        <v>69</v>
      </c>
      <c r="J3330" s="4" t="s">
        <v>66</v>
      </c>
      <c r="K3330" s="4">
        <v>0</v>
      </c>
      <c r="L3330" s="94">
        <v>-13802</v>
      </c>
      <c r="M3330" s="94">
        <v>0</v>
      </c>
    </row>
    <row r="3331" spans="3:13" x14ac:dyDescent="0.3">
      <c r="C3331" t="s">
        <v>61</v>
      </c>
      <c r="D3331" t="s">
        <v>67</v>
      </c>
      <c r="E3331" t="s">
        <v>68</v>
      </c>
      <c r="F3331" t="s">
        <v>26</v>
      </c>
      <c r="G3331" s="4">
        <v>7</v>
      </c>
      <c r="H3331" s="4" t="s">
        <v>15</v>
      </c>
      <c r="I3331" s="4" t="s">
        <v>65</v>
      </c>
      <c r="J3331" s="4" t="s">
        <v>66</v>
      </c>
      <c r="K3331" s="4">
        <v>1</v>
      </c>
      <c r="L3331" s="94">
        <v>40209627</v>
      </c>
      <c r="M3331" s="94">
        <v>281467389</v>
      </c>
    </row>
    <row r="3332" spans="3:13" x14ac:dyDescent="0.3">
      <c r="C3332" t="s">
        <v>71</v>
      </c>
      <c r="D3332" t="s">
        <v>67</v>
      </c>
      <c r="E3332" t="s">
        <v>68</v>
      </c>
      <c r="F3332" t="s">
        <v>25</v>
      </c>
      <c r="G3332" s="4">
        <v>14</v>
      </c>
      <c r="H3332" s="4" t="s">
        <v>75</v>
      </c>
      <c r="I3332" s="4" t="s">
        <v>69</v>
      </c>
      <c r="J3332" s="4" t="s">
        <v>66</v>
      </c>
      <c r="K3332" s="4">
        <v>0</v>
      </c>
      <c r="L3332" s="94">
        <v>158359</v>
      </c>
      <c r="M3332" s="94">
        <v>2217026</v>
      </c>
    </row>
    <row r="3333" spans="3:13" x14ac:dyDescent="0.3">
      <c r="C3333" t="s">
        <v>61</v>
      </c>
      <c r="D3333" t="s">
        <v>67</v>
      </c>
      <c r="E3333" t="s">
        <v>63</v>
      </c>
      <c r="F3333" t="s">
        <v>25</v>
      </c>
      <c r="G3333" s="4">
        <v>0</v>
      </c>
      <c r="H3333" s="4" t="s">
        <v>17</v>
      </c>
      <c r="I3333" s="4" t="s">
        <v>69</v>
      </c>
      <c r="J3333" s="4" t="s">
        <v>66</v>
      </c>
      <c r="K3333" s="4">
        <v>0</v>
      </c>
      <c r="L3333" s="94">
        <v>-18905</v>
      </c>
      <c r="M3333" s="94">
        <v>0</v>
      </c>
    </row>
    <row r="3334" spans="3:13" x14ac:dyDescent="0.3">
      <c r="C3334" t="s">
        <v>70</v>
      </c>
      <c r="D3334" t="s">
        <v>67</v>
      </c>
      <c r="E3334" t="s">
        <v>68</v>
      </c>
      <c r="F3334" t="s">
        <v>25</v>
      </c>
      <c r="G3334" s="4">
        <v>6</v>
      </c>
      <c r="H3334" s="4" t="s">
        <v>78</v>
      </c>
      <c r="I3334" s="4" t="s">
        <v>69</v>
      </c>
      <c r="J3334" s="4" t="s">
        <v>66</v>
      </c>
      <c r="K3334" s="4">
        <v>0</v>
      </c>
      <c r="L3334" s="94">
        <v>800658</v>
      </c>
      <c r="M3334" s="94">
        <v>4803948</v>
      </c>
    </row>
    <row r="3335" spans="3:13" x14ac:dyDescent="0.3">
      <c r="C3335" t="s">
        <v>71</v>
      </c>
      <c r="D3335" t="s">
        <v>62</v>
      </c>
      <c r="E3335" t="s">
        <v>63</v>
      </c>
      <c r="F3335" t="s">
        <v>24</v>
      </c>
      <c r="G3335" s="4">
        <v>23</v>
      </c>
      <c r="I3335" s="4" t="s">
        <v>69</v>
      </c>
      <c r="J3335" s="4" t="s">
        <v>66</v>
      </c>
      <c r="K3335" s="4">
        <v>1</v>
      </c>
      <c r="L3335" s="94">
        <v>-17590</v>
      </c>
      <c r="M3335" s="94">
        <v>0</v>
      </c>
    </row>
    <row r="3336" spans="3:13" x14ac:dyDescent="0.3">
      <c r="C3336" t="s">
        <v>61</v>
      </c>
      <c r="D3336" t="s">
        <v>67</v>
      </c>
      <c r="E3336" t="s">
        <v>63</v>
      </c>
      <c r="F3336" t="s">
        <v>72</v>
      </c>
      <c r="G3336" s="4">
        <v>1</v>
      </c>
      <c r="H3336" s="4" t="s">
        <v>18</v>
      </c>
      <c r="I3336" s="4" t="s">
        <v>65</v>
      </c>
      <c r="J3336" s="4" t="s">
        <v>66</v>
      </c>
      <c r="K3336" s="4">
        <v>1</v>
      </c>
      <c r="L3336" s="94">
        <v>-16</v>
      </c>
      <c r="M3336" s="94">
        <v>0</v>
      </c>
    </row>
    <row r="3337" spans="3:13" x14ac:dyDescent="0.3">
      <c r="C3337" t="s">
        <v>70</v>
      </c>
      <c r="D3337" t="s">
        <v>67</v>
      </c>
      <c r="E3337" t="s">
        <v>63</v>
      </c>
      <c r="F3337" t="s">
        <v>72</v>
      </c>
      <c r="G3337" s="4">
        <v>2</v>
      </c>
      <c r="H3337" s="4" t="s">
        <v>75</v>
      </c>
      <c r="I3337" s="4" t="s">
        <v>69</v>
      </c>
      <c r="J3337" s="4" t="s">
        <v>66</v>
      </c>
      <c r="K3337" s="4">
        <v>0</v>
      </c>
      <c r="L3337" s="94">
        <v>-9865</v>
      </c>
      <c r="M3337" s="94">
        <v>0</v>
      </c>
    </row>
    <row r="3338" spans="3:13" x14ac:dyDescent="0.3">
      <c r="C3338" t="s">
        <v>70</v>
      </c>
      <c r="D3338" t="s">
        <v>67</v>
      </c>
      <c r="E3338" t="s">
        <v>63</v>
      </c>
      <c r="F3338" t="s">
        <v>26</v>
      </c>
      <c r="G3338" s="4">
        <v>-1</v>
      </c>
      <c r="H3338" s="4" t="s">
        <v>18</v>
      </c>
      <c r="I3338" s="4" t="s">
        <v>69</v>
      </c>
      <c r="J3338" s="4" t="s">
        <v>66</v>
      </c>
      <c r="K3338" s="4">
        <v>0</v>
      </c>
      <c r="L3338" s="94">
        <v>-3339177</v>
      </c>
      <c r="M3338" s="94">
        <v>0</v>
      </c>
    </row>
    <row r="3339" spans="3:13" x14ac:dyDescent="0.3">
      <c r="C3339" t="s">
        <v>71</v>
      </c>
      <c r="D3339" t="s">
        <v>67</v>
      </c>
      <c r="E3339" t="s">
        <v>63</v>
      </c>
      <c r="F3339" t="s">
        <v>25</v>
      </c>
      <c r="G3339" s="4">
        <v>7</v>
      </c>
      <c r="H3339" s="4" t="s">
        <v>82</v>
      </c>
      <c r="I3339" s="4" t="s">
        <v>69</v>
      </c>
      <c r="J3339" s="4" t="s">
        <v>66</v>
      </c>
      <c r="K3339" s="4">
        <v>0</v>
      </c>
      <c r="L3339" s="94">
        <v>-141088</v>
      </c>
      <c r="M3339" s="94">
        <v>0</v>
      </c>
    </row>
    <row r="3340" spans="3:13" x14ac:dyDescent="0.3">
      <c r="C3340" t="s">
        <v>70</v>
      </c>
      <c r="D3340" t="s">
        <v>62</v>
      </c>
      <c r="E3340" t="s">
        <v>68</v>
      </c>
      <c r="F3340" t="s">
        <v>24</v>
      </c>
      <c r="G3340" s="4">
        <v>6</v>
      </c>
      <c r="I3340" s="4" t="s">
        <v>69</v>
      </c>
      <c r="J3340" s="4" t="s">
        <v>66</v>
      </c>
      <c r="K3340" s="4">
        <v>0</v>
      </c>
      <c r="L3340" s="94">
        <v>15623276</v>
      </c>
      <c r="M3340" s="94">
        <v>93739656</v>
      </c>
    </row>
    <row r="3341" spans="3:13" x14ac:dyDescent="0.3">
      <c r="C3341" t="s">
        <v>70</v>
      </c>
      <c r="D3341" t="s">
        <v>67</v>
      </c>
      <c r="E3341" t="s">
        <v>68</v>
      </c>
      <c r="F3341" t="s">
        <v>72</v>
      </c>
      <c r="G3341" s="4">
        <v>5</v>
      </c>
      <c r="H3341" s="4" t="s">
        <v>17</v>
      </c>
      <c r="I3341" s="4" t="s">
        <v>69</v>
      </c>
      <c r="J3341" s="4" t="s">
        <v>66</v>
      </c>
      <c r="K3341" s="4">
        <v>0</v>
      </c>
      <c r="L3341" s="94">
        <v>1393113</v>
      </c>
      <c r="M3341" s="94">
        <v>6965565</v>
      </c>
    </row>
    <row r="3342" spans="3:13" x14ac:dyDescent="0.3">
      <c r="C3342" t="s">
        <v>71</v>
      </c>
      <c r="D3342" t="s">
        <v>62</v>
      </c>
      <c r="E3342" t="s">
        <v>63</v>
      </c>
      <c r="F3342" t="s">
        <v>25</v>
      </c>
      <c r="G3342" s="4">
        <v>29</v>
      </c>
      <c r="I3342" s="4" t="s">
        <v>69</v>
      </c>
      <c r="J3342" s="4" t="s">
        <v>66</v>
      </c>
      <c r="K3342" s="4">
        <v>0</v>
      </c>
      <c r="L3342" s="94">
        <v>-50856</v>
      </c>
      <c r="M3342" s="94">
        <v>0</v>
      </c>
    </row>
    <row r="3343" spans="3:13" x14ac:dyDescent="0.3">
      <c r="C3343" t="s">
        <v>70</v>
      </c>
      <c r="D3343" t="s">
        <v>62</v>
      </c>
      <c r="E3343" t="s">
        <v>68</v>
      </c>
      <c r="F3343" t="s">
        <v>24</v>
      </c>
      <c r="G3343" s="4">
        <v>41</v>
      </c>
      <c r="I3343" s="4" t="s">
        <v>69</v>
      </c>
      <c r="J3343" s="4" t="s">
        <v>66</v>
      </c>
      <c r="K3343" s="4">
        <v>0</v>
      </c>
      <c r="L3343" s="94">
        <v>3528706</v>
      </c>
      <c r="M3343" s="94">
        <v>144676946</v>
      </c>
    </row>
    <row r="3344" spans="3:13" x14ac:dyDescent="0.3">
      <c r="C3344" t="s">
        <v>70</v>
      </c>
      <c r="D3344" t="s">
        <v>67</v>
      </c>
      <c r="E3344" t="s">
        <v>63</v>
      </c>
      <c r="F3344" t="s">
        <v>72</v>
      </c>
      <c r="G3344" s="4">
        <v>6</v>
      </c>
      <c r="H3344" s="4" t="s">
        <v>75</v>
      </c>
      <c r="I3344" s="4" t="s">
        <v>69</v>
      </c>
      <c r="J3344" s="4" t="s">
        <v>66</v>
      </c>
      <c r="K3344" s="4">
        <v>0</v>
      </c>
      <c r="L3344" s="94">
        <v>-11716</v>
      </c>
      <c r="M3344" s="94">
        <v>0</v>
      </c>
    </row>
    <row r="3345" spans="3:13" x14ac:dyDescent="0.3">
      <c r="C3345" t="s">
        <v>71</v>
      </c>
      <c r="D3345" t="s">
        <v>62</v>
      </c>
      <c r="E3345" t="s">
        <v>63</v>
      </c>
      <c r="F3345" t="s">
        <v>24</v>
      </c>
      <c r="G3345" s="4">
        <v>7</v>
      </c>
      <c r="I3345" s="4" t="s">
        <v>65</v>
      </c>
      <c r="J3345" s="4" t="s">
        <v>66</v>
      </c>
      <c r="K3345" s="4">
        <v>1</v>
      </c>
      <c r="L3345" s="94">
        <v>-1736</v>
      </c>
      <c r="M3345" s="94">
        <v>0</v>
      </c>
    </row>
    <row r="3346" spans="3:13" x14ac:dyDescent="0.3">
      <c r="C3346" t="s">
        <v>70</v>
      </c>
      <c r="D3346" t="s">
        <v>62</v>
      </c>
      <c r="E3346" t="s">
        <v>63</v>
      </c>
      <c r="F3346" t="s">
        <v>24</v>
      </c>
      <c r="G3346" s="4">
        <v>24</v>
      </c>
      <c r="I3346" s="4" t="s">
        <v>65</v>
      </c>
      <c r="J3346" s="4" t="s">
        <v>66</v>
      </c>
      <c r="K3346" s="4">
        <v>1</v>
      </c>
      <c r="L3346" s="94">
        <v>-11290</v>
      </c>
      <c r="M3346" s="94">
        <v>0</v>
      </c>
    </row>
    <row r="3347" spans="3:13" x14ac:dyDescent="0.3">
      <c r="C3347" t="s">
        <v>70</v>
      </c>
      <c r="D3347" t="s">
        <v>67</v>
      </c>
      <c r="E3347" t="s">
        <v>68</v>
      </c>
      <c r="F3347" t="s">
        <v>25</v>
      </c>
      <c r="G3347" s="4">
        <v>-1</v>
      </c>
      <c r="H3347" s="4" t="s">
        <v>82</v>
      </c>
      <c r="I3347" s="4" t="s">
        <v>69</v>
      </c>
      <c r="J3347" s="4" t="s">
        <v>66</v>
      </c>
      <c r="K3347" s="4">
        <v>0</v>
      </c>
      <c r="L3347" s="94">
        <v>35600</v>
      </c>
      <c r="M3347" s="94">
        <v>0</v>
      </c>
    </row>
    <row r="3348" spans="3:13" x14ac:dyDescent="0.3">
      <c r="C3348" t="s">
        <v>70</v>
      </c>
      <c r="D3348" t="s">
        <v>67</v>
      </c>
      <c r="E3348" t="s">
        <v>68</v>
      </c>
      <c r="F3348" t="s">
        <v>25</v>
      </c>
      <c r="G3348" s="4">
        <v>8</v>
      </c>
      <c r="H3348" s="4" t="s">
        <v>74</v>
      </c>
      <c r="I3348" s="4" t="s">
        <v>69</v>
      </c>
      <c r="J3348" s="4" t="s">
        <v>66</v>
      </c>
      <c r="K3348" s="4">
        <v>0</v>
      </c>
      <c r="L3348" s="94">
        <v>538762</v>
      </c>
      <c r="M3348" s="94">
        <v>4310096</v>
      </c>
    </row>
    <row r="3349" spans="3:13" x14ac:dyDescent="0.3">
      <c r="C3349" t="s">
        <v>70</v>
      </c>
      <c r="D3349" t="s">
        <v>67</v>
      </c>
      <c r="E3349" t="s">
        <v>68</v>
      </c>
      <c r="F3349" t="s">
        <v>72</v>
      </c>
      <c r="G3349" s="4">
        <v>3</v>
      </c>
      <c r="H3349" s="4" t="s">
        <v>14</v>
      </c>
      <c r="I3349" s="4" t="s">
        <v>69</v>
      </c>
      <c r="J3349" s="4" t="s">
        <v>66</v>
      </c>
      <c r="K3349" s="4">
        <v>0</v>
      </c>
      <c r="L3349" s="94">
        <v>1340258</v>
      </c>
      <c r="M3349" s="94">
        <v>4020774</v>
      </c>
    </row>
    <row r="3350" spans="3:13" x14ac:dyDescent="0.3">
      <c r="C3350" t="s">
        <v>71</v>
      </c>
      <c r="D3350" t="s">
        <v>67</v>
      </c>
      <c r="E3350" t="s">
        <v>68</v>
      </c>
      <c r="F3350" t="s">
        <v>25</v>
      </c>
      <c r="G3350" s="4">
        <v>11</v>
      </c>
      <c r="H3350" s="4" t="s">
        <v>17</v>
      </c>
      <c r="I3350" s="4" t="s">
        <v>69</v>
      </c>
      <c r="J3350" s="4" t="s">
        <v>66</v>
      </c>
      <c r="K3350" s="4">
        <v>0</v>
      </c>
      <c r="L3350" s="94">
        <v>156373</v>
      </c>
      <c r="M3350" s="94">
        <v>1720103</v>
      </c>
    </row>
    <row r="3351" spans="3:13" x14ac:dyDescent="0.3">
      <c r="C3351" t="s">
        <v>61</v>
      </c>
      <c r="D3351" t="s">
        <v>67</v>
      </c>
      <c r="E3351" t="s">
        <v>63</v>
      </c>
      <c r="F3351" t="s">
        <v>72</v>
      </c>
      <c r="G3351" s="4">
        <v>3</v>
      </c>
      <c r="H3351" s="4" t="s">
        <v>77</v>
      </c>
      <c r="I3351" s="4" t="s">
        <v>69</v>
      </c>
      <c r="J3351" s="4" t="s">
        <v>66</v>
      </c>
      <c r="K3351" s="4">
        <v>0</v>
      </c>
      <c r="L3351" s="94">
        <v>-4724</v>
      </c>
      <c r="M3351" s="94">
        <v>0</v>
      </c>
    </row>
    <row r="3352" spans="3:13" x14ac:dyDescent="0.3">
      <c r="C3352" t="s">
        <v>61</v>
      </c>
      <c r="D3352" t="s">
        <v>67</v>
      </c>
      <c r="E3352" t="s">
        <v>63</v>
      </c>
      <c r="F3352" t="s">
        <v>26</v>
      </c>
      <c r="G3352" s="4">
        <v>9</v>
      </c>
      <c r="H3352" s="4" t="s">
        <v>12</v>
      </c>
      <c r="I3352" s="4" t="s">
        <v>69</v>
      </c>
      <c r="J3352" s="4" t="s">
        <v>73</v>
      </c>
      <c r="K3352" s="4">
        <v>1</v>
      </c>
      <c r="L3352" s="94">
        <v>-1170</v>
      </c>
      <c r="M3352" s="94">
        <v>0</v>
      </c>
    </row>
    <row r="3353" spans="3:13" x14ac:dyDescent="0.3">
      <c r="C3353" t="s">
        <v>70</v>
      </c>
      <c r="D3353" t="s">
        <v>67</v>
      </c>
      <c r="E3353" t="s">
        <v>68</v>
      </c>
      <c r="F3353" t="s">
        <v>72</v>
      </c>
      <c r="G3353" s="4">
        <v>0</v>
      </c>
      <c r="H3353" s="4" t="s">
        <v>13</v>
      </c>
      <c r="I3353" s="4" t="s">
        <v>69</v>
      </c>
      <c r="J3353" s="4" t="s">
        <v>66</v>
      </c>
      <c r="K3353" s="4">
        <v>0</v>
      </c>
      <c r="L3353" s="94">
        <v>5854</v>
      </c>
      <c r="M3353" s="94">
        <v>0</v>
      </c>
    </row>
    <row r="3354" spans="3:13" x14ac:dyDescent="0.3">
      <c r="C3354" t="s">
        <v>70</v>
      </c>
      <c r="D3354" t="s">
        <v>67</v>
      </c>
      <c r="E3354" t="s">
        <v>68</v>
      </c>
      <c r="F3354" t="s">
        <v>26</v>
      </c>
      <c r="G3354" s="4">
        <v>-1</v>
      </c>
      <c r="H3354" s="4" t="s">
        <v>77</v>
      </c>
      <c r="I3354" s="4" t="s">
        <v>69</v>
      </c>
      <c r="J3354" s="4" t="s">
        <v>66</v>
      </c>
      <c r="K3354" s="4">
        <v>0</v>
      </c>
      <c r="L3354" s="94">
        <v>2998199</v>
      </c>
      <c r="M3354" s="94">
        <v>0</v>
      </c>
    </row>
    <row r="3355" spans="3:13" x14ac:dyDescent="0.3">
      <c r="C3355" t="s">
        <v>70</v>
      </c>
      <c r="D3355" t="s">
        <v>67</v>
      </c>
      <c r="E3355" t="s">
        <v>63</v>
      </c>
      <c r="F3355" t="s">
        <v>26</v>
      </c>
      <c r="G3355" s="4">
        <v>1</v>
      </c>
      <c r="H3355" s="4" t="s">
        <v>80</v>
      </c>
      <c r="I3355" s="4" t="s">
        <v>69</v>
      </c>
      <c r="J3355" s="4" t="s">
        <v>66</v>
      </c>
      <c r="K3355" s="4">
        <v>0</v>
      </c>
      <c r="L3355" s="94">
        <v>-19200</v>
      </c>
      <c r="M3355" s="94">
        <v>0</v>
      </c>
    </row>
    <row r="3356" spans="3:13" x14ac:dyDescent="0.3">
      <c r="C3356" t="s">
        <v>61</v>
      </c>
      <c r="D3356" t="s">
        <v>67</v>
      </c>
      <c r="E3356" t="s">
        <v>63</v>
      </c>
      <c r="F3356" t="s">
        <v>26</v>
      </c>
      <c r="G3356" s="4">
        <v>4</v>
      </c>
      <c r="H3356" s="4" t="s">
        <v>14</v>
      </c>
      <c r="I3356" s="4" t="s">
        <v>65</v>
      </c>
      <c r="J3356" s="4" t="s">
        <v>66</v>
      </c>
      <c r="K3356" s="4">
        <v>1</v>
      </c>
      <c r="L3356" s="94">
        <v>-922</v>
      </c>
      <c r="M3356" s="94">
        <v>0</v>
      </c>
    </row>
    <row r="3357" spans="3:13" x14ac:dyDescent="0.3">
      <c r="C3357" t="s">
        <v>70</v>
      </c>
      <c r="D3357" t="s">
        <v>62</v>
      </c>
      <c r="E3357" t="s">
        <v>63</v>
      </c>
      <c r="F3357" t="s">
        <v>24</v>
      </c>
      <c r="G3357" s="4">
        <v>11</v>
      </c>
      <c r="I3357" s="4" t="s">
        <v>69</v>
      </c>
      <c r="J3357" s="4" t="s">
        <v>66</v>
      </c>
      <c r="K3357" s="4">
        <v>0</v>
      </c>
      <c r="L3357" s="94">
        <v>-302758</v>
      </c>
      <c r="M3357" s="94">
        <v>0</v>
      </c>
    </row>
    <row r="3358" spans="3:13" x14ac:dyDescent="0.3">
      <c r="C3358" t="s">
        <v>71</v>
      </c>
      <c r="D3358" t="s">
        <v>67</v>
      </c>
      <c r="E3358" t="s">
        <v>63</v>
      </c>
      <c r="F3358" t="s">
        <v>25</v>
      </c>
      <c r="G3358" s="4">
        <v>27</v>
      </c>
      <c r="H3358" s="4" t="s">
        <v>76</v>
      </c>
      <c r="I3358" s="4" t="s">
        <v>69</v>
      </c>
      <c r="J3358" s="4" t="s">
        <v>66</v>
      </c>
      <c r="K3358" s="4">
        <v>0</v>
      </c>
      <c r="L3358" s="94">
        <v>-6330301</v>
      </c>
      <c r="M3358" s="94">
        <v>0</v>
      </c>
    </row>
    <row r="3359" spans="3:13" x14ac:dyDescent="0.3">
      <c r="C3359" t="s">
        <v>70</v>
      </c>
      <c r="D3359" t="s">
        <v>67</v>
      </c>
      <c r="E3359" t="s">
        <v>68</v>
      </c>
      <c r="F3359" t="s">
        <v>25</v>
      </c>
      <c r="G3359" s="4">
        <v>7</v>
      </c>
      <c r="H3359" s="4" t="s">
        <v>78</v>
      </c>
      <c r="I3359" s="4" t="s">
        <v>69</v>
      </c>
      <c r="J3359" s="4" t="s">
        <v>66</v>
      </c>
      <c r="K3359" s="4">
        <v>0</v>
      </c>
      <c r="L3359" s="94">
        <v>247077</v>
      </c>
      <c r="M3359" s="94">
        <v>1729539</v>
      </c>
    </row>
    <row r="3360" spans="3:13" x14ac:dyDescent="0.3">
      <c r="C3360" t="s">
        <v>71</v>
      </c>
      <c r="D3360" t="s">
        <v>84</v>
      </c>
      <c r="E3360" t="s">
        <v>63</v>
      </c>
      <c r="F3360" t="s">
        <v>25</v>
      </c>
      <c r="G3360" s="4">
        <v>-1</v>
      </c>
      <c r="H3360" s="4" t="s">
        <v>83</v>
      </c>
      <c r="I3360" s="4" t="s">
        <v>69</v>
      </c>
      <c r="J3360" s="4" t="s">
        <v>66</v>
      </c>
      <c r="K3360" s="4">
        <v>0</v>
      </c>
      <c r="L3360" s="94">
        <v>-2903188</v>
      </c>
      <c r="M3360" s="94">
        <v>0</v>
      </c>
    </row>
    <row r="3361" spans="3:13" x14ac:dyDescent="0.3">
      <c r="C3361" t="s">
        <v>61</v>
      </c>
      <c r="D3361" t="s">
        <v>62</v>
      </c>
      <c r="E3361" t="s">
        <v>68</v>
      </c>
      <c r="F3361" t="s">
        <v>24</v>
      </c>
      <c r="G3361" s="4">
        <v>41</v>
      </c>
      <c r="I3361" s="4" t="s">
        <v>65</v>
      </c>
      <c r="J3361" s="4" t="s">
        <v>66</v>
      </c>
      <c r="K3361" s="4">
        <v>1</v>
      </c>
      <c r="L3361" s="94">
        <v>482791</v>
      </c>
      <c r="M3361" s="94">
        <v>19794431</v>
      </c>
    </row>
    <row r="3362" spans="3:13" x14ac:dyDescent="0.3">
      <c r="C3362" t="s">
        <v>61</v>
      </c>
      <c r="D3362" t="s">
        <v>67</v>
      </c>
      <c r="E3362" t="s">
        <v>63</v>
      </c>
      <c r="F3362" t="s">
        <v>26</v>
      </c>
      <c r="G3362" s="4">
        <v>11</v>
      </c>
      <c r="H3362" s="4" t="s">
        <v>82</v>
      </c>
      <c r="I3362" s="4" t="s">
        <v>69</v>
      </c>
      <c r="J3362" s="4" t="s">
        <v>66</v>
      </c>
      <c r="K3362" s="4">
        <v>0</v>
      </c>
      <c r="L3362" s="94">
        <v>-16463</v>
      </c>
      <c r="M3362" s="94">
        <v>0</v>
      </c>
    </row>
    <row r="3363" spans="3:13" x14ac:dyDescent="0.3">
      <c r="C3363" t="s">
        <v>70</v>
      </c>
      <c r="D3363" t="s">
        <v>67</v>
      </c>
      <c r="E3363" t="s">
        <v>63</v>
      </c>
      <c r="F3363" t="s">
        <v>25</v>
      </c>
      <c r="G3363" s="4">
        <v>8</v>
      </c>
      <c r="H3363" s="4" t="s">
        <v>14</v>
      </c>
      <c r="I3363" s="4" t="s">
        <v>69</v>
      </c>
      <c r="J3363" s="4" t="s">
        <v>66</v>
      </c>
      <c r="K3363" s="4">
        <v>1</v>
      </c>
      <c r="L3363" s="94">
        <v>-55935</v>
      </c>
      <c r="M3363" s="94">
        <v>0</v>
      </c>
    </row>
    <row r="3364" spans="3:13" x14ac:dyDescent="0.3">
      <c r="C3364" t="s">
        <v>71</v>
      </c>
      <c r="D3364" t="s">
        <v>67</v>
      </c>
      <c r="E3364" t="s">
        <v>63</v>
      </c>
      <c r="F3364" t="s">
        <v>26</v>
      </c>
      <c r="G3364" s="4">
        <v>-1</v>
      </c>
      <c r="H3364" s="4" t="s">
        <v>82</v>
      </c>
      <c r="I3364" s="4" t="s">
        <v>65</v>
      </c>
      <c r="J3364" s="4" t="s">
        <v>66</v>
      </c>
      <c r="K3364" s="4">
        <v>1</v>
      </c>
      <c r="L3364" s="94">
        <v>-41249</v>
      </c>
      <c r="M3364" s="94">
        <v>0</v>
      </c>
    </row>
    <row r="3365" spans="3:13" x14ac:dyDescent="0.3">
      <c r="C3365" t="s">
        <v>61</v>
      </c>
      <c r="D3365" t="s">
        <v>67</v>
      </c>
      <c r="E3365" t="s">
        <v>63</v>
      </c>
      <c r="F3365" t="s">
        <v>25</v>
      </c>
      <c r="G3365" s="4">
        <v>5</v>
      </c>
      <c r="H3365" s="4" t="s">
        <v>12</v>
      </c>
      <c r="I3365" s="4" t="s">
        <v>69</v>
      </c>
      <c r="J3365" s="4" t="s">
        <v>66</v>
      </c>
      <c r="K3365" s="4">
        <v>0</v>
      </c>
      <c r="L3365" s="94">
        <v>-682</v>
      </c>
      <c r="M3365" s="94">
        <v>0</v>
      </c>
    </row>
    <row r="3366" spans="3:13" x14ac:dyDescent="0.3">
      <c r="C3366" t="s">
        <v>71</v>
      </c>
      <c r="D3366" t="s">
        <v>67</v>
      </c>
      <c r="E3366" t="s">
        <v>63</v>
      </c>
      <c r="F3366" t="s">
        <v>25</v>
      </c>
      <c r="G3366" s="4">
        <v>14</v>
      </c>
      <c r="H3366" s="4" t="s">
        <v>75</v>
      </c>
      <c r="I3366" s="4" t="s">
        <v>69</v>
      </c>
      <c r="J3366" s="4" t="s">
        <v>66</v>
      </c>
      <c r="K3366" s="4">
        <v>0</v>
      </c>
      <c r="L3366" s="94">
        <v>-43854</v>
      </c>
      <c r="M3366" s="94">
        <v>0</v>
      </c>
    </row>
    <row r="3367" spans="3:13" x14ac:dyDescent="0.3">
      <c r="C3367" t="s">
        <v>71</v>
      </c>
      <c r="D3367" t="s">
        <v>67</v>
      </c>
      <c r="E3367" t="s">
        <v>68</v>
      </c>
      <c r="F3367" t="s">
        <v>25</v>
      </c>
      <c r="G3367" s="4">
        <v>-4</v>
      </c>
      <c r="H3367" s="4" t="s">
        <v>64</v>
      </c>
      <c r="I3367" s="4" t="s">
        <v>69</v>
      </c>
      <c r="J3367" s="4" t="s">
        <v>66</v>
      </c>
      <c r="K3367" s="4">
        <v>0</v>
      </c>
      <c r="L3367" s="94">
        <v>1149093</v>
      </c>
      <c r="M3367" s="94">
        <v>0</v>
      </c>
    </row>
    <row r="3368" spans="3:13" x14ac:dyDescent="0.3">
      <c r="C3368" t="s">
        <v>70</v>
      </c>
      <c r="D3368" t="s">
        <v>67</v>
      </c>
      <c r="E3368" t="s">
        <v>63</v>
      </c>
      <c r="F3368" t="s">
        <v>72</v>
      </c>
      <c r="G3368" s="4">
        <v>3</v>
      </c>
      <c r="H3368" s="4" t="s">
        <v>77</v>
      </c>
      <c r="I3368" s="4" t="s">
        <v>69</v>
      </c>
      <c r="J3368" s="4" t="s">
        <v>66</v>
      </c>
      <c r="K3368" s="4">
        <v>0</v>
      </c>
      <c r="L3368" s="94">
        <v>-22063</v>
      </c>
      <c r="M3368" s="94">
        <v>0</v>
      </c>
    </row>
    <row r="3369" spans="3:13" x14ac:dyDescent="0.3">
      <c r="C3369" t="s">
        <v>61</v>
      </c>
      <c r="D3369" t="s">
        <v>67</v>
      </c>
      <c r="E3369" t="s">
        <v>68</v>
      </c>
      <c r="F3369" t="s">
        <v>25</v>
      </c>
      <c r="G3369" s="4">
        <v>5</v>
      </c>
      <c r="H3369" s="4" t="s">
        <v>76</v>
      </c>
      <c r="I3369" s="4" t="s">
        <v>69</v>
      </c>
      <c r="J3369" s="4" t="s">
        <v>66</v>
      </c>
      <c r="K3369" s="4">
        <v>0</v>
      </c>
      <c r="L3369" s="94">
        <v>43281098</v>
      </c>
      <c r="M3369" s="94">
        <v>216405490</v>
      </c>
    </row>
    <row r="3370" spans="3:13" x14ac:dyDescent="0.3">
      <c r="C3370" t="s">
        <v>70</v>
      </c>
      <c r="D3370" t="s">
        <v>67</v>
      </c>
      <c r="E3370" t="s">
        <v>68</v>
      </c>
      <c r="F3370" t="s">
        <v>26</v>
      </c>
      <c r="G3370" s="4">
        <v>3</v>
      </c>
      <c r="H3370" s="4" t="s">
        <v>82</v>
      </c>
      <c r="I3370" s="4" t="s">
        <v>69</v>
      </c>
      <c r="J3370" s="4" t="s">
        <v>66</v>
      </c>
      <c r="K3370" s="4">
        <v>0</v>
      </c>
      <c r="L3370" s="94">
        <v>7376565</v>
      </c>
      <c r="M3370" s="94">
        <v>22129695</v>
      </c>
    </row>
    <row r="3371" spans="3:13" x14ac:dyDescent="0.3">
      <c r="C3371" t="s">
        <v>71</v>
      </c>
      <c r="D3371" t="s">
        <v>62</v>
      </c>
      <c r="E3371" t="s">
        <v>63</v>
      </c>
      <c r="F3371" t="s">
        <v>24</v>
      </c>
      <c r="G3371" s="4">
        <v>11</v>
      </c>
      <c r="I3371" s="4" t="s">
        <v>69</v>
      </c>
      <c r="J3371" s="4" t="s">
        <v>66</v>
      </c>
      <c r="K3371" s="4">
        <v>0</v>
      </c>
      <c r="L3371" s="94">
        <v>-761439</v>
      </c>
      <c r="M3371" s="94">
        <v>0</v>
      </c>
    </row>
    <row r="3372" spans="3:13" x14ac:dyDescent="0.3">
      <c r="C3372" t="s">
        <v>71</v>
      </c>
      <c r="D3372" t="s">
        <v>67</v>
      </c>
      <c r="E3372" t="s">
        <v>68</v>
      </c>
      <c r="F3372" t="s">
        <v>26</v>
      </c>
      <c r="G3372" s="4">
        <v>4</v>
      </c>
      <c r="H3372" s="4" t="s">
        <v>13</v>
      </c>
      <c r="I3372" s="4" t="s">
        <v>69</v>
      </c>
      <c r="J3372" s="4" t="s">
        <v>73</v>
      </c>
      <c r="K3372" s="4">
        <v>1</v>
      </c>
      <c r="L3372" s="94">
        <v>191128</v>
      </c>
      <c r="M3372" s="94">
        <v>764512</v>
      </c>
    </row>
    <row r="3373" spans="3:13" x14ac:dyDescent="0.3">
      <c r="C3373" t="s">
        <v>70</v>
      </c>
      <c r="D3373" t="s">
        <v>67</v>
      </c>
      <c r="E3373" t="s">
        <v>63</v>
      </c>
      <c r="F3373" t="s">
        <v>25</v>
      </c>
      <c r="G3373" s="4">
        <v>16</v>
      </c>
      <c r="H3373" s="4" t="s">
        <v>83</v>
      </c>
      <c r="I3373" s="4" t="s">
        <v>69</v>
      </c>
      <c r="J3373" s="4" t="s">
        <v>66</v>
      </c>
      <c r="K3373" s="4">
        <v>0</v>
      </c>
      <c r="L3373" s="94">
        <v>-3404</v>
      </c>
      <c r="M3373" s="94">
        <v>0</v>
      </c>
    </row>
    <row r="3374" spans="3:13" x14ac:dyDescent="0.3">
      <c r="C3374" t="s">
        <v>61</v>
      </c>
      <c r="D3374" t="s">
        <v>67</v>
      </c>
      <c r="E3374" t="s">
        <v>68</v>
      </c>
      <c r="F3374" t="s">
        <v>72</v>
      </c>
      <c r="G3374" s="4">
        <v>6</v>
      </c>
      <c r="H3374" s="4" t="s">
        <v>18</v>
      </c>
      <c r="I3374" s="4" t="s">
        <v>69</v>
      </c>
      <c r="J3374" s="4" t="s">
        <v>73</v>
      </c>
      <c r="K3374" s="4">
        <v>1</v>
      </c>
      <c r="L3374" s="94">
        <v>80618</v>
      </c>
      <c r="M3374" s="94">
        <v>483708</v>
      </c>
    </row>
    <row r="3375" spans="3:13" x14ac:dyDescent="0.3">
      <c r="C3375" t="s">
        <v>71</v>
      </c>
      <c r="D3375" t="s">
        <v>67</v>
      </c>
      <c r="E3375" t="s">
        <v>63</v>
      </c>
      <c r="F3375" t="s">
        <v>25</v>
      </c>
      <c r="G3375" s="4">
        <v>1</v>
      </c>
      <c r="H3375" s="4" t="s">
        <v>12</v>
      </c>
      <c r="I3375" s="4" t="s">
        <v>69</v>
      </c>
      <c r="J3375" s="4" t="s">
        <v>66</v>
      </c>
      <c r="K3375" s="4">
        <v>1</v>
      </c>
      <c r="L3375" s="94">
        <v>-41424</v>
      </c>
      <c r="M3375" s="94">
        <v>0</v>
      </c>
    </row>
    <row r="3376" spans="3:13" x14ac:dyDescent="0.3">
      <c r="C3376" t="s">
        <v>61</v>
      </c>
      <c r="D3376" t="s">
        <v>67</v>
      </c>
      <c r="E3376" t="s">
        <v>68</v>
      </c>
      <c r="F3376" t="s">
        <v>72</v>
      </c>
      <c r="G3376" s="4">
        <v>7</v>
      </c>
      <c r="H3376" s="4" t="s">
        <v>64</v>
      </c>
      <c r="I3376" s="4" t="s">
        <v>69</v>
      </c>
      <c r="J3376" s="4" t="s">
        <v>66</v>
      </c>
      <c r="K3376" s="4">
        <v>0</v>
      </c>
      <c r="L3376" s="94">
        <v>3817864</v>
      </c>
      <c r="M3376" s="94">
        <v>26725048</v>
      </c>
    </row>
    <row r="3377" spans="3:13" x14ac:dyDescent="0.3">
      <c r="C3377" t="s">
        <v>70</v>
      </c>
      <c r="D3377" t="s">
        <v>67</v>
      </c>
      <c r="E3377" t="s">
        <v>63</v>
      </c>
      <c r="F3377" t="s">
        <v>72</v>
      </c>
      <c r="G3377" s="4">
        <v>3</v>
      </c>
      <c r="H3377" s="4" t="s">
        <v>12</v>
      </c>
      <c r="I3377" s="4" t="s">
        <v>65</v>
      </c>
      <c r="J3377" s="4" t="s">
        <v>73</v>
      </c>
      <c r="K3377" s="4">
        <v>1</v>
      </c>
      <c r="L3377" s="94">
        <v>-9118</v>
      </c>
      <c r="M3377" s="94">
        <v>0</v>
      </c>
    </row>
    <row r="3378" spans="3:13" x14ac:dyDescent="0.3">
      <c r="C3378" t="s">
        <v>71</v>
      </c>
      <c r="D3378" t="s">
        <v>62</v>
      </c>
      <c r="E3378" t="s">
        <v>68</v>
      </c>
      <c r="F3378" t="s">
        <v>24</v>
      </c>
      <c r="G3378" s="4">
        <v>32</v>
      </c>
      <c r="I3378" s="4" t="s">
        <v>69</v>
      </c>
      <c r="J3378" s="4" t="s">
        <v>66</v>
      </c>
      <c r="K3378" s="4">
        <v>1</v>
      </c>
      <c r="L3378" s="94">
        <v>123160</v>
      </c>
      <c r="M3378" s="94">
        <v>3941120</v>
      </c>
    </row>
    <row r="3379" spans="3:13" x14ac:dyDescent="0.3">
      <c r="C3379" t="s">
        <v>61</v>
      </c>
      <c r="D3379" t="s">
        <v>67</v>
      </c>
      <c r="E3379" t="s">
        <v>63</v>
      </c>
      <c r="F3379" t="s">
        <v>25</v>
      </c>
      <c r="G3379" s="4">
        <v>14</v>
      </c>
      <c r="H3379" s="4" t="s">
        <v>82</v>
      </c>
      <c r="I3379" s="4" t="s">
        <v>69</v>
      </c>
      <c r="J3379" s="4" t="s">
        <v>66</v>
      </c>
      <c r="K3379" s="4">
        <v>0</v>
      </c>
      <c r="L3379" s="94">
        <v>-366</v>
      </c>
      <c r="M3379" s="94">
        <v>0</v>
      </c>
    </row>
    <row r="3380" spans="3:13" x14ac:dyDescent="0.3">
      <c r="C3380" t="s">
        <v>70</v>
      </c>
      <c r="D3380" t="s">
        <v>62</v>
      </c>
      <c r="E3380" t="s">
        <v>63</v>
      </c>
      <c r="F3380" t="s">
        <v>25</v>
      </c>
      <c r="G3380" s="4">
        <v>21</v>
      </c>
      <c r="I3380" s="4" t="s">
        <v>69</v>
      </c>
      <c r="J3380" s="4" t="s">
        <v>66</v>
      </c>
      <c r="K3380" s="4">
        <v>0</v>
      </c>
      <c r="L3380" s="94">
        <v>-1895</v>
      </c>
      <c r="M3380" s="94">
        <v>0</v>
      </c>
    </row>
    <row r="3381" spans="3:13" x14ac:dyDescent="0.3">
      <c r="C3381" t="s">
        <v>70</v>
      </c>
      <c r="D3381" t="s">
        <v>67</v>
      </c>
      <c r="E3381" t="s">
        <v>63</v>
      </c>
      <c r="F3381" t="s">
        <v>25</v>
      </c>
      <c r="G3381" s="4">
        <v>14</v>
      </c>
      <c r="H3381" s="4" t="s">
        <v>76</v>
      </c>
      <c r="I3381" s="4" t="s">
        <v>69</v>
      </c>
      <c r="J3381" s="4" t="s">
        <v>66</v>
      </c>
      <c r="K3381" s="4">
        <v>0</v>
      </c>
      <c r="L3381" s="94">
        <v>-20536</v>
      </c>
      <c r="M3381" s="94">
        <v>0</v>
      </c>
    </row>
    <row r="3382" spans="3:13" x14ac:dyDescent="0.3">
      <c r="C3382" t="s">
        <v>61</v>
      </c>
      <c r="D3382" t="s">
        <v>62</v>
      </c>
      <c r="E3382" t="s">
        <v>68</v>
      </c>
      <c r="F3382" t="s">
        <v>25</v>
      </c>
      <c r="G3382" s="4">
        <v>18</v>
      </c>
      <c r="I3382" s="4" t="s">
        <v>69</v>
      </c>
      <c r="J3382" s="4" t="s">
        <v>66</v>
      </c>
      <c r="K3382" s="4">
        <v>0</v>
      </c>
      <c r="L3382" s="94">
        <v>279834</v>
      </c>
      <c r="M3382" s="94">
        <v>5037012</v>
      </c>
    </row>
    <row r="3383" spans="3:13" x14ac:dyDescent="0.3">
      <c r="C3383" t="s">
        <v>71</v>
      </c>
      <c r="D3383" t="s">
        <v>67</v>
      </c>
      <c r="E3383" t="s">
        <v>68</v>
      </c>
      <c r="F3383" t="s">
        <v>26</v>
      </c>
      <c r="G3383" s="4">
        <v>5</v>
      </c>
      <c r="H3383" s="4" t="s">
        <v>12</v>
      </c>
      <c r="I3383" s="4" t="s">
        <v>69</v>
      </c>
      <c r="J3383" s="4" t="s">
        <v>73</v>
      </c>
      <c r="K3383" s="4">
        <v>1</v>
      </c>
      <c r="L3383" s="94">
        <v>577280</v>
      </c>
      <c r="M3383" s="94">
        <v>2886400</v>
      </c>
    </row>
    <row r="3384" spans="3:13" x14ac:dyDescent="0.3">
      <c r="C3384" t="s">
        <v>70</v>
      </c>
      <c r="D3384" t="s">
        <v>67</v>
      </c>
      <c r="E3384" t="s">
        <v>68</v>
      </c>
      <c r="F3384" t="s">
        <v>25</v>
      </c>
      <c r="G3384" s="4">
        <v>6</v>
      </c>
      <c r="H3384" s="4" t="s">
        <v>64</v>
      </c>
      <c r="I3384" s="4" t="s">
        <v>69</v>
      </c>
      <c r="J3384" s="4" t="s">
        <v>66</v>
      </c>
      <c r="K3384" s="4">
        <v>0</v>
      </c>
      <c r="L3384" s="94">
        <v>45426</v>
      </c>
      <c r="M3384" s="94">
        <v>272556</v>
      </c>
    </row>
    <row r="3385" spans="3:13" x14ac:dyDescent="0.3">
      <c r="C3385" t="s">
        <v>61</v>
      </c>
      <c r="D3385" t="s">
        <v>62</v>
      </c>
      <c r="E3385" t="s">
        <v>63</v>
      </c>
      <c r="F3385" t="s">
        <v>25</v>
      </c>
      <c r="G3385" s="4">
        <v>12</v>
      </c>
      <c r="I3385" s="4" t="s">
        <v>65</v>
      </c>
      <c r="J3385" s="4" t="s">
        <v>66</v>
      </c>
      <c r="K3385" s="4">
        <v>1</v>
      </c>
      <c r="L3385" s="94">
        <v>-91</v>
      </c>
      <c r="M3385" s="94">
        <v>0</v>
      </c>
    </row>
    <row r="3386" spans="3:13" x14ac:dyDescent="0.3">
      <c r="C3386" t="s">
        <v>61</v>
      </c>
      <c r="D3386" t="s">
        <v>67</v>
      </c>
      <c r="E3386" t="s">
        <v>63</v>
      </c>
      <c r="F3386" t="s">
        <v>26</v>
      </c>
      <c r="G3386" s="4">
        <v>11</v>
      </c>
      <c r="H3386" s="4" t="s">
        <v>17</v>
      </c>
      <c r="I3386" s="4" t="s">
        <v>69</v>
      </c>
      <c r="J3386" s="4" t="s">
        <v>66</v>
      </c>
      <c r="K3386" s="4">
        <v>0</v>
      </c>
      <c r="L3386" s="94">
        <v>-26156</v>
      </c>
      <c r="M3386" s="94">
        <v>0</v>
      </c>
    </row>
    <row r="3387" spans="3:13" x14ac:dyDescent="0.3">
      <c r="C3387" t="s">
        <v>70</v>
      </c>
      <c r="D3387" t="s">
        <v>67</v>
      </c>
      <c r="E3387" t="s">
        <v>68</v>
      </c>
      <c r="F3387" t="s">
        <v>25</v>
      </c>
      <c r="G3387" s="4">
        <v>15</v>
      </c>
      <c r="H3387" s="4" t="s">
        <v>76</v>
      </c>
      <c r="I3387" s="4" t="s">
        <v>69</v>
      </c>
      <c r="J3387" s="4" t="s">
        <v>66</v>
      </c>
      <c r="K3387" s="4">
        <v>0</v>
      </c>
      <c r="L3387" s="94">
        <v>741079</v>
      </c>
      <c r="M3387" s="94">
        <v>11116185</v>
      </c>
    </row>
    <row r="3388" spans="3:13" x14ac:dyDescent="0.3">
      <c r="C3388" t="s">
        <v>70</v>
      </c>
      <c r="D3388" t="s">
        <v>67</v>
      </c>
      <c r="E3388" t="s">
        <v>63</v>
      </c>
      <c r="F3388" t="s">
        <v>25</v>
      </c>
      <c r="G3388" s="4">
        <v>5</v>
      </c>
      <c r="H3388" s="4" t="s">
        <v>64</v>
      </c>
      <c r="I3388" s="4" t="s">
        <v>69</v>
      </c>
      <c r="J3388" s="4" t="s">
        <v>66</v>
      </c>
      <c r="K3388" s="4">
        <v>0</v>
      </c>
      <c r="L3388" s="94">
        <v>-33042</v>
      </c>
      <c r="M3388" s="94">
        <v>0</v>
      </c>
    </row>
    <row r="3389" spans="3:13" x14ac:dyDescent="0.3">
      <c r="C3389" t="s">
        <v>71</v>
      </c>
      <c r="D3389" t="s">
        <v>67</v>
      </c>
      <c r="E3389" t="s">
        <v>63</v>
      </c>
      <c r="F3389" t="s">
        <v>25</v>
      </c>
      <c r="G3389" s="4">
        <v>6</v>
      </c>
      <c r="H3389" s="4" t="s">
        <v>12</v>
      </c>
      <c r="I3389" s="4" t="s">
        <v>69</v>
      </c>
      <c r="J3389" s="4" t="s">
        <v>66</v>
      </c>
      <c r="K3389" s="4">
        <v>1</v>
      </c>
      <c r="L3389" s="94">
        <v>-142713</v>
      </c>
      <c r="M3389" s="94">
        <v>0</v>
      </c>
    </row>
    <row r="3390" spans="3:13" x14ac:dyDescent="0.3">
      <c r="C3390" t="s">
        <v>71</v>
      </c>
      <c r="D3390" t="s">
        <v>67</v>
      </c>
      <c r="E3390" t="s">
        <v>63</v>
      </c>
      <c r="F3390" t="s">
        <v>26</v>
      </c>
      <c r="G3390" s="4">
        <v>-1</v>
      </c>
      <c r="H3390" s="4" t="s">
        <v>17</v>
      </c>
      <c r="I3390" s="4" t="s">
        <v>65</v>
      </c>
      <c r="J3390" s="4" t="s">
        <v>66</v>
      </c>
      <c r="K3390" s="4">
        <v>1</v>
      </c>
      <c r="L3390" s="94">
        <v>-85991</v>
      </c>
      <c r="M3390" s="94">
        <v>0</v>
      </c>
    </row>
    <row r="3391" spans="3:13" x14ac:dyDescent="0.3">
      <c r="C3391" t="s">
        <v>70</v>
      </c>
      <c r="D3391" t="s">
        <v>67</v>
      </c>
      <c r="E3391" t="s">
        <v>63</v>
      </c>
      <c r="F3391" t="s">
        <v>72</v>
      </c>
      <c r="G3391" s="4">
        <v>5</v>
      </c>
      <c r="H3391" s="4" t="s">
        <v>12</v>
      </c>
      <c r="I3391" s="4" t="s">
        <v>65</v>
      </c>
      <c r="J3391" s="4" t="s">
        <v>73</v>
      </c>
      <c r="K3391" s="4">
        <v>1</v>
      </c>
      <c r="L3391" s="94">
        <v>-3584</v>
      </c>
      <c r="M3391" s="94">
        <v>0</v>
      </c>
    </row>
    <row r="3392" spans="3:13" x14ac:dyDescent="0.3">
      <c r="C3392" t="s">
        <v>70</v>
      </c>
      <c r="D3392" t="s">
        <v>62</v>
      </c>
      <c r="E3392" t="s">
        <v>68</v>
      </c>
      <c r="F3392" t="s">
        <v>24</v>
      </c>
      <c r="G3392" s="4">
        <v>12</v>
      </c>
      <c r="I3392" s="4" t="s">
        <v>69</v>
      </c>
      <c r="J3392" s="4" t="s">
        <v>66</v>
      </c>
      <c r="K3392" s="4">
        <v>0</v>
      </c>
      <c r="L3392" s="94">
        <v>16808052</v>
      </c>
      <c r="M3392" s="94">
        <v>201696624</v>
      </c>
    </row>
    <row r="3393" spans="3:13" x14ac:dyDescent="0.3">
      <c r="C3393" t="s">
        <v>71</v>
      </c>
      <c r="D3393" t="s">
        <v>67</v>
      </c>
      <c r="E3393" t="s">
        <v>63</v>
      </c>
      <c r="F3393" t="s">
        <v>26</v>
      </c>
      <c r="G3393" s="4">
        <v>-1</v>
      </c>
      <c r="H3393" s="4" t="s">
        <v>12</v>
      </c>
      <c r="I3393" s="4" t="s">
        <v>69</v>
      </c>
      <c r="J3393" s="4" t="s">
        <v>73</v>
      </c>
      <c r="K3393" s="4">
        <v>1</v>
      </c>
      <c r="L3393" s="94">
        <v>-928893</v>
      </c>
      <c r="M3393" s="94">
        <v>0</v>
      </c>
    </row>
    <row r="3394" spans="3:13" x14ac:dyDescent="0.3">
      <c r="C3394" t="s">
        <v>61</v>
      </c>
      <c r="D3394" t="s">
        <v>67</v>
      </c>
      <c r="E3394" t="s">
        <v>63</v>
      </c>
      <c r="F3394" t="s">
        <v>72</v>
      </c>
      <c r="G3394" s="4">
        <v>-4</v>
      </c>
      <c r="H3394" s="4" t="s">
        <v>83</v>
      </c>
      <c r="I3394" s="4" t="s">
        <v>69</v>
      </c>
      <c r="J3394" s="4" t="s">
        <v>66</v>
      </c>
      <c r="K3394" s="4">
        <v>0</v>
      </c>
      <c r="L3394" s="94">
        <v>0</v>
      </c>
      <c r="M3394" s="94">
        <v>0</v>
      </c>
    </row>
    <row r="3395" spans="3:13" x14ac:dyDescent="0.3">
      <c r="C3395" t="s">
        <v>71</v>
      </c>
      <c r="D3395" t="s">
        <v>67</v>
      </c>
      <c r="E3395" t="s">
        <v>63</v>
      </c>
      <c r="F3395" t="s">
        <v>26</v>
      </c>
      <c r="G3395" s="4">
        <v>6</v>
      </c>
      <c r="H3395" s="4" t="s">
        <v>18</v>
      </c>
      <c r="I3395" s="4" t="s">
        <v>69</v>
      </c>
      <c r="J3395" s="4" t="s">
        <v>66</v>
      </c>
      <c r="K3395" s="4">
        <v>0</v>
      </c>
      <c r="L3395" s="94">
        <v>-844293</v>
      </c>
      <c r="M3395" s="94">
        <v>0</v>
      </c>
    </row>
    <row r="3396" spans="3:13" x14ac:dyDescent="0.3">
      <c r="C3396" t="s">
        <v>61</v>
      </c>
      <c r="D3396" t="s">
        <v>67</v>
      </c>
      <c r="E3396" t="s">
        <v>63</v>
      </c>
      <c r="F3396" t="s">
        <v>72</v>
      </c>
      <c r="G3396" s="4">
        <v>3</v>
      </c>
      <c r="H3396" s="4" t="s">
        <v>15</v>
      </c>
      <c r="I3396" s="4" t="s">
        <v>69</v>
      </c>
      <c r="J3396" s="4" t="s">
        <v>66</v>
      </c>
      <c r="K3396" s="4">
        <v>0</v>
      </c>
      <c r="L3396" s="94">
        <v>-2371</v>
      </c>
      <c r="M3396" s="94">
        <v>0</v>
      </c>
    </row>
    <row r="3397" spans="3:13" x14ac:dyDescent="0.3">
      <c r="C3397" t="s">
        <v>61</v>
      </c>
      <c r="D3397" t="s">
        <v>62</v>
      </c>
      <c r="E3397" t="s">
        <v>68</v>
      </c>
      <c r="F3397" t="s">
        <v>24</v>
      </c>
      <c r="G3397" s="4">
        <v>12</v>
      </c>
      <c r="I3397" s="4" t="s">
        <v>65</v>
      </c>
      <c r="J3397" s="4" t="s">
        <v>66</v>
      </c>
      <c r="K3397" s="4">
        <v>1</v>
      </c>
      <c r="L3397" s="94">
        <v>2976778</v>
      </c>
      <c r="M3397" s="94">
        <v>35721336</v>
      </c>
    </row>
    <row r="3398" spans="3:13" x14ac:dyDescent="0.3">
      <c r="C3398" t="s">
        <v>70</v>
      </c>
      <c r="D3398" t="s">
        <v>67</v>
      </c>
      <c r="E3398" t="s">
        <v>68</v>
      </c>
      <c r="F3398" t="s">
        <v>72</v>
      </c>
      <c r="G3398" s="4">
        <v>3</v>
      </c>
      <c r="H3398" s="4" t="s">
        <v>74</v>
      </c>
      <c r="I3398" s="4" t="s">
        <v>69</v>
      </c>
      <c r="J3398" s="4" t="s">
        <v>66</v>
      </c>
      <c r="K3398" s="4">
        <v>0</v>
      </c>
      <c r="L3398" s="94">
        <v>750208</v>
      </c>
      <c r="M3398" s="94">
        <v>2250624</v>
      </c>
    </row>
    <row r="3399" spans="3:13" x14ac:dyDescent="0.3">
      <c r="C3399" t="s">
        <v>71</v>
      </c>
      <c r="D3399" t="s">
        <v>67</v>
      </c>
      <c r="E3399" t="s">
        <v>68</v>
      </c>
      <c r="F3399" t="s">
        <v>72</v>
      </c>
      <c r="G3399" s="4">
        <v>-4</v>
      </c>
      <c r="H3399" s="4" t="s">
        <v>18</v>
      </c>
      <c r="I3399" s="4" t="s">
        <v>69</v>
      </c>
      <c r="J3399" s="4" t="s">
        <v>73</v>
      </c>
      <c r="K3399" s="4">
        <v>1</v>
      </c>
      <c r="L3399" s="94">
        <v>8499</v>
      </c>
      <c r="M3399" s="94">
        <v>0</v>
      </c>
    </row>
    <row r="3400" spans="3:13" x14ac:dyDescent="0.3">
      <c r="C3400" t="s">
        <v>71</v>
      </c>
      <c r="D3400" t="s">
        <v>67</v>
      </c>
      <c r="E3400" t="s">
        <v>68</v>
      </c>
      <c r="F3400" t="s">
        <v>26</v>
      </c>
      <c r="G3400" s="4">
        <v>3</v>
      </c>
      <c r="H3400" s="4" t="s">
        <v>12</v>
      </c>
      <c r="I3400" s="4" t="s">
        <v>69</v>
      </c>
      <c r="J3400" s="4" t="s">
        <v>73</v>
      </c>
      <c r="K3400" s="4">
        <v>1</v>
      </c>
      <c r="L3400" s="94">
        <v>340896</v>
      </c>
      <c r="M3400" s="94">
        <v>1022688</v>
      </c>
    </row>
    <row r="3401" spans="3:13" x14ac:dyDescent="0.3">
      <c r="C3401" t="s">
        <v>61</v>
      </c>
      <c r="D3401" t="s">
        <v>67</v>
      </c>
      <c r="E3401" t="s">
        <v>68</v>
      </c>
      <c r="F3401" t="s">
        <v>25</v>
      </c>
      <c r="G3401" s="4">
        <v>1</v>
      </c>
      <c r="H3401" s="4" t="s">
        <v>14</v>
      </c>
      <c r="I3401" s="4" t="s">
        <v>69</v>
      </c>
      <c r="J3401" s="4" t="s">
        <v>66</v>
      </c>
      <c r="K3401" s="4">
        <v>1</v>
      </c>
      <c r="L3401" s="94">
        <v>497998</v>
      </c>
      <c r="M3401" s="94">
        <v>497998</v>
      </c>
    </row>
    <row r="3402" spans="3:13" x14ac:dyDescent="0.3">
      <c r="C3402" t="s">
        <v>61</v>
      </c>
      <c r="D3402" t="s">
        <v>67</v>
      </c>
      <c r="E3402" t="s">
        <v>68</v>
      </c>
      <c r="F3402" t="s">
        <v>25</v>
      </c>
      <c r="G3402" s="4">
        <v>9</v>
      </c>
      <c r="H3402" s="4" t="s">
        <v>76</v>
      </c>
      <c r="I3402" s="4" t="s">
        <v>65</v>
      </c>
      <c r="J3402" s="4" t="s">
        <v>66</v>
      </c>
      <c r="K3402" s="4">
        <v>1</v>
      </c>
      <c r="L3402" s="94">
        <v>266303</v>
      </c>
      <c r="M3402" s="94">
        <v>2396727</v>
      </c>
    </row>
    <row r="3403" spans="3:13" x14ac:dyDescent="0.3">
      <c r="C3403" t="s">
        <v>61</v>
      </c>
      <c r="D3403" t="s">
        <v>62</v>
      </c>
      <c r="E3403" t="s">
        <v>63</v>
      </c>
      <c r="F3403" t="s">
        <v>25</v>
      </c>
      <c r="G3403" s="4">
        <v>20</v>
      </c>
      <c r="I3403" s="4" t="s">
        <v>69</v>
      </c>
      <c r="J3403" s="4" t="s">
        <v>66</v>
      </c>
      <c r="K3403" s="4">
        <v>0</v>
      </c>
      <c r="L3403" s="94">
        <v>-1312</v>
      </c>
      <c r="M3403" s="94">
        <v>0</v>
      </c>
    </row>
    <row r="3404" spans="3:13" x14ac:dyDescent="0.3">
      <c r="C3404" t="s">
        <v>70</v>
      </c>
      <c r="D3404" t="s">
        <v>67</v>
      </c>
      <c r="E3404" t="s">
        <v>63</v>
      </c>
      <c r="F3404" t="s">
        <v>26</v>
      </c>
      <c r="G3404" s="4">
        <v>3</v>
      </c>
      <c r="H3404" s="4" t="s">
        <v>18</v>
      </c>
      <c r="I3404" s="4" t="s">
        <v>65</v>
      </c>
      <c r="J3404" s="4" t="s">
        <v>66</v>
      </c>
      <c r="K3404" s="4">
        <v>1</v>
      </c>
      <c r="L3404" s="94">
        <v>-8570</v>
      </c>
      <c r="M3404" s="94">
        <v>0</v>
      </c>
    </row>
    <row r="3405" spans="3:13" x14ac:dyDescent="0.3">
      <c r="C3405" t="s">
        <v>71</v>
      </c>
      <c r="D3405" t="s">
        <v>67</v>
      </c>
      <c r="E3405" t="s">
        <v>68</v>
      </c>
      <c r="F3405" t="s">
        <v>72</v>
      </c>
      <c r="G3405" s="4">
        <v>1</v>
      </c>
      <c r="H3405" s="4" t="s">
        <v>14</v>
      </c>
      <c r="I3405" s="4" t="s">
        <v>65</v>
      </c>
      <c r="J3405" s="4" t="s">
        <v>66</v>
      </c>
      <c r="K3405" s="4">
        <v>1</v>
      </c>
      <c r="L3405" s="94">
        <v>20706</v>
      </c>
      <c r="M3405" s="94">
        <v>20706</v>
      </c>
    </row>
    <row r="3406" spans="3:13" x14ac:dyDescent="0.3">
      <c r="C3406" t="s">
        <v>71</v>
      </c>
      <c r="D3406" t="s">
        <v>67</v>
      </c>
      <c r="E3406" t="s">
        <v>68</v>
      </c>
      <c r="F3406" t="s">
        <v>26</v>
      </c>
      <c r="G3406" s="4">
        <v>3</v>
      </c>
      <c r="H3406" s="4" t="s">
        <v>17</v>
      </c>
      <c r="I3406" s="4" t="s">
        <v>65</v>
      </c>
      <c r="J3406" s="4" t="s">
        <v>66</v>
      </c>
      <c r="K3406" s="4">
        <v>1</v>
      </c>
      <c r="L3406" s="94">
        <v>4077311</v>
      </c>
      <c r="M3406" s="94">
        <v>12231933</v>
      </c>
    </row>
    <row r="3407" spans="3:13" x14ac:dyDescent="0.3">
      <c r="C3407" t="s">
        <v>61</v>
      </c>
      <c r="D3407" t="s">
        <v>67</v>
      </c>
      <c r="E3407" t="s">
        <v>68</v>
      </c>
      <c r="F3407" t="s">
        <v>72</v>
      </c>
      <c r="G3407" s="4">
        <v>5</v>
      </c>
      <c r="H3407" s="4" t="s">
        <v>12</v>
      </c>
      <c r="I3407" s="4" t="s">
        <v>69</v>
      </c>
      <c r="J3407" s="4" t="s">
        <v>73</v>
      </c>
      <c r="K3407" s="4">
        <v>1</v>
      </c>
      <c r="L3407" s="94">
        <v>1761470</v>
      </c>
      <c r="M3407" s="94">
        <v>8807350</v>
      </c>
    </row>
    <row r="3408" spans="3:13" x14ac:dyDescent="0.3">
      <c r="C3408" t="s">
        <v>70</v>
      </c>
      <c r="D3408" t="s">
        <v>67</v>
      </c>
      <c r="E3408" t="s">
        <v>63</v>
      </c>
      <c r="F3408" t="s">
        <v>72</v>
      </c>
      <c r="G3408" s="4">
        <v>7</v>
      </c>
      <c r="H3408" s="4" t="s">
        <v>83</v>
      </c>
      <c r="I3408" s="4" t="s">
        <v>69</v>
      </c>
      <c r="J3408" s="4" t="s">
        <v>66</v>
      </c>
      <c r="K3408" s="4">
        <v>0</v>
      </c>
      <c r="L3408" s="94">
        <v>-13536</v>
      </c>
      <c r="M3408" s="94">
        <v>0</v>
      </c>
    </row>
    <row r="3409" spans="3:13" x14ac:dyDescent="0.3">
      <c r="C3409" t="s">
        <v>70</v>
      </c>
      <c r="D3409" t="s">
        <v>67</v>
      </c>
      <c r="E3409" t="s">
        <v>63</v>
      </c>
      <c r="F3409" t="s">
        <v>25</v>
      </c>
      <c r="G3409" s="4">
        <v>11</v>
      </c>
      <c r="H3409" s="4" t="s">
        <v>12</v>
      </c>
      <c r="I3409" s="4" t="s">
        <v>69</v>
      </c>
      <c r="J3409" s="4" t="s">
        <v>66</v>
      </c>
      <c r="K3409" s="4">
        <v>1</v>
      </c>
      <c r="L3409" s="94">
        <v>-33075</v>
      </c>
      <c r="M3409" s="94">
        <v>0</v>
      </c>
    </row>
    <row r="3410" spans="3:13" x14ac:dyDescent="0.3">
      <c r="C3410" t="s">
        <v>61</v>
      </c>
      <c r="D3410" t="s">
        <v>67</v>
      </c>
      <c r="E3410" t="s">
        <v>68</v>
      </c>
      <c r="F3410" t="s">
        <v>72</v>
      </c>
      <c r="G3410" s="4">
        <v>4</v>
      </c>
      <c r="H3410" s="4" t="s">
        <v>82</v>
      </c>
      <c r="I3410" s="4" t="s">
        <v>69</v>
      </c>
      <c r="J3410" s="4" t="s">
        <v>66</v>
      </c>
      <c r="K3410" s="4">
        <v>0</v>
      </c>
      <c r="L3410" s="94">
        <v>22023746</v>
      </c>
      <c r="M3410" s="94">
        <v>88094984</v>
      </c>
    </row>
    <row r="3411" spans="3:13" x14ac:dyDescent="0.3">
      <c r="C3411" t="s">
        <v>71</v>
      </c>
      <c r="D3411" t="s">
        <v>67</v>
      </c>
      <c r="E3411" t="s">
        <v>63</v>
      </c>
      <c r="F3411" t="s">
        <v>25</v>
      </c>
      <c r="G3411" s="4">
        <v>13</v>
      </c>
      <c r="H3411" s="4" t="s">
        <v>64</v>
      </c>
      <c r="I3411" s="4" t="s">
        <v>69</v>
      </c>
      <c r="J3411" s="4" t="s">
        <v>66</v>
      </c>
      <c r="K3411" s="4">
        <v>0</v>
      </c>
      <c r="L3411" s="94">
        <v>-215812</v>
      </c>
      <c r="M3411" s="94">
        <v>0</v>
      </c>
    </row>
    <row r="3412" spans="3:13" x14ac:dyDescent="0.3">
      <c r="C3412" t="s">
        <v>61</v>
      </c>
      <c r="D3412" t="s">
        <v>67</v>
      </c>
      <c r="E3412" t="s">
        <v>63</v>
      </c>
      <c r="F3412" t="s">
        <v>72</v>
      </c>
      <c r="G3412" s="4">
        <v>5</v>
      </c>
      <c r="H3412" s="4" t="s">
        <v>12</v>
      </c>
      <c r="I3412" s="4" t="s">
        <v>65</v>
      </c>
      <c r="J3412" s="4" t="s">
        <v>73</v>
      </c>
      <c r="K3412" s="4">
        <v>1</v>
      </c>
      <c r="L3412" s="94">
        <v>-99</v>
      </c>
      <c r="M3412" s="94">
        <v>0</v>
      </c>
    </row>
    <row r="3413" spans="3:13" x14ac:dyDescent="0.3">
      <c r="C3413" t="s">
        <v>61</v>
      </c>
      <c r="D3413" t="s">
        <v>67</v>
      </c>
      <c r="E3413" t="s">
        <v>63</v>
      </c>
      <c r="F3413" t="s">
        <v>25</v>
      </c>
      <c r="G3413" s="4">
        <v>14</v>
      </c>
      <c r="H3413" s="4" t="s">
        <v>17</v>
      </c>
      <c r="I3413" s="4" t="s">
        <v>69</v>
      </c>
      <c r="J3413" s="4" t="s">
        <v>66</v>
      </c>
      <c r="K3413" s="4">
        <v>0</v>
      </c>
      <c r="L3413" s="94">
        <v>-3714</v>
      </c>
      <c r="M3413" s="94">
        <v>0</v>
      </c>
    </row>
    <row r="3414" spans="3:13" x14ac:dyDescent="0.3">
      <c r="C3414" t="s">
        <v>61</v>
      </c>
      <c r="D3414" t="s">
        <v>62</v>
      </c>
      <c r="E3414" t="s">
        <v>68</v>
      </c>
      <c r="F3414" t="s">
        <v>24</v>
      </c>
      <c r="G3414" s="4">
        <v>35</v>
      </c>
      <c r="I3414" s="4" t="s">
        <v>65</v>
      </c>
      <c r="J3414" s="4" t="s">
        <v>66</v>
      </c>
      <c r="K3414" s="4">
        <v>1</v>
      </c>
      <c r="L3414" s="94">
        <v>23115071</v>
      </c>
      <c r="M3414" s="94">
        <v>809027485</v>
      </c>
    </row>
    <row r="3415" spans="3:13" x14ac:dyDescent="0.3">
      <c r="C3415" t="s">
        <v>70</v>
      </c>
      <c r="D3415" t="s">
        <v>67</v>
      </c>
      <c r="E3415" t="s">
        <v>63</v>
      </c>
      <c r="F3415" t="s">
        <v>25</v>
      </c>
      <c r="G3415" s="4">
        <v>14</v>
      </c>
      <c r="H3415" s="4" t="s">
        <v>18</v>
      </c>
      <c r="I3415" s="4" t="s">
        <v>69</v>
      </c>
      <c r="J3415" s="4" t="s">
        <v>66</v>
      </c>
      <c r="K3415" s="4">
        <v>0</v>
      </c>
      <c r="L3415" s="94">
        <v>-28139</v>
      </c>
      <c r="M3415" s="94">
        <v>0</v>
      </c>
    </row>
    <row r="3416" spans="3:13" x14ac:dyDescent="0.3">
      <c r="C3416" t="s">
        <v>70</v>
      </c>
      <c r="D3416" t="s">
        <v>67</v>
      </c>
      <c r="E3416" t="s">
        <v>68</v>
      </c>
      <c r="F3416" t="s">
        <v>72</v>
      </c>
      <c r="G3416" s="4">
        <v>-4</v>
      </c>
      <c r="H3416" s="4" t="s">
        <v>16</v>
      </c>
      <c r="I3416" s="4" t="s">
        <v>69</v>
      </c>
      <c r="J3416" s="4" t="s">
        <v>66</v>
      </c>
      <c r="K3416" s="4">
        <v>0</v>
      </c>
      <c r="L3416" s="94">
        <v>71</v>
      </c>
      <c r="M3416" s="94">
        <v>0</v>
      </c>
    </row>
    <row r="3417" spans="3:13" x14ac:dyDescent="0.3">
      <c r="C3417" t="s">
        <v>61</v>
      </c>
      <c r="D3417" t="s">
        <v>62</v>
      </c>
      <c r="E3417" t="s">
        <v>68</v>
      </c>
      <c r="F3417" t="s">
        <v>24</v>
      </c>
      <c r="G3417" s="4">
        <v>10</v>
      </c>
      <c r="I3417" s="4" t="s">
        <v>69</v>
      </c>
      <c r="J3417" s="4" t="s">
        <v>66</v>
      </c>
      <c r="K3417" s="4">
        <v>1</v>
      </c>
      <c r="L3417" s="94">
        <v>934698</v>
      </c>
      <c r="M3417" s="94">
        <v>9346980</v>
      </c>
    </row>
    <row r="3418" spans="3:13" x14ac:dyDescent="0.3">
      <c r="C3418" t="s">
        <v>70</v>
      </c>
      <c r="D3418" t="s">
        <v>67</v>
      </c>
      <c r="E3418" t="s">
        <v>68</v>
      </c>
      <c r="F3418" t="s">
        <v>72</v>
      </c>
      <c r="G3418" s="4">
        <v>1</v>
      </c>
      <c r="H3418" s="4" t="s">
        <v>17</v>
      </c>
      <c r="I3418" s="4" t="s">
        <v>69</v>
      </c>
      <c r="J3418" s="4" t="s">
        <v>66</v>
      </c>
      <c r="K3418" s="4">
        <v>0</v>
      </c>
      <c r="L3418" s="94">
        <v>566731</v>
      </c>
      <c r="M3418" s="94">
        <v>566731</v>
      </c>
    </row>
    <row r="3419" spans="3:13" x14ac:dyDescent="0.3">
      <c r="C3419" t="s">
        <v>71</v>
      </c>
      <c r="D3419" t="s">
        <v>67</v>
      </c>
      <c r="E3419" t="s">
        <v>63</v>
      </c>
      <c r="F3419" t="s">
        <v>25</v>
      </c>
      <c r="G3419" s="4">
        <v>3</v>
      </c>
      <c r="H3419" s="4" t="s">
        <v>78</v>
      </c>
      <c r="I3419" s="4" t="s">
        <v>69</v>
      </c>
      <c r="J3419" s="4" t="s">
        <v>66</v>
      </c>
      <c r="K3419" s="4">
        <v>0</v>
      </c>
      <c r="L3419" s="94">
        <v>-39704</v>
      </c>
      <c r="M3419" s="94">
        <v>0</v>
      </c>
    </row>
    <row r="3420" spans="3:13" x14ac:dyDescent="0.3">
      <c r="C3420" t="s">
        <v>61</v>
      </c>
      <c r="D3420" t="s">
        <v>62</v>
      </c>
      <c r="E3420" t="s">
        <v>68</v>
      </c>
      <c r="F3420" t="s">
        <v>24</v>
      </c>
      <c r="G3420" s="4">
        <v>7</v>
      </c>
      <c r="I3420" s="4" t="s">
        <v>69</v>
      </c>
      <c r="J3420" s="4" t="s">
        <v>66</v>
      </c>
      <c r="K3420" s="4">
        <v>0</v>
      </c>
      <c r="L3420" s="94">
        <v>152487288</v>
      </c>
      <c r="M3420" s="94">
        <v>1067411016</v>
      </c>
    </row>
    <row r="3421" spans="3:13" x14ac:dyDescent="0.3">
      <c r="C3421" t="s">
        <v>61</v>
      </c>
      <c r="D3421" t="s">
        <v>67</v>
      </c>
      <c r="E3421" t="s">
        <v>68</v>
      </c>
      <c r="F3421" t="s">
        <v>26</v>
      </c>
      <c r="G3421" s="4">
        <v>1</v>
      </c>
      <c r="H3421" s="4" t="s">
        <v>12</v>
      </c>
      <c r="I3421" s="4" t="s">
        <v>65</v>
      </c>
      <c r="J3421" s="4" t="s">
        <v>73</v>
      </c>
      <c r="K3421" s="4">
        <v>1</v>
      </c>
      <c r="L3421" s="94">
        <v>383779</v>
      </c>
      <c r="M3421" s="94">
        <v>383779</v>
      </c>
    </row>
    <row r="3422" spans="3:13" x14ac:dyDescent="0.3">
      <c r="C3422" t="s">
        <v>61</v>
      </c>
      <c r="D3422" t="s">
        <v>67</v>
      </c>
      <c r="E3422" t="s">
        <v>63</v>
      </c>
      <c r="F3422" t="s">
        <v>25</v>
      </c>
      <c r="G3422" s="4">
        <v>22</v>
      </c>
      <c r="H3422" s="4" t="s">
        <v>79</v>
      </c>
      <c r="I3422" s="4" t="s">
        <v>69</v>
      </c>
      <c r="J3422" s="4" t="s">
        <v>66</v>
      </c>
      <c r="K3422" s="4">
        <v>0</v>
      </c>
      <c r="L3422" s="94">
        <v>-90</v>
      </c>
      <c r="M3422" s="94">
        <v>0</v>
      </c>
    </row>
    <row r="3423" spans="3:13" x14ac:dyDescent="0.3">
      <c r="C3423" t="s">
        <v>61</v>
      </c>
      <c r="D3423" t="s">
        <v>67</v>
      </c>
      <c r="E3423" t="s">
        <v>68</v>
      </c>
      <c r="F3423" t="s">
        <v>25</v>
      </c>
      <c r="G3423" s="4">
        <v>2</v>
      </c>
      <c r="H3423" s="4" t="s">
        <v>14</v>
      </c>
      <c r="I3423" s="4" t="s">
        <v>69</v>
      </c>
      <c r="J3423" s="4" t="s">
        <v>66</v>
      </c>
      <c r="K3423" s="4">
        <v>0</v>
      </c>
      <c r="L3423" s="94">
        <v>4338879</v>
      </c>
      <c r="M3423" s="94">
        <v>8677758</v>
      </c>
    </row>
    <row r="3424" spans="3:13" x14ac:dyDescent="0.3">
      <c r="C3424" t="s">
        <v>70</v>
      </c>
      <c r="D3424" t="s">
        <v>62</v>
      </c>
      <c r="E3424" t="s">
        <v>68</v>
      </c>
      <c r="F3424" t="s">
        <v>24</v>
      </c>
      <c r="G3424" s="4">
        <v>35</v>
      </c>
      <c r="I3424" s="4" t="s">
        <v>69</v>
      </c>
      <c r="J3424" s="4" t="s">
        <v>66</v>
      </c>
      <c r="K3424" s="4">
        <v>0</v>
      </c>
      <c r="L3424" s="94">
        <v>56312663</v>
      </c>
      <c r="M3424" s="94">
        <v>1970943205</v>
      </c>
    </row>
    <row r="3425" spans="3:13" x14ac:dyDescent="0.3">
      <c r="C3425" t="s">
        <v>61</v>
      </c>
      <c r="D3425" t="s">
        <v>67</v>
      </c>
      <c r="E3425" t="s">
        <v>68</v>
      </c>
      <c r="F3425" t="s">
        <v>25</v>
      </c>
      <c r="G3425" s="4">
        <v>5</v>
      </c>
      <c r="H3425" s="4" t="s">
        <v>18</v>
      </c>
      <c r="I3425" s="4" t="s">
        <v>69</v>
      </c>
      <c r="J3425" s="4" t="s">
        <v>66</v>
      </c>
      <c r="K3425" s="4">
        <v>0</v>
      </c>
      <c r="L3425" s="94">
        <v>9734351</v>
      </c>
      <c r="M3425" s="94">
        <v>48671755</v>
      </c>
    </row>
    <row r="3426" spans="3:13" x14ac:dyDescent="0.3">
      <c r="C3426" t="s">
        <v>61</v>
      </c>
      <c r="D3426" t="s">
        <v>67</v>
      </c>
      <c r="E3426" t="s">
        <v>63</v>
      </c>
      <c r="F3426" t="s">
        <v>26</v>
      </c>
      <c r="G3426" s="4">
        <v>-1</v>
      </c>
      <c r="H3426" s="4" t="s">
        <v>15</v>
      </c>
      <c r="I3426" s="4" t="s">
        <v>65</v>
      </c>
      <c r="J3426" s="4" t="s">
        <v>66</v>
      </c>
      <c r="K3426" s="4">
        <v>1</v>
      </c>
      <c r="L3426" s="94">
        <v>-2</v>
      </c>
      <c r="M3426" s="94">
        <v>0</v>
      </c>
    </row>
    <row r="3427" spans="3:13" x14ac:dyDescent="0.3">
      <c r="C3427" t="s">
        <v>61</v>
      </c>
      <c r="D3427" t="s">
        <v>67</v>
      </c>
      <c r="E3427" t="s">
        <v>63</v>
      </c>
      <c r="F3427" t="s">
        <v>26</v>
      </c>
      <c r="G3427" s="4">
        <v>3</v>
      </c>
      <c r="H3427" s="4" t="s">
        <v>12</v>
      </c>
      <c r="I3427" s="4" t="s">
        <v>65</v>
      </c>
      <c r="J3427" s="4" t="s">
        <v>73</v>
      </c>
      <c r="K3427" s="4">
        <v>1</v>
      </c>
      <c r="L3427" s="94">
        <v>-2959</v>
      </c>
      <c r="M3427" s="94">
        <v>0</v>
      </c>
    </row>
    <row r="3428" spans="3:13" x14ac:dyDescent="0.3">
      <c r="C3428" t="s">
        <v>70</v>
      </c>
      <c r="D3428" t="s">
        <v>67</v>
      </c>
      <c r="E3428" t="s">
        <v>63</v>
      </c>
      <c r="F3428" t="s">
        <v>25</v>
      </c>
      <c r="G3428" s="4">
        <v>19</v>
      </c>
      <c r="H3428" s="4" t="s">
        <v>79</v>
      </c>
      <c r="I3428" s="4" t="s">
        <v>69</v>
      </c>
      <c r="J3428" s="4" t="s">
        <v>66</v>
      </c>
      <c r="K3428" s="4">
        <v>0</v>
      </c>
      <c r="L3428" s="94">
        <v>-31588</v>
      </c>
      <c r="M3428" s="94">
        <v>0</v>
      </c>
    </row>
    <row r="3429" spans="3:13" x14ac:dyDescent="0.3">
      <c r="C3429" t="s">
        <v>71</v>
      </c>
      <c r="D3429" t="s">
        <v>67</v>
      </c>
      <c r="E3429" t="s">
        <v>68</v>
      </c>
      <c r="F3429" t="s">
        <v>26</v>
      </c>
      <c r="G3429" s="4">
        <v>-1</v>
      </c>
      <c r="H3429" s="4" t="s">
        <v>14</v>
      </c>
      <c r="I3429" s="4" t="s">
        <v>69</v>
      </c>
      <c r="J3429" s="4" t="s">
        <v>73</v>
      </c>
      <c r="K3429" s="4">
        <v>1</v>
      </c>
      <c r="L3429" s="94">
        <v>4912165</v>
      </c>
      <c r="M3429" s="94">
        <v>0</v>
      </c>
    </row>
    <row r="3430" spans="3:13" x14ac:dyDescent="0.3">
      <c r="C3430" t="s">
        <v>70</v>
      </c>
      <c r="D3430" t="s">
        <v>67</v>
      </c>
      <c r="E3430" t="s">
        <v>68</v>
      </c>
      <c r="F3430" t="s">
        <v>25</v>
      </c>
      <c r="G3430" s="4">
        <v>4</v>
      </c>
      <c r="H3430" s="4" t="s">
        <v>14</v>
      </c>
      <c r="I3430" s="4" t="s">
        <v>69</v>
      </c>
      <c r="J3430" s="4" t="s">
        <v>66</v>
      </c>
      <c r="K3430" s="4">
        <v>1</v>
      </c>
      <c r="L3430" s="94">
        <v>275597</v>
      </c>
      <c r="M3430" s="94">
        <v>1102388</v>
      </c>
    </row>
    <row r="3431" spans="3:13" x14ac:dyDescent="0.3">
      <c r="C3431" t="s">
        <v>61</v>
      </c>
      <c r="D3431" t="s">
        <v>67</v>
      </c>
      <c r="E3431" t="s">
        <v>68</v>
      </c>
      <c r="F3431" t="s">
        <v>26</v>
      </c>
      <c r="G3431" s="4">
        <v>11</v>
      </c>
      <c r="H3431" s="4" t="s">
        <v>15</v>
      </c>
      <c r="I3431" s="4" t="s">
        <v>69</v>
      </c>
      <c r="J3431" s="4" t="s">
        <v>73</v>
      </c>
      <c r="K3431" s="4">
        <v>1</v>
      </c>
      <c r="L3431" s="94">
        <v>34489109</v>
      </c>
      <c r="M3431" s="94">
        <v>379380199</v>
      </c>
    </row>
    <row r="3432" spans="3:13" x14ac:dyDescent="0.3">
      <c r="C3432" t="s">
        <v>70</v>
      </c>
      <c r="D3432" t="s">
        <v>67</v>
      </c>
      <c r="E3432" t="s">
        <v>68</v>
      </c>
      <c r="F3432" t="s">
        <v>72</v>
      </c>
      <c r="G3432" s="4">
        <v>0</v>
      </c>
      <c r="H3432" s="4" t="s">
        <v>83</v>
      </c>
      <c r="I3432" s="4" t="s">
        <v>69</v>
      </c>
      <c r="J3432" s="4" t="s">
        <v>66</v>
      </c>
      <c r="K3432" s="4">
        <v>0</v>
      </c>
      <c r="L3432" s="94">
        <v>6310</v>
      </c>
      <c r="M3432" s="94">
        <v>0</v>
      </c>
    </row>
    <row r="3433" spans="3:13" x14ac:dyDescent="0.3">
      <c r="C3433" t="s">
        <v>70</v>
      </c>
      <c r="D3433" t="s">
        <v>67</v>
      </c>
      <c r="E3433" t="s">
        <v>63</v>
      </c>
      <c r="F3433" t="s">
        <v>25</v>
      </c>
      <c r="G3433" s="4">
        <v>5</v>
      </c>
      <c r="H3433" s="4" t="s">
        <v>14</v>
      </c>
      <c r="I3433" s="4" t="s">
        <v>69</v>
      </c>
      <c r="J3433" s="4" t="s">
        <v>73</v>
      </c>
      <c r="K3433" s="4">
        <v>1</v>
      </c>
      <c r="L3433" s="94">
        <v>-2704</v>
      </c>
      <c r="M3433" s="94">
        <v>0</v>
      </c>
    </row>
    <row r="3434" spans="3:13" x14ac:dyDescent="0.3">
      <c r="C3434" t="s">
        <v>70</v>
      </c>
      <c r="D3434" t="s">
        <v>67</v>
      </c>
      <c r="E3434" t="s">
        <v>63</v>
      </c>
      <c r="F3434" t="s">
        <v>25</v>
      </c>
      <c r="G3434" s="4">
        <v>7</v>
      </c>
      <c r="H3434" s="4" t="s">
        <v>14</v>
      </c>
      <c r="I3434" s="4" t="s">
        <v>69</v>
      </c>
      <c r="J3434" s="4" t="s">
        <v>66</v>
      </c>
      <c r="K3434" s="4">
        <v>0</v>
      </c>
      <c r="L3434" s="94">
        <v>-76783</v>
      </c>
      <c r="M3434" s="94">
        <v>0</v>
      </c>
    </row>
    <row r="3435" spans="3:13" x14ac:dyDescent="0.3">
      <c r="C3435" t="s">
        <v>61</v>
      </c>
      <c r="D3435" t="s">
        <v>67</v>
      </c>
      <c r="E3435" t="s">
        <v>63</v>
      </c>
      <c r="F3435" t="s">
        <v>72</v>
      </c>
      <c r="G3435" s="4">
        <v>2</v>
      </c>
      <c r="H3435" s="4" t="s">
        <v>13</v>
      </c>
      <c r="I3435" s="4" t="s">
        <v>69</v>
      </c>
      <c r="J3435" s="4" t="s">
        <v>66</v>
      </c>
      <c r="K3435" s="4">
        <v>0</v>
      </c>
      <c r="L3435" s="94">
        <v>-103</v>
      </c>
      <c r="M3435" s="94">
        <v>0</v>
      </c>
    </row>
    <row r="3436" spans="3:13" x14ac:dyDescent="0.3">
      <c r="C3436" t="s">
        <v>61</v>
      </c>
      <c r="D3436" t="s">
        <v>67</v>
      </c>
      <c r="E3436" t="s">
        <v>63</v>
      </c>
      <c r="F3436" t="s">
        <v>25</v>
      </c>
      <c r="G3436" s="4">
        <v>12</v>
      </c>
      <c r="H3436" s="4" t="s">
        <v>12</v>
      </c>
      <c r="I3436" s="4" t="s">
        <v>69</v>
      </c>
      <c r="J3436" s="4" t="s">
        <v>66</v>
      </c>
      <c r="K3436" s="4">
        <v>1</v>
      </c>
      <c r="L3436" s="94">
        <v>-12474</v>
      </c>
      <c r="M3436" s="94">
        <v>0</v>
      </c>
    </row>
    <row r="3437" spans="3:13" x14ac:dyDescent="0.3">
      <c r="C3437" t="s">
        <v>70</v>
      </c>
      <c r="D3437" t="s">
        <v>62</v>
      </c>
      <c r="E3437" t="s">
        <v>68</v>
      </c>
      <c r="F3437" t="s">
        <v>24</v>
      </c>
      <c r="G3437" s="4">
        <v>33</v>
      </c>
      <c r="I3437" s="4" t="s">
        <v>65</v>
      </c>
      <c r="J3437" s="4" t="s">
        <v>66</v>
      </c>
      <c r="K3437" s="4">
        <v>1</v>
      </c>
      <c r="L3437" s="94">
        <v>1313588</v>
      </c>
      <c r="M3437" s="94">
        <v>43348404</v>
      </c>
    </row>
    <row r="3438" spans="3:13" x14ac:dyDescent="0.3">
      <c r="C3438" t="s">
        <v>70</v>
      </c>
      <c r="D3438" t="s">
        <v>67</v>
      </c>
      <c r="E3438" t="s">
        <v>63</v>
      </c>
      <c r="F3438" t="s">
        <v>72</v>
      </c>
      <c r="G3438" s="4">
        <v>0</v>
      </c>
      <c r="H3438" s="4" t="s">
        <v>82</v>
      </c>
      <c r="I3438" s="4" t="s">
        <v>69</v>
      </c>
      <c r="J3438" s="4" t="s">
        <v>66</v>
      </c>
      <c r="K3438" s="4">
        <v>0</v>
      </c>
      <c r="L3438" s="94">
        <v>-9725</v>
      </c>
      <c r="M3438" s="94">
        <v>0</v>
      </c>
    </row>
    <row r="3439" spans="3:13" x14ac:dyDescent="0.3">
      <c r="C3439" t="s">
        <v>71</v>
      </c>
      <c r="D3439" t="s">
        <v>67</v>
      </c>
      <c r="E3439" t="s">
        <v>63</v>
      </c>
      <c r="F3439" t="s">
        <v>25</v>
      </c>
      <c r="G3439" s="4">
        <v>0</v>
      </c>
      <c r="H3439" s="4" t="s">
        <v>75</v>
      </c>
      <c r="I3439" s="4" t="s">
        <v>69</v>
      </c>
      <c r="J3439" s="4" t="s">
        <v>66</v>
      </c>
      <c r="K3439" s="4">
        <v>0</v>
      </c>
      <c r="L3439" s="94">
        <v>-249111</v>
      </c>
      <c r="M3439" s="94">
        <v>0</v>
      </c>
    </row>
    <row r="3440" spans="3:13" x14ac:dyDescent="0.3">
      <c r="C3440" t="s">
        <v>70</v>
      </c>
      <c r="D3440" t="s">
        <v>62</v>
      </c>
      <c r="E3440" t="s">
        <v>68</v>
      </c>
      <c r="F3440" t="s">
        <v>25</v>
      </c>
      <c r="G3440" s="4">
        <v>0</v>
      </c>
      <c r="I3440" s="4" t="s">
        <v>69</v>
      </c>
      <c r="J3440" s="4" t="s">
        <v>66</v>
      </c>
      <c r="K3440" s="4">
        <v>0</v>
      </c>
      <c r="L3440" s="94">
        <v>17897</v>
      </c>
      <c r="M3440" s="94">
        <v>0</v>
      </c>
    </row>
    <row r="3441" spans="3:13" x14ac:dyDescent="0.3">
      <c r="C3441" t="s">
        <v>70</v>
      </c>
      <c r="D3441" t="s">
        <v>67</v>
      </c>
      <c r="E3441" t="s">
        <v>63</v>
      </c>
      <c r="F3441" t="s">
        <v>25</v>
      </c>
      <c r="G3441" s="4">
        <v>5</v>
      </c>
      <c r="H3441" s="4" t="s">
        <v>78</v>
      </c>
      <c r="I3441" s="4" t="s">
        <v>69</v>
      </c>
      <c r="J3441" s="4" t="s">
        <v>66</v>
      </c>
      <c r="K3441" s="4">
        <v>0</v>
      </c>
      <c r="L3441" s="94">
        <v>-7699</v>
      </c>
      <c r="M3441" s="94">
        <v>0</v>
      </c>
    </row>
    <row r="3442" spans="3:13" x14ac:dyDescent="0.3">
      <c r="C3442" t="s">
        <v>61</v>
      </c>
      <c r="D3442" t="s">
        <v>67</v>
      </c>
      <c r="E3442" t="s">
        <v>63</v>
      </c>
      <c r="F3442" t="s">
        <v>25</v>
      </c>
      <c r="G3442" s="4">
        <v>5</v>
      </c>
      <c r="H3442" s="4" t="s">
        <v>79</v>
      </c>
      <c r="I3442" s="4" t="s">
        <v>69</v>
      </c>
      <c r="J3442" s="4" t="s">
        <v>66</v>
      </c>
      <c r="K3442" s="4">
        <v>0</v>
      </c>
      <c r="L3442" s="94">
        <v>-3060</v>
      </c>
      <c r="M3442" s="94">
        <v>0</v>
      </c>
    </row>
    <row r="3443" spans="3:13" x14ac:dyDescent="0.3">
      <c r="C3443" t="s">
        <v>61</v>
      </c>
      <c r="D3443" t="s">
        <v>67</v>
      </c>
      <c r="E3443" t="s">
        <v>68</v>
      </c>
      <c r="F3443" t="s">
        <v>72</v>
      </c>
      <c r="G3443" s="4">
        <v>1</v>
      </c>
      <c r="H3443" s="4" t="s">
        <v>82</v>
      </c>
      <c r="I3443" s="4" t="s">
        <v>65</v>
      </c>
      <c r="J3443" s="4" t="s">
        <v>66</v>
      </c>
      <c r="K3443" s="4">
        <v>1</v>
      </c>
      <c r="L3443" s="94">
        <v>76009</v>
      </c>
      <c r="M3443" s="94">
        <v>76009</v>
      </c>
    </row>
    <row r="3444" spans="3:13" x14ac:dyDescent="0.3">
      <c r="C3444" t="s">
        <v>71</v>
      </c>
      <c r="D3444" t="s">
        <v>67</v>
      </c>
      <c r="E3444" t="s">
        <v>63</v>
      </c>
      <c r="F3444" t="s">
        <v>25</v>
      </c>
      <c r="G3444" s="4">
        <v>9</v>
      </c>
      <c r="H3444" s="4" t="s">
        <v>14</v>
      </c>
      <c r="I3444" s="4" t="s">
        <v>69</v>
      </c>
      <c r="J3444" s="4" t="s">
        <v>66</v>
      </c>
      <c r="K3444" s="4">
        <v>0</v>
      </c>
      <c r="L3444" s="94">
        <v>-5125</v>
      </c>
      <c r="M3444" s="94">
        <v>0</v>
      </c>
    </row>
    <row r="3445" spans="3:13" x14ac:dyDescent="0.3">
      <c r="C3445" t="s">
        <v>61</v>
      </c>
      <c r="D3445" t="s">
        <v>67</v>
      </c>
      <c r="E3445" t="s">
        <v>63</v>
      </c>
      <c r="F3445" t="s">
        <v>72</v>
      </c>
      <c r="G3445" s="4">
        <v>7</v>
      </c>
      <c r="H3445" s="4" t="s">
        <v>75</v>
      </c>
      <c r="I3445" s="4" t="s">
        <v>69</v>
      </c>
      <c r="J3445" s="4" t="s">
        <v>66</v>
      </c>
      <c r="K3445" s="4">
        <v>0</v>
      </c>
      <c r="L3445" s="94">
        <v>-5255</v>
      </c>
      <c r="M3445" s="94">
        <v>0</v>
      </c>
    </row>
    <row r="3446" spans="3:13" x14ac:dyDescent="0.3">
      <c r="C3446" t="s">
        <v>70</v>
      </c>
      <c r="D3446" t="s">
        <v>67</v>
      </c>
      <c r="E3446" t="s">
        <v>63</v>
      </c>
      <c r="F3446" t="s">
        <v>26</v>
      </c>
      <c r="G3446" s="4">
        <v>-1</v>
      </c>
      <c r="H3446" s="4" t="s">
        <v>76</v>
      </c>
      <c r="I3446" s="4" t="s">
        <v>69</v>
      </c>
      <c r="J3446" s="4" t="s">
        <v>66</v>
      </c>
      <c r="K3446" s="4">
        <v>0</v>
      </c>
      <c r="L3446" s="94">
        <v>-582273</v>
      </c>
      <c r="M3446" s="94">
        <v>0</v>
      </c>
    </row>
    <row r="3447" spans="3:13" x14ac:dyDescent="0.3">
      <c r="C3447" t="s">
        <v>70</v>
      </c>
      <c r="D3447" t="s">
        <v>67</v>
      </c>
      <c r="E3447" t="s">
        <v>63</v>
      </c>
      <c r="F3447" t="s">
        <v>25</v>
      </c>
      <c r="G3447" s="4">
        <v>10</v>
      </c>
      <c r="H3447" s="4" t="s">
        <v>77</v>
      </c>
      <c r="I3447" s="4" t="s">
        <v>69</v>
      </c>
      <c r="J3447" s="4" t="s">
        <v>66</v>
      </c>
      <c r="K3447" s="4">
        <v>0</v>
      </c>
      <c r="L3447" s="94">
        <v>-28274</v>
      </c>
      <c r="M3447" s="94">
        <v>0</v>
      </c>
    </row>
    <row r="3448" spans="3:13" x14ac:dyDescent="0.3">
      <c r="C3448" t="s">
        <v>61</v>
      </c>
      <c r="D3448" t="s">
        <v>67</v>
      </c>
      <c r="E3448" t="s">
        <v>68</v>
      </c>
      <c r="F3448" t="s">
        <v>26</v>
      </c>
      <c r="G3448" s="4">
        <v>8</v>
      </c>
      <c r="H3448" s="4" t="s">
        <v>14</v>
      </c>
      <c r="I3448" s="4" t="s">
        <v>69</v>
      </c>
      <c r="J3448" s="4" t="s">
        <v>73</v>
      </c>
      <c r="K3448" s="4">
        <v>1</v>
      </c>
      <c r="L3448" s="94">
        <v>191504</v>
      </c>
      <c r="M3448" s="94">
        <v>1532032</v>
      </c>
    </row>
    <row r="3449" spans="3:13" x14ac:dyDescent="0.3">
      <c r="C3449" t="s">
        <v>61</v>
      </c>
      <c r="D3449" t="s">
        <v>67</v>
      </c>
      <c r="E3449" t="s">
        <v>68</v>
      </c>
      <c r="F3449" t="s">
        <v>25</v>
      </c>
      <c r="G3449" s="4">
        <v>11</v>
      </c>
      <c r="H3449" s="4" t="s">
        <v>64</v>
      </c>
      <c r="I3449" s="4" t="s">
        <v>69</v>
      </c>
      <c r="J3449" s="4" t="s">
        <v>66</v>
      </c>
      <c r="K3449" s="4">
        <v>0</v>
      </c>
      <c r="L3449" s="94">
        <v>1168741</v>
      </c>
      <c r="M3449" s="94">
        <v>12856151</v>
      </c>
    </row>
    <row r="3450" spans="3:13" x14ac:dyDescent="0.3">
      <c r="C3450" t="s">
        <v>61</v>
      </c>
      <c r="D3450" t="s">
        <v>67</v>
      </c>
      <c r="E3450" t="s">
        <v>63</v>
      </c>
      <c r="F3450" t="s">
        <v>72</v>
      </c>
      <c r="G3450" s="4">
        <v>4</v>
      </c>
      <c r="H3450" s="4" t="s">
        <v>15</v>
      </c>
      <c r="I3450" s="4" t="s">
        <v>69</v>
      </c>
      <c r="J3450" s="4" t="s">
        <v>66</v>
      </c>
      <c r="K3450" s="4">
        <v>0</v>
      </c>
      <c r="L3450" s="94">
        <v>-806</v>
      </c>
      <c r="M3450" s="94">
        <v>0</v>
      </c>
    </row>
    <row r="3451" spans="3:13" x14ac:dyDescent="0.3">
      <c r="C3451" t="s">
        <v>70</v>
      </c>
      <c r="D3451" t="s">
        <v>67</v>
      </c>
      <c r="E3451" t="s">
        <v>68</v>
      </c>
      <c r="F3451" t="s">
        <v>72</v>
      </c>
      <c r="G3451" s="4">
        <v>5</v>
      </c>
      <c r="H3451" s="4" t="s">
        <v>82</v>
      </c>
      <c r="I3451" s="4" t="s">
        <v>69</v>
      </c>
      <c r="J3451" s="4" t="s">
        <v>66</v>
      </c>
      <c r="K3451" s="4">
        <v>0</v>
      </c>
      <c r="L3451" s="94">
        <v>2107756</v>
      </c>
      <c r="M3451" s="94">
        <v>10538780</v>
      </c>
    </row>
    <row r="3452" spans="3:13" x14ac:dyDescent="0.3">
      <c r="C3452" t="s">
        <v>71</v>
      </c>
      <c r="D3452" t="s">
        <v>67</v>
      </c>
      <c r="E3452" t="s">
        <v>68</v>
      </c>
      <c r="F3452" t="s">
        <v>25</v>
      </c>
      <c r="G3452" s="4">
        <v>8</v>
      </c>
      <c r="H3452" s="4" t="s">
        <v>12</v>
      </c>
      <c r="I3452" s="4" t="s">
        <v>69</v>
      </c>
      <c r="J3452" s="4" t="s">
        <v>66</v>
      </c>
      <c r="K3452" s="4">
        <v>1</v>
      </c>
      <c r="L3452" s="94">
        <v>259380</v>
      </c>
      <c r="M3452" s="94">
        <v>2075040</v>
      </c>
    </row>
    <row r="3453" spans="3:13" x14ac:dyDescent="0.3">
      <c r="C3453" t="s">
        <v>70</v>
      </c>
      <c r="D3453" t="s">
        <v>67</v>
      </c>
      <c r="E3453" t="s">
        <v>68</v>
      </c>
      <c r="F3453" t="s">
        <v>26</v>
      </c>
      <c r="G3453" s="4">
        <v>2</v>
      </c>
      <c r="H3453" s="4" t="s">
        <v>64</v>
      </c>
      <c r="I3453" s="4" t="s">
        <v>69</v>
      </c>
      <c r="J3453" s="4" t="s">
        <v>66</v>
      </c>
      <c r="K3453" s="4">
        <v>0</v>
      </c>
      <c r="L3453" s="94">
        <v>3662616</v>
      </c>
      <c r="M3453" s="94">
        <v>7325232</v>
      </c>
    </row>
    <row r="3454" spans="3:13" x14ac:dyDescent="0.3">
      <c r="C3454" t="s">
        <v>70</v>
      </c>
      <c r="D3454" t="s">
        <v>67</v>
      </c>
      <c r="E3454" t="s">
        <v>63</v>
      </c>
      <c r="F3454" t="s">
        <v>26</v>
      </c>
      <c r="G3454" s="4">
        <v>0</v>
      </c>
      <c r="H3454" s="4" t="s">
        <v>82</v>
      </c>
      <c r="I3454" s="4" t="s">
        <v>69</v>
      </c>
      <c r="J3454" s="4" t="s">
        <v>66</v>
      </c>
      <c r="K3454" s="4">
        <v>0</v>
      </c>
      <c r="L3454" s="94">
        <v>-130286</v>
      </c>
      <c r="M3454" s="94">
        <v>0</v>
      </c>
    </row>
    <row r="3455" spans="3:13" x14ac:dyDescent="0.3">
      <c r="C3455" t="s">
        <v>70</v>
      </c>
      <c r="D3455" t="s">
        <v>67</v>
      </c>
      <c r="E3455" t="s">
        <v>63</v>
      </c>
      <c r="F3455" t="s">
        <v>25</v>
      </c>
      <c r="G3455" s="4">
        <v>0</v>
      </c>
      <c r="H3455" s="4" t="s">
        <v>76</v>
      </c>
      <c r="I3455" s="4" t="s">
        <v>69</v>
      </c>
      <c r="J3455" s="4" t="s">
        <v>66</v>
      </c>
      <c r="K3455" s="4">
        <v>0</v>
      </c>
      <c r="L3455" s="94">
        <v>-536</v>
      </c>
      <c r="M3455" s="94">
        <v>0</v>
      </c>
    </row>
    <row r="3456" spans="3:13" x14ac:dyDescent="0.3">
      <c r="C3456" t="s">
        <v>61</v>
      </c>
      <c r="D3456" t="s">
        <v>67</v>
      </c>
      <c r="E3456" t="s">
        <v>63</v>
      </c>
      <c r="F3456" t="s">
        <v>25</v>
      </c>
      <c r="G3456" s="4">
        <v>0</v>
      </c>
      <c r="H3456" s="4" t="s">
        <v>82</v>
      </c>
      <c r="I3456" s="4" t="s">
        <v>69</v>
      </c>
      <c r="J3456" s="4" t="s">
        <v>66</v>
      </c>
      <c r="K3456" s="4">
        <v>0</v>
      </c>
      <c r="L3456" s="94">
        <v>-16</v>
      </c>
      <c r="M3456" s="94">
        <v>0</v>
      </c>
    </row>
    <row r="3457" spans="3:13" x14ac:dyDescent="0.3">
      <c r="C3457" t="s">
        <v>70</v>
      </c>
      <c r="D3457" t="s">
        <v>67</v>
      </c>
      <c r="E3457" t="s">
        <v>68</v>
      </c>
      <c r="F3457" t="s">
        <v>26</v>
      </c>
      <c r="G3457" s="4">
        <v>11</v>
      </c>
      <c r="H3457" s="4" t="s">
        <v>76</v>
      </c>
      <c r="I3457" s="4" t="s">
        <v>69</v>
      </c>
      <c r="J3457" s="4" t="s">
        <v>66</v>
      </c>
      <c r="K3457" s="4">
        <v>0</v>
      </c>
      <c r="L3457" s="94">
        <v>98611</v>
      </c>
      <c r="M3457" s="94">
        <v>1084721</v>
      </c>
    </row>
    <row r="3458" spans="3:13" x14ac:dyDescent="0.3">
      <c r="C3458" t="s">
        <v>61</v>
      </c>
      <c r="D3458" t="s">
        <v>67</v>
      </c>
      <c r="E3458" t="s">
        <v>63</v>
      </c>
      <c r="F3458" t="s">
        <v>25</v>
      </c>
      <c r="G3458" s="4">
        <v>9</v>
      </c>
      <c r="H3458" s="4" t="s">
        <v>18</v>
      </c>
      <c r="I3458" s="4" t="s">
        <v>69</v>
      </c>
      <c r="J3458" s="4" t="s">
        <v>66</v>
      </c>
      <c r="K3458" s="4">
        <v>0</v>
      </c>
      <c r="L3458" s="94">
        <v>-12793</v>
      </c>
      <c r="M3458" s="94">
        <v>0</v>
      </c>
    </row>
    <row r="3459" spans="3:13" x14ac:dyDescent="0.3">
      <c r="C3459" t="s">
        <v>71</v>
      </c>
      <c r="D3459" t="s">
        <v>67</v>
      </c>
      <c r="E3459" t="s">
        <v>63</v>
      </c>
      <c r="F3459" t="s">
        <v>25</v>
      </c>
      <c r="G3459" s="4">
        <v>3</v>
      </c>
      <c r="H3459" s="4" t="s">
        <v>64</v>
      </c>
      <c r="I3459" s="4" t="s">
        <v>69</v>
      </c>
      <c r="J3459" s="4" t="s">
        <v>66</v>
      </c>
      <c r="K3459" s="4">
        <v>0</v>
      </c>
      <c r="L3459" s="94">
        <v>-21380</v>
      </c>
      <c r="M3459" s="94">
        <v>0</v>
      </c>
    </row>
    <row r="3460" spans="3:13" x14ac:dyDescent="0.3">
      <c r="C3460" t="s">
        <v>71</v>
      </c>
      <c r="D3460" t="s">
        <v>67</v>
      </c>
      <c r="E3460" t="s">
        <v>63</v>
      </c>
      <c r="F3460" t="s">
        <v>25</v>
      </c>
      <c r="G3460" s="4">
        <v>-1</v>
      </c>
      <c r="H3460" s="4" t="s">
        <v>14</v>
      </c>
      <c r="I3460" s="4" t="s">
        <v>69</v>
      </c>
      <c r="J3460" s="4" t="s">
        <v>66</v>
      </c>
      <c r="K3460" s="4">
        <v>1</v>
      </c>
      <c r="L3460" s="94">
        <v>-307</v>
      </c>
      <c r="M3460" s="94">
        <v>0</v>
      </c>
    </row>
    <row r="3461" spans="3:13" x14ac:dyDescent="0.3">
      <c r="C3461" t="s">
        <v>70</v>
      </c>
      <c r="D3461" t="s">
        <v>67</v>
      </c>
      <c r="E3461" t="s">
        <v>68</v>
      </c>
      <c r="F3461" t="s">
        <v>26</v>
      </c>
      <c r="G3461" s="4">
        <v>4</v>
      </c>
      <c r="H3461" s="4" t="s">
        <v>18</v>
      </c>
      <c r="I3461" s="4" t="s">
        <v>65</v>
      </c>
      <c r="J3461" s="4" t="s">
        <v>66</v>
      </c>
      <c r="K3461" s="4">
        <v>1</v>
      </c>
      <c r="L3461" s="94">
        <v>47227</v>
      </c>
      <c r="M3461" s="94">
        <v>188908</v>
      </c>
    </row>
    <row r="3462" spans="3:13" x14ac:dyDescent="0.3">
      <c r="C3462" t="s">
        <v>71</v>
      </c>
      <c r="D3462" t="s">
        <v>67</v>
      </c>
      <c r="E3462" t="s">
        <v>63</v>
      </c>
      <c r="F3462" t="s">
        <v>26</v>
      </c>
      <c r="G3462" s="4">
        <v>0</v>
      </c>
      <c r="H3462" s="4" t="s">
        <v>76</v>
      </c>
      <c r="I3462" s="4" t="s">
        <v>69</v>
      </c>
      <c r="J3462" s="4" t="s">
        <v>66</v>
      </c>
      <c r="K3462" s="4">
        <v>0</v>
      </c>
      <c r="L3462" s="94">
        <v>-233592</v>
      </c>
      <c r="M3462" s="94">
        <v>0</v>
      </c>
    </row>
    <row r="3463" spans="3:13" x14ac:dyDescent="0.3">
      <c r="C3463" t="s">
        <v>71</v>
      </c>
      <c r="D3463" t="s">
        <v>67</v>
      </c>
      <c r="E3463" t="s">
        <v>68</v>
      </c>
      <c r="F3463" t="s">
        <v>26</v>
      </c>
      <c r="G3463" s="4">
        <v>3</v>
      </c>
      <c r="H3463" s="4" t="s">
        <v>77</v>
      </c>
      <c r="I3463" s="4" t="s">
        <v>69</v>
      </c>
      <c r="J3463" s="4" t="s">
        <v>66</v>
      </c>
      <c r="K3463" s="4">
        <v>0</v>
      </c>
      <c r="L3463" s="94">
        <v>294341</v>
      </c>
      <c r="M3463" s="94">
        <v>883023</v>
      </c>
    </row>
    <row r="3464" spans="3:13" x14ac:dyDescent="0.3">
      <c r="C3464" t="s">
        <v>61</v>
      </c>
      <c r="D3464" t="s">
        <v>67</v>
      </c>
      <c r="E3464" t="s">
        <v>68</v>
      </c>
      <c r="F3464" t="s">
        <v>72</v>
      </c>
      <c r="G3464" s="4">
        <v>3</v>
      </c>
      <c r="H3464" s="4" t="s">
        <v>17</v>
      </c>
      <c r="I3464" s="4" t="s">
        <v>65</v>
      </c>
      <c r="J3464" s="4" t="s">
        <v>73</v>
      </c>
      <c r="K3464" s="4">
        <v>1</v>
      </c>
      <c r="L3464" s="94">
        <v>95403</v>
      </c>
      <c r="M3464" s="94">
        <v>286209</v>
      </c>
    </row>
    <row r="3465" spans="3:13" x14ac:dyDescent="0.3">
      <c r="C3465" t="s">
        <v>61</v>
      </c>
      <c r="D3465" t="s">
        <v>67</v>
      </c>
      <c r="E3465" t="s">
        <v>63</v>
      </c>
      <c r="F3465" t="s">
        <v>26</v>
      </c>
      <c r="G3465" s="4">
        <v>4</v>
      </c>
      <c r="H3465" s="4" t="s">
        <v>14</v>
      </c>
      <c r="I3465" s="4" t="s">
        <v>69</v>
      </c>
      <c r="J3465" s="4" t="s">
        <v>66</v>
      </c>
      <c r="K3465" s="4">
        <v>0</v>
      </c>
      <c r="L3465" s="94">
        <v>-124512</v>
      </c>
      <c r="M3465" s="94">
        <v>0</v>
      </c>
    </row>
    <row r="3466" spans="3:13" x14ac:dyDescent="0.3">
      <c r="C3466" t="s">
        <v>70</v>
      </c>
      <c r="D3466" t="s">
        <v>67</v>
      </c>
      <c r="E3466" t="s">
        <v>63</v>
      </c>
      <c r="F3466" t="s">
        <v>25</v>
      </c>
      <c r="G3466" s="4">
        <v>6</v>
      </c>
      <c r="H3466" s="4" t="s">
        <v>75</v>
      </c>
      <c r="I3466" s="4" t="s">
        <v>69</v>
      </c>
      <c r="J3466" s="4" t="s">
        <v>66</v>
      </c>
      <c r="K3466" s="4">
        <v>0</v>
      </c>
      <c r="L3466" s="94">
        <v>-247501</v>
      </c>
      <c r="M3466" s="94">
        <v>0</v>
      </c>
    </row>
    <row r="3467" spans="3:13" x14ac:dyDescent="0.3">
      <c r="C3467" t="s">
        <v>61</v>
      </c>
      <c r="D3467" t="s">
        <v>67</v>
      </c>
      <c r="E3467" t="s">
        <v>68</v>
      </c>
      <c r="F3467" t="s">
        <v>72</v>
      </c>
      <c r="G3467" s="4">
        <v>1</v>
      </c>
      <c r="H3467" s="4" t="s">
        <v>79</v>
      </c>
      <c r="I3467" s="4" t="s">
        <v>69</v>
      </c>
      <c r="J3467" s="4" t="s">
        <v>66</v>
      </c>
      <c r="K3467" s="4">
        <v>0</v>
      </c>
      <c r="L3467" s="94">
        <v>1805735</v>
      </c>
      <c r="M3467" s="94">
        <v>1805735</v>
      </c>
    </row>
    <row r="3468" spans="3:13" x14ac:dyDescent="0.3">
      <c r="C3468" t="s">
        <v>70</v>
      </c>
      <c r="D3468" t="s">
        <v>67</v>
      </c>
      <c r="E3468" t="s">
        <v>63</v>
      </c>
      <c r="F3468" t="s">
        <v>26</v>
      </c>
      <c r="G3468" s="4">
        <v>3</v>
      </c>
      <c r="H3468" s="4" t="s">
        <v>76</v>
      </c>
      <c r="I3468" s="4" t="s">
        <v>69</v>
      </c>
      <c r="J3468" s="4" t="s">
        <v>66</v>
      </c>
      <c r="K3468" s="4">
        <v>0</v>
      </c>
      <c r="L3468" s="94">
        <v>-433952</v>
      </c>
      <c r="M3468" s="94">
        <v>0</v>
      </c>
    </row>
    <row r="3469" spans="3:13" x14ac:dyDescent="0.3">
      <c r="C3469" t="s">
        <v>71</v>
      </c>
      <c r="D3469" t="s">
        <v>62</v>
      </c>
      <c r="E3469" t="s">
        <v>68</v>
      </c>
      <c r="F3469" t="s">
        <v>25</v>
      </c>
      <c r="G3469" s="4">
        <v>-1</v>
      </c>
      <c r="I3469" s="4" t="s">
        <v>69</v>
      </c>
      <c r="J3469" s="4" t="s">
        <v>66</v>
      </c>
      <c r="K3469" s="4">
        <v>0</v>
      </c>
      <c r="L3469" s="94">
        <v>13</v>
      </c>
      <c r="M3469" s="94">
        <v>0</v>
      </c>
    </row>
    <row r="3470" spans="3:13" x14ac:dyDescent="0.3">
      <c r="C3470" t="s">
        <v>71</v>
      </c>
      <c r="D3470" t="s">
        <v>67</v>
      </c>
      <c r="E3470" t="s">
        <v>63</v>
      </c>
      <c r="F3470" t="s">
        <v>26</v>
      </c>
      <c r="G3470" s="4">
        <v>2</v>
      </c>
      <c r="H3470" s="4" t="s">
        <v>78</v>
      </c>
      <c r="I3470" s="4" t="s">
        <v>69</v>
      </c>
      <c r="J3470" s="4" t="s">
        <v>66</v>
      </c>
      <c r="K3470" s="4">
        <v>0</v>
      </c>
      <c r="L3470" s="94">
        <v>-75988</v>
      </c>
      <c r="M3470" s="94">
        <v>0</v>
      </c>
    </row>
    <row r="3471" spans="3:13" x14ac:dyDescent="0.3">
      <c r="C3471" t="s">
        <v>61</v>
      </c>
      <c r="D3471" t="s">
        <v>67</v>
      </c>
      <c r="E3471" t="s">
        <v>68</v>
      </c>
      <c r="F3471" t="s">
        <v>72</v>
      </c>
      <c r="G3471" s="4">
        <v>-4</v>
      </c>
      <c r="H3471" s="4" t="s">
        <v>83</v>
      </c>
      <c r="I3471" s="4" t="s">
        <v>69</v>
      </c>
      <c r="J3471" s="4" t="s">
        <v>66</v>
      </c>
      <c r="K3471" s="4">
        <v>0</v>
      </c>
      <c r="L3471" s="94">
        <v>38</v>
      </c>
      <c r="M3471" s="94">
        <v>0</v>
      </c>
    </row>
    <row r="3472" spans="3:13" x14ac:dyDescent="0.3">
      <c r="C3472" t="s">
        <v>70</v>
      </c>
      <c r="D3472" t="s">
        <v>62</v>
      </c>
      <c r="E3472" t="s">
        <v>68</v>
      </c>
      <c r="F3472" t="s">
        <v>24</v>
      </c>
      <c r="G3472" s="4">
        <v>37</v>
      </c>
      <c r="I3472" s="4" t="s">
        <v>65</v>
      </c>
      <c r="J3472" s="4" t="s">
        <v>66</v>
      </c>
      <c r="K3472" s="4">
        <v>1</v>
      </c>
      <c r="L3472" s="94">
        <v>1679056</v>
      </c>
      <c r="M3472" s="94">
        <v>62125072</v>
      </c>
    </row>
    <row r="3473" spans="3:13" x14ac:dyDescent="0.3">
      <c r="C3473" t="s">
        <v>61</v>
      </c>
      <c r="D3473" t="s">
        <v>88</v>
      </c>
      <c r="E3473" t="s">
        <v>63</v>
      </c>
      <c r="F3473" t="s">
        <v>24</v>
      </c>
      <c r="G3473" s="4">
        <v>4</v>
      </c>
      <c r="H3473" s="4" t="s">
        <v>86</v>
      </c>
      <c r="I3473" s="4" t="s">
        <v>69</v>
      </c>
      <c r="J3473" s="4" t="s">
        <v>66</v>
      </c>
      <c r="K3473" s="4">
        <v>0</v>
      </c>
      <c r="L3473" s="94">
        <v>-24</v>
      </c>
      <c r="M3473" s="94">
        <v>0</v>
      </c>
    </row>
    <row r="3474" spans="3:13" x14ac:dyDescent="0.3">
      <c r="C3474" t="s">
        <v>71</v>
      </c>
      <c r="D3474" t="s">
        <v>67</v>
      </c>
      <c r="E3474" t="s">
        <v>68</v>
      </c>
      <c r="F3474" t="s">
        <v>72</v>
      </c>
      <c r="G3474" s="4">
        <v>-4</v>
      </c>
      <c r="H3474" s="4" t="s">
        <v>18</v>
      </c>
      <c r="I3474" s="4" t="s">
        <v>69</v>
      </c>
      <c r="J3474" s="4" t="s">
        <v>66</v>
      </c>
      <c r="K3474" s="4">
        <v>0</v>
      </c>
      <c r="L3474" s="94">
        <v>545514</v>
      </c>
      <c r="M3474" s="94">
        <v>0</v>
      </c>
    </row>
    <row r="3475" spans="3:13" x14ac:dyDescent="0.3">
      <c r="C3475" t="s">
        <v>61</v>
      </c>
      <c r="D3475" t="s">
        <v>67</v>
      </c>
      <c r="E3475" t="s">
        <v>63</v>
      </c>
      <c r="F3475" t="s">
        <v>25</v>
      </c>
      <c r="G3475" s="4">
        <v>-4</v>
      </c>
      <c r="H3475" s="4" t="s">
        <v>75</v>
      </c>
      <c r="I3475" s="4" t="s">
        <v>69</v>
      </c>
      <c r="J3475" s="4" t="s">
        <v>66</v>
      </c>
      <c r="K3475" s="4">
        <v>0</v>
      </c>
      <c r="L3475" s="94">
        <v>-321</v>
      </c>
      <c r="M3475" s="94">
        <v>0</v>
      </c>
    </row>
    <row r="3476" spans="3:13" x14ac:dyDescent="0.3">
      <c r="C3476" t="s">
        <v>70</v>
      </c>
      <c r="D3476" t="s">
        <v>67</v>
      </c>
      <c r="E3476" t="s">
        <v>63</v>
      </c>
      <c r="F3476" t="s">
        <v>25</v>
      </c>
      <c r="G3476" s="4">
        <v>-4</v>
      </c>
      <c r="H3476" s="4" t="s">
        <v>74</v>
      </c>
      <c r="I3476" s="4" t="s">
        <v>69</v>
      </c>
      <c r="J3476" s="4" t="s">
        <v>66</v>
      </c>
      <c r="K3476" s="4">
        <v>0</v>
      </c>
      <c r="L3476" s="94">
        <v>-19</v>
      </c>
      <c r="M3476" s="94">
        <v>0</v>
      </c>
    </row>
    <row r="3477" spans="3:13" x14ac:dyDescent="0.3">
      <c r="C3477" t="s">
        <v>61</v>
      </c>
      <c r="D3477" t="s">
        <v>67</v>
      </c>
      <c r="E3477" t="s">
        <v>63</v>
      </c>
      <c r="F3477" t="s">
        <v>72</v>
      </c>
      <c r="G3477" s="4">
        <v>0</v>
      </c>
      <c r="H3477" s="4" t="s">
        <v>17</v>
      </c>
      <c r="I3477" s="4" t="s">
        <v>65</v>
      </c>
      <c r="J3477" s="4" t="s">
        <v>66</v>
      </c>
      <c r="K3477" s="4">
        <v>1</v>
      </c>
      <c r="L3477" s="94">
        <v>-3</v>
      </c>
      <c r="M3477" s="94">
        <v>0</v>
      </c>
    </row>
    <row r="3478" spans="3:13" x14ac:dyDescent="0.3">
      <c r="C3478" t="s">
        <v>61</v>
      </c>
      <c r="D3478" t="s">
        <v>62</v>
      </c>
      <c r="E3478" t="s">
        <v>68</v>
      </c>
      <c r="F3478" t="s">
        <v>24</v>
      </c>
      <c r="G3478" s="4">
        <v>37</v>
      </c>
      <c r="I3478" s="4" t="s">
        <v>69</v>
      </c>
      <c r="J3478" s="4" t="s">
        <v>66</v>
      </c>
      <c r="K3478" s="4">
        <v>0</v>
      </c>
      <c r="L3478" s="94">
        <v>1294994969</v>
      </c>
      <c r="M3478" s="94">
        <v>47914813853</v>
      </c>
    </row>
    <row r="3479" spans="3:13" x14ac:dyDescent="0.3">
      <c r="C3479" t="s">
        <v>71</v>
      </c>
      <c r="D3479" t="s">
        <v>62</v>
      </c>
      <c r="E3479" t="s">
        <v>63</v>
      </c>
      <c r="F3479" t="s">
        <v>24</v>
      </c>
      <c r="G3479" s="4">
        <v>35</v>
      </c>
      <c r="I3479" s="4" t="s">
        <v>65</v>
      </c>
      <c r="J3479" s="4" t="s">
        <v>66</v>
      </c>
      <c r="K3479" s="4">
        <v>1</v>
      </c>
      <c r="L3479" s="94">
        <v>-107514</v>
      </c>
      <c r="M3479" s="94">
        <v>0</v>
      </c>
    </row>
    <row r="3480" spans="3:13" x14ac:dyDescent="0.3">
      <c r="C3480" t="s">
        <v>61</v>
      </c>
      <c r="D3480" t="s">
        <v>62</v>
      </c>
      <c r="E3480" t="s">
        <v>68</v>
      </c>
      <c r="F3480" t="s">
        <v>24</v>
      </c>
      <c r="G3480" s="4">
        <v>22</v>
      </c>
      <c r="I3480" s="4" t="s">
        <v>65</v>
      </c>
      <c r="J3480" s="4" t="s">
        <v>73</v>
      </c>
      <c r="K3480" s="4">
        <v>1</v>
      </c>
      <c r="L3480" s="94">
        <v>435</v>
      </c>
      <c r="M3480" s="94">
        <v>9570</v>
      </c>
    </row>
    <row r="3481" spans="3:13" x14ac:dyDescent="0.3">
      <c r="C3481" t="s">
        <v>61</v>
      </c>
      <c r="D3481" t="s">
        <v>67</v>
      </c>
      <c r="E3481" t="s">
        <v>68</v>
      </c>
      <c r="F3481" t="s">
        <v>25</v>
      </c>
      <c r="G3481" s="4">
        <v>13</v>
      </c>
      <c r="H3481" s="4" t="s">
        <v>82</v>
      </c>
      <c r="I3481" s="4" t="s">
        <v>69</v>
      </c>
      <c r="J3481" s="4" t="s">
        <v>66</v>
      </c>
      <c r="K3481" s="4">
        <v>0</v>
      </c>
      <c r="L3481" s="94">
        <v>511823</v>
      </c>
      <c r="M3481" s="94">
        <v>6653699</v>
      </c>
    </row>
    <row r="3482" spans="3:13" x14ac:dyDescent="0.3">
      <c r="C3482" t="s">
        <v>71</v>
      </c>
      <c r="D3482" t="s">
        <v>67</v>
      </c>
      <c r="E3482" t="s">
        <v>63</v>
      </c>
      <c r="F3482" t="s">
        <v>72</v>
      </c>
      <c r="G3482" s="4">
        <v>3</v>
      </c>
      <c r="H3482" s="4" t="s">
        <v>80</v>
      </c>
      <c r="I3482" s="4" t="s">
        <v>69</v>
      </c>
      <c r="J3482" s="4" t="s">
        <v>66</v>
      </c>
      <c r="K3482" s="4">
        <v>0</v>
      </c>
      <c r="L3482" s="94">
        <v>-31663</v>
      </c>
      <c r="M3482" s="94">
        <v>0</v>
      </c>
    </row>
    <row r="3483" spans="3:13" x14ac:dyDescent="0.3">
      <c r="C3483" t="s">
        <v>61</v>
      </c>
      <c r="D3483" t="s">
        <v>67</v>
      </c>
      <c r="E3483" t="s">
        <v>68</v>
      </c>
      <c r="F3483" t="s">
        <v>26</v>
      </c>
      <c r="G3483" s="4">
        <v>5</v>
      </c>
      <c r="H3483" s="4" t="s">
        <v>64</v>
      </c>
      <c r="I3483" s="4" t="s">
        <v>69</v>
      </c>
      <c r="J3483" s="4" t="s">
        <v>66</v>
      </c>
      <c r="K3483" s="4">
        <v>0</v>
      </c>
      <c r="L3483" s="94">
        <v>1353589</v>
      </c>
      <c r="M3483" s="94">
        <v>6767945</v>
      </c>
    </row>
    <row r="3484" spans="3:13" x14ac:dyDescent="0.3">
      <c r="C3484" t="s">
        <v>70</v>
      </c>
      <c r="D3484" t="s">
        <v>67</v>
      </c>
      <c r="E3484" t="s">
        <v>68</v>
      </c>
      <c r="F3484" t="s">
        <v>72</v>
      </c>
      <c r="G3484" s="4">
        <v>2</v>
      </c>
      <c r="H3484" s="4" t="s">
        <v>75</v>
      </c>
      <c r="I3484" s="4" t="s">
        <v>69</v>
      </c>
      <c r="J3484" s="4" t="s">
        <v>66</v>
      </c>
      <c r="K3484" s="4">
        <v>0</v>
      </c>
      <c r="L3484" s="94">
        <v>162045</v>
      </c>
      <c r="M3484" s="94">
        <v>324090</v>
      </c>
    </row>
    <row r="3485" spans="3:13" x14ac:dyDescent="0.3">
      <c r="C3485" t="s">
        <v>71</v>
      </c>
      <c r="D3485" t="s">
        <v>67</v>
      </c>
      <c r="E3485" t="s">
        <v>68</v>
      </c>
      <c r="F3485" t="s">
        <v>26</v>
      </c>
      <c r="G3485" s="4">
        <v>4</v>
      </c>
      <c r="H3485" s="4" t="s">
        <v>18</v>
      </c>
      <c r="I3485" s="4" t="s">
        <v>69</v>
      </c>
      <c r="J3485" s="4" t="s">
        <v>66</v>
      </c>
      <c r="K3485" s="4">
        <v>0</v>
      </c>
      <c r="L3485" s="94">
        <v>5967422</v>
      </c>
      <c r="M3485" s="94">
        <v>23869688</v>
      </c>
    </row>
    <row r="3486" spans="3:13" x14ac:dyDescent="0.3">
      <c r="C3486" t="s">
        <v>71</v>
      </c>
      <c r="D3486" t="s">
        <v>67</v>
      </c>
      <c r="E3486" t="s">
        <v>68</v>
      </c>
      <c r="F3486" t="s">
        <v>72</v>
      </c>
      <c r="G3486" s="4">
        <v>0</v>
      </c>
      <c r="H3486" s="4" t="s">
        <v>64</v>
      </c>
      <c r="I3486" s="4" t="s">
        <v>69</v>
      </c>
      <c r="J3486" s="4" t="s">
        <v>66</v>
      </c>
      <c r="K3486" s="4">
        <v>0</v>
      </c>
      <c r="L3486" s="94">
        <v>21909</v>
      </c>
      <c r="M3486" s="94">
        <v>0</v>
      </c>
    </row>
    <row r="3487" spans="3:13" x14ac:dyDescent="0.3">
      <c r="C3487" t="s">
        <v>70</v>
      </c>
      <c r="D3487" t="s">
        <v>67</v>
      </c>
      <c r="E3487" t="s">
        <v>68</v>
      </c>
      <c r="F3487" t="s">
        <v>25</v>
      </c>
      <c r="G3487" s="4">
        <v>9</v>
      </c>
      <c r="H3487" s="4" t="s">
        <v>79</v>
      </c>
      <c r="I3487" s="4" t="s">
        <v>69</v>
      </c>
      <c r="J3487" s="4" t="s">
        <v>66</v>
      </c>
      <c r="K3487" s="4">
        <v>0</v>
      </c>
      <c r="L3487" s="94">
        <v>296841</v>
      </c>
      <c r="M3487" s="94">
        <v>2671569</v>
      </c>
    </row>
    <row r="3488" spans="3:13" x14ac:dyDescent="0.3">
      <c r="C3488" t="s">
        <v>70</v>
      </c>
      <c r="D3488" t="s">
        <v>67</v>
      </c>
      <c r="E3488" t="s">
        <v>68</v>
      </c>
      <c r="F3488" t="s">
        <v>72</v>
      </c>
      <c r="G3488" s="4">
        <v>1</v>
      </c>
      <c r="H3488" s="4" t="s">
        <v>17</v>
      </c>
      <c r="I3488" s="4" t="s">
        <v>69</v>
      </c>
      <c r="J3488" s="4" t="s">
        <v>73</v>
      </c>
      <c r="K3488" s="4">
        <v>1</v>
      </c>
      <c r="L3488" s="94">
        <v>19548</v>
      </c>
      <c r="M3488" s="94">
        <v>19548</v>
      </c>
    </row>
    <row r="3489" spans="3:13" x14ac:dyDescent="0.3">
      <c r="C3489" t="s">
        <v>61</v>
      </c>
      <c r="D3489" t="s">
        <v>67</v>
      </c>
      <c r="E3489" t="s">
        <v>63</v>
      </c>
      <c r="F3489" t="s">
        <v>26</v>
      </c>
      <c r="G3489" s="4">
        <v>-1</v>
      </c>
      <c r="H3489" s="4" t="s">
        <v>77</v>
      </c>
      <c r="I3489" s="4" t="s">
        <v>69</v>
      </c>
      <c r="J3489" s="4" t="s">
        <v>66</v>
      </c>
      <c r="K3489" s="4">
        <v>0</v>
      </c>
      <c r="L3489" s="94">
        <v>-70706</v>
      </c>
      <c r="M3489" s="94">
        <v>0</v>
      </c>
    </row>
    <row r="3490" spans="3:13" x14ac:dyDescent="0.3">
      <c r="C3490" t="s">
        <v>61</v>
      </c>
      <c r="D3490" t="s">
        <v>67</v>
      </c>
      <c r="E3490" t="s">
        <v>63</v>
      </c>
      <c r="F3490" t="s">
        <v>25</v>
      </c>
      <c r="G3490" s="4">
        <v>1</v>
      </c>
      <c r="H3490" s="4" t="s">
        <v>14</v>
      </c>
      <c r="I3490" s="4" t="s">
        <v>69</v>
      </c>
      <c r="J3490" s="4" t="s">
        <v>66</v>
      </c>
      <c r="K3490" s="4">
        <v>0</v>
      </c>
      <c r="L3490" s="94">
        <v>-1119</v>
      </c>
      <c r="M3490" s="94">
        <v>0</v>
      </c>
    </row>
    <row r="3491" spans="3:13" x14ac:dyDescent="0.3">
      <c r="C3491" t="s">
        <v>70</v>
      </c>
      <c r="D3491" t="s">
        <v>84</v>
      </c>
      <c r="E3491" t="s">
        <v>68</v>
      </c>
      <c r="F3491" t="s">
        <v>25</v>
      </c>
      <c r="G3491" s="4">
        <v>6</v>
      </c>
      <c r="H3491" s="4" t="s">
        <v>81</v>
      </c>
      <c r="I3491" s="4" t="s">
        <v>69</v>
      </c>
      <c r="J3491" s="4" t="s">
        <v>66</v>
      </c>
      <c r="K3491" s="4">
        <v>0</v>
      </c>
      <c r="L3491" s="94">
        <v>33625</v>
      </c>
      <c r="M3491" s="94">
        <v>201750</v>
      </c>
    </row>
    <row r="3492" spans="3:13" x14ac:dyDescent="0.3">
      <c r="C3492" t="s">
        <v>71</v>
      </c>
      <c r="D3492" t="s">
        <v>67</v>
      </c>
      <c r="E3492" t="s">
        <v>68</v>
      </c>
      <c r="F3492" t="s">
        <v>26</v>
      </c>
      <c r="G3492" s="4">
        <v>-1</v>
      </c>
      <c r="H3492" s="4" t="s">
        <v>82</v>
      </c>
      <c r="I3492" s="4" t="s">
        <v>69</v>
      </c>
      <c r="J3492" s="4" t="s">
        <v>66</v>
      </c>
      <c r="K3492" s="4">
        <v>0</v>
      </c>
      <c r="L3492" s="94">
        <v>2296372</v>
      </c>
      <c r="M3492" s="94">
        <v>0</v>
      </c>
    </row>
    <row r="3493" spans="3:13" x14ac:dyDescent="0.3">
      <c r="C3493" t="s">
        <v>61</v>
      </c>
      <c r="D3493" t="s">
        <v>67</v>
      </c>
      <c r="E3493" t="s">
        <v>68</v>
      </c>
      <c r="F3493" t="s">
        <v>26</v>
      </c>
      <c r="G3493" s="4">
        <v>4</v>
      </c>
      <c r="H3493" s="4" t="s">
        <v>74</v>
      </c>
      <c r="I3493" s="4" t="s">
        <v>69</v>
      </c>
      <c r="J3493" s="4" t="s">
        <v>66</v>
      </c>
      <c r="K3493" s="4">
        <v>0</v>
      </c>
      <c r="L3493" s="94">
        <v>137581382</v>
      </c>
      <c r="M3493" s="94">
        <v>550325528</v>
      </c>
    </row>
    <row r="3494" spans="3:13" x14ac:dyDescent="0.3">
      <c r="C3494" t="s">
        <v>71</v>
      </c>
      <c r="D3494" t="s">
        <v>62</v>
      </c>
      <c r="E3494" t="s">
        <v>68</v>
      </c>
      <c r="F3494" t="s">
        <v>24</v>
      </c>
      <c r="G3494" s="4">
        <v>17</v>
      </c>
      <c r="I3494" s="4" t="s">
        <v>69</v>
      </c>
      <c r="J3494" s="4" t="s">
        <v>66</v>
      </c>
      <c r="K3494" s="4">
        <v>0</v>
      </c>
      <c r="L3494" s="94">
        <v>5661564</v>
      </c>
      <c r="M3494" s="94">
        <v>96246588</v>
      </c>
    </row>
    <row r="3495" spans="3:13" x14ac:dyDescent="0.3">
      <c r="C3495" t="s">
        <v>71</v>
      </c>
      <c r="D3495" t="s">
        <v>67</v>
      </c>
      <c r="E3495" t="s">
        <v>63</v>
      </c>
      <c r="F3495" t="s">
        <v>25</v>
      </c>
      <c r="G3495" s="4">
        <v>-4</v>
      </c>
      <c r="H3495" s="4" t="s">
        <v>82</v>
      </c>
      <c r="I3495" s="4" t="s">
        <v>69</v>
      </c>
      <c r="J3495" s="4" t="s">
        <v>66</v>
      </c>
      <c r="K3495" s="4">
        <v>0</v>
      </c>
      <c r="L3495" s="94">
        <v>-123010</v>
      </c>
      <c r="M3495" s="94">
        <v>0</v>
      </c>
    </row>
    <row r="3496" spans="3:13" x14ac:dyDescent="0.3">
      <c r="C3496" t="s">
        <v>61</v>
      </c>
      <c r="D3496" t="s">
        <v>84</v>
      </c>
      <c r="E3496" t="s">
        <v>68</v>
      </c>
      <c r="F3496" t="s">
        <v>25</v>
      </c>
      <c r="G3496" s="4">
        <v>5</v>
      </c>
      <c r="H3496" s="4" t="s">
        <v>75</v>
      </c>
      <c r="I3496" s="4" t="s">
        <v>69</v>
      </c>
      <c r="J3496" s="4" t="s">
        <v>66</v>
      </c>
      <c r="K3496" s="4">
        <v>0</v>
      </c>
      <c r="L3496" s="94">
        <v>10601895</v>
      </c>
      <c r="M3496" s="94">
        <v>53009475</v>
      </c>
    </row>
    <row r="3497" spans="3:13" x14ac:dyDescent="0.3">
      <c r="C3497" t="s">
        <v>70</v>
      </c>
      <c r="D3497" t="s">
        <v>67</v>
      </c>
      <c r="E3497" t="s">
        <v>68</v>
      </c>
      <c r="F3497" t="s">
        <v>26</v>
      </c>
      <c r="G3497" s="4">
        <v>1</v>
      </c>
      <c r="H3497" s="4" t="s">
        <v>78</v>
      </c>
      <c r="I3497" s="4" t="s">
        <v>69</v>
      </c>
      <c r="J3497" s="4" t="s">
        <v>66</v>
      </c>
      <c r="K3497" s="4">
        <v>0</v>
      </c>
      <c r="L3497" s="94">
        <v>543544</v>
      </c>
      <c r="M3497" s="94">
        <v>543544</v>
      </c>
    </row>
    <row r="3498" spans="3:13" x14ac:dyDescent="0.3">
      <c r="C3498" t="s">
        <v>71</v>
      </c>
      <c r="D3498" t="s">
        <v>67</v>
      </c>
      <c r="E3498" t="s">
        <v>68</v>
      </c>
      <c r="F3498" t="s">
        <v>25</v>
      </c>
      <c r="G3498" s="4">
        <v>6</v>
      </c>
      <c r="H3498" s="4" t="s">
        <v>18</v>
      </c>
      <c r="I3498" s="4" t="s">
        <v>69</v>
      </c>
      <c r="J3498" s="4" t="s">
        <v>66</v>
      </c>
      <c r="K3498" s="4">
        <v>0</v>
      </c>
      <c r="L3498" s="94">
        <v>1130382</v>
      </c>
      <c r="M3498" s="94">
        <v>6782292</v>
      </c>
    </row>
    <row r="3499" spans="3:13" x14ac:dyDescent="0.3">
      <c r="C3499" t="s">
        <v>70</v>
      </c>
      <c r="D3499" t="s">
        <v>67</v>
      </c>
      <c r="E3499" t="s">
        <v>68</v>
      </c>
      <c r="F3499" t="s">
        <v>26</v>
      </c>
      <c r="G3499" s="4">
        <v>0</v>
      </c>
      <c r="H3499" s="4" t="s">
        <v>17</v>
      </c>
      <c r="I3499" s="4" t="s">
        <v>69</v>
      </c>
      <c r="J3499" s="4" t="s">
        <v>73</v>
      </c>
      <c r="K3499" s="4">
        <v>1</v>
      </c>
      <c r="L3499" s="94">
        <v>48510</v>
      </c>
      <c r="M3499" s="94">
        <v>0</v>
      </c>
    </row>
    <row r="3500" spans="3:13" x14ac:dyDescent="0.3">
      <c r="C3500" t="s">
        <v>61</v>
      </c>
      <c r="D3500" t="s">
        <v>67</v>
      </c>
      <c r="E3500" t="s">
        <v>63</v>
      </c>
      <c r="F3500" t="s">
        <v>25</v>
      </c>
      <c r="G3500" s="4">
        <v>11</v>
      </c>
      <c r="H3500" s="4" t="s">
        <v>82</v>
      </c>
      <c r="I3500" s="4" t="s">
        <v>69</v>
      </c>
      <c r="J3500" s="4" t="s">
        <v>66</v>
      </c>
      <c r="K3500" s="4">
        <v>0</v>
      </c>
      <c r="L3500" s="94">
        <v>-1180</v>
      </c>
      <c r="M3500" s="94">
        <v>0</v>
      </c>
    </row>
    <row r="3501" spans="3:13" x14ac:dyDescent="0.3">
      <c r="C3501" t="s">
        <v>71</v>
      </c>
      <c r="D3501" t="s">
        <v>67</v>
      </c>
      <c r="E3501" t="s">
        <v>63</v>
      </c>
      <c r="F3501" t="s">
        <v>26</v>
      </c>
      <c r="G3501" s="4">
        <v>4</v>
      </c>
      <c r="H3501" s="4" t="s">
        <v>12</v>
      </c>
      <c r="I3501" s="4" t="s">
        <v>69</v>
      </c>
      <c r="J3501" s="4" t="s">
        <v>66</v>
      </c>
      <c r="K3501" s="4">
        <v>0</v>
      </c>
      <c r="L3501" s="94">
        <v>-3899</v>
      </c>
      <c r="M3501" s="94">
        <v>0</v>
      </c>
    </row>
    <row r="3502" spans="3:13" x14ac:dyDescent="0.3">
      <c r="C3502" t="s">
        <v>61</v>
      </c>
      <c r="D3502" t="s">
        <v>67</v>
      </c>
      <c r="E3502" t="s">
        <v>68</v>
      </c>
      <c r="F3502" t="s">
        <v>26</v>
      </c>
      <c r="G3502" s="4">
        <v>-1</v>
      </c>
      <c r="H3502" s="4" t="s">
        <v>13</v>
      </c>
      <c r="I3502" s="4" t="s">
        <v>69</v>
      </c>
      <c r="J3502" s="4" t="s">
        <v>66</v>
      </c>
      <c r="K3502" s="4">
        <v>0</v>
      </c>
      <c r="L3502" s="94">
        <v>152691</v>
      </c>
      <c r="M3502" s="94">
        <v>0</v>
      </c>
    </row>
    <row r="3503" spans="3:13" x14ac:dyDescent="0.3">
      <c r="C3503" t="s">
        <v>61</v>
      </c>
      <c r="D3503" t="s">
        <v>67</v>
      </c>
      <c r="E3503" t="s">
        <v>63</v>
      </c>
      <c r="F3503" t="s">
        <v>25</v>
      </c>
      <c r="G3503" s="4">
        <v>20</v>
      </c>
      <c r="H3503" s="4" t="s">
        <v>75</v>
      </c>
      <c r="I3503" s="4" t="s">
        <v>69</v>
      </c>
      <c r="J3503" s="4" t="s">
        <v>66</v>
      </c>
      <c r="K3503" s="4">
        <v>0</v>
      </c>
      <c r="L3503" s="94">
        <v>-473</v>
      </c>
      <c r="M3503" s="94">
        <v>0</v>
      </c>
    </row>
    <row r="3504" spans="3:13" x14ac:dyDescent="0.3">
      <c r="C3504" t="s">
        <v>70</v>
      </c>
      <c r="D3504" t="s">
        <v>67</v>
      </c>
      <c r="E3504" t="s">
        <v>63</v>
      </c>
      <c r="F3504" t="s">
        <v>25</v>
      </c>
      <c r="G3504" s="4">
        <v>11</v>
      </c>
      <c r="H3504" s="4" t="s">
        <v>76</v>
      </c>
      <c r="I3504" s="4" t="s">
        <v>69</v>
      </c>
      <c r="J3504" s="4" t="s">
        <v>66</v>
      </c>
      <c r="K3504" s="4">
        <v>0</v>
      </c>
      <c r="L3504" s="94">
        <v>-657412</v>
      </c>
      <c r="M3504" s="94">
        <v>0</v>
      </c>
    </row>
    <row r="3505" spans="3:13" x14ac:dyDescent="0.3">
      <c r="C3505" t="s">
        <v>71</v>
      </c>
      <c r="D3505" t="s">
        <v>62</v>
      </c>
      <c r="E3505" t="s">
        <v>68</v>
      </c>
      <c r="F3505" t="s">
        <v>24</v>
      </c>
      <c r="G3505" s="4">
        <v>16</v>
      </c>
      <c r="I3505" s="4" t="s">
        <v>65</v>
      </c>
      <c r="J3505" s="4" t="s">
        <v>66</v>
      </c>
      <c r="K3505" s="4">
        <v>1</v>
      </c>
      <c r="L3505" s="94">
        <v>98209</v>
      </c>
      <c r="M3505" s="94">
        <v>1571344</v>
      </c>
    </row>
    <row r="3506" spans="3:13" x14ac:dyDescent="0.3">
      <c r="C3506" t="s">
        <v>71</v>
      </c>
      <c r="D3506" t="s">
        <v>67</v>
      </c>
      <c r="E3506" t="s">
        <v>68</v>
      </c>
      <c r="F3506" t="s">
        <v>26</v>
      </c>
      <c r="G3506" s="4">
        <v>-4</v>
      </c>
      <c r="H3506" s="4" t="s">
        <v>17</v>
      </c>
      <c r="I3506" s="4" t="s">
        <v>69</v>
      </c>
      <c r="J3506" s="4" t="s">
        <v>73</v>
      </c>
      <c r="K3506" s="4">
        <v>1</v>
      </c>
      <c r="L3506" s="94">
        <v>6047</v>
      </c>
      <c r="M3506" s="94">
        <v>0</v>
      </c>
    </row>
    <row r="3507" spans="3:13" x14ac:dyDescent="0.3">
      <c r="C3507" t="s">
        <v>71</v>
      </c>
      <c r="D3507" t="s">
        <v>67</v>
      </c>
      <c r="E3507" t="s">
        <v>68</v>
      </c>
      <c r="F3507" t="s">
        <v>25</v>
      </c>
      <c r="G3507" s="4">
        <v>3</v>
      </c>
      <c r="H3507" s="4" t="s">
        <v>14</v>
      </c>
      <c r="I3507" s="4" t="s">
        <v>69</v>
      </c>
      <c r="J3507" s="4" t="s">
        <v>66</v>
      </c>
      <c r="K3507" s="4">
        <v>0</v>
      </c>
      <c r="L3507" s="94">
        <v>1108156</v>
      </c>
      <c r="M3507" s="94">
        <v>3324468</v>
      </c>
    </row>
    <row r="3508" spans="3:13" x14ac:dyDescent="0.3">
      <c r="C3508" t="s">
        <v>70</v>
      </c>
      <c r="D3508" t="s">
        <v>62</v>
      </c>
      <c r="E3508" t="s">
        <v>68</v>
      </c>
      <c r="F3508" t="s">
        <v>25</v>
      </c>
      <c r="G3508" s="4">
        <v>7</v>
      </c>
      <c r="I3508" s="4" t="s">
        <v>69</v>
      </c>
      <c r="J3508" s="4" t="s">
        <v>66</v>
      </c>
      <c r="K3508" s="4">
        <v>1</v>
      </c>
      <c r="L3508" s="94">
        <v>30265</v>
      </c>
      <c r="M3508" s="94">
        <v>211855</v>
      </c>
    </row>
    <row r="3509" spans="3:13" x14ac:dyDescent="0.3">
      <c r="C3509" t="s">
        <v>61</v>
      </c>
      <c r="D3509" t="s">
        <v>67</v>
      </c>
      <c r="E3509" t="s">
        <v>68</v>
      </c>
      <c r="F3509" t="s">
        <v>26</v>
      </c>
      <c r="G3509" s="4">
        <v>0</v>
      </c>
      <c r="H3509" s="4" t="s">
        <v>87</v>
      </c>
      <c r="I3509" s="4" t="s">
        <v>69</v>
      </c>
      <c r="J3509" s="4" t="s">
        <v>66</v>
      </c>
      <c r="K3509" s="4">
        <v>0</v>
      </c>
      <c r="L3509" s="94">
        <v>77711239</v>
      </c>
      <c r="M3509" s="94">
        <v>0</v>
      </c>
    </row>
    <row r="3510" spans="3:13" x14ac:dyDescent="0.3">
      <c r="C3510" t="s">
        <v>61</v>
      </c>
      <c r="D3510" t="s">
        <v>67</v>
      </c>
      <c r="E3510" t="s">
        <v>68</v>
      </c>
      <c r="F3510" t="s">
        <v>25</v>
      </c>
      <c r="G3510" s="4">
        <v>2</v>
      </c>
      <c r="H3510" s="4" t="s">
        <v>17</v>
      </c>
      <c r="I3510" s="4" t="s">
        <v>69</v>
      </c>
      <c r="J3510" s="4" t="s">
        <v>66</v>
      </c>
      <c r="K3510" s="4">
        <v>1</v>
      </c>
      <c r="L3510" s="94">
        <v>31860</v>
      </c>
      <c r="M3510" s="94">
        <v>63720</v>
      </c>
    </row>
    <row r="3511" spans="3:13" x14ac:dyDescent="0.3">
      <c r="C3511" t="s">
        <v>71</v>
      </c>
      <c r="D3511" t="s">
        <v>67</v>
      </c>
      <c r="E3511" t="s">
        <v>68</v>
      </c>
      <c r="F3511" t="s">
        <v>72</v>
      </c>
      <c r="G3511" s="4">
        <v>5</v>
      </c>
      <c r="H3511" s="4" t="s">
        <v>77</v>
      </c>
      <c r="I3511" s="4" t="s">
        <v>69</v>
      </c>
      <c r="J3511" s="4" t="s">
        <v>66</v>
      </c>
      <c r="K3511" s="4">
        <v>0</v>
      </c>
      <c r="L3511" s="94">
        <v>25077</v>
      </c>
      <c r="M3511" s="94">
        <v>125385</v>
      </c>
    </row>
    <row r="3512" spans="3:13" x14ac:dyDescent="0.3">
      <c r="C3512" t="s">
        <v>71</v>
      </c>
      <c r="D3512" t="s">
        <v>67</v>
      </c>
      <c r="E3512" t="s">
        <v>68</v>
      </c>
      <c r="F3512" t="s">
        <v>26</v>
      </c>
      <c r="G3512" s="4">
        <v>-1</v>
      </c>
      <c r="H3512" s="4" t="s">
        <v>12</v>
      </c>
      <c r="I3512" s="4" t="s">
        <v>65</v>
      </c>
      <c r="J3512" s="4" t="s">
        <v>73</v>
      </c>
      <c r="K3512" s="4">
        <v>1</v>
      </c>
      <c r="L3512" s="94">
        <v>129571</v>
      </c>
      <c r="M3512" s="94">
        <v>0</v>
      </c>
    </row>
    <row r="3513" spans="3:13" x14ac:dyDescent="0.3">
      <c r="C3513" t="s">
        <v>71</v>
      </c>
      <c r="D3513" t="s">
        <v>67</v>
      </c>
      <c r="E3513" t="s">
        <v>63</v>
      </c>
      <c r="F3513" t="s">
        <v>72</v>
      </c>
      <c r="G3513" s="4">
        <v>5</v>
      </c>
      <c r="H3513" s="4" t="s">
        <v>14</v>
      </c>
      <c r="I3513" s="4" t="s">
        <v>69</v>
      </c>
      <c r="J3513" s="4" t="s">
        <v>66</v>
      </c>
      <c r="K3513" s="4">
        <v>0</v>
      </c>
      <c r="L3513" s="94">
        <v>-61560</v>
      </c>
      <c r="M3513" s="94">
        <v>0</v>
      </c>
    </row>
    <row r="3514" spans="3:13" x14ac:dyDescent="0.3">
      <c r="C3514" t="s">
        <v>71</v>
      </c>
      <c r="D3514" t="s">
        <v>67</v>
      </c>
      <c r="E3514" t="s">
        <v>68</v>
      </c>
      <c r="F3514" t="s">
        <v>26</v>
      </c>
      <c r="G3514" s="4">
        <v>9</v>
      </c>
      <c r="H3514" s="4" t="s">
        <v>17</v>
      </c>
      <c r="I3514" s="4" t="s">
        <v>69</v>
      </c>
      <c r="J3514" s="4" t="s">
        <v>66</v>
      </c>
      <c r="K3514" s="4">
        <v>0</v>
      </c>
      <c r="L3514" s="94">
        <v>1571625</v>
      </c>
      <c r="M3514" s="94">
        <v>14144625</v>
      </c>
    </row>
    <row r="3515" spans="3:13" x14ac:dyDescent="0.3">
      <c r="C3515" t="s">
        <v>61</v>
      </c>
      <c r="D3515" t="s">
        <v>67</v>
      </c>
      <c r="E3515" t="s">
        <v>63</v>
      </c>
      <c r="F3515" t="s">
        <v>25</v>
      </c>
      <c r="G3515" s="4">
        <v>6</v>
      </c>
      <c r="H3515" s="4" t="s">
        <v>80</v>
      </c>
      <c r="I3515" s="4" t="s">
        <v>69</v>
      </c>
      <c r="J3515" s="4" t="s">
        <v>66</v>
      </c>
      <c r="K3515" s="4">
        <v>0</v>
      </c>
      <c r="L3515" s="94">
        <v>-364</v>
      </c>
      <c r="M3515" s="94">
        <v>0</v>
      </c>
    </row>
    <row r="3516" spans="3:13" x14ac:dyDescent="0.3">
      <c r="C3516" t="s">
        <v>61</v>
      </c>
      <c r="D3516" t="s">
        <v>67</v>
      </c>
      <c r="E3516" t="s">
        <v>68</v>
      </c>
      <c r="F3516" t="s">
        <v>72</v>
      </c>
      <c r="G3516" s="4">
        <v>1</v>
      </c>
      <c r="H3516" s="4" t="s">
        <v>86</v>
      </c>
      <c r="I3516" s="4" t="s">
        <v>69</v>
      </c>
      <c r="J3516" s="4" t="s">
        <v>66</v>
      </c>
      <c r="K3516" s="4">
        <v>0</v>
      </c>
      <c r="L3516" s="94">
        <v>9800</v>
      </c>
      <c r="M3516" s="94">
        <v>9800</v>
      </c>
    </row>
    <row r="3517" spans="3:13" x14ac:dyDescent="0.3">
      <c r="C3517" t="s">
        <v>71</v>
      </c>
      <c r="D3517" t="s">
        <v>67</v>
      </c>
      <c r="E3517" t="s">
        <v>63</v>
      </c>
      <c r="F3517" t="s">
        <v>26</v>
      </c>
      <c r="G3517" s="4">
        <v>2</v>
      </c>
      <c r="H3517" s="4" t="s">
        <v>64</v>
      </c>
      <c r="I3517" s="4" t="s">
        <v>69</v>
      </c>
      <c r="J3517" s="4" t="s">
        <v>66</v>
      </c>
      <c r="K3517" s="4">
        <v>0</v>
      </c>
      <c r="L3517" s="94">
        <v>-291849</v>
      </c>
      <c r="M3517" s="94">
        <v>0</v>
      </c>
    </row>
    <row r="3518" spans="3:13" x14ac:dyDescent="0.3">
      <c r="C3518" t="s">
        <v>61</v>
      </c>
      <c r="D3518" t="s">
        <v>62</v>
      </c>
      <c r="E3518" t="s">
        <v>68</v>
      </c>
      <c r="F3518" t="s">
        <v>25</v>
      </c>
      <c r="G3518" s="4">
        <v>3</v>
      </c>
      <c r="I3518" s="4" t="s">
        <v>69</v>
      </c>
      <c r="J3518" s="4" t="s">
        <v>66</v>
      </c>
      <c r="K3518" s="4">
        <v>1</v>
      </c>
      <c r="L3518" s="94">
        <v>11492</v>
      </c>
      <c r="M3518" s="94">
        <v>34476</v>
      </c>
    </row>
    <row r="3519" spans="3:13" x14ac:dyDescent="0.3">
      <c r="C3519" t="s">
        <v>70</v>
      </c>
      <c r="D3519" t="s">
        <v>67</v>
      </c>
      <c r="E3519" t="s">
        <v>63</v>
      </c>
      <c r="F3519" t="s">
        <v>72</v>
      </c>
      <c r="G3519" s="4">
        <v>-1</v>
      </c>
      <c r="H3519" s="4" t="s">
        <v>79</v>
      </c>
      <c r="I3519" s="4" t="s">
        <v>69</v>
      </c>
      <c r="J3519" s="4" t="s">
        <v>66</v>
      </c>
      <c r="K3519" s="4">
        <v>0</v>
      </c>
      <c r="L3519" s="94">
        <v>-270</v>
      </c>
      <c r="M3519" s="94">
        <v>0</v>
      </c>
    </row>
    <row r="3520" spans="3:13" x14ac:dyDescent="0.3">
      <c r="C3520" t="s">
        <v>70</v>
      </c>
      <c r="D3520" t="s">
        <v>62</v>
      </c>
      <c r="E3520" t="s">
        <v>63</v>
      </c>
      <c r="F3520" t="s">
        <v>24</v>
      </c>
      <c r="G3520" s="4">
        <v>39</v>
      </c>
      <c r="I3520" s="4" t="s">
        <v>65</v>
      </c>
      <c r="J3520" s="4" t="s">
        <v>66</v>
      </c>
      <c r="K3520" s="4">
        <v>1</v>
      </c>
      <c r="L3520" s="94">
        <v>-58864</v>
      </c>
      <c r="M3520" s="94">
        <v>0</v>
      </c>
    </row>
    <row r="3521" spans="3:13" x14ac:dyDescent="0.3">
      <c r="C3521" t="s">
        <v>61</v>
      </c>
      <c r="D3521" t="s">
        <v>67</v>
      </c>
      <c r="E3521" t="s">
        <v>68</v>
      </c>
      <c r="F3521" t="s">
        <v>72</v>
      </c>
      <c r="G3521" s="4">
        <v>-4</v>
      </c>
      <c r="H3521" s="4" t="s">
        <v>75</v>
      </c>
      <c r="I3521" s="4" t="s">
        <v>69</v>
      </c>
      <c r="J3521" s="4" t="s">
        <v>66</v>
      </c>
      <c r="K3521" s="4">
        <v>0</v>
      </c>
      <c r="L3521" s="94">
        <v>99</v>
      </c>
      <c r="M3521" s="94">
        <v>0</v>
      </c>
    </row>
    <row r="3522" spans="3:13" x14ac:dyDescent="0.3">
      <c r="C3522" t="s">
        <v>61</v>
      </c>
      <c r="D3522" t="s">
        <v>67</v>
      </c>
      <c r="E3522" t="s">
        <v>63</v>
      </c>
      <c r="F3522" t="s">
        <v>26</v>
      </c>
      <c r="G3522" s="4">
        <v>-1</v>
      </c>
      <c r="H3522" s="4" t="s">
        <v>12</v>
      </c>
      <c r="I3522" s="4" t="s">
        <v>65</v>
      </c>
      <c r="J3522" s="4" t="s">
        <v>73</v>
      </c>
      <c r="K3522" s="4">
        <v>1</v>
      </c>
      <c r="L3522" s="94">
        <v>-8784</v>
      </c>
      <c r="M3522" s="94">
        <v>0</v>
      </c>
    </row>
    <row r="3523" spans="3:13" x14ac:dyDescent="0.3">
      <c r="C3523" t="s">
        <v>71</v>
      </c>
      <c r="D3523" t="s">
        <v>67</v>
      </c>
      <c r="E3523" t="s">
        <v>63</v>
      </c>
      <c r="F3523" t="s">
        <v>26</v>
      </c>
      <c r="G3523" s="4">
        <v>3</v>
      </c>
      <c r="H3523" s="4" t="s">
        <v>17</v>
      </c>
      <c r="I3523" s="4" t="s">
        <v>65</v>
      </c>
      <c r="J3523" s="4" t="s">
        <v>66</v>
      </c>
      <c r="K3523" s="4">
        <v>1</v>
      </c>
      <c r="L3523" s="94">
        <v>-652370</v>
      </c>
      <c r="M3523" s="94">
        <v>0</v>
      </c>
    </row>
    <row r="3524" spans="3:13" x14ac:dyDescent="0.3">
      <c r="C3524" t="s">
        <v>61</v>
      </c>
      <c r="D3524" t="s">
        <v>67</v>
      </c>
      <c r="E3524" t="s">
        <v>68</v>
      </c>
      <c r="F3524" t="s">
        <v>26</v>
      </c>
      <c r="G3524" s="4">
        <v>4</v>
      </c>
      <c r="H3524" s="4" t="s">
        <v>80</v>
      </c>
      <c r="I3524" s="4" t="s">
        <v>69</v>
      </c>
      <c r="J3524" s="4" t="s">
        <v>66</v>
      </c>
      <c r="K3524" s="4">
        <v>0</v>
      </c>
      <c r="L3524" s="94">
        <v>2000638</v>
      </c>
      <c r="M3524" s="94">
        <v>8002552</v>
      </c>
    </row>
    <row r="3525" spans="3:13" x14ac:dyDescent="0.3">
      <c r="C3525" t="s">
        <v>61</v>
      </c>
      <c r="D3525" t="s">
        <v>62</v>
      </c>
      <c r="E3525" t="s">
        <v>68</v>
      </c>
      <c r="F3525" t="s">
        <v>24</v>
      </c>
      <c r="G3525" s="4">
        <v>11</v>
      </c>
      <c r="I3525" s="4" t="s">
        <v>69</v>
      </c>
      <c r="J3525" s="4" t="s">
        <v>66</v>
      </c>
      <c r="K3525" s="4">
        <v>1</v>
      </c>
      <c r="L3525" s="94">
        <v>810279</v>
      </c>
      <c r="M3525" s="94">
        <v>8913069</v>
      </c>
    </row>
    <row r="3526" spans="3:13" x14ac:dyDescent="0.3">
      <c r="C3526" t="s">
        <v>61</v>
      </c>
      <c r="D3526" t="s">
        <v>67</v>
      </c>
      <c r="E3526" t="s">
        <v>63</v>
      </c>
      <c r="F3526" t="s">
        <v>25</v>
      </c>
      <c r="G3526" s="4">
        <v>12</v>
      </c>
      <c r="H3526" s="4" t="s">
        <v>76</v>
      </c>
      <c r="I3526" s="4" t="s">
        <v>69</v>
      </c>
      <c r="J3526" s="4" t="s">
        <v>66</v>
      </c>
      <c r="K3526" s="4">
        <v>0</v>
      </c>
      <c r="L3526" s="94">
        <v>-681337</v>
      </c>
      <c r="M3526" s="94">
        <v>0</v>
      </c>
    </row>
    <row r="3527" spans="3:13" x14ac:dyDescent="0.3">
      <c r="C3527" t="s">
        <v>70</v>
      </c>
      <c r="D3527" t="s">
        <v>67</v>
      </c>
      <c r="E3527" t="s">
        <v>63</v>
      </c>
      <c r="F3527" t="s">
        <v>72</v>
      </c>
      <c r="G3527" s="4">
        <v>5</v>
      </c>
      <c r="H3527" s="4" t="s">
        <v>14</v>
      </c>
      <c r="I3527" s="4" t="s">
        <v>69</v>
      </c>
      <c r="J3527" s="4" t="s">
        <v>73</v>
      </c>
      <c r="K3527" s="4">
        <v>1</v>
      </c>
      <c r="L3527" s="94">
        <v>-85247</v>
      </c>
      <c r="M3527" s="94">
        <v>0</v>
      </c>
    </row>
    <row r="3528" spans="3:13" x14ac:dyDescent="0.3">
      <c r="C3528" t="s">
        <v>61</v>
      </c>
      <c r="D3528" t="s">
        <v>67</v>
      </c>
      <c r="E3528" t="s">
        <v>68</v>
      </c>
      <c r="F3528" t="s">
        <v>25</v>
      </c>
      <c r="G3528" s="4">
        <v>14</v>
      </c>
      <c r="H3528" s="4" t="s">
        <v>12</v>
      </c>
      <c r="I3528" s="4" t="s">
        <v>69</v>
      </c>
      <c r="J3528" s="4" t="s">
        <v>66</v>
      </c>
      <c r="K3528" s="4">
        <v>1</v>
      </c>
      <c r="L3528" s="94">
        <v>18330384</v>
      </c>
      <c r="M3528" s="94">
        <v>256625376</v>
      </c>
    </row>
    <row r="3529" spans="3:13" x14ac:dyDescent="0.3">
      <c r="C3529" t="s">
        <v>70</v>
      </c>
      <c r="D3529" t="s">
        <v>67</v>
      </c>
      <c r="E3529" t="s">
        <v>68</v>
      </c>
      <c r="F3529" t="s">
        <v>26</v>
      </c>
      <c r="G3529" s="4">
        <v>1</v>
      </c>
      <c r="H3529" s="4" t="s">
        <v>64</v>
      </c>
      <c r="I3529" s="4" t="s">
        <v>69</v>
      </c>
      <c r="J3529" s="4" t="s">
        <v>66</v>
      </c>
      <c r="K3529" s="4">
        <v>0</v>
      </c>
      <c r="L3529" s="94">
        <v>1925145</v>
      </c>
      <c r="M3529" s="94">
        <v>1925145</v>
      </c>
    </row>
    <row r="3530" spans="3:13" x14ac:dyDescent="0.3">
      <c r="C3530" t="s">
        <v>61</v>
      </c>
      <c r="D3530" t="s">
        <v>67</v>
      </c>
      <c r="E3530" t="s">
        <v>63</v>
      </c>
      <c r="F3530" t="s">
        <v>26</v>
      </c>
      <c r="G3530" s="4">
        <v>2</v>
      </c>
      <c r="H3530" s="4" t="s">
        <v>75</v>
      </c>
      <c r="I3530" s="4" t="s">
        <v>69</v>
      </c>
      <c r="J3530" s="4" t="s">
        <v>66</v>
      </c>
      <c r="K3530" s="4">
        <v>0</v>
      </c>
      <c r="L3530" s="94">
        <v>-59305</v>
      </c>
      <c r="M3530" s="94">
        <v>0</v>
      </c>
    </row>
    <row r="3531" spans="3:13" x14ac:dyDescent="0.3">
      <c r="C3531" t="s">
        <v>70</v>
      </c>
      <c r="D3531" t="s">
        <v>67</v>
      </c>
      <c r="E3531" t="s">
        <v>63</v>
      </c>
      <c r="F3531" t="s">
        <v>26</v>
      </c>
      <c r="G3531" s="4">
        <v>6</v>
      </c>
      <c r="H3531" s="4" t="s">
        <v>17</v>
      </c>
      <c r="I3531" s="4" t="s">
        <v>69</v>
      </c>
      <c r="J3531" s="4" t="s">
        <v>66</v>
      </c>
      <c r="K3531" s="4">
        <v>0</v>
      </c>
      <c r="L3531" s="94">
        <v>-13085</v>
      </c>
      <c r="M3531" s="94">
        <v>0</v>
      </c>
    </row>
    <row r="3532" spans="3:13" x14ac:dyDescent="0.3">
      <c r="C3532" t="s">
        <v>71</v>
      </c>
      <c r="D3532" t="s">
        <v>62</v>
      </c>
      <c r="E3532" t="s">
        <v>68</v>
      </c>
      <c r="F3532" t="s">
        <v>25</v>
      </c>
      <c r="G3532" s="4">
        <v>7</v>
      </c>
      <c r="I3532" s="4" t="s">
        <v>69</v>
      </c>
      <c r="J3532" s="4" t="s">
        <v>66</v>
      </c>
      <c r="K3532" s="4">
        <v>0</v>
      </c>
      <c r="L3532" s="94">
        <v>320322</v>
      </c>
      <c r="M3532" s="94">
        <v>2242254</v>
      </c>
    </row>
    <row r="3533" spans="3:13" x14ac:dyDescent="0.3">
      <c r="C3533" t="s">
        <v>61</v>
      </c>
      <c r="D3533" t="s">
        <v>62</v>
      </c>
      <c r="E3533" t="s">
        <v>68</v>
      </c>
      <c r="F3533" t="s">
        <v>25</v>
      </c>
      <c r="G3533" s="4">
        <v>12</v>
      </c>
      <c r="I3533" s="4" t="s">
        <v>69</v>
      </c>
      <c r="J3533" s="4" t="s">
        <v>66</v>
      </c>
      <c r="K3533" s="4">
        <v>1</v>
      </c>
      <c r="L3533" s="94">
        <v>574630</v>
      </c>
      <c r="M3533" s="94">
        <v>6895560</v>
      </c>
    </row>
    <row r="3534" spans="3:13" x14ac:dyDescent="0.3">
      <c r="C3534" t="s">
        <v>61</v>
      </c>
      <c r="D3534" t="s">
        <v>67</v>
      </c>
      <c r="E3534" t="s">
        <v>68</v>
      </c>
      <c r="F3534" t="s">
        <v>25</v>
      </c>
      <c r="G3534" s="4">
        <v>15</v>
      </c>
      <c r="H3534" s="4" t="s">
        <v>82</v>
      </c>
      <c r="I3534" s="4" t="s">
        <v>69</v>
      </c>
      <c r="J3534" s="4" t="s">
        <v>66</v>
      </c>
      <c r="K3534" s="4">
        <v>0</v>
      </c>
      <c r="L3534" s="94">
        <v>1016440</v>
      </c>
      <c r="M3534" s="94">
        <v>15246600</v>
      </c>
    </row>
    <row r="3535" spans="3:13" x14ac:dyDescent="0.3">
      <c r="C3535" t="s">
        <v>71</v>
      </c>
      <c r="D3535" t="s">
        <v>67</v>
      </c>
      <c r="E3535" t="s">
        <v>68</v>
      </c>
      <c r="F3535" t="s">
        <v>25</v>
      </c>
      <c r="G3535" s="4">
        <v>13</v>
      </c>
      <c r="H3535" s="4" t="s">
        <v>64</v>
      </c>
      <c r="I3535" s="4" t="s">
        <v>69</v>
      </c>
      <c r="J3535" s="4" t="s">
        <v>66</v>
      </c>
      <c r="K3535" s="4">
        <v>0</v>
      </c>
      <c r="L3535" s="94">
        <v>494415</v>
      </c>
      <c r="M3535" s="94">
        <v>6427395</v>
      </c>
    </row>
    <row r="3536" spans="3:13" x14ac:dyDescent="0.3">
      <c r="C3536" t="s">
        <v>61</v>
      </c>
      <c r="D3536" t="s">
        <v>67</v>
      </c>
      <c r="E3536" t="s">
        <v>68</v>
      </c>
      <c r="F3536" t="s">
        <v>72</v>
      </c>
      <c r="G3536" s="4">
        <v>0</v>
      </c>
      <c r="H3536" s="4" t="s">
        <v>16</v>
      </c>
      <c r="I3536" s="4" t="s">
        <v>69</v>
      </c>
      <c r="J3536" s="4" t="s">
        <v>66</v>
      </c>
      <c r="K3536" s="4">
        <v>0</v>
      </c>
      <c r="L3536" s="94">
        <v>114792</v>
      </c>
      <c r="M3536" s="94">
        <v>0</v>
      </c>
    </row>
    <row r="3537" spans="3:13" x14ac:dyDescent="0.3">
      <c r="C3537" t="s">
        <v>61</v>
      </c>
      <c r="D3537" t="s">
        <v>62</v>
      </c>
      <c r="E3537" t="s">
        <v>63</v>
      </c>
      <c r="F3537" t="s">
        <v>24</v>
      </c>
      <c r="G3537" s="4">
        <v>45</v>
      </c>
      <c r="I3537" s="4" t="s">
        <v>69</v>
      </c>
      <c r="J3537" s="4" t="s">
        <v>66</v>
      </c>
      <c r="K3537" s="4">
        <v>1</v>
      </c>
      <c r="L3537" s="94">
        <v>-37</v>
      </c>
      <c r="M3537" s="94">
        <v>0</v>
      </c>
    </row>
    <row r="3538" spans="3:13" x14ac:dyDescent="0.3">
      <c r="C3538" t="s">
        <v>70</v>
      </c>
      <c r="D3538" t="s">
        <v>67</v>
      </c>
      <c r="E3538" t="s">
        <v>63</v>
      </c>
      <c r="F3538" t="s">
        <v>26</v>
      </c>
      <c r="G3538" s="4">
        <v>0</v>
      </c>
      <c r="H3538" s="4" t="s">
        <v>12</v>
      </c>
      <c r="I3538" s="4" t="s">
        <v>69</v>
      </c>
      <c r="J3538" s="4" t="s">
        <v>73</v>
      </c>
      <c r="K3538" s="4">
        <v>1</v>
      </c>
      <c r="L3538" s="94">
        <v>-24137</v>
      </c>
      <c r="M3538" s="94">
        <v>0</v>
      </c>
    </row>
    <row r="3539" spans="3:13" x14ac:dyDescent="0.3">
      <c r="C3539" t="s">
        <v>61</v>
      </c>
      <c r="D3539" t="s">
        <v>67</v>
      </c>
      <c r="E3539" t="s">
        <v>63</v>
      </c>
      <c r="F3539" t="s">
        <v>26</v>
      </c>
      <c r="G3539" s="4">
        <v>0</v>
      </c>
      <c r="H3539" s="4" t="s">
        <v>87</v>
      </c>
      <c r="I3539" s="4" t="s">
        <v>69</v>
      </c>
      <c r="J3539" s="4" t="s">
        <v>66</v>
      </c>
      <c r="K3539" s="4">
        <v>0</v>
      </c>
      <c r="L3539" s="94">
        <v>-1194791</v>
      </c>
      <c r="M3539" s="94">
        <v>0</v>
      </c>
    </row>
    <row r="3540" spans="3:13" x14ac:dyDescent="0.3">
      <c r="C3540" t="s">
        <v>70</v>
      </c>
      <c r="D3540" t="s">
        <v>67</v>
      </c>
      <c r="E3540" t="s">
        <v>68</v>
      </c>
      <c r="F3540" t="s">
        <v>72</v>
      </c>
      <c r="G3540" s="4">
        <v>2</v>
      </c>
      <c r="H3540" s="4" t="s">
        <v>83</v>
      </c>
      <c r="I3540" s="4" t="s">
        <v>69</v>
      </c>
      <c r="J3540" s="4" t="s">
        <v>66</v>
      </c>
      <c r="K3540" s="4">
        <v>0</v>
      </c>
      <c r="L3540" s="94">
        <v>108492</v>
      </c>
      <c r="M3540" s="94">
        <v>216984</v>
      </c>
    </row>
    <row r="3541" spans="3:13" x14ac:dyDescent="0.3">
      <c r="C3541" t="s">
        <v>71</v>
      </c>
      <c r="D3541" t="s">
        <v>67</v>
      </c>
      <c r="E3541" t="s">
        <v>68</v>
      </c>
      <c r="F3541" t="s">
        <v>72</v>
      </c>
      <c r="G3541" s="4">
        <v>0</v>
      </c>
      <c r="H3541" s="4" t="s">
        <v>78</v>
      </c>
      <c r="I3541" s="4" t="s">
        <v>69</v>
      </c>
      <c r="J3541" s="4" t="s">
        <v>66</v>
      </c>
      <c r="K3541" s="4">
        <v>0</v>
      </c>
      <c r="L3541" s="94">
        <v>5445</v>
      </c>
      <c r="M3541" s="94">
        <v>0</v>
      </c>
    </row>
    <row r="3542" spans="3:13" x14ac:dyDescent="0.3">
      <c r="C3542" t="s">
        <v>61</v>
      </c>
      <c r="D3542" t="s">
        <v>67</v>
      </c>
      <c r="E3542" t="s">
        <v>68</v>
      </c>
      <c r="F3542" t="s">
        <v>25</v>
      </c>
      <c r="G3542" s="4">
        <v>1</v>
      </c>
      <c r="H3542" s="4" t="s">
        <v>17</v>
      </c>
      <c r="I3542" s="4" t="s">
        <v>69</v>
      </c>
      <c r="J3542" s="4" t="s">
        <v>66</v>
      </c>
      <c r="K3542" s="4">
        <v>0</v>
      </c>
      <c r="L3542" s="94">
        <v>48731073</v>
      </c>
      <c r="M3542" s="94">
        <v>48731073</v>
      </c>
    </row>
    <row r="3543" spans="3:13" x14ac:dyDescent="0.3">
      <c r="C3543" t="s">
        <v>71</v>
      </c>
      <c r="D3543" t="s">
        <v>67</v>
      </c>
      <c r="E3543" t="s">
        <v>68</v>
      </c>
      <c r="F3543" t="s">
        <v>26</v>
      </c>
      <c r="G3543" s="4">
        <v>7</v>
      </c>
      <c r="H3543" s="4" t="s">
        <v>75</v>
      </c>
      <c r="I3543" s="4" t="s">
        <v>69</v>
      </c>
      <c r="J3543" s="4" t="s">
        <v>66</v>
      </c>
      <c r="K3543" s="4">
        <v>0</v>
      </c>
      <c r="L3543" s="94">
        <v>369167</v>
      </c>
      <c r="M3543" s="94">
        <v>2584169</v>
      </c>
    </row>
    <row r="3544" spans="3:13" x14ac:dyDescent="0.3">
      <c r="C3544" t="s">
        <v>61</v>
      </c>
      <c r="D3544" t="s">
        <v>67</v>
      </c>
      <c r="E3544" t="s">
        <v>68</v>
      </c>
      <c r="F3544" t="s">
        <v>25</v>
      </c>
      <c r="G3544" s="4">
        <v>-1</v>
      </c>
      <c r="H3544" s="4" t="s">
        <v>18</v>
      </c>
      <c r="I3544" s="4" t="s">
        <v>69</v>
      </c>
      <c r="J3544" s="4" t="s">
        <v>66</v>
      </c>
      <c r="K3544" s="4">
        <v>0</v>
      </c>
      <c r="L3544" s="94">
        <v>1313757</v>
      </c>
      <c r="M3544" s="94">
        <v>0</v>
      </c>
    </row>
    <row r="3545" spans="3:13" x14ac:dyDescent="0.3">
      <c r="C3545" t="s">
        <v>70</v>
      </c>
      <c r="D3545" t="s">
        <v>62</v>
      </c>
      <c r="E3545" t="s">
        <v>63</v>
      </c>
      <c r="F3545" t="s">
        <v>24</v>
      </c>
      <c r="G3545" s="4">
        <v>40</v>
      </c>
      <c r="I3545" s="4" t="s">
        <v>69</v>
      </c>
      <c r="J3545" s="4" t="s">
        <v>66</v>
      </c>
      <c r="K3545" s="4">
        <v>0</v>
      </c>
      <c r="L3545" s="94">
        <v>-296156</v>
      </c>
      <c r="M3545" s="94">
        <v>0</v>
      </c>
    </row>
    <row r="3546" spans="3:13" x14ac:dyDescent="0.3">
      <c r="C3546" t="s">
        <v>70</v>
      </c>
      <c r="D3546" t="s">
        <v>67</v>
      </c>
      <c r="E3546" t="s">
        <v>63</v>
      </c>
      <c r="F3546" t="s">
        <v>26</v>
      </c>
      <c r="G3546" s="4">
        <v>1</v>
      </c>
      <c r="H3546" s="4" t="s">
        <v>15</v>
      </c>
      <c r="I3546" s="4" t="s">
        <v>69</v>
      </c>
      <c r="J3546" s="4" t="s">
        <v>73</v>
      </c>
      <c r="K3546" s="4">
        <v>1</v>
      </c>
      <c r="L3546" s="94">
        <v>-2396</v>
      </c>
      <c r="M3546" s="94">
        <v>0</v>
      </c>
    </row>
    <row r="3547" spans="3:13" x14ac:dyDescent="0.3">
      <c r="C3547" t="s">
        <v>61</v>
      </c>
      <c r="D3547" t="s">
        <v>62</v>
      </c>
      <c r="E3547" t="s">
        <v>63</v>
      </c>
      <c r="F3547" t="s">
        <v>24</v>
      </c>
      <c r="G3547" s="4">
        <v>21</v>
      </c>
      <c r="I3547" s="4" t="s">
        <v>65</v>
      </c>
      <c r="J3547" s="4" t="s">
        <v>66</v>
      </c>
      <c r="K3547" s="4">
        <v>1</v>
      </c>
      <c r="L3547" s="94">
        <v>-7909</v>
      </c>
      <c r="M3547" s="94">
        <v>0</v>
      </c>
    </row>
    <row r="3548" spans="3:13" x14ac:dyDescent="0.3">
      <c r="C3548" t="s">
        <v>70</v>
      </c>
      <c r="D3548" t="s">
        <v>67</v>
      </c>
      <c r="E3548" t="s">
        <v>68</v>
      </c>
      <c r="F3548" t="s">
        <v>25</v>
      </c>
      <c r="G3548" s="4">
        <v>2</v>
      </c>
      <c r="H3548" s="4" t="s">
        <v>75</v>
      </c>
      <c r="I3548" s="4" t="s">
        <v>69</v>
      </c>
      <c r="J3548" s="4" t="s">
        <v>66</v>
      </c>
      <c r="K3548" s="4">
        <v>0</v>
      </c>
      <c r="L3548" s="94">
        <v>1811592</v>
      </c>
      <c r="M3548" s="94">
        <v>3623184</v>
      </c>
    </row>
    <row r="3549" spans="3:13" x14ac:dyDescent="0.3">
      <c r="C3549" t="s">
        <v>70</v>
      </c>
      <c r="D3549" t="s">
        <v>67</v>
      </c>
      <c r="E3549" t="s">
        <v>68</v>
      </c>
      <c r="F3549" t="s">
        <v>72</v>
      </c>
      <c r="G3549" s="4">
        <v>7</v>
      </c>
      <c r="H3549" s="4" t="s">
        <v>18</v>
      </c>
      <c r="I3549" s="4" t="s">
        <v>69</v>
      </c>
      <c r="J3549" s="4" t="s">
        <v>66</v>
      </c>
      <c r="K3549" s="4">
        <v>0</v>
      </c>
      <c r="L3549" s="94">
        <v>331143</v>
      </c>
      <c r="M3549" s="94">
        <v>2318001</v>
      </c>
    </row>
    <row r="3550" spans="3:13" x14ac:dyDescent="0.3">
      <c r="C3550" t="s">
        <v>70</v>
      </c>
      <c r="D3550" t="s">
        <v>62</v>
      </c>
      <c r="E3550" t="s">
        <v>63</v>
      </c>
      <c r="F3550" t="s">
        <v>24</v>
      </c>
      <c r="G3550" s="4">
        <v>29</v>
      </c>
      <c r="I3550" s="4" t="s">
        <v>65</v>
      </c>
      <c r="J3550" s="4" t="s">
        <v>66</v>
      </c>
      <c r="K3550" s="4">
        <v>1</v>
      </c>
      <c r="L3550" s="94">
        <v>-41519</v>
      </c>
      <c r="M3550" s="94">
        <v>0</v>
      </c>
    </row>
    <row r="3551" spans="3:13" x14ac:dyDescent="0.3">
      <c r="C3551" t="s">
        <v>70</v>
      </c>
      <c r="D3551" t="s">
        <v>67</v>
      </c>
      <c r="E3551" t="s">
        <v>63</v>
      </c>
      <c r="F3551" t="s">
        <v>26</v>
      </c>
      <c r="G3551" s="4">
        <v>1</v>
      </c>
      <c r="H3551" s="4" t="s">
        <v>14</v>
      </c>
      <c r="I3551" s="4" t="s">
        <v>65</v>
      </c>
      <c r="J3551" s="4" t="s">
        <v>66</v>
      </c>
      <c r="K3551" s="4">
        <v>1</v>
      </c>
      <c r="L3551" s="94">
        <v>-601</v>
      </c>
      <c r="M3551" s="94">
        <v>0</v>
      </c>
    </row>
    <row r="3552" spans="3:13" x14ac:dyDescent="0.3">
      <c r="C3552" t="s">
        <v>71</v>
      </c>
      <c r="D3552" t="s">
        <v>62</v>
      </c>
      <c r="E3552" t="s">
        <v>68</v>
      </c>
      <c r="F3552" t="s">
        <v>24</v>
      </c>
      <c r="G3552" s="4">
        <v>25</v>
      </c>
      <c r="I3552" s="4" t="s">
        <v>69</v>
      </c>
      <c r="J3552" s="4" t="s">
        <v>66</v>
      </c>
      <c r="K3552" s="4">
        <v>1</v>
      </c>
      <c r="L3552" s="94">
        <v>93473</v>
      </c>
      <c r="M3552" s="94">
        <v>2336825</v>
      </c>
    </row>
    <row r="3553" spans="3:13" x14ac:dyDescent="0.3">
      <c r="C3553" t="s">
        <v>61</v>
      </c>
      <c r="D3553" t="s">
        <v>67</v>
      </c>
      <c r="E3553" t="s">
        <v>68</v>
      </c>
      <c r="F3553" t="s">
        <v>72</v>
      </c>
      <c r="G3553" s="4">
        <v>5</v>
      </c>
      <c r="H3553" s="4" t="s">
        <v>79</v>
      </c>
      <c r="I3553" s="4" t="s">
        <v>69</v>
      </c>
      <c r="J3553" s="4" t="s">
        <v>66</v>
      </c>
      <c r="K3553" s="4">
        <v>0</v>
      </c>
      <c r="L3553" s="94">
        <v>3598200</v>
      </c>
      <c r="M3553" s="94">
        <v>17991000</v>
      </c>
    </row>
    <row r="3554" spans="3:13" x14ac:dyDescent="0.3">
      <c r="C3554" t="s">
        <v>71</v>
      </c>
      <c r="D3554" t="s">
        <v>67</v>
      </c>
      <c r="E3554" t="s">
        <v>68</v>
      </c>
      <c r="F3554" t="s">
        <v>26</v>
      </c>
      <c r="G3554" s="4">
        <v>1</v>
      </c>
      <c r="H3554" s="4" t="s">
        <v>18</v>
      </c>
      <c r="I3554" s="4" t="s">
        <v>69</v>
      </c>
      <c r="J3554" s="4" t="s">
        <v>73</v>
      </c>
      <c r="K3554" s="4">
        <v>1</v>
      </c>
      <c r="L3554" s="94">
        <v>134437</v>
      </c>
      <c r="M3554" s="94">
        <v>134437</v>
      </c>
    </row>
    <row r="3555" spans="3:13" x14ac:dyDescent="0.3">
      <c r="C3555" t="s">
        <v>61</v>
      </c>
      <c r="D3555" t="s">
        <v>62</v>
      </c>
      <c r="E3555" t="s">
        <v>63</v>
      </c>
      <c r="F3555" t="s">
        <v>25</v>
      </c>
      <c r="G3555" s="4">
        <v>10</v>
      </c>
      <c r="I3555" s="4" t="s">
        <v>69</v>
      </c>
      <c r="J3555" s="4" t="s">
        <v>66</v>
      </c>
      <c r="K3555" s="4">
        <v>0</v>
      </c>
      <c r="L3555" s="94">
        <v>-5889</v>
      </c>
      <c r="M3555" s="94">
        <v>0</v>
      </c>
    </row>
    <row r="3556" spans="3:13" x14ac:dyDescent="0.3">
      <c r="C3556" t="s">
        <v>71</v>
      </c>
      <c r="D3556" t="s">
        <v>67</v>
      </c>
      <c r="E3556" t="s">
        <v>68</v>
      </c>
      <c r="F3556" t="s">
        <v>25</v>
      </c>
      <c r="G3556" s="4">
        <v>7</v>
      </c>
      <c r="H3556" s="4" t="s">
        <v>76</v>
      </c>
      <c r="I3556" s="4" t="s">
        <v>69</v>
      </c>
      <c r="J3556" s="4" t="s">
        <v>66</v>
      </c>
      <c r="K3556" s="4">
        <v>0</v>
      </c>
      <c r="L3556" s="94">
        <v>249590</v>
      </c>
      <c r="M3556" s="94">
        <v>1747130</v>
      </c>
    </row>
    <row r="3557" spans="3:13" x14ac:dyDescent="0.3">
      <c r="C3557" t="s">
        <v>70</v>
      </c>
      <c r="D3557" t="s">
        <v>67</v>
      </c>
      <c r="E3557" t="s">
        <v>63</v>
      </c>
      <c r="F3557" t="s">
        <v>72</v>
      </c>
      <c r="G3557" s="4">
        <v>3</v>
      </c>
      <c r="H3557" s="4" t="s">
        <v>14</v>
      </c>
      <c r="I3557" s="4" t="s">
        <v>69</v>
      </c>
      <c r="J3557" s="4" t="s">
        <v>73</v>
      </c>
      <c r="K3557" s="4">
        <v>1</v>
      </c>
      <c r="L3557" s="94">
        <v>-74814</v>
      </c>
      <c r="M3557" s="94">
        <v>0</v>
      </c>
    </row>
    <row r="3558" spans="3:13" x14ac:dyDescent="0.3">
      <c r="C3558" t="s">
        <v>71</v>
      </c>
      <c r="D3558" t="s">
        <v>62</v>
      </c>
      <c r="E3558" t="s">
        <v>63</v>
      </c>
      <c r="F3558" t="s">
        <v>24</v>
      </c>
      <c r="G3558" s="4">
        <v>16</v>
      </c>
      <c r="I3558" s="4" t="s">
        <v>69</v>
      </c>
      <c r="J3558" s="4" t="s">
        <v>66</v>
      </c>
      <c r="K3558" s="4">
        <v>1</v>
      </c>
      <c r="L3558" s="94">
        <v>-61709</v>
      </c>
      <c r="M3558" s="94">
        <v>0</v>
      </c>
    </row>
    <row r="3559" spans="3:13" x14ac:dyDescent="0.3">
      <c r="C3559" t="s">
        <v>71</v>
      </c>
      <c r="D3559" t="s">
        <v>67</v>
      </c>
      <c r="E3559" t="s">
        <v>68</v>
      </c>
      <c r="F3559" t="s">
        <v>25</v>
      </c>
      <c r="G3559" s="4">
        <v>3</v>
      </c>
      <c r="H3559" s="4" t="s">
        <v>74</v>
      </c>
      <c r="I3559" s="4" t="s">
        <v>69</v>
      </c>
      <c r="J3559" s="4" t="s">
        <v>66</v>
      </c>
      <c r="K3559" s="4">
        <v>0</v>
      </c>
      <c r="L3559" s="94">
        <v>1212860</v>
      </c>
      <c r="M3559" s="94">
        <v>3638580</v>
      </c>
    </row>
    <row r="3560" spans="3:13" x14ac:dyDescent="0.3">
      <c r="C3560" t="s">
        <v>61</v>
      </c>
      <c r="D3560" t="s">
        <v>67</v>
      </c>
      <c r="E3560" t="s">
        <v>68</v>
      </c>
      <c r="F3560" t="s">
        <v>26</v>
      </c>
      <c r="G3560" s="4">
        <v>3</v>
      </c>
      <c r="H3560" s="4" t="s">
        <v>78</v>
      </c>
      <c r="I3560" s="4" t="s">
        <v>69</v>
      </c>
      <c r="J3560" s="4" t="s">
        <v>66</v>
      </c>
      <c r="K3560" s="4">
        <v>0</v>
      </c>
      <c r="L3560" s="94">
        <v>1809073</v>
      </c>
      <c r="M3560" s="94">
        <v>5427219</v>
      </c>
    </row>
    <row r="3561" spans="3:13" x14ac:dyDescent="0.3">
      <c r="C3561" t="s">
        <v>61</v>
      </c>
      <c r="D3561" t="s">
        <v>67</v>
      </c>
      <c r="E3561" t="s">
        <v>63</v>
      </c>
      <c r="F3561" t="s">
        <v>25</v>
      </c>
      <c r="G3561" s="4">
        <v>4</v>
      </c>
      <c r="H3561" s="4" t="s">
        <v>64</v>
      </c>
      <c r="I3561" s="4" t="s">
        <v>69</v>
      </c>
      <c r="J3561" s="4" t="s">
        <v>66</v>
      </c>
      <c r="K3561" s="4">
        <v>0</v>
      </c>
      <c r="L3561" s="94">
        <v>-627</v>
      </c>
      <c r="M3561" s="94">
        <v>0</v>
      </c>
    </row>
    <row r="3562" spans="3:13" x14ac:dyDescent="0.3">
      <c r="C3562" t="s">
        <v>70</v>
      </c>
      <c r="D3562" t="s">
        <v>67</v>
      </c>
      <c r="E3562" t="s">
        <v>63</v>
      </c>
      <c r="F3562" t="s">
        <v>25</v>
      </c>
      <c r="G3562" s="4">
        <v>15</v>
      </c>
      <c r="H3562" s="4" t="s">
        <v>77</v>
      </c>
      <c r="I3562" s="4" t="s">
        <v>69</v>
      </c>
      <c r="J3562" s="4" t="s">
        <v>66</v>
      </c>
      <c r="K3562" s="4">
        <v>0</v>
      </c>
      <c r="L3562" s="94">
        <v>-2050</v>
      </c>
      <c r="M3562" s="94">
        <v>0</v>
      </c>
    </row>
    <row r="3563" spans="3:13" x14ac:dyDescent="0.3">
      <c r="C3563" t="s">
        <v>61</v>
      </c>
      <c r="D3563" t="s">
        <v>67</v>
      </c>
      <c r="E3563" t="s">
        <v>63</v>
      </c>
      <c r="F3563" t="s">
        <v>25</v>
      </c>
      <c r="G3563" s="4">
        <v>3</v>
      </c>
      <c r="H3563" s="4" t="s">
        <v>75</v>
      </c>
      <c r="I3563" s="4" t="s">
        <v>69</v>
      </c>
      <c r="J3563" s="4" t="s">
        <v>66</v>
      </c>
      <c r="K3563" s="4">
        <v>1</v>
      </c>
      <c r="L3563" s="94">
        <v>-248</v>
      </c>
      <c r="M3563" s="94">
        <v>0</v>
      </c>
    </row>
    <row r="3564" spans="3:13" x14ac:dyDescent="0.3">
      <c r="C3564" t="s">
        <v>61</v>
      </c>
      <c r="D3564" t="s">
        <v>67</v>
      </c>
      <c r="E3564" t="s">
        <v>63</v>
      </c>
      <c r="F3564" t="s">
        <v>25</v>
      </c>
      <c r="G3564" s="4">
        <v>1</v>
      </c>
      <c r="H3564" s="4" t="s">
        <v>80</v>
      </c>
      <c r="I3564" s="4" t="s">
        <v>69</v>
      </c>
      <c r="J3564" s="4" t="s">
        <v>66</v>
      </c>
      <c r="K3564" s="4">
        <v>0</v>
      </c>
      <c r="L3564" s="94">
        <v>-213</v>
      </c>
      <c r="M3564" s="94">
        <v>0</v>
      </c>
    </row>
    <row r="3565" spans="3:13" x14ac:dyDescent="0.3">
      <c r="C3565" t="s">
        <v>71</v>
      </c>
      <c r="D3565" t="s">
        <v>62</v>
      </c>
      <c r="E3565" t="s">
        <v>63</v>
      </c>
      <c r="F3565" t="s">
        <v>24</v>
      </c>
      <c r="G3565" s="4">
        <v>29</v>
      </c>
      <c r="I3565" s="4" t="s">
        <v>65</v>
      </c>
      <c r="J3565" s="4" t="s">
        <v>66</v>
      </c>
      <c r="K3565" s="4">
        <v>1</v>
      </c>
      <c r="L3565" s="94">
        <v>-63415</v>
      </c>
      <c r="M3565" s="94">
        <v>0</v>
      </c>
    </row>
    <row r="3566" spans="3:13" x14ac:dyDescent="0.3">
      <c r="C3566" t="s">
        <v>61</v>
      </c>
      <c r="D3566" t="s">
        <v>67</v>
      </c>
      <c r="E3566" t="s">
        <v>68</v>
      </c>
      <c r="F3566" t="s">
        <v>25</v>
      </c>
      <c r="G3566" s="4">
        <v>1</v>
      </c>
      <c r="H3566" s="4" t="s">
        <v>82</v>
      </c>
      <c r="I3566" s="4" t="s">
        <v>69</v>
      </c>
      <c r="J3566" s="4" t="s">
        <v>66</v>
      </c>
      <c r="K3566" s="4">
        <v>0</v>
      </c>
      <c r="L3566" s="94">
        <v>743719</v>
      </c>
      <c r="M3566" s="94">
        <v>743719</v>
      </c>
    </row>
    <row r="3567" spans="3:13" x14ac:dyDescent="0.3">
      <c r="C3567" t="s">
        <v>61</v>
      </c>
      <c r="D3567" t="s">
        <v>67</v>
      </c>
      <c r="E3567" t="s">
        <v>63</v>
      </c>
      <c r="F3567" t="s">
        <v>72</v>
      </c>
      <c r="G3567" s="4">
        <v>3</v>
      </c>
      <c r="H3567" s="4" t="s">
        <v>14</v>
      </c>
      <c r="I3567" s="4" t="s">
        <v>69</v>
      </c>
      <c r="J3567" s="4" t="s">
        <v>73</v>
      </c>
      <c r="K3567" s="4">
        <v>1</v>
      </c>
      <c r="L3567" s="94">
        <v>-26767</v>
      </c>
      <c r="M3567" s="94">
        <v>0</v>
      </c>
    </row>
    <row r="3568" spans="3:13" x14ac:dyDescent="0.3">
      <c r="C3568" t="s">
        <v>70</v>
      </c>
      <c r="D3568" t="s">
        <v>67</v>
      </c>
      <c r="E3568" t="s">
        <v>68</v>
      </c>
      <c r="F3568" t="s">
        <v>26</v>
      </c>
      <c r="G3568" s="4">
        <v>2</v>
      </c>
      <c r="H3568" s="4" t="s">
        <v>75</v>
      </c>
      <c r="I3568" s="4" t="s">
        <v>65</v>
      </c>
      <c r="J3568" s="4" t="s">
        <v>66</v>
      </c>
      <c r="K3568" s="4">
        <v>1</v>
      </c>
      <c r="L3568" s="94">
        <v>15921</v>
      </c>
      <c r="M3568" s="94">
        <v>31842</v>
      </c>
    </row>
    <row r="3569" spans="3:13" x14ac:dyDescent="0.3">
      <c r="C3569" t="s">
        <v>71</v>
      </c>
      <c r="D3569" t="s">
        <v>62</v>
      </c>
      <c r="E3569" t="s">
        <v>68</v>
      </c>
      <c r="F3569" t="s">
        <v>24</v>
      </c>
      <c r="G3569" s="4">
        <v>36</v>
      </c>
      <c r="I3569" s="4" t="s">
        <v>69</v>
      </c>
      <c r="J3569" s="4" t="s">
        <v>66</v>
      </c>
      <c r="K3569" s="4">
        <v>1</v>
      </c>
      <c r="L3569" s="94">
        <v>131496</v>
      </c>
      <c r="M3569" s="94">
        <v>4733856</v>
      </c>
    </row>
    <row r="3570" spans="3:13" x14ac:dyDescent="0.3">
      <c r="C3570" t="s">
        <v>61</v>
      </c>
      <c r="D3570" t="s">
        <v>67</v>
      </c>
      <c r="E3570" t="s">
        <v>68</v>
      </c>
      <c r="F3570" t="s">
        <v>26</v>
      </c>
      <c r="G3570" s="4">
        <v>-1</v>
      </c>
      <c r="H3570" s="4" t="s">
        <v>83</v>
      </c>
      <c r="I3570" s="4" t="s">
        <v>69</v>
      </c>
      <c r="J3570" s="4" t="s">
        <v>66</v>
      </c>
      <c r="K3570" s="4">
        <v>0</v>
      </c>
      <c r="L3570" s="94">
        <v>3238312</v>
      </c>
      <c r="M3570" s="94">
        <v>0</v>
      </c>
    </row>
    <row r="3571" spans="3:13" x14ac:dyDescent="0.3">
      <c r="C3571" t="s">
        <v>61</v>
      </c>
      <c r="D3571" t="s">
        <v>67</v>
      </c>
      <c r="E3571" t="s">
        <v>68</v>
      </c>
      <c r="F3571" t="s">
        <v>25</v>
      </c>
      <c r="G3571" s="4">
        <v>7</v>
      </c>
      <c r="H3571" s="4" t="s">
        <v>79</v>
      </c>
      <c r="I3571" s="4" t="s">
        <v>69</v>
      </c>
      <c r="J3571" s="4" t="s">
        <v>66</v>
      </c>
      <c r="K3571" s="4">
        <v>0</v>
      </c>
      <c r="L3571" s="94">
        <v>4631585</v>
      </c>
      <c r="M3571" s="94">
        <v>32421095</v>
      </c>
    </row>
    <row r="3572" spans="3:13" x14ac:dyDescent="0.3">
      <c r="C3572" t="s">
        <v>61</v>
      </c>
      <c r="D3572" t="s">
        <v>67</v>
      </c>
      <c r="E3572" t="s">
        <v>68</v>
      </c>
      <c r="F3572" t="s">
        <v>72</v>
      </c>
      <c r="G3572" s="4">
        <v>3</v>
      </c>
      <c r="H3572" s="4" t="s">
        <v>77</v>
      </c>
      <c r="I3572" s="4" t="s">
        <v>69</v>
      </c>
      <c r="J3572" s="4" t="s">
        <v>66</v>
      </c>
      <c r="K3572" s="4">
        <v>0</v>
      </c>
      <c r="L3572" s="94">
        <v>2461201</v>
      </c>
      <c r="M3572" s="94">
        <v>7383603</v>
      </c>
    </row>
    <row r="3573" spans="3:13" x14ac:dyDescent="0.3">
      <c r="C3573" t="s">
        <v>61</v>
      </c>
      <c r="D3573" t="s">
        <v>84</v>
      </c>
      <c r="E3573" t="s">
        <v>68</v>
      </c>
      <c r="F3573" t="s">
        <v>25</v>
      </c>
      <c r="G3573" s="4">
        <v>11</v>
      </c>
      <c r="H3573" s="4" t="s">
        <v>81</v>
      </c>
      <c r="I3573" s="4" t="s">
        <v>69</v>
      </c>
      <c r="J3573" s="4" t="s">
        <v>66</v>
      </c>
      <c r="K3573" s="4">
        <v>0</v>
      </c>
      <c r="L3573" s="94">
        <v>145621</v>
      </c>
      <c r="M3573" s="94">
        <v>1601831</v>
      </c>
    </row>
    <row r="3574" spans="3:13" x14ac:dyDescent="0.3">
      <c r="C3574" t="s">
        <v>61</v>
      </c>
      <c r="D3574" t="s">
        <v>67</v>
      </c>
      <c r="E3574" t="s">
        <v>68</v>
      </c>
      <c r="F3574" t="s">
        <v>26</v>
      </c>
      <c r="G3574" s="4">
        <v>7</v>
      </c>
      <c r="H3574" s="4" t="s">
        <v>82</v>
      </c>
      <c r="I3574" s="4" t="s">
        <v>69</v>
      </c>
      <c r="J3574" s="4" t="s">
        <v>66</v>
      </c>
      <c r="K3574" s="4">
        <v>0</v>
      </c>
      <c r="L3574" s="94">
        <v>67702226</v>
      </c>
      <c r="M3574" s="94">
        <v>473915582</v>
      </c>
    </row>
    <row r="3575" spans="3:13" x14ac:dyDescent="0.3">
      <c r="C3575" t="s">
        <v>71</v>
      </c>
      <c r="D3575" t="s">
        <v>62</v>
      </c>
      <c r="E3575" t="s">
        <v>68</v>
      </c>
      <c r="F3575" t="s">
        <v>24</v>
      </c>
      <c r="G3575" s="4">
        <v>21</v>
      </c>
      <c r="I3575" s="4" t="s">
        <v>65</v>
      </c>
      <c r="J3575" s="4" t="s">
        <v>66</v>
      </c>
      <c r="K3575" s="4">
        <v>1</v>
      </c>
      <c r="L3575" s="94">
        <v>151848</v>
      </c>
      <c r="M3575" s="94">
        <v>3188808</v>
      </c>
    </row>
    <row r="3576" spans="3:13" x14ac:dyDescent="0.3">
      <c r="C3576" t="s">
        <v>61</v>
      </c>
      <c r="D3576" t="s">
        <v>67</v>
      </c>
      <c r="E3576" t="s">
        <v>63</v>
      </c>
      <c r="F3576" t="s">
        <v>25</v>
      </c>
      <c r="G3576" s="4">
        <v>12</v>
      </c>
      <c r="H3576" s="4" t="s">
        <v>18</v>
      </c>
      <c r="I3576" s="4" t="s">
        <v>69</v>
      </c>
      <c r="J3576" s="4" t="s">
        <v>66</v>
      </c>
      <c r="K3576" s="4">
        <v>0</v>
      </c>
      <c r="L3576" s="94">
        <v>-8428</v>
      </c>
      <c r="M3576" s="94">
        <v>0</v>
      </c>
    </row>
    <row r="3577" spans="3:13" x14ac:dyDescent="0.3">
      <c r="C3577" t="s">
        <v>71</v>
      </c>
      <c r="D3577" t="s">
        <v>67</v>
      </c>
      <c r="E3577" t="s">
        <v>63</v>
      </c>
      <c r="F3577" t="s">
        <v>26</v>
      </c>
      <c r="G3577" s="4">
        <v>1</v>
      </c>
      <c r="H3577" s="4" t="s">
        <v>83</v>
      </c>
      <c r="I3577" s="4" t="s">
        <v>69</v>
      </c>
      <c r="J3577" s="4" t="s">
        <v>66</v>
      </c>
      <c r="K3577" s="4">
        <v>0</v>
      </c>
      <c r="L3577" s="94">
        <v>-91955</v>
      </c>
      <c r="M3577" s="94">
        <v>0</v>
      </c>
    </row>
    <row r="3578" spans="3:13" x14ac:dyDescent="0.3">
      <c r="C3578" t="s">
        <v>61</v>
      </c>
      <c r="D3578" t="s">
        <v>67</v>
      </c>
      <c r="E3578" t="s">
        <v>63</v>
      </c>
      <c r="F3578" t="s">
        <v>26</v>
      </c>
      <c r="G3578" s="4">
        <v>2</v>
      </c>
      <c r="H3578" s="4" t="s">
        <v>13</v>
      </c>
      <c r="I3578" s="4" t="s">
        <v>69</v>
      </c>
      <c r="J3578" s="4" t="s">
        <v>66</v>
      </c>
      <c r="K3578" s="4">
        <v>0</v>
      </c>
      <c r="L3578" s="94">
        <v>-60</v>
      </c>
      <c r="M3578" s="94">
        <v>0</v>
      </c>
    </row>
    <row r="3579" spans="3:13" x14ac:dyDescent="0.3">
      <c r="C3579" t="s">
        <v>61</v>
      </c>
      <c r="D3579" t="s">
        <v>84</v>
      </c>
      <c r="E3579" t="s">
        <v>63</v>
      </c>
      <c r="F3579" t="s">
        <v>25</v>
      </c>
      <c r="G3579" s="4">
        <v>10</v>
      </c>
      <c r="H3579" s="4" t="s">
        <v>75</v>
      </c>
      <c r="I3579" s="4" t="s">
        <v>69</v>
      </c>
      <c r="J3579" s="4" t="s">
        <v>66</v>
      </c>
      <c r="K3579" s="4">
        <v>0</v>
      </c>
      <c r="L3579" s="94">
        <v>-18057</v>
      </c>
      <c r="M3579" s="94">
        <v>0</v>
      </c>
    </row>
    <row r="3580" spans="3:13" x14ac:dyDescent="0.3">
      <c r="C3580" t="s">
        <v>70</v>
      </c>
      <c r="D3580" t="s">
        <v>67</v>
      </c>
      <c r="E3580" t="s">
        <v>63</v>
      </c>
      <c r="F3580" t="s">
        <v>26</v>
      </c>
      <c r="G3580" s="4">
        <v>6</v>
      </c>
      <c r="H3580" s="4" t="s">
        <v>82</v>
      </c>
      <c r="I3580" s="4" t="s">
        <v>69</v>
      </c>
      <c r="J3580" s="4" t="s">
        <v>66</v>
      </c>
      <c r="K3580" s="4">
        <v>0</v>
      </c>
      <c r="L3580" s="94">
        <v>-13277</v>
      </c>
      <c r="M3580" s="94">
        <v>0</v>
      </c>
    </row>
    <row r="3581" spans="3:13" x14ac:dyDescent="0.3">
      <c r="C3581" t="s">
        <v>61</v>
      </c>
      <c r="D3581" t="s">
        <v>67</v>
      </c>
      <c r="E3581" t="s">
        <v>63</v>
      </c>
      <c r="F3581" t="s">
        <v>25</v>
      </c>
      <c r="G3581" s="4">
        <v>1</v>
      </c>
      <c r="H3581" s="4" t="s">
        <v>18</v>
      </c>
      <c r="I3581" s="4" t="s">
        <v>65</v>
      </c>
      <c r="J3581" s="4" t="s">
        <v>66</v>
      </c>
      <c r="K3581" s="4">
        <v>1</v>
      </c>
      <c r="L3581" s="94">
        <v>-210</v>
      </c>
      <c r="M3581" s="94">
        <v>0</v>
      </c>
    </row>
    <row r="3582" spans="3:13" x14ac:dyDescent="0.3">
      <c r="C3582" t="s">
        <v>61</v>
      </c>
      <c r="D3582" t="s">
        <v>67</v>
      </c>
      <c r="E3582" t="s">
        <v>63</v>
      </c>
      <c r="F3582" t="s">
        <v>72</v>
      </c>
      <c r="G3582" s="4">
        <v>4</v>
      </c>
      <c r="H3582" s="4" t="s">
        <v>14</v>
      </c>
      <c r="I3582" s="4" t="s">
        <v>69</v>
      </c>
      <c r="J3582" s="4" t="s">
        <v>73</v>
      </c>
      <c r="K3582" s="4">
        <v>1</v>
      </c>
      <c r="L3582" s="94">
        <v>-23005</v>
      </c>
      <c r="M3582" s="94">
        <v>0</v>
      </c>
    </row>
    <row r="3583" spans="3:13" x14ac:dyDescent="0.3">
      <c r="C3583" t="s">
        <v>61</v>
      </c>
      <c r="D3583" t="s">
        <v>67</v>
      </c>
      <c r="E3583" t="s">
        <v>68</v>
      </c>
      <c r="F3583" t="s">
        <v>25</v>
      </c>
      <c r="G3583" s="4">
        <v>13</v>
      </c>
      <c r="H3583" s="4" t="s">
        <v>17</v>
      </c>
      <c r="I3583" s="4" t="s">
        <v>69</v>
      </c>
      <c r="J3583" s="4" t="s">
        <v>66</v>
      </c>
      <c r="K3583" s="4">
        <v>0</v>
      </c>
      <c r="L3583" s="94">
        <v>12567769</v>
      </c>
      <c r="M3583" s="94">
        <v>163380997</v>
      </c>
    </row>
    <row r="3584" spans="3:13" x14ac:dyDescent="0.3">
      <c r="C3584" t="s">
        <v>70</v>
      </c>
      <c r="D3584" t="s">
        <v>67</v>
      </c>
      <c r="E3584" t="s">
        <v>68</v>
      </c>
      <c r="F3584" t="s">
        <v>72</v>
      </c>
      <c r="G3584" s="4">
        <v>3</v>
      </c>
      <c r="H3584" s="4" t="s">
        <v>14</v>
      </c>
      <c r="I3584" s="4" t="s">
        <v>69</v>
      </c>
      <c r="J3584" s="4" t="s">
        <v>73</v>
      </c>
      <c r="K3584" s="4">
        <v>1</v>
      </c>
      <c r="L3584" s="94">
        <v>1534437</v>
      </c>
      <c r="M3584" s="94">
        <v>4603311</v>
      </c>
    </row>
    <row r="3585" spans="3:13" x14ac:dyDescent="0.3">
      <c r="C3585" t="s">
        <v>61</v>
      </c>
      <c r="D3585" t="s">
        <v>62</v>
      </c>
      <c r="E3585" t="s">
        <v>63</v>
      </c>
      <c r="F3585" t="s">
        <v>25</v>
      </c>
      <c r="G3585" s="4">
        <v>30</v>
      </c>
      <c r="I3585" s="4" t="s">
        <v>69</v>
      </c>
      <c r="J3585" s="4" t="s">
        <v>66</v>
      </c>
      <c r="K3585" s="4">
        <v>0</v>
      </c>
      <c r="L3585" s="94">
        <v>-496</v>
      </c>
      <c r="M3585" s="94">
        <v>0</v>
      </c>
    </row>
    <row r="3586" spans="3:13" x14ac:dyDescent="0.3">
      <c r="C3586" t="s">
        <v>61</v>
      </c>
      <c r="D3586" t="s">
        <v>62</v>
      </c>
      <c r="E3586" t="s">
        <v>68</v>
      </c>
      <c r="F3586" t="s">
        <v>25</v>
      </c>
      <c r="G3586" s="4">
        <v>14</v>
      </c>
      <c r="I3586" s="4" t="s">
        <v>69</v>
      </c>
      <c r="J3586" s="4" t="s">
        <v>66</v>
      </c>
      <c r="K3586" s="4">
        <v>0</v>
      </c>
      <c r="L3586" s="94">
        <v>1180716</v>
      </c>
      <c r="M3586" s="94">
        <v>16530024</v>
      </c>
    </row>
    <row r="3587" spans="3:13" x14ac:dyDescent="0.3">
      <c r="C3587" t="s">
        <v>61</v>
      </c>
      <c r="D3587" t="s">
        <v>67</v>
      </c>
      <c r="E3587" t="s">
        <v>68</v>
      </c>
      <c r="F3587" t="s">
        <v>25</v>
      </c>
      <c r="G3587" s="4">
        <v>6</v>
      </c>
      <c r="H3587" s="4" t="s">
        <v>79</v>
      </c>
      <c r="I3587" s="4" t="s">
        <v>69</v>
      </c>
      <c r="J3587" s="4" t="s">
        <v>66</v>
      </c>
      <c r="K3587" s="4">
        <v>0</v>
      </c>
      <c r="L3587" s="94">
        <v>4012796</v>
      </c>
      <c r="M3587" s="94">
        <v>24076776</v>
      </c>
    </row>
    <row r="3588" spans="3:13" x14ac:dyDescent="0.3">
      <c r="C3588" t="s">
        <v>71</v>
      </c>
      <c r="D3588" t="s">
        <v>62</v>
      </c>
      <c r="E3588" t="s">
        <v>68</v>
      </c>
      <c r="F3588" t="s">
        <v>24</v>
      </c>
      <c r="G3588" s="4">
        <v>20</v>
      </c>
      <c r="I3588" s="4" t="s">
        <v>69</v>
      </c>
      <c r="J3588" s="4" t="s">
        <v>66</v>
      </c>
      <c r="K3588" s="4">
        <v>0</v>
      </c>
      <c r="L3588" s="94">
        <v>7088272</v>
      </c>
      <c r="M3588" s="94">
        <v>141765440</v>
      </c>
    </row>
    <row r="3589" spans="3:13" x14ac:dyDescent="0.3">
      <c r="C3589" t="s">
        <v>71</v>
      </c>
      <c r="D3589" t="s">
        <v>67</v>
      </c>
      <c r="E3589" t="s">
        <v>63</v>
      </c>
      <c r="F3589" t="s">
        <v>26</v>
      </c>
      <c r="G3589" s="4">
        <v>-1</v>
      </c>
      <c r="H3589" s="4" t="s">
        <v>17</v>
      </c>
      <c r="I3589" s="4" t="s">
        <v>69</v>
      </c>
      <c r="J3589" s="4" t="s">
        <v>66</v>
      </c>
      <c r="K3589" s="4">
        <v>0</v>
      </c>
      <c r="L3589" s="94">
        <v>-4268503</v>
      </c>
      <c r="M3589" s="94">
        <v>0</v>
      </c>
    </row>
    <row r="3590" spans="3:13" x14ac:dyDescent="0.3">
      <c r="C3590" t="s">
        <v>61</v>
      </c>
      <c r="D3590" t="s">
        <v>67</v>
      </c>
      <c r="E3590" t="s">
        <v>63</v>
      </c>
      <c r="F3590" t="s">
        <v>25</v>
      </c>
      <c r="G3590" s="4">
        <v>4</v>
      </c>
      <c r="H3590" s="4" t="s">
        <v>78</v>
      </c>
      <c r="I3590" s="4" t="s">
        <v>69</v>
      </c>
      <c r="J3590" s="4" t="s">
        <v>66</v>
      </c>
      <c r="K3590" s="4">
        <v>0</v>
      </c>
      <c r="L3590" s="94">
        <v>-189</v>
      </c>
      <c r="M3590" s="94">
        <v>0</v>
      </c>
    </row>
    <row r="3591" spans="3:13" x14ac:dyDescent="0.3">
      <c r="C3591" t="s">
        <v>70</v>
      </c>
      <c r="D3591" t="s">
        <v>67</v>
      </c>
      <c r="E3591" t="s">
        <v>68</v>
      </c>
      <c r="F3591" t="s">
        <v>26</v>
      </c>
      <c r="G3591" s="4">
        <v>-1</v>
      </c>
      <c r="H3591" s="4" t="s">
        <v>17</v>
      </c>
      <c r="I3591" s="4" t="s">
        <v>65</v>
      </c>
      <c r="J3591" s="4" t="s">
        <v>66</v>
      </c>
      <c r="K3591" s="4">
        <v>1</v>
      </c>
      <c r="L3591" s="94">
        <v>259655</v>
      </c>
      <c r="M3591" s="94">
        <v>0</v>
      </c>
    </row>
    <row r="3592" spans="3:13" x14ac:dyDescent="0.3">
      <c r="C3592" t="s">
        <v>61</v>
      </c>
      <c r="D3592" t="s">
        <v>62</v>
      </c>
      <c r="E3592" t="s">
        <v>68</v>
      </c>
      <c r="F3592" t="s">
        <v>24</v>
      </c>
      <c r="G3592" s="4">
        <v>-1</v>
      </c>
      <c r="I3592" s="4" t="s">
        <v>69</v>
      </c>
      <c r="J3592" s="4" t="s">
        <v>66</v>
      </c>
      <c r="K3592" s="4">
        <v>0</v>
      </c>
      <c r="L3592" s="94">
        <v>103722</v>
      </c>
      <c r="M3592" s="94">
        <v>0</v>
      </c>
    </row>
    <row r="3593" spans="3:13" x14ac:dyDescent="0.3">
      <c r="C3593" t="s">
        <v>71</v>
      </c>
      <c r="D3593" t="s">
        <v>67</v>
      </c>
      <c r="E3593" t="s">
        <v>63</v>
      </c>
      <c r="F3593" t="s">
        <v>25</v>
      </c>
      <c r="G3593" s="4">
        <v>1</v>
      </c>
      <c r="H3593" s="4" t="s">
        <v>76</v>
      </c>
      <c r="I3593" s="4" t="s">
        <v>69</v>
      </c>
      <c r="J3593" s="4" t="s">
        <v>66</v>
      </c>
      <c r="K3593" s="4">
        <v>0</v>
      </c>
      <c r="L3593" s="94">
        <v>-28222</v>
      </c>
      <c r="M3593" s="94">
        <v>0</v>
      </c>
    </row>
    <row r="3594" spans="3:13" x14ac:dyDescent="0.3">
      <c r="C3594" t="s">
        <v>61</v>
      </c>
      <c r="D3594" t="s">
        <v>67</v>
      </c>
      <c r="E3594" t="s">
        <v>63</v>
      </c>
      <c r="F3594" t="s">
        <v>26</v>
      </c>
      <c r="G3594" s="4">
        <v>1</v>
      </c>
      <c r="H3594" s="4" t="s">
        <v>64</v>
      </c>
      <c r="I3594" s="4" t="s">
        <v>69</v>
      </c>
      <c r="J3594" s="4" t="s">
        <v>66</v>
      </c>
      <c r="K3594" s="4">
        <v>0</v>
      </c>
      <c r="L3594" s="94">
        <v>-43947</v>
      </c>
      <c r="M3594" s="94">
        <v>0</v>
      </c>
    </row>
    <row r="3595" spans="3:13" x14ac:dyDescent="0.3">
      <c r="C3595" t="s">
        <v>71</v>
      </c>
      <c r="D3595" t="s">
        <v>67</v>
      </c>
      <c r="E3595" t="s">
        <v>63</v>
      </c>
      <c r="F3595" t="s">
        <v>26</v>
      </c>
      <c r="G3595" s="4">
        <v>0</v>
      </c>
      <c r="H3595" s="4" t="s">
        <v>18</v>
      </c>
      <c r="I3595" s="4" t="s">
        <v>69</v>
      </c>
      <c r="J3595" s="4" t="s">
        <v>66</v>
      </c>
      <c r="K3595" s="4">
        <v>0</v>
      </c>
      <c r="L3595" s="94">
        <v>-2706463</v>
      </c>
      <c r="M3595" s="94">
        <v>0</v>
      </c>
    </row>
    <row r="3596" spans="3:13" x14ac:dyDescent="0.3">
      <c r="C3596" t="s">
        <v>70</v>
      </c>
      <c r="D3596" t="s">
        <v>67</v>
      </c>
      <c r="E3596" t="s">
        <v>68</v>
      </c>
      <c r="F3596" t="s">
        <v>26</v>
      </c>
      <c r="G3596" s="4">
        <v>-1</v>
      </c>
      <c r="H3596" s="4" t="s">
        <v>12</v>
      </c>
      <c r="I3596" s="4" t="s">
        <v>69</v>
      </c>
      <c r="J3596" s="4" t="s">
        <v>73</v>
      </c>
      <c r="K3596" s="4">
        <v>1</v>
      </c>
      <c r="L3596" s="94">
        <v>5521409</v>
      </c>
      <c r="M3596" s="94">
        <v>0</v>
      </c>
    </row>
    <row r="3597" spans="3:13" x14ac:dyDescent="0.3">
      <c r="C3597" t="s">
        <v>70</v>
      </c>
      <c r="D3597" t="s">
        <v>62</v>
      </c>
      <c r="E3597" t="s">
        <v>63</v>
      </c>
      <c r="F3597" t="s">
        <v>24</v>
      </c>
      <c r="G3597" s="4">
        <v>18</v>
      </c>
      <c r="I3597" s="4" t="s">
        <v>69</v>
      </c>
      <c r="J3597" s="4" t="s">
        <v>66</v>
      </c>
      <c r="K3597" s="4">
        <v>1</v>
      </c>
      <c r="L3597" s="94">
        <v>-4434</v>
      </c>
      <c r="M3597" s="94">
        <v>0</v>
      </c>
    </row>
    <row r="3598" spans="3:13" x14ac:dyDescent="0.3">
      <c r="C3598" t="s">
        <v>61</v>
      </c>
      <c r="D3598" t="s">
        <v>67</v>
      </c>
      <c r="E3598" t="s">
        <v>63</v>
      </c>
      <c r="F3598" t="s">
        <v>26</v>
      </c>
      <c r="G3598" s="4">
        <v>4</v>
      </c>
      <c r="H3598" s="4" t="s">
        <v>74</v>
      </c>
      <c r="I3598" s="4" t="s">
        <v>69</v>
      </c>
      <c r="J3598" s="4" t="s">
        <v>66</v>
      </c>
      <c r="K3598" s="4">
        <v>0</v>
      </c>
      <c r="L3598" s="94">
        <v>-178545</v>
      </c>
      <c r="M3598" s="94">
        <v>0</v>
      </c>
    </row>
    <row r="3599" spans="3:13" x14ac:dyDescent="0.3">
      <c r="C3599" t="s">
        <v>61</v>
      </c>
      <c r="D3599" t="s">
        <v>67</v>
      </c>
      <c r="E3599" t="s">
        <v>63</v>
      </c>
      <c r="F3599" t="s">
        <v>25</v>
      </c>
      <c r="G3599" s="4">
        <v>6</v>
      </c>
      <c r="H3599" s="4" t="s">
        <v>14</v>
      </c>
      <c r="I3599" s="4" t="s">
        <v>69</v>
      </c>
      <c r="J3599" s="4" t="s">
        <v>66</v>
      </c>
      <c r="K3599" s="4">
        <v>0</v>
      </c>
      <c r="L3599" s="94">
        <v>-10441</v>
      </c>
      <c r="M3599" s="94">
        <v>0</v>
      </c>
    </row>
    <row r="3600" spans="3:13" x14ac:dyDescent="0.3">
      <c r="C3600" t="s">
        <v>70</v>
      </c>
      <c r="D3600" t="s">
        <v>62</v>
      </c>
      <c r="E3600" t="s">
        <v>68</v>
      </c>
      <c r="F3600" t="s">
        <v>25</v>
      </c>
      <c r="G3600" s="4">
        <v>6</v>
      </c>
      <c r="I3600" s="4" t="s">
        <v>69</v>
      </c>
      <c r="J3600" s="4" t="s">
        <v>66</v>
      </c>
      <c r="K3600" s="4">
        <v>0</v>
      </c>
      <c r="L3600" s="94">
        <v>2086135</v>
      </c>
      <c r="M3600" s="94">
        <v>12516810</v>
      </c>
    </row>
    <row r="3601" spans="3:13" x14ac:dyDescent="0.3">
      <c r="C3601" t="s">
        <v>70</v>
      </c>
      <c r="D3601" t="s">
        <v>67</v>
      </c>
      <c r="E3601" t="s">
        <v>63</v>
      </c>
      <c r="F3601" t="s">
        <v>26</v>
      </c>
      <c r="G3601" s="4">
        <v>12</v>
      </c>
      <c r="H3601" s="4" t="s">
        <v>74</v>
      </c>
      <c r="I3601" s="4" t="s">
        <v>69</v>
      </c>
      <c r="J3601" s="4" t="s">
        <v>66</v>
      </c>
      <c r="K3601" s="4">
        <v>0</v>
      </c>
      <c r="L3601" s="94">
        <v>-151158</v>
      </c>
      <c r="M3601" s="94">
        <v>0</v>
      </c>
    </row>
    <row r="3602" spans="3:13" x14ac:dyDescent="0.3">
      <c r="C3602" t="s">
        <v>70</v>
      </c>
      <c r="D3602" t="s">
        <v>67</v>
      </c>
      <c r="E3602" t="s">
        <v>68</v>
      </c>
      <c r="F3602" t="s">
        <v>26</v>
      </c>
      <c r="G3602" s="4">
        <v>0</v>
      </c>
      <c r="H3602" s="4" t="s">
        <v>82</v>
      </c>
      <c r="I3602" s="4" t="s">
        <v>69</v>
      </c>
      <c r="J3602" s="4" t="s">
        <v>73</v>
      </c>
      <c r="K3602" s="4">
        <v>1</v>
      </c>
      <c r="L3602" s="94">
        <v>5191</v>
      </c>
      <c r="M3602" s="94">
        <v>0</v>
      </c>
    </row>
    <row r="3603" spans="3:13" x14ac:dyDescent="0.3">
      <c r="C3603" t="s">
        <v>61</v>
      </c>
      <c r="D3603" t="s">
        <v>62</v>
      </c>
      <c r="E3603" t="s">
        <v>63</v>
      </c>
      <c r="F3603" t="s">
        <v>25</v>
      </c>
      <c r="G3603" s="4">
        <v>-1</v>
      </c>
      <c r="I3603" s="4" t="s">
        <v>69</v>
      </c>
      <c r="J3603" s="4" t="s">
        <v>66</v>
      </c>
      <c r="K3603" s="4">
        <v>0</v>
      </c>
      <c r="L3603" s="94">
        <v>-7537</v>
      </c>
      <c r="M3603" s="94">
        <v>0</v>
      </c>
    </row>
    <row r="3604" spans="3:13" x14ac:dyDescent="0.3">
      <c r="C3604" t="s">
        <v>70</v>
      </c>
      <c r="D3604" t="s">
        <v>62</v>
      </c>
      <c r="E3604" t="s">
        <v>63</v>
      </c>
      <c r="F3604" t="s">
        <v>24</v>
      </c>
      <c r="G3604" s="4">
        <v>44</v>
      </c>
      <c r="I3604" s="4" t="s">
        <v>69</v>
      </c>
      <c r="J3604" s="4" t="s">
        <v>66</v>
      </c>
      <c r="K3604" s="4">
        <v>0</v>
      </c>
      <c r="L3604" s="94">
        <v>-98241</v>
      </c>
      <c r="M3604" s="94">
        <v>0</v>
      </c>
    </row>
    <row r="3605" spans="3:13" x14ac:dyDescent="0.3">
      <c r="C3605" t="s">
        <v>61</v>
      </c>
      <c r="D3605" t="s">
        <v>67</v>
      </c>
      <c r="E3605" t="s">
        <v>63</v>
      </c>
      <c r="F3605" t="s">
        <v>25</v>
      </c>
      <c r="G3605" s="4">
        <v>2</v>
      </c>
      <c r="H3605" s="4" t="s">
        <v>12</v>
      </c>
      <c r="I3605" s="4" t="s">
        <v>69</v>
      </c>
      <c r="J3605" s="4" t="s">
        <v>66</v>
      </c>
      <c r="K3605" s="4">
        <v>1</v>
      </c>
      <c r="L3605" s="94">
        <v>-360</v>
      </c>
      <c r="M3605" s="94">
        <v>0</v>
      </c>
    </row>
    <row r="3606" spans="3:13" x14ac:dyDescent="0.3">
      <c r="C3606" t="s">
        <v>61</v>
      </c>
      <c r="D3606" t="s">
        <v>67</v>
      </c>
      <c r="E3606" t="s">
        <v>68</v>
      </c>
      <c r="F3606" t="s">
        <v>26</v>
      </c>
      <c r="G3606" s="4">
        <v>-1</v>
      </c>
      <c r="H3606" s="4" t="s">
        <v>75</v>
      </c>
      <c r="I3606" s="4" t="s">
        <v>69</v>
      </c>
      <c r="J3606" s="4" t="s">
        <v>66</v>
      </c>
      <c r="K3606" s="4">
        <v>0</v>
      </c>
      <c r="L3606" s="94">
        <v>20966807</v>
      </c>
      <c r="M3606" s="94">
        <v>0</v>
      </c>
    </row>
    <row r="3607" spans="3:13" x14ac:dyDescent="0.3">
      <c r="C3607" t="s">
        <v>70</v>
      </c>
      <c r="D3607" t="s">
        <v>62</v>
      </c>
      <c r="E3607" t="s">
        <v>63</v>
      </c>
      <c r="F3607" t="s">
        <v>25</v>
      </c>
      <c r="G3607" s="4">
        <v>7</v>
      </c>
      <c r="I3607" s="4" t="s">
        <v>69</v>
      </c>
      <c r="J3607" s="4" t="s">
        <v>66</v>
      </c>
      <c r="K3607" s="4">
        <v>1</v>
      </c>
      <c r="L3607" s="94">
        <v>-972</v>
      </c>
      <c r="M3607" s="94">
        <v>0</v>
      </c>
    </row>
    <row r="3608" spans="3:13" x14ac:dyDescent="0.3">
      <c r="C3608" t="s">
        <v>61</v>
      </c>
      <c r="D3608" t="s">
        <v>62</v>
      </c>
      <c r="E3608" t="s">
        <v>63</v>
      </c>
      <c r="F3608" t="s">
        <v>25</v>
      </c>
      <c r="G3608" s="4">
        <v>5</v>
      </c>
      <c r="I3608" s="4" t="s">
        <v>65</v>
      </c>
      <c r="J3608" s="4" t="s">
        <v>66</v>
      </c>
      <c r="K3608" s="4">
        <v>1</v>
      </c>
      <c r="L3608" s="94">
        <v>-362</v>
      </c>
      <c r="M3608" s="94">
        <v>0</v>
      </c>
    </row>
    <row r="3609" spans="3:13" x14ac:dyDescent="0.3">
      <c r="C3609" t="s">
        <v>70</v>
      </c>
      <c r="D3609" t="s">
        <v>67</v>
      </c>
      <c r="E3609" t="s">
        <v>68</v>
      </c>
      <c r="F3609" t="s">
        <v>26</v>
      </c>
      <c r="G3609" s="4">
        <v>-4</v>
      </c>
      <c r="H3609" s="4" t="s">
        <v>79</v>
      </c>
      <c r="I3609" s="4" t="s">
        <v>69</v>
      </c>
      <c r="J3609" s="4" t="s">
        <v>66</v>
      </c>
      <c r="K3609" s="4">
        <v>0</v>
      </c>
      <c r="L3609" s="94">
        <v>2551</v>
      </c>
      <c r="M3609" s="94">
        <v>0</v>
      </c>
    </row>
    <row r="3610" spans="3:13" x14ac:dyDescent="0.3">
      <c r="C3610" t="s">
        <v>61</v>
      </c>
      <c r="D3610" t="s">
        <v>67</v>
      </c>
      <c r="E3610" t="s">
        <v>63</v>
      </c>
      <c r="F3610" t="s">
        <v>26</v>
      </c>
      <c r="G3610" s="4">
        <v>0</v>
      </c>
      <c r="H3610" s="4" t="s">
        <v>16</v>
      </c>
      <c r="I3610" s="4" t="s">
        <v>69</v>
      </c>
      <c r="J3610" s="4" t="s">
        <v>66</v>
      </c>
      <c r="K3610" s="4">
        <v>0</v>
      </c>
      <c r="L3610" s="94">
        <v>-29355</v>
      </c>
      <c r="M3610" s="94">
        <v>0</v>
      </c>
    </row>
    <row r="3611" spans="3:13" x14ac:dyDescent="0.3">
      <c r="C3611" t="s">
        <v>71</v>
      </c>
      <c r="D3611" t="s">
        <v>67</v>
      </c>
      <c r="E3611" t="s">
        <v>68</v>
      </c>
      <c r="F3611" t="s">
        <v>72</v>
      </c>
      <c r="G3611" s="4">
        <v>5</v>
      </c>
      <c r="H3611" s="4" t="s">
        <v>17</v>
      </c>
      <c r="I3611" s="4" t="s">
        <v>65</v>
      </c>
      <c r="J3611" s="4" t="s">
        <v>73</v>
      </c>
      <c r="K3611" s="4">
        <v>1</v>
      </c>
      <c r="L3611" s="94">
        <v>27443</v>
      </c>
      <c r="M3611" s="94">
        <v>137215</v>
      </c>
    </row>
    <row r="3612" spans="3:13" x14ac:dyDescent="0.3">
      <c r="C3612" t="s">
        <v>70</v>
      </c>
      <c r="D3612" t="s">
        <v>67</v>
      </c>
      <c r="E3612" t="s">
        <v>63</v>
      </c>
      <c r="F3612" t="s">
        <v>72</v>
      </c>
      <c r="G3612" s="4">
        <v>1</v>
      </c>
      <c r="H3612" s="4" t="s">
        <v>76</v>
      </c>
      <c r="I3612" s="4" t="s">
        <v>69</v>
      </c>
      <c r="J3612" s="4" t="s">
        <v>66</v>
      </c>
      <c r="K3612" s="4">
        <v>0</v>
      </c>
      <c r="L3612" s="94">
        <v>-16230</v>
      </c>
      <c r="M3612" s="94">
        <v>0</v>
      </c>
    </row>
    <row r="3613" spans="3:13" x14ac:dyDescent="0.3">
      <c r="C3613" t="s">
        <v>71</v>
      </c>
      <c r="D3613" t="s">
        <v>67</v>
      </c>
      <c r="E3613" t="s">
        <v>63</v>
      </c>
      <c r="F3613" t="s">
        <v>25</v>
      </c>
      <c r="G3613" s="4">
        <v>-4</v>
      </c>
      <c r="H3613" s="4" t="s">
        <v>17</v>
      </c>
      <c r="I3613" s="4" t="s">
        <v>69</v>
      </c>
      <c r="J3613" s="4" t="s">
        <v>66</v>
      </c>
      <c r="K3613" s="4">
        <v>0</v>
      </c>
      <c r="L3613" s="94">
        <v>-498424</v>
      </c>
      <c r="M3613" s="94">
        <v>0</v>
      </c>
    </row>
    <row r="3614" spans="3:13" x14ac:dyDescent="0.3">
      <c r="C3614" t="s">
        <v>70</v>
      </c>
      <c r="D3614" t="s">
        <v>67</v>
      </c>
      <c r="E3614" t="s">
        <v>68</v>
      </c>
      <c r="F3614" t="s">
        <v>72</v>
      </c>
      <c r="G3614" s="4">
        <v>4</v>
      </c>
      <c r="H3614" s="4" t="s">
        <v>79</v>
      </c>
      <c r="I3614" s="4" t="s">
        <v>69</v>
      </c>
      <c r="J3614" s="4" t="s">
        <v>66</v>
      </c>
      <c r="K3614" s="4">
        <v>0</v>
      </c>
      <c r="L3614" s="94">
        <v>674732</v>
      </c>
      <c r="M3614" s="94">
        <v>2698928</v>
      </c>
    </row>
    <row r="3615" spans="3:13" x14ac:dyDescent="0.3">
      <c r="C3615" t="s">
        <v>70</v>
      </c>
      <c r="D3615" t="s">
        <v>62</v>
      </c>
      <c r="E3615" t="s">
        <v>63</v>
      </c>
      <c r="F3615" t="s">
        <v>24</v>
      </c>
      <c r="G3615" s="4">
        <v>31</v>
      </c>
      <c r="I3615" s="4" t="s">
        <v>65</v>
      </c>
      <c r="J3615" s="4" t="s">
        <v>66</v>
      </c>
      <c r="K3615" s="4">
        <v>1</v>
      </c>
      <c r="L3615" s="94">
        <v>-22080</v>
      </c>
      <c r="M3615" s="94">
        <v>0</v>
      </c>
    </row>
    <row r="3616" spans="3:13" x14ac:dyDescent="0.3">
      <c r="C3616" t="s">
        <v>70</v>
      </c>
      <c r="D3616" t="s">
        <v>67</v>
      </c>
      <c r="E3616" t="s">
        <v>63</v>
      </c>
      <c r="F3616" t="s">
        <v>26</v>
      </c>
      <c r="G3616" s="4">
        <v>2</v>
      </c>
      <c r="H3616" s="4" t="s">
        <v>82</v>
      </c>
      <c r="I3616" s="4" t="s">
        <v>69</v>
      </c>
      <c r="J3616" s="4" t="s">
        <v>73</v>
      </c>
      <c r="K3616" s="4">
        <v>1</v>
      </c>
      <c r="L3616" s="94">
        <v>-3521</v>
      </c>
      <c r="M3616" s="94">
        <v>0</v>
      </c>
    </row>
    <row r="3617" spans="3:13" x14ac:dyDescent="0.3">
      <c r="C3617" t="s">
        <v>70</v>
      </c>
      <c r="D3617" t="s">
        <v>67</v>
      </c>
      <c r="E3617" t="s">
        <v>63</v>
      </c>
      <c r="F3617" t="s">
        <v>72</v>
      </c>
      <c r="G3617" s="4">
        <v>4</v>
      </c>
      <c r="H3617" s="4" t="s">
        <v>14</v>
      </c>
      <c r="I3617" s="4" t="s">
        <v>69</v>
      </c>
      <c r="J3617" s="4" t="s">
        <v>73</v>
      </c>
      <c r="K3617" s="4">
        <v>1</v>
      </c>
      <c r="L3617" s="94">
        <v>-107017</v>
      </c>
      <c r="M3617" s="94">
        <v>0</v>
      </c>
    </row>
    <row r="3618" spans="3:13" x14ac:dyDescent="0.3">
      <c r="C3618" t="s">
        <v>61</v>
      </c>
      <c r="D3618" t="s">
        <v>62</v>
      </c>
      <c r="E3618" t="s">
        <v>68</v>
      </c>
      <c r="F3618" t="s">
        <v>24</v>
      </c>
      <c r="G3618" s="4">
        <v>47</v>
      </c>
      <c r="I3618" s="4" t="s">
        <v>69</v>
      </c>
      <c r="J3618" s="4" t="s">
        <v>66</v>
      </c>
      <c r="K3618" s="4">
        <v>0</v>
      </c>
      <c r="L3618" s="94">
        <v>136614</v>
      </c>
      <c r="M3618" s="94">
        <v>6420858</v>
      </c>
    </row>
    <row r="3619" spans="3:13" x14ac:dyDescent="0.3">
      <c r="C3619" t="s">
        <v>61</v>
      </c>
      <c r="D3619" t="s">
        <v>62</v>
      </c>
      <c r="E3619" t="s">
        <v>63</v>
      </c>
      <c r="F3619" t="s">
        <v>24</v>
      </c>
      <c r="G3619" s="4">
        <v>23</v>
      </c>
      <c r="I3619" s="4" t="s">
        <v>65</v>
      </c>
      <c r="J3619" s="4" t="s">
        <v>66</v>
      </c>
      <c r="K3619" s="4">
        <v>1</v>
      </c>
      <c r="L3619" s="94">
        <v>-4513</v>
      </c>
      <c r="M3619" s="94">
        <v>0</v>
      </c>
    </row>
    <row r="3620" spans="3:13" x14ac:dyDescent="0.3">
      <c r="C3620" t="s">
        <v>70</v>
      </c>
      <c r="D3620" t="s">
        <v>67</v>
      </c>
      <c r="E3620" t="s">
        <v>68</v>
      </c>
      <c r="F3620" t="s">
        <v>25</v>
      </c>
      <c r="G3620" s="4">
        <v>-4</v>
      </c>
      <c r="H3620" s="4" t="s">
        <v>76</v>
      </c>
      <c r="I3620" s="4" t="s">
        <v>69</v>
      </c>
      <c r="J3620" s="4" t="s">
        <v>66</v>
      </c>
      <c r="K3620" s="4">
        <v>0</v>
      </c>
      <c r="L3620" s="94">
        <v>746</v>
      </c>
      <c r="M3620" s="94">
        <v>0</v>
      </c>
    </row>
    <row r="3621" spans="3:13" x14ac:dyDescent="0.3">
      <c r="C3621" t="s">
        <v>70</v>
      </c>
      <c r="D3621" t="s">
        <v>62</v>
      </c>
      <c r="E3621" t="s">
        <v>68</v>
      </c>
      <c r="F3621" t="s">
        <v>24</v>
      </c>
      <c r="G3621" s="4">
        <v>9</v>
      </c>
      <c r="I3621" s="4" t="s">
        <v>69</v>
      </c>
      <c r="J3621" s="4" t="s">
        <v>66</v>
      </c>
      <c r="K3621" s="4">
        <v>1</v>
      </c>
      <c r="L3621" s="94">
        <v>169001</v>
      </c>
      <c r="M3621" s="94">
        <v>1521009</v>
      </c>
    </row>
    <row r="3622" spans="3:13" x14ac:dyDescent="0.3">
      <c r="C3622" t="s">
        <v>61</v>
      </c>
      <c r="D3622" t="s">
        <v>67</v>
      </c>
      <c r="E3622" t="s">
        <v>63</v>
      </c>
      <c r="F3622" t="s">
        <v>26</v>
      </c>
      <c r="G3622" s="4">
        <v>-1</v>
      </c>
      <c r="H3622" s="4" t="s">
        <v>15</v>
      </c>
      <c r="I3622" s="4" t="s">
        <v>69</v>
      </c>
      <c r="J3622" s="4" t="s">
        <v>66</v>
      </c>
      <c r="K3622" s="4">
        <v>0</v>
      </c>
      <c r="L3622" s="94">
        <v>-1798</v>
      </c>
      <c r="M3622" s="94">
        <v>0</v>
      </c>
    </row>
    <row r="3623" spans="3:13" x14ac:dyDescent="0.3">
      <c r="C3623" t="s">
        <v>61</v>
      </c>
      <c r="D3623" t="s">
        <v>67</v>
      </c>
      <c r="E3623" t="s">
        <v>63</v>
      </c>
      <c r="F3623" t="s">
        <v>25</v>
      </c>
      <c r="G3623" s="4">
        <v>1</v>
      </c>
      <c r="H3623" s="4" t="s">
        <v>74</v>
      </c>
      <c r="I3623" s="4" t="s">
        <v>69</v>
      </c>
      <c r="J3623" s="4" t="s">
        <v>66</v>
      </c>
      <c r="K3623" s="4">
        <v>0</v>
      </c>
      <c r="L3623" s="94">
        <v>-2173</v>
      </c>
      <c r="M3623" s="94">
        <v>0</v>
      </c>
    </row>
    <row r="3624" spans="3:13" x14ac:dyDescent="0.3">
      <c r="C3624" t="s">
        <v>70</v>
      </c>
      <c r="D3624" t="s">
        <v>67</v>
      </c>
      <c r="E3624" t="s">
        <v>63</v>
      </c>
      <c r="F3624" t="s">
        <v>25</v>
      </c>
      <c r="G3624" s="4">
        <v>1</v>
      </c>
      <c r="H3624" s="4" t="s">
        <v>75</v>
      </c>
      <c r="I3624" s="4" t="s">
        <v>69</v>
      </c>
      <c r="J3624" s="4" t="s">
        <v>66</v>
      </c>
      <c r="K3624" s="4">
        <v>0</v>
      </c>
      <c r="L3624" s="94">
        <v>-9758</v>
      </c>
      <c r="M3624" s="94">
        <v>0</v>
      </c>
    </row>
    <row r="3625" spans="3:13" x14ac:dyDescent="0.3">
      <c r="C3625" t="s">
        <v>70</v>
      </c>
      <c r="D3625" t="s">
        <v>67</v>
      </c>
      <c r="E3625" t="s">
        <v>68</v>
      </c>
      <c r="F3625" t="s">
        <v>26</v>
      </c>
      <c r="G3625" s="4">
        <v>3</v>
      </c>
      <c r="H3625" s="4" t="s">
        <v>14</v>
      </c>
      <c r="I3625" s="4" t="s">
        <v>69</v>
      </c>
      <c r="J3625" s="4" t="s">
        <v>73</v>
      </c>
      <c r="K3625" s="4">
        <v>1</v>
      </c>
      <c r="L3625" s="94">
        <v>19304039</v>
      </c>
      <c r="M3625" s="94">
        <v>57912117</v>
      </c>
    </row>
    <row r="3626" spans="3:13" x14ac:dyDescent="0.3">
      <c r="C3626" t="s">
        <v>61</v>
      </c>
      <c r="D3626" t="s">
        <v>67</v>
      </c>
      <c r="E3626" t="s">
        <v>63</v>
      </c>
      <c r="F3626" t="s">
        <v>26</v>
      </c>
      <c r="G3626" s="4">
        <v>-4</v>
      </c>
      <c r="H3626" s="4" t="s">
        <v>18</v>
      </c>
      <c r="I3626" s="4" t="s">
        <v>69</v>
      </c>
      <c r="J3626" s="4" t="s">
        <v>66</v>
      </c>
      <c r="K3626" s="4">
        <v>0</v>
      </c>
      <c r="L3626" s="94">
        <v>-17</v>
      </c>
      <c r="M3626" s="94">
        <v>0</v>
      </c>
    </row>
    <row r="3627" spans="3:13" x14ac:dyDescent="0.3">
      <c r="C3627" t="s">
        <v>61</v>
      </c>
      <c r="D3627" t="s">
        <v>67</v>
      </c>
      <c r="E3627" t="s">
        <v>63</v>
      </c>
      <c r="F3627" t="s">
        <v>72</v>
      </c>
      <c r="G3627" s="4">
        <v>-1</v>
      </c>
      <c r="H3627" s="4" t="s">
        <v>12</v>
      </c>
      <c r="I3627" s="4" t="s">
        <v>69</v>
      </c>
      <c r="J3627" s="4" t="s">
        <v>66</v>
      </c>
      <c r="K3627" s="4">
        <v>0</v>
      </c>
      <c r="L3627" s="94">
        <v>-1191</v>
      </c>
      <c r="M3627" s="94">
        <v>0</v>
      </c>
    </row>
    <row r="3628" spans="3:13" x14ac:dyDescent="0.3">
      <c r="C3628" t="s">
        <v>61</v>
      </c>
      <c r="D3628" t="s">
        <v>67</v>
      </c>
      <c r="E3628" t="s">
        <v>63</v>
      </c>
      <c r="F3628" t="s">
        <v>25</v>
      </c>
      <c r="G3628" s="4">
        <v>8</v>
      </c>
      <c r="H3628" s="4" t="s">
        <v>77</v>
      </c>
      <c r="I3628" s="4" t="s">
        <v>69</v>
      </c>
      <c r="J3628" s="4" t="s">
        <v>66</v>
      </c>
      <c r="K3628" s="4">
        <v>0</v>
      </c>
      <c r="L3628" s="94">
        <v>-6024</v>
      </c>
      <c r="M3628" s="94">
        <v>0</v>
      </c>
    </row>
    <row r="3629" spans="3:13" x14ac:dyDescent="0.3">
      <c r="C3629" t="s">
        <v>70</v>
      </c>
      <c r="D3629" t="s">
        <v>67</v>
      </c>
      <c r="E3629" t="s">
        <v>63</v>
      </c>
      <c r="F3629" t="s">
        <v>25</v>
      </c>
      <c r="G3629" s="4">
        <v>8</v>
      </c>
      <c r="H3629" s="4" t="s">
        <v>81</v>
      </c>
      <c r="I3629" s="4" t="s">
        <v>69</v>
      </c>
      <c r="J3629" s="4" t="s">
        <v>66</v>
      </c>
      <c r="K3629" s="4">
        <v>0</v>
      </c>
      <c r="L3629" s="94">
        <v>-10521</v>
      </c>
      <c r="M3629" s="94">
        <v>0</v>
      </c>
    </row>
    <row r="3630" spans="3:13" x14ac:dyDescent="0.3">
      <c r="C3630" t="s">
        <v>71</v>
      </c>
      <c r="D3630" t="s">
        <v>67</v>
      </c>
      <c r="E3630" t="s">
        <v>63</v>
      </c>
      <c r="F3630" t="s">
        <v>26</v>
      </c>
      <c r="G3630" s="4">
        <v>11</v>
      </c>
      <c r="H3630" s="4" t="s">
        <v>14</v>
      </c>
      <c r="I3630" s="4" t="s">
        <v>69</v>
      </c>
      <c r="J3630" s="4" t="s">
        <v>73</v>
      </c>
      <c r="K3630" s="4">
        <v>1</v>
      </c>
      <c r="L3630" s="94">
        <v>-341869</v>
      </c>
      <c r="M3630" s="94">
        <v>0</v>
      </c>
    </row>
    <row r="3631" spans="3:13" x14ac:dyDescent="0.3">
      <c r="C3631" t="s">
        <v>71</v>
      </c>
      <c r="D3631" t="s">
        <v>62</v>
      </c>
      <c r="E3631" t="s">
        <v>68</v>
      </c>
      <c r="F3631" t="s">
        <v>24</v>
      </c>
      <c r="G3631" s="4">
        <v>34</v>
      </c>
      <c r="I3631" s="4" t="s">
        <v>69</v>
      </c>
      <c r="J3631" s="4" t="s">
        <v>66</v>
      </c>
      <c r="K3631" s="4">
        <v>0</v>
      </c>
      <c r="L3631" s="94">
        <v>5702094</v>
      </c>
      <c r="M3631" s="94">
        <v>193871196</v>
      </c>
    </row>
    <row r="3632" spans="3:13" x14ac:dyDescent="0.3">
      <c r="C3632" t="s">
        <v>70</v>
      </c>
      <c r="D3632" t="s">
        <v>67</v>
      </c>
      <c r="E3632" t="s">
        <v>68</v>
      </c>
      <c r="F3632" t="s">
        <v>25</v>
      </c>
      <c r="G3632" s="4">
        <v>0</v>
      </c>
      <c r="H3632" s="4" t="s">
        <v>18</v>
      </c>
      <c r="I3632" s="4" t="s">
        <v>69</v>
      </c>
      <c r="J3632" s="4" t="s">
        <v>66</v>
      </c>
      <c r="K3632" s="4">
        <v>0</v>
      </c>
      <c r="L3632" s="94">
        <v>1947899</v>
      </c>
      <c r="M3632" s="94">
        <v>0</v>
      </c>
    </row>
    <row r="3633" spans="3:13" x14ac:dyDescent="0.3">
      <c r="C3633" t="s">
        <v>61</v>
      </c>
      <c r="D3633" t="s">
        <v>67</v>
      </c>
      <c r="E3633" t="s">
        <v>68</v>
      </c>
      <c r="F3633" t="s">
        <v>26</v>
      </c>
      <c r="G3633" s="4">
        <v>4</v>
      </c>
      <c r="H3633" s="4" t="s">
        <v>12</v>
      </c>
      <c r="I3633" s="4" t="s">
        <v>69</v>
      </c>
      <c r="J3633" s="4" t="s">
        <v>66</v>
      </c>
      <c r="K3633" s="4">
        <v>0</v>
      </c>
      <c r="L3633" s="94">
        <v>1974100</v>
      </c>
      <c r="M3633" s="94">
        <v>7896400</v>
      </c>
    </row>
    <row r="3634" spans="3:13" x14ac:dyDescent="0.3">
      <c r="C3634" t="s">
        <v>61</v>
      </c>
      <c r="D3634" t="s">
        <v>67</v>
      </c>
      <c r="E3634" t="s">
        <v>63</v>
      </c>
      <c r="F3634" t="s">
        <v>25</v>
      </c>
      <c r="G3634" s="4">
        <v>17</v>
      </c>
      <c r="H3634" s="4" t="s">
        <v>12</v>
      </c>
      <c r="I3634" s="4" t="s">
        <v>69</v>
      </c>
      <c r="J3634" s="4" t="s">
        <v>66</v>
      </c>
      <c r="K3634" s="4">
        <v>0</v>
      </c>
      <c r="L3634" s="94">
        <v>-640</v>
      </c>
      <c r="M3634" s="94">
        <v>0</v>
      </c>
    </row>
    <row r="3635" spans="3:13" x14ac:dyDescent="0.3">
      <c r="C3635" t="s">
        <v>61</v>
      </c>
      <c r="D3635" t="s">
        <v>67</v>
      </c>
      <c r="E3635" t="s">
        <v>68</v>
      </c>
      <c r="F3635" t="s">
        <v>25</v>
      </c>
      <c r="G3635" s="4">
        <v>3</v>
      </c>
      <c r="H3635" s="4" t="s">
        <v>76</v>
      </c>
      <c r="I3635" s="4" t="s">
        <v>69</v>
      </c>
      <c r="J3635" s="4" t="s">
        <v>66</v>
      </c>
      <c r="K3635" s="4">
        <v>0</v>
      </c>
      <c r="L3635" s="94">
        <v>59385712</v>
      </c>
      <c r="M3635" s="94">
        <v>178157136</v>
      </c>
    </row>
    <row r="3636" spans="3:13" x14ac:dyDescent="0.3">
      <c r="C3636" t="s">
        <v>71</v>
      </c>
      <c r="D3636" t="s">
        <v>67</v>
      </c>
      <c r="E3636" t="s">
        <v>68</v>
      </c>
      <c r="F3636" t="s">
        <v>26</v>
      </c>
      <c r="G3636" s="4">
        <v>5</v>
      </c>
      <c r="H3636" s="4" t="s">
        <v>82</v>
      </c>
      <c r="I3636" s="4" t="s">
        <v>69</v>
      </c>
      <c r="J3636" s="4" t="s">
        <v>66</v>
      </c>
      <c r="K3636" s="4">
        <v>0</v>
      </c>
      <c r="L3636" s="94">
        <v>640966</v>
      </c>
      <c r="M3636" s="94">
        <v>3204830</v>
      </c>
    </row>
    <row r="3637" spans="3:13" x14ac:dyDescent="0.3">
      <c r="C3637" t="s">
        <v>61</v>
      </c>
      <c r="D3637" t="s">
        <v>67</v>
      </c>
      <c r="E3637" t="s">
        <v>63</v>
      </c>
      <c r="F3637" t="s">
        <v>72</v>
      </c>
      <c r="G3637" s="4">
        <v>8</v>
      </c>
      <c r="H3637" s="4" t="s">
        <v>82</v>
      </c>
      <c r="I3637" s="4" t="s">
        <v>69</v>
      </c>
      <c r="J3637" s="4" t="s">
        <v>66</v>
      </c>
      <c r="K3637" s="4">
        <v>0</v>
      </c>
      <c r="L3637" s="94">
        <v>-29151</v>
      </c>
      <c r="M3637" s="94">
        <v>0</v>
      </c>
    </row>
    <row r="3638" spans="3:13" x14ac:dyDescent="0.3">
      <c r="C3638" t="s">
        <v>70</v>
      </c>
      <c r="D3638" t="s">
        <v>62</v>
      </c>
      <c r="E3638" t="s">
        <v>68</v>
      </c>
      <c r="F3638" t="s">
        <v>24</v>
      </c>
      <c r="G3638" s="4">
        <v>14</v>
      </c>
      <c r="I3638" s="4" t="s">
        <v>69</v>
      </c>
      <c r="J3638" s="4" t="s">
        <v>66</v>
      </c>
      <c r="K3638" s="4">
        <v>1</v>
      </c>
      <c r="L3638" s="94">
        <v>151605</v>
      </c>
      <c r="M3638" s="94">
        <v>2122470</v>
      </c>
    </row>
    <row r="3639" spans="3:13" x14ac:dyDescent="0.3">
      <c r="C3639" t="s">
        <v>61</v>
      </c>
      <c r="D3639" t="s">
        <v>67</v>
      </c>
      <c r="E3639" t="s">
        <v>63</v>
      </c>
      <c r="F3639" t="s">
        <v>25</v>
      </c>
      <c r="G3639" s="4">
        <v>-1</v>
      </c>
      <c r="H3639" s="4" t="s">
        <v>76</v>
      </c>
      <c r="I3639" s="4" t="s">
        <v>65</v>
      </c>
      <c r="J3639" s="4" t="s">
        <v>66</v>
      </c>
      <c r="K3639" s="4">
        <v>1</v>
      </c>
      <c r="L3639" s="94">
        <v>-582</v>
      </c>
      <c r="M3639" s="94">
        <v>0</v>
      </c>
    </row>
    <row r="3640" spans="3:13" x14ac:dyDescent="0.3">
      <c r="C3640" t="s">
        <v>71</v>
      </c>
      <c r="D3640" t="s">
        <v>62</v>
      </c>
      <c r="E3640" t="s">
        <v>63</v>
      </c>
      <c r="F3640" t="s">
        <v>24</v>
      </c>
      <c r="G3640" s="4">
        <v>26</v>
      </c>
      <c r="I3640" s="4" t="s">
        <v>69</v>
      </c>
      <c r="J3640" s="4" t="s">
        <v>66</v>
      </c>
      <c r="K3640" s="4">
        <v>1</v>
      </c>
      <c r="L3640" s="94">
        <v>-35796</v>
      </c>
      <c r="M3640" s="94">
        <v>0</v>
      </c>
    </row>
    <row r="3641" spans="3:13" x14ac:dyDescent="0.3">
      <c r="C3641" t="s">
        <v>61</v>
      </c>
      <c r="D3641" t="s">
        <v>67</v>
      </c>
      <c r="E3641" t="s">
        <v>63</v>
      </c>
      <c r="F3641" t="s">
        <v>25</v>
      </c>
      <c r="G3641" s="4">
        <v>2</v>
      </c>
      <c r="H3641" s="4" t="s">
        <v>14</v>
      </c>
      <c r="I3641" s="4" t="s">
        <v>69</v>
      </c>
      <c r="J3641" s="4" t="s">
        <v>66</v>
      </c>
      <c r="K3641" s="4">
        <v>1</v>
      </c>
      <c r="L3641" s="94">
        <v>-6131</v>
      </c>
      <c r="M3641" s="94">
        <v>0</v>
      </c>
    </row>
    <row r="3642" spans="3:13" x14ac:dyDescent="0.3">
      <c r="C3642" t="s">
        <v>61</v>
      </c>
      <c r="D3642" t="s">
        <v>67</v>
      </c>
      <c r="E3642" t="s">
        <v>68</v>
      </c>
      <c r="F3642" t="s">
        <v>26</v>
      </c>
      <c r="G3642" s="4">
        <v>-1</v>
      </c>
      <c r="H3642" s="4" t="s">
        <v>64</v>
      </c>
      <c r="I3642" s="4" t="s">
        <v>69</v>
      </c>
      <c r="J3642" s="4" t="s">
        <v>66</v>
      </c>
      <c r="K3642" s="4">
        <v>0</v>
      </c>
      <c r="L3642" s="94">
        <v>24695568</v>
      </c>
      <c r="M3642" s="94">
        <v>0</v>
      </c>
    </row>
    <row r="3643" spans="3:13" x14ac:dyDescent="0.3">
      <c r="C3643" t="s">
        <v>61</v>
      </c>
      <c r="D3643" t="s">
        <v>67</v>
      </c>
      <c r="E3643" t="s">
        <v>63</v>
      </c>
      <c r="F3643" t="s">
        <v>26</v>
      </c>
      <c r="G3643" s="4">
        <v>0</v>
      </c>
      <c r="H3643" s="4" t="s">
        <v>18</v>
      </c>
      <c r="I3643" s="4" t="s">
        <v>69</v>
      </c>
      <c r="J3643" s="4" t="s">
        <v>66</v>
      </c>
      <c r="K3643" s="4">
        <v>0</v>
      </c>
      <c r="L3643" s="94">
        <v>-1900342</v>
      </c>
      <c r="M3643" s="94">
        <v>0</v>
      </c>
    </row>
    <row r="3644" spans="3:13" x14ac:dyDescent="0.3">
      <c r="C3644" t="s">
        <v>61</v>
      </c>
      <c r="D3644" t="s">
        <v>67</v>
      </c>
      <c r="E3644" t="s">
        <v>68</v>
      </c>
      <c r="F3644" t="s">
        <v>26</v>
      </c>
      <c r="G3644" s="4">
        <v>12</v>
      </c>
      <c r="H3644" s="4" t="s">
        <v>75</v>
      </c>
      <c r="I3644" s="4" t="s">
        <v>69</v>
      </c>
      <c r="J3644" s="4" t="s">
        <v>66</v>
      </c>
      <c r="K3644" s="4">
        <v>0</v>
      </c>
      <c r="L3644" s="94">
        <v>1743808</v>
      </c>
      <c r="M3644" s="94">
        <v>20925696</v>
      </c>
    </row>
    <row r="3645" spans="3:13" x14ac:dyDescent="0.3">
      <c r="C3645" t="s">
        <v>70</v>
      </c>
      <c r="D3645" t="s">
        <v>62</v>
      </c>
      <c r="E3645" t="s">
        <v>63</v>
      </c>
      <c r="F3645" t="s">
        <v>25</v>
      </c>
      <c r="G3645" s="4">
        <v>4</v>
      </c>
      <c r="I3645" s="4" t="s">
        <v>69</v>
      </c>
      <c r="J3645" s="4" t="s">
        <v>66</v>
      </c>
      <c r="K3645" s="4">
        <v>0</v>
      </c>
      <c r="L3645" s="94">
        <v>-21063</v>
      </c>
      <c r="M3645" s="94">
        <v>0</v>
      </c>
    </row>
    <row r="3646" spans="3:13" x14ac:dyDescent="0.3">
      <c r="C3646" t="s">
        <v>61</v>
      </c>
      <c r="D3646" t="s">
        <v>67</v>
      </c>
      <c r="E3646" t="s">
        <v>63</v>
      </c>
      <c r="F3646" t="s">
        <v>25</v>
      </c>
      <c r="G3646" s="4">
        <v>18</v>
      </c>
      <c r="H3646" s="4" t="s">
        <v>75</v>
      </c>
      <c r="I3646" s="4" t="s">
        <v>69</v>
      </c>
      <c r="J3646" s="4" t="s">
        <v>66</v>
      </c>
      <c r="K3646" s="4">
        <v>0</v>
      </c>
      <c r="L3646" s="94">
        <v>-1441</v>
      </c>
      <c r="M3646" s="94">
        <v>0</v>
      </c>
    </row>
    <row r="3647" spans="3:13" x14ac:dyDescent="0.3">
      <c r="C3647" t="s">
        <v>61</v>
      </c>
      <c r="D3647" t="s">
        <v>67</v>
      </c>
      <c r="E3647" t="s">
        <v>63</v>
      </c>
      <c r="F3647" t="s">
        <v>25</v>
      </c>
      <c r="G3647" s="4">
        <v>8</v>
      </c>
      <c r="H3647" s="4" t="s">
        <v>82</v>
      </c>
      <c r="I3647" s="4" t="s">
        <v>69</v>
      </c>
      <c r="J3647" s="4" t="s">
        <v>66</v>
      </c>
      <c r="K3647" s="4">
        <v>0</v>
      </c>
      <c r="L3647" s="94">
        <v>-442</v>
      </c>
      <c r="M3647" s="94">
        <v>0</v>
      </c>
    </row>
    <row r="3648" spans="3:13" x14ac:dyDescent="0.3">
      <c r="C3648" t="s">
        <v>70</v>
      </c>
      <c r="D3648" t="s">
        <v>62</v>
      </c>
      <c r="E3648" t="s">
        <v>63</v>
      </c>
      <c r="F3648" t="s">
        <v>24</v>
      </c>
      <c r="G3648" s="4">
        <v>23</v>
      </c>
      <c r="I3648" s="4" t="s">
        <v>65</v>
      </c>
      <c r="J3648" s="4" t="s">
        <v>66</v>
      </c>
      <c r="K3648" s="4">
        <v>1</v>
      </c>
      <c r="L3648" s="94">
        <v>-38061</v>
      </c>
      <c r="M3648" s="94">
        <v>0</v>
      </c>
    </row>
    <row r="3649" spans="3:13" x14ac:dyDescent="0.3">
      <c r="C3649" t="s">
        <v>61</v>
      </c>
      <c r="D3649" t="s">
        <v>62</v>
      </c>
      <c r="E3649" t="s">
        <v>68</v>
      </c>
      <c r="F3649" t="s">
        <v>24</v>
      </c>
      <c r="G3649" s="4">
        <v>5</v>
      </c>
      <c r="I3649" s="4" t="s">
        <v>65</v>
      </c>
      <c r="J3649" s="4" t="s">
        <v>66</v>
      </c>
      <c r="K3649" s="4">
        <v>1</v>
      </c>
      <c r="L3649" s="94">
        <v>1275026</v>
      </c>
      <c r="M3649" s="94">
        <v>6375130</v>
      </c>
    </row>
    <row r="3650" spans="3:13" x14ac:dyDescent="0.3">
      <c r="C3650" t="s">
        <v>70</v>
      </c>
      <c r="D3650" t="s">
        <v>67</v>
      </c>
      <c r="E3650" t="s">
        <v>68</v>
      </c>
      <c r="F3650" t="s">
        <v>26</v>
      </c>
      <c r="G3650" s="4">
        <v>3</v>
      </c>
      <c r="H3650" s="4" t="s">
        <v>17</v>
      </c>
      <c r="I3650" s="4" t="s">
        <v>65</v>
      </c>
      <c r="J3650" s="4" t="s">
        <v>66</v>
      </c>
      <c r="K3650" s="4">
        <v>1</v>
      </c>
      <c r="L3650" s="94">
        <v>220086</v>
      </c>
      <c r="M3650" s="94">
        <v>660258</v>
      </c>
    </row>
    <row r="3651" spans="3:13" x14ac:dyDescent="0.3">
      <c r="C3651" t="s">
        <v>61</v>
      </c>
      <c r="D3651" t="s">
        <v>67</v>
      </c>
      <c r="E3651" t="s">
        <v>68</v>
      </c>
      <c r="F3651" t="s">
        <v>25</v>
      </c>
      <c r="G3651" s="4">
        <v>8</v>
      </c>
      <c r="H3651" s="4" t="s">
        <v>78</v>
      </c>
      <c r="I3651" s="4" t="s">
        <v>69</v>
      </c>
      <c r="J3651" s="4" t="s">
        <v>66</v>
      </c>
      <c r="K3651" s="4">
        <v>0</v>
      </c>
      <c r="L3651" s="94">
        <v>673939</v>
      </c>
      <c r="M3651" s="94">
        <v>5391512</v>
      </c>
    </row>
    <row r="3652" spans="3:13" x14ac:dyDescent="0.3">
      <c r="C3652" t="s">
        <v>71</v>
      </c>
      <c r="D3652" t="s">
        <v>67</v>
      </c>
      <c r="E3652" t="s">
        <v>68</v>
      </c>
      <c r="F3652" t="s">
        <v>26</v>
      </c>
      <c r="G3652" s="4">
        <v>-1</v>
      </c>
      <c r="H3652" s="4" t="s">
        <v>15</v>
      </c>
      <c r="I3652" s="4" t="s">
        <v>69</v>
      </c>
      <c r="J3652" s="4" t="s">
        <v>66</v>
      </c>
      <c r="K3652" s="4">
        <v>0</v>
      </c>
      <c r="L3652" s="94">
        <v>7045</v>
      </c>
      <c r="M3652" s="94">
        <v>0</v>
      </c>
    </row>
    <row r="3653" spans="3:13" x14ac:dyDescent="0.3">
      <c r="C3653" t="s">
        <v>61</v>
      </c>
      <c r="D3653" t="s">
        <v>62</v>
      </c>
      <c r="E3653" t="s">
        <v>63</v>
      </c>
      <c r="F3653" t="s">
        <v>24</v>
      </c>
      <c r="G3653" s="4">
        <v>44</v>
      </c>
      <c r="I3653" s="4" t="s">
        <v>69</v>
      </c>
      <c r="J3653" s="4" t="s">
        <v>66</v>
      </c>
      <c r="K3653" s="4">
        <v>0</v>
      </c>
      <c r="L3653" s="94">
        <v>-4878</v>
      </c>
      <c r="M3653" s="94">
        <v>0</v>
      </c>
    </row>
    <row r="3654" spans="3:13" x14ac:dyDescent="0.3">
      <c r="C3654" t="s">
        <v>61</v>
      </c>
      <c r="D3654" t="s">
        <v>62</v>
      </c>
      <c r="E3654" t="s">
        <v>68</v>
      </c>
      <c r="F3654" t="s">
        <v>24</v>
      </c>
      <c r="G3654" s="4">
        <v>6</v>
      </c>
      <c r="I3654" s="4" t="s">
        <v>69</v>
      </c>
      <c r="J3654" s="4" t="s">
        <v>66</v>
      </c>
      <c r="K3654" s="4">
        <v>1</v>
      </c>
      <c r="L3654" s="94">
        <v>690759</v>
      </c>
      <c r="M3654" s="94">
        <v>4144554</v>
      </c>
    </row>
    <row r="3655" spans="3:13" x14ac:dyDescent="0.3">
      <c r="C3655" t="s">
        <v>71</v>
      </c>
      <c r="D3655" t="s">
        <v>67</v>
      </c>
      <c r="E3655" t="s">
        <v>63</v>
      </c>
      <c r="F3655" t="s">
        <v>72</v>
      </c>
      <c r="G3655" s="4">
        <v>0</v>
      </c>
      <c r="H3655" s="4" t="s">
        <v>17</v>
      </c>
      <c r="I3655" s="4" t="s">
        <v>65</v>
      </c>
      <c r="J3655" s="4" t="s">
        <v>73</v>
      </c>
      <c r="K3655" s="4">
        <v>1</v>
      </c>
      <c r="L3655" s="94">
        <v>-16310</v>
      </c>
      <c r="M3655" s="94">
        <v>0</v>
      </c>
    </row>
    <row r="3656" spans="3:13" x14ac:dyDescent="0.3">
      <c r="C3656" t="s">
        <v>71</v>
      </c>
      <c r="D3656" t="s">
        <v>67</v>
      </c>
      <c r="E3656" t="s">
        <v>68</v>
      </c>
      <c r="F3656" t="s">
        <v>72</v>
      </c>
      <c r="G3656" s="4">
        <v>-4</v>
      </c>
      <c r="H3656" s="4" t="s">
        <v>81</v>
      </c>
      <c r="I3656" s="4" t="s">
        <v>69</v>
      </c>
      <c r="J3656" s="4" t="s">
        <v>66</v>
      </c>
      <c r="K3656" s="4">
        <v>0</v>
      </c>
      <c r="L3656" s="94">
        <v>26</v>
      </c>
      <c r="M3656" s="94">
        <v>0</v>
      </c>
    </row>
    <row r="3657" spans="3:13" x14ac:dyDescent="0.3">
      <c r="C3657" t="s">
        <v>70</v>
      </c>
      <c r="D3657" t="s">
        <v>62</v>
      </c>
      <c r="E3657" t="s">
        <v>63</v>
      </c>
      <c r="F3657" t="s">
        <v>24</v>
      </c>
      <c r="G3657" s="4">
        <v>26</v>
      </c>
      <c r="I3657" s="4" t="s">
        <v>69</v>
      </c>
      <c r="J3657" s="4" t="s">
        <v>66</v>
      </c>
      <c r="K3657" s="4">
        <v>1</v>
      </c>
      <c r="L3657" s="94">
        <v>-571</v>
      </c>
      <c r="M3657" s="94">
        <v>0</v>
      </c>
    </row>
    <row r="3658" spans="3:13" x14ac:dyDescent="0.3">
      <c r="C3658" t="s">
        <v>71</v>
      </c>
      <c r="D3658" t="s">
        <v>67</v>
      </c>
      <c r="E3658" t="s">
        <v>63</v>
      </c>
      <c r="F3658" t="s">
        <v>26</v>
      </c>
      <c r="G3658" s="4">
        <v>-1</v>
      </c>
      <c r="H3658" s="4" t="s">
        <v>15</v>
      </c>
      <c r="I3658" s="4" t="s">
        <v>69</v>
      </c>
      <c r="J3658" s="4" t="s">
        <v>66</v>
      </c>
      <c r="K3658" s="4">
        <v>0</v>
      </c>
      <c r="L3658" s="94">
        <v>-6193</v>
      </c>
      <c r="M3658" s="94">
        <v>0</v>
      </c>
    </row>
    <row r="3659" spans="3:13" x14ac:dyDescent="0.3">
      <c r="C3659" t="s">
        <v>70</v>
      </c>
      <c r="D3659" t="s">
        <v>67</v>
      </c>
      <c r="E3659" t="s">
        <v>63</v>
      </c>
      <c r="F3659" t="s">
        <v>26</v>
      </c>
      <c r="G3659" s="4">
        <v>5</v>
      </c>
      <c r="H3659" s="4" t="s">
        <v>83</v>
      </c>
      <c r="I3659" s="4" t="s">
        <v>69</v>
      </c>
      <c r="J3659" s="4" t="s">
        <v>66</v>
      </c>
      <c r="K3659" s="4">
        <v>0</v>
      </c>
      <c r="L3659" s="94">
        <v>-22546</v>
      </c>
      <c r="M3659" s="94">
        <v>0</v>
      </c>
    </row>
    <row r="3660" spans="3:13" x14ac:dyDescent="0.3">
      <c r="C3660" t="s">
        <v>61</v>
      </c>
      <c r="D3660" t="s">
        <v>67</v>
      </c>
      <c r="E3660" t="s">
        <v>63</v>
      </c>
      <c r="F3660" t="s">
        <v>72</v>
      </c>
      <c r="G3660" s="4">
        <v>4</v>
      </c>
      <c r="H3660" s="4" t="s">
        <v>17</v>
      </c>
      <c r="I3660" s="4" t="s">
        <v>65</v>
      </c>
      <c r="J3660" s="4" t="s">
        <v>66</v>
      </c>
      <c r="K3660" s="4">
        <v>1</v>
      </c>
      <c r="L3660" s="94">
        <v>-32</v>
      </c>
      <c r="M3660" s="94">
        <v>0</v>
      </c>
    </row>
    <row r="3661" spans="3:13" x14ac:dyDescent="0.3">
      <c r="C3661" t="s">
        <v>71</v>
      </c>
      <c r="D3661" t="s">
        <v>67</v>
      </c>
      <c r="E3661" t="s">
        <v>68</v>
      </c>
      <c r="F3661" t="s">
        <v>26</v>
      </c>
      <c r="G3661" s="4">
        <v>0</v>
      </c>
      <c r="H3661" s="4" t="s">
        <v>74</v>
      </c>
      <c r="I3661" s="4" t="s">
        <v>69</v>
      </c>
      <c r="J3661" s="4" t="s">
        <v>66</v>
      </c>
      <c r="K3661" s="4">
        <v>0</v>
      </c>
      <c r="L3661" s="94">
        <v>68647</v>
      </c>
      <c r="M3661" s="94">
        <v>0</v>
      </c>
    </row>
    <row r="3662" spans="3:13" x14ac:dyDescent="0.3">
      <c r="C3662" t="s">
        <v>70</v>
      </c>
      <c r="D3662" t="s">
        <v>67</v>
      </c>
      <c r="E3662" t="s">
        <v>63</v>
      </c>
      <c r="F3662" t="s">
        <v>72</v>
      </c>
      <c r="G3662" s="4">
        <v>2</v>
      </c>
      <c r="H3662" s="4" t="s">
        <v>18</v>
      </c>
      <c r="I3662" s="4" t="s">
        <v>69</v>
      </c>
      <c r="J3662" s="4" t="s">
        <v>73</v>
      </c>
      <c r="K3662" s="4">
        <v>1</v>
      </c>
      <c r="L3662" s="94">
        <v>-6948</v>
      </c>
      <c r="M3662" s="94">
        <v>0</v>
      </c>
    </row>
    <row r="3663" spans="3:13" x14ac:dyDescent="0.3">
      <c r="C3663" t="s">
        <v>61</v>
      </c>
      <c r="D3663" t="s">
        <v>67</v>
      </c>
      <c r="E3663" t="s">
        <v>63</v>
      </c>
      <c r="F3663" t="s">
        <v>72</v>
      </c>
      <c r="G3663" s="4">
        <v>1</v>
      </c>
      <c r="H3663" s="4" t="s">
        <v>81</v>
      </c>
      <c r="I3663" s="4" t="s">
        <v>69</v>
      </c>
      <c r="J3663" s="4" t="s">
        <v>66</v>
      </c>
      <c r="K3663" s="4">
        <v>0</v>
      </c>
      <c r="L3663" s="94">
        <v>-89</v>
      </c>
      <c r="M3663" s="94">
        <v>0</v>
      </c>
    </row>
    <row r="3664" spans="3:13" x14ac:dyDescent="0.3">
      <c r="C3664" t="s">
        <v>61</v>
      </c>
      <c r="D3664" t="s">
        <v>67</v>
      </c>
      <c r="E3664" t="s">
        <v>68</v>
      </c>
      <c r="F3664" t="s">
        <v>72</v>
      </c>
      <c r="G3664" s="4">
        <v>5</v>
      </c>
      <c r="H3664" s="4" t="s">
        <v>74</v>
      </c>
      <c r="I3664" s="4" t="s">
        <v>69</v>
      </c>
      <c r="J3664" s="4" t="s">
        <v>66</v>
      </c>
      <c r="K3664" s="4">
        <v>0</v>
      </c>
      <c r="L3664" s="94">
        <v>3233829</v>
      </c>
      <c r="M3664" s="94">
        <v>16169145</v>
      </c>
    </row>
    <row r="3665" spans="3:13" x14ac:dyDescent="0.3">
      <c r="C3665" t="s">
        <v>71</v>
      </c>
      <c r="D3665" t="s">
        <v>67</v>
      </c>
      <c r="E3665" t="s">
        <v>68</v>
      </c>
      <c r="F3665" t="s">
        <v>26</v>
      </c>
      <c r="G3665" s="4">
        <v>2</v>
      </c>
      <c r="H3665" s="4" t="s">
        <v>78</v>
      </c>
      <c r="I3665" s="4" t="s">
        <v>69</v>
      </c>
      <c r="J3665" s="4" t="s">
        <v>66</v>
      </c>
      <c r="K3665" s="4">
        <v>0</v>
      </c>
      <c r="L3665" s="94">
        <v>109497</v>
      </c>
      <c r="M3665" s="94">
        <v>218994</v>
      </c>
    </row>
    <row r="3666" spans="3:13" x14ac:dyDescent="0.3">
      <c r="C3666" t="s">
        <v>71</v>
      </c>
      <c r="D3666" t="s">
        <v>67</v>
      </c>
      <c r="E3666" t="s">
        <v>63</v>
      </c>
      <c r="F3666" t="s">
        <v>26</v>
      </c>
      <c r="G3666" s="4">
        <v>-4</v>
      </c>
      <c r="H3666" s="4" t="s">
        <v>18</v>
      </c>
      <c r="I3666" s="4" t="s">
        <v>69</v>
      </c>
      <c r="J3666" s="4" t="s">
        <v>66</v>
      </c>
      <c r="K3666" s="4">
        <v>0</v>
      </c>
      <c r="L3666" s="94">
        <v>-5939416</v>
      </c>
      <c r="M3666" s="94">
        <v>0</v>
      </c>
    </row>
    <row r="3667" spans="3:13" x14ac:dyDescent="0.3">
      <c r="C3667" t="s">
        <v>61</v>
      </c>
      <c r="D3667" t="s">
        <v>67</v>
      </c>
      <c r="E3667" t="s">
        <v>63</v>
      </c>
      <c r="F3667" t="s">
        <v>72</v>
      </c>
      <c r="G3667" s="4">
        <v>4</v>
      </c>
      <c r="H3667" s="4" t="s">
        <v>12</v>
      </c>
      <c r="I3667" s="4" t="s">
        <v>69</v>
      </c>
      <c r="J3667" s="4" t="s">
        <v>73</v>
      </c>
      <c r="K3667" s="4">
        <v>1</v>
      </c>
      <c r="L3667" s="94">
        <v>-4305</v>
      </c>
      <c r="M3667" s="94">
        <v>0</v>
      </c>
    </row>
    <row r="3668" spans="3:13" x14ac:dyDescent="0.3">
      <c r="C3668" t="s">
        <v>71</v>
      </c>
      <c r="D3668" t="s">
        <v>67</v>
      </c>
      <c r="E3668" t="s">
        <v>68</v>
      </c>
      <c r="F3668" t="s">
        <v>26</v>
      </c>
      <c r="G3668" s="4">
        <v>3</v>
      </c>
      <c r="H3668" s="4" t="s">
        <v>17</v>
      </c>
      <c r="I3668" s="4" t="s">
        <v>69</v>
      </c>
      <c r="J3668" s="4" t="s">
        <v>66</v>
      </c>
      <c r="K3668" s="4">
        <v>0</v>
      </c>
      <c r="L3668" s="94">
        <v>2257837</v>
      </c>
      <c r="M3668" s="94">
        <v>6773511</v>
      </c>
    </row>
    <row r="3669" spans="3:13" x14ac:dyDescent="0.3">
      <c r="C3669" t="s">
        <v>61</v>
      </c>
      <c r="D3669" t="s">
        <v>67</v>
      </c>
      <c r="E3669" t="s">
        <v>68</v>
      </c>
      <c r="F3669" t="s">
        <v>25</v>
      </c>
      <c r="G3669" s="4">
        <v>10</v>
      </c>
      <c r="H3669" s="4" t="s">
        <v>64</v>
      </c>
      <c r="I3669" s="4" t="s">
        <v>69</v>
      </c>
      <c r="J3669" s="4" t="s">
        <v>66</v>
      </c>
      <c r="K3669" s="4">
        <v>0</v>
      </c>
      <c r="L3669" s="94">
        <v>1108642</v>
      </c>
      <c r="M3669" s="94">
        <v>11086420</v>
      </c>
    </row>
    <row r="3670" spans="3:13" x14ac:dyDescent="0.3">
      <c r="C3670" t="s">
        <v>71</v>
      </c>
      <c r="D3670" t="s">
        <v>67</v>
      </c>
      <c r="E3670" t="s">
        <v>63</v>
      </c>
      <c r="F3670" t="s">
        <v>26</v>
      </c>
      <c r="G3670" s="4">
        <v>0</v>
      </c>
      <c r="H3670" s="4" t="s">
        <v>16</v>
      </c>
      <c r="I3670" s="4" t="s">
        <v>69</v>
      </c>
      <c r="J3670" s="4" t="s">
        <v>66</v>
      </c>
      <c r="K3670" s="4">
        <v>0</v>
      </c>
      <c r="L3670" s="94">
        <v>-35481</v>
      </c>
      <c r="M3670" s="94">
        <v>0</v>
      </c>
    </row>
    <row r="3671" spans="3:13" x14ac:dyDescent="0.3">
      <c r="C3671" t="s">
        <v>70</v>
      </c>
      <c r="D3671" t="s">
        <v>84</v>
      </c>
      <c r="E3671" t="s">
        <v>63</v>
      </c>
      <c r="F3671" t="s">
        <v>25</v>
      </c>
      <c r="G3671" s="4">
        <v>5</v>
      </c>
      <c r="H3671" s="4" t="s">
        <v>81</v>
      </c>
      <c r="I3671" s="4" t="s">
        <v>69</v>
      </c>
      <c r="J3671" s="4" t="s">
        <v>66</v>
      </c>
      <c r="K3671" s="4">
        <v>0</v>
      </c>
      <c r="L3671" s="94">
        <v>-2755</v>
      </c>
      <c r="M3671" s="94">
        <v>0</v>
      </c>
    </row>
    <row r="3672" spans="3:13" x14ac:dyDescent="0.3">
      <c r="C3672" t="s">
        <v>70</v>
      </c>
      <c r="D3672" t="s">
        <v>62</v>
      </c>
      <c r="E3672" t="s">
        <v>68</v>
      </c>
      <c r="F3672" t="s">
        <v>24</v>
      </c>
      <c r="G3672" s="4">
        <v>8</v>
      </c>
      <c r="I3672" s="4" t="s">
        <v>65</v>
      </c>
      <c r="J3672" s="4" t="s">
        <v>66</v>
      </c>
      <c r="K3672" s="4">
        <v>1</v>
      </c>
      <c r="L3672" s="94">
        <v>294082</v>
      </c>
      <c r="M3672" s="94">
        <v>2352656</v>
      </c>
    </row>
    <row r="3673" spans="3:13" x14ac:dyDescent="0.3">
      <c r="C3673" t="s">
        <v>61</v>
      </c>
      <c r="D3673" t="s">
        <v>67</v>
      </c>
      <c r="E3673" t="s">
        <v>68</v>
      </c>
      <c r="F3673" t="s">
        <v>25</v>
      </c>
      <c r="G3673" s="4">
        <v>11</v>
      </c>
      <c r="H3673" s="4" t="s">
        <v>18</v>
      </c>
      <c r="I3673" s="4" t="s">
        <v>69</v>
      </c>
      <c r="J3673" s="4" t="s">
        <v>66</v>
      </c>
      <c r="K3673" s="4">
        <v>1</v>
      </c>
      <c r="L3673" s="94">
        <v>1144475</v>
      </c>
      <c r="M3673" s="94">
        <v>12589225</v>
      </c>
    </row>
    <row r="3674" spans="3:13" x14ac:dyDescent="0.3">
      <c r="C3674" t="s">
        <v>70</v>
      </c>
      <c r="D3674" t="s">
        <v>67</v>
      </c>
      <c r="E3674" t="s">
        <v>63</v>
      </c>
      <c r="F3674" t="s">
        <v>26</v>
      </c>
      <c r="G3674" s="4">
        <v>3</v>
      </c>
      <c r="H3674" s="4" t="s">
        <v>16</v>
      </c>
      <c r="I3674" s="4" t="s">
        <v>69</v>
      </c>
      <c r="J3674" s="4" t="s">
        <v>66</v>
      </c>
      <c r="K3674" s="4">
        <v>0</v>
      </c>
      <c r="L3674" s="94">
        <v>-24565</v>
      </c>
      <c r="M3674" s="94">
        <v>0</v>
      </c>
    </row>
    <row r="3675" spans="3:13" x14ac:dyDescent="0.3">
      <c r="C3675" t="s">
        <v>70</v>
      </c>
      <c r="D3675" t="s">
        <v>67</v>
      </c>
      <c r="E3675" t="s">
        <v>63</v>
      </c>
      <c r="F3675" t="s">
        <v>25</v>
      </c>
      <c r="G3675" s="4">
        <v>14</v>
      </c>
      <c r="H3675" s="4" t="s">
        <v>14</v>
      </c>
      <c r="I3675" s="4" t="s">
        <v>69</v>
      </c>
      <c r="J3675" s="4" t="s">
        <v>66</v>
      </c>
      <c r="K3675" s="4">
        <v>1</v>
      </c>
      <c r="L3675" s="94">
        <v>-10303</v>
      </c>
      <c r="M3675" s="94">
        <v>0</v>
      </c>
    </row>
    <row r="3676" spans="3:13" x14ac:dyDescent="0.3">
      <c r="C3676" t="s">
        <v>71</v>
      </c>
      <c r="D3676" t="s">
        <v>62</v>
      </c>
      <c r="E3676" t="s">
        <v>63</v>
      </c>
      <c r="F3676" t="s">
        <v>25</v>
      </c>
      <c r="G3676" s="4">
        <v>6</v>
      </c>
      <c r="I3676" s="4" t="s">
        <v>69</v>
      </c>
      <c r="J3676" s="4" t="s">
        <v>66</v>
      </c>
      <c r="K3676" s="4">
        <v>0</v>
      </c>
      <c r="L3676" s="94">
        <v>-10088</v>
      </c>
      <c r="M3676" s="94">
        <v>0</v>
      </c>
    </row>
    <row r="3677" spans="3:13" x14ac:dyDescent="0.3">
      <c r="C3677" t="s">
        <v>61</v>
      </c>
      <c r="D3677" t="s">
        <v>84</v>
      </c>
      <c r="E3677" t="s">
        <v>63</v>
      </c>
      <c r="F3677" t="s">
        <v>25</v>
      </c>
      <c r="G3677" s="4">
        <v>3</v>
      </c>
      <c r="H3677" s="4" t="s">
        <v>79</v>
      </c>
      <c r="I3677" s="4" t="s">
        <v>69</v>
      </c>
      <c r="J3677" s="4" t="s">
        <v>66</v>
      </c>
      <c r="K3677" s="4">
        <v>0</v>
      </c>
      <c r="L3677" s="94">
        <v>-1438</v>
      </c>
      <c r="M3677" s="94">
        <v>0</v>
      </c>
    </row>
    <row r="3678" spans="3:13" x14ac:dyDescent="0.3">
      <c r="C3678" t="s">
        <v>70</v>
      </c>
      <c r="D3678" t="s">
        <v>67</v>
      </c>
      <c r="E3678" t="s">
        <v>68</v>
      </c>
      <c r="F3678" t="s">
        <v>26</v>
      </c>
      <c r="G3678" s="4">
        <v>-1</v>
      </c>
      <c r="H3678" s="4" t="s">
        <v>15</v>
      </c>
      <c r="I3678" s="4" t="s">
        <v>65</v>
      </c>
      <c r="J3678" s="4" t="s">
        <v>66</v>
      </c>
      <c r="K3678" s="4">
        <v>1</v>
      </c>
      <c r="L3678" s="94">
        <v>27</v>
      </c>
      <c r="M3678" s="94">
        <v>0</v>
      </c>
    </row>
    <row r="3679" spans="3:13" x14ac:dyDescent="0.3">
      <c r="C3679" t="s">
        <v>70</v>
      </c>
      <c r="D3679" t="s">
        <v>67</v>
      </c>
      <c r="E3679" t="s">
        <v>63</v>
      </c>
      <c r="F3679" t="s">
        <v>72</v>
      </c>
      <c r="G3679" s="4">
        <v>-1</v>
      </c>
      <c r="H3679" s="4" t="s">
        <v>14</v>
      </c>
      <c r="I3679" s="4" t="s">
        <v>69</v>
      </c>
      <c r="J3679" s="4" t="s">
        <v>66</v>
      </c>
      <c r="K3679" s="4">
        <v>0</v>
      </c>
      <c r="L3679" s="94">
        <v>-17056</v>
      </c>
      <c r="M3679" s="94">
        <v>0</v>
      </c>
    </row>
    <row r="3680" spans="3:13" x14ac:dyDescent="0.3">
      <c r="C3680" t="s">
        <v>61</v>
      </c>
      <c r="D3680" t="s">
        <v>67</v>
      </c>
      <c r="E3680" t="s">
        <v>63</v>
      </c>
      <c r="F3680" t="s">
        <v>26</v>
      </c>
      <c r="G3680" s="4">
        <v>1</v>
      </c>
      <c r="H3680" s="4" t="s">
        <v>75</v>
      </c>
      <c r="I3680" s="4" t="s">
        <v>69</v>
      </c>
      <c r="J3680" s="4" t="s">
        <v>66</v>
      </c>
      <c r="K3680" s="4">
        <v>0</v>
      </c>
      <c r="L3680" s="94">
        <v>-44141</v>
      </c>
      <c r="M3680" s="94">
        <v>0</v>
      </c>
    </row>
    <row r="3681" spans="3:13" x14ac:dyDescent="0.3">
      <c r="C3681" t="s">
        <v>71</v>
      </c>
      <c r="D3681" t="s">
        <v>67</v>
      </c>
      <c r="E3681" t="s">
        <v>68</v>
      </c>
      <c r="F3681" t="s">
        <v>25</v>
      </c>
      <c r="G3681" s="4">
        <v>-1</v>
      </c>
      <c r="H3681" s="4" t="s">
        <v>74</v>
      </c>
      <c r="I3681" s="4" t="s">
        <v>69</v>
      </c>
      <c r="J3681" s="4" t="s">
        <v>66</v>
      </c>
      <c r="K3681" s="4">
        <v>0</v>
      </c>
      <c r="L3681" s="94">
        <v>189</v>
      </c>
      <c r="M3681" s="94">
        <v>0</v>
      </c>
    </row>
    <row r="3682" spans="3:13" x14ac:dyDescent="0.3">
      <c r="C3682" t="s">
        <v>61</v>
      </c>
      <c r="D3682" t="s">
        <v>67</v>
      </c>
      <c r="E3682" t="s">
        <v>63</v>
      </c>
      <c r="F3682" t="s">
        <v>25</v>
      </c>
      <c r="G3682" s="4">
        <v>11</v>
      </c>
      <c r="H3682" s="4" t="s">
        <v>64</v>
      </c>
      <c r="I3682" s="4" t="s">
        <v>65</v>
      </c>
      <c r="J3682" s="4" t="s">
        <v>66</v>
      </c>
      <c r="K3682" s="4">
        <v>1</v>
      </c>
      <c r="L3682" s="94">
        <v>-84</v>
      </c>
      <c r="M3682" s="94">
        <v>0</v>
      </c>
    </row>
    <row r="3683" spans="3:13" x14ac:dyDescent="0.3">
      <c r="C3683" t="s">
        <v>71</v>
      </c>
      <c r="D3683" t="s">
        <v>62</v>
      </c>
      <c r="E3683" t="s">
        <v>63</v>
      </c>
      <c r="F3683" t="s">
        <v>24</v>
      </c>
      <c r="G3683" s="4">
        <v>7</v>
      </c>
      <c r="I3683" s="4" t="s">
        <v>69</v>
      </c>
      <c r="J3683" s="4" t="s">
        <v>66</v>
      </c>
      <c r="K3683" s="4">
        <v>1</v>
      </c>
      <c r="L3683" s="94">
        <v>-18383</v>
      </c>
      <c r="M3683" s="94">
        <v>0</v>
      </c>
    </row>
    <row r="3684" spans="3:13" x14ac:dyDescent="0.3">
      <c r="C3684" t="s">
        <v>70</v>
      </c>
      <c r="D3684" t="s">
        <v>62</v>
      </c>
      <c r="E3684" t="s">
        <v>63</v>
      </c>
      <c r="F3684" t="s">
        <v>24</v>
      </c>
      <c r="G3684" s="4">
        <v>24</v>
      </c>
      <c r="I3684" s="4" t="s">
        <v>69</v>
      </c>
      <c r="J3684" s="4" t="s">
        <v>66</v>
      </c>
      <c r="K3684" s="4">
        <v>1</v>
      </c>
      <c r="L3684" s="94">
        <v>-7273</v>
      </c>
      <c r="M3684" s="94">
        <v>0</v>
      </c>
    </row>
    <row r="3685" spans="3:13" x14ac:dyDescent="0.3">
      <c r="C3685" t="s">
        <v>61</v>
      </c>
      <c r="D3685" t="s">
        <v>67</v>
      </c>
      <c r="E3685" t="s">
        <v>68</v>
      </c>
      <c r="F3685" t="s">
        <v>25</v>
      </c>
      <c r="G3685" s="4">
        <v>1</v>
      </c>
      <c r="H3685" s="4" t="s">
        <v>77</v>
      </c>
      <c r="I3685" s="4" t="s">
        <v>69</v>
      </c>
      <c r="J3685" s="4" t="s">
        <v>66</v>
      </c>
      <c r="K3685" s="4">
        <v>0</v>
      </c>
      <c r="L3685" s="94">
        <v>27904</v>
      </c>
      <c r="M3685" s="94">
        <v>27904</v>
      </c>
    </row>
    <row r="3686" spans="3:13" x14ac:dyDescent="0.3">
      <c r="C3686" t="s">
        <v>61</v>
      </c>
      <c r="D3686" t="s">
        <v>67</v>
      </c>
      <c r="E3686" t="s">
        <v>68</v>
      </c>
      <c r="F3686" t="s">
        <v>25</v>
      </c>
      <c r="G3686" s="4">
        <v>8</v>
      </c>
      <c r="H3686" s="4" t="s">
        <v>64</v>
      </c>
      <c r="I3686" s="4" t="s">
        <v>69</v>
      </c>
      <c r="J3686" s="4" t="s">
        <v>66</v>
      </c>
      <c r="K3686" s="4">
        <v>0</v>
      </c>
      <c r="L3686" s="94">
        <v>1074705</v>
      </c>
      <c r="M3686" s="94">
        <v>8597640</v>
      </c>
    </row>
    <row r="3687" spans="3:13" x14ac:dyDescent="0.3">
      <c r="C3687" t="s">
        <v>70</v>
      </c>
      <c r="D3687" t="s">
        <v>67</v>
      </c>
      <c r="E3687" t="s">
        <v>63</v>
      </c>
      <c r="F3687" t="s">
        <v>26</v>
      </c>
      <c r="G3687" s="4">
        <v>-4</v>
      </c>
      <c r="H3687" s="4" t="s">
        <v>82</v>
      </c>
      <c r="I3687" s="4" t="s">
        <v>65</v>
      </c>
      <c r="J3687" s="4" t="s">
        <v>66</v>
      </c>
      <c r="K3687" s="4">
        <v>1</v>
      </c>
      <c r="L3687" s="94">
        <v>-4344</v>
      </c>
      <c r="M3687" s="94">
        <v>0</v>
      </c>
    </row>
    <row r="3688" spans="3:13" x14ac:dyDescent="0.3">
      <c r="C3688" t="s">
        <v>61</v>
      </c>
      <c r="D3688" t="s">
        <v>67</v>
      </c>
      <c r="E3688" t="s">
        <v>68</v>
      </c>
      <c r="F3688" t="s">
        <v>25</v>
      </c>
      <c r="G3688" s="4">
        <v>9</v>
      </c>
      <c r="H3688" s="4" t="s">
        <v>18</v>
      </c>
      <c r="I3688" s="4" t="s">
        <v>69</v>
      </c>
      <c r="J3688" s="4" t="s">
        <v>66</v>
      </c>
      <c r="K3688" s="4">
        <v>1</v>
      </c>
      <c r="L3688" s="94">
        <v>2090995</v>
      </c>
      <c r="M3688" s="94">
        <v>18818955</v>
      </c>
    </row>
    <row r="3689" spans="3:13" x14ac:dyDescent="0.3">
      <c r="C3689" t="s">
        <v>61</v>
      </c>
      <c r="D3689" t="s">
        <v>67</v>
      </c>
      <c r="E3689" t="s">
        <v>63</v>
      </c>
      <c r="F3689" t="s">
        <v>25</v>
      </c>
      <c r="G3689" s="4">
        <v>-1</v>
      </c>
      <c r="H3689" s="4" t="s">
        <v>14</v>
      </c>
      <c r="I3689" s="4" t="s">
        <v>69</v>
      </c>
      <c r="J3689" s="4" t="s">
        <v>66</v>
      </c>
      <c r="K3689" s="4">
        <v>0</v>
      </c>
      <c r="L3689" s="94">
        <v>-12016</v>
      </c>
      <c r="M3689" s="94">
        <v>0</v>
      </c>
    </row>
    <row r="3690" spans="3:13" x14ac:dyDescent="0.3">
      <c r="C3690" t="s">
        <v>61</v>
      </c>
      <c r="D3690" t="s">
        <v>67</v>
      </c>
      <c r="E3690" t="s">
        <v>63</v>
      </c>
      <c r="F3690" t="s">
        <v>25</v>
      </c>
      <c r="G3690" s="4">
        <v>1</v>
      </c>
      <c r="H3690" s="4" t="s">
        <v>79</v>
      </c>
      <c r="I3690" s="4" t="s">
        <v>69</v>
      </c>
      <c r="J3690" s="4" t="s">
        <v>66</v>
      </c>
      <c r="K3690" s="4">
        <v>0</v>
      </c>
      <c r="L3690" s="94">
        <v>-570</v>
      </c>
      <c r="M3690" s="94">
        <v>0</v>
      </c>
    </row>
    <row r="3691" spans="3:13" x14ac:dyDescent="0.3">
      <c r="C3691" t="s">
        <v>71</v>
      </c>
      <c r="D3691" t="s">
        <v>62</v>
      </c>
      <c r="E3691" t="s">
        <v>63</v>
      </c>
      <c r="F3691" t="s">
        <v>24</v>
      </c>
      <c r="G3691" s="4">
        <v>21</v>
      </c>
      <c r="I3691" s="4" t="s">
        <v>65</v>
      </c>
      <c r="J3691" s="4" t="s">
        <v>66</v>
      </c>
      <c r="K3691" s="4">
        <v>1</v>
      </c>
      <c r="L3691" s="94">
        <v>-65900</v>
      </c>
      <c r="M3691" s="94">
        <v>0</v>
      </c>
    </row>
    <row r="3692" spans="3:13" x14ac:dyDescent="0.3">
      <c r="C3692" t="s">
        <v>70</v>
      </c>
      <c r="D3692" t="s">
        <v>67</v>
      </c>
      <c r="E3692" t="s">
        <v>68</v>
      </c>
      <c r="F3692" t="s">
        <v>72</v>
      </c>
      <c r="G3692" s="4">
        <v>4</v>
      </c>
      <c r="H3692" s="4" t="s">
        <v>74</v>
      </c>
      <c r="I3692" s="4" t="s">
        <v>69</v>
      </c>
      <c r="J3692" s="4" t="s">
        <v>66</v>
      </c>
      <c r="K3692" s="4">
        <v>0</v>
      </c>
      <c r="L3692" s="94">
        <v>981515</v>
      </c>
      <c r="M3692" s="94">
        <v>3926060</v>
      </c>
    </row>
    <row r="3693" spans="3:13" x14ac:dyDescent="0.3">
      <c r="C3693" t="s">
        <v>61</v>
      </c>
      <c r="D3693" t="s">
        <v>67</v>
      </c>
      <c r="E3693" t="s">
        <v>63</v>
      </c>
      <c r="F3693" t="s">
        <v>72</v>
      </c>
      <c r="G3693" s="4">
        <v>3</v>
      </c>
      <c r="H3693" s="4" t="s">
        <v>17</v>
      </c>
      <c r="I3693" s="4" t="s">
        <v>65</v>
      </c>
      <c r="J3693" s="4" t="s">
        <v>66</v>
      </c>
      <c r="K3693" s="4">
        <v>1</v>
      </c>
      <c r="L3693" s="94">
        <v>-61</v>
      </c>
      <c r="M3693" s="94">
        <v>0</v>
      </c>
    </row>
    <row r="3694" spans="3:13" x14ac:dyDescent="0.3">
      <c r="C3694" t="s">
        <v>71</v>
      </c>
      <c r="D3694" t="s">
        <v>67</v>
      </c>
      <c r="E3694" t="s">
        <v>63</v>
      </c>
      <c r="F3694" t="s">
        <v>26</v>
      </c>
      <c r="G3694" s="4">
        <v>1</v>
      </c>
      <c r="H3694" s="4" t="s">
        <v>78</v>
      </c>
      <c r="I3694" s="4" t="s">
        <v>69</v>
      </c>
      <c r="J3694" s="4" t="s">
        <v>66</v>
      </c>
      <c r="K3694" s="4">
        <v>0</v>
      </c>
      <c r="L3694" s="94">
        <v>-125137</v>
      </c>
      <c r="M3694" s="94">
        <v>0</v>
      </c>
    </row>
    <row r="3695" spans="3:13" x14ac:dyDescent="0.3">
      <c r="C3695" t="s">
        <v>61</v>
      </c>
      <c r="D3695" t="s">
        <v>67</v>
      </c>
      <c r="E3695" t="s">
        <v>63</v>
      </c>
      <c r="F3695" t="s">
        <v>25</v>
      </c>
      <c r="G3695" s="4">
        <v>7</v>
      </c>
      <c r="H3695" s="4" t="s">
        <v>17</v>
      </c>
      <c r="I3695" s="4" t="s">
        <v>69</v>
      </c>
      <c r="J3695" s="4" t="s">
        <v>66</v>
      </c>
      <c r="K3695" s="4">
        <v>1</v>
      </c>
      <c r="L3695" s="94">
        <v>-28</v>
      </c>
      <c r="M3695" s="94">
        <v>0</v>
      </c>
    </row>
    <row r="3696" spans="3:13" x14ac:dyDescent="0.3">
      <c r="C3696" t="s">
        <v>70</v>
      </c>
      <c r="D3696" t="s">
        <v>67</v>
      </c>
      <c r="E3696" t="s">
        <v>63</v>
      </c>
      <c r="F3696" t="s">
        <v>72</v>
      </c>
      <c r="G3696" s="4">
        <v>6</v>
      </c>
      <c r="H3696" s="4" t="s">
        <v>18</v>
      </c>
      <c r="I3696" s="4" t="s">
        <v>69</v>
      </c>
      <c r="J3696" s="4" t="s">
        <v>73</v>
      </c>
      <c r="K3696" s="4">
        <v>1</v>
      </c>
      <c r="L3696" s="94">
        <v>-13390</v>
      </c>
      <c r="M3696" s="94">
        <v>0</v>
      </c>
    </row>
    <row r="3697" spans="3:13" x14ac:dyDescent="0.3">
      <c r="C3697" t="s">
        <v>70</v>
      </c>
      <c r="D3697" t="s">
        <v>67</v>
      </c>
      <c r="E3697" t="s">
        <v>68</v>
      </c>
      <c r="F3697" t="s">
        <v>72</v>
      </c>
      <c r="G3697" s="4">
        <v>5</v>
      </c>
      <c r="H3697" s="4" t="s">
        <v>15</v>
      </c>
      <c r="I3697" s="4" t="s">
        <v>69</v>
      </c>
      <c r="J3697" s="4" t="s">
        <v>73</v>
      </c>
      <c r="K3697" s="4">
        <v>1</v>
      </c>
      <c r="L3697" s="94">
        <v>114985</v>
      </c>
      <c r="M3697" s="94">
        <v>574925</v>
      </c>
    </row>
    <row r="3698" spans="3:13" x14ac:dyDescent="0.3">
      <c r="C3698" t="s">
        <v>70</v>
      </c>
      <c r="D3698" t="s">
        <v>67</v>
      </c>
      <c r="E3698" t="s">
        <v>63</v>
      </c>
      <c r="F3698" t="s">
        <v>26</v>
      </c>
      <c r="G3698" s="4">
        <v>6</v>
      </c>
      <c r="H3698" s="4" t="s">
        <v>77</v>
      </c>
      <c r="I3698" s="4" t="s">
        <v>69</v>
      </c>
      <c r="J3698" s="4" t="s">
        <v>66</v>
      </c>
      <c r="K3698" s="4">
        <v>0</v>
      </c>
      <c r="L3698" s="94">
        <v>-64332</v>
      </c>
      <c r="M3698" s="94">
        <v>0</v>
      </c>
    </row>
    <row r="3699" spans="3:13" x14ac:dyDescent="0.3">
      <c r="C3699" t="s">
        <v>70</v>
      </c>
      <c r="D3699" t="s">
        <v>67</v>
      </c>
      <c r="E3699" t="s">
        <v>68</v>
      </c>
      <c r="F3699" t="s">
        <v>25</v>
      </c>
      <c r="G3699" s="4">
        <v>14</v>
      </c>
      <c r="H3699" s="4" t="s">
        <v>76</v>
      </c>
      <c r="I3699" s="4" t="s">
        <v>69</v>
      </c>
      <c r="J3699" s="4" t="s">
        <v>66</v>
      </c>
      <c r="K3699" s="4">
        <v>0</v>
      </c>
      <c r="L3699" s="94">
        <v>926279</v>
      </c>
      <c r="M3699" s="94">
        <v>12967906</v>
      </c>
    </row>
    <row r="3700" spans="3:13" x14ac:dyDescent="0.3">
      <c r="C3700" t="s">
        <v>61</v>
      </c>
      <c r="D3700" t="s">
        <v>67</v>
      </c>
      <c r="E3700" t="s">
        <v>68</v>
      </c>
      <c r="F3700" t="s">
        <v>25</v>
      </c>
      <c r="G3700" s="4">
        <v>7</v>
      </c>
      <c r="H3700" s="4" t="s">
        <v>80</v>
      </c>
      <c r="I3700" s="4" t="s">
        <v>69</v>
      </c>
      <c r="J3700" s="4" t="s">
        <v>66</v>
      </c>
      <c r="K3700" s="4">
        <v>0</v>
      </c>
      <c r="L3700" s="94">
        <v>115838</v>
      </c>
      <c r="M3700" s="94">
        <v>810866</v>
      </c>
    </row>
    <row r="3701" spans="3:13" x14ac:dyDescent="0.3">
      <c r="C3701" t="s">
        <v>61</v>
      </c>
      <c r="D3701" t="s">
        <v>67</v>
      </c>
      <c r="E3701" t="s">
        <v>63</v>
      </c>
      <c r="F3701" t="s">
        <v>72</v>
      </c>
      <c r="G3701" s="4">
        <v>3</v>
      </c>
      <c r="H3701" s="4" t="s">
        <v>12</v>
      </c>
      <c r="I3701" s="4" t="s">
        <v>69</v>
      </c>
      <c r="J3701" s="4" t="s">
        <v>73</v>
      </c>
      <c r="K3701" s="4">
        <v>1</v>
      </c>
      <c r="L3701" s="94">
        <v>-2308</v>
      </c>
      <c r="M3701" s="94">
        <v>0</v>
      </c>
    </row>
    <row r="3702" spans="3:13" x14ac:dyDescent="0.3">
      <c r="C3702" t="s">
        <v>61</v>
      </c>
      <c r="D3702" t="s">
        <v>67</v>
      </c>
      <c r="E3702" t="s">
        <v>68</v>
      </c>
      <c r="F3702" t="s">
        <v>72</v>
      </c>
      <c r="G3702" s="4">
        <v>3</v>
      </c>
      <c r="H3702" s="4" t="s">
        <v>82</v>
      </c>
      <c r="I3702" s="4" t="s">
        <v>69</v>
      </c>
      <c r="J3702" s="4" t="s">
        <v>66</v>
      </c>
      <c r="K3702" s="4">
        <v>0</v>
      </c>
      <c r="L3702" s="94">
        <v>17302329</v>
      </c>
      <c r="M3702" s="94">
        <v>51906987</v>
      </c>
    </row>
    <row r="3703" spans="3:13" x14ac:dyDescent="0.3">
      <c r="C3703" t="s">
        <v>70</v>
      </c>
      <c r="D3703" t="s">
        <v>67</v>
      </c>
      <c r="E3703" t="s">
        <v>68</v>
      </c>
      <c r="F3703" t="s">
        <v>72</v>
      </c>
      <c r="G3703" s="4">
        <v>-1</v>
      </c>
      <c r="H3703" s="4" t="s">
        <v>64</v>
      </c>
      <c r="I3703" s="4" t="s">
        <v>69</v>
      </c>
      <c r="J3703" s="4" t="s">
        <v>66</v>
      </c>
      <c r="K3703" s="4">
        <v>0</v>
      </c>
      <c r="L3703" s="94">
        <v>364457</v>
      </c>
      <c r="M3703" s="94">
        <v>0</v>
      </c>
    </row>
    <row r="3704" spans="3:13" x14ac:dyDescent="0.3">
      <c r="C3704" t="s">
        <v>70</v>
      </c>
      <c r="D3704" t="s">
        <v>67</v>
      </c>
      <c r="E3704" t="s">
        <v>68</v>
      </c>
      <c r="F3704" t="s">
        <v>26</v>
      </c>
      <c r="G3704" s="4">
        <v>-4</v>
      </c>
      <c r="H3704" s="4" t="s">
        <v>74</v>
      </c>
      <c r="I3704" s="4" t="s">
        <v>69</v>
      </c>
      <c r="J3704" s="4" t="s">
        <v>66</v>
      </c>
      <c r="K3704" s="4">
        <v>0</v>
      </c>
      <c r="L3704" s="94">
        <v>1009</v>
      </c>
      <c r="M3704" s="94">
        <v>0</v>
      </c>
    </row>
    <row r="3705" spans="3:13" x14ac:dyDescent="0.3">
      <c r="C3705" t="s">
        <v>61</v>
      </c>
      <c r="D3705" t="s">
        <v>62</v>
      </c>
      <c r="E3705" t="s">
        <v>68</v>
      </c>
      <c r="F3705" t="s">
        <v>24</v>
      </c>
      <c r="G3705" s="4">
        <v>3</v>
      </c>
      <c r="I3705" s="4" t="s">
        <v>65</v>
      </c>
      <c r="J3705" s="4" t="s">
        <v>73</v>
      </c>
      <c r="K3705" s="4">
        <v>1</v>
      </c>
      <c r="L3705" s="94">
        <v>777</v>
      </c>
      <c r="M3705" s="94">
        <v>2331</v>
      </c>
    </row>
    <row r="3706" spans="3:13" x14ac:dyDescent="0.3">
      <c r="C3706" t="s">
        <v>71</v>
      </c>
      <c r="D3706" t="s">
        <v>62</v>
      </c>
      <c r="E3706" t="s">
        <v>68</v>
      </c>
      <c r="F3706" t="s">
        <v>25</v>
      </c>
      <c r="G3706" s="4">
        <v>22</v>
      </c>
      <c r="I3706" s="4" t="s">
        <v>69</v>
      </c>
      <c r="J3706" s="4" t="s">
        <v>66</v>
      </c>
      <c r="K3706" s="4">
        <v>0</v>
      </c>
      <c r="L3706" s="94">
        <v>155682</v>
      </c>
      <c r="M3706" s="94">
        <v>3425004</v>
      </c>
    </row>
    <row r="3707" spans="3:13" x14ac:dyDescent="0.3">
      <c r="C3707" t="s">
        <v>61</v>
      </c>
      <c r="D3707" t="s">
        <v>67</v>
      </c>
      <c r="E3707" t="s">
        <v>68</v>
      </c>
      <c r="F3707" t="s">
        <v>72</v>
      </c>
      <c r="G3707" s="4">
        <v>0</v>
      </c>
      <c r="H3707" s="4" t="s">
        <v>76</v>
      </c>
      <c r="I3707" s="4" t="s">
        <v>69</v>
      </c>
      <c r="J3707" s="4" t="s">
        <v>66</v>
      </c>
      <c r="K3707" s="4">
        <v>0</v>
      </c>
      <c r="L3707" s="94">
        <v>203325</v>
      </c>
      <c r="M3707" s="94">
        <v>0</v>
      </c>
    </row>
    <row r="3708" spans="3:13" x14ac:dyDescent="0.3">
      <c r="C3708" t="s">
        <v>70</v>
      </c>
      <c r="D3708" t="s">
        <v>62</v>
      </c>
      <c r="E3708" t="s">
        <v>63</v>
      </c>
      <c r="F3708" t="s">
        <v>24</v>
      </c>
      <c r="G3708" s="4">
        <v>7</v>
      </c>
      <c r="I3708" s="4" t="s">
        <v>69</v>
      </c>
      <c r="J3708" s="4" t="s">
        <v>66</v>
      </c>
      <c r="K3708" s="4">
        <v>1</v>
      </c>
      <c r="L3708" s="94">
        <v>-1478</v>
      </c>
      <c r="M3708" s="94">
        <v>0</v>
      </c>
    </row>
    <row r="3709" spans="3:13" x14ac:dyDescent="0.3">
      <c r="C3709" t="s">
        <v>70</v>
      </c>
      <c r="D3709" t="s">
        <v>62</v>
      </c>
      <c r="E3709" t="s">
        <v>68</v>
      </c>
      <c r="F3709" t="s">
        <v>25</v>
      </c>
      <c r="G3709" s="4">
        <v>1</v>
      </c>
      <c r="I3709" s="4" t="s">
        <v>69</v>
      </c>
      <c r="J3709" s="4" t="s">
        <v>66</v>
      </c>
      <c r="K3709" s="4">
        <v>0</v>
      </c>
      <c r="L3709" s="94">
        <v>105382</v>
      </c>
      <c r="M3709" s="94">
        <v>105382</v>
      </c>
    </row>
    <row r="3710" spans="3:13" x14ac:dyDescent="0.3">
      <c r="C3710" t="s">
        <v>71</v>
      </c>
      <c r="D3710" t="s">
        <v>62</v>
      </c>
      <c r="E3710" t="s">
        <v>63</v>
      </c>
      <c r="F3710" t="s">
        <v>24</v>
      </c>
      <c r="G3710" s="4">
        <v>24</v>
      </c>
      <c r="I3710" s="4" t="s">
        <v>69</v>
      </c>
      <c r="J3710" s="4" t="s">
        <v>66</v>
      </c>
      <c r="K3710" s="4">
        <v>1</v>
      </c>
      <c r="L3710" s="94">
        <v>-23679</v>
      </c>
      <c r="M3710" s="94">
        <v>0</v>
      </c>
    </row>
    <row r="3711" spans="3:13" x14ac:dyDescent="0.3">
      <c r="C3711" t="s">
        <v>61</v>
      </c>
      <c r="D3711" t="s">
        <v>67</v>
      </c>
      <c r="E3711" t="s">
        <v>68</v>
      </c>
      <c r="F3711" t="s">
        <v>25</v>
      </c>
      <c r="G3711" s="4">
        <v>10</v>
      </c>
      <c r="H3711" s="4" t="s">
        <v>78</v>
      </c>
      <c r="I3711" s="4" t="s">
        <v>69</v>
      </c>
      <c r="J3711" s="4" t="s">
        <v>66</v>
      </c>
      <c r="K3711" s="4">
        <v>0</v>
      </c>
      <c r="L3711" s="94">
        <v>588881</v>
      </c>
      <c r="M3711" s="94">
        <v>5888810</v>
      </c>
    </row>
    <row r="3712" spans="3:13" x14ac:dyDescent="0.3">
      <c r="C3712" t="s">
        <v>70</v>
      </c>
      <c r="D3712" t="s">
        <v>67</v>
      </c>
      <c r="E3712" t="s">
        <v>68</v>
      </c>
      <c r="F3712" t="s">
        <v>25</v>
      </c>
      <c r="G3712" s="4">
        <v>2</v>
      </c>
      <c r="H3712" s="4" t="s">
        <v>64</v>
      </c>
      <c r="I3712" s="4" t="s">
        <v>69</v>
      </c>
      <c r="J3712" s="4" t="s">
        <v>66</v>
      </c>
      <c r="K3712" s="4">
        <v>0</v>
      </c>
      <c r="L3712" s="94">
        <v>81442</v>
      </c>
      <c r="M3712" s="94">
        <v>162884</v>
      </c>
    </row>
    <row r="3713" spans="3:13" x14ac:dyDescent="0.3">
      <c r="C3713" t="s">
        <v>70</v>
      </c>
      <c r="D3713" t="s">
        <v>67</v>
      </c>
      <c r="E3713" t="s">
        <v>68</v>
      </c>
      <c r="F3713" t="s">
        <v>72</v>
      </c>
      <c r="G3713" s="4">
        <v>10</v>
      </c>
      <c r="H3713" s="4" t="s">
        <v>74</v>
      </c>
      <c r="I3713" s="4" t="s">
        <v>69</v>
      </c>
      <c r="J3713" s="4" t="s">
        <v>66</v>
      </c>
      <c r="K3713" s="4">
        <v>0</v>
      </c>
      <c r="L3713" s="94">
        <v>49231</v>
      </c>
      <c r="M3713" s="94">
        <v>492310</v>
      </c>
    </row>
    <row r="3714" spans="3:13" x14ac:dyDescent="0.3">
      <c r="C3714" t="s">
        <v>61</v>
      </c>
      <c r="D3714" t="s">
        <v>62</v>
      </c>
      <c r="E3714" t="s">
        <v>68</v>
      </c>
      <c r="F3714" t="s">
        <v>25</v>
      </c>
      <c r="G3714" s="4">
        <v>9</v>
      </c>
      <c r="I3714" s="4" t="s">
        <v>69</v>
      </c>
      <c r="J3714" s="4" t="s">
        <v>66</v>
      </c>
      <c r="K3714" s="4">
        <v>1</v>
      </c>
      <c r="L3714" s="94">
        <v>710202</v>
      </c>
      <c r="M3714" s="94">
        <v>6391818</v>
      </c>
    </row>
    <row r="3715" spans="3:13" x14ac:dyDescent="0.3">
      <c r="C3715" t="s">
        <v>61</v>
      </c>
      <c r="D3715" t="s">
        <v>67</v>
      </c>
      <c r="E3715" t="s">
        <v>68</v>
      </c>
      <c r="F3715" t="s">
        <v>72</v>
      </c>
      <c r="G3715" s="4">
        <v>1</v>
      </c>
      <c r="H3715" s="4" t="s">
        <v>14</v>
      </c>
      <c r="I3715" s="4" t="s">
        <v>69</v>
      </c>
      <c r="J3715" s="4" t="s">
        <v>66</v>
      </c>
      <c r="K3715" s="4">
        <v>0</v>
      </c>
      <c r="L3715" s="94">
        <v>3611644</v>
      </c>
      <c r="M3715" s="94">
        <v>3611644</v>
      </c>
    </row>
    <row r="3716" spans="3:13" x14ac:dyDescent="0.3">
      <c r="C3716" t="s">
        <v>61</v>
      </c>
      <c r="D3716" t="s">
        <v>67</v>
      </c>
      <c r="E3716" t="s">
        <v>68</v>
      </c>
      <c r="F3716" t="s">
        <v>26</v>
      </c>
      <c r="G3716" s="4">
        <v>1</v>
      </c>
      <c r="H3716" s="4" t="s">
        <v>82</v>
      </c>
      <c r="I3716" s="4" t="s">
        <v>65</v>
      </c>
      <c r="J3716" s="4" t="s">
        <v>66</v>
      </c>
      <c r="K3716" s="4">
        <v>1</v>
      </c>
      <c r="L3716" s="94">
        <v>19801449</v>
      </c>
      <c r="M3716" s="94">
        <v>19801449</v>
      </c>
    </row>
    <row r="3717" spans="3:13" x14ac:dyDescent="0.3">
      <c r="C3717" t="s">
        <v>61</v>
      </c>
      <c r="D3717" t="s">
        <v>67</v>
      </c>
      <c r="E3717" t="s">
        <v>63</v>
      </c>
      <c r="F3717" t="s">
        <v>26</v>
      </c>
      <c r="G3717" s="4">
        <v>8</v>
      </c>
      <c r="H3717" s="4" t="s">
        <v>77</v>
      </c>
      <c r="I3717" s="4" t="s">
        <v>69</v>
      </c>
      <c r="J3717" s="4" t="s">
        <v>66</v>
      </c>
      <c r="K3717" s="4">
        <v>0</v>
      </c>
      <c r="L3717" s="94">
        <v>-563</v>
      </c>
      <c r="M3717" s="94">
        <v>0</v>
      </c>
    </row>
    <row r="3718" spans="3:13" x14ac:dyDescent="0.3">
      <c r="C3718" t="s">
        <v>61</v>
      </c>
      <c r="D3718" t="s">
        <v>67</v>
      </c>
      <c r="E3718" t="s">
        <v>68</v>
      </c>
      <c r="F3718" t="s">
        <v>26</v>
      </c>
      <c r="G3718" s="4">
        <v>2</v>
      </c>
      <c r="H3718" s="4" t="s">
        <v>15</v>
      </c>
      <c r="I3718" s="4" t="s">
        <v>69</v>
      </c>
      <c r="J3718" s="4" t="s">
        <v>66</v>
      </c>
      <c r="K3718" s="4">
        <v>0</v>
      </c>
      <c r="L3718" s="94">
        <v>533209</v>
      </c>
      <c r="M3718" s="94">
        <v>1066418</v>
      </c>
    </row>
    <row r="3719" spans="3:13" x14ac:dyDescent="0.3">
      <c r="C3719" t="s">
        <v>71</v>
      </c>
      <c r="D3719" t="s">
        <v>67</v>
      </c>
      <c r="E3719" t="s">
        <v>63</v>
      </c>
      <c r="F3719" t="s">
        <v>25</v>
      </c>
      <c r="G3719" s="4">
        <v>-1</v>
      </c>
      <c r="H3719" s="4" t="s">
        <v>18</v>
      </c>
      <c r="I3719" s="4" t="s">
        <v>69</v>
      </c>
      <c r="J3719" s="4" t="s">
        <v>66</v>
      </c>
      <c r="K3719" s="4">
        <v>0</v>
      </c>
      <c r="L3719" s="94">
        <v>-130174</v>
      </c>
      <c r="M3719" s="94">
        <v>0</v>
      </c>
    </row>
    <row r="3720" spans="3:13" x14ac:dyDescent="0.3">
      <c r="D3720" t="s">
        <v>67</v>
      </c>
      <c r="E3720" t="s">
        <v>68</v>
      </c>
      <c r="G3720" s="4">
        <v>-3</v>
      </c>
      <c r="H3720" s="4" t="s">
        <v>75</v>
      </c>
      <c r="I3720" s="4" t="s">
        <v>69</v>
      </c>
      <c r="J3720" s="4" t="s">
        <v>66</v>
      </c>
      <c r="K3720" s="4">
        <v>0</v>
      </c>
      <c r="L3720" s="94">
        <v>131176</v>
      </c>
      <c r="M3720" s="94">
        <v>0</v>
      </c>
    </row>
    <row r="3721" spans="3:13" x14ac:dyDescent="0.3">
      <c r="C3721" t="s">
        <v>61</v>
      </c>
      <c r="D3721" t="s">
        <v>67</v>
      </c>
      <c r="E3721" t="s">
        <v>63</v>
      </c>
      <c r="F3721" t="s">
        <v>26</v>
      </c>
      <c r="G3721" s="4">
        <v>3</v>
      </c>
      <c r="H3721" s="4" t="s">
        <v>82</v>
      </c>
      <c r="I3721" s="4" t="s">
        <v>65</v>
      </c>
      <c r="J3721" s="4" t="s">
        <v>66</v>
      </c>
      <c r="K3721" s="4">
        <v>1</v>
      </c>
      <c r="L3721" s="94">
        <v>-1563</v>
      </c>
      <c r="M3721" s="94">
        <v>0</v>
      </c>
    </row>
    <row r="3722" spans="3:13" x14ac:dyDescent="0.3">
      <c r="C3722" t="s">
        <v>61</v>
      </c>
      <c r="D3722" t="s">
        <v>62</v>
      </c>
      <c r="E3722" t="s">
        <v>63</v>
      </c>
      <c r="F3722" t="s">
        <v>24</v>
      </c>
      <c r="G3722" s="4">
        <v>29</v>
      </c>
      <c r="I3722" s="4" t="s">
        <v>65</v>
      </c>
      <c r="J3722" s="4" t="s">
        <v>66</v>
      </c>
      <c r="K3722" s="4">
        <v>1</v>
      </c>
      <c r="L3722" s="94">
        <v>-6299</v>
      </c>
      <c r="M3722" s="94">
        <v>0</v>
      </c>
    </row>
    <row r="3723" spans="3:13" x14ac:dyDescent="0.3">
      <c r="C3723" t="s">
        <v>70</v>
      </c>
      <c r="D3723" t="s">
        <v>67</v>
      </c>
      <c r="E3723" t="s">
        <v>63</v>
      </c>
      <c r="F3723" t="s">
        <v>72</v>
      </c>
      <c r="G3723" s="4">
        <v>3</v>
      </c>
      <c r="H3723" s="4" t="s">
        <v>12</v>
      </c>
      <c r="I3723" s="4" t="s">
        <v>69</v>
      </c>
      <c r="J3723" s="4" t="s">
        <v>73</v>
      </c>
      <c r="K3723" s="4">
        <v>1</v>
      </c>
      <c r="L3723" s="94">
        <v>-3385</v>
      </c>
      <c r="M3723" s="94">
        <v>0</v>
      </c>
    </row>
    <row r="3724" spans="3:13" x14ac:dyDescent="0.3">
      <c r="C3724" t="s">
        <v>70</v>
      </c>
      <c r="D3724" t="s">
        <v>67</v>
      </c>
      <c r="E3724" t="s">
        <v>63</v>
      </c>
      <c r="F3724" t="s">
        <v>25</v>
      </c>
      <c r="G3724" s="4">
        <v>4</v>
      </c>
      <c r="H3724" s="4" t="s">
        <v>74</v>
      </c>
      <c r="I3724" s="4" t="s">
        <v>69</v>
      </c>
      <c r="J3724" s="4" t="s">
        <v>66</v>
      </c>
      <c r="K3724" s="4">
        <v>0</v>
      </c>
      <c r="L3724" s="94">
        <v>-10707</v>
      </c>
      <c r="M3724" s="94">
        <v>0</v>
      </c>
    </row>
    <row r="3725" spans="3:13" x14ac:dyDescent="0.3">
      <c r="C3725" t="s">
        <v>71</v>
      </c>
      <c r="D3725" t="s">
        <v>62</v>
      </c>
      <c r="E3725" t="s">
        <v>68</v>
      </c>
      <c r="F3725" t="s">
        <v>24</v>
      </c>
      <c r="G3725" s="4">
        <v>23</v>
      </c>
      <c r="I3725" s="4" t="s">
        <v>69</v>
      </c>
      <c r="J3725" s="4" t="s">
        <v>66</v>
      </c>
      <c r="K3725" s="4">
        <v>1</v>
      </c>
      <c r="L3725" s="94">
        <v>51449</v>
      </c>
      <c r="M3725" s="94">
        <v>1183327</v>
      </c>
    </row>
    <row r="3726" spans="3:13" x14ac:dyDescent="0.3">
      <c r="C3726" t="s">
        <v>61</v>
      </c>
      <c r="D3726" t="s">
        <v>67</v>
      </c>
      <c r="E3726" t="s">
        <v>63</v>
      </c>
      <c r="F3726" t="s">
        <v>72</v>
      </c>
      <c r="G3726" s="4">
        <v>6</v>
      </c>
      <c r="H3726" s="4" t="s">
        <v>18</v>
      </c>
      <c r="I3726" s="4" t="s">
        <v>69</v>
      </c>
      <c r="J3726" s="4" t="s">
        <v>73</v>
      </c>
      <c r="K3726" s="4">
        <v>1</v>
      </c>
      <c r="L3726" s="94">
        <v>-537</v>
      </c>
      <c r="M3726" s="94">
        <v>0</v>
      </c>
    </row>
    <row r="3727" spans="3:13" x14ac:dyDescent="0.3">
      <c r="C3727" t="s">
        <v>61</v>
      </c>
      <c r="D3727" t="s">
        <v>62</v>
      </c>
      <c r="E3727" t="s">
        <v>63</v>
      </c>
      <c r="F3727" t="s">
        <v>25</v>
      </c>
      <c r="G3727" s="4">
        <v>29</v>
      </c>
      <c r="I3727" s="4" t="s">
        <v>69</v>
      </c>
      <c r="J3727" s="4" t="s">
        <v>66</v>
      </c>
      <c r="K3727" s="4">
        <v>0</v>
      </c>
      <c r="L3727" s="94">
        <v>-247</v>
      </c>
      <c r="M3727" s="94">
        <v>0</v>
      </c>
    </row>
    <row r="3728" spans="3:13" x14ac:dyDescent="0.3">
      <c r="C3728" t="s">
        <v>71</v>
      </c>
      <c r="D3728" t="s">
        <v>67</v>
      </c>
      <c r="E3728" t="s">
        <v>68</v>
      </c>
      <c r="F3728" t="s">
        <v>26</v>
      </c>
      <c r="G3728" s="4">
        <v>2</v>
      </c>
      <c r="H3728" s="4" t="s">
        <v>64</v>
      </c>
      <c r="I3728" s="4" t="s">
        <v>69</v>
      </c>
      <c r="J3728" s="4" t="s">
        <v>66</v>
      </c>
      <c r="K3728" s="4">
        <v>0</v>
      </c>
      <c r="L3728" s="94">
        <v>452897</v>
      </c>
      <c r="M3728" s="94">
        <v>905794</v>
      </c>
    </row>
    <row r="3729" spans="3:13" x14ac:dyDescent="0.3">
      <c r="C3729" t="s">
        <v>71</v>
      </c>
      <c r="D3729" t="s">
        <v>67</v>
      </c>
      <c r="E3729" t="s">
        <v>63</v>
      </c>
      <c r="F3729" t="s">
        <v>26</v>
      </c>
      <c r="G3729" s="4">
        <v>4</v>
      </c>
      <c r="H3729" s="4" t="s">
        <v>17</v>
      </c>
      <c r="I3729" s="4" t="s">
        <v>65</v>
      </c>
      <c r="J3729" s="4" t="s">
        <v>73</v>
      </c>
      <c r="K3729" s="4">
        <v>1</v>
      </c>
      <c r="L3729" s="94">
        <v>-23346</v>
      </c>
      <c r="M3729" s="94">
        <v>0</v>
      </c>
    </row>
    <row r="3730" spans="3:13" x14ac:dyDescent="0.3">
      <c r="C3730" t="s">
        <v>61</v>
      </c>
      <c r="D3730" t="s">
        <v>67</v>
      </c>
      <c r="E3730" t="s">
        <v>63</v>
      </c>
      <c r="F3730" t="s">
        <v>25</v>
      </c>
      <c r="G3730" s="4">
        <v>8</v>
      </c>
      <c r="H3730" s="4" t="s">
        <v>75</v>
      </c>
      <c r="I3730" s="4" t="s">
        <v>65</v>
      </c>
      <c r="J3730" s="4" t="s">
        <v>66</v>
      </c>
      <c r="K3730" s="4">
        <v>1</v>
      </c>
      <c r="L3730" s="94">
        <v>-1307</v>
      </c>
      <c r="M3730" s="94">
        <v>0</v>
      </c>
    </row>
    <row r="3731" spans="3:13" x14ac:dyDescent="0.3">
      <c r="C3731" t="s">
        <v>71</v>
      </c>
      <c r="D3731" t="s">
        <v>62</v>
      </c>
      <c r="E3731" t="s">
        <v>68</v>
      </c>
      <c r="F3731" t="s">
        <v>24</v>
      </c>
      <c r="G3731" s="4">
        <v>18</v>
      </c>
      <c r="I3731" s="4" t="s">
        <v>69</v>
      </c>
      <c r="J3731" s="4" t="s">
        <v>66</v>
      </c>
      <c r="K3731" s="4">
        <v>1</v>
      </c>
      <c r="L3731" s="94">
        <v>144040</v>
      </c>
      <c r="M3731" s="94">
        <v>2592720</v>
      </c>
    </row>
    <row r="3732" spans="3:13" x14ac:dyDescent="0.3">
      <c r="C3732" t="s">
        <v>71</v>
      </c>
      <c r="D3732" t="s">
        <v>67</v>
      </c>
      <c r="E3732" t="s">
        <v>63</v>
      </c>
      <c r="F3732" t="s">
        <v>26</v>
      </c>
      <c r="G3732" s="4">
        <v>3</v>
      </c>
      <c r="H3732" s="4" t="s">
        <v>14</v>
      </c>
      <c r="I3732" s="4" t="s">
        <v>69</v>
      </c>
      <c r="J3732" s="4" t="s">
        <v>73</v>
      </c>
      <c r="K3732" s="4">
        <v>1</v>
      </c>
      <c r="L3732" s="94">
        <v>-1880367</v>
      </c>
      <c r="M3732" s="94">
        <v>0</v>
      </c>
    </row>
    <row r="3733" spans="3:13" x14ac:dyDescent="0.3">
      <c r="C3733" t="s">
        <v>71</v>
      </c>
      <c r="D3733" t="s">
        <v>67</v>
      </c>
      <c r="E3733" t="s">
        <v>68</v>
      </c>
      <c r="F3733" t="s">
        <v>26</v>
      </c>
      <c r="G3733" s="4">
        <v>6</v>
      </c>
      <c r="H3733" s="4" t="s">
        <v>74</v>
      </c>
      <c r="I3733" s="4" t="s">
        <v>69</v>
      </c>
      <c r="J3733" s="4" t="s">
        <v>66</v>
      </c>
      <c r="K3733" s="4">
        <v>0</v>
      </c>
      <c r="L3733" s="94">
        <v>289554</v>
      </c>
      <c r="M3733" s="94">
        <v>1737324</v>
      </c>
    </row>
    <row r="3734" spans="3:13" x14ac:dyDescent="0.3">
      <c r="C3734" t="s">
        <v>61</v>
      </c>
      <c r="D3734" t="s">
        <v>67</v>
      </c>
      <c r="E3734" t="s">
        <v>68</v>
      </c>
      <c r="F3734" t="s">
        <v>72</v>
      </c>
      <c r="G3734" s="4">
        <v>3</v>
      </c>
      <c r="H3734" s="4" t="s">
        <v>17</v>
      </c>
      <c r="I3734" s="4" t="s">
        <v>69</v>
      </c>
      <c r="J3734" s="4" t="s">
        <v>66</v>
      </c>
      <c r="K3734" s="4">
        <v>0</v>
      </c>
      <c r="L3734" s="94">
        <v>7631307</v>
      </c>
      <c r="M3734" s="94">
        <v>22893921</v>
      </c>
    </row>
    <row r="3735" spans="3:13" x14ac:dyDescent="0.3">
      <c r="C3735" t="s">
        <v>70</v>
      </c>
      <c r="D3735" t="s">
        <v>67</v>
      </c>
      <c r="E3735" t="s">
        <v>63</v>
      </c>
      <c r="F3735" t="s">
        <v>26</v>
      </c>
      <c r="G3735" s="4">
        <v>0</v>
      </c>
      <c r="H3735" s="4" t="s">
        <v>14</v>
      </c>
      <c r="I3735" s="4" t="s">
        <v>69</v>
      </c>
      <c r="J3735" s="4" t="s">
        <v>73</v>
      </c>
      <c r="K3735" s="4">
        <v>1</v>
      </c>
      <c r="L3735" s="94">
        <v>-555034</v>
      </c>
      <c r="M3735" s="94">
        <v>0</v>
      </c>
    </row>
    <row r="3736" spans="3:13" x14ac:dyDescent="0.3">
      <c r="C3736" t="s">
        <v>70</v>
      </c>
      <c r="D3736" t="s">
        <v>62</v>
      </c>
      <c r="E3736" t="s">
        <v>68</v>
      </c>
      <c r="F3736" t="s">
        <v>24</v>
      </c>
      <c r="G3736" s="4">
        <v>4</v>
      </c>
      <c r="I3736" s="4" t="s">
        <v>65</v>
      </c>
      <c r="J3736" s="4" t="s">
        <v>66</v>
      </c>
      <c r="K3736" s="4">
        <v>1</v>
      </c>
      <c r="L3736" s="94">
        <v>124487</v>
      </c>
      <c r="M3736" s="94">
        <v>497948</v>
      </c>
    </row>
    <row r="3737" spans="3:13" x14ac:dyDescent="0.3">
      <c r="C3737" t="s">
        <v>70</v>
      </c>
      <c r="D3737" t="s">
        <v>67</v>
      </c>
      <c r="E3737" t="s">
        <v>68</v>
      </c>
      <c r="F3737" t="s">
        <v>72</v>
      </c>
      <c r="G3737" s="4">
        <v>4</v>
      </c>
      <c r="H3737" s="4" t="s">
        <v>14</v>
      </c>
      <c r="I3737" s="4" t="s">
        <v>69</v>
      </c>
      <c r="J3737" s="4" t="s">
        <v>66</v>
      </c>
      <c r="K3737" s="4">
        <v>0</v>
      </c>
      <c r="L3737" s="94">
        <v>1169375</v>
      </c>
      <c r="M3737" s="94">
        <v>4677500</v>
      </c>
    </row>
    <row r="3738" spans="3:13" x14ac:dyDescent="0.3">
      <c r="C3738" t="s">
        <v>61</v>
      </c>
      <c r="D3738" t="s">
        <v>67</v>
      </c>
      <c r="E3738" t="s">
        <v>68</v>
      </c>
      <c r="F3738" t="s">
        <v>26</v>
      </c>
      <c r="G3738" s="4">
        <v>10</v>
      </c>
      <c r="H3738" s="4" t="s">
        <v>76</v>
      </c>
      <c r="I3738" s="4" t="s">
        <v>69</v>
      </c>
      <c r="J3738" s="4" t="s">
        <v>66</v>
      </c>
      <c r="K3738" s="4">
        <v>0</v>
      </c>
      <c r="L3738" s="94">
        <v>4511743</v>
      </c>
      <c r="M3738" s="94">
        <v>45117430</v>
      </c>
    </row>
    <row r="3739" spans="3:13" x14ac:dyDescent="0.3">
      <c r="C3739" t="s">
        <v>61</v>
      </c>
      <c r="D3739" t="s">
        <v>67</v>
      </c>
      <c r="E3739" t="s">
        <v>68</v>
      </c>
      <c r="F3739" t="s">
        <v>26</v>
      </c>
      <c r="G3739" s="4">
        <v>4</v>
      </c>
      <c r="H3739" s="4" t="s">
        <v>79</v>
      </c>
      <c r="I3739" s="4" t="s">
        <v>69</v>
      </c>
      <c r="J3739" s="4" t="s">
        <v>66</v>
      </c>
      <c r="K3739" s="4">
        <v>0</v>
      </c>
      <c r="L3739" s="94">
        <v>5537392</v>
      </c>
      <c r="M3739" s="94">
        <v>22149568</v>
      </c>
    </row>
    <row r="3740" spans="3:13" x14ac:dyDescent="0.3">
      <c r="C3740" t="s">
        <v>71</v>
      </c>
      <c r="D3740" t="s">
        <v>67</v>
      </c>
      <c r="E3740" t="s">
        <v>63</v>
      </c>
      <c r="F3740" t="s">
        <v>26</v>
      </c>
      <c r="G3740" s="4">
        <v>8</v>
      </c>
      <c r="H3740" s="4" t="s">
        <v>17</v>
      </c>
      <c r="I3740" s="4" t="s">
        <v>69</v>
      </c>
      <c r="J3740" s="4" t="s">
        <v>66</v>
      </c>
      <c r="K3740" s="4">
        <v>0</v>
      </c>
      <c r="L3740" s="94">
        <v>-835040</v>
      </c>
      <c r="M3740" s="94">
        <v>0</v>
      </c>
    </row>
    <row r="3741" spans="3:13" x14ac:dyDescent="0.3">
      <c r="C3741" t="s">
        <v>61</v>
      </c>
      <c r="D3741" t="s">
        <v>67</v>
      </c>
      <c r="E3741" t="s">
        <v>63</v>
      </c>
      <c r="F3741" t="s">
        <v>26</v>
      </c>
      <c r="G3741" s="4">
        <v>2</v>
      </c>
      <c r="H3741" s="4" t="s">
        <v>64</v>
      </c>
      <c r="I3741" s="4" t="s">
        <v>69</v>
      </c>
      <c r="J3741" s="4" t="s">
        <v>66</v>
      </c>
      <c r="K3741" s="4">
        <v>0</v>
      </c>
      <c r="L3741" s="94">
        <v>-61094</v>
      </c>
      <c r="M3741" s="94">
        <v>0</v>
      </c>
    </row>
    <row r="3742" spans="3:13" x14ac:dyDescent="0.3">
      <c r="C3742" t="s">
        <v>70</v>
      </c>
      <c r="D3742" t="s">
        <v>67</v>
      </c>
      <c r="E3742" t="s">
        <v>68</v>
      </c>
      <c r="F3742" t="s">
        <v>25</v>
      </c>
      <c r="G3742" s="4">
        <v>14</v>
      </c>
      <c r="H3742" s="4" t="s">
        <v>18</v>
      </c>
      <c r="I3742" s="4" t="s">
        <v>69</v>
      </c>
      <c r="J3742" s="4" t="s">
        <v>66</v>
      </c>
      <c r="K3742" s="4">
        <v>0</v>
      </c>
      <c r="L3742" s="94">
        <v>509551</v>
      </c>
      <c r="M3742" s="94">
        <v>7133714</v>
      </c>
    </row>
    <row r="3743" spans="3:13" x14ac:dyDescent="0.3">
      <c r="C3743" t="s">
        <v>70</v>
      </c>
      <c r="D3743" t="s">
        <v>67</v>
      </c>
      <c r="E3743" t="s">
        <v>68</v>
      </c>
      <c r="F3743" t="s">
        <v>26</v>
      </c>
      <c r="G3743" s="4">
        <v>1</v>
      </c>
      <c r="H3743" s="4" t="s">
        <v>75</v>
      </c>
      <c r="I3743" s="4" t="s">
        <v>69</v>
      </c>
      <c r="J3743" s="4" t="s">
        <v>66</v>
      </c>
      <c r="K3743" s="4">
        <v>0</v>
      </c>
      <c r="L3743" s="94">
        <v>1314662</v>
      </c>
      <c r="M3743" s="94">
        <v>1314662</v>
      </c>
    </row>
    <row r="3744" spans="3:13" x14ac:dyDescent="0.3">
      <c r="C3744" t="s">
        <v>71</v>
      </c>
      <c r="D3744" t="s">
        <v>67</v>
      </c>
      <c r="E3744" t="s">
        <v>68</v>
      </c>
      <c r="F3744" t="s">
        <v>26</v>
      </c>
      <c r="G3744" s="4">
        <v>7</v>
      </c>
      <c r="H3744" s="4" t="s">
        <v>64</v>
      </c>
      <c r="I3744" s="4" t="s">
        <v>69</v>
      </c>
      <c r="J3744" s="4" t="s">
        <v>66</v>
      </c>
      <c r="K3744" s="4">
        <v>0</v>
      </c>
      <c r="L3744" s="94">
        <v>605293</v>
      </c>
      <c r="M3744" s="94">
        <v>4237051</v>
      </c>
    </row>
    <row r="3745" spans="3:13" x14ac:dyDescent="0.3">
      <c r="C3745" t="s">
        <v>70</v>
      </c>
      <c r="D3745" t="s">
        <v>67</v>
      </c>
      <c r="E3745" t="s">
        <v>63</v>
      </c>
      <c r="F3745" t="s">
        <v>26</v>
      </c>
      <c r="G3745" s="4">
        <v>-1</v>
      </c>
      <c r="H3745" s="4" t="s">
        <v>13</v>
      </c>
      <c r="I3745" s="4" t="s">
        <v>69</v>
      </c>
      <c r="J3745" s="4" t="s">
        <v>73</v>
      </c>
      <c r="K3745" s="4">
        <v>1</v>
      </c>
      <c r="L3745" s="94">
        <v>-41567</v>
      </c>
      <c r="M3745" s="94">
        <v>0</v>
      </c>
    </row>
    <row r="3746" spans="3:13" x14ac:dyDescent="0.3">
      <c r="C3746" t="s">
        <v>61</v>
      </c>
      <c r="D3746" t="s">
        <v>67</v>
      </c>
      <c r="E3746" t="s">
        <v>63</v>
      </c>
      <c r="F3746" t="s">
        <v>25</v>
      </c>
      <c r="G3746" s="4">
        <v>15</v>
      </c>
      <c r="H3746" s="4" t="s">
        <v>18</v>
      </c>
      <c r="I3746" s="4" t="s">
        <v>69</v>
      </c>
      <c r="J3746" s="4" t="s">
        <v>66</v>
      </c>
      <c r="K3746" s="4">
        <v>0</v>
      </c>
      <c r="L3746" s="94">
        <v>-5435</v>
      </c>
      <c r="M3746" s="94">
        <v>0</v>
      </c>
    </row>
    <row r="3747" spans="3:13" x14ac:dyDescent="0.3">
      <c r="C3747" t="s">
        <v>70</v>
      </c>
      <c r="D3747" t="s">
        <v>67</v>
      </c>
      <c r="E3747" t="s">
        <v>68</v>
      </c>
      <c r="F3747" t="s">
        <v>25</v>
      </c>
      <c r="G3747" s="4">
        <v>9</v>
      </c>
      <c r="H3747" s="4" t="s">
        <v>74</v>
      </c>
      <c r="I3747" s="4" t="s">
        <v>69</v>
      </c>
      <c r="J3747" s="4" t="s">
        <v>66</v>
      </c>
      <c r="K3747" s="4">
        <v>0</v>
      </c>
      <c r="L3747" s="94">
        <v>1114877</v>
      </c>
      <c r="M3747" s="94">
        <v>10033893</v>
      </c>
    </row>
    <row r="3748" spans="3:13" x14ac:dyDescent="0.3">
      <c r="C3748" t="s">
        <v>61</v>
      </c>
      <c r="D3748" t="s">
        <v>62</v>
      </c>
      <c r="E3748" t="s">
        <v>68</v>
      </c>
      <c r="F3748" t="s">
        <v>24</v>
      </c>
      <c r="G3748" s="4">
        <v>12</v>
      </c>
      <c r="I3748" s="4" t="s">
        <v>69</v>
      </c>
      <c r="J3748" s="4" t="s">
        <v>66</v>
      </c>
      <c r="K3748" s="4">
        <v>1</v>
      </c>
      <c r="L3748" s="94">
        <v>1279309</v>
      </c>
      <c r="M3748" s="94">
        <v>15351708</v>
      </c>
    </row>
    <row r="3749" spans="3:13" x14ac:dyDescent="0.3">
      <c r="C3749" t="s">
        <v>61</v>
      </c>
      <c r="D3749" t="s">
        <v>67</v>
      </c>
      <c r="E3749" t="s">
        <v>68</v>
      </c>
      <c r="F3749" t="s">
        <v>26</v>
      </c>
      <c r="G3749" s="4">
        <v>6</v>
      </c>
      <c r="H3749" s="4" t="s">
        <v>18</v>
      </c>
      <c r="I3749" s="4" t="s">
        <v>69</v>
      </c>
      <c r="J3749" s="4" t="s">
        <v>66</v>
      </c>
      <c r="K3749" s="4">
        <v>0</v>
      </c>
      <c r="L3749" s="94">
        <v>13469068</v>
      </c>
      <c r="M3749" s="94">
        <v>80814408</v>
      </c>
    </row>
    <row r="3750" spans="3:13" x14ac:dyDescent="0.3">
      <c r="C3750" t="s">
        <v>61</v>
      </c>
      <c r="D3750" t="s">
        <v>67</v>
      </c>
      <c r="E3750" t="s">
        <v>68</v>
      </c>
      <c r="F3750" t="s">
        <v>26</v>
      </c>
      <c r="G3750" s="4">
        <v>5</v>
      </c>
      <c r="H3750" s="4" t="s">
        <v>83</v>
      </c>
      <c r="I3750" s="4" t="s">
        <v>69</v>
      </c>
      <c r="J3750" s="4" t="s">
        <v>66</v>
      </c>
      <c r="K3750" s="4">
        <v>0</v>
      </c>
      <c r="L3750" s="94">
        <v>185112</v>
      </c>
      <c r="M3750" s="94">
        <v>925560</v>
      </c>
    </row>
    <row r="3751" spans="3:13" x14ac:dyDescent="0.3">
      <c r="C3751" t="s">
        <v>70</v>
      </c>
      <c r="D3751" t="s">
        <v>67</v>
      </c>
      <c r="E3751" t="s">
        <v>63</v>
      </c>
      <c r="F3751" t="s">
        <v>26</v>
      </c>
      <c r="G3751" s="4">
        <v>-4</v>
      </c>
      <c r="H3751" s="4" t="s">
        <v>12</v>
      </c>
      <c r="I3751" s="4" t="s">
        <v>69</v>
      </c>
      <c r="J3751" s="4" t="s">
        <v>73</v>
      </c>
      <c r="K3751" s="4">
        <v>1</v>
      </c>
      <c r="L3751" s="94">
        <v>-264</v>
      </c>
      <c r="M3751" s="94">
        <v>0</v>
      </c>
    </row>
    <row r="3752" spans="3:13" x14ac:dyDescent="0.3">
      <c r="C3752" t="s">
        <v>71</v>
      </c>
      <c r="D3752" t="s">
        <v>67</v>
      </c>
      <c r="E3752" t="s">
        <v>68</v>
      </c>
      <c r="F3752" t="s">
        <v>72</v>
      </c>
      <c r="G3752" s="4">
        <v>0</v>
      </c>
      <c r="H3752" s="4" t="s">
        <v>83</v>
      </c>
      <c r="I3752" s="4" t="s">
        <v>69</v>
      </c>
      <c r="J3752" s="4" t="s">
        <v>66</v>
      </c>
      <c r="K3752" s="4">
        <v>0</v>
      </c>
      <c r="L3752" s="94">
        <v>11255</v>
      </c>
      <c r="M3752" s="94">
        <v>0</v>
      </c>
    </row>
    <row r="3753" spans="3:13" x14ac:dyDescent="0.3">
      <c r="C3753" t="s">
        <v>71</v>
      </c>
      <c r="D3753" t="s">
        <v>67</v>
      </c>
      <c r="E3753" t="s">
        <v>63</v>
      </c>
      <c r="F3753" t="s">
        <v>25</v>
      </c>
      <c r="G3753" s="4">
        <v>0</v>
      </c>
      <c r="H3753" s="4" t="s">
        <v>17</v>
      </c>
      <c r="I3753" s="4" t="s">
        <v>69</v>
      </c>
      <c r="J3753" s="4" t="s">
        <v>66</v>
      </c>
      <c r="K3753" s="4">
        <v>1</v>
      </c>
      <c r="L3753" s="94">
        <v>-13374</v>
      </c>
      <c r="M3753" s="94">
        <v>0</v>
      </c>
    </row>
    <row r="3754" spans="3:13" x14ac:dyDescent="0.3">
      <c r="C3754" t="s">
        <v>71</v>
      </c>
      <c r="D3754" t="s">
        <v>67</v>
      </c>
      <c r="E3754" t="s">
        <v>68</v>
      </c>
      <c r="F3754" t="s">
        <v>25</v>
      </c>
      <c r="G3754" s="4">
        <v>10</v>
      </c>
      <c r="H3754" s="4" t="s">
        <v>17</v>
      </c>
      <c r="I3754" s="4" t="s">
        <v>69</v>
      </c>
      <c r="J3754" s="4" t="s">
        <v>66</v>
      </c>
      <c r="K3754" s="4">
        <v>0</v>
      </c>
      <c r="L3754" s="94">
        <v>46213</v>
      </c>
      <c r="M3754" s="94">
        <v>462130</v>
      </c>
    </row>
    <row r="3755" spans="3:13" x14ac:dyDescent="0.3">
      <c r="C3755" t="s">
        <v>71</v>
      </c>
      <c r="D3755" t="s">
        <v>67</v>
      </c>
      <c r="E3755" t="s">
        <v>68</v>
      </c>
      <c r="F3755" t="s">
        <v>26</v>
      </c>
      <c r="G3755" s="4">
        <v>10</v>
      </c>
      <c r="H3755" s="4" t="s">
        <v>14</v>
      </c>
      <c r="I3755" s="4" t="s">
        <v>69</v>
      </c>
      <c r="J3755" s="4" t="s">
        <v>66</v>
      </c>
      <c r="K3755" s="4">
        <v>0</v>
      </c>
      <c r="L3755" s="94">
        <v>28196</v>
      </c>
      <c r="M3755" s="94">
        <v>281960</v>
      </c>
    </row>
    <row r="3756" spans="3:13" x14ac:dyDescent="0.3">
      <c r="C3756" t="s">
        <v>61</v>
      </c>
      <c r="D3756" t="s">
        <v>67</v>
      </c>
      <c r="E3756" t="s">
        <v>68</v>
      </c>
      <c r="F3756" t="s">
        <v>72</v>
      </c>
      <c r="G3756" s="4">
        <v>5</v>
      </c>
      <c r="H3756" s="4" t="s">
        <v>12</v>
      </c>
      <c r="I3756" s="4" t="s">
        <v>65</v>
      </c>
      <c r="J3756" s="4" t="s">
        <v>73</v>
      </c>
      <c r="K3756" s="4">
        <v>1</v>
      </c>
      <c r="L3756" s="94">
        <v>52279</v>
      </c>
      <c r="M3756" s="94">
        <v>261395</v>
      </c>
    </row>
    <row r="3757" spans="3:13" x14ac:dyDescent="0.3">
      <c r="C3757" t="s">
        <v>61</v>
      </c>
      <c r="D3757" t="s">
        <v>62</v>
      </c>
      <c r="E3757" t="s">
        <v>68</v>
      </c>
      <c r="F3757" t="s">
        <v>24</v>
      </c>
      <c r="G3757" s="4">
        <v>35</v>
      </c>
      <c r="I3757" s="4" t="s">
        <v>69</v>
      </c>
      <c r="J3757" s="4" t="s">
        <v>66</v>
      </c>
      <c r="K3757" s="4">
        <v>1</v>
      </c>
      <c r="L3757" s="94">
        <v>1833592</v>
      </c>
      <c r="M3757" s="94">
        <v>64175720</v>
      </c>
    </row>
    <row r="3758" spans="3:13" x14ac:dyDescent="0.3">
      <c r="C3758" t="s">
        <v>61</v>
      </c>
      <c r="D3758" t="s">
        <v>67</v>
      </c>
      <c r="E3758" t="s">
        <v>63</v>
      </c>
      <c r="F3758" t="s">
        <v>72</v>
      </c>
      <c r="G3758" s="4">
        <v>5</v>
      </c>
      <c r="H3758" s="4" t="s">
        <v>12</v>
      </c>
      <c r="I3758" s="4" t="s">
        <v>69</v>
      </c>
      <c r="J3758" s="4" t="s">
        <v>73</v>
      </c>
      <c r="K3758" s="4">
        <v>1</v>
      </c>
      <c r="L3758" s="94">
        <v>-4482</v>
      </c>
      <c r="M3758" s="94">
        <v>0</v>
      </c>
    </row>
    <row r="3759" spans="3:13" x14ac:dyDescent="0.3">
      <c r="C3759" t="s">
        <v>61</v>
      </c>
      <c r="D3759" t="s">
        <v>67</v>
      </c>
      <c r="E3759" t="s">
        <v>68</v>
      </c>
      <c r="F3759" t="s">
        <v>26</v>
      </c>
      <c r="G3759" s="4">
        <v>4</v>
      </c>
      <c r="H3759" s="4" t="s">
        <v>17</v>
      </c>
      <c r="I3759" s="4" t="s">
        <v>65</v>
      </c>
      <c r="J3759" s="4" t="s">
        <v>73</v>
      </c>
      <c r="K3759" s="4">
        <v>1</v>
      </c>
      <c r="L3759" s="94">
        <v>924619</v>
      </c>
      <c r="M3759" s="94">
        <v>3698476</v>
      </c>
    </row>
    <row r="3760" spans="3:13" x14ac:dyDescent="0.3">
      <c r="C3760" t="s">
        <v>70</v>
      </c>
      <c r="D3760" t="s">
        <v>67</v>
      </c>
      <c r="E3760" t="s">
        <v>68</v>
      </c>
      <c r="F3760" t="s">
        <v>25</v>
      </c>
      <c r="G3760" s="4">
        <v>6</v>
      </c>
      <c r="H3760" s="4" t="s">
        <v>18</v>
      </c>
      <c r="I3760" s="4" t="s">
        <v>69</v>
      </c>
      <c r="J3760" s="4" t="s">
        <v>66</v>
      </c>
      <c r="K3760" s="4">
        <v>1</v>
      </c>
      <c r="L3760" s="94">
        <v>731268</v>
      </c>
      <c r="M3760" s="94">
        <v>4387608</v>
      </c>
    </row>
    <row r="3761" spans="3:13" x14ac:dyDescent="0.3">
      <c r="C3761" t="s">
        <v>61</v>
      </c>
      <c r="D3761" t="s">
        <v>67</v>
      </c>
      <c r="E3761" t="s">
        <v>68</v>
      </c>
      <c r="F3761" t="s">
        <v>25</v>
      </c>
      <c r="G3761" s="4">
        <v>6</v>
      </c>
      <c r="H3761" s="4" t="s">
        <v>14</v>
      </c>
      <c r="I3761" s="4" t="s">
        <v>69</v>
      </c>
      <c r="J3761" s="4" t="s">
        <v>66</v>
      </c>
      <c r="K3761" s="4">
        <v>0</v>
      </c>
      <c r="L3761" s="94">
        <v>3113268</v>
      </c>
      <c r="M3761" s="94">
        <v>18679608</v>
      </c>
    </row>
    <row r="3762" spans="3:13" x14ac:dyDescent="0.3">
      <c r="C3762" t="s">
        <v>61</v>
      </c>
      <c r="D3762" t="s">
        <v>67</v>
      </c>
      <c r="E3762" t="s">
        <v>63</v>
      </c>
      <c r="F3762" t="s">
        <v>25</v>
      </c>
      <c r="G3762" s="4">
        <v>10</v>
      </c>
      <c r="H3762" s="4" t="s">
        <v>12</v>
      </c>
      <c r="I3762" s="4" t="s">
        <v>69</v>
      </c>
      <c r="J3762" s="4" t="s">
        <v>66</v>
      </c>
      <c r="K3762" s="4">
        <v>1</v>
      </c>
      <c r="L3762" s="94">
        <v>-10310</v>
      </c>
      <c r="M3762" s="94">
        <v>0</v>
      </c>
    </row>
    <row r="3763" spans="3:13" x14ac:dyDescent="0.3">
      <c r="C3763" t="s">
        <v>70</v>
      </c>
      <c r="D3763" t="s">
        <v>67</v>
      </c>
      <c r="E3763" t="s">
        <v>63</v>
      </c>
      <c r="F3763" t="s">
        <v>25</v>
      </c>
      <c r="G3763" s="4">
        <v>-4</v>
      </c>
      <c r="H3763" s="4" t="s">
        <v>79</v>
      </c>
      <c r="I3763" s="4" t="s">
        <v>69</v>
      </c>
      <c r="J3763" s="4" t="s">
        <v>66</v>
      </c>
      <c r="K3763" s="4">
        <v>0</v>
      </c>
      <c r="L3763" s="94">
        <v>0</v>
      </c>
      <c r="M3763" s="94">
        <v>0</v>
      </c>
    </row>
    <row r="3764" spans="3:13" x14ac:dyDescent="0.3">
      <c r="C3764" t="s">
        <v>71</v>
      </c>
      <c r="D3764" t="s">
        <v>62</v>
      </c>
      <c r="E3764" t="s">
        <v>63</v>
      </c>
      <c r="F3764" t="s">
        <v>25</v>
      </c>
      <c r="G3764" s="4">
        <v>20</v>
      </c>
      <c r="I3764" s="4" t="s">
        <v>69</v>
      </c>
      <c r="J3764" s="4" t="s">
        <v>66</v>
      </c>
      <c r="K3764" s="4">
        <v>0</v>
      </c>
      <c r="L3764" s="94">
        <v>-241057</v>
      </c>
      <c r="M3764" s="94">
        <v>0</v>
      </c>
    </row>
    <row r="3765" spans="3:13" x14ac:dyDescent="0.3">
      <c r="C3765" t="s">
        <v>61</v>
      </c>
      <c r="D3765" t="s">
        <v>67</v>
      </c>
      <c r="E3765" t="s">
        <v>68</v>
      </c>
      <c r="F3765" t="s">
        <v>72</v>
      </c>
      <c r="G3765" s="4">
        <v>-4</v>
      </c>
      <c r="H3765" s="4" t="s">
        <v>64</v>
      </c>
      <c r="I3765" s="4" t="s">
        <v>69</v>
      </c>
      <c r="J3765" s="4" t="s">
        <v>66</v>
      </c>
      <c r="K3765" s="4">
        <v>0</v>
      </c>
      <c r="L3765" s="94">
        <v>81</v>
      </c>
      <c r="M3765" s="94">
        <v>0</v>
      </c>
    </row>
    <row r="3766" spans="3:13" x14ac:dyDescent="0.3">
      <c r="C3766" t="s">
        <v>61</v>
      </c>
      <c r="D3766" t="s">
        <v>67</v>
      </c>
      <c r="E3766" t="s">
        <v>63</v>
      </c>
      <c r="F3766" t="s">
        <v>26</v>
      </c>
      <c r="G3766" s="4">
        <v>3</v>
      </c>
      <c r="H3766" s="4" t="s">
        <v>17</v>
      </c>
      <c r="I3766" s="4" t="s">
        <v>65</v>
      </c>
      <c r="J3766" s="4" t="s">
        <v>66</v>
      </c>
      <c r="K3766" s="4">
        <v>1</v>
      </c>
      <c r="L3766" s="94">
        <v>-857</v>
      </c>
      <c r="M3766" s="94">
        <v>0</v>
      </c>
    </row>
    <row r="3767" spans="3:13" x14ac:dyDescent="0.3">
      <c r="C3767" t="s">
        <v>61</v>
      </c>
      <c r="D3767" t="s">
        <v>67</v>
      </c>
      <c r="E3767" t="s">
        <v>63</v>
      </c>
      <c r="F3767" t="s">
        <v>26</v>
      </c>
      <c r="G3767" s="4">
        <v>-1</v>
      </c>
      <c r="H3767" s="4" t="s">
        <v>14</v>
      </c>
      <c r="I3767" s="4" t="s">
        <v>65</v>
      </c>
      <c r="J3767" s="4" t="s">
        <v>73</v>
      </c>
      <c r="K3767" s="4">
        <v>1</v>
      </c>
      <c r="L3767" s="94">
        <v>-1609</v>
      </c>
      <c r="M3767" s="94">
        <v>0</v>
      </c>
    </row>
    <row r="3768" spans="3:13" x14ac:dyDescent="0.3">
      <c r="C3768" t="s">
        <v>71</v>
      </c>
      <c r="D3768" t="s">
        <v>62</v>
      </c>
      <c r="E3768" t="s">
        <v>68</v>
      </c>
      <c r="F3768" t="s">
        <v>24</v>
      </c>
      <c r="G3768" s="4">
        <v>30</v>
      </c>
      <c r="I3768" s="4" t="s">
        <v>65</v>
      </c>
      <c r="J3768" s="4" t="s">
        <v>66</v>
      </c>
      <c r="K3768" s="4">
        <v>1</v>
      </c>
      <c r="L3768" s="94">
        <v>354498</v>
      </c>
      <c r="M3768" s="94">
        <v>10634940</v>
      </c>
    </row>
    <row r="3769" spans="3:13" x14ac:dyDescent="0.3">
      <c r="C3769" t="s">
        <v>71</v>
      </c>
      <c r="D3769" t="s">
        <v>67</v>
      </c>
      <c r="E3769" t="s">
        <v>68</v>
      </c>
      <c r="F3769" t="s">
        <v>72</v>
      </c>
      <c r="G3769" s="4">
        <v>5</v>
      </c>
      <c r="H3769" s="4" t="s">
        <v>82</v>
      </c>
      <c r="I3769" s="4" t="s">
        <v>69</v>
      </c>
      <c r="J3769" s="4" t="s">
        <v>66</v>
      </c>
      <c r="K3769" s="4">
        <v>0</v>
      </c>
      <c r="L3769" s="94">
        <v>76979</v>
      </c>
      <c r="M3769" s="94">
        <v>384895</v>
      </c>
    </row>
    <row r="3770" spans="3:13" x14ac:dyDescent="0.3">
      <c r="C3770" t="s">
        <v>61</v>
      </c>
      <c r="D3770" t="s">
        <v>67</v>
      </c>
      <c r="E3770" t="s">
        <v>63</v>
      </c>
      <c r="F3770" t="s">
        <v>25</v>
      </c>
      <c r="G3770" s="4">
        <v>6</v>
      </c>
      <c r="H3770" s="4" t="s">
        <v>79</v>
      </c>
      <c r="I3770" s="4" t="s">
        <v>69</v>
      </c>
      <c r="J3770" s="4" t="s">
        <v>66</v>
      </c>
      <c r="K3770" s="4">
        <v>0</v>
      </c>
      <c r="L3770" s="94">
        <v>-6567</v>
      </c>
      <c r="M3770" s="94">
        <v>0</v>
      </c>
    </row>
    <row r="3771" spans="3:13" x14ac:dyDescent="0.3">
      <c r="C3771" t="s">
        <v>61</v>
      </c>
      <c r="D3771" t="s">
        <v>67</v>
      </c>
      <c r="E3771" t="s">
        <v>63</v>
      </c>
      <c r="F3771" t="s">
        <v>26</v>
      </c>
      <c r="G3771" s="4">
        <v>3</v>
      </c>
      <c r="H3771" s="4" t="s">
        <v>12</v>
      </c>
      <c r="I3771" s="4" t="s">
        <v>69</v>
      </c>
      <c r="J3771" s="4" t="s">
        <v>73</v>
      </c>
      <c r="K3771" s="4">
        <v>1</v>
      </c>
      <c r="L3771" s="94">
        <v>-30738</v>
      </c>
      <c r="M3771" s="94">
        <v>0</v>
      </c>
    </row>
    <row r="3772" spans="3:13" x14ac:dyDescent="0.3">
      <c r="C3772" t="s">
        <v>61</v>
      </c>
      <c r="D3772" t="s">
        <v>67</v>
      </c>
      <c r="E3772" t="s">
        <v>68</v>
      </c>
      <c r="F3772" t="s">
        <v>26</v>
      </c>
      <c r="G3772" s="4">
        <v>1</v>
      </c>
      <c r="H3772" s="4" t="s">
        <v>17</v>
      </c>
      <c r="I3772" s="4" t="s">
        <v>65</v>
      </c>
      <c r="J3772" s="4" t="s">
        <v>66</v>
      </c>
      <c r="K3772" s="4">
        <v>1</v>
      </c>
      <c r="L3772" s="94">
        <v>39216</v>
      </c>
      <c r="M3772" s="94">
        <v>39216</v>
      </c>
    </row>
    <row r="3773" spans="3:13" x14ac:dyDescent="0.3">
      <c r="C3773" t="s">
        <v>70</v>
      </c>
      <c r="D3773" t="s">
        <v>67</v>
      </c>
      <c r="E3773" t="s">
        <v>63</v>
      </c>
      <c r="F3773" t="s">
        <v>25</v>
      </c>
      <c r="G3773" s="4">
        <v>6</v>
      </c>
      <c r="H3773" s="4" t="s">
        <v>78</v>
      </c>
      <c r="I3773" s="4" t="s">
        <v>69</v>
      </c>
      <c r="J3773" s="4" t="s">
        <v>66</v>
      </c>
      <c r="K3773" s="4">
        <v>0</v>
      </c>
      <c r="L3773" s="94">
        <v>-27631</v>
      </c>
      <c r="M3773" s="94">
        <v>0</v>
      </c>
    </row>
    <row r="3774" spans="3:13" x14ac:dyDescent="0.3">
      <c r="C3774" t="s">
        <v>61</v>
      </c>
      <c r="D3774" t="s">
        <v>67</v>
      </c>
      <c r="E3774" t="s">
        <v>63</v>
      </c>
      <c r="F3774" t="s">
        <v>26</v>
      </c>
      <c r="G3774" s="4">
        <v>-1</v>
      </c>
      <c r="H3774" s="4" t="s">
        <v>82</v>
      </c>
      <c r="I3774" s="4" t="s">
        <v>69</v>
      </c>
      <c r="J3774" s="4" t="s">
        <v>66</v>
      </c>
      <c r="K3774" s="4">
        <v>0</v>
      </c>
      <c r="L3774" s="94">
        <v>-221075</v>
      </c>
      <c r="M3774" s="94">
        <v>0</v>
      </c>
    </row>
    <row r="3775" spans="3:13" x14ac:dyDescent="0.3">
      <c r="C3775" t="s">
        <v>71</v>
      </c>
      <c r="D3775" t="s">
        <v>67</v>
      </c>
      <c r="E3775" t="s">
        <v>63</v>
      </c>
      <c r="F3775" t="s">
        <v>25</v>
      </c>
      <c r="G3775" s="4">
        <v>4</v>
      </c>
      <c r="H3775" s="4" t="s">
        <v>75</v>
      </c>
      <c r="I3775" s="4" t="s">
        <v>65</v>
      </c>
      <c r="J3775" s="4" t="s">
        <v>66</v>
      </c>
      <c r="K3775" s="4">
        <v>1</v>
      </c>
      <c r="L3775" s="94">
        <v>-18695</v>
      </c>
      <c r="M3775" s="94">
        <v>0</v>
      </c>
    </row>
    <row r="3776" spans="3:13" x14ac:dyDescent="0.3">
      <c r="C3776" t="s">
        <v>70</v>
      </c>
      <c r="D3776" t="s">
        <v>67</v>
      </c>
      <c r="E3776" t="s">
        <v>68</v>
      </c>
      <c r="F3776" t="s">
        <v>25</v>
      </c>
      <c r="G3776" s="4">
        <v>-4</v>
      </c>
      <c r="H3776" s="4" t="s">
        <v>16</v>
      </c>
      <c r="I3776" s="4" t="s">
        <v>69</v>
      </c>
      <c r="J3776" s="4" t="s">
        <v>66</v>
      </c>
      <c r="K3776" s="4">
        <v>0</v>
      </c>
      <c r="L3776" s="94">
        <v>127</v>
      </c>
      <c r="M3776" s="94">
        <v>0</v>
      </c>
    </row>
    <row r="3777" spans="3:13" x14ac:dyDescent="0.3">
      <c r="C3777" t="s">
        <v>70</v>
      </c>
      <c r="D3777" t="s">
        <v>67</v>
      </c>
      <c r="E3777" t="s">
        <v>68</v>
      </c>
      <c r="F3777" t="s">
        <v>72</v>
      </c>
      <c r="G3777" s="4">
        <v>1</v>
      </c>
      <c r="H3777" s="4" t="s">
        <v>15</v>
      </c>
      <c r="I3777" s="4" t="s">
        <v>69</v>
      </c>
      <c r="J3777" s="4" t="s">
        <v>73</v>
      </c>
      <c r="K3777" s="4">
        <v>1</v>
      </c>
      <c r="L3777" s="94">
        <v>42730</v>
      </c>
      <c r="M3777" s="94">
        <v>42730</v>
      </c>
    </row>
    <row r="3778" spans="3:13" x14ac:dyDescent="0.3">
      <c r="C3778" t="s">
        <v>71</v>
      </c>
      <c r="D3778" t="s">
        <v>67</v>
      </c>
      <c r="E3778" t="s">
        <v>68</v>
      </c>
      <c r="F3778" t="s">
        <v>26</v>
      </c>
      <c r="G3778" s="4">
        <v>-1</v>
      </c>
      <c r="H3778" s="4" t="s">
        <v>77</v>
      </c>
      <c r="I3778" s="4" t="s">
        <v>69</v>
      </c>
      <c r="J3778" s="4" t="s">
        <v>66</v>
      </c>
      <c r="K3778" s="4">
        <v>0</v>
      </c>
      <c r="L3778" s="94">
        <v>732597</v>
      </c>
      <c r="M3778" s="94">
        <v>0</v>
      </c>
    </row>
    <row r="3779" spans="3:13" x14ac:dyDescent="0.3">
      <c r="C3779" t="s">
        <v>71</v>
      </c>
      <c r="D3779" t="s">
        <v>62</v>
      </c>
      <c r="E3779" t="s">
        <v>68</v>
      </c>
      <c r="F3779" t="s">
        <v>24</v>
      </c>
      <c r="G3779" s="4">
        <v>31</v>
      </c>
      <c r="I3779" s="4" t="s">
        <v>69</v>
      </c>
      <c r="J3779" s="4" t="s">
        <v>66</v>
      </c>
      <c r="K3779" s="4">
        <v>0</v>
      </c>
      <c r="L3779" s="94">
        <v>4766213</v>
      </c>
      <c r="M3779" s="94">
        <v>147752603</v>
      </c>
    </row>
    <row r="3780" spans="3:13" x14ac:dyDescent="0.3">
      <c r="C3780" t="s">
        <v>61</v>
      </c>
      <c r="D3780" t="s">
        <v>67</v>
      </c>
      <c r="E3780" t="s">
        <v>63</v>
      </c>
      <c r="F3780" t="s">
        <v>25</v>
      </c>
      <c r="G3780" s="4">
        <v>1</v>
      </c>
      <c r="H3780" s="4" t="s">
        <v>12</v>
      </c>
      <c r="I3780" s="4" t="s">
        <v>69</v>
      </c>
      <c r="J3780" s="4" t="s">
        <v>66</v>
      </c>
      <c r="K3780" s="4">
        <v>0</v>
      </c>
      <c r="L3780" s="94">
        <v>-195</v>
      </c>
      <c r="M3780" s="94">
        <v>0</v>
      </c>
    </row>
    <row r="3781" spans="3:13" x14ac:dyDescent="0.3">
      <c r="C3781" t="s">
        <v>61</v>
      </c>
      <c r="D3781" t="s">
        <v>67</v>
      </c>
      <c r="E3781" t="s">
        <v>68</v>
      </c>
      <c r="F3781" t="s">
        <v>26</v>
      </c>
      <c r="G3781" s="4">
        <v>5</v>
      </c>
      <c r="H3781" s="4" t="s">
        <v>75</v>
      </c>
      <c r="I3781" s="4" t="s">
        <v>69</v>
      </c>
      <c r="J3781" s="4" t="s">
        <v>66</v>
      </c>
      <c r="K3781" s="4">
        <v>0</v>
      </c>
      <c r="L3781" s="94">
        <v>53173638</v>
      </c>
      <c r="M3781" s="94">
        <v>265868190</v>
      </c>
    </row>
    <row r="3782" spans="3:13" x14ac:dyDescent="0.3">
      <c r="C3782" t="s">
        <v>61</v>
      </c>
      <c r="D3782" t="s">
        <v>67</v>
      </c>
      <c r="E3782" t="s">
        <v>63</v>
      </c>
      <c r="F3782" t="s">
        <v>25</v>
      </c>
      <c r="G3782" s="4">
        <v>8</v>
      </c>
      <c r="H3782" s="4" t="s">
        <v>17</v>
      </c>
      <c r="I3782" s="4" t="s">
        <v>69</v>
      </c>
      <c r="J3782" s="4" t="s">
        <v>66</v>
      </c>
      <c r="K3782" s="4">
        <v>0</v>
      </c>
      <c r="L3782" s="94">
        <v>-6296</v>
      </c>
      <c r="M3782" s="94">
        <v>0</v>
      </c>
    </row>
    <row r="3783" spans="3:13" x14ac:dyDescent="0.3">
      <c r="C3783" t="s">
        <v>61</v>
      </c>
      <c r="D3783" t="s">
        <v>67</v>
      </c>
      <c r="E3783" t="s">
        <v>63</v>
      </c>
      <c r="F3783" t="s">
        <v>72</v>
      </c>
      <c r="G3783" s="4">
        <v>-1</v>
      </c>
      <c r="H3783" s="4" t="s">
        <v>74</v>
      </c>
      <c r="I3783" s="4" t="s">
        <v>69</v>
      </c>
      <c r="J3783" s="4" t="s">
        <v>66</v>
      </c>
      <c r="K3783" s="4">
        <v>0</v>
      </c>
      <c r="L3783" s="94">
        <v>-127</v>
      </c>
      <c r="M3783" s="94">
        <v>0</v>
      </c>
    </row>
    <row r="3784" spans="3:13" x14ac:dyDescent="0.3">
      <c r="C3784" t="s">
        <v>61</v>
      </c>
      <c r="D3784" t="s">
        <v>67</v>
      </c>
      <c r="E3784" t="s">
        <v>68</v>
      </c>
      <c r="F3784" t="s">
        <v>26</v>
      </c>
      <c r="G3784" s="4">
        <v>2</v>
      </c>
      <c r="H3784" s="4" t="s">
        <v>14</v>
      </c>
      <c r="I3784" s="4" t="s">
        <v>65</v>
      </c>
      <c r="J3784" s="4" t="s">
        <v>73</v>
      </c>
      <c r="K3784" s="4">
        <v>1</v>
      </c>
      <c r="L3784" s="94">
        <v>1094541</v>
      </c>
      <c r="M3784" s="94">
        <v>2189082</v>
      </c>
    </row>
    <row r="3785" spans="3:13" x14ac:dyDescent="0.3">
      <c r="C3785" t="s">
        <v>70</v>
      </c>
      <c r="D3785" t="s">
        <v>67</v>
      </c>
      <c r="E3785" t="s">
        <v>68</v>
      </c>
      <c r="F3785" t="s">
        <v>72</v>
      </c>
      <c r="G3785" s="4">
        <v>2</v>
      </c>
      <c r="H3785" s="4" t="s">
        <v>64</v>
      </c>
      <c r="I3785" s="4" t="s">
        <v>69</v>
      </c>
      <c r="J3785" s="4" t="s">
        <v>66</v>
      </c>
      <c r="K3785" s="4">
        <v>0</v>
      </c>
      <c r="L3785" s="94">
        <v>553218</v>
      </c>
      <c r="M3785" s="94">
        <v>1106436</v>
      </c>
    </row>
    <row r="3786" spans="3:13" x14ac:dyDescent="0.3">
      <c r="C3786" t="s">
        <v>61</v>
      </c>
      <c r="D3786" t="s">
        <v>62</v>
      </c>
      <c r="E3786" t="s">
        <v>68</v>
      </c>
      <c r="F3786" t="s">
        <v>25</v>
      </c>
      <c r="G3786" s="4">
        <v>11</v>
      </c>
      <c r="I3786" s="4" t="s">
        <v>69</v>
      </c>
      <c r="J3786" s="4" t="s">
        <v>66</v>
      </c>
      <c r="K3786" s="4">
        <v>0</v>
      </c>
      <c r="L3786" s="94">
        <v>4259245</v>
      </c>
      <c r="M3786" s="94">
        <v>46851695</v>
      </c>
    </row>
    <row r="3787" spans="3:13" x14ac:dyDescent="0.3">
      <c r="C3787" t="s">
        <v>71</v>
      </c>
      <c r="D3787" t="s">
        <v>67</v>
      </c>
      <c r="E3787" t="s">
        <v>68</v>
      </c>
      <c r="F3787" t="s">
        <v>25</v>
      </c>
      <c r="G3787" s="4">
        <v>2</v>
      </c>
      <c r="H3787" s="4" t="s">
        <v>13</v>
      </c>
      <c r="I3787" s="4" t="s">
        <v>69</v>
      </c>
      <c r="J3787" s="4" t="s">
        <v>66</v>
      </c>
      <c r="K3787" s="4">
        <v>1</v>
      </c>
      <c r="L3787" s="94">
        <v>739499</v>
      </c>
      <c r="M3787" s="94">
        <v>1478998</v>
      </c>
    </row>
    <row r="3788" spans="3:13" x14ac:dyDescent="0.3">
      <c r="C3788" t="s">
        <v>61</v>
      </c>
      <c r="D3788" t="s">
        <v>67</v>
      </c>
      <c r="E3788" t="s">
        <v>68</v>
      </c>
      <c r="F3788" t="s">
        <v>25</v>
      </c>
      <c r="G3788" s="4">
        <v>7</v>
      </c>
      <c r="H3788" s="4" t="s">
        <v>14</v>
      </c>
      <c r="I3788" s="4" t="s">
        <v>69</v>
      </c>
      <c r="J3788" s="4" t="s">
        <v>66</v>
      </c>
      <c r="K3788" s="4">
        <v>0</v>
      </c>
      <c r="L3788" s="94">
        <v>797637</v>
      </c>
      <c r="M3788" s="94">
        <v>5583459</v>
      </c>
    </row>
    <row r="3789" spans="3:13" x14ac:dyDescent="0.3">
      <c r="C3789" t="s">
        <v>70</v>
      </c>
      <c r="D3789" t="s">
        <v>67</v>
      </c>
      <c r="E3789" t="s">
        <v>68</v>
      </c>
      <c r="F3789" t="s">
        <v>26</v>
      </c>
      <c r="G3789" s="4">
        <v>0</v>
      </c>
      <c r="H3789" s="4" t="s">
        <v>15</v>
      </c>
      <c r="I3789" s="4" t="s">
        <v>69</v>
      </c>
      <c r="J3789" s="4" t="s">
        <v>73</v>
      </c>
      <c r="K3789" s="4">
        <v>1</v>
      </c>
      <c r="L3789" s="94">
        <v>82032</v>
      </c>
      <c r="M3789" s="94">
        <v>0</v>
      </c>
    </row>
    <row r="3790" spans="3:13" x14ac:dyDescent="0.3">
      <c r="C3790" t="s">
        <v>71</v>
      </c>
      <c r="D3790" t="s">
        <v>67</v>
      </c>
      <c r="E3790" t="s">
        <v>68</v>
      </c>
      <c r="F3790" t="s">
        <v>26</v>
      </c>
      <c r="G3790" s="4">
        <v>6</v>
      </c>
      <c r="H3790" s="4" t="s">
        <v>80</v>
      </c>
      <c r="I3790" s="4" t="s">
        <v>69</v>
      </c>
      <c r="J3790" s="4" t="s">
        <v>66</v>
      </c>
      <c r="K3790" s="4">
        <v>0</v>
      </c>
      <c r="L3790" s="94">
        <v>36173</v>
      </c>
      <c r="M3790" s="94">
        <v>217038</v>
      </c>
    </row>
    <row r="3791" spans="3:13" x14ac:dyDescent="0.3">
      <c r="C3791" t="s">
        <v>70</v>
      </c>
      <c r="D3791" t="s">
        <v>67</v>
      </c>
      <c r="E3791" t="s">
        <v>63</v>
      </c>
      <c r="F3791" t="s">
        <v>26</v>
      </c>
      <c r="G3791" s="4">
        <v>2</v>
      </c>
      <c r="H3791" s="4" t="s">
        <v>14</v>
      </c>
      <c r="I3791" s="4" t="s">
        <v>65</v>
      </c>
      <c r="J3791" s="4" t="s">
        <v>66</v>
      </c>
      <c r="K3791" s="4">
        <v>1</v>
      </c>
      <c r="L3791" s="94">
        <v>-1565</v>
      </c>
      <c r="M3791" s="94">
        <v>0</v>
      </c>
    </row>
    <row r="3792" spans="3:13" x14ac:dyDescent="0.3">
      <c r="C3792" t="s">
        <v>61</v>
      </c>
      <c r="D3792" t="s">
        <v>62</v>
      </c>
      <c r="E3792" t="s">
        <v>63</v>
      </c>
      <c r="F3792" t="s">
        <v>25</v>
      </c>
      <c r="G3792" s="4">
        <v>1</v>
      </c>
      <c r="I3792" s="4" t="s">
        <v>65</v>
      </c>
      <c r="J3792" s="4" t="s">
        <v>66</v>
      </c>
      <c r="K3792" s="4">
        <v>1</v>
      </c>
      <c r="L3792" s="94">
        <v>-14</v>
      </c>
      <c r="M3792" s="94">
        <v>0</v>
      </c>
    </row>
    <row r="3793" spans="3:13" x14ac:dyDescent="0.3">
      <c r="C3793" t="s">
        <v>61</v>
      </c>
      <c r="D3793" t="s">
        <v>67</v>
      </c>
      <c r="E3793" t="s">
        <v>63</v>
      </c>
      <c r="F3793" t="s">
        <v>26</v>
      </c>
      <c r="G3793" s="4">
        <v>0</v>
      </c>
      <c r="H3793" s="4" t="s">
        <v>76</v>
      </c>
      <c r="I3793" s="4" t="s">
        <v>69</v>
      </c>
      <c r="J3793" s="4" t="s">
        <v>66</v>
      </c>
      <c r="K3793" s="4">
        <v>0</v>
      </c>
      <c r="L3793" s="94">
        <v>-77011</v>
      </c>
      <c r="M3793" s="94">
        <v>0</v>
      </c>
    </row>
    <row r="3794" spans="3:13" x14ac:dyDescent="0.3">
      <c r="C3794" t="s">
        <v>70</v>
      </c>
      <c r="D3794" t="s">
        <v>67</v>
      </c>
      <c r="E3794" t="s">
        <v>63</v>
      </c>
      <c r="F3794" t="s">
        <v>72</v>
      </c>
      <c r="G3794" s="4">
        <v>1</v>
      </c>
      <c r="H3794" s="4" t="s">
        <v>16</v>
      </c>
      <c r="I3794" s="4" t="s">
        <v>69</v>
      </c>
      <c r="J3794" s="4" t="s">
        <v>66</v>
      </c>
      <c r="K3794" s="4">
        <v>0</v>
      </c>
      <c r="L3794" s="94">
        <v>-2071</v>
      </c>
      <c r="M3794" s="94">
        <v>0</v>
      </c>
    </row>
    <row r="3795" spans="3:13" x14ac:dyDescent="0.3">
      <c r="C3795" t="s">
        <v>61</v>
      </c>
      <c r="D3795" t="s">
        <v>67</v>
      </c>
      <c r="E3795" t="s">
        <v>68</v>
      </c>
      <c r="F3795" t="s">
        <v>25</v>
      </c>
      <c r="G3795" s="4">
        <v>3</v>
      </c>
      <c r="H3795" s="4" t="s">
        <v>18</v>
      </c>
      <c r="I3795" s="4" t="s">
        <v>69</v>
      </c>
      <c r="J3795" s="4" t="s">
        <v>66</v>
      </c>
      <c r="K3795" s="4">
        <v>0</v>
      </c>
      <c r="L3795" s="94">
        <v>8172452</v>
      </c>
      <c r="M3795" s="94">
        <v>24517356</v>
      </c>
    </row>
    <row r="3796" spans="3:13" x14ac:dyDescent="0.3">
      <c r="C3796" t="s">
        <v>71</v>
      </c>
      <c r="D3796" t="s">
        <v>67</v>
      </c>
      <c r="E3796" t="s">
        <v>68</v>
      </c>
      <c r="F3796" t="s">
        <v>26</v>
      </c>
      <c r="G3796" s="4">
        <v>5</v>
      </c>
      <c r="H3796" s="4" t="s">
        <v>17</v>
      </c>
      <c r="I3796" s="4" t="s">
        <v>69</v>
      </c>
      <c r="J3796" s="4" t="s">
        <v>66</v>
      </c>
      <c r="K3796" s="4">
        <v>0</v>
      </c>
      <c r="L3796" s="94">
        <v>4113846</v>
      </c>
      <c r="M3796" s="94">
        <v>20569230</v>
      </c>
    </row>
    <row r="3797" spans="3:13" x14ac:dyDescent="0.3">
      <c r="C3797" t="s">
        <v>70</v>
      </c>
      <c r="D3797" t="s">
        <v>67</v>
      </c>
      <c r="E3797" t="s">
        <v>63</v>
      </c>
      <c r="F3797" t="s">
        <v>26</v>
      </c>
      <c r="G3797" s="4">
        <v>2</v>
      </c>
      <c r="H3797" s="4" t="s">
        <v>15</v>
      </c>
      <c r="I3797" s="4" t="s">
        <v>69</v>
      </c>
      <c r="J3797" s="4" t="s">
        <v>73</v>
      </c>
      <c r="K3797" s="4">
        <v>1</v>
      </c>
      <c r="L3797" s="94">
        <v>-3524</v>
      </c>
      <c r="M3797" s="94">
        <v>0</v>
      </c>
    </row>
    <row r="3798" spans="3:13" x14ac:dyDescent="0.3">
      <c r="C3798" t="s">
        <v>70</v>
      </c>
      <c r="D3798" t="s">
        <v>67</v>
      </c>
      <c r="E3798" t="s">
        <v>68</v>
      </c>
      <c r="F3798" t="s">
        <v>26</v>
      </c>
      <c r="G3798" s="4">
        <v>1</v>
      </c>
      <c r="H3798" s="4" t="s">
        <v>83</v>
      </c>
      <c r="I3798" s="4" t="s">
        <v>69</v>
      </c>
      <c r="J3798" s="4" t="s">
        <v>66</v>
      </c>
      <c r="K3798" s="4">
        <v>0</v>
      </c>
      <c r="L3798" s="94">
        <v>1216364</v>
      </c>
      <c r="M3798" s="94">
        <v>1216364</v>
      </c>
    </row>
    <row r="3799" spans="3:13" x14ac:dyDescent="0.3">
      <c r="C3799" t="s">
        <v>61</v>
      </c>
      <c r="D3799" t="s">
        <v>67</v>
      </c>
      <c r="E3799" t="s">
        <v>63</v>
      </c>
      <c r="F3799" t="s">
        <v>26</v>
      </c>
      <c r="G3799" s="4">
        <v>9</v>
      </c>
      <c r="H3799" s="4" t="s">
        <v>15</v>
      </c>
      <c r="I3799" s="4" t="s">
        <v>69</v>
      </c>
      <c r="J3799" s="4" t="s">
        <v>66</v>
      </c>
      <c r="K3799" s="4">
        <v>0</v>
      </c>
      <c r="L3799" s="94">
        <v>-26203</v>
      </c>
      <c r="M3799" s="94">
        <v>0</v>
      </c>
    </row>
    <row r="3800" spans="3:13" x14ac:dyDescent="0.3">
      <c r="C3800" t="s">
        <v>70</v>
      </c>
      <c r="D3800" t="s">
        <v>67</v>
      </c>
      <c r="E3800" t="s">
        <v>63</v>
      </c>
      <c r="F3800" t="s">
        <v>72</v>
      </c>
      <c r="G3800" s="4">
        <v>-1</v>
      </c>
      <c r="H3800" s="4" t="s">
        <v>74</v>
      </c>
      <c r="I3800" s="4" t="s">
        <v>69</v>
      </c>
      <c r="J3800" s="4" t="s">
        <v>66</v>
      </c>
      <c r="K3800" s="4">
        <v>0</v>
      </c>
      <c r="L3800" s="94">
        <v>-4072</v>
      </c>
      <c r="M3800" s="94">
        <v>0</v>
      </c>
    </row>
    <row r="3801" spans="3:13" x14ac:dyDescent="0.3">
      <c r="C3801" t="s">
        <v>71</v>
      </c>
      <c r="D3801" t="s">
        <v>67</v>
      </c>
      <c r="E3801" t="s">
        <v>63</v>
      </c>
      <c r="F3801" t="s">
        <v>26</v>
      </c>
      <c r="G3801" s="4">
        <v>2</v>
      </c>
      <c r="H3801" s="4" t="s">
        <v>83</v>
      </c>
      <c r="I3801" s="4" t="s">
        <v>69</v>
      </c>
      <c r="J3801" s="4" t="s">
        <v>66</v>
      </c>
      <c r="K3801" s="4">
        <v>0</v>
      </c>
      <c r="L3801" s="94">
        <v>-96880</v>
      </c>
      <c r="M3801" s="94">
        <v>0</v>
      </c>
    </row>
    <row r="3802" spans="3:13" x14ac:dyDescent="0.3">
      <c r="C3802" t="s">
        <v>71</v>
      </c>
      <c r="D3802" t="s">
        <v>67</v>
      </c>
      <c r="E3802" t="s">
        <v>68</v>
      </c>
      <c r="F3802" t="s">
        <v>25</v>
      </c>
      <c r="G3802" s="4">
        <v>-1</v>
      </c>
      <c r="H3802" s="4" t="s">
        <v>14</v>
      </c>
      <c r="I3802" s="4" t="s">
        <v>69</v>
      </c>
      <c r="J3802" s="4" t="s">
        <v>66</v>
      </c>
      <c r="K3802" s="4">
        <v>0</v>
      </c>
      <c r="L3802" s="94">
        <v>1781926</v>
      </c>
      <c r="M3802" s="94">
        <v>0</v>
      </c>
    </row>
    <row r="3803" spans="3:13" x14ac:dyDescent="0.3">
      <c r="C3803" t="s">
        <v>61</v>
      </c>
      <c r="D3803" t="s">
        <v>67</v>
      </c>
      <c r="E3803" t="s">
        <v>68</v>
      </c>
      <c r="F3803" t="s">
        <v>26</v>
      </c>
      <c r="G3803" s="4">
        <v>13</v>
      </c>
      <c r="H3803" s="4" t="s">
        <v>17</v>
      </c>
      <c r="I3803" s="4" t="s">
        <v>69</v>
      </c>
      <c r="J3803" s="4" t="s">
        <v>66</v>
      </c>
      <c r="K3803" s="4">
        <v>0</v>
      </c>
      <c r="L3803" s="94">
        <v>10110</v>
      </c>
      <c r="M3803" s="94">
        <v>131430</v>
      </c>
    </row>
    <row r="3804" spans="3:13" x14ac:dyDescent="0.3">
      <c r="C3804" t="s">
        <v>70</v>
      </c>
      <c r="D3804" t="s">
        <v>67</v>
      </c>
      <c r="E3804" t="s">
        <v>63</v>
      </c>
      <c r="F3804" t="s">
        <v>72</v>
      </c>
      <c r="G3804" s="4">
        <v>-4</v>
      </c>
      <c r="H3804" s="4" t="s">
        <v>18</v>
      </c>
      <c r="I3804" s="4" t="s">
        <v>69</v>
      </c>
      <c r="J3804" s="4" t="s">
        <v>73</v>
      </c>
      <c r="K3804" s="4">
        <v>1</v>
      </c>
      <c r="L3804" s="94">
        <v>-157</v>
      </c>
      <c r="M3804" s="94">
        <v>0</v>
      </c>
    </row>
    <row r="3805" spans="3:13" x14ac:dyDescent="0.3">
      <c r="C3805" t="s">
        <v>61</v>
      </c>
      <c r="D3805" t="s">
        <v>62</v>
      </c>
      <c r="E3805" t="s">
        <v>68</v>
      </c>
      <c r="F3805" t="s">
        <v>24</v>
      </c>
      <c r="G3805" s="4">
        <v>1</v>
      </c>
      <c r="I3805" s="4" t="s">
        <v>69</v>
      </c>
      <c r="J3805" s="4" t="s">
        <v>66</v>
      </c>
      <c r="K3805" s="4">
        <v>1</v>
      </c>
      <c r="L3805" s="94">
        <v>45562</v>
      </c>
      <c r="M3805" s="94">
        <v>45562</v>
      </c>
    </row>
    <row r="3806" spans="3:13" x14ac:dyDescent="0.3">
      <c r="C3806" t="s">
        <v>71</v>
      </c>
      <c r="D3806" t="s">
        <v>67</v>
      </c>
      <c r="E3806" t="s">
        <v>68</v>
      </c>
      <c r="F3806" t="s">
        <v>26</v>
      </c>
      <c r="G3806" s="4">
        <v>3</v>
      </c>
      <c r="H3806" s="4" t="s">
        <v>82</v>
      </c>
      <c r="I3806" s="4" t="s">
        <v>69</v>
      </c>
      <c r="J3806" s="4" t="s">
        <v>66</v>
      </c>
      <c r="K3806" s="4">
        <v>0</v>
      </c>
      <c r="L3806" s="94">
        <v>1296166</v>
      </c>
      <c r="M3806" s="94">
        <v>3888498</v>
      </c>
    </row>
    <row r="3807" spans="3:13" x14ac:dyDescent="0.3">
      <c r="C3807" t="s">
        <v>61</v>
      </c>
      <c r="D3807" t="s">
        <v>62</v>
      </c>
      <c r="E3807" t="s">
        <v>68</v>
      </c>
      <c r="F3807" t="s">
        <v>24</v>
      </c>
      <c r="G3807" s="4">
        <v>24</v>
      </c>
      <c r="I3807" s="4" t="s">
        <v>65</v>
      </c>
      <c r="J3807" s="4" t="s">
        <v>73</v>
      </c>
      <c r="K3807" s="4">
        <v>1</v>
      </c>
      <c r="L3807" s="94">
        <v>11587</v>
      </c>
      <c r="M3807" s="94">
        <v>278088</v>
      </c>
    </row>
    <row r="3808" spans="3:13" x14ac:dyDescent="0.3">
      <c r="C3808" t="s">
        <v>61</v>
      </c>
      <c r="D3808" t="s">
        <v>67</v>
      </c>
      <c r="E3808" t="s">
        <v>68</v>
      </c>
      <c r="F3808" t="s">
        <v>26</v>
      </c>
      <c r="G3808" s="4">
        <v>0</v>
      </c>
      <c r="H3808" s="4" t="s">
        <v>76</v>
      </c>
      <c r="I3808" s="4" t="s">
        <v>69</v>
      </c>
      <c r="J3808" s="4" t="s">
        <v>66</v>
      </c>
      <c r="K3808" s="4">
        <v>0</v>
      </c>
      <c r="L3808" s="94">
        <v>17164716</v>
      </c>
      <c r="M3808" s="94">
        <v>0</v>
      </c>
    </row>
    <row r="3809" spans="3:13" x14ac:dyDescent="0.3">
      <c r="C3809" t="s">
        <v>71</v>
      </c>
      <c r="D3809" t="s">
        <v>67</v>
      </c>
      <c r="E3809" t="s">
        <v>63</v>
      </c>
      <c r="F3809" t="s">
        <v>72</v>
      </c>
      <c r="G3809" s="4">
        <v>0</v>
      </c>
      <c r="H3809" s="4" t="s">
        <v>14</v>
      </c>
      <c r="I3809" s="4" t="s">
        <v>69</v>
      </c>
      <c r="J3809" s="4" t="s">
        <v>66</v>
      </c>
      <c r="K3809" s="4">
        <v>0</v>
      </c>
      <c r="L3809" s="94">
        <v>-27590</v>
      </c>
      <c r="M3809" s="94">
        <v>0</v>
      </c>
    </row>
    <row r="3810" spans="3:13" x14ac:dyDescent="0.3">
      <c r="C3810" t="s">
        <v>70</v>
      </c>
      <c r="D3810" t="s">
        <v>67</v>
      </c>
      <c r="E3810" t="s">
        <v>68</v>
      </c>
      <c r="F3810" t="s">
        <v>72</v>
      </c>
      <c r="G3810" s="4">
        <v>3</v>
      </c>
      <c r="H3810" s="4" t="s">
        <v>82</v>
      </c>
      <c r="I3810" s="4" t="s">
        <v>65</v>
      </c>
      <c r="J3810" s="4" t="s">
        <v>66</v>
      </c>
      <c r="K3810" s="4">
        <v>1</v>
      </c>
      <c r="L3810" s="94">
        <v>48292</v>
      </c>
      <c r="M3810" s="94">
        <v>144876</v>
      </c>
    </row>
    <row r="3811" spans="3:13" x14ac:dyDescent="0.3">
      <c r="C3811" t="s">
        <v>71</v>
      </c>
      <c r="D3811" t="s">
        <v>67</v>
      </c>
      <c r="E3811" t="s">
        <v>63</v>
      </c>
      <c r="F3811" t="s">
        <v>25</v>
      </c>
      <c r="G3811" s="4">
        <v>11</v>
      </c>
      <c r="H3811" s="4" t="s">
        <v>64</v>
      </c>
      <c r="I3811" s="4" t="s">
        <v>69</v>
      </c>
      <c r="J3811" s="4" t="s">
        <v>66</v>
      </c>
      <c r="K3811" s="4">
        <v>0</v>
      </c>
      <c r="L3811" s="94">
        <v>-5604</v>
      </c>
      <c r="M3811" s="94">
        <v>0</v>
      </c>
    </row>
    <row r="3812" spans="3:13" x14ac:dyDescent="0.3">
      <c r="C3812" t="s">
        <v>71</v>
      </c>
      <c r="D3812" t="s">
        <v>67</v>
      </c>
      <c r="E3812" t="s">
        <v>63</v>
      </c>
      <c r="F3812" t="s">
        <v>26</v>
      </c>
      <c r="G3812" s="4">
        <v>-4</v>
      </c>
      <c r="H3812" s="4" t="s">
        <v>76</v>
      </c>
      <c r="I3812" s="4" t="s">
        <v>69</v>
      </c>
      <c r="J3812" s="4" t="s">
        <v>66</v>
      </c>
      <c r="K3812" s="4">
        <v>0</v>
      </c>
      <c r="L3812" s="94">
        <v>-357189</v>
      </c>
      <c r="M3812" s="94">
        <v>0</v>
      </c>
    </row>
    <row r="3813" spans="3:13" x14ac:dyDescent="0.3">
      <c r="C3813" t="s">
        <v>61</v>
      </c>
      <c r="D3813" t="s">
        <v>67</v>
      </c>
      <c r="E3813" t="s">
        <v>68</v>
      </c>
      <c r="F3813" t="s">
        <v>25</v>
      </c>
      <c r="G3813" s="4">
        <v>12</v>
      </c>
      <c r="H3813" s="4" t="s">
        <v>14</v>
      </c>
      <c r="I3813" s="4" t="s">
        <v>69</v>
      </c>
      <c r="J3813" s="4" t="s">
        <v>66</v>
      </c>
      <c r="K3813" s="4">
        <v>1</v>
      </c>
      <c r="L3813" s="94">
        <v>2368360</v>
      </c>
      <c r="M3813" s="94">
        <v>28420320</v>
      </c>
    </row>
    <row r="3814" spans="3:13" x14ac:dyDescent="0.3">
      <c r="C3814" t="s">
        <v>61</v>
      </c>
      <c r="D3814" t="s">
        <v>67</v>
      </c>
      <c r="E3814" t="s">
        <v>63</v>
      </c>
      <c r="F3814" t="s">
        <v>72</v>
      </c>
      <c r="G3814" s="4">
        <v>0</v>
      </c>
      <c r="H3814" s="4" t="s">
        <v>14</v>
      </c>
      <c r="I3814" s="4" t="s">
        <v>69</v>
      </c>
      <c r="J3814" s="4" t="s">
        <v>73</v>
      </c>
      <c r="K3814" s="4">
        <v>1</v>
      </c>
      <c r="L3814" s="94">
        <v>-1851</v>
      </c>
      <c r="M3814" s="94">
        <v>0</v>
      </c>
    </row>
    <row r="3815" spans="3:13" x14ac:dyDescent="0.3">
      <c r="C3815" t="s">
        <v>71</v>
      </c>
      <c r="D3815" t="s">
        <v>67</v>
      </c>
      <c r="E3815" t="s">
        <v>68</v>
      </c>
      <c r="F3815" t="s">
        <v>72</v>
      </c>
      <c r="G3815" s="4">
        <v>1</v>
      </c>
      <c r="H3815" s="4" t="s">
        <v>17</v>
      </c>
      <c r="I3815" s="4" t="s">
        <v>69</v>
      </c>
      <c r="J3815" s="4" t="s">
        <v>66</v>
      </c>
      <c r="K3815" s="4">
        <v>0</v>
      </c>
      <c r="L3815" s="94">
        <v>166102</v>
      </c>
      <c r="M3815" s="94">
        <v>166102</v>
      </c>
    </row>
    <row r="3816" spans="3:13" x14ac:dyDescent="0.3">
      <c r="C3816" t="s">
        <v>71</v>
      </c>
      <c r="D3816" t="s">
        <v>62</v>
      </c>
      <c r="E3816" t="s">
        <v>68</v>
      </c>
      <c r="F3816" t="s">
        <v>24</v>
      </c>
      <c r="G3816" s="4">
        <v>40</v>
      </c>
      <c r="I3816" s="4" t="s">
        <v>69</v>
      </c>
      <c r="J3816" s="4" t="s">
        <v>66</v>
      </c>
      <c r="K3816" s="4">
        <v>0</v>
      </c>
      <c r="L3816" s="94">
        <v>1160185</v>
      </c>
      <c r="M3816" s="94">
        <v>46407400</v>
      </c>
    </row>
    <row r="3817" spans="3:13" x14ac:dyDescent="0.3">
      <c r="C3817" t="s">
        <v>70</v>
      </c>
      <c r="D3817" t="s">
        <v>67</v>
      </c>
      <c r="E3817" t="s">
        <v>68</v>
      </c>
      <c r="F3817" t="s">
        <v>26</v>
      </c>
      <c r="G3817" s="4">
        <v>5</v>
      </c>
      <c r="H3817" s="4" t="s">
        <v>17</v>
      </c>
      <c r="I3817" s="4" t="s">
        <v>65</v>
      </c>
      <c r="J3817" s="4" t="s">
        <v>66</v>
      </c>
      <c r="K3817" s="4">
        <v>1</v>
      </c>
      <c r="L3817" s="94">
        <v>88996</v>
      </c>
      <c r="M3817" s="94">
        <v>444980</v>
      </c>
    </row>
    <row r="3818" spans="3:13" x14ac:dyDescent="0.3">
      <c r="C3818" t="s">
        <v>61</v>
      </c>
      <c r="D3818" t="s">
        <v>67</v>
      </c>
      <c r="E3818" t="s">
        <v>68</v>
      </c>
      <c r="F3818" t="s">
        <v>25</v>
      </c>
      <c r="G3818" s="4">
        <v>13</v>
      </c>
      <c r="H3818" s="4" t="s">
        <v>74</v>
      </c>
      <c r="I3818" s="4" t="s">
        <v>65</v>
      </c>
      <c r="J3818" s="4" t="s">
        <v>66</v>
      </c>
      <c r="K3818" s="4">
        <v>1</v>
      </c>
      <c r="L3818" s="94">
        <v>113655</v>
      </c>
      <c r="M3818" s="94">
        <v>1477515</v>
      </c>
    </row>
    <row r="3819" spans="3:13" x14ac:dyDescent="0.3">
      <c r="C3819" t="s">
        <v>71</v>
      </c>
      <c r="D3819" t="s">
        <v>67</v>
      </c>
      <c r="E3819" t="s">
        <v>68</v>
      </c>
      <c r="F3819" t="s">
        <v>26</v>
      </c>
      <c r="G3819" s="4">
        <v>0</v>
      </c>
      <c r="H3819" s="4" t="s">
        <v>14</v>
      </c>
      <c r="I3819" s="4" t="s">
        <v>69</v>
      </c>
      <c r="J3819" s="4" t="s">
        <v>66</v>
      </c>
      <c r="K3819" s="4">
        <v>0</v>
      </c>
      <c r="L3819" s="94">
        <v>954307</v>
      </c>
      <c r="M3819" s="94">
        <v>0</v>
      </c>
    </row>
    <row r="3820" spans="3:13" x14ac:dyDescent="0.3">
      <c r="C3820" t="s">
        <v>70</v>
      </c>
      <c r="D3820" t="s">
        <v>67</v>
      </c>
      <c r="E3820" t="s">
        <v>68</v>
      </c>
      <c r="F3820" t="s">
        <v>72</v>
      </c>
      <c r="G3820" s="4">
        <v>4</v>
      </c>
      <c r="H3820" s="4" t="s">
        <v>13</v>
      </c>
      <c r="I3820" s="4" t="s">
        <v>69</v>
      </c>
      <c r="J3820" s="4" t="s">
        <v>73</v>
      </c>
      <c r="K3820" s="4">
        <v>1</v>
      </c>
      <c r="L3820" s="94">
        <v>91204</v>
      </c>
      <c r="M3820" s="94">
        <v>364816</v>
      </c>
    </row>
    <row r="3821" spans="3:13" x14ac:dyDescent="0.3">
      <c r="C3821" t="s">
        <v>61</v>
      </c>
      <c r="D3821" t="s">
        <v>67</v>
      </c>
      <c r="E3821" t="s">
        <v>63</v>
      </c>
      <c r="F3821" t="s">
        <v>72</v>
      </c>
      <c r="G3821" s="4">
        <v>0</v>
      </c>
      <c r="H3821" s="4" t="s">
        <v>81</v>
      </c>
      <c r="I3821" s="4" t="s">
        <v>69</v>
      </c>
      <c r="J3821" s="4" t="s">
        <v>66</v>
      </c>
      <c r="K3821" s="4">
        <v>0</v>
      </c>
      <c r="L3821" s="94">
        <v>-50</v>
      </c>
      <c r="M3821" s="94">
        <v>0</v>
      </c>
    </row>
    <row r="3822" spans="3:13" x14ac:dyDescent="0.3">
      <c r="C3822" t="s">
        <v>70</v>
      </c>
      <c r="D3822" t="s">
        <v>67</v>
      </c>
      <c r="E3822" t="s">
        <v>63</v>
      </c>
      <c r="F3822" t="s">
        <v>26</v>
      </c>
      <c r="G3822" s="4">
        <v>-4</v>
      </c>
      <c r="H3822" s="4" t="s">
        <v>76</v>
      </c>
      <c r="I3822" s="4" t="s">
        <v>69</v>
      </c>
      <c r="J3822" s="4" t="s">
        <v>66</v>
      </c>
      <c r="K3822" s="4">
        <v>0</v>
      </c>
      <c r="L3822" s="94">
        <v>-4</v>
      </c>
      <c r="M3822" s="94">
        <v>0</v>
      </c>
    </row>
    <row r="3823" spans="3:13" x14ac:dyDescent="0.3">
      <c r="C3823" t="s">
        <v>71</v>
      </c>
      <c r="D3823" t="s">
        <v>62</v>
      </c>
      <c r="E3823" t="s">
        <v>68</v>
      </c>
      <c r="F3823" t="s">
        <v>24</v>
      </c>
      <c r="G3823" s="4">
        <v>17</v>
      </c>
      <c r="I3823" s="4" t="s">
        <v>69</v>
      </c>
      <c r="J3823" s="4" t="s">
        <v>66</v>
      </c>
      <c r="K3823" s="4">
        <v>1</v>
      </c>
      <c r="L3823" s="94">
        <v>121188</v>
      </c>
      <c r="M3823" s="94">
        <v>2060196</v>
      </c>
    </row>
    <row r="3824" spans="3:13" x14ac:dyDescent="0.3">
      <c r="C3824" t="s">
        <v>61</v>
      </c>
      <c r="D3824" t="s">
        <v>67</v>
      </c>
      <c r="E3824" t="s">
        <v>68</v>
      </c>
      <c r="F3824" t="s">
        <v>25</v>
      </c>
      <c r="G3824" s="4">
        <v>18</v>
      </c>
      <c r="H3824" s="4" t="s">
        <v>76</v>
      </c>
      <c r="I3824" s="4" t="s">
        <v>69</v>
      </c>
      <c r="J3824" s="4" t="s">
        <v>66</v>
      </c>
      <c r="K3824" s="4">
        <v>0</v>
      </c>
      <c r="L3824" s="94">
        <v>198776</v>
      </c>
      <c r="M3824" s="94">
        <v>3577968</v>
      </c>
    </row>
    <row r="3825" spans="3:13" x14ac:dyDescent="0.3">
      <c r="C3825" t="s">
        <v>61</v>
      </c>
      <c r="D3825" t="s">
        <v>62</v>
      </c>
      <c r="E3825" t="s">
        <v>63</v>
      </c>
      <c r="F3825" t="s">
        <v>24</v>
      </c>
      <c r="G3825" s="4">
        <v>45</v>
      </c>
      <c r="I3825" s="4" t="s">
        <v>69</v>
      </c>
      <c r="J3825" s="4" t="s">
        <v>66</v>
      </c>
      <c r="K3825" s="4">
        <v>0</v>
      </c>
      <c r="L3825" s="94">
        <v>-1812</v>
      </c>
      <c r="M3825" s="94">
        <v>0</v>
      </c>
    </row>
    <row r="3826" spans="3:13" x14ac:dyDescent="0.3">
      <c r="C3826" t="s">
        <v>61</v>
      </c>
      <c r="D3826" t="s">
        <v>67</v>
      </c>
      <c r="E3826" t="s">
        <v>68</v>
      </c>
      <c r="F3826" t="s">
        <v>72</v>
      </c>
      <c r="G3826" s="4">
        <v>3</v>
      </c>
      <c r="H3826" s="4" t="s">
        <v>18</v>
      </c>
      <c r="I3826" s="4" t="s">
        <v>69</v>
      </c>
      <c r="J3826" s="4" t="s">
        <v>73</v>
      </c>
      <c r="K3826" s="4">
        <v>1</v>
      </c>
      <c r="L3826" s="94">
        <v>1209017</v>
      </c>
      <c r="M3826" s="94">
        <v>3627051</v>
      </c>
    </row>
    <row r="3827" spans="3:13" x14ac:dyDescent="0.3">
      <c r="C3827" t="s">
        <v>70</v>
      </c>
      <c r="D3827" t="s">
        <v>67</v>
      </c>
      <c r="E3827" t="s">
        <v>68</v>
      </c>
      <c r="F3827" t="s">
        <v>72</v>
      </c>
      <c r="G3827" s="4">
        <v>-1</v>
      </c>
      <c r="H3827" s="4" t="s">
        <v>12</v>
      </c>
      <c r="I3827" s="4" t="s">
        <v>69</v>
      </c>
      <c r="J3827" s="4" t="s">
        <v>73</v>
      </c>
      <c r="K3827" s="4">
        <v>1</v>
      </c>
      <c r="L3827" s="94">
        <v>1050864</v>
      </c>
      <c r="M3827" s="94">
        <v>0</v>
      </c>
    </row>
    <row r="3828" spans="3:13" x14ac:dyDescent="0.3">
      <c r="C3828" t="s">
        <v>61</v>
      </c>
      <c r="D3828" t="s">
        <v>62</v>
      </c>
      <c r="E3828" t="s">
        <v>68</v>
      </c>
      <c r="F3828" t="s">
        <v>25</v>
      </c>
      <c r="G3828" s="4">
        <v>-1</v>
      </c>
      <c r="I3828" s="4" t="s">
        <v>69</v>
      </c>
      <c r="J3828" s="4" t="s">
        <v>66</v>
      </c>
      <c r="K3828" s="4">
        <v>0</v>
      </c>
      <c r="L3828" s="94">
        <v>8233018</v>
      </c>
      <c r="M3828" s="94">
        <v>0</v>
      </c>
    </row>
    <row r="3829" spans="3:13" x14ac:dyDescent="0.3">
      <c r="C3829" t="s">
        <v>71</v>
      </c>
      <c r="D3829" t="s">
        <v>67</v>
      </c>
      <c r="E3829" t="s">
        <v>63</v>
      </c>
      <c r="F3829" t="s">
        <v>72</v>
      </c>
      <c r="G3829" s="4">
        <v>1</v>
      </c>
      <c r="H3829" s="4" t="s">
        <v>74</v>
      </c>
      <c r="I3829" s="4" t="s">
        <v>69</v>
      </c>
      <c r="J3829" s="4" t="s">
        <v>66</v>
      </c>
      <c r="K3829" s="4">
        <v>0</v>
      </c>
      <c r="L3829" s="94">
        <v>-38837</v>
      </c>
      <c r="M3829" s="94">
        <v>0</v>
      </c>
    </row>
    <row r="3830" spans="3:13" x14ac:dyDescent="0.3">
      <c r="C3830" t="s">
        <v>70</v>
      </c>
      <c r="D3830" t="s">
        <v>67</v>
      </c>
      <c r="E3830" t="s">
        <v>63</v>
      </c>
      <c r="F3830" t="s">
        <v>25</v>
      </c>
      <c r="G3830" s="4">
        <v>9</v>
      </c>
      <c r="H3830" s="4" t="s">
        <v>16</v>
      </c>
      <c r="I3830" s="4" t="s">
        <v>69</v>
      </c>
      <c r="J3830" s="4" t="s">
        <v>66</v>
      </c>
      <c r="K3830" s="4">
        <v>0</v>
      </c>
      <c r="L3830" s="94">
        <v>-12797</v>
      </c>
      <c r="M3830" s="94">
        <v>0</v>
      </c>
    </row>
    <row r="3831" spans="3:13" x14ac:dyDescent="0.3">
      <c r="C3831" t="s">
        <v>70</v>
      </c>
      <c r="D3831" t="s">
        <v>67</v>
      </c>
      <c r="E3831" t="s">
        <v>68</v>
      </c>
      <c r="F3831" t="s">
        <v>26</v>
      </c>
      <c r="G3831" s="4">
        <v>0</v>
      </c>
      <c r="H3831" s="4" t="s">
        <v>78</v>
      </c>
      <c r="I3831" s="4" t="s">
        <v>69</v>
      </c>
      <c r="J3831" s="4" t="s">
        <v>66</v>
      </c>
      <c r="K3831" s="4">
        <v>0</v>
      </c>
      <c r="L3831" s="94">
        <v>25236</v>
      </c>
      <c r="M3831" s="94">
        <v>0</v>
      </c>
    </row>
    <row r="3832" spans="3:13" x14ac:dyDescent="0.3">
      <c r="C3832" t="s">
        <v>70</v>
      </c>
      <c r="D3832" t="s">
        <v>62</v>
      </c>
      <c r="E3832" t="s">
        <v>63</v>
      </c>
      <c r="F3832" t="s">
        <v>25</v>
      </c>
      <c r="G3832" s="4">
        <v>17</v>
      </c>
      <c r="I3832" s="4" t="s">
        <v>69</v>
      </c>
      <c r="J3832" s="4" t="s">
        <v>66</v>
      </c>
      <c r="K3832" s="4">
        <v>0</v>
      </c>
      <c r="L3832" s="94">
        <v>-78827</v>
      </c>
      <c r="M3832" s="94">
        <v>0</v>
      </c>
    </row>
    <row r="3833" spans="3:13" x14ac:dyDescent="0.3">
      <c r="C3833" t="s">
        <v>71</v>
      </c>
      <c r="D3833" t="s">
        <v>67</v>
      </c>
      <c r="E3833" t="s">
        <v>68</v>
      </c>
      <c r="F3833" t="s">
        <v>26</v>
      </c>
      <c r="G3833" s="4">
        <v>6</v>
      </c>
      <c r="H3833" s="4" t="s">
        <v>18</v>
      </c>
      <c r="I3833" s="4" t="s">
        <v>69</v>
      </c>
      <c r="J3833" s="4" t="s">
        <v>73</v>
      </c>
      <c r="K3833" s="4">
        <v>1</v>
      </c>
      <c r="L3833" s="94">
        <v>81717</v>
      </c>
      <c r="M3833" s="94">
        <v>490302</v>
      </c>
    </row>
    <row r="3834" spans="3:13" x14ac:dyDescent="0.3">
      <c r="C3834" t="s">
        <v>70</v>
      </c>
      <c r="D3834" t="s">
        <v>67</v>
      </c>
      <c r="E3834" t="s">
        <v>68</v>
      </c>
      <c r="F3834" t="s">
        <v>25</v>
      </c>
      <c r="G3834" s="4">
        <v>12</v>
      </c>
      <c r="H3834" s="4" t="s">
        <v>14</v>
      </c>
      <c r="I3834" s="4" t="s">
        <v>69</v>
      </c>
      <c r="J3834" s="4" t="s">
        <v>66</v>
      </c>
      <c r="K3834" s="4">
        <v>1</v>
      </c>
      <c r="L3834" s="94">
        <v>1214861</v>
      </c>
      <c r="M3834" s="94">
        <v>14578332</v>
      </c>
    </row>
    <row r="3835" spans="3:13" x14ac:dyDescent="0.3">
      <c r="C3835" t="s">
        <v>70</v>
      </c>
      <c r="D3835" t="s">
        <v>67</v>
      </c>
      <c r="E3835" t="s">
        <v>68</v>
      </c>
      <c r="F3835" t="s">
        <v>72</v>
      </c>
      <c r="G3835" s="4">
        <v>3</v>
      </c>
      <c r="H3835" s="4" t="s">
        <v>78</v>
      </c>
      <c r="I3835" s="4" t="s">
        <v>69</v>
      </c>
      <c r="J3835" s="4" t="s">
        <v>66</v>
      </c>
      <c r="K3835" s="4">
        <v>0</v>
      </c>
      <c r="L3835" s="94">
        <v>30248</v>
      </c>
      <c r="M3835" s="94">
        <v>90744</v>
      </c>
    </row>
    <row r="3836" spans="3:13" x14ac:dyDescent="0.3">
      <c r="C3836" t="s">
        <v>61</v>
      </c>
      <c r="D3836" t="s">
        <v>67</v>
      </c>
      <c r="E3836" t="s">
        <v>68</v>
      </c>
      <c r="F3836" t="s">
        <v>26</v>
      </c>
      <c r="G3836" s="4">
        <v>2</v>
      </c>
      <c r="H3836" s="4" t="s">
        <v>18</v>
      </c>
      <c r="I3836" s="4" t="s">
        <v>65</v>
      </c>
      <c r="J3836" s="4" t="s">
        <v>66</v>
      </c>
      <c r="K3836" s="4">
        <v>1</v>
      </c>
      <c r="L3836" s="94">
        <v>532794</v>
      </c>
      <c r="M3836" s="94">
        <v>1065588</v>
      </c>
    </row>
    <row r="3837" spans="3:13" x14ac:dyDescent="0.3">
      <c r="C3837" t="s">
        <v>71</v>
      </c>
      <c r="D3837" t="s">
        <v>62</v>
      </c>
      <c r="E3837" t="s">
        <v>63</v>
      </c>
      <c r="F3837" t="s">
        <v>25</v>
      </c>
      <c r="G3837" s="4">
        <v>25</v>
      </c>
      <c r="I3837" s="4" t="s">
        <v>69</v>
      </c>
      <c r="J3837" s="4" t="s">
        <v>66</v>
      </c>
      <c r="K3837" s="4">
        <v>0</v>
      </c>
      <c r="L3837" s="94">
        <v>-12071</v>
      </c>
      <c r="M3837" s="94">
        <v>0</v>
      </c>
    </row>
    <row r="3838" spans="3:13" x14ac:dyDescent="0.3">
      <c r="C3838" t="s">
        <v>70</v>
      </c>
      <c r="D3838" t="s">
        <v>67</v>
      </c>
      <c r="E3838" t="s">
        <v>63</v>
      </c>
      <c r="F3838" t="s">
        <v>26</v>
      </c>
      <c r="G3838" s="4">
        <v>9</v>
      </c>
      <c r="H3838" s="4" t="s">
        <v>17</v>
      </c>
      <c r="I3838" s="4" t="s">
        <v>69</v>
      </c>
      <c r="J3838" s="4" t="s">
        <v>66</v>
      </c>
      <c r="K3838" s="4">
        <v>0</v>
      </c>
      <c r="L3838" s="94">
        <v>-1786</v>
      </c>
      <c r="M3838" s="94">
        <v>0</v>
      </c>
    </row>
    <row r="3839" spans="3:13" x14ac:dyDescent="0.3">
      <c r="C3839" t="s">
        <v>61</v>
      </c>
      <c r="D3839" t="s">
        <v>67</v>
      </c>
      <c r="E3839" t="s">
        <v>63</v>
      </c>
      <c r="F3839" t="s">
        <v>25</v>
      </c>
      <c r="G3839" s="4">
        <v>7</v>
      </c>
      <c r="H3839" s="4" t="s">
        <v>12</v>
      </c>
      <c r="I3839" s="4" t="s">
        <v>69</v>
      </c>
      <c r="J3839" s="4" t="s">
        <v>66</v>
      </c>
      <c r="K3839" s="4">
        <v>0</v>
      </c>
      <c r="L3839" s="94">
        <v>-1024</v>
      </c>
      <c r="M3839" s="94">
        <v>0</v>
      </c>
    </row>
    <row r="3840" spans="3:13" x14ac:dyDescent="0.3">
      <c r="C3840" t="s">
        <v>70</v>
      </c>
      <c r="D3840" t="s">
        <v>67</v>
      </c>
      <c r="E3840" t="s">
        <v>63</v>
      </c>
      <c r="F3840" t="s">
        <v>25</v>
      </c>
      <c r="G3840" s="4">
        <v>12</v>
      </c>
      <c r="H3840" s="4" t="s">
        <v>14</v>
      </c>
      <c r="I3840" s="4" t="s">
        <v>69</v>
      </c>
      <c r="J3840" s="4" t="s">
        <v>66</v>
      </c>
      <c r="K3840" s="4">
        <v>1</v>
      </c>
      <c r="L3840" s="94">
        <v>-60371</v>
      </c>
      <c r="M3840" s="94">
        <v>0</v>
      </c>
    </row>
    <row r="3841" spans="3:13" x14ac:dyDescent="0.3">
      <c r="C3841" t="s">
        <v>70</v>
      </c>
      <c r="D3841" t="s">
        <v>67</v>
      </c>
      <c r="E3841" t="s">
        <v>63</v>
      </c>
      <c r="F3841" t="s">
        <v>26</v>
      </c>
      <c r="G3841" s="4">
        <v>4</v>
      </c>
      <c r="H3841" s="4" t="s">
        <v>14</v>
      </c>
      <c r="I3841" s="4" t="s">
        <v>69</v>
      </c>
      <c r="J3841" s="4" t="s">
        <v>66</v>
      </c>
      <c r="K3841" s="4">
        <v>0</v>
      </c>
      <c r="L3841" s="94">
        <v>-367209</v>
      </c>
      <c r="M3841" s="94">
        <v>0</v>
      </c>
    </row>
    <row r="3842" spans="3:13" x14ac:dyDescent="0.3">
      <c r="C3842" t="s">
        <v>61</v>
      </c>
      <c r="D3842" t="s">
        <v>62</v>
      </c>
      <c r="E3842" t="s">
        <v>68</v>
      </c>
      <c r="F3842" t="s">
        <v>24</v>
      </c>
      <c r="G3842" s="4">
        <v>37</v>
      </c>
      <c r="I3842" s="4" t="s">
        <v>69</v>
      </c>
      <c r="J3842" s="4" t="s">
        <v>66</v>
      </c>
      <c r="K3842" s="4">
        <v>1</v>
      </c>
      <c r="L3842" s="94">
        <v>1081106</v>
      </c>
      <c r="M3842" s="94">
        <v>40000922</v>
      </c>
    </row>
    <row r="3843" spans="3:13" x14ac:dyDescent="0.3">
      <c r="C3843" t="s">
        <v>61</v>
      </c>
      <c r="D3843" t="s">
        <v>67</v>
      </c>
      <c r="E3843" t="s">
        <v>68</v>
      </c>
      <c r="F3843" t="s">
        <v>25</v>
      </c>
      <c r="G3843" s="4">
        <v>9</v>
      </c>
      <c r="H3843" s="4" t="s">
        <v>80</v>
      </c>
      <c r="I3843" s="4" t="s">
        <v>69</v>
      </c>
      <c r="J3843" s="4" t="s">
        <v>66</v>
      </c>
      <c r="K3843" s="4">
        <v>0</v>
      </c>
      <c r="L3843" s="94">
        <v>253712</v>
      </c>
      <c r="M3843" s="94">
        <v>2283408</v>
      </c>
    </row>
    <row r="3844" spans="3:13" x14ac:dyDescent="0.3">
      <c r="C3844" t="s">
        <v>61</v>
      </c>
      <c r="D3844" t="s">
        <v>67</v>
      </c>
      <c r="E3844" t="s">
        <v>68</v>
      </c>
      <c r="F3844" t="s">
        <v>26</v>
      </c>
      <c r="G3844" s="4">
        <v>9</v>
      </c>
      <c r="H3844" s="4" t="s">
        <v>15</v>
      </c>
      <c r="I3844" s="4" t="s">
        <v>69</v>
      </c>
      <c r="J3844" s="4" t="s">
        <v>73</v>
      </c>
      <c r="K3844" s="4">
        <v>1</v>
      </c>
      <c r="L3844" s="94">
        <v>26999430</v>
      </c>
      <c r="M3844" s="94">
        <v>242994870</v>
      </c>
    </row>
    <row r="3845" spans="3:13" x14ac:dyDescent="0.3">
      <c r="C3845" t="s">
        <v>71</v>
      </c>
      <c r="D3845" t="s">
        <v>67</v>
      </c>
      <c r="E3845" t="s">
        <v>68</v>
      </c>
      <c r="F3845" t="s">
        <v>26</v>
      </c>
      <c r="G3845" s="4">
        <v>-4</v>
      </c>
      <c r="H3845" s="4" t="s">
        <v>64</v>
      </c>
      <c r="I3845" s="4" t="s">
        <v>69</v>
      </c>
      <c r="J3845" s="4" t="s">
        <v>66</v>
      </c>
      <c r="K3845" s="4">
        <v>0</v>
      </c>
      <c r="L3845" s="94">
        <v>723518</v>
      </c>
      <c r="M3845" s="94">
        <v>0</v>
      </c>
    </row>
    <row r="3846" spans="3:13" x14ac:dyDescent="0.3">
      <c r="C3846" t="s">
        <v>70</v>
      </c>
      <c r="D3846" t="s">
        <v>67</v>
      </c>
      <c r="E3846" t="s">
        <v>68</v>
      </c>
      <c r="F3846" t="s">
        <v>25</v>
      </c>
      <c r="G3846" s="4">
        <v>3</v>
      </c>
      <c r="H3846" s="4" t="s">
        <v>18</v>
      </c>
      <c r="I3846" s="4" t="s">
        <v>69</v>
      </c>
      <c r="J3846" s="4" t="s">
        <v>66</v>
      </c>
      <c r="K3846" s="4">
        <v>0</v>
      </c>
      <c r="L3846" s="94">
        <v>466782</v>
      </c>
      <c r="M3846" s="94">
        <v>1400346</v>
      </c>
    </row>
    <row r="3847" spans="3:13" x14ac:dyDescent="0.3">
      <c r="C3847" t="s">
        <v>61</v>
      </c>
      <c r="D3847" t="s">
        <v>67</v>
      </c>
      <c r="E3847" t="s">
        <v>68</v>
      </c>
      <c r="F3847" t="s">
        <v>25</v>
      </c>
      <c r="G3847" s="4">
        <v>0</v>
      </c>
      <c r="H3847" s="4" t="s">
        <v>76</v>
      </c>
      <c r="I3847" s="4" t="s">
        <v>69</v>
      </c>
      <c r="J3847" s="4" t="s">
        <v>66</v>
      </c>
      <c r="K3847" s="4">
        <v>0</v>
      </c>
      <c r="L3847" s="94">
        <v>552762</v>
      </c>
      <c r="M3847" s="94">
        <v>0</v>
      </c>
    </row>
    <row r="3848" spans="3:13" x14ac:dyDescent="0.3">
      <c r="C3848" t="s">
        <v>70</v>
      </c>
      <c r="D3848" t="s">
        <v>67</v>
      </c>
      <c r="E3848" t="s">
        <v>63</v>
      </c>
      <c r="F3848" t="s">
        <v>25</v>
      </c>
      <c r="G3848" s="4">
        <v>5</v>
      </c>
      <c r="H3848" s="4" t="s">
        <v>80</v>
      </c>
      <c r="I3848" s="4" t="s">
        <v>69</v>
      </c>
      <c r="J3848" s="4" t="s">
        <v>66</v>
      </c>
      <c r="K3848" s="4">
        <v>0</v>
      </c>
      <c r="L3848" s="94">
        <v>-103</v>
      </c>
      <c r="M3848" s="94">
        <v>0</v>
      </c>
    </row>
    <row r="3849" spans="3:13" x14ac:dyDescent="0.3">
      <c r="C3849" t="s">
        <v>61</v>
      </c>
      <c r="D3849" t="s">
        <v>67</v>
      </c>
      <c r="E3849" t="s">
        <v>68</v>
      </c>
      <c r="F3849" t="s">
        <v>72</v>
      </c>
      <c r="G3849" s="4">
        <v>-1</v>
      </c>
      <c r="I3849" s="4" t="s">
        <v>69</v>
      </c>
      <c r="J3849" s="4" t="s">
        <v>66</v>
      </c>
      <c r="K3849" s="4">
        <v>0</v>
      </c>
      <c r="L3849" s="94">
        <v>0</v>
      </c>
      <c r="M3849" s="94">
        <v>0</v>
      </c>
    </row>
    <row r="3850" spans="3:13" x14ac:dyDescent="0.3">
      <c r="C3850" t="s">
        <v>61</v>
      </c>
      <c r="D3850" t="s">
        <v>67</v>
      </c>
      <c r="E3850" t="s">
        <v>68</v>
      </c>
      <c r="F3850" t="s">
        <v>72</v>
      </c>
      <c r="G3850" s="4">
        <v>2</v>
      </c>
      <c r="H3850" s="4" t="s">
        <v>17</v>
      </c>
      <c r="I3850" s="4" t="s">
        <v>69</v>
      </c>
      <c r="J3850" s="4" t="s">
        <v>66</v>
      </c>
      <c r="K3850" s="4">
        <v>0</v>
      </c>
      <c r="L3850" s="94">
        <v>6636246</v>
      </c>
      <c r="M3850" s="94">
        <v>13272492</v>
      </c>
    </row>
    <row r="3851" spans="3:13" x14ac:dyDescent="0.3">
      <c r="C3851" t="s">
        <v>70</v>
      </c>
      <c r="D3851" t="s">
        <v>67</v>
      </c>
      <c r="E3851" t="s">
        <v>63</v>
      </c>
      <c r="F3851" t="s">
        <v>25</v>
      </c>
      <c r="G3851" s="4">
        <v>3</v>
      </c>
      <c r="H3851" s="4" t="s">
        <v>82</v>
      </c>
      <c r="I3851" s="4" t="s">
        <v>69</v>
      </c>
      <c r="J3851" s="4" t="s">
        <v>66</v>
      </c>
      <c r="K3851" s="4">
        <v>0</v>
      </c>
      <c r="L3851" s="94">
        <v>-724</v>
      </c>
      <c r="M3851" s="94">
        <v>0</v>
      </c>
    </row>
    <row r="3852" spans="3:13" x14ac:dyDescent="0.3">
      <c r="C3852" t="s">
        <v>70</v>
      </c>
      <c r="D3852" t="s">
        <v>67</v>
      </c>
      <c r="E3852" t="s">
        <v>68</v>
      </c>
      <c r="F3852" t="s">
        <v>25</v>
      </c>
      <c r="G3852" s="4">
        <v>7</v>
      </c>
      <c r="H3852" s="4" t="s">
        <v>14</v>
      </c>
      <c r="I3852" s="4" t="s">
        <v>69</v>
      </c>
      <c r="J3852" s="4" t="s">
        <v>66</v>
      </c>
      <c r="K3852" s="4">
        <v>0</v>
      </c>
      <c r="L3852" s="94">
        <v>1329951</v>
      </c>
      <c r="M3852" s="94">
        <v>9309657</v>
      </c>
    </row>
    <row r="3853" spans="3:13" x14ac:dyDescent="0.3">
      <c r="C3853" t="s">
        <v>61</v>
      </c>
      <c r="D3853" t="s">
        <v>67</v>
      </c>
      <c r="E3853" t="s">
        <v>68</v>
      </c>
      <c r="F3853" t="s">
        <v>25</v>
      </c>
      <c r="G3853" s="4">
        <v>7</v>
      </c>
      <c r="H3853" s="4" t="s">
        <v>18</v>
      </c>
      <c r="I3853" s="4" t="s">
        <v>69</v>
      </c>
      <c r="J3853" s="4" t="s">
        <v>66</v>
      </c>
      <c r="K3853" s="4">
        <v>1</v>
      </c>
      <c r="L3853" s="94">
        <v>529289</v>
      </c>
      <c r="M3853" s="94">
        <v>3705023</v>
      </c>
    </row>
    <row r="3854" spans="3:13" x14ac:dyDescent="0.3">
      <c r="C3854" t="s">
        <v>70</v>
      </c>
      <c r="D3854" t="s">
        <v>62</v>
      </c>
      <c r="E3854" t="s">
        <v>68</v>
      </c>
      <c r="F3854" t="s">
        <v>24</v>
      </c>
      <c r="G3854" s="4">
        <v>11</v>
      </c>
      <c r="I3854" s="4" t="s">
        <v>65</v>
      </c>
      <c r="J3854" s="4" t="s">
        <v>66</v>
      </c>
      <c r="K3854" s="4">
        <v>1</v>
      </c>
      <c r="L3854" s="94">
        <v>110079</v>
      </c>
      <c r="M3854" s="94">
        <v>1210869</v>
      </c>
    </row>
    <row r="3855" spans="3:13" x14ac:dyDescent="0.3">
      <c r="C3855" t="s">
        <v>61</v>
      </c>
      <c r="D3855" t="s">
        <v>67</v>
      </c>
      <c r="E3855" t="s">
        <v>63</v>
      </c>
      <c r="F3855" t="s">
        <v>25</v>
      </c>
      <c r="G3855" s="4">
        <v>14</v>
      </c>
      <c r="H3855" s="4" t="s">
        <v>16</v>
      </c>
      <c r="I3855" s="4" t="s">
        <v>69</v>
      </c>
      <c r="J3855" s="4" t="s">
        <v>66</v>
      </c>
      <c r="K3855" s="4">
        <v>0</v>
      </c>
      <c r="L3855" s="94">
        <v>-918</v>
      </c>
      <c r="M3855" s="94">
        <v>0</v>
      </c>
    </row>
    <row r="3856" spans="3:13" x14ac:dyDescent="0.3">
      <c r="C3856" t="s">
        <v>61</v>
      </c>
      <c r="D3856" t="s">
        <v>67</v>
      </c>
      <c r="E3856" t="s">
        <v>63</v>
      </c>
      <c r="F3856" t="s">
        <v>25</v>
      </c>
      <c r="G3856" s="4">
        <v>6</v>
      </c>
      <c r="H3856" s="4" t="s">
        <v>17</v>
      </c>
      <c r="I3856" s="4" t="s">
        <v>69</v>
      </c>
      <c r="J3856" s="4" t="s">
        <v>66</v>
      </c>
      <c r="K3856" s="4">
        <v>1</v>
      </c>
      <c r="L3856" s="94">
        <v>-350</v>
      </c>
      <c r="M3856" s="94">
        <v>0</v>
      </c>
    </row>
    <row r="3857" spans="3:13" x14ac:dyDescent="0.3">
      <c r="C3857" t="s">
        <v>70</v>
      </c>
      <c r="D3857" t="s">
        <v>67</v>
      </c>
      <c r="E3857" t="s">
        <v>68</v>
      </c>
      <c r="F3857" t="s">
        <v>25</v>
      </c>
      <c r="G3857" s="4">
        <v>6</v>
      </c>
      <c r="H3857" s="4" t="s">
        <v>14</v>
      </c>
      <c r="I3857" s="4" t="s">
        <v>69</v>
      </c>
      <c r="J3857" s="4" t="s">
        <v>66</v>
      </c>
      <c r="K3857" s="4">
        <v>0</v>
      </c>
      <c r="L3857" s="94">
        <v>2036025</v>
      </c>
      <c r="M3857" s="94">
        <v>12216150</v>
      </c>
    </row>
    <row r="3858" spans="3:13" x14ac:dyDescent="0.3">
      <c r="C3858" t="s">
        <v>70</v>
      </c>
      <c r="D3858" t="s">
        <v>67</v>
      </c>
      <c r="E3858" t="s">
        <v>68</v>
      </c>
      <c r="F3858" t="s">
        <v>72</v>
      </c>
      <c r="G3858" s="4">
        <v>-4</v>
      </c>
      <c r="H3858" s="4" t="s">
        <v>17</v>
      </c>
      <c r="I3858" s="4" t="s">
        <v>69</v>
      </c>
      <c r="J3858" s="4" t="s">
        <v>66</v>
      </c>
      <c r="K3858" s="4">
        <v>0</v>
      </c>
      <c r="L3858" s="94">
        <v>21569</v>
      </c>
      <c r="M3858" s="94">
        <v>0</v>
      </c>
    </row>
    <row r="3859" spans="3:13" x14ac:dyDescent="0.3">
      <c r="C3859" t="s">
        <v>71</v>
      </c>
      <c r="D3859" t="s">
        <v>67</v>
      </c>
      <c r="E3859" t="s">
        <v>63</v>
      </c>
      <c r="F3859" t="s">
        <v>26</v>
      </c>
      <c r="G3859" s="4">
        <v>1</v>
      </c>
      <c r="H3859" s="4" t="s">
        <v>82</v>
      </c>
      <c r="I3859" s="4" t="s">
        <v>69</v>
      </c>
      <c r="J3859" s="4" t="s">
        <v>73</v>
      </c>
      <c r="K3859" s="4">
        <v>1</v>
      </c>
      <c r="L3859" s="94">
        <v>-13802</v>
      </c>
      <c r="M3859" s="94">
        <v>0</v>
      </c>
    </row>
    <row r="3860" spans="3:13" x14ac:dyDescent="0.3">
      <c r="C3860" t="s">
        <v>70</v>
      </c>
      <c r="D3860" t="s">
        <v>67</v>
      </c>
      <c r="E3860" t="s">
        <v>63</v>
      </c>
      <c r="F3860" t="s">
        <v>26</v>
      </c>
      <c r="G3860" s="4">
        <v>2</v>
      </c>
      <c r="H3860" s="4" t="s">
        <v>75</v>
      </c>
      <c r="I3860" s="4" t="s">
        <v>69</v>
      </c>
      <c r="J3860" s="4" t="s">
        <v>66</v>
      </c>
      <c r="K3860" s="4">
        <v>0</v>
      </c>
      <c r="L3860" s="94">
        <v>-173731</v>
      </c>
      <c r="M3860" s="94">
        <v>0</v>
      </c>
    </row>
    <row r="3861" spans="3:13" x14ac:dyDescent="0.3">
      <c r="C3861" t="s">
        <v>61</v>
      </c>
      <c r="D3861" t="s">
        <v>67</v>
      </c>
      <c r="E3861" t="s">
        <v>68</v>
      </c>
      <c r="F3861" t="s">
        <v>72</v>
      </c>
      <c r="G3861" s="4">
        <v>7</v>
      </c>
      <c r="H3861" s="4" t="s">
        <v>14</v>
      </c>
      <c r="I3861" s="4" t="s">
        <v>69</v>
      </c>
      <c r="J3861" s="4" t="s">
        <v>66</v>
      </c>
      <c r="K3861" s="4">
        <v>0</v>
      </c>
      <c r="L3861" s="94">
        <v>596201</v>
      </c>
      <c r="M3861" s="94">
        <v>4173407</v>
      </c>
    </row>
    <row r="3862" spans="3:13" x14ac:dyDescent="0.3">
      <c r="C3862" t="s">
        <v>71</v>
      </c>
      <c r="D3862" t="s">
        <v>62</v>
      </c>
      <c r="E3862" t="s">
        <v>68</v>
      </c>
      <c r="F3862" t="s">
        <v>24</v>
      </c>
      <c r="G3862" s="4">
        <v>28</v>
      </c>
      <c r="I3862" s="4" t="s">
        <v>69</v>
      </c>
      <c r="J3862" s="4" t="s">
        <v>66</v>
      </c>
      <c r="K3862" s="4">
        <v>0</v>
      </c>
      <c r="L3862" s="94">
        <v>10494643</v>
      </c>
      <c r="M3862" s="94">
        <v>293850004</v>
      </c>
    </row>
    <row r="3863" spans="3:13" x14ac:dyDescent="0.3">
      <c r="C3863" t="s">
        <v>61</v>
      </c>
      <c r="D3863" t="s">
        <v>67</v>
      </c>
      <c r="E3863" t="s">
        <v>63</v>
      </c>
      <c r="F3863" t="s">
        <v>26</v>
      </c>
      <c r="G3863" s="4">
        <v>6</v>
      </c>
      <c r="H3863" s="4" t="s">
        <v>17</v>
      </c>
      <c r="I3863" s="4" t="s">
        <v>69</v>
      </c>
      <c r="J3863" s="4" t="s">
        <v>66</v>
      </c>
      <c r="K3863" s="4">
        <v>0</v>
      </c>
      <c r="L3863" s="94">
        <v>-1013</v>
      </c>
      <c r="M3863" s="94">
        <v>0</v>
      </c>
    </row>
    <row r="3864" spans="3:13" x14ac:dyDescent="0.3">
      <c r="C3864" t="s">
        <v>70</v>
      </c>
      <c r="D3864" t="s">
        <v>67</v>
      </c>
      <c r="E3864" t="s">
        <v>63</v>
      </c>
      <c r="F3864" t="s">
        <v>26</v>
      </c>
      <c r="G3864" s="4">
        <v>-1</v>
      </c>
      <c r="H3864" s="4" t="s">
        <v>89</v>
      </c>
      <c r="I3864" s="4" t="s">
        <v>69</v>
      </c>
      <c r="J3864" s="4" t="s">
        <v>66</v>
      </c>
      <c r="K3864" s="4">
        <v>0</v>
      </c>
      <c r="L3864" s="94">
        <v>-4</v>
      </c>
      <c r="M3864" s="94">
        <v>0</v>
      </c>
    </row>
    <row r="3865" spans="3:13" x14ac:dyDescent="0.3">
      <c r="C3865" t="s">
        <v>70</v>
      </c>
      <c r="D3865" t="s">
        <v>67</v>
      </c>
      <c r="E3865" t="s">
        <v>63</v>
      </c>
      <c r="F3865" t="s">
        <v>25</v>
      </c>
      <c r="G3865" s="4">
        <v>-4</v>
      </c>
      <c r="H3865" s="4" t="s">
        <v>17</v>
      </c>
      <c r="I3865" s="4" t="s">
        <v>69</v>
      </c>
      <c r="J3865" s="4" t="s">
        <v>66</v>
      </c>
      <c r="K3865" s="4">
        <v>1</v>
      </c>
      <c r="L3865" s="94">
        <v>-6</v>
      </c>
      <c r="M3865" s="94">
        <v>0</v>
      </c>
    </row>
    <row r="3866" spans="3:13" x14ac:dyDescent="0.3">
      <c r="C3866" t="s">
        <v>61</v>
      </c>
      <c r="D3866" t="s">
        <v>84</v>
      </c>
      <c r="E3866" t="s">
        <v>68</v>
      </c>
      <c r="F3866" t="s">
        <v>25</v>
      </c>
      <c r="G3866" s="4">
        <v>7</v>
      </c>
      <c r="H3866" s="4" t="s">
        <v>76</v>
      </c>
      <c r="I3866" s="4" t="s">
        <v>69</v>
      </c>
      <c r="J3866" s="4" t="s">
        <v>66</v>
      </c>
      <c r="K3866" s="4">
        <v>0</v>
      </c>
      <c r="L3866" s="94">
        <v>2480464</v>
      </c>
      <c r="M3866" s="94">
        <v>17363248</v>
      </c>
    </row>
    <row r="3867" spans="3:13" x14ac:dyDescent="0.3">
      <c r="C3867" t="s">
        <v>61</v>
      </c>
      <c r="D3867" t="s">
        <v>67</v>
      </c>
      <c r="E3867" t="s">
        <v>63</v>
      </c>
      <c r="F3867" t="s">
        <v>26</v>
      </c>
      <c r="G3867" s="4">
        <v>-1</v>
      </c>
      <c r="H3867" s="4" t="s">
        <v>18</v>
      </c>
      <c r="I3867" s="4" t="s">
        <v>65</v>
      </c>
      <c r="J3867" s="4" t="s">
        <v>66</v>
      </c>
      <c r="K3867" s="4">
        <v>1</v>
      </c>
      <c r="L3867" s="94">
        <v>-1479</v>
      </c>
      <c r="M3867" s="94">
        <v>0</v>
      </c>
    </row>
    <row r="3868" spans="3:13" x14ac:dyDescent="0.3">
      <c r="C3868" t="s">
        <v>61</v>
      </c>
      <c r="D3868" t="s">
        <v>67</v>
      </c>
      <c r="E3868" t="s">
        <v>63</v>
      </c>
      <c r="F3868" t="s">
        <v>25</v>
      </c>
      <c r="G3868" s="4">
        <v>13</v>
      </c>
      <c r="H3868" s="4" t="s">
        <v>76</v>
      </c>
      <c r="I3868" s="4" t="s">
        <v>69</v>
      </c>
      <c r="J3868" s="4" t="s">
        <v>66</v>
      </c>
      <c r="K3868" s="4">
        <v>0</v>
      </c>
      <c r="L3868" s="94">
        <v>-11981</v>
      </c>
      <c r="M3868" s="94">
        <v>0</v>
      </c>
    </row>
    <row r="3869" spans="3:13" x14ac:dyDescent="0.3">
      <c r="C3869" t="s">
        <v>61</v>
      </c>
      <c r="D3869" t="s">
        <v>67</v>
      </c>
      <c r="E3869" t="s">
        <v>68</v>
      </c>
      <c r="F3869" t="s">
        <v>25</v>
      </c>
      <c r="G3869" s="4">
        <v>2</v>
      </c>
      <c r="H3869" s="4" t="s">
        <v>18</v>
      </c>
      <c r="I3869" s="4" t="s">
        <v>65</v>
      </c>
      <c r="J3869" s="4" t="s">
        <v>66</v>
      </c>
      <c r="K3869" s="4">
        <v>1</v>
      </c>
      <c r="L3869" s="94">
        <v>36675</v>
      </c>
      <c r="M3869" s="94">
        <v>73350</v>
      </c>
    </row>
    <row r="3870" spans="3:13" x14ac:dyDescent="0.3">
      <c r="C3870" t="s">
        <v>61</v>
      </c>
      <c r="D3870" t="s">
        <v>67</v>
      </c>
      <c r="E3870" t="s">
        <v>63</v>
      </c>
      <c r="F3870" t="s">
        <v>25</v>
      </c>
      <c r="G3870" s="4">
        <v>5</v>
      </c>
      <c r="H3870" s="4" t="s">
        <v>75</v>
      </c>
      <c r="I3870" s="4" t="s">
        <v>69</v>
      </c>
      <c r="J3870" s="4" t="s">
        <v>66</v>
      </c>
      <c r="K3870" s="4">
        <v>0</v>
      </c>
      <c r="L3870" s="94">
        <v>-67044</v>
      </c>
      <c r="M3870" s="94">
        <v>0</v>
      </c>
    </row>
    <row r="3871" spans="3:13" x14ac:dyDescent="0.3">
      <c r="C3871" t="s">
        <v>61</v>
      </c>
      <c r="D3871" t="s">
        <v>67</v>
      </c>
      <c r="E3871" t="s">
        <v>63</v>
      </c>
      <c r="F3871" t="s">
        <v>25</v>
      </c>
      <c r="G3871" s="4">
        <v>1</v>
      </c>
      <c r="H3871" s="4" t="s">
        <v>82</v>
      </c>
      <c r="I3871" s="4" t="s">
        <v>69</v>
      </c>
      <c r="J3871" s="4" t="s">
        <v>66</v>
      </c>
      <c r="K3871" s="4">
        <v>1</v>
      </c>
      <c r="L3871" s="94">
        <v>-28</v>
      </c>
      <c r="M3871" s="94">
        <v>0</v>
      </c>
    </row>
    <row r="3872" spans="3:13" x14ac:dyDescent="0.3">
      <c r="C3872" t="s">
        <v>71</v>
      </c>
      <c r="D3872" t="s">
        <v>67</v>
      </c>
      <c r="E3872" t="s">
        <v>63</v>
      </c>
      <c r="F3872" t="s">
        <v>72</v>
      </c>
      <c r="G3872" s="4">
        <v>3</v>
      </c>
      <c r="H3872" s="4" t="s">
        <v>18</v>
      </c>
      <c r="I3872" s="4" t="s">
        <v>69</v>
      </c>
      <c r="J3872" s="4" t="s">
        <v>73</v>
      </c>
      <c r="K3872" s="4">
        <v>1</v>
      </c>
      <c r="L3872" s="94">
        <v>-33555</v>
      </c>
      <c r="M3872" s="94">
        <v>0</v>
      </c>
    </row>
    <row r="3873" spans="3:13" x14ac:dyDescent="0.3">
      <c r="C3873" t="s">
        <v>71</v>
      </c>
      <c r="D3873" t="s">
        <v>67</v>
      </c>
      <c r="E3873" t="s">
        <v>63</v>
      </c>
      <c r="F3873" t="s">
        <v>26</v>
      </c>
      <c r="G3873" s="4">
        <v>-4</v>
      </c>
      <c r="H3873" s="4" t="s">
        <v>17</v>
      </c>
      <c r="I3873" s="4" t="s">
        <v>65</v>
      </c>
      <c r="J3873" s="4" t="s">
        <v>66</v>
      </c>
      <c r="K3873" s="4">
        <v>1</v>
      </c>
      <c r="L3873" s="94">
        <v>-433</v>
      </c>
      <c r="M3873" s="94">
        <v>0</v>
      </c>
    </row>
    <row r="3874" spans="3:13" x14ac:dyDescent="0.3">
      <c r="C3874" t="s">
        <v>61</v>
      </c>
      <c r="D3874" t="s">
        <v>62</v>
      </c>
      <c r="E3874" t="s">
        <v>63</v>
      </c>
      <c r="F3874" t="s">
        <v>25</v>
      </c>
      <c r="G3874" s="4">
        <v>7</v>
      </c>
      <c r="I3874" s="4" t="s">
        <v>69</v>
      </c>
      <c r="J3874" s="4" t="s">
        <v>66</v>
      </c>
      <c r="K3874" s="4">
        <v>0</v>
      </c>
      <c r="L3874" s="94">
        <v>-9974</v>
      </c>
      <c r="M3874" s="94">
        <v>0</v>
      </c>
    </row>
    <row r="3875" spans="3:13" x14ac:dyDescent="0.3">
      <c r="C3875" t="s">
        <v>71</v>
      </c>
      <c r="D3875" t="s">
        <v>67</v>
      </c>
      <c r="E3875" t="s">
        <v>63</v>
      </c>
      <c r="F3875" t="s">
        <v>26</v>
      </c>
      <c r="G3875" s="4">
        <v>-1</v>
      </c>
      <c r="H3875" s="4" t="s">
        <v>13</v>
      </c>
      <c r="I3875" s="4" t="s">
        <v>69</v>
      </c>
      <c r="J3875" s="4" t="s">
        <v>73</v>
      </c>
      <c r="K3875" s="4">
        <v>1</v>
      </c>
      <c r="L3875" s="94">
        <v>-36630</v>
      </c>
      <c r="M3875" s="94">
        <v>0</v>
      </c>
    </row>
    <row r="3876" spans="3:13" x14ac:dyDescent="0.3">
      <c r="C3876" t="s">
        <v>70</v>
      </c>
      <c r="D3876" t="s">
        <v>67</v>
      </c>
      <c r="E3876" t="s">
        <v>68</v>
      </c>
      <c r="F3876" t="s">
        <v>26</v>
      </c>
      <c r="G3876" s="4">
        <v>-1</v>
      </c>
      <c r="H3876" s="4" t="s">
        <v>18</v>
      </c>
      <c r="I3876" s="4" t="s">
        <v>69</v>
      </c>
      <c r="J3876" s="4" t="s">
        <v>66</v>
      </c>
      <c r="K3876" s="4">
        <v>0</v>
      </c>
      <c r="L3876" s="94">
        <v>59814688</v>
      </c>
      <c r="M3876" s="94">
        <v>0</v>
      </c>
    </row>
    <row r="3877" spans="3:13" x14ac:dyDescent="0.3">
      <c r="C3877" t="s">
        <v>71</v>
      </c>
      <c r="D3877" t="s">
        <v>62</v>
      </c>
      <c r="E3877" t="s">
        <v>68</v>
      </c>
      <c r="F3877" t="s">
        <v>24</v>
      </c>
      <c r="G3877" s="4">
        <v>3</v>
      </c>
      <c r="I3877" s="4" t="s">
        <v>65</v>
      </c>
      <c r="J3877" s="4" t="s">
        <v>66</v>
      </c>
      <c r="K3877" s="4">
        <v>1</v>
      </c>
      <c r="L3877" s="94">
        <v>1115</v>
      </c>
      <c r="M3877" s="94">
        <v>3345</v>
      </c>
    </row>
    <row r="3878" spans="3:13" x14ac:dyDescent="0.3">
      <c r="C3878" t="s">
        <v>61</v>
      </c>
      <c r="D3878" t="s">
        <v>67</v>
      </c>
      <c r="E3878" t="s">
        <v>68</v>
      </c>
      <c r="F3878" t="s">
        <v>26</v>
      </c>
      <c r="G3878" s="4">
        <v>0</v>
      </c>
      <c r="H3878" s="4" t="s">
        <v>14</v>
      </c>
      <c r="I3878" s="4" t="s">
        <v>69</v>
      </c>
      <c r="J3878" s="4" t="s">
        <v>73</v>
      </c>
      <c r="K3878" s="4">
        <v>1</v>
      </c>
      <c r="L3878" s="94">
        <v>376235114</v>
      </c>
      <c r="M3878" s="94">
        <v>0</v>
      </c>
    </row>
    <row r="3879" spans="3:13" x14ac:dyDescent="0.3">
      <c r="C3879" t="s">
        <v>61</v>
      </c>
      <c r="D3879" t="s">
        <v>67</v>
      </c>
      <c r="E3879" t="s">
        <v>63</v>
      </c>
      <c r="F3879" t="s">
        <v>72</v>
      </c>
      <c r="G3879" s="4">
        <v>3</v>
      </c>
      <c r="H3879" s="4" t="s">
        <v>18</v>
      </c>
      <c r="I3879" s="4" t="s">
        <v>69</v>
      </c>
      <c r="J3879" s="4" t="s">
        <v>66</v>
      </c>
      <c r="K3879" s="4">
        <v>0</v>
      </c>
      <c r="L3879" s="94">
        <v>-25659</v>
      </c>
      <c r="M3879" s="94">
        <v>0</v>
      </c>
    </row>
    <row r="3880" spans="3:13" x14ac:dyDescent="0.3">
      <c r="C3880" t="s">
        <v>61</v>
      </c>
      <c r="D3880" t="s">
        <v>67</v>
      </c>
      <c r="E3880" t="s">
        <v>68</v>
      </c>
      <c r="F3880" t="s">
        <v>72</v>
      </c>
      <c r="G3880" s="4">
        <v>-1</v>
      </c>
      <c r="H3880" s="4" t="s">
        <v>82</v>
      </c>
      <c r="I3880" s="4" t="s">
        <v>69</v>
      </c>
      <c r="J3880" s="4" t="s">
        <v>66</v>
      </c>
      <c r="K3880" s="4">
        <v>0</v>
      </c>
      <c r="L3880" s="94">
        <v>267677</v>
      </c>
      <c r="M3880" s="94">
        <v>0</v>
      </c>
    </row>
    <row r="3881" spans="3:13" x14ac:dyDescent="0.3">
      <c r="C3881" t="s">
        <v>70</v>
      </c>
      <c r="D3881" t="s">
        <v>62</v>
      </c>
      <c r="E3881" t="s">
        <v>68</v>
      </c>
      <c r="F3881" t="s">
        <v>24</v>
      </c>
      <c r="G3881" s="4">
        <v>13</v>
      </c>
      <c r="I3881" s="4" t="s">
        <v>69</v>
      </c>
      <c r="J3881" s="4" t="s">
        <v>66</v>
      </c>
      <c r="K3881" s="4">
        <v>1</v>
      </c>
      <c r="L3881" s="94">
        <v>151186</v>
      </c>
      <c r="M3881" s="94">
        <v>1965418</v>
      </c>
    </row>
    <row r="3882" spans="3:13" x14ac:dyDescent="0.3">
      <c r="C3882" t="s">
        <v>61</v>
      </c>
      <c r="D3882" t="s">
        <v>67</v>
      </c>
      <c r="E3882" t="s">
        <v>68</v>
      </c>
      <c r="F3882" t="s">
        <v>26</v>
      </c>
      <c r="G3882" s="4">
        <v>0</v>
      </c>
      <c r="H3882" s="4" t="s">
        <v>15</v>
      </c>
      <c r="I3882" s="4" t="s">
        <v>65</v>
      </c>
      <c r="J3882" s="4" t="s">
        <v>66</v>
      </c>
      <c r="K3882" s="4">
        <v>1</v>
      </c>
      <c r="L3882" s="94">
        <v>33663</v>
      </c>
      <c r="M3882" s="94">
        <v>0</v>
      </c>
    </row>
    <row r="3883" spans="3:13" x14ac:dyDescent="0.3">
      <c r="C3883" t="s">
        <v>70</v>
      </c>
      <c r="D3883" t="s">
        <v>67</v>
      </c>
      <c r="E3883" t="s">
        <v>68</v>
      </c>
      <c r="F3883" t="s">
        <v>26</v>
      </c>
      <c r="G3883" s="4">
        <v>4</v>
      </c>
      <c r="H3883" s="4" t="s">
        <v>82</v>
      </c>
      <c r="I3883" s="4" t="s">
        <v>69</v>
      </c>
      <c r="J3883" s="4" t="s">
        <v>66</v>
      </c>
      <c r="K3883" s="4">
        <v>0</v>
      </c>
      <c r="L3883" s="94">
        <v>3051087</v>
      </c>
      <c r="M3883" s="94">
        <v>12204348</v>
      </c>
    </row>
    <row r="3884" spans="3:13" x14ac:dyDescent="0.3">
      <c r="C3884" t="s">
        <v>70</v>
      </c>
      <c r="D3884" t="s">
        <v>67</v>
      </c>
      <c r="E3884" t="s">
        <v>63</v>
      </c>
      <c r="F3884" t="s">
        <v>72</v>
      </c>
      <c r="G3884" s="4">
        <v>7</v>
      </c>
      <c r="H3884" s="4" t="s">
        <v>79</v>
      </c>
      <c r="I3884" s="4" t="s">
        <v>69</v>
      </c>
      <c r="J3884" s="4" t="s">
        <v>66</v>
      </c>
      <c r="K3884" s="4">
        <v>0</v>
      </c>
      <c r="L3884" s="94">
        <v>-11986</v>
      </c>
      <c r="M3884" s="94">
        <v>0</v>
      </c>
    </row>
    <row r="3885" spans="3:13" x14ac:dyDescent="0.3">
      <c r="C3885" t="s">
        <v>70</v>
      </c>
      <c r="D3885" t="s">
        <v>67</v>
      </c>
      <c r="E3885" t="s">
        <v>63</v>
      </c>
      <c r="F3885" t="s">
        <v>25</v>
      </c>
      <c r="G3885" s="4">
        <v>2</v>
      </c>
      <c r="H3885" s="4" t="s">
        <v>16</v>
      </c>
      <c r="I3885" s="4" t="s">
        <v>69</v>
      </c>
      <c r="J3885" s="4" t="s">
        <v>66</v>
      </c>
      <c r="K3885" s="4">
        <v>0</v>
      </c>
      <c r="L3885" s="94">
        <v>-333</v>
      </c>
      <c r="M3885" s="94">
        <v>0</v>
      </c>
    </row>
    <row r="3886" spans="3:13" x14ac:dyDescent="0.3">
      <c r="C3886" t="s">
        <v>61</v>
      </c>
      <c r="D3886" t="s">
        <v>67</v>
      </c>
      <c r="E3886" t="s">
        <v>68</v>
      </c>
      <c r="F3886" t="s">
        <v>26</v>
      </c>
      <c r="G3886" s="4">
        <v>1</v>
      </c>
      <c r="H3886" s="4" t="s">
        <v>87</v>
      </c>
      <c r="I3886" s="4" t="s">
        <v>69</v>
      </c>
      <c r="J3886" s="4" t="s">
        <v>66</v>
      </c>
      <c r="K3886" s="4">
        <v>0</v>
      </c>
      <c r="L3886" s="94">
        <v>29159047</v>
      </c>
      <c r="M3886" s="94">
        <v>29159047</v>
      </c>
    </row>
    <row r="3887" spans="3:13" x14ac:dyDescent="0.3">
      <c r="C3887" t="s">
        <v>61</v>
      </c>
      <c r="D3887" t="s">
        <v>67</v>
      </c>
      <c r="E3887" t="s">
        <v>68</v>
      </c>
      <c r="F3887" t="s">
        <v>72</v>
      </c>
      <c r="G3887" s="4">
        <v>4</v>
      </c>
      <c r="H3887" s="4" t="s">
        <v>81</v>
      </c>
      <c r="I3887" s="4" t="s">
        <v>69</v>
      </c>
      <c r="J3887" s="4" t="s">
        <v>66</v>
      </c>
      <c r="K3887" s="4">
        <v>0</v>
      </c>
      <c r="L3887" s="94">
        <v>45555</v>
      </c>
      <c r="M3887" s="94">
        <v>182220</v>
      </c>
    </row>
    <row r="3888" spans="3:13" x14ac:dyDescent="0.3">
      <c r="C3888" t="s">
        <v>70</v>
      </c>
      <c r="D3888" t="s">
        <v>67</v>
      </c>
      <c r="E3888" t="s">
        <v>63</v>
      </c>
      <c r="F3888" t="s">
        <v>72</v>
      </c>
      <c r="G3888" s="4">
        <v>5</v>
      </c>
      <c r="H3888" s="4" t="s">
        <v>76</v>
      </c>
      <c r="I3888" s="4" t="s">
        <v>69</v>
      </c>
      <c r="J3888" s="4" t="s">
        <v>66</v>
      </c>
      <c r="K3888" s="4">
        <v>0</v>
      </c>
      <c r="L3888" s="94">
        <v>-45100</v>
      </c>
      <c r="M3888" s="94">
        <v>0</v>
      </c>
    </row>
    <row r="3889" spans="3:13" x14ac:dyDescent="0.3">
      <c r="C3889" t="s">
        <v>61</v>
      </c>
      <c r="D3889" t="s">
        <v>62</v>
      </c>
      <c r="E3889" t="s">
        <v>68</v>
      </c>
      <c r="F3889" t="s">
        <v>25</v>
      </c>
      <c r="G3889" s="4">
        <v>7</v>
      </c>
      <c r="I3889" s="4" t="s">
        <v>69</v>
      </c>
      <c r="J3889" s="4" t="s">
        <v>66</v>
      </c>
      <c r="K3889" s="4">
        <v>0</v>
      </c>
      <c r="L3889" s="94">
        <v>3788043</v>
      </c>
      <c r="M3889" s="94">
        <v>26516301</v>
      </c>
    </row>
    <row r="3890" spans="3:13" x14ac:dyDescent="0.3">
      <c r="C3890" t="s">
        <v>71</v>
      </c>
      <c r="D3890" t="s">
        <v>67</v>
      </c>
      <c r="E3890" t="s">
        <v>63</v>
      </c>
      <c r="F3890" t="s">
        <v>25</v>
      </c>
      <c r="G3890" s="4">
        <v>2</v>
      </c>
      <c r="H3890" s="4" t="s">
        <v>64</v>
      </c>
      <c r="I3890" s="4" t="s">
        <v>69</v>
      </c>
      <c r="J3890" s="4" t="s">
        <v>66</v>
      </c>
      <c r="K3890" s="4">
        <v>0</v>
      </c>
      <c r="L3890" s="94">
        <v>-633976</v>
      </c>
      <c r="M3890" s="94">
        <v>0</v>
      </c>
    </row>
    <row r="3891" spans="3:13" x14ac:dyDescent="0.3">
      <c r="C3891" t="s">
        <v>70</v>
      </c>
      <c r="D3891" t="s">
        <v>67</v>
      </c>
      <c r="E3891" t="s">
        <v>63</v>
      </c>
      <c r="F3891" t="s">
        <v>26</v>
      </c>
      <c r="G3891" s="4">
        <v>4</v>
      </c>
      <c r="H3891" s="4" t="s">
        <v>17</v>
      </c>
      <c r="I3891" s="4" t="s">
        <v>65</v>
      </c>
      <c r="J3891" s="4" t="s">
        <v>73</v>
      </c>
      <c r="K3891" s="4">
        <v>1</v>
      </c>
      <c r="L3891" s="94">
        <v>-19920</v>
      </c>
      <c r="M3891" s="94">
        <v>0</v>
      </c>
    </row>
    <row r="3892" spans="3:13" x14ac:dyDescent="0.3">
      <c r="C3892" t="s">
        <v>70</v>
      </c>
      <c r="D3892" t="s">
        <v>67</v>
      </c>
      <c r="E3892" t="s">
        <v>63</v>
      </c>
      <c r="F3892" t="s">
        <v>72</v>
      </c>
      <c r="G3892" s="4">
        <v>3</v>
      </c>
      <c r="H3892" s="4" t="s">
        <v>76</v>
      </c>
      <c r="I3892" s="4" t="s">
        <v>69</v>
      </c>
      <c r="J3892" s="4" t="s">
        <v>66</v>
      </c>
      <c r="K3892" s="4">
        <v>0</v>
      </c>
      <c r="L3892" s="94">
        <v>-16232</v>
      </c>
      <c r="M3892" s="94">
        <v>0</v>
      </c>
    </row>
    <row r="3893" spans="3:13" x14ac:dyDescent="0.3">
      <c r="C3893" t="s">
        <v>61</v>
      </c>
      <c r="D3893" t="s">
        <v>67</v>
      </c>
      <c r="E3893" t="s">
        <v>63</v>
      </c>
      <c r="F3893" t="s">
        <v>25</v>
      </c>
      <c r="G3893" s="4">
        <v>13</v>
      </c>
      <c r="H3893" s="4" t="s">
        <v>18</v>
      </c>
      <c r="I3893" s="4" t="s">
        <v>69</v>
      </c>
      <c r="J3893" s="4" t="s">
        <v>66</v>
      </c>
      <c r="K3893" s="4">
        <v>0</v>
      </c>
      <c r="L3893" s="94">
        <v>-2962</v>
      </c>
      <c r="M3893" s="94">
        <v>0</v>
      </c>
    </row>
    <row r="3894" spans="3:13" x14ac:dyDescent="0.3">
      <c r="C3894" t="s">
        <v>71</v>
      </c>
      <c r="D3894" t="s">
        <v>67</v>
      </c>
      <c r="E3894" t="s">
        <v>68</v>
      </c>
      <c r="F3894" t="s">
        <v>26</v>
      </c>
      <c r="G3894" s="4">
        <v>4</v>
      </c>
      <c r="H3894" s="4" t="s">
        <v>17</v>
      </c>
      <c r="I3894" s="4" t="s">
        <v>65</v>
      </c>
      <c r="J3894" s="4" t="s">
        <v>66</v>
      </c>
      <c r="K3894" s="4">
        <v>1</v>
      </c>
      <c r="L3894" s="94">
        <v>64798</v>
      </c>
      <c r="M3894" s="94">
        <v>259192</v>
      </c>
    </row>
    <row r="3895" spans="3:13" x14ac:dyDescent="0.3">
      <c r="C3895" t="s">
        <v>70</v>
      </c>
      <c r="D3895" t="s">
        <v>62</v>
      </c>
      <c r="E3895" t="s">
        <v>68</v>
      </c>
      <c r="F3895" t="s">
        <v>25</v>
      </c>
      <c r="G3895" s="4">
        <v>17</v>
      </c>
      <c r="I3895" s="4" t="s">
        <v>69</v>
      </c>
      <c r="J3895" s="4" t="s">
        <v>66</v>
      </c>
      <c r="K3895" s="4">
        <v>0</v>
      </c>
      <c r="L3895" s="94">
        <v>678281</v>
      </c>
      <c r="M3895" s="94">
        <v>11530777</v>
      </c>
    </row>
    <row r="3896" spans="3:13" x14ac:dyDescent="0.3">
      <c r="C3896" t="s">
        <v>70</v>
      </c>
      <c r="D3896" t="s">
        <v>67</v>
      </c>
      <c r="E3896" t="s">
        <v>63</v>
      </c>
      <c r="F3896" t="s">
        <v>72</v>
      </c>
      <c r="G3896" s="4">
        <v>2</v>
      </c>
      <c r="H3896" s="4" t="s">
        <v>79</v>
      </c>
      <c r="I3896" s="4" t="s">
        <v>69</v>
      </c>
      <c r="J3896" s="4" t="s">
        <v>66</v>
      </c>
      <c r="K3896" s="4">
        <v>0</v>
      </c>
      <c r="L3896" s="94">
        <v>-46092</v>
      </c>
      <c r="M3896" s="94">
        <v>0</v>
      </c>
    </row>
    <row r="3897" spans="3:13" x14ac:dyDescent="0.3">
      <c r="C3897" t="s">
        <v>71</v>
      </c>
      <c r="D3897" t="s">
        <v>62</v>
      </c>
      <c r="E3897" t="s">
        <v>68</v>
      </c>
      <c r="F3897" t="s">
        <v>24</v>
      </c>
      <c r="G3897" s="4">
        <v>36</v>
      </c>
      <c r="I3897" s="4" t="s">
        <v>69</v>
      </c>
      <c r="J3897" s="4" t="s">
        <v>66</v>
      </c>
      <c r="K3897" s="4">
        <v>0</v>
      </c>
      <c r="L3897" s="94">
        <v>11688431</v>
      </c>
      <c r="M3897" s="94">
        <v>420783516</v>
      </c>
    </row>
    <row r="3898" spans="3:13" x14ac:dyDescent="0.3">
      <c r="C3898" t="s">
        <v>71</v>
      </c>
      <c r="D3898" t="s">
        <v>62</v>
      </c>
      <c r="E3898" t="s">
        <v>63</v>
      </c>
      <c r="F3898" t="s">
        <v>25</v>
      </c>
      <c r="G3898" s="4">
        <v>-4</v>
      </c>
      <c r="I3898" s="4" t="s">
        <v>69</v>
      </c>
      <c r="J3898" s="4" t="s">
        <v>66</v>
      </c>
      <c r="K3898" s="4">
        <v>0</v>
      </c>
      <c r="L3898" s="94">
        <v>-1194244</v>
      </c>
      <c r="M3898" s="94">
        <v>0</v>
      </c>
    </row>
    <row r="3899" spans="3:13" x14ac:dyDescent="0.3">
      <c r="C3899" t="s">
        <v>71</v>
      </c>
      <c r="D3899" t="s">
        <v>67</v>
      </c>
      <c r="E3899" t="s">
        <v>63</v>
      </c>
      <c r="F3899" t="s">
        <v>26</v>
      </c>
      <c r="G3899" s="4">
        <v>5</v>
      </c>
      <c r="H3899" s="4" t="s">
        <v>75</v>
      </c>
      <c r="I3899" s="4" t="s">
        <v>69</v>
      </c>
      <c r="J3899" s="4" t="s">
        <v>66</v>
      </c>
      <c r="K3899" s="4">
        <v>0</v>
      </c>
      <c r="L3899" s="94">
        <v>-119093</v>
      </c>
      <c r="M3899" s="94">
        <v>0</v>
      </c>
    </row>
    <row r="3900" spans="3:13" x14ac:dyDescent="0.3">
      <c r="C3900" t="s">
        <v>71</v>
      </c>
      <c r="D3900" t="s">
        <v>67</v>
      </c>
      <c r="E3900" t="s">
        <v>63</v>
      </c>
      <c r="F3900" t="s">
        <v>25</v>
      </c>
      <c r="G3900" s="4">
        <v>3</v>
      </c>
      <c r="H3900" s="4" t="s">
        <v>76</v>
      </c>
      <c r="I3900" s="4" t="s">
        <v>65</v>
      </c>
      <c r="J3900" s="4" t="s">
        <v>66</v>
      </c>
      <c r="K3900" s="4">
        <v>1</v>
      </c>
      <c r="L3900" s="94">
        <v>-10574</v>
      </c>
      <c r="M3900" s="94">
        <v>0</v>
      </c>
    </row>
    <row r="3901" spans="3:13" x14ac:dyDescent="0.3">
      <c r="C3901" t="s">
        <v>61</v>
      </c>
      <c r="D3901" t="s">
        <v>67</v>
      </c>
      <c r="E3901" t="s">
        <v>68</v>
      </c>
      <c r="F3901" t="s">
        <v>25</v>
      </c>
      <c r="G3901" s="4">
        <v>2</v>
      </c>
      <c r="H3901" s="4" t="s">
        <v>64</v>
      </c>
      <c r="I3901" s="4" t="s">
        <v>69</v>
      </c>
      <c r="J3901" s="4" t="s">
        <v>66</v>
      </c>
      <c r="K3901" s="4">
        <v>0</v>
      </c>
      <c r="L3901" s="94">
        <v>660061</v>
      </c>
      <c r="M3901" s="94">
        <v>1320122</v>
      </c>
    </row>
    <row r="3902" spans="3:13" x14ac:dyDescent="0.3">
      <c r="C3902" t="s">
        <v>61</v>
      </c>
      <c r="D3902" t="s">
        <v>67</v>
      </c>
      <c r="E3902" t="s">
        <v>63</v>
      </c>
      <c r="F3902" t="s">
        <v>72</v>
      </c>
      <c r="G3902" s="4">
        <v>5</v>
      </c>
      <c r="H3902" s="4" t="s">
        <v>18</v>
      </c>
      <c r="I3902" s="4" t="s">
        <v>69</v>
      </c>
      <c r="J3902" s="4" t="s">
        <v>66</v>
      </c>
      <c r="K3902" s="4">
        <v>0</v>
      </c>
      <c r="L3902" s="94">
        <v>-19802</v>
      </c>
      <c r="M3902" s="94">
        <v>0</v>
      </c>
    </row>
    <row r="3903" spans="3:13" x14ac:dyDescent="0.3">
      <c r="C3903" t="s">
        <v>71</v>
      </c>
      <c r="D3903" t="s">
        <v>67</v>
      </c>
      <c r="E3903" t="s">
        <v>68</v>
      </c>
      <c r="F3903" t="s">
        <v>26</v>
      </c>
      <c r="G3903" s="4">
        <v>4</v>
      </c>
      <c r="H3903" s="4" t="s">
        <v>12</v>
      </c>
      <c r="I3903" s="4" t="s">
        <v>69</v>
      </c>
      <c r="J3903" s="4" t="s">
        <v>73</v>
      </c>
      <c r="K3903" s="4">
        <v>1</v>
      </c>
      <c r="L3903" s="94">
        <v>11548</v>
      </c>
      <c r="M3903" s="94">
        <v>46192</v>
      </c>
    </row>
    <row r="3904" spans="3:13" x14ac:dyDescent="0.3">
      <c r="C3904" t="s">
        <v>71</v>
      </c>
      <c r="D3904" t="s">
        <v>67</v>
      </c>
      <c r="E3904" t="s">
        <v>68</v>
      </c>
      <c r="F3904" t="s">
        <v>25</v>
      </c>
      <c r="G3904" s="4">
        <v>4</v>
      </c>
      <c r="H3904" s="4" t="s">
        <v>75</v>
      </c>
      <c r="I3904" s="4" t="s">
        <v>69</v>
      </c>
      <c r="J3904" s="4" t="s">
        <v>66</v>
      </c>
      <c r="K3904" s="4">
        <v>0</v>
      </c>
      <c r="L3904" s="94">
        <v>4021532</v>
      </c>
      <c r="M3904" s="94">
        <v>16086128</v>
      </c>
    </row>
    <row r="3905" spans="3:13" x14ac:dyDescent="0.3">
      <c r="C3905" t="s">
        <v>61</v>
      </c>
      <c r="D3905" t="s">
        <v>67</v>
      </c>
      <c r="E3905" t="s">
        <v>68</v>
      </c>
      <c r="F3905" t="s">
        <v>26</v>
      </c>
      <c r="G3905" s="4">
        <v>-1</v>
      </c>
      <c r="H3905" s="4" t="s">
        <v>15</v>
      </c>
      <c r="I3905" s="4" t="s">
        <v>69</v>
      </c>
      <c r="J3905" s="4" t="s">
        <v>73</v>
      </c>
      <c r="K3905" s="4">
        <v>1</v>
      </c>
      <c r="L3905" s="94">
        <v>7787994</v>
      </c>
      <c r="M3905" s="94">
        <v>0</v>
      </c>
    </row>
    <row r="3906" spans="3:13" x14ac:dyDescent="0.3">
      <c r="C3906" t="s">
        <v>70</v>
      </c>
      <c r="D3906" t="s">
        <v>62</v>
      </c>
      <c r="E3906" t="s">
        <v>63</v>
      </c>
      <c r="F3906" t="s">
        <v>24</v>
      </c>
      <c r="G3906" s="4">
        <v>3</v>
      </c>
      <c r="I3906" s="4" t="s">
        <v>65</v>
      </c>
      <c r="J3906" s="4" t="s">
        <v>66</v>
      </c>
      <c r="K3906" s="4">
        <v>1</v>
      </c>
      <c r="L3906" s="94">
        <v>-9</v>
      </c>
      <c r="M3906" s="94">
        <v>0</v>
      </c>
    </row>
    <row r="3907" spans="3:13" x14ac:dyDescent="0.3">
      <c r="C3907" t="s">
        <v>61</v>
      </c>
      <c r="D3907" t="s">
        <v>67</v>
      </c>
      <c r="E3907" t="s">
        <v>63</v>
      </c>
      <c r="F3907" t="s">
        <v>25</v>
      </c>
      <c r="G3907" s="4">
        <v>10</v>
      </c>
      <c r="H3907" s="4" t="s">
        <v>75</v>
      </c>
      <c r="I3907" s="4" t="s">
        <v>65</v>
      </c>
      <c r="J3907" s="4" t="s">
        <v>66</v>
      </c>
      <c r="K3907" s="4">
        <v>1</v>
      </c>
      <c r="L3907" s="94">
        <v>-929</v>
      </c>
      <c r="M3907" s="94">
        <v>0</v>
      </c>
    </row>
    <row r="3908" spans="3:13" x14ac:dyDescent="0.3">
      <c r="C3908" t="s">
        <v>71</v>
      </c>
      <c r="D3908" t="s">
        <v>67</v>
      </c>
      <c r="E3908" t="s">
        <v>63</v>
      </c>
      <c r="F3908" t="s">
        <v>26</v>
      </c>
      <c r="G3908" s="4">
        <v>1</v>
      </c>
      <c r="H3908" s="4" t="s">
        <v>17</v>
      </c>
      <c r="I3908" s="4" t="s">
        <v>69</v>
      </c>
      <c r="J3908" s="4" t="s">
        <v>73</v>
      </c>
      <c r="K3908" s="4">
        <v>1</v>
      </c>
      <c r="L3908" s="94">
        <v>-34261</v>
      </c>
      <c r="M3908" s="94">
        <v>0</v>
      </c>
    </row>
    <row r="3909" spans="3:13" x14ac:dyDescent="0.3">
      <c r="C3909" t="s">
        <v>61</v>
      </c>
      <c r="D3909" t="s">
        <v>67</v>
      </c>
      <c r="E3909" t="s">
        <v>68</v>
      </c>
      <c r="F3909" t="s">
        <v>72</v>
      </c>
      <c r="G3909" s="4">
        <v>7</v>
      </c>
      <c r="H3909" s="4" t="s">
        <v>74</v>
      </c>
      <c r="I3909" s="4" t="s">
        <v>69</v>
      </c>
      <c r="J3909" s="4" t="s">
        <v>66</v>
      </c>
      <c r="K3909" s="4">
        <v>0</v>
      </c>
      <c r="L3909" s="94">
        <v>223276</v>
      </c>
      <c r="M3909" s="94">
        <v>1562932</v>
      </c>
    </row>
    <row r="3910" spans="3:13" x14ac:dyDescent="0.3">
      <c r="C3910" t="s">
        <v>61</v>
      </c>
      <c r="D3910" t="s">
        <v>67</v>
      </c>
      <c r="E3910" t="s">
        <v>68</v>
      </c>
      <c r="F3910" t="s">
        <v>26</v>
      </c>
      <c r="G3910" s="4">
        <v>-1</v>
      </c>
      <c r="H3910" s="4" t="s">
        <v>14</v>
      </c>
      <c r="I3910" s="4" t="s">
        <v>65</v>
      </c>
      <c r="J3910" s="4" t="s">
        <v>66</v>
      </c>
      <c r="K3910" s="4">
        <v>1</v>
      </c>
      <c r="L3910" s="94">
        <v>69796</v>
      </c>
      <c r="M3910" s="94">
        <v>0</v>
      </c>
    </row>
    <row r="3911" spans="3:13" x14ac:dyDescent="0.3">
      <c r="C3911" t="s">
        <v>71</v>
      </c>
      <c r="D3911" t="s">
        <v>67</v>
      </c>
      <c r="E3911" t="s">
        <v>63</v>
      </c>
      <c r="F3911" t="s">
        <v>25</v>
      </c>
      <c r="G3911" s="4">
        <v>5</v>
      </c>
      <c r="H3911" s="4" t="s">
        <v>17</v>
      </c>
      <c r="I3911" s="4" t="s">
        <v>69</v>
      </c>
      <c r="J3911" s="4" t="s">
        <v>66</v>
      </c>
      <c r="K3911" s="4">
        <v>0</v>
      </c>
      <c r="L3911" s="94">
        <v>-69244</v>
      </c>
      <c r="M3911" s="94">
        <v>0</v>
      </c>
    </row>
    <row r="3912" spans="3:13" x14ac:dyDescent="0.3">
      <c r="C3912" t="s">
        <v>71</v>
      </c>
      <c r="D3912" t="s">
        <v>67</v>
      </c>
      <c r="E3912" t="s">
        <v>68</v>
      </c>
      <c r="F3912" t="s">
        <v>26</v>
      </c>
      <c r="G3912" s="4">
        <v>21</v>
      </c>
      <c r="H3912" s="4" t="s">
        <v>64</v>
      </c>
      <c r="I3912" s="4" t="s">
        <v>69</v>
      </c>
      <c r="J3912" s="4" t="s">
        <v>66</v>
      </c>
      <c r="K3912" s="4">
        <v>0</v>
      </c>
      <c r="L3912" s="94">
        <v>4442523</v>
      </c>
      <c r="M3912" s="94">
        <v>93292983</v>
      </c>
    </row>
    <row r="3913" spans="3:13" x14ac:dyDescent="0.3">
      <c r="C3913" t="s">
        <v>71</v>
      </c>
      <c r="D3913" t="s">
        <v>62</v>
      </c>
      <c r="E3913" t="s">
        <v>63</v>
      </c>
      <c r="F3913" t="s">
        <v>24</v>
      </c>
      <c r="G3913" s="4">
        <v>18</v>
      </c>
      <c r="I3913" s="4" t="s">
        <v>69</v>
      </c>
      <c r="J3913" s="4" t="s">
        <v>66</v>
      </c>
      <c r="K3913" s="4">
        <v>0</v>
      </c>
      <c r="L3913" s="94">
        <v>-1774164</v>
      </c>
      <c r="M3913" s="94">
        <v>0</v>
      </c>
    </row>
    <row r="3914" spans="3:13" x14ac:dyDescent="0.3">
      <c r="C3914" t="s">
        <v>70</v>
      </c>
      <c r="D3914" t="s">
        <v>67</v>
      </c>
      <c r="E3914" t="s">
        <v>68</v>
      </c>
      <c r="F3914" t="s">
        <v>25</v>
      </c>
      <c r="G3914" s="4">
        <v>6</v>
      </c>
      <c r="H3914" s="4" t="s">
        <v>74</v>
      </c>
      <c r="I3914" s="4" t="s">
        <v>69</v>
      </c>
      <c r="J3914" s="4" t="s">
        <v>66</v>
      </c>
      <c r="K3914" s="4">
        <v>0</v>
      </c>
      <c r="L3914" s="94">
        <v>744529</v>
      </c>
      <c r="M3914" s="94">
        <v>4467174</v>
      </c>
    </row>
    <row r="3915" spans="3:13" x14ac:dyDescent="0.3">
      <c r="C3915" t="s">
        <v>70</v>
      </c>
      <c r="D3915" t="s">
        <v>67</v>
      </c>
      <c r="E3915" t="s">
        <v>68</v>
      </c>
      <c r="F3915" t="s">
        <v>72</v>
      </c>
      <c r="G3915" s="4">
        <v>-4</v>
      </c>
      <c r="H3915" s="4" t="s">
        <v>82</v>
      </c>
      <c r="I3915" s="4" t="s">
        <v>69</v>
      </c>
      <c r="J3915" s="4" t="s">
        <v>66</v>
      </c>
      <c r="K3915" s="4">
        <v>0</v>
      </c>
      <c r="L3915" s="94">
        <v>14335</v>
      </c>
      <c r="M3915" s="94">
        <v>0</v>
      </c>
    </row>
    <row r="3916" spans="3:13" x14ac:dyDescent="0.3">
      <c r="C3916" t="s">
        <v>61</v>
      </c>
      <c r="D3916" t="s">
        <v>62</v>
      </c>
      <c r="E3916" t="s">
        <v>68</v>
      </c>
      <c r="F3916" t="s">
        <v>24</v>
      </c>
      <c r="G3916" s="4">
        <v>-4</v>
      </c>
      <c r="I3916" s="4" t="s">
        <v>69</v>
      </c>
      <c r="J3916" s="4" t="s">
        <v>66</v>
      </c>
      <c r="K3916" s="4">
        <v>0</v>
      </c>
      <c r="L3916" s="94">
        <v>59574</v>
      </c>
      <c r="M3916" s="94">
        <v>0</v>
      </c>
    </row>
    <row r="3917" spans="3:13" x14ac:dyDescent="0.3">
      <c r="C3917" t="s">
        <v>61</v>
      </c>
      <c r="D3917" t="s">
        <v>67</v>
      </c>
      <c r="E3917" t="s">
        <v>63</v>
      </c>
      <c r="F3917" t="s">
        <v>26</v>
      </c>
      <c r="G3917" s="4">
        <v>1</v>
      </c>
      <c r="H3917" s="4" t="s">
        <v>14</v>
      </c>
      <c r="I3917" s="4" t="s">
        <v>65</v>
      </c>
      <c r="J3917" s="4" t="s">
        <v>66</v>
      </c>
      <c r="K3917" s="4">
        <v>1</v>
      </c>
      <c r="L3917" s="94">
        <v>-502</v>
      </c>
      <c r="M3917" s="94">
        <v>0</v>
      </c>
    </row>
    <row r="3918" spans="3:13" x14ac:dyDescent="0.3">
      <c r="C3918" t="s">
        <v>61</v>
      </c>
      <c r="D3918" t="s">
        <v>67</v>
      </c>
      <c r="E3918" t="s">
        <v>63</v>
      </c>
      <c r="F3918" t="s">
        <v>26</v>
      </c>
      <c r="G3918" s="4">
        <v>4</v>
      </c>
      <c r="H3918" s="4" t="s">
        <v>18</v>
      </c>
      <c r="I3918" s="4" t="s">
        <v>69</v>
      </c>
      <c r="J3918" s="4" t="s">
        <v>73</v>
      </c>
      <c r="K3918" s="4">
        <v>1</v>
      </c>
      <c r="L3918" s="94">
        <v>-14038</v>
      </c>
      <c r="M3918" s="94">
        <v>0</v>
      </c>
    </row>
    <row r="3919" spans="3:13" x14ac:dyDescent="0.3">
      <c r="C3919" t="s">
        <v>70</v>
      </c>
      <c r="D3919" t="s">
        <v>67</v>
      </c>
      <c r="E3919" t="s">
        <v>63</v>
      </c>
      <c r="F3919" t="s">
        <v>72</v>
      </c>
      <c r="G3919" s="4">
        <v>5</v>
      </c>
      <c r="H3919" s="4" t="s">
        <v>18</v>
      </c>
      <c r="I3919" s="4" t="s">
        <v>69</v>
      </c>
      <c r="J3919" s="4" t="s">
        <v>66</v>
      </c>
      <c r="K3919" s="4">
        <v>0</v>
      </c>
      <c r="L3919" s="94">
        <v>-98057</v>
      </c>
      <c r="M3919" s="94">
        <v>0</v>
      </c>
    </row>
    <row r="3920" spans="3:13" x14ac:dyDescent="0.3">
      <c r="C3920" t="s">
        <v>61</v>
      </c>
      <c r="D3920" t="s">
        <v>67</v>
      </c>
      <c r="E3920" t="s">
        <v>68</v>
      </c>
      <c r="F3920" t="s">
        <v>25</v>
      </c>
      <c r="G3920" s="4">
        <v>9</v>
      </c>
      <c r="H3920" s="4" t="s">
        <v>14</v>
      </c>
      <c r="I3920" s="4" t="s">
        <v>69</v>
      </c>
      <c r="J3920" s="4" t="s">
        <v>66</v>
      </c>
      <c r="K3920" s="4">
        <v>0</v>
      </c>
      <c r="L3920" s="94">
        <v>5417755</v>
      </c>
      <c r="M3920" s="94">
        <v>48759795</v>
      </c>
    </row>
    <row r="3921" spans="3:13" x14ac:dyDescent="0.3">
      <c r="C3921" t="s">
        <v>70</v>
      </c>
      <c r="D3921" t="s">
        <v>67</v>
      </c>
      <c r="E3921" t="s">
        <v>68</v>
      </c>
      <c r="F3921" t="s">
        <v>25</v>
      </c>
      <c r="G3921" s="4">
        <v>1</v>
      </c>
      <c r="H3921" s="4" t="s">
        <v>77</v>
      </c>
      <c r="I3921" s="4" t="s">
        <v>69</v>
      </c>
      <c r="J3921" s="4" t="s">
        <v>66</v>
      </c>
      <c r="K3921" s="4">
        <v>0</v>
      </c>
      <c r="L3921" s="94">
        <v>12776</v>
      </c>
      <c r="M3921" s="94">
        <v>12776</v>
      </c>
    </row>
    <row r="3922" spans="3:13" x14ac:dyDescent="0.3">
      <c r="C3922" t="s">
        <v>61</v>
      </c>
      <c r="D3922" t="s">
        <v>62</v>
      </c>
      <c r="E3922" t="s">
        <v>63</v>
      </c>
      <c r="F3922" t="s">
        <v>25</v>
      </c>
      <c r="G3922" s="4">
        <v>13</v>
      </c>
      <c r="I3922" s="4" t="s">
        <v>69</v>
      </c>
      <c r="J3922" s="4" t="s">
        <v>66</v>
      </c>
      <c r="K3922" s="4">
        <v>0</v>
      </c>
      <c r="L3922" s="94">
        <v>-4860</v>
      </c>
      <c r="M3922" s="94">
        <v>0</v>
      </c>
    </row>
    <row r="3923" spans="3:13" x14ac:dyDescent="0.3">
      <c r="C3923" t="s">
        <v>61</v>
      </c>
      <c r="D3923" t="s">
        <v>67</v>
      </c>
      <c r="E3923" t="s">
        <v>63</v>
      </c>
      <c r="F3923" t="s">
        <v>26</v>
      </c>
      <c r="G3923" s="4">
        <v>1</v>
      </c>
      <c r="H3923" s="4" t="s">
        <v>15</v>
      </c>
      <c r="I3923" s="4" t="s">
        <v>69</v>
      </c>
      <c r="J3923" s="4" t="s">
        <v>73</v>
      </c>
      <c r="K3923" s="4">
        <v>1</v>
      </c>
      <c r="L3923" s="94">
        <v>-35524</v>
      </c>
      <c r="M3923" s="94">
        <v>0</v>
      </c>
    </row>
    <row r="3924" spans="3:13" x14ac:dyDescent="0.3">
      <c r="C3924" t="s">
        <v>61</v>
      </c>
      <c r="D3924" t="s">
        <v>67</v>
      </c>
      <c r="E3924" t="s">
        <v>63</v>
      </c>
      <c r="F3924" t="s">
        <v>72</v>
      </c>
      <c r="G3924" s="4">
        <v>2</v>
      </c>
      <c r="H3924" s="4" t="s">
        <v>79</v>
      </c>
      <c r="I3924" s="4" t="s">
        <v>69</v>
      </c>
      <c r="J3924" s="4" t="s">
        <v>66</v>
      </c>
      <c r="K3924" s="4">
        <v>0</v>
      </c>
      <c r="L3924" s="94">
        <v>-8355</v>
      </c>
      <c r="M3924" s="94">
        <v>0</v>
      </c>
    </row>
    <row r="3925" spans="3:13" x14ac:dyDescent="0.3">
      <c r="C3925" t="s">
        <v>70</v>
      </c>
      <c r="D3925" t="s">
        <v>67</v>
      </c>
      <c r="E3925" t="s">
        <v>63</v>
      </c>
      <c r="F3925" t="s">
        <v>25</v>
      </c>
      <c r="G3925" s="4">
        <v>7</v>
      </c>
      <c r="H3925" s="4" t="s">
        <v>78</v>
      </c>
      <c r="I3925" s="4" t="s">
        <v>69</v>
      </c>
      <c r="J3925" s="4" t="s">
        <v>66</v>
      </c>
      <c r="K3925" s="4">
        <v>0</v>
      </c>
      <c r="L3925" s="94">
        <v>-8373</v>
      </c>
      <c r="M3925" s="94">
        <v>0</v>
      </c>
    </row>
    <row r="3926" spans="3:13" x14ac:dyDescent="0.3">
      <c r="C3926" t="s">
        <v>70</v>
      </c>
      <c r="D3926" t="s">
        <v>67</v>
      </c>
      <c r="E3926" t="s">
        <v>63</v>
      </c>
      <c r="F3926" t="s">
        <v>25</v>
      </c>
      <c r="G3926" s="4">
        <v>1</v>
      </c>
      <c r="H3926" s="4" t="s">
        <v>18</v>
      </c>
      <c r="I3926" s="4" t="s">
        <v>69</v>
      </c>
      <c r="J3926" s="4" t="s">
        <v>66</v>
      </c>
      <c r="K3926" s="4">
        <v>1</v>
      </c>
      <c r="L3926" s="94">
        <v>-294</v>
      </c>
      <c r="M3926" s="94">
        <v>0</v>
      </c>
    </row>
    <row r="3927" spans="3:13" x14ac:dyDescent="0.3">
      <c r="C3927" t="s">
        <v>70</v>
      </c>
      <c r="D3927" t="s">
        <v>62</v>
      </c>
      <c r="E3927" t="s">
        <v>63</v>
      </c>
      <c r="F3927" t="s">
        <v>24</v>
      </c>
      <c r="G3927" s="4">
        <v>14</v>
      </c>
      <c r="I3927" s="4" t="s">
        <v>65</v>
      </c>
      <c r="J3927" s="4" t="s">
        <v>66</v>
      </c>
      <c r="K3927" s="4">
        <v>1</v>
      </c>
      <c r="L3927" s="94">
        <v>-5711</v>
      </c>
      <c r="M3927" s="94">
        <v>0</v>
      </c>
    </row>
    <row r="3928" spans="3:13" x14ac:dyDescent="0.3">
      <c r="C3928" t="s">
        <v>71</v>
      </c>
      <c r="D3928" t="s">
        <v>62</v>
      </c>
      <c r="E3928" t="s">
        <v>68</v>
      </c>
      <c r="F3928" t="s">
        <v>24</v>
      </c>
      <c r="G3928" s="4">
        <v>25</v>
      </c>
      <c r="I3928" s="4" t="s">
        <v>69</v>
      </c>
      <c r="J3928" s="4" t="s">
        <v>66</v>
      </c>
      <c r="K3928" s="4">
        <v>0</v>
      </c>
      <c r="L3928" s="94">
        <v>10823019</v>
      </c>
      <c r="M3928" s="94">
        <v>270575475</v>
      </c>
    </row>
    <row r="3929" spans="3:13" x14ac:dyDescent="0.3">
      <c r="C3929" t="s">
        <v>61</v>
      </c>
      <c r="D3929" t="s">
        <v>67</v>
      </c>
      <c r="E3929" t="s">
        <v>63</v>
      </c>
      <c r="F3929" t="s">
        <v>26</v>
      </c>
      <c r="G3929" s="4">
        <v>5</v>
      </c>
      <c r="H3929" s="4" t="s">
        <v>64</v>
      </c>
      <c r="I3929" s="4" t="s">
        <v>69</v>
      </c>
      <c r="J3929" s="4" t="s">
        <v>66</v>
      </c>
      <c r="K3929" s="4">
        <v>0</v>
      </c>
      <c r="L3929" s="94">
        <v>-2456</v>
      </c>
      <c r="M3929" s="94">
        <v>0</v>
      </c>
    </row>
    <row r="3930" spans="3:13" x14ac:dyDescent="0.3">
      <c r="C3930" t="s">
        <v>61</v>
      </c>
      <c r="D3930" t="s">
        <v>62</v>
      </c>
      <c r="E3930" t="s">
        <v>63</v>
      </c>
      <c r="F3930" t="s">
        <v>24</v>
      </c>
      <c r="G3930" s="4">
        <v>26</v>
      </c>
      <c r="I3930" s="4" t="s">
        <v>69</v>
      </c>
      <c r="J3930" s="4" t="s">
        <v>66</v>
      </c>
      <c r="K3930" s="4">
        <v>0</v>
      </c>
      <c r="L3930" s="94">
        <v>-399150</v>
      </c>
      <c r="M3930" s="94">
        <v>0</v>
      </c>
    </row>
    <row r="3931" spans="3:13" x14ac:dyDescent="0.3">
      <c r="C3931" t="s">
        <v>61</v>
      </c>
      <c r="D3931" t="s">
        <v>67</v>
      </c>
      <c r="E3931" t="s">
        <v>63</v>
      </c>
      <c r="F3931" t="s">
        <v>25</v>
      </c>
      <c r="G3931" s="4">
        <v>8</v>
      </c>
      <c r="H3931" s="4" t="s">
        <v>12</v>
      </c>
      <c r="I3931" s="4" t="s">
        <v>69</v>
      </c>
      <c r="J3931" s="4" t="s">
        <v>66</v>
      </c>
      <c r="K3931" s="4">
        <v>1</v>
      </c>
      <c r="L3931" s="94">
        <v>-7838</v>
      </c>
      <c r="M3931" s="94">
        <v>0</v>
      </c>
    </row>
    <row r="3932" spans="3:13" x14ac:dyDescent="0.3">
      <c r="C3932" t="s">
        <v>70</v>
      </c>
      <c r="D3932" t="s">
        <v>67</v>
      </c>
      <c r="E3932" t="s">
        <v>68</v>
      </c>
      <c r="F3932" t="s">
        <v>26</v>
      </c>
      <c r="G3932" s="4">
        <v>6</v>
      </c>
      <c r="H3932" s="4" t="s">
        <v>78</v>
      </c>
      <c r="I3932" s="4" t="s">
        <v>69</v>
      </c>
      <c r="J3932" s="4" t="s">
        <v>66</v>
      </c>
      <c r="K3932" s="4">
        <v>0</v>
      </c>
      <c r="L3932" s="94">
        <v>18891</v>
      </c>
      <c r="M3932" s="94">
        <v>113346</v>
      </c>
    </row>
    <row r="3933" spans="3:13" x14ac:dyDescent="0.3">
      <c r="C3933" t="s">
        <v>71</v>
      </c>
      <c r="D3933" t="s">
        <v>67</v>
      </c>
      <c r="E3933" t="s">
        <v>68</v>
      </c>
      <c r="F3933" t="s">
        <v>26</v>
      </c>
      <c r="G3933" s="4">
        <v>0</v>
      </c>
      <c r="H3933" s="4" t="s">
        <v>18</v>
      </c>
      <c r="I3933" s="4" t="s">
        <v>69</v>
      </c>
      <c r="J3933" s="4" t="s">
        <v>73</v>
      </c>
      <c r="K3933" s="4">
        <v>1</v>
      </c>
      <c r="L3933" s="94">
        <v>30706</v>
      </c>
      <c r="M3933" s="94">
        <v>0</v>
      </c>
    </row>
    <row r="3934" spans="3:13" x14ac:dyDescent="0.3">
      <c r="C3934" t="s">
        <v>70</v>
      </c>
      <c r="D3934" t="s">
        <v>67</v>
      </c>
      <c r="E3934" t="s">
        <v>63</v>
      </c>
      <c r="F3934" t="s">
        <v>72</v>
      </c>
      <c r="G3934" s="4">
        <v>-1</v>
      </c>
      <c r="H3934" s="4" t="s">
        <v>75</v>
      </c>
      <c r="I3934" s="4" t="s">
        <v>65</v>
      </c>
      <c r="J3934" s="4" t="s">
        <v>66</v>
      </c>
      <c r="K3934" s="4">
        <v>1</v>
      </c>
      <c r="L3934" s="94">
        <v>-177</v>
      </c>
      <c r="M3934" s="94">
        <v>0</v>
      </c>
    </row>
    <row r="3935" spans="3:13" x14ac:dyDescent="0.3">
      <c r="C3935" t="s">
        <v>71</v>
      </c>
      <c r="D3935" t="s">
        <v>67</v>
      </c>
      <c r="E3935" t="s">
        <v>63</v>
      </c>
      <c r="F3935" t="s">
        <v>72</v>
      </c>
      <c r="G3935" s="4">
        <v>1</v>
      </c>
      <c r="H3935" s="4" t="s">
        <v>14</v>
      </c>
      <c r="I3935" s="4" t="s">
        <v>69</v>
      </c>
      <c r="J3935" s="4" t="s">
        <v>66</v>
      </c>
      <c r="K3935" s="4">
        <v>0</v>
      </c>
      <c r="L3935" s="94">
        <v>-107707</v>
      </c>
      <c r="M3935" s="94">
        <v>0</v>
      </c>
    </row>
    <row r="3936" spans="3:13" x14ac:dyDescent="0.3">
      <c r="C3936" t="s">
        <v>61</v>
      </c>
      <c r="D3936" t="s">
        <v>67</v>
      </c>
      <c r="E3936" t="s">
        <v>63</v>
      </c>
      <c r="F3936" t="s">
        <v>25</v>
      </c>
      <c r="G3936" s="4">
        <v>9</v>
      </c>
      <c r="H3936" s="4" t="s">
        <v>77</v>
      </c>
      <c r="I3936" s="4" t="s">
        <v>69</v>
      </c>
      <c r="J3936" s="4" t="s">
        <v>66</v>
      </c>
      <c r="K3936" s="4">
        <v>0</v>
      </c>
      <c r="L3936" s="94">
        <v>-2855</v>
      </c>
      <c r="M3936" s="94">
        <v>0</v>
      </c>
    </row>
    <row r="3937" spans="3:13" x14ac:dyDescent="0.3">
      <c r="C3937" t="s">
        <v>70</v>
      </c>
      <c r="D3937" t="s">
        <v>67</v>
      </c>
      <c r="E3937" t="s">
        <v>63</v>
      </c>
      <c r="F3937" t="s">
        <v>26</v>
      </c>
      <c r="G3937" s="4">
        <v>6</v>
      </c>
      <c r="H3937" s="4" t="s">
        <v>13</v>
      </c>
      <c r="I3937" s="4" t="s">
        <v>69</v>
      </c>
      <c r="J3937" s="4" t="s">
        <v>73</v>
      </c>
      <c r="K3937" s="4">
        <v>1</v>
      </c>
      <c r="L3937" s="94">
        <v>-18111</v>
      </c>
      <c r="M3937" s="94">
        <v>0</v>
      </c>
    </row>
    <row r="3938" spans="3:13" x14ac:dyDescent="0.3">
      <c r="C3938" t="s">
        <v>70</v>
      </c>
      <c r="D3938" t="s">
        <v>62</v>
      </c>
      <c r="E3938" t="s">
        <v>68</v>
      </c>
      <c r="F3938" t="s">
        <v>24</v>
      </c>
      <c r="G3938" s="4">
        <v>9</v>
      </c>
      <c r="I3938" s="4" t="s">
        <v>69</v>
      </c>
      <c r="J3938" s="4" t="s">
        <v>66</v>
      </c>
      <c r="K3938" s="4">
        <v>0</v>
      </c>
      <c r="L3938" s="94">
        <v>19956050</v>
      </c>
      <c r="M3938" s="94">
        <v>179604450</v>
      </c>
    </row>
    <row r="3939" spans="3:13" x14ac:dyDescent="0.3">
      <c r="C3939" t="s">
        <v>70</v>
      </c>
      <c r="D3939" t="s">
        <v>67</v>
      </c>
      <c r="E3939" t="s">
        <v>63</v>
      </c>
      <c r="F3939" t="s">
        <v>26</v>
      </c>
      <c r="G3939" s="4">
        <v>0</v>
      </c>
      <c r="H3939" s="4" t="s">
        <v>16</v>
      </c>
      <c r="I3939" s="4" t="s">
        <v>69</v>
      </c>
      <c r="J3939" s="4" t="s">
        <v>66</v>
      </c>
      <c r="K3939" s="4">
        <v>0</v>
      </c>
      <c r="L3939" s="94">
        <v>-3928</v>
      </c>
      <c r="M3939" s="94">
        <v>0</v>
      </c>
    </row>
    <row r="3940" spans="3:13" x14ac:dyDescent="0.3">
      <c r="C3940" t="s">
        <v>61</v>
      </c>
      <c r="D3940" t="s">
        <v>62</v>
      </c>
      <c r="E3940" t="s">
        <v>68</v>
      </c>
      <c r="F3940" t="s">
        <v>24</v>
      </c>
      <c r="G3940" s="4">
        <v>9</v>
      </c>
      <c r="I3940" s="4" t="s">
        <v>65</v>
      </c>
      <c r="J3940" s="4" t="s">
        <v>66</v>
      </c>
      <c r="K3940" s="4">
        <v>1</v>
      </c>
      <c r="L3940" s="94">
        <v>2222870</v>
      </c>
      <c r="M3940" s="94">
        <v>20005830</v>
      </c>
    </row>
    <row r="3941" spans="3:13" x14ac:dyDescent="0.3">
      <c r="C3941" t="s">
        <v>71</v>
      </c>
      <c r="D3941" t="s">
        <v>67</v>
      </c>
      <c r="E3941" t="s">
        <v>68</v>
      </c>
      <c r="F3941" t="s">
        <v>25</v>
      </c>
      <c r="G3941" s="4">
        <v>-4</v>
      </c>
      <c r="H3941" s="4" t="s">
        <v>80</v>
      </c>
      <c r="I3941" s="4" t="s">
        <v>69</v>
      </c>
      <c r="J3941" s="4" t="s">
        <v>66</v>
      </c>
      <c r="K3941" s="4">
        <v>0</v>
      </c>
      <c r="L3941" s="94">
        <v>84660</v>
      </c>
      <c r="M3941" s="94">
        <v>0</v>
      </c>
    </row>
    <row r="3942" spans="3:13" x14ac:dyDescent="0.3">
      <c r="C3942" t="s">
        <v>61</v>
      </c>
      <c r="D3942" t="s">
        <v>62</v>
      </c>
      <c r="E3942" t="s">
        <v>68</v>
      </c>
      <c r="F3942" t="s">
        <v>25</v>
      </c>
      <c r="G3942" s="4">
        <v>6</v>
      </c>
      <c r="I3942" s="4" t="s">
        <v>69</v>
      </c>
      <c r="J3942" s="4" t="s">
        <v>66</v>
      </c>
      <c r="K3942" s="4">
        <v>1</v>
      </c>
      <c r="L3942" s="94">
        <v>361369</v>
      </c>
      <c r="M3942" s="94">
        <v>2168214</v>
      </c>
    </row>
    <row r="3943" spans="3:13" x14ac:dyDescent="0.3">
      <c r="C3943" t="s">
        <v>61</v>
      </c>
      <c r="D3943" t="s">
        <v>62</v>
      </c>
      <c r="E3943" t="s">
        <v>63</v>
      </c>
      <c r="F3943" t="s">
        <v>24</v>
      </c>
      <c r="G3943" s="4">
        <v>34</v>
      </c>
      <c r="I3943" s="4" t="s">
        <v>65</v>
      </c>
      <c r="J3943" s="4" t="s">
        <v>66</v>
      </c>
      <c r="K3943" s="4">
        <v>1</v>
      </c>
      <c r="L3943" s="94">
        <v>-7192</v>
      </c>
      <c r="M3943" s="94">
        <v>0</v>
      </c>
    </row>
    <row r="3944" spans="3:13" x14ac:dyDescent="0.3">
      <c r="C3944" t="s">
        <v>71</v>
      </c>
      <c r="D3944" t="s">
        <v>62</v>
      </c>
      <c r="E3944" t="s">
        <v>68</v>
      </c>
      <c r="F3944" t="s">
        <v>25</v>
      </c>
      <c r="G3944" s="4">
        <v>14</v>
      </c>
      <c r="I3944" s="4" t="s">
        <v>69</v>
      </c>
      <c r="J3944" s="4" t="s">
        <v>66</v>
      </c>
      <c r="K3944" s="4">
        <v>0</v>
      </c>
      <c r="L3944" s="94">
        <v>220219</v>
      </c>
      <c r="M3944" s="94">
        <v>3083066</v>
      </c>
    </row>
    <row r="3945" spans="3:13" x14ac:dyDescent="0.3">
      <c r="C3945" t="s">
        <v>61</v>
      </c>
      <c r="D3945" t="s">
        <v>62</v>
      </c>
      <c r="E3945" t="s">
        <v>63</v>
      </c>
      <c r="F3945" t="s">
        <v>24</v>
      </c>
      <c r="G3945" s="4">
        <v>11</v>
      </c>
      <c r="I3945" s="4" t="s">
        <v>65</v>
      </c>
      <c r="J3945" s="4" t="s">
        <v>66</v>
      </c>
      <c r="K3945" s="4">
        <v>1</v>
      </c>
      <c r="L3945" s="94">
        <v>-1275</v>
      </c>
      <c r="M3945" s="94">
        <v>0</v>
      </c>
    </row>
    <row r="3946" spans="3:13" x14ac:dyDescent="0.3">
      <c r="C3946" t="s">
        <v>61</v>
      </c>
      <c r="D3946" t="s">
        <v>67</v>
      </c>
      <c r="E3946" t="s">
        <v>63</v>
      </c>
      <c r="F3946" t="s">
        <v>72</v>
      </c>
      <c r="G3946" s="4">
        <v>1</v>
      </c>
      <c r="H3946" s="4" t="s">
        <v>14</v>
      </c>
      <c r="I3946" s="4" t="s">
        <v>69</v>
      </c>
      <c r="J3946" s="4" t="s">
        <v>73</v>
      </c>
      <c r="K3946" s="4">
        <v>1</v>
      </c>
      <c r="L3946" s="94">
        <v>-9996</v>
      </c>
      <c r="M3946" s="94">
        <v>0</v>
      </c>
    </row>
    <row r="3947" spans="3:13" x14ac:dyDescent="0.3">
      <c r="C3947" t="s">
        <v>70</v>
      </c>
      <c r="D3947" t="s">
        <v>67</v>
      </c>
      <c r="E3947" t="s">
        <v>63</v>
      </c>
      <c r="F3947" t="s">
        <v>25</v>
      </c>
      <c r="G3947" s="4">
        <v>10</v>
      </c>
      <c r="H3947" s="4" t="s">
        <v>18</v>
      </c>
      <c r="I3947" s="4" t="s">
        <v>69</v>
      </c>
      <c r="J3947" s="4" t="s">
        <v>66</v>
      </c>
      <c r="K3947" s="4">
        <v>0</v>
      </c>
      <c r="L3947" s="94">
        <v>-73815</v>
      </c>
      <c r="M3947" s="94">
        <v>0</v>
      </c>
    </row>
    <row r="3948" spans="3:13" x14ac:dyDescent="0.3">
      <c r="C3948" t="s">
        <v>70</v>
      </c>
      <c r="D3948" t="s">
        <v>67</v>
      </c>
      <c r="E3948" t="s">
        <v>63</v>
      </c>
      <c r="F3948" t="s">
        <v>26</v>
      </c>
      <c r="G3948" s="4">
        <v>-1</v>
      </c>
      <c r="H3948" s="4" t="s">
        <v>15</v>
      </c>
      <c r="I3948" s="4" t="s">
        <v>69</v>
      </c>
      <c r="J3948" s="4" t="s">
        <v>66</v>
      </c>
      <c r="K3948" s="4">
        <v>0</v>
      </c>
      <c r="L3948" s="94">
        <v>-3082</v>
      </c>
      <c r="M3948" s="94">
        <v>0</v>
      </c>
    </row>
    <row r="3949" spans="3:13" x14ac:dyDescent="0.3">
      <c r="C3949" t="s">
        <v>61</v>
      </c>
      <c r="D3949" t="s">
        <v>67</v>
      </c>
      <c r="E3949" t="s">
        <v>63</v>
      </c>
      <c r="F3949" t="s">
        <v>72</v>
      </c>
      <c r="G3949" s="4">
        <v>6</v>
      </c>
      <c r="H3949" s="4" t="s">
        <v>79</v>
      </c>
      <c r="I3949" s="4" t="s">
        <v>69</v>
      </c>
      <c r="J3949" s="4" t="s">
        <v>66</v>
      </c>
      <c r="K3949" s="4">
        <v>0</v>
      </c>
      <c r="L3949" s="94">
        <v>-3796</v>
      </c>
      <c r="M3949" s="94">
        <v>0</v>
      </c>
    </row>
    <row r="3950" spans="3:13" x14ac:dyDescent="0.3">
      <c r="C3950" t="s">
        <v>61</v>
      </c>
      <c r="D3950" t="s">
        <v>67</v>
      </c>
      <c r="E3950" t="s">
        <v>63</v>
      </c>
      <c r="F3950" t="s">
        <v>25</v>
      </c>
      <c r="G3950" s="4">
        <v>10</v>
      </c>
      <c r="H3950" s="4" t="s">
        <v>17</v>
      </c>
      <c r="I3950" s="4" t="s">
        <v>69</v>
      </c>
      <c r="J3950" s="4" t="s">
        <v>66</v>
      </c>
      <c r="K3950" s="4">
        <v>0</v>
      </c>
      <c r="L3950" s="94">
        <v>-24083</v>
      </c>
      <c r="M3950" s="94">
        <v>0</v>
      </c>
    </row>
    <row r="3951" spans="3:13" x14ac:dyDescent="0.3">
      <c r="C3951" t="s">
        <v>61</v>
      </c>
      <c r="D3951" t="s">
        <v>67</v>
      </c>
      <c r="E3951" t="s">
        <v>63</v>
      </c>
      <c r="F3951" t="s">
        <v>26</v>
      </c>
      <c r="G3951" s="4">
        <v>14</v>
      </c>
      <c r="H3951" s="4" t="s">
        <v>15</v>
      </c>
      <c r="I3951" s="4" t="s">
        <v>69</v>
      </c>
      <c r="J3951" s="4" t="s">
        <v>73</v>
      </c>
      <c r="K3951" s="4">
        <v>1</v>
      </c>
      <c r="L3951" s="94">
        <v>-1468</v>
      </c>
      <c r="M3951" s="94">
        <v>0</v>
      </c>
    </row>
    <row r="3952" spans="3:13" x14ac:dyDescent="0.3">
      <c r="C3952" t="s">
        <v>61</v>
      </c>
      <c r="D3952" t="s">
        <v>67</v>
      </c>
      <c r="E3952" t="s">
        <v>63</v>
      </c>
      <c r="F3952" t="s">
        <v>72</v>
      </c>
      <c r="G3952" s="4">
        <v>4</v>
      </c>
      <c r="H3952" s="4" t="s">
        <v>76</v>
      </c>
      <c r="I3952" s="4" t="s">
        <v>69</v>
      </c>
      <c r="J3952" s="4" t="s">
        <v>66</v>
      </c>
      <c r="K3952" s="4">
        <v>0</v>
      </c>
      <c r="L3952" s="94">
        <v>-8082</v>
      </c>
      <c r="M3952" s="94">
        <v>0</v>
      </c>
    </row>
    <row r="3953" spans="3:13" x14ac:dyDescent="0.3">
      <c r="C3953" t="s">
        <v>70</v>
      </c>
      <c r="D3953" t="s">
        <v>62</v>
      </c>
      <c r="E3953" t="s">
        <v>63</v>
      </c>
      <c r="F3953" t="s">
        <v>24</v>
      </c>
      <c r="G3953" s="4">
        <v>16</v>
      </c>
      <c r="I3953" s="4" t="s">
        <v>69</v>
      </c>
      <c r="J3953" s="4" t="s">
        <v>66</v>
      </c>
      <c r="K3953" s="4">
        <v>0</v>
      </c>
      <c r="L3953" s="94">
        <v>-652240</v>
      </c>
      <c r="M3953" s="94">
        <v>0</v>
      </c>
    </row>
    <row r="3954" spans="3:13" x14ac:dyDescent="0.3">
      <c r="C3954" t="s">
        <v>61</v>
      </c>
      <c r="D3954" t="s">
        <v>67</v>
      </c>
      <c r="E3954" t="s">
        <v>68</v>
      </c>
      <c r="F3954" t="s">
        <v>25</v>
      </c>
      <c r="G3954" s="4">
        <v>11</v>
      </c>
      <c r="H3954" s="4" t="s">
        <v>14</v>
      </c>
      <c r="I3954" s="4" t="s">
        <v>69</v>
      </c>
      <c r="J3954" s="4" t="s">
        <v>66</v>
      </c>
      <c r="K3954" s="4">
        <v>0</v>
      </c>
      <c r="L3954" s="94">
        <v>19394180</v>
      </c>
      <c r="M3954" s="94">
        <v>213335980</v>
      </c>
    </row>
    <row r="3955" spans="3:13" x14ac:dyDescent="0.3">
      <c r="C3955" t="s">
        <v>61</v>
      </c>
      <c r="D3955" t="s">
        <v>67</v>
      </c>
      <c r="E3955" t="s">
        <v>68</v>
      </c>
      <c r="F3955" t="s">
        <v>25</v>
      </c>
      <c r="G3955" s="4">
        <v>2</v>
      </c>
      <c r="H3955" s="4" t="s">
        <v>78</v>
      </c>
      <c r="I3955" s="4" t="s">
        <v>69</v>
      </c>
      <c r="J3955" s="4" t="s">
        <v>66</v>
      </c>
      <c r="K3955" s="4">
        <v>0</v>
      </c>
      <c r="L3955" s="94">
        <v>196011</v>
      </c>
      <c r="M3955" s="94">
        <v>392022</v>
      </c>
    </row>
    <row r="3956" spans="3:13" x14ac:dyDescent="0.3">
      <c r="C3956" t="s">
        <v>61</v>
      </c>
      <c r="D3956" t="s">
        <v>67</v>
      </c>
      <c r="E3956" t="s">
        <v>63</v>
      </c>
      <c r="F3956" t="s">
        <v>72</v>
      </c>
      <c r="G3956" s="4">
        <v>0</v>
      </c>
      <c r="H3956" s="4" t="s">
        <v>16</v>
      </c>
      <c r="I3956" s="4" t="s">
        <v>69</v>
      </c>
      <c r="J3956" s="4" t="s">
        <v>66</v>
      </c>
      <c r="K3956" s="4">
        <v>0</v>
      </c>
      <c r="L3956" s="94">
        <v>-175</v>
      </c>
      <c r="M3956" s="94">
        <v>0</v>
      </c>
    </row>
    <row r="3957" spans="3:13" x14ac:dyDescent="0.3">
      <c r="C3957" t="s">
        <v>61</v>
      </c>
      <c r="D3957" t="s">
        <v>67</v>
      </c>
      <c r="E3957" t="s">
        <v>68</v>
      </c>
      <c r="F3957" t="s">
        <v>72</v>
      </c>
      <c r="G3957" s="4">
        <v>-4</v>
      </c>
      <c r="H3957" s="4" t="s">
        <v>12</v>
      </c>
      <c r="I3957" s="4" t="s">
        <v>69</v>
      </c>
      <c r="J3957" s="4" t="s">
        <v>73</v>
      </c>
      <c r="K3957" s="4">
        <v>1</v>
      </c>
      <c r="L3957" s="94">
        <v>58</v>
      </c>
      <c r="M3957" s="94">
        <v>0</v>
      </c>
    </row>
    <row r="3958" spans="3:13" x14ac:dyDescent="0.3">
      <c r="C3958" t="s">
        <v>61</v>
      </c>
      <c r="D3958" t="s">
        <v>67</v>
      </c>
      <c r="E3958" t="s">
        <v>68</v>
      </c>
      <c r="F3958" t="s">
        <v>72</v>
      </c>
      <c r="G3958" s="4">
        <v>2</v>
      </c>
      <c r="H3958" s="4" t="s">
        <v>82</v>
      </c>
      <c r="I3958" s="4" t="s">
        <v>69</v>
      </c>
      <c r="J3958" s="4" t="s">
        <v>66</v>
      </c>
      <c r="K3958" s="4">
        <v>0</v>
      </c>
      <c r="L3958" s="94">
        <v>9066123</v>
      </c>
      <c r="M3958" s="94">
        <v>18132246</v>
      </c>
    </row>
    <row r="3959" spans="3:13" x14ac:dyDescent="0.3">
      <c r="C3959" t="s">
        <v>70</v>
      </c>
      <c r="D3959" t="s">
        <v>67</v>
      </c>
      <c r="E3959" t="s">
        <v>68</v>
      </c>
      <c r="F3959" t="s">
        <v>26</v>
      </c>
      <c r="G3959" s="4">
        <v>8</v>
      </c>
      <c r="H3959" s="4" t="s">
        <v>14</v>
      </c>
      <c r="I3959" s="4" t="s">
        <v>69</v>
      </c>
      <c r="J3959" s="4" t="s">
        <v>66</v>
      </c>
      <c r="K3959" s="4">
        <v>0</v>
      </c>
      <c r="L3959" s="94">
        <v>603527</v>
      </c>
      <c r="M3959" s="94">
        <v>4828216</v>
      </c>
    </row>
    <row r="3960" spans="3:13" x14ac:dyDescent="0.3">
      <c r="C3960" t="s">
        <v>70</v>
      </c>
      <c r="D3960" t="s">
        <v>67</v>
      </c>
      <c r="E3960" t="s">
        <v>63</v>
      </c>
      <c r="F3960" t="s">
        <v>25</v>
      </c>
      <c r="G3960" s="4">
        <v>3</v>
      </c>
      <c r="H3960" s="4" t="s">
        <v>17</v>
      </c>
      <c r="I3960" s="4" t="s">
        <v>69</v>
      </c>
      <c r="J3960" s="4" t="s">
        <v>66</v>
      </c>
      <c r="K3960" s="4">
        <v>0</v>
      </c>
      <c r="L3960" s="94">
        <v>-32398</v>
      </c>
      <c r="M3960" s="94">
        <v>0</v>
      </c>
    </row>
    <row r="3961" spans="3:13" x14ac:dyDescent="0.3">
      <c r="C3961" t="s">
        <v>70</v>
      </c>
      <c r="D3961" t="s">
        <v>67</v>
      </c>
      <c r="E3961" t="s">
        <v>68</v>
      </c>
      <c r="F3961" t="s">
        <v>25</v>
      </c>
      <c r="G3961" s="4">
        <v>7</v>
      </c>
      <c r="H3961" s="4" t="s">
        <v>74</v>
      </c>
      <c r="I3961" s="4" t="s">
        <v>69</v>
      </c>
      <c r="J3961" s="4" t="s">
        <v>66</v>
      </c>
      <c r="K3961" s="4">
        <v>0</v>
      </c>
      <c r="L3961" s="94">
        <v>557034</v>
      </c>
      <c r="M3961" s="94">
        <v>3899238</v>
      </c>
    </row>
    <row r="3962" spans="3:13" x14ac:dyDescent="0.3">
      <c r="C3962" t="s">
        <v>61</v>
      </c>
      <c r="D3962" t="s">
        <v>62</v>
      </c>
      <c r="E3962" t="s">
        <v>68</v>
      </c>
      <c r="F3962" t="s">
        <v>24</v>
      </c>
      <c r="G3962" s="4">
        <v>15</v>
      </c>
      <c r="I3962" s="4" t="s">
        <v>69</v>
      </c>
      <c r="J3962" s="4" t="s">
        <v>66</v>
      </c>
      <c r="K3962" s="4">
        <v>1</v>
      </c>
      <c r="L3962" s="94">
        <v>783640</v>
      </c>
      <c r="M3962" s="94">
        <v>11754600</v>
      </c>
    </row>
    <row r="3963" spans="3:13" x14ac:dyDescent="0.3">
      <c r="C3963" t="s">
        <v>61</v>
      </c>
      <c r="D3963" t="s">
        <v>67</v>
      </c>
      <c r="E3963" t="s">
        <v>63</v>
      </c>
      <c r="F3963" t="s">
        <v>25</v>
      </c>
      <c r="G3963" s="4">
        <v>3</v>
      </c>
      <c r="H3963" s="4" t="s">
        <v>18</v>
      </c>
      <c r="I3963" s="4" t="s">
        <v>69</v>
      </c>
      <c r="J3963" s="4" t="s">
        <v>66</v>
      </c>
      <c r="K3963" s="4">
        <v>0</v>
      </c>
      <c r="L3963" s="94">
        <v>-10132</v>
      </c>
      <c r="M3963" s="94">
        <v>0</v>
      </c>
    </row>
    <row r="3964" spans="3:13" x14ac:dyDescent="0.3">
      <c r="C3964" t="s">
        <v>70</v>
      </c>
      <c r="D3964" t="s">
        <v>67</v>
      </c>
      <c r="E3964" t="s">
        <v>68</v>
      </c>
      <c r="F3964" t="s">
        <v>25</v>
      </c>
      <c r="G3964" s="4">
        <v>3</v>
      </c>
      <c r="H3964" s="4" t="s">
        <v>76</v>
      </c>
      <c r="I3964" s="4" t="s">
        <v>69</v>
      </c>
      <c r="J3964" s="4" t="s">
        <v>66</v>
      </c>
      <c r="K3964" s="4">
        <v>0</v>
      </c>
      <c r="L3964" s="94">
        <v>1707233</v>
      </c>
      <c r="M3964" s="94">
        <v>5121699</v>
      </c>
    </row>
    <row r="3965" spans="3:13" x14ac:dyDescent="0.3">
      <c r="C3965" t="s">
        <v>70</v>
      </c>
      <c r="D3965" t="s">
        <v>67</v>
      </c>
      <c r="E3965" t="s">
        <v>63</v>
      </c>
      <c r="F3965" t="s">
        <v>26</v>
      </c>
      <c r="G3965" s="4">
        <v>11</v>
      </c>
      <c r="H3965" s="4" t="s">
        <v>12</v>
      </c>
      <c r="I3965" s="4" t="s">
        <v>69</v>
      </c>
      <c r="J3965" s="4" t="s">
        <v>73</v>
      </c>
      <c r="K3965" s="4">
        <v>1</v>
      </c>
      <c r="L3965" s="94">
        <v>-19095</v>
      </c>
      <c r="M3965" s="94">
        <v>0</v>
      </c>
    </row>
    <row r="3966" spans="3:13" x14ac:dyDescent="0.3">
      <c r="C3966" t="s">
        <v>71</v>
      </c>
      <c r="D3966" t="s">
        <v>67</v>
      </c>
      <c r="E3966" t="s">
        <v>63</v>
      </c>
      <c r="F3966" t="s">
        <v>25</v>
      </c>
      <c r="G3966" s="4">
        <v>0</v>
      </c>
      <c r="H3966" s="4" t="s">
        <v>12</v>
      </c>
      <c r="I3966" s="4" t="s">
        <v>69</v>
      </c>
      <c r="J3966" s="4" t="s">
        <v>66</v>
      </c>
      <c r="K3966" s="4">
        <v>0</v>
      </c>
      <c r="L3966" s="94">
        <v>-1806</v>
      </c>
      <c r="M3966" s="94">
        <v>0</v>
      </c>
    </row>
    <row r="3967" spans="3:13" x14ac:dyDescent="0.3">
      <c r="C3967" t="s">
        <v>61</v>
      </c>
      <c r="D3967" t="s">
        <v>62</v>
      </c>
      <c r="E3967" t="s">
        <v>68</v>
      </c>
      <c r="F3967" t="s">
        <v>24</v>
      </c>
      <c r="G3967" s="4">
        <v>-1</v>
      </c>
      <c r="I3967" s="4" t="s">
        <v>69</v>
      </c>
      <c r="J3967" s="4" t="s">
        <v>66</v>
      </c>
      <c r="K3967" s="4">
        <v>1</v>
      </c>
      <c r="L3967" s="94">
        <v>30128</v>
      </c>
      <c r="M3967" s="94">
        <v>0</v>
      </c>
    </row>
    <row r="3968" spans="3:13" x14ac:dyDescent="0.3">
      <c r="C3968" t="s">
        <v>61</v>
      </c>
      <c r="D3968" t="s">
        <v>67</v>
      </c>
      <c r="E3968" t="s">
        <v>68</v>
      </c>
      <c r="F3968" t="s">
        <v>72</v>
      </c>
      <c r="G3968" s="4">
        <v>1</v>
      </c>
      <c r="H3968" s="4" t="s">
        <v>13</v>
      </c>
      <c r="I3968" s="4" t="s">
        <v>69</v>
      </c>
      <c r="J3968" s="4" t="s">
        <v>73</v>
      </c>
      <c r="K3968" s="4">
        <v>1</v>
      </c>
      <c r="L3968" s="94">
        <v>172658</v>
      </c>
      <c r="M3968" s="94">
        <v>172658</v>
      </c>
    </row>
    <row r="3969" spans="3:13" x14ac:dyDescent="0.3">
      <c r="C3969" t="s">
        <v>71</v>
      </c>
      <c r="D3969" t="s">
        <v>67</v>
      </c>
      <c r="E3969" t="s">
        <v>68</v>
      </c>
      <c r="F3969" t="s">
        <v>72</v>
      </c>
      <c r="G3969" s="4">
        <v>4</v>
      </c>
      <c r="H3969" s="4" t="s">
        <v>64</v>
      </c>
      <c r="I3969" s="4" t="s">
        <v>69</v>
      </c>
      <c r="J3969" s="4" t="s">
        <v>66</v>
      </c>
      <c r="K3969" s="4">
        <v>0</v>
      </c>
      <c r="L3969" s="94">
        <v>41120</v>
      </c>
      <c r="M3969" s="94">
        <v>164480</v>
      </c>
    </row>
    <row r="3970" spans="3:13" x14ac:dyDescent="0.3">
      <c r="C3970" t="s">
        <v>71</v>
      </c>
      <c r="D3970" t="s">
        <v>67</v>
      </c>
      <c r="E3970" t="s">
        <v>68</v>
      </c>
      <c r="F3970" t="s">
        <v>26</v>
      </c>
      <c r="G3970" s="4">
        <v>11</v>
      </c>
      <c r="H3970" s="4" t="s">
        <v>14</v>
      </c>
      <c r="I3970" s="4" t="s">
        <v>69</v>
      </c>
      <c r="J3970" s="4" t="s">
        <v>73</v>
      </c>
      <c r="K3970" s="4">
        <v>1</v>
      </c>
      <c r="L3970" s="94">
        <v>359131</v>
      </c>
      <c r="M3970" s="94">
        <v>3950441</v>
      </c>
    </row>
    <row r="3971" spans="3:13" x14ac:dyDescent="0.3">
      <c r="C3971" t="s">
        <v>70</v>
      </c>
      <c r="D3971" t="s">
        <v>67</v>
      </c>
      <c r="E3971" t="s">
        <v>68</v>
      </c>
      <c r="F3971" t="s">
        <v>25</v>
      </c>
      <c r="G3971" s="4">
        <v>0</v>
      </c>
      <c r="H3971" s="4" t="s">
        <v>14</v>
      </c>
      <c r="I3971" s="4" t="s">
        <v>69</v>
      </c>
      <c r="J3971" s="4" t="s">
        <v>66</v>
      </c>
      <c r="K3971" s="4">
        <v>1</v>
      </c>
      <c r="L3971" s="94">
        <v>22264</v>
      </c>
      <c r="M3971" s="94">
        <v>0</v>
      </c>
    </row>
    <row r="3972" spans="3:13" x14ac:dyDescent="0.3">
      <c r="C3972" t="s">
        <v>70</v>
      </c>
      <c r="D3972" t="s">
        <v>67</v>
      </c>
      <c r="E3972" t="s">
        <v>63</v>
      </c>
      <c r="F3972" t="s">
        <v>72</v>
      </c>
      <c r="G3972" s="4">
        <v>7</v>
      </c>
      <c r="H3972" s="4" t="s">
        <v>12</v>
      </c>
      <c r="I3972" s="4" t="s">
        <v>69</v>
      </c>
      <c r="J3972" s="4" t="s">
        <v>66</v>
      </c>
      <c r="K3972" s="4">
        <v>0</v>
      </c>
      <c r="L3972" s="94">
        <v>-1924</v>
      </c>
      <c r="M3972" s="94">
        <v>0</v>
      </c>
    </row>
    <row r="3973" spans="3:13" x14ac:dyDescent="0.3">
      <c r="C3973" t="s">
        <v>61</v>
      </c>
      <c r="D3973" t="s">
        <v>84</v>
      </c>
      <c r="E3973" t="s">
        <v>68</v>
      </c>
      <c r="F3973" t="s">
        <v>25</v>
      </c>
      <c r="G3973" s="4">
        <v>6</v>
      </c>
      <c r="H3973" s="4" t="s">
        <v>18</v>
      </c>
      <c r="I3973" s="4" t="s">
        <v>69</v>
      </c>
      <c r="J3973" s="4" t="s">
        <v>66</v>
      </c>
      <c r="K3973" s="4">
        <v>0</v>
      </c>
      <c r="L3973" s="94">
        <v>4268896</v>
      </c>
      <c r="M3973" s="94">
        <v>25613376</v>
      </c>
    </row>
    <row r="3974" spans="3:13" x14ac:dyDescent="0.3">
      <c r="C3974" t="s">
        <v>70</v>
      </c>
      <c r="D3974" t="s">
        <v>67</v>
      </c>
      <c r="E3974" t="s">
        <v>63</v>
      </c>
      <c r="F3974" t="s">
        <v>26</v>
      </c>
      <c r="G3974" s="4">
        <v>4</v>
      </c>
      <c r="H3974" s="4" t="s">
        <v>74</v>
      </c>
      <c r="I3974" s="4" t="s">
        <v>69</v>
      </c>
      <c r="J3974" s="4" t="s">
        <v>66</v>
      </c>
      <c r="K3974" s="4">
        <v>0</v>
      </c>
      <c r="L3974" s="94">
        <v>-113634</v>
      </c>
      <c r="M3974" s="94">
        <v>0</v>
      </c>
    </row>
    <row r="3975" spans="3:13" x14ac:dyDescent="0.3">
      <c r="C3975" t="s">
        <v>71</v>
      </c>
      <c r="D3975" t="s">
        <v>62</v>
      </c>
      <c r="E3975" t="s">
        <v>63</v>
      </c>
      <c r="F3975" t="s">
        <v>24</v>
      </c>
      <c r="G3975" s="4">
        <v>15</v>
      </c>
      <c r="I3975" s="4" t="s">
        <v>65</v>
      </c>
      <c r="J3975" s="4" t="s">
        <v>66</v>
      </c>
      <c r="K3975" s="4">
        <v>1</v>
      </c>
      <c r="L3975" s="94">
        <v>-6748</v>
      </c>
      <c r="M3975" s="94">
        <v>0</v>
      </c>
    </row>
    <row r="3976" spans="3:13" x14ac:dyDescent="0.3">
      <c r="C3976" t="s">
        <v>70</v>
      </c>
      <c r="D3976" t="s">
        <v>62</v>
      </c>
      <c r="E3976" t="s">
        <v>63</v>
      </c>
      <c r="F3976" t="s">
        <v>24</v>
      </c>
      <c r="G3976" s="4">
        <v>5</v>
      </c>
      <c r="I3976" s="4" t="s">
        <v>69</v>
      </c>
      <c r="J3976" s="4" t="s">
        <v>66</v>
      </c>
      <c r="K3976" s="4">
        <v>0</v>
      </c>
      <c r="L3976" s="94">
        <v>-203470</v>
      </c>
      <c r="M3976" s="94">
        <v>0</v>
      </c>
    </row>
    <row r="3977" spans="3:13" x14ac:dyDescent="0.3">
      <c r="C3977" t="s">
        <v>71</v>
      </c>
      <c r="D3977" t="s">
        <v>62</v>
      </c>
      <c r="E3977" t="s">
        <v>63</v>
      </c>
      <c r="F3977" t="s">
        <v>24</v>
      </c>
      <c r="G3977" s="4">
        <v>16</v>
      </c>
      <c r="I3977" s="4" t="s">
        <v>69</v>
      </c>
      <c r="J3977" s="4" t="s">
        <v>66</v>
      </c>
      <c r="K3977" s="4">
        <v>0</v>
      </c>
      <c r="L3977" s="94">
        <v>-1466702</v>
      </c>
      <c r="M3977" s="94">
        <v>0</v>
      </c>
    </row>
    <row r="3978" spans="3:13" x14ac:dyDescent="0.3">
      <c r="C3978" t="s">
        <v>71</v>
      </c>
      <c r="D3978" t="s">
        <v>62</v>
      </c>
      <c r="E3978" t="s">
        <v>68</v>
      </c>
      <c r="F3978" t="s">
        <v>24</v>
      </c>
      <c r="G3978" s="4">
        <v>38</v>
      </c>
      <c r="I3978" s="4" t="s">
        <v>65</v>
      </c>
      <c r="J3978" s="4" t="s">
        <v>66</v>
      </c>
      <c r="K3978" s="4">
        <v>1</v>
      </c>
      <c r="L3978" s="94">
        <v>114725</v>
      </c>
      <c r="M3978" s="94">
        <v>4359550</v>
      </c>
    </row>
    <row r="3979" spans="3:13" x14ac:dyDescent="0.3">
      <c r="C3979" t="s">
        <v>70</v>
      </c>
      <c r="D3979" t="s">
        <v>67</v>
      </c>
      <c r="E3979" t="s">
        <v>68</v>
      </c>
      <c r="F3979" t="s">
        <v>26</v>
      </c>
      <c r="G3979" s="4">
        <v>7</v>
      </c>
      <c r="H3979" s="4" t="s">
        <v>74</v>
      </c>
      <c r="I3979" s="4" t="s">
        <v>69</v>
      </c>
      <c r="J3979" s="4" t="s">
        <v>66</v>
      </c>
      <c r="K3979" s="4">
        <v>0</v>
      </c>
      <c r="L3979" s="94">
        <v>1326827</v>
      </c>
      <c r="M3979" s="94">
        <v>9287789</v>
      </c>
    </row>
    <row r="3980" spans="3:13" x14ac:dyDescent="0.3">
      <c r="C3980" t="s">
        <v>61</v>
      </c>
      <c r="D3980" t="s">
        <v>67</v>
      </c>
      <c r="E3980" t="s">
        <v>63</v>
      </c>
      <c r="F3980" t="s">
        <v>72</v>
      </c>
      <c r="G3980" s="4">
        <v>2</v>
      </c>
      <c r="H3980" s="4" t="s">
        <v>86</v>
      </c>
      <c r="I3980" s="4" t="s">
        <v>69</v>
      </c>
      <c r="J3980" s="4" t="s">
        <v>66</v>
      </c>
      <c r="K3980" s="4">
        <v>0</v>
      </c>
      <c r="L3980" s="94">
        <v>-25</v>
      </c>
      <c r="M3980" s="94">
        <v>0</v>
      </c>
    </row>
    <row r="3981" spans="3:13" x14ac:dyDescent="0.3">
      <c r="C3981" t="s">
        <v>70</v>
      </c>
      <c r="D3981" t="s">
        <v>67</v>
      </c>
      <c r="E3981" t="s">
        <v>63</v>
      </c>
      <c r="F3981" t="s">
        <v>25</v>
      </c>
      <c r="G3981" s="4">
        <v>7</v>
      </c>
      <c r="H3981" s="4" t="s">
        <v>64</v>
      </c>
      <c r="I3981" s="4" t="s">
        <v>69</v>
      </c>
      <c r="J3981" s="4" t="s">
        <v>66</v>
      </c>
      <c r="K3981" s="4">
        <v>0</v>
      </c>
      <c r="L3981" s="94">
        <v>-116267</v>
      </c>
      <c r="M3981" s="94">
        <v>0</v>
      </c>
    </row>
    <row r="3982" spans="3:13" x14ac:dyDescent="0.3">
      <c r="C3982" t="s">
        <v>71</v>
      </c>
      <c r="D3982" t="s">
        <v>67</v>
      </c>
      <c r="E3982" t="s">
        <v>63</v>
      </c>
      <c r="F3982" t="s">
        <v>26</v>
      </c>
      <c r="G3982" s="4">
        <v>-1</v>
      </c>
      <c r="I3982" s="4" t="s">
        <v>69</v>
      </c>
      <c r="J3982" s="4" t="s">
        <v>66</v>
      </c>
      <c r="K3982" s="4">
        <v>0</v>
      </c>
      <c r="L3982" s="94">
        <v>-9273</v>
      </c>
      <c r="M3982" s="94">
        <v>0</v>
      </c>
    </row>
    <row r="3983" spans="3:13" x14ac:dyDescent="0.3">
      <c r="C3983" t="s">
        <v>70</v>
      </c>
      <c r="D3983" t="s">
        <v>67</v>
      </c>
      <c r="E3983" t="s">
        <v>63</v>
      </c>
      <c r="F3983" t="s">
        <v>26</v>
      </c>
      <c r="G3983" s="4">
        <v>1</v>
      </c>
      <c r="H3983" s="4" t="s">
        <v>64</v>
      </c>
      <c r="I3983" s="4" t="s">
        <v>69</v>
      </c>
      <c r="J3983" s="4" t="s">
        <v>66</v>
      </c>
      <c r="K3983" s="4">
        <v>0</v>
      </c>
      <c r="L3983" s="94">
        <v>-86910</v>
      </c>
      <c r="M3983" s="94">
        <v>0</v>
      </c>
    </row>
    <row r="3984" spans="3:13" x14ac:dyDescent="0.3">
      <c r="C3984" t="s">
        <v>61</v>
      </c>
      <c r="D3984" t="s">
        <v>67</v>
      </c>
      <c r="E3984" t="s">
        <v>63</v>
      </c>
      <c r="F3984" t="s">
        <v>72</v>
      </c>
      <c r="G3984" s="4">
        <v>2</v>
      </c>
      <c r="H3984" s="4" t="s">
        <v>17</v>
      </c>
      <c r="I3984" s="4" t="s">
        <v>65</v>
      </c>
      <c r="J3984" s="4" t="s">
        <v>73</v>
      </c>
      <c r="K3984" s="4">
        <v>1</v>
      </c>
      <c r="L3984" s="94">
        <v>-174</v>
      </c>
      <c r="M3984" s="94">
        <v>0</v>
      </c>
    </row>
    <row r="3985" spans="3:13" x14ac:dyDescent="0.3">
      <c r="C3985" t="s">
        <v>71</v>
      </c>
      <c r="D3985" t="s">
        <v>67</v>
      </c>
      <c r="E3985" t="s">
        <v>63</v>
      </c>
      <c r="F3985" t="s">
        <v>25</v>
      </c>
      <c r="G3985" s="4">
        <v>0</v>
      </c>
      <c r="H3985" s="4" t="s">
        <v>14</v>
      </c>
      <c r="I3985" s="4" t="s">
        <v>69</v>
      </c>
      <c r="J3985" s="4" t="s">
        <v>66</v>
      </c>
      <c r="K3985" s="4">
        <v>0</v>
      </c>
      <c r="L3985" s="94">
        <v>-335129</v>
      </c>
      <c r="M3985" s="94">
        <v>0</v>
      </c>
    </row>
    <row r="3986" spans="3:13" x14ac:dyDescent="0.3">
      <c r="C3986" t="s">
        <v>71</v>
      </c>
      <c r="D3986" t="s">
        <v>62</v>
      </c>
      <c r="E3986" t="s">
        <v>63</v>
      </c>
      <c r="F3986" t="s">
        <v>24</v>
      </c>
      <c r="G3986" s="4">
        <v>24</v>
      </c>
      <c r="I3986" s="4" t="s">
        <v>69</v>
      </c>
      <c r="J3986" s="4" t="s">
        <v>66</v>
      </c>
      <c r="K3986" s="4">
        <v>0</v>
      </c>
      <c r="L3986" s="94">
        <v>-1939825</v>
      </c>
      <c r="M3986" s="94">
        <v>0</v>
      </c>
    </row>
    <row r="3987" spans="3:13" x14ac:dyDescent="0.3">
      <c r="C3987" t="s">
        <v>70</v>
      </c>
      <c r="D3987" t="s">
        <v>62</v>
      </c>
      <c r="E3987" t="s">
        <v>68</v>
      </c>
      <c r="F3987" t="s">
        <v>24</v>
      </c>
      <c r="G3987" s="4">
        <v>6</v>
      </c>
      <c r="I3987" s="4" t="s">
        <v>65</v>
      </c>
      <c r="J3987" s="4" t="s">
        <v>66</v>
      </c>
      <c r="K3987" s="4">
        <v>1</v>
      </c>
      <c r="L3987" s="94">
        <v>209828</v>
      </c>
      <c r="M3987" s="94">
        <v>1258968</v>
      </c>
    </row>
    <row r="3988" spans="3:13" x14ac:dyDescent="0.3">
      <c r="C3988" t="s">
        <v>61</v>
      </c>
      <c r="D3988" t="s">
        <v>88</v>
      </c>
      <c r="E3988" t="s">
        <v>63</v>
      </c>
      <c r="F3988" t="s">
        <v>25</v>
      </c>
      <c r="G3988" s="4">
        <v>5</v>
      </c>
      <c r="H3988" s="4" t="s">
        <v>86</v>
      </c>
      <c r="I3988" s="4" t="s">
        <v>69</v>
      </c>
      <c r="J3988" s="4" t="s">
        <v>66</v>
      </c>
      <c r="K3988" s="4">
        <v>0</v>
      </c>
      <c r="L3988" s="94">
        <v>-8</v>
      </c>
      <c r="M3988" s="94">
        <v>0</v>
      </c>
    </row>
    <row r="3989" spans="3:13" x14ac:dyDescent="0.3">
      <c r="C3989" t="s">
        <v>71</v>
      </c>
      <c r="D3989" t="s">
        <v>67</v>
      </c>
      <c r="E3989" t="s">
        <v>68</v>
      </c>
      <c r="F3989" t="s">
        <v>72</v>
      </c>
      <c r="G3989" s="4">
        <v>4</v>
      </c>
      <c r="H3989" s="4" t="s">
        <v>75</v>
      </c>
      <c r="I3989" s="4" t="s">
        <v>69</v>
      </c>
      <c r="J3989" s="4" t="s">
        <v>66</v>
      </c>
      <c r="K3989" s="4">
        <v>0</v>
      </c>
      <c r="L3989" s="94">
        <v>42971</v>
      </c>
      <c r="M3989" s="94">
        <v>171884</v>
      </c>
    </row>
    <row r="3990" spans="3:13" x14ac:dyDescent="0.3">
      <c r="C3990" t="s">
        <v>71</v>
      </c>
      <c r="D3990" t="s">
        <v>67</v>
      </c>
      <c r="E3990" t="s">
        <v>68</v>
      </c>
      <c r="F3990" t="s">
        <v>26</v>
      </c>
      <c r="G3990" s="4">
        <v>1</v>
      </c>
      <c r="H3990" s="4" t="s">
        <v>74</v>
      </c>
      <c r="I3990" s="4" t="s">
        <v>69</v>
      </c>
      <c r="J3990" s="4" t="s">
        <v>66</v>
      </c>
      <c r="K3990" s="4">
        <v>0</v>
      </c>
      <c r="L3990" s="94">
        <v>2393687</v>
      </c>
      <c r="M3990" s="94">
        <v>2393687</v>
      </c>
    </row>
    <row r="3991" spans="3:13" x14ac:dyDescent="0.3">
      <c r="C3991" t="s">
        <v>61</v>
      </c>
      <c r="D3991" t="s">
        <v>67</v>
      </c>
      <c r="E3991" t="s">
        <v>68</v>
      </c>
      <c r="F3991" t="s">
        <v>72</v>
      </c>
      <c r="G3991" s="4">
        <v>-4</v>
      </c>
      <c r="H3991" s="4" t="s">
        <v>14</v>
      </c>
      <c r="I3991" s="4" t="s">
        <v>69</v>
      </c>
      <c r="J3991" s="4" t="s">
        <v>73</v>
      </c>
      <c r="K3991" s="4">
        <v>1</v>
      </c>
      <c r="L3991" s="94">
        <v>277</v>
      </c>
      <c r="M3991" s="94">
        <v>0</v>
      </c>
    </row>
    <row r="3992" spans="3:13" x14ac:dyDescent="0.3">
      <c r="C3992" t="s">
        <v>71</v>
      </c>
      <c r="D3992" t="s">
        <v>62</v>
      </c>
      <c r="E3992" t="s">
        <v>63</v>
      </c>
      <c r="F3992" t="s">
        <v>24</v>
      </c>
      <c r="G3992" s="4">
        <v>34</v>
      </c>
      <c r="I3992" s="4" t="s">
        <v>65</v>
      </c>
      <c r="J3992" s="4" t="s">
        <v>66</v>
      </c>
      <c r="K3992" s="4">
        <v>1</v>
      </c>
      <c r="L3992" s="94">
        <v>-43628</v>
      </c>
      <c r="M3992" s="94">
        <v>0</v>
      </c>
    </row>
    <row r="3993" spans="3:13" x14ac:dyDescent="0.3">
      <c r="C3993" t="s">
        <v>61</v>
      </c>
      <c r="D3993" t="s">
        <v>67</v>
      </c>
      <c r="E3993" t="s">
        <v>68</v>
      </c>
      <c r="F3993" t="s">
        <v>72</v>
      </c>
      <c r="G3993" s="4">
        <v>2</v>
      </c>
      <c r="H3993" s="4" t="s">
        <v>77</v>
      </c>
      <c r="I3993" s="4" t="s">
        <v>69</v>
      </c>
      <c r="J3993" s="4" t="s">
        <v>66</v>
      </c>
      <c r="K3993" s="4">
        <v>0</v>
      </c>
      <c r="L3993" s="94">
        <v>2924395</v>
      </c>
      <c r="M3993" s="94">
        <v>5848790</v>
      </c>
    </row>
    <row r="3994" spans="3:13" x14ac:dyDescent="0.3">
      <c r="C3994" t="s">
        <v>61</v>
      </c>
      <c r="D3994" t="s">
        <v>67</v>
      </c>
      <c r="E3994" t="s">
        <v>68</v>
      </c>
      <c r="F3994" t="s">
        <v>72</v>
      </c>
      <c r="G3994" s="4">
        <v>1</v>
      </c>
      <c r="H3994" s="4" t="s">
        <v>18</v>
      </c>
      <c r="I3994" s="4" t="s">
        <v>65</v>
      </c>
      <c r="J3994" s="4" t="s">
        <v>66</v>
      </c>
      <c r="K3994" s="4">
        <v>1</v>
      </c>
      <c r="L3994" s="94">
        <v>8299</v>
      </c>
      <c r="M3994" s="94">
        <v>8299</v>
      </c>
    </row>
    <row r="3995" spans="3:13" x14ac:dyDescent="0.3">
      <c r="C3995" t="s">
        <v>71</v>
      </c>
      <c r="D3995" t="s">
        <v>67</v>
      </c>
      <c r="E3995" t="s">
        <v>63</v>
      </c>
      <c r="F3995" t="s">
        <v>25</v>
      </c>
      <c r="G3995" s="4">
        <v>9</v>
      </c>
      <c r="H3995" s="4" t="s">
        <v>75</v>
      </c>
      <c r="I3995" s="4" t="s">
        <v>69</v>
      </c>
      <c r="J3995" s="4" t="s">
        <v>66</v>
      </c>
      <c r="K3995" s="4">
        <v>0</v>
      </c>
      <c r="L3995" s="94">
        <v>-10858</v>
      </c>
      <c r="M3995" s="94">
        <v>0</v>
      </c>
    </row>
    <row r="3996" spans="3:13" x14ac:dyDescent="0.3">
      <c r="C3996" t="s">
        <v>71</v>
      </c>
      <c r="D3996" t="s">
        <v>67</v>
      </c>
      <c r="E3996" t="s">
        <v>68</v>
      </c>
      <c r="F3996" t="s">
        <v>25</v>
      </c>
      <c r="G3996" s="4">
        <v>2</v>
      </c>
      <c r="H3996" s="4" t="s">
        <v>77</v>
      </c>
      <c r="I3996" s="4" t="s">
        <v>69</v>
      </c>
      <c r="J3996" s="4" t="s">
        <v>66</v>
      </c>
      <c r="K3996" s="4">
        <v>0</v>
      </c>
      <c r="L3996" s="94">
        <v>33421</v>
      </c>
      <c r="M3996" s="94">
        <v>66842</v>
      </c>
    </row>
    <row r="3997" spans="3:13" x14ac:dyDescent="0.3">
      <c r="C3997" t="s">
        <v>61</v>
      </c>
      <c r="D3997" t="s">
        <v>62</v>
      </c>
      <c r="E3997" t="s">
        <v>68</v>
      </c>
      <c r="F3997" t="s">
        <v>24</v>
      </c>
      <c r="G3997" s="4">
        <v>8</v>
      </c>
      <c r="I3997" s="4" t="s">
        <v>69</v>
      </c>
      <c r="J3997" s="4" t="s">
        <v>66</v>
      </c>
      <c r="K3997" s="4">
        <v>1</v>
      </c>
      <c r="L3997" s="94">
        <v>634970</v>
      </c>
      <c r="M3997" s="94">
        <v>5079760</v>
      </c>
    </row>
    <row r="3998" spans="3:13" x14ac:dyDescent="0.3">
      <c r="C3998" t="s">
        <v>70</v>
      </c>
      <c r="D3998" t="s">
        <v>67</v>
      </c>
      <c r="E3998" t="s">
        <v>63</v>
      </c>
      <c r="F3998" t="s">
        <v>26</v>
      </c>
      <c r="G3998" s="4">
        <v>1</v>
      </c>
      <c r="H3998" s="4" t="s">
        <v>75</v>
      </c>
      <c r="I3998" s="4" t="s">
        <v>69</v>
      </c>
      <c r="J3998" s="4" t="s">
        <v>66</v>
      </c>
      <c r="K3998" s="4">
        <v>0</v>
      </c>
      <c r="L3998" s="94">
        <v>-57797</v>
      </c>
      <c r="M3998" s="94">
        <v>0</v>
      </c>
    </row>
    <row r="3999" spans="3:13" x14ac:dyDescent="0.3">
      <c r="C3999" t="s">
        <v>70</v>
      </c>
      <c r="D3999" t="s">
        <v>67</v>
      </c>
      <c r="E3999" t="s">
        <v>63</v>
      </c>
      <c r="F3999" t="s">
        <v>72</v>
      </c>
      <c r="G3999" s="4">
        <v>7</v>
      </c>
      <c r="H3999" s="4" t="s">
        <v>14</v>
      </c>
      <c r="I3999" s="4" t="s">
        <v>69</v>
      </c>
      <c r="J3999" s="4" t="s">
        <v>66</v>
      </c>
      <c r="K3999" s="4">
        <v>0</v>
      </c>
      <c r="L3999" s="94">
        <v>-3619</v>
      </c>
      <c r="M3999" s="94">
        <v>0</v>
      </c>
    </row>
    <row r="4000" spans="3:13" x14ac:dyDescent="0.3">
      <c r="C4000" t="s">
        <v>61</v>
      </c>
      <c r="D4000" t="s">
        <v>62</v>
      </c>
      <c r="E4000" t="s">
        <v>63</v>
      </c>
      <c r="F4000" t="s">
        <v>24</v>
      </c>
      <c r="G4000" s="4">
        <v>40</v>
      </c>
      <c r="I4000" s="4" t="s">
        <v>69</v>
      </c>
      <c r="J4000" s="4" t="s">
        <v>66</v>
      </c>
      <c r="K4000" s="4">
        <v>1</v>
      </c>
      <c r="L4000" s="94">
        <v>-642</v>
      </c>
      <c r="M4000" s="94">
        <v>0</v>
      </c>
    </row>
    <row r="4001" spans="3:13" x14ac:dyDescent="0.3">
      <c r="C4001" t="s">
        <v>61</v>
      </c>
      <c r="D4001" t="s">
        <v>67</v>
      </c>
      <c r="E4001" t="s">
        <v>68</v>
      </c>
      <c r="F4001" t="s">
        <v>26</v>
      </c>
      <c r="G4001" s="4">
        <v>1</v>
      </c>
      <c r="H4001" s="4" t="s">
        <v>18</v>
      </c>
      <c r="I4001" s="4" t="s">
        <v>69</v>
      </c>
      <c r="J4001" s="4" t="s">
        <v>66</v>
      </c>
      <c r="K4001" s="4">
        <v>0</v>
      </c>
      <c r="L4001" s="94">
        <v>217159382</v>
      </c>
      <c r="M4001" s="94">
        <v>217159382</v>
      </c>
    </row>
    <row r="4002" spans="3:13" x14ac:dyDescent="0.3">
      <c r="C4002" t="s">
        <v>70</v>
      </c>
      <c r="D4002" t="s">
        <v>67</v>
      </c>
      <c r="E4002" t="s">
        <v>63</v>
      </c>
      <c r="F4002" t="s">
        <v>72</v>
      </c>
      <c r="G4002" s="4">
        <v>4</v>
      </c>
      <c r="H4002" s="4" t="s">
        <v>81</v>
      </c>
      <c r="I4002" s="4" t="s">
        <v>69</v>
      </c>
      <c r="J4002" s="4" t="s">
        <v>66</v>
      </c>
      <c r="K4002" s="4">
        <v>0</v>
      </c>
      <c r="L4002" s="94">
        <v>-2954</v>
      </c>
      <c r="M4002" s="94">
        <v>0</v>
      </c>
    </row>
    <row r="4003" spans="3:13" x14ac:dyDescent="0.3">
      <c r="C4003" t="s">
        <v>61</v>
      </c>
      <c r="D4003" t="s">
        <v>67</v>
      </c>
      <c r="E4003" t="s">
        <v>68</v>
      </c>
      <c r="F4003" t="s">
        <v>25</v>
      </c>
      <c r="G4003" s="4">
        <v>-4</v>
      </c>
      <c r="H4003" s="4" t="s">
        <v>76</v>
      </c>
      <c r="I4003" s="4" t="s">
        <v>69</v>
      </c>
      <c r="J4003" s="4" t="s">
        <v>66</v>
      </c>
      <c r="K4003" s="4">
        <v>0</v>
      </c>
      <c r="L4003" s="94">
        <v>56</v>
      </c>
      <c r="M4003" s="94">
        <v>0</v>
      </c>
    </row>
    <row r="4004" spans="3:13" x14ac:dyDescent="0.3">
      <c r="C4004" t="s">
        <v>70</v>
      </c>
      <c r="D4004" t="s">
        <v>67</v>
      </c>
      <c r="E4004" t="s">
        <v>63</v>
      </c>
      <c r="F4004" t="s">
        <v>72</v>
      </c>
      <c r="G4004" s="4">
        <v>0</v>
      </c>
      <c r="H4004" s="4" t="s">
        <v>18</v>
      </c>
      <c r="I4004" s="4" t="s">
        <v>69</v>
      </c>
      <c r="J4004" s="4" t="s">
        <v>66</v>
      </c>
      <c r="K4004" s="4">
        <v>0</v>
      </c>
      <c r="L4004" s="94">
        <v>-4939</v>
      </c>
      <c r="M4004" s="94">
        <v>0</v>
      </c>
    </row>
    <row r="4005" spans="3:13" x14ac:dyDescent="0.3">
      <c r="C4005" t="s">
        <v>71</v>
      </c>
      <c r="D4005" t="s">
        <v>67</v>
      </c>
      <c r="E4005" t="s">
        <v>63</v>
      </c>
      <c r="F4005" t="s">
        <v>26</v>
      </c>
      <c r="G4005" s="4">
        <v>3</v>
      </c>
      <c r="H4005" s="4" t="s">
        <v>18</v>
      </c>
      <c r="I4005" s="4" t="s">
        <v>69</v>
      </c>
      <c r="J4005" s="4" t="s">
        <v>66</v>
      </c>
      <c r="K4005" s="4">
        <v>0</v>
      </c>
      <c r="L4005" s="94">
        <v>-2379118</v>
      </c>
      <c r="M4005" s="94">
        <v>0</v>
      </c>
    </row>
    <row r="4006" spans="3:13" x14ac:dyDescent="0.3">
      <c r="C4006" t="s">
        <v>70</v>
      </c>
      <c r="D4006" t="s">
        <v>67</v>
      </c>
      <c r="E4006" t="s">
        <v>68</v>
      </c>
      <c r="F4006" t="s">
        <v>26</v>
      </c>
      <c r="G4006" s="4">
        <v>2</v>
      </c>
      <c r="H4006" s="4" t="s">
        <v>12</v>
      </c>
      <c r="I4006" s="4" t="s">
        <v>69</v>
      </c>
      <c r="J4006" s="4" t="s">
        <v>66</v>
      </c>
      <c r="K4006" s="4">
        <v>0</v>
      </c>
      <c r="L4006" s="94">
        <v>1005127</v>
      </c>
      <c r="M4006" s="94">
        <v>2010254</v>
      </c>
    </row>
    <row r="4007" spans="3:13" x14ac:dyDescent="0.3">
      <c r="C4007" t="s">
        <v>70</v>
      </c>
      <c r="D4007" t="s">
        <v>67</v>
      </c>
      <c r="E4007" t="s">
        <v>63</v>
      </c>
      <c r="F4007" t="s">
        <v>26</v>
      </c>
      <c r="G4007" s="4">
        <v>0</v>
      </c>
      <c r="H4007" s="4" t="s">
        <v>18</v>
      </c>
      <c r="I4007" s="4" t="s">
        <v>69</v>
      </c>
      <c r="J4007" s="4" t="s">
        <v>66</v>
      </c>
      <c r="K4007" s="4">
        <v>0</v>
      </c>
      <c r="L4007" s="94">
        <v>-1172545</v>
      </c>
      <c r="M4007" s="94">
        <v>0</v>
      </c>
    </row>
    <row r="4008" spans="3:13" x14ac:dyDescent="0.3">
      <c r="C4008" t="s">
        <v>61</v>
      </c>
      <c r="D4008" t="s">
        <v>67</v>
      </c>
      <c r="E4008" t="s">
        <v>63</v>
      </c>
      <c r="F4008" t="s">
        <v>25</v>
      </c>
      <c r="G4008" s="4">
        <v>0</v>
      </c>
      <c r="H4008" s="4" t="s">
        <v>18</v>
      </c>
      <c r="I4008" s="4" t="s">
        <v>69</v>
      </c>
      <c r="J4008" s="4" t="s">
        <v>66</v>
      </c>
      <c r="K4008" s="4">
        <v>0</v>
      </c>
      <c r="L4008" s="94">
        <v>-1933</v>
      </c>
      <c r="M4008" s="94">
        <v>0</v>
      </c>
    </row>
    <row r="4009" spans="3:13" x14ac:dyDescent="0.3">
      <c r="C4009" t="s">
        <v>61</v>
      </c>
      <c r="D4009" t="s">
        <v>85</v>
      </c>
      <c r="E4009" t="s">
        <v>68</v>
      </c>
      <c r="F4009" t="s">
        <v>25</v>
      </c>
      <c r="G4009" s="4">
        <v>12</v>
      </c>
      <c r="H4009" s="4" t="s">
        <v>81</v>
      </c>
      <c r="I4009" s="4" t="s">
        <v>69</v>
      </c>
      <c r="J4009" s="4" t="s">
        <v>66</v>
      </c>
      <c r="K4009" s="4">
        <v>0</v>
      </c>
      <c r="L4009" s="94">
        <v>425209</v>
      </c>
      <c r="M4009" s="94">
        <v>5102508</v>
      </c>
    </row>
    <row r="4010" spans="3:13" x14ac:dyDescent="0.3">
      <c r="C4010" t="s">
        <v>70</v>
      </c>
      <c r="D4010" t="s">
        <v>67</v>
      </c>
      <c r="E4010" t="s">
        <v>63</v>
      </c>
      <c r="F4010" t="s">
        <v>72</v>
      </c>
      <c r="G4010" s="4">
        <v>2</v>
      </c>
      <c r="H4010" s="4" t="s">
        <v>17</v>
      </c>
      <c r="I4010" s="4" t="s">
        <v>65</v>
      </c>
      <c r="J4010" s="4" t="s">
        <v>73</v>
      </c>
      <c r="K4010" s="4">
        <v>1</v>
      </c>
      <c r="L4010" s="94">
        <v>-670</v>
      </c>
      <c r="M4010" s="94">
        <v>0</v>
      </c>
    </row>
    <row r="4011" spans="3:13" x14ac:dyDescent="0.3">
      <c r="C4011" t="s">
        <v>70</v>
      </c>
      <c r="D4011" t="s">
        <v>67</v>
      </c>
      <c r="E4011" t="s">
        <v>63</v>
      </c>
      <c r="F4011" t="s">
        <v>25</v>
      </c>
      <c r="G4011" s="4">
        <v>9</v>
      </c>
      <c r="H4011" s="4" t="s">
        <v>76</v>
      </c>
      <c r="I4011" s="4" t="s">
        <v>69</v>
      </c>
      <c r="J4011" s="4" t="s">
        <v>66</v>
      </c>
      <c r="K4011" s="4">
        <v>0</v>
      </c>
      <c r="L4011" s="94">
        <v>-199105</v>
      </c>
      <c r="M4011" s="94">
        <v>0</v>
      </c>
    </row>
    <row r="4012" spans="3:13" x14ac:dyDescent="0.3">
      <c r="C4012" t="s">
        <v>70</v>
      </c>
      <c r="D4012" t="s">
        <v>67</v>
      </c>
      <c r="E4012" t="s">
        <v>68</v>
      </c>
      <c r="F4012" t="s">
        <v>25</v>
      </c>
      <c r="G4012" s="4">
        <v>13</v>
      </c>
      <c r="H4012" s="4" t="s">
        <v>17</v>
      </c>
      <c r="I4012" s="4" t="s">
        <v>69</v>
      </c>
      <c r="J4012" s="4" t="s">
        <v>66</v>
      </c>
      <c r="K4012" s="4">
        <v>0</v>
      </c>
      <c r="L4012" s="94">
        <v>592266</v>
      </c>
      <c r="M4012" s="94">
        <v>7699458</v>
      </c>
    </row>
    <row r="4013" spans="3:13" x14ac:dyDescent="0.3">
      <c r="C4013" t="s">
        <v>71</v>
      </c>
      <c r="D4013" t="s">
        <v>67</v>
      </c>
      <c r="E4013" t="s">
        <v>63</v>
      </c>
      <c r="F4013" t="s">
        <v>72</v>
      </c>
      <c r="G4013" s="4">
        <v>0</v>
      </c>
      <c r="H4013" s="4" t="s">
        <v>18</v>
      </c>
      <c r="I4013" s="4" t="s">
        <v>69</v>
      </c>
      <c r="J4013" s="4" t="s">
        <v>73</v>
      </c>
      <c r="K4013" s="4">
        <v>1</v>
      </c>
      <c r="L4013" s="94">
        <v>-13448</v>
      </c>
      <c r="M4013" s="94">
        <v>0</v>
      </c>
    </row>
    <row r="4014" spans="3:13" x14ac:dyDescent="0.3">
      <c r="C4014" t="s">
        <v>61</v>
      </c>
      <c r="D4014" t="s">
        <v>67</v>
      </c>
      <c r="E4014" t="s">
        <v>68</v>
      </c>
      <c r="F4014" t="s">
        <v>72</v>
      </c>
      <c r="G4014" s="4">
        <v>-1</v>
      </c>
      <c r="H4014" s="4" t="s">
        <v>17</v>
      </c>
      <c r="I4014" s="4" t="s">
        <v>65</v>
      </c>
      <c r="J4014" s="4" t="s">
        <v>73</v>
      </c>
      <c r="K4014" s="4">
        <v>1</v>
      </c>
      <c r="L4014" s="94">
        <v>327571</v>
      </c>
      <c r="M4014" s="94">
        <v>0</v>
      </c>
    </row>
    <row r="4015" spans="3:13" x14ac:dyDescent="0.3">
      <c r="C4015" t="s">
        <v>61</v>
      </c>
      <c r="D4015" t="s">
        <v>67</v>
      </c>
      <c r="E4015" t="s">
        <v>68</v>
      </c>
      <c r="F4015" t="s">
        <v>72</v>
      </c>
      <c r="G4015" s="4">
        <v>7</v>
      </c>
      <c r="H4015" s="4" t="s">
        <v>79</v>
      </c>
      <c r="I4015" s="4" t="s">
        <v>69</v>
      </c>
      <c r="J4015" s="4" t="s">
        <v>66</v>
      </c>
      <c r="K4015" s="4">
        <v>0</v>
      </c>
      <c r="L4015" s="94">
        <v>1471948</v>
      </c>
      <c r="M4015" s="94">
        <v>10303636</v>
      </c>
    </row>
    <row r="4016" spans="3:13" x14ac:dyDescent="0.3">
      <c r="C4016" t="s">
        <v>70</v>
      </c>
      <c r="D4016" t="s">
        <v>67</v>
      </c>
      <c r="E4016" t="s">
        <v>68</v>
      </c>
      <c r="F4016" t="s">
        <v>72</v>
      </c>
      <c r="G4016" s="4">
        <v>0</v>
      </c>
      <c r="H4016" s="4" t="s">
        <v>12</v>
      </c>
      <c r="I4016" s="4" t="s">
        <v>65</v>
      </c>
      <c r="J4016" s="4" t="s">
        <v>73</v>
      </c>
      <c r="K4016" s="4">
        <v>1</v>
      </c>
      <c r="L4016" s="94">
        <v>2475</v>
      </c>
      <c r="M4016" s="94">
        <v>0</v>
      </c>
    </row>
    <row r="4017" spans="3:13" x14ac:dyDescent="0.3">
      <c r="C4017" t="s">
        <v>61</v>
      </c>
      <c r="D4017" t="s">
        <v>67</v>
      </c>
      <c r="E4017" t="s">
        <v>63</v>
      </c>
      <c r="F4017" t="s">
        <v>72</v>
      </c>
      <c r="G4017" s="4">
        <v>6</v>
      </c>
      <c r="H4017" s="4" t="s">
        <v>80</v>
      </c>
      <c r="I4017" s="4" t="s">
        <v>69</v>
      </c>
      <c r="J4017" s="4" t="s">
        <v>66</v>
      </c>
      <c r="K4017" s="4">
        <v>0</v>
      </c>
      <c r="L4017" s="94">
        <v>-488</v>
      </c>
      <c r="M4017" s="94">
        <v>0</v>
      </c>
    </row>
    <row r="4018" spans="3:13" x14ac:dyDescent="0.3">
      <c r="C4018" t="s">
        <v>61</v>
      </c>
      <c r="D4018" t="s">
        <v>67</v>
      </c>
      <c r="E4018" t="s">
        <v>63</v>
      </c>
      <c r="F4018" t="s">
        <v>25</v>
      </c>
      <c r="G4018" s="4">
        <v>4</v>
      </c>
      <c r="H4018" s="4" t="s">
        <v>18</v>
      </c>
      <c r="I4018" s="4" t="s">
        <v>69</v>
      </c>
      <c r="J4018" s="4" t="s">
        <v>66</v>
      </c>
      <c r="K4018" s="4">
        <v>1</v>
      </c>
      <c r="L4018" s="94">
        <v>-498</v>
      </c>
      <c r="M4018" s="94">
        <v>0</v>
      </c>
    </row>
    <row r="4019" spans="3:13" x14ac:dyDescent="0.3">
      <c r="C4019" t="s">
        <v>71</v>
      </c>
      <c r="D4019" t="s">
        <v>62</v>
      </c>
      <c r="E4019" t="s">
        <v>68</v>
      </c>
      <c r="F4019" t="s">
        <v>24</v>
      </c>
      <c r="G4019" s="4">
        <v>22</v>
      </c>
      <c r="I4019" s="4" t="s">
        <v>65</v>
      </c>
      <c r="J4019" s="4" t="s">
        <v>66</v>
      </c>
      <c r="K4019" s="4">
        <v>1</v>
      </c>
      <c r="L4019" s="94">
        <v>63747</v>
      </c>
      <c r="M4019" s="94">
        <v>1402434</v>
      </c>
    </row>
    <row r="4020" spans="3:13" x14ac:dyDescent="0.3">
      <c r="C4020" t="s">
        <v>70</v>
      </c>
      <c r="D4020" t="s">
        <v>67</v>
      </c>
      <c r="E4020" t="s">
        <v>63</v>
      </c>
      <c r="F4020" t="s">
        <v>25</v>
      </c>
      <c r="G4020" s="4">
        <v>4</v>
      </c>
      <c r="H4020" s="4" t="s">
        <v>17</v>
      </c>
      <c r="I4020" s="4" t="s">
        <v>69</v>
      </c>
      <c r="J4020" s="4" t="s">
        <v>66</v>
      </c>
      <c r="K4020" s="4">
        <v>1</v>
      </c>
      <c r="L4020" s="94">
        <v>-10564</v>
      </c>
      <c r="M4020" s="94">
        <v>0</v>
      </c>
    </row>
    <row r="4021" spans="3:13" x14ac:dyDescent="0.3">
      <c r="C4021" t="s">
        <v>61</v>
      </c>
      <c r="D4021" t="s">
        <v>67</v>
      </c>
      <c r="E4021" t="s">
        <v>68</v>
      </c>
      <c r="F4021" t="s">
        <v>72</v>
      </c>
      <c r="G4021" s="4">
        <v>3</v>
      </c>
      <c r="H4021" s="4" t="s">
        <v>75</v>
      </c>
      <c r="I4021" s="4" t="s">
        <v>65</v>
      </c>
      <c r="J4021" s="4" t="s">
        <v>66</v>
      </c>
      <c r="K4021" s="4">
        <v>1</v>
      </c>
      <c r="L4021" s="94">
        <v>44251</v>
      </c>
      <c r="M4021" s="94">
        <v>132753</v>
      </c>
    </row>
    <row r="4022" spans="3:13" x14ac:dyDescent="0.3">
      <c r="C4022" t="s">
        <v>61</v>
      </c>
      <c r="D4022" t="s">
        <v>67</v>
      </c>
      <c r="E4022" t="s">
        <v>63</v>
      </c>
      <c r="F4022" t="s">
        <v>72</v>
      </c>
      <c r="G4022" s="4">
        <v>4</v>
      </c>
      <c r="H4022" s="4" t="s">
        <v>81</v>
      </c>
      <c r="I4022" s="4" t="s">
        <v>69</v>
      </c>
      <c r="J4022" s="4" t="s">
        <v>66</v>
      </c>
      <c r="K4022" s="4">
        <v>0</v>
      </c>
      <c r="L4022" s="94">
        <v>-87</v>
      </c>
      <c r="M4022" s="94">
        <v>0</v>
      </c>
    </row>
    <row r="4023" spans="3:13" x14ac:dyDescent="0.3">
      <c r="C4023" t="s">
        <v>61</v>
      </c>
      <c r="D4023" t="s">
        <v>67</v>
      </c>
      <c r="E4023" t="s">
        <v>68</v>
      </c>
      <c r="F4023" t="s">
        <v>25</v>
      </c>
      <c r="G4023" s="4">
        <v>2</v>
      </c>
      <c r="H4023" s="4" t="s">
        <v>83</v>
      </c>
      <c r="I4023" s="4" t="s">
        <v>69</v>
      </c>
      <c r="J4023" s="4" t="s">
        <v>66</v>
      </c>
      <c r="K4023" s="4">
        <v>0</v>
      </c>
      <c r="L4023" s="94">
        <v>216196</v>
      </c>
      <c r="M4023" s="94">
        <v>432392</v>
      </c>
    </row>
    <row r="4024" spans="3:13" x14ac:dyDescent="0.3">
      <c r="C4024" t="s">
        <v>70</v>
      </c>
      <c r="D4024" t="s">
        <v>67</v>
      </c>
      <c r="E4024" t="s">
        <v>68</v>
      </c>
      <c r="F4024" t="s">
        <v>72</v>
      </c>
      <c r="G4024" s="4">
        <v>5</v>
      </c>
      <c r="H4024" s="4" t="s">
        <v>18</v>
      </c>
      <c r="I4024" s="4" t="s">
        <v>69</v>
      </c>
      <c r="J4024" s="4" t="s">
        <v>66</v>
      </c>
      <c r="K4024" s="4">
        <v>0</v>
      </c>
      <c r="L4024" s="94">
        <v>1623668</v>
      </c>
      <c r="M4024" s="94">
        <v>8118340</v>
      </c>
    </row>
    <row r="4025" spans="3:13" x14ac:dyDescent="0.3">
      <c r="C4025" t="s">
        <v>71</v>
      </c>
      <c r="D4025" t="s">
        <v>67</v>
      </c>
      <c r="E4025" t="s">
        <v>68</v>
      </c>
      <c r="F4025" t="s">
        <v>25</v>
      </c>
      <c r="G4025" s="4">
        <v>-4</v>
      </c>
      <c r="H4025" s="4" t="s">
        <v>79</v>
      </c>
      <c r="I4025" s="4" t="s">
        <v>69</v>
      </c>
      <c r="J4025" s="4" t="s">
        <v>66</v>
      </c>
      <c r="K4025" s="4">
        <v>0</v>
      </c>
      <c r="L4025" s="94">
        <v>45655</v>
      </c>
      <c r="M4025" s="94">
        <v>0</v>
      </c>
    </row>
    <row r="4026" spans="3:13" x14ac:dyDescent="0.3">
      <c r="C4026" t="s">
        <v>71</v>
      </c>
      <c r="D4026" t="s">
        <v>67</v>
      </c>
      <c r="E4026" t="s">
        <v>68</v>
      </c>
      <c r="F4026" t="s">
        <v>25</v>
      </c>
      <c r="G4026" s="4">
        <v>9</v>
      </c>
      <c r="H4026" s="4" t="s">
        <v>18</v>
      </c>
      <c r="I4026" s="4" t="s">
        <v>69</v>
      </c>
      <c r="J4026" s="4" t="s">
        <v>66</v>
      </c>
      <c r="K4026" s="4">
        <v>0</v>
      </c>
      <c r="L4026" s="94">
        <v>696272</v>
      </c>
      <c r="M4026" s="94">
        <v>6266448</v>
      </c>
    </row>
    <row r="4027" spans="3:13" x14ac:dyDescent="0.3">
      <c r="C4027" t="s">
        <v>71</v>
      </c>
      <c r="D4027" t="s">
        <v>62</v>
      </c>
      <c r="E4027" t="s">
        <v>68</v>
      </c>
      <c r="F4027" t="s">
        <v>24</v>
      </c>
      <c r="G4027" s="4">
        <v>34</v>
      </c>
      <c r="I4027" s="4" t="s">
        <v>69</v>
      </c>
      <c r="J4027" s="4" t="s">
        <v>66</v>
      </c>
      <c r="K4027" s="4">
        <v>1</v>
      </c>
      <c r="L4027" s="94">
        <v>49333</v>
      </c>
      <c r="M4027" s="94">
        <v>1677322</v>
      </c>
    </row>
    <row r="4028" spans="3:13" x14ac:dyDescent="0.3">
      <c r="C4028" t="s">
        <v>61</v>
      </c>
      <c r="D4028" t="s">
        <v>67</v>
      </c>
      <c r="E4028" t="s">
        <v>68</v>
      </c>
      <c r="F4028" t="s">
        <v>26</v>
      </c>
      <c r="G4028" s="4">
        <v>6</v>
      </c>
      <c r="H4028" s="4" t="s">
        <v>12</v>
      </c>
      <c r="I4028" s="4" t="s">
        <v>69</v>
      </c>
      <c r="J4028" s="4" t="s">
        <v>73</v>
      </c>
      <c r="K4028" s="4">
        <v>1</v>
      </c>
      <c r="L4028" s="94">
        <v>5443171</v>
      </c>
      <c r="M4028" s="94">
        <v>32659026</v>
      </c>
    </row>
    <row r="4029" spans="3:13" x14ac:dyDescent="0.3">
      <c r="C4029" t="s">
        <v>70</v>
      </c>
      <c r="D4029" t="s">
        <v>67</v>
      </c>
      <c r="E4029" t="s">
        <v>63</v>
      </c>
      <c r="F4029" t="s">
        <v>72</v>
      </c>
      <c r="G4029" s="4">
        <v>2</v>
      </c>
      <c r="H4029" s="4" t="s">
        <v>74</v>
      </c>
      <c r="I4029" s="4" t="s">
        <v>69</v>
      </c>
      <c r="J4029" s="4" t="s">
        <v>66</v>
      </c>
      <c r="K4029" s="4">
        <v>0</v>
      </c>
      <c r="L4029" s="94">
        <v>-32969</v>
      </c>
      <c r="M4029" s="94">
        <v>0</v>
      </c>
    </row>
    <row r="4030" spans="3:13" x14ac:dyDescent="0.3">
      <c r="C4030" t="s">
        <v>71</v>
      </c>
      <c r="D4030" t="s">
        <v>67</v>
      </c>
      <c r="E4030" t="s">
        <v>63</v>
      </c>
      <c r="F4030" t="s">
        <v>26</v>
      </c>
      <c r="G4030" s="4">
        <v>21</v>
      </c>
      <c r="H4030" s="4" t="s">
        <v>64</v>
      </c>
      <c r="I4030" s="4" t="s">
        <v>69</v>
      </c>
      <c r="J4030" s="4" t="s">
        <v>66</v>
      </c>
      <c r="K4030" s="4">
        <v>0</v>
      </c>
      <c r="L4030" s="94">
        <v>-4340854</v>
      </c>
      <c r="M4030" s="94">
        <v>0</v>
      </c>
    </row>
    <row r="4031" spans="3:13" x14ac:dyDescent="0.3">
      <c r="C4031" t="s">
        <v>71</v>
      </c>
      <c r="D4031" t="s">
        <v>67</v>
      </c>
      <c r="E4031" t="s">
        <v>68</v>
      </c>
      <c r="F4031" t="s">
        <v>25</v>
      </c>
      <c r="G4031" s="4">
        <v>11</v>
      </c>
      <c r="H4031" s="4" t="s">
        <v>18</v>
      </c>
      <c r="I4031" s="4" t="s">
        <v>69</v>
      </c>
      <c r="J4031" s="4" t="s">
        <v>66</v>
      </c>
      <c r="K4031" s="4">
        <v>0</v>
      </c>
      <c r="L4031" s="94">
        <v>80880</v>
      </c>
      <c r="M4031" s="94">
        <v>889680</v>
      </c>
    </row>
    <row r="4032" spans="3:13" x14ac:dyDescent="0.3">
      <c r="C4032" t="s">
        <v>71</v>
      </c>
      <c r="D4032" t="s">
        <v>67</v>
      </c>
      <c r="E4032" t="s">
        <v>68</v>
      </c>
      <c r="F4032" t="s">
        <v>72</v>
      </c>
      <c r="G4032" s="4">
        <v>2</v>
      </c>
      <c r="H4032" s="4" t="s">
        <v>12</v>
      </c>
      <c r="I4032" s="4" t="s">
        <v>69</v>
      </c>
      <c r="J4032" s="4" t="s">
        <v>66</v>
      </c>
      <c r="K4032" s="4">
        <v>0</v>
      </c>
      <c r="L4032" s="94">
        <v>121546</v>
      </c>
      <c r="M4032" s="94">
        <v>243092</v>
      </c>
    </row>
    <row r="4033" spans="3:13" x14ac:dyDescent="0.3">
      <c r="C4033" t="s">
        <v>70</v>
      </c>
      <c r="D4033" t="s">
        <v>84</v>
      </c>
      <c r="E4033" t="s">
        <v>63</v>
      </c>
      <c r="F4033" t="s">
        <v>25</v>
      </c>
      <c r="G4033" s="4">
        <v>-4</v>
      </c>
      <c r="H4033" s="4" t="s">
        <v>81</v>
      </c>
      <c r="I4033" s="4" t="s">
        <v>69</v>
      </c>
      <c r="J4033" s="4" t="s">
        <v>66</v>
      </c>
      <c r="K4033" s="4">
        <v>0</v>
      </c>
      <c r="L4033" s="94">
        <v>0</v>
      </c>
      <c r="M4033" s="94">
        <v>0</v>
      </c>
    </row>
    <row r="4034" spans="3:13" x14ac:dyDescent="0.3">
      <c r="C4034" t="s">
        <v>71</v>
      </c>
      <c r="D4034" t="s">
        <v>67</v>
      </c>
      <c r="E4034" t="s">
        <v>63</v>
      </c>
      <c r="F4034" t="s">
        <v>26</v>
      </c>
      <c r="G4034" s="4">
        <v>0</v>
      </c>
      <c r="H4034" s="4" t="s">
        <v>82</v>
      </c>
      <c r="I4034" s="4" t="s">
        <v>65</v>
      </c>
      <c r="J4034" s="4" t="s">
        <v>66</v>
      </c>
      <c r="K4034" s="4">
        <v>1</v>
      </c>
      <c r="L4034" s="94">
        <v>-7195</v>
      </c>
      <c r="M4034" s="94">
        <v>0</v>
      </c>
    </row>
    <row r="4035" spans="3:13" x14ac:dyDescent="0.3">
      <c r="C4035" t="s">
        <v>70</v>
      </c>
      <c r="D4035" t="s">
        <v>67</v>
      </c>
      <c r="E4035" t="s">
        <v>68</v>
      </c>
      <c r="F4035" t="s">
        <v>25</v>
      </c>
      <c r="G4035" s="4">
        <v>1</v>
      </c>
      <c r="H4035" s="4" t="s">
        <v>82</v>
      </c>
      <c r="I4035" s="4" t="s">
        <v>69</v>
      </c>
      <c r="J4035" s="4" t="s">
        <v>66</v>
      </c>
      <c r="K4035" s="4">
        <v>0</v>
      </c>
      <c r="L4035" s="94">
        <v>11254</v>
      </c>
      <c r="M4035" s="94">
        <v>11254</v>
      </c>
    </row>
    <row r="4036" spans="3:13" x14ac:dyDescent="0.3">
      <c r="C4036" t="s">
        <v>61</v>
      </c>
      <c r="D4036" t="s">
        <v>67</v>
      </c>
      <c r="E4036" t="s">
        <v>68</v>
      </c>
      <c r="F4036" t="s">
        <v>25</v>
      </c>
      <c r="G4036" s="4">
        <v>1</v>
      </c>
      <c r="H4036" s="4" t="s">
        <v>75</v>
      </c>
      <c r="I4036" s="4" t="s">
        <v>69</v>
      </c>
      <c r="J4036" s="4" t="s">
        <v>66</v>
      </c>
      <c r="K4036" s="4">
        <v>1</v>
      </c>
      <c r="L4036" s="94">
        <v>1865651</v>
      </c>
      <c r="M4036" s="94">
        <v>1865651</v>
      </c>
    </row>
    <row r="4037" spans="3:13" x14ac:dyDescent="0.3">
      <c r="C4037" t="s">
        <v>61</v>
      </c>
      <c r="D4037" t="s">
        <v>67</v>
      </c>
      <c r="E4037" t="s">
        <v>63</v>
      </c>
      <c r="F4037" t="s">
        <v>72</v>
      </c>
      <c r="G4037" s="4">
        <v>2</v>
      </c>
      <c r="H4037" s="4" t="s">
        <v>80</v>
      </c>
      <c r="I4037" s="4" t="s">
        <v>69</v>
      </c>
      <c r="J4037" s="4" t="s">
        <v>66</v>
      </c>
      <c r="K4037" s="4">
        <v>0</v>
      </c>
      <c r="L4037" s="94">
        <v>-971</v>
      </c>
      <c r="M4037" s="94">
        <v>0</v>
      </c>
    </row>
    <row r="4038" spans="3:13" x14ac:dyDescent="0.3">
      <c r="C4038" t="s">
        <v>61</v>
      </c>
      <c r="D4038" t="s">
        <v>62</v>
      </c>
      <c r="E4038" t="s">
        <v>63</v>
      </c>
      <c r="F4038" t="s">
        <v>24</v>
      </c>
      <c r="G4038" s="4">
        <v>18</v>
      </c>
      <c r="I4038" s="4" t="s">
        <v>69</v>
      </c>
      <c r="J4038" s="4" t="s">
        <v>66</v>
      </c>
      <c r="K4038" s="4">
        <v>0</v>
      </c>
      <c r="L4038" s="94">
        <v>-191115</v>
      </c>
      <c r="M4038" s="94">
        <v>0</v>
      </c>
    </row>
    <row r="4039" spans="3:13" x14ac:dyDescent="0.3">
      <c r="C4039" t="s">
        <v>61</v>
      </c>
      <c r="D4039" t="s">
        <v>62</v>
      </c>
      <c r="E4039" t="s">
        <v>63</v>
      </c>
      <c r="F4039" t="s">
        <v>25</v>
      </c>
      <c r="G4039" s="4">
        <v>11</v>
      </c>
      <c r="I4039" s="4" t="s">
        <v>69</v>
      </c>
      <c r="J4039" s="4" t="s">
        <v>66</v>
      </c>
      <c r="K4039" s="4">
        <v>1</v>
      </c>
      <c r="L4039" s="94">
        <v>-58</v>
      </c>
      <c r="M4039" s="94">
        <v>0</v>
      </c>
    </row>
    <row r="4040" spans="3:13" x14ac:dyDescent="0.3">
      <c r="C4040" t="s">
        <v>61</v>
      </c>
      <c r="D4040" t="s">
        <v>67</v>
      </c>
      <c r="E4040" t="s">
        <v>63</v>
      </c>
      <c r="F4040" t="s">
        <v>25</v>
      </c>
      <c r="G4040" s="4">
        <v>7</v>
      </c>
      <c r="H4040" s="4" t="s">
        <v>80</v>
      </c>
      <c r="I4040" s="4" t="s">
        <v>69</v>
      </c>
      <c r="J4040" s="4" t="s">
        <v>66</v>
      </c>
      <c r="K4040" s="4">
        <v>0</v>
      </c>
      <c r="L4040" s="94">
        <v>-99</v>
      </c>
      <c r="M4040" s="94">
        <v>0</v>
      </c>
    </row>
    <row r="4041" spans="3:13" x14ac:dyDescent="0.3">
      <c r="C4041" t="s">
        <v>70</v>
      </c>
      <c r="D4041" t="s">
        <v>62</v>
      </c>
      <c r="E4041" t="s">
        <v>63</v>
      </c>
      <c r="F4041" t="s">
        <v>24</v>
      </c>
      <c r="G4041" s="4">
        <v>38</v>
      </c>
      <c r="I4041" s="4" t="s">
        <v>65</v>
      </c>
      <c r="J4041" s="4" t="s">
        <v>66</v>
      </c>
      <c r="K4041" s="4">
        <v>1</v>
      </c>
      <c r="L4041" s="94">
        <v>-68732</v>
      </c>
      <c r="M4041" s="94">
        <v>0</v>
      </c>
    </row>
    <row r="4042" spans="3:13" x14ac:dyDescent="0.3">
      <c r="C4042" t="s">
        <v>61</v>
      </c>
      <c r="D4042" t="s">
        <v>62</v>
      </c>
      <c r="E4042" t="s">
        <v>63</v>
      </c>
      <c r="F4042" t="s">
        <v>24</v>
      </c>
      <c r="G4042" s="4">
        <v>14</v>
      </c>
      <c r="I4042" s="4" t="s">
        <v>65</v>
      </c>
      <c r="J4042" s="4" t="s">
        <v>66</v>
      </c>
      <c r="K4042" s="4">
        <v>1</v>
      </c>
      <c r="L4042" s="94">
        <v>-716</v>
      </c>
      <c r="M4042" s="94">
        <v>0</v>
      </c>
    </row>
    <row r="4043" spans="3:13" x14ac:dyDescent="0.3">
      <c r="C4043" t="s">
        <v>70</v>
      </c>
      <c r="D4043" t="s">
        <v>67</v>
      </c>
      <c r="E4043" t="s">
        <v>63</v>
      </c>
      <c r="F4043" t="s">
        <v>72</v>
      </c>
      <c r="G4043" s="4">
        <v>6</v>
      </c>
      <c r="H4043" s="4" t="s">
        <v>74</v>
      </c>
      <c r="I4043" s="4" t="s">
        <v>69</v>
      </c>
      <c r="J4043" s="4" t="s">
        <v>66</v>
      </c>
      <c r="K4043" s="4">
        <v>0</v>
      </c>
      <c r="L4043" s="94">
        <v>-14925</v>
      </c>
      <c r="M4043" s="94">
        <v>0</v>
      </c>
    </row>
    <row r="4044" spans="3:13" x14ac:dyDescent="0.3">
      <c r="C4044" t="s">
        <v>61</v>
      </c>
      <c r="D4044" t="s">
        <v>67</v>
      </c>
      <c r="E4044" t="s">
        <v>68</v>
      </c>
      <c r="F4044" t="s">
        <v>26</v>
      </c>
      <c r="G4044" s="4">
        <v>0</v>
      </c>
      <c r="H4044" s="4" t="s">
        <v>82</v>
      </c>
      <c r="I4044" s="4" t="s">
        <v>65</v>
      </c>
      <c r="J4044" s="4" t="s">
        <v>66</v>
      </c>
      <c r="K4044" s="4">
        <v>1</v>
      </c>
      <c r="L4044" s="94">
        <v>3776339</v>
      </c>
      <c r="M4044" s="94">
        <v>0</v>
      </c>
    </row>
    <row r="4045" spans="3:13" x14ac:dyDescent="0.3">
      <c r="C4045" t="s">
        <v>71</v>
      </c>
      <c r="D4045" t="s">
        <v>62</v>
      </c>
      <c r="E4045" t="s">
        <v>63</v>
      </c>
      <c r="F4045" t="s">
        <v>24</v>
      </c>
      <c r="G4045" s="4">
        <v>2</v>
      </c>
      <c r="I4045" s="4" t="s">
        <v>65</v>
      </c>
      <c r="J4045" s="4" t="s">
        <v>66</v>
      </c>
      <c r="K4045" s="4">
        <v>1</v>
      </c>
      <c r="L4045" s="94">
        <v>-1146</v>
      </c>
      <c r="M4045" s="94">
        <v>0</v>
      </c>
    </row>
    <row r="4046" spans="3:13" x14ac:dyDescent="0.3">
      <c r="C4046" t="s">
        <v>61</v>
      </c>
      <c r="D4046" t="s">
        <v>67</v>
      </c>
      <c r="E4046" t="s">
        <v>68</v>
      </c>
      <c r="F4046" t="s">
        <v>25</v>
      </c>
      <c r="G4046" s="4">
        <v>9</v>
      </c>
      <c r="H4046" s="4" t="s">
        <v>12</v>
      </c>
      <c r="I4046" s="4" t="s">
        <v>69</v>
      </c>
      <c r="J4046" s="4" t="s">
        <v>66</v>
      </c>
      <c r="K4046" s="4">
        <v>0</v>
      </c>
      <c r="L4046" s="94">
        <v>689800</v>
      </c>
      <c r="M4046" s="94">
        <v>6208200</v>
      </c>
    </row>
    <row r="4047" spans="3:13" x14ac:dyDescent="0.3">
      <c r="C4047" t="s">
        <v>70</v>
      </c>
      <c r="D4047" t="s">
        <v>67</v>
      </c>
      <c r="E4047" t="s">
        <v>68</v>
      </c>
      <c r="F4047" t="s">
        <v>25</v>
      </c>
      <c r="G4047" s="4">
        <v>-1</v>
      </c>
      <c r="H4047" s="4" t="s">
        <v>76</v>
      </c>
      <c r="I4047" s="4" t="s">
        <v>69</v>
      </c>
      <c r="J4047" s="4" t="s">
        <v>66</v>
      </c>
      <c r="K4047" s="4">
        <v>0</v>
      </c>
      <c r="L4047" s="94">
        <v>29800</v>
      </c>
      <c r="M4047" s="94">
        <v>0</v>
      </c>
    </row>
    <row r="4048" spans="3:13" x14ac:dyDescent="0.3">
      <c r="C4048" t="s">
        <v>61</v>
      </c>
      <c r="D4048" t="s">
        <v>67</v>
      </c>
      <c r="E4048" t="s">
        <v>68</v>
      </c>
      <c r="F4048" t="s">
        <v>25</v>
      </c>
      <c r="G4048" s="4">
        <v>8</v>
      </c>
      <c r="H4048" s="4" t="s">
        <v>82</v>
      </c>
      <c r="I4048" s="4" t="s">
        <v>69</v>
      </c>
      <c r="J4048" s="4" t="s">
        <v>66</v>
      </c>
      <c r="K4048" s="4">
        <v>1</v>
      </c>
      <c r="L4048" s="94">
        <v>74909</v>
      </c>
      <c r="M4048" s="94">
        <v>599272</v>
      </c>
    </row>
    <row r="4049" spans="3:13" x14ac:dyDescent="0.3">
      <c r="C4049" t="s">
        <v>70</v>
      </c>
      <c r="D4049" t="s">
        <v>67</v>
      </c>
      <c r="E4049" t="s">
        <v>68</v>
      </c>
      <c r="F4049" t="s">
        <v>25</v>
      </c>
      <c r="G4049" s="4">
        <v>8</v>
      </c>
      <c r="H4049" s="4" t="s">
        <v>75</v>
      </c>
      <c r="I4049" s="4" t="s">
        <v>69</v>
      </c>
      <c r="J4049" s="4" t="s">
        <v>66</v>
      </c>
      <c r="K4049" s="4">
        <v>0</v>
      </c>
      <c r="L4049" s="94">
        <v>10245215</v>
      </c>
      <c r="M4049" s="94">
        <v>81961720</v>
      </c>
    </row>
    <row r="4050" spans="3:13" x14ac:dyDescent="0.3">
      <c r="C4050" t="s">
        <v>61</v>
      </c>
      <c r="D4050" t="s">
        <v>84</v>
      </c>
      <c r="E4050" t="s">
        <v>63</v>
      </c>
      <c r="F4050" t="s">
        <v>25</v>
      </c>
      <c r="G4050" s="4">
        <v>6</v>
      </c>
      <c r="H4050" s="4" t="s">
        <v>81</v>
      </c>
      <c r="I4050" s="4" t="s">
        <v>69</v>
      </c>
      <c r="J4050" s="4" t="s">
        <v>66</v>
      </c>
      <c r="K4050" s="4">
        <v>0</v>
      </c>
      <c r="L4050" s="94">
        <v>-177</v>
      </c>
      <c r="M4050" s="94">
        <v>0</v>
      </c>
    </row>
    <row r="4051" spans="3:13" x14ac:dyDescent="0.3">
      <c r="C4051" t="s">
        <v>70</v>
      </c>
      <c r="D4051" t="s">
        <v>62</v>
      </c>
      <c r="E4051" t="s">
        <v>68</v>
      </c>
      <c r="F4051" t="s">
        <v>25</v>
      </c>
      <c r="G4051" s="4">
        <v>9</v>
      </c>
      <c r="I4051" s="4" t="s">
        <v>69</v>
      </c>
      <c r="J4051" s="4" t="s">
        <v>66</v>
      </c>
      <c r="K4051" s="4">
        <v>0</v>
      </c>
      <c r="L4051" s="94">
        <v>726785</v>
      </c>
      <c r="M4051" s="94">
        <v>6541065</v>
      </c>
    </row>
    <row r="4052" spans="3:13" x14ac:dyDescent="0.3">
      <c r="C4052" t="s">
        <v>70</v>
      </c>
      <c r="D4052" t="s">
        <v>62</v>
      </c>
      <c r="E4052" t="s">
        <v>63</v>
      </c>
      <c r="F4052" t="s">
        <v>24</v>
      </c>
      <c r="G4052" s="4">
        <v>22</v>
      </c>
      <c r="I4052" s="4" t="s">
        <v>69</v>
      </c>
      <c r="J4052" s="4" t="s">
        <v>73</v>
      </c>
      <c r="K4052" s="4">
        <v>1</v>
      </c>
      <c r="L4052" s="94">
        <v>-18</v>
      </c>
      <c r="M4052" s="94">
        <v>0</v>
      </c>
    </row>
    <row r="4053" spans="3:13" x14ac:dyDescent="0.3">
      <c r="C4053" t="s">
        <v>61</v>
      </c>
      <c r="D4053" t="s">
        <v>62</v>
      </c>
      <c r="E4053" t="s">
        <v>68</v>
      </c>
      <c r="F4053" t="s">
        <v>25</v>
      </c>
      <c r="G4053" s="4">
        <v>1</v>
      </c>
      <c r="I4053" s="4" t="s">
        <v>69</v>
      </c>
      <c r="J4053" s="4" t="s">
        <v>66</v>
      </c>
      <c r="K4053" s="4">
        <v>1</v>
      </c>
      <c r="L4053" s="94">
        <v>20688</v>
      </c>
      <c r="M4053" s="94">
        <v>20688</v>
      </c>
    </row>
    <row r="4054" spans="3:13" x14ac:dyDescent="0.3">
      <c r="C4054" t="s">
        <v>70</v>
      </c>
      <c r="D4054" t="s">
        <v>67</v>
      </c>
      <c r="E4054" t="s">
        <v>68</v>
      </c>
      <c r="F4054" t="s">
        <v>25</v>
      </c>
      <c r="G4054" s="4">
        <v>15</v>
      </c>
      <c r="H4054" s="4" t="s">
        <v>17</v>
      </c>
      <c r="I4054" s="4" t="s">
        <v>69</v>
      </c>
      <c r="J4054" s="4" t="s">
        <v>66</v>
      </c>
      <c r="K4054" s="4">
        <v>0</v>
      </c>
      <c r="L4054" s="94">
        <v>932324</v>
      </c>
      <c r="M4054" s="94">
        <v>13984860</v>
      </c>
    </row>
    <row r="4055" spans="3:13" x14ac:dyDescent="0.3">
      <c r="C4055" t="s">
        <v>71</v>
      </c>
      <c r="D4055" t="s">
        <v>67</v>
      </c>
      <c r="E4055" t="s">
        <v>63</v>
      </c>
      <c r="F4055" t="s">
        <v>26</v>
      </c>
      <c r="G4055" s="4">
        <v>7</v>
      </c>
      <c r="H4055" s="4" t="s">
        <v>12</v>
      </c>
      <c r="I4055" s="4" t="s">
        <v>69</v>
      </c>
      <c r="J4055" s="4" t="s">
        <v>73</v>
      </c>
      <c r="K4055" s="4">
        <v>1</v>
      </c>
      <c r="L4055" s="94">
        <v>-35797</v>
      </c>
      <c r="M4055" s="94">
        <v>0</v>
      </c>
    </row>
    <row r="4056" spans="3:13" x14ac:dyDescent="0.3">
      <c r="C4056" t="s">
        <v>61</v>
      </c>
      <c r="D4056" t="s">
        <v>67</v>
      </c>
      <c r="E4056" t="s">
        <v>63</v>
      </c>
      <c r="F4056" t="s">
        <v>26</v>
      </c>
      <c r="G4056" s="4">
        <v>11</v>
      </c>
      <c r="H4056" s="4" t="s">
        <v>76</v>
      </c>
      <c r="I4056" s="4" t="s">
        <v>69</v>
      </c>
      <c r="J4056" s="4" t="s">
        <v>66</v>
      </c>
      <c r="K4056" s="4">
        <v>0</v>
      </c>
      <c r="L4056" s="94">
        <v>-3889</v>
      </c>
      <c r="M4056" s="94">
        <v>0</v>
      </c>
    </row>
    <row r="4057" spans="3:13" x14ac:dyDescent="0.3">
      <c r="C4057" t="s">
        <v>70</v>
      </c>
      <c r="D4057" t="s">
        <v>67</v>
      </c>
      <c r="E4057" t="s">
        <v>63</v>
      </c>
      <c r="F4057" t="s">
        <v>25</v>
      </c>
      <c r="G4057" s="4">
        <v>5</v>
      </c>
      <c r="H4057" s="4" t="s">
        <v>12</v>
      </c>
      <c r="I4057" s="4" t="s">
        <v>69</v>
      </c>
      <c r="J4057" s="4" t="s">
        <v>66</v>
      </c>
      <c r="K4057" s="4">
        <v>0</v>
      </c>
      <c r="L4057" s="94">
        <v>-7330</v>
      </c>
      <c r="M4057" s="94">
        <v>0</v>
      </c>
    </row>
    <row r="4058" spans="3:13" x14ac:dyDescent="0.3">
      <c r="C4058" t="s">
        <v>70</v>
      </c>
      <c r="D4058" t="s">
        <v>67</v>
      </c>
      <c r="E4058" t="s">
        <v>68</v>
      </c>
      <c r="F4058" t="s">
        <v>72</v>
      </c>
      <c r="G4058" s="4">
        <v>6</v>
      </c>
      <c r="H4058" s="4" t="s">
        <v>79</v>
      </c>
      <c r="I4058" s="4" t="s">
        <v>69</v>
      </c>
      <c r="J4058" s="4" t="s">
        <v>66</v>
      </c>
      <c r="K4058" s="4">
        <v>0</v>
      </c>
      <c r="L4058" s="94">
        <v>504176</v>
      </c>
      <c r="M4058" s="94">
        <v>3025056</v>
      </c>
    </row>
    <row r="4059" spans="3:13" x14ac:dyDescent="0.3">
      <c r="C4059" t="s">
        <v>61</v>
      </c>
      <c r="D4059" t="s">
        <v>67</v>
      </c>
      <c r="E4059" t="s">
        <v>63</v>
      </c>
      <c r="F4059" t="s">
        <v>25</v>
      </c>
      <c r="G4059" s="4">
        <v>8</v>
      </c>
      <c r="H4059" s="4" t="s">
        <v>14</v>
      </c>
      <c r="I4059" s="4" t="s">
        <v>69</v>
      </c>
      <c r="J4059" s="4" t="s">
        <v>66</v>
      </c>
      <c r="K4059" s="4">
        <v>1</v>
      </c>
      <c r="L4059" s="94">
        <v>-22863</v>
      </c>
      <c r="M4059" s="94">
        <v>0</v>
      </c>
    </row>
    <row r="4060" spans="3:13" x14ac:dyDescent="0.3">
      <c r="C4060" t="s">
        <v>61</v>
      </c>
      <c r="D4060" t="s">
        <v>67</v>
      </c>
      <c r="E4060" t="s">
        <v>68</v>
      </c>
      <c r="F4060" t="s">
        <v>26</v>
      </c>
      <c r="G4060" s="4">
        <v>3</v>
      </c>
      <c r="H4060" s="4" t="s">
        <v>15</v>
      </c>
      <c r="I4060" s="4" t="s">
        <v>69</v>
      </c>
      <c r="J4060" s="4" t="s">
        <v>73</v>
      </c>
      <c r="K4060" s="4">
        <v>1</v>
      </c>
      <c r="L4060" s="94">
        <v>134155</v>
      </c>
      <c r="M4060" s="94">
        <v>402465</v>
      </c>
    </row>
    <row r="4061" spans="3:13" x14ac:dyDescent="0.3">
      <c r="C4061" t="s">
        <v>71</v>
      </c>
      <c r="D4061" t="s">
        <v>67</v>
      </c>
      <c r="E4061" t="s">
        <v>68</v>
      </c>
      <c r="F4061" t="s">
        <v>26</v>
      </c>
      <c r="G4061" s="4">
        <v>1</v>
      </c>
      <c r="H4061" s="4" t="s">
        <v>80</v>
      </c>
      <c r="I4061" s="4" t="s">
        <v>69</v>
      </c>
      <c r="J4061" s="4" t="s">
        <v>66</v>
      </c>
      <c r="K4061" s="4">
        <v>0</v>
      </c>
      <c r="L4061" s="94">
        <v>224973</v>
      </c>
      <c r="M4061" s="94">
        <v>224973</v>
      </c>
    </row>
    <row r="4062" spans="3:13" x14ac:dyDescent="0.3">
      <c r="C4062" t="s">
        <v>70</v>
      </c>
      <c r="D4062" t="s">
        <v>67</v>
      </c>
      <c r="E4062" t="s">
        <v>68</v>
      </c>
      <c r="F4062" t="s">
        <v>26</v>
      </c>
      <c r="G4062" s="4">
        <v>5</v>
      </c>
      <c r="H4062" s="4" t="s">
        <v>18</v>
      </c>
      <c r="I4062" s="4" t="s">
        <v>69</v>
      </c>
      <c r="J4062" s="4" t="s">
        <v>66</v>
      </c>
      <c r="K4062" s="4">
        <v>0</v>
      </c>
      <c r="L4062" s="94">
        <v>4515334</v>
      </c>
      <c r="M4062" s="94">
        <v>22576670</v>
      </c>
    </row>
    <row r="4063" spans="3:13" x14ac:dyDescent="0.3">
      <c r="C4063" t="s">
        <v>70</v>
      </c>
      <c r="D4063" t="s">
        <v>67</v>
      </c>
      <c r="E4063" t="s">
        <v>63</v>
      </c>
      <c r="F4063" t="s">
        <v>72</v>
      </c>
      <c r="G4063" s="4">
        <v>6</v>
      </c>
      <c r="H4063" s="4" t="s">
        <v>17</v>
      </c>
      <c r="I4063" s="4" t="s">
        <v>65</v>
      </c>
      <c r="J4063" s="4" t="s">
        <v>73</v>
      </c>
      <c r="K4063" s="4">
        <v>1</v>
      </c>
      <c r="L4063" s="94">
        <v>-8433</v>
      </c>
      <c r="M4063" s="94">
        <v>0</v>
      </c>
    </row>
    <row r="4064" spans="3:13" x14ac:dyDescent="0.3">
      <c r="C4064" t="s">
        <v>61</v>
      </c>
      <c r="D4064" t="s">
        <v>67</v>
      </c>
      <c r="E4064" t="s">
        <v>63</v>
      </c>
      <c r="F4064" t="s">
        <v>26</v>
      </c>
      <c r="G4064" s="4">
        <v>5</v>
      </c>
      <c r="H4064" s="4" t="s">
        <v>75</v>
      </c>
      <c r="I4064" s="4" t="s">
        <v>69</v>
      </c>
      <c r="J4064" s="4" t="s">
        <v>66</v>
      </c>
      <c r="K4064" s="4">
        <v>0</v>
      </c>
      <c r="L4064" s="94">
        <v>-132621</v>
      </c>
      <c r="M4064" s="94">
        <v>0</v>
      </c>
    </row>
    <row r="4065" spans="3:13" x14ac:dyDescent="0.3">
      <c r="C4065" t="s">
        <v>70</v>
      </c>
      <c r="D4065" t="s">
        <v>67</v>
      </c>
      <c r="E4065" t="s">
        <v>68</v>
      </c>
      <c r="F4065" t="s">
        <v>25</v>
      </c>
      <c r="G4065" s="4">
        <v>7</v>
      </c>
      <c r="H4065" s="4" t="s">
        <v>79</v>
      </c>
      <c r="I4065" s="4" t="s">
        <v>69</v>
      </c>
      <c r="J4065" s="4" t="s">
        <v>66</v>
      </c>
      <c r="K4065" s="4">
        <v>0</v>
      </c>
      <c r="L4065" s="94">
        <v>389280</v>
      </c>
      <c r="M4065" s="94">
        <v>2724960</v>
      </c>
    </row>
    <row r="4066" spans="3:13" x14ac:dyDescent="0.3">
      <c r="C4066" t="s">
        <v>70</v>
      </c>
      <c r="D4066" t="s">
        <v>67</v>
      </c>
      <c r="E4066" t="s">
        <v>63</v>
      </c>
      <c r="F4066" t="s">
        <v>25</v>
      </c>
      <c r="G4066" s="4">
        <v>9</v>
      </c>
      <c r="H4066" s="4" t="s">
        <v>14</v>
      </c>
      <c r="I4066" s="4" t="s">
        <v>65</v>
      </c>
      <c r="J4066" s="4" t="s">
        <v>66</v>
      </c>
      <c r="K4066" s="4">
        <v>1</v>
      </c>
      <c r="L4066" s="94">
        <v>-8707</v>
      </c>
      <c r="M4066" s="94">
        <v>0</v>
      </c>
    </row>
    <row r="4067" spans="3:13" x14ac:dyDescent="0.3">
      <c r="C4067" t="s">
        <v>71</v>
      </c>
      <c r="D4067" t="s">
        <v>67</v>
      </c>
      <c r="E4067" t="s">
        <v>63</v>
      </c>
      <c r="F4067" t="s">
        <v>26</v>
      </c>
      <c r="G4067" s="4">
        <v>5</v>
      </c>
      <c r="H4067" s="4" t="s">
        <v>64</v>
      </c>
      <c r="I4067" s="4" t="s">
        <v>69</v>
      </c>
      <c r="J4067" s="4" t="s">
        <v>66</v>
      </c>
      <c r="K4067" s="4">
        <v>0</v>
      </c>
      <c r="L4067" s="94">
        <v>-357313</v>
      </c>
      <c r="M4067" s="94">
        <v>0</v>
      </c>
    </row>
    <row r="4068" spans="3:13" x14ac:dyDescent="0.3">
      <c r="C4068" t="s">
        <v>61</v>
      </c>
      <c r="D4068" t="s">
        <v>67</v>
      </c>
      <c r="E4068" t="s">
        <v>63</v>
      </c>
      <c r="F4068" t="s">
        <v>72</v>
      </c>
      <c r="G4068" s="4">
        <v>6</v>
      </c>
      <c r="H4068" s="4" t="s">
        <v>74</v>
      </c>
      <c r="I4068" s="4" t="s">
        <v>69</v>
      </c>
      <c r="J4068" s="4" t="s">
        <v>66</v>
      </c>
      <c r="K4068" s="4">
        <v>0</v>
      </c>
      <c r="L4068" s="94">
        <v>-1115</v>
      </c>
      <c r="M4068" s="94">
        <v>0</v>
      </c>
    </row>
    <row r="4069" spans="3:13" x14ac:dyDescent="0.3">
      <c r="C4069" t="s">
        <v>61</v>
      </c>
      <c r="D4069" t="s">
        <v>67</v>
      </c>
      <c r="E4069" t="s">
        <v>68</v>
      </c>
      <c r="F4069" t="s">
        <v>25</v>
      </c>
      <c r="G4069" s="4">
        <v>2</v>
      </c>
      <c r="H4069" s="4" t="s">
        <v>75</v>
      </c>
      <c r="I4069" s="4" t="s">
        <v>69</v>
      </c>
      <c r="J4069" s="4" t="s">
        <v>66</v>
      </c>
      <c r="K4069" s="4">
        <v>0</v>
      </c>
      <c r="L4069" s="94">
        <v>52780866</v>
      </c>
      <c r="M4069" s="94">
        <v>105561732</v>
      </c>
    </row>
    <row r="4070" spans="3:13" x14ac:dyDescent="0.3">
      <c r="C4070" t="s">
        <v>70</v>
      </c>
      <c r="D4070" t="s">
        <v>62</v>
      </c>
      <c r="E4070" t="s">
        <v>63</v>
      </c>
      <c r="F4070" t="s">
        <v>24</v>
      </c>
      <c r="G4070" s="4">
        <v>2</v>
      </c>
      <c r="I4070" s="4" t="s">
        <v>65</v>
      </c>
      <c r="J4070" s="4" t="s">
        <v>66</v>
      </c>
      <c r="K4070" s="4">
        <v>1</v>
      </c>
      <c r="L4070" s="94">
        <v>-290</v>
      </c>
      <c r="M4070" s="94">
        <v>0</v>
      </c>
    </row>
    <row r="4071" spans="3:13" x14ac:dyDescent="0.3">
      <c r="C4071" t="s">
        <v>61</v>
      </c>
      <c r="D4071" t="s">
        <v>67</v>
      </c>
      <c r="E4071" t="s">
        <v>68</v>
      </c>
      <c r="F4071" t="s">
        <v>25</v>
      </c>
      <c r="G4071" s="4">
        <v>5</v>
      </c>
      <c r="H4071" s="4" t="s">
        <v>82</v>
      </c>
      <c r="I4071" s="4" t="s">
        <v>69</v>
      </c>
      <c r="J4071" s="4" t="s">
        <v>66</v>
      </c>
      <c r="K4071" s="4">
        <v>0</v>
      </c>
      <c r="L4071" s="94">
        <v>1760226</v>
      </c>
      <c r="M4071" s="94">
        <v>8801130</v>
      </c>
    </row>
    <row r="4072" spans="3:13" x14ac:dyDescent="0.3">
      <c r="C4072" t="s">
        <v>71</v>
      </c>
      <c r="D4072" t="s">
        <v>67</v>
      </c>
      <c r="E4072" t="s">
        <v>63</v>
      </c>
      <c r="F4072" t="s">
        <v>25</v>
      </c>
      <c r="G4072" s="4">
        <v>2</v>
      </c>
      <c r="H4072" s="4" t="s">
        <v>75</v>
      </c>
      <c r="I4072" s="4" t="s">
        <v>69</v>
      </c>
      <c r="J4072" s="4" t="s">
        <v>66</v>
      </c>
      <c r="K4072" s="4">
        <v>0</v>
      </c>
      <c r="L4072" s="94">
        <v>-2488325</v>
      </c>
      <c r="M4072" s="94">
        <v>0</v>
      </c>
    </row>
    <row r="4073" spans="3:13" x14ac:dyDescent="0.3">
      <c r="C4073" t="s">
        <v>61</v>
      </c>
      <c r="D4073" t="s">
        <v>62</v>
      </c>
      <c r="E4073" t="s">
        <v>63</v>
      </c>
      <c r="F4073" t="s">
        <v>25</v>
      </c>
      <c r="G4073" s="4">
        <v>0</v>
      </c>
      <c r="I4073" s="4" t="s">
        <v>69</v>
      </c>
      <c r="J4073" s="4" t="s">
        <v>66</v>
      </c>
      <c r="K4073" s="4">
        <v>1</v>
      </c>
      <c r="L4073" s="94">
        <v>-68</v>
      </c>
      <c r="M4073" s="94">
        <v>0</v>
      </c>
    </row>
    <row r="4074" spans="3:13" x14ac:dyDescent="0.3">
      <c r="C4074" t="s">
        <v>70</v>
      </c>
      <c r="D4074" t="s">
        <v>67</v>
      </c>
      <c r="E4074" t="s">
        <v>63</v>
      </c>
      <c r="F4074" t="s">
        <v>72</v>
      </c>
      <c r="G4074" s="4">
        <v>2</v>
      </c>
      <c r="H4074" s="4" t="s">
        <v>80</v>
      </c>
      <c r="I4074" s="4" t="s">
        <v>69</v>
      </c>
      <c r="J4074" s="4" t="s">
        <v>66</v>
      </c>
      <c r="K4074" s="4">
        <v>0</v>
      </c>
      <c r="L4074" s="94">
        <v>-5379</v>
      </c>
      <c r="M4074" s="94">
        <v>0</v>
      </c>
    </row>
    <row r="4075" spans="3:13" x14ac:dyDescent="0.3">
      <c r="C4075" t="s">
        <v>71</v>
      </c>
      <c r="D4075" t="s">
        <v>67</v>
      </c>
      <c r="E4075" t="s">
        <v>68</v>
      </c>
      <c r="F4075" t="s">
        <v>25</v>
      </c>
      <c r="G4075" s="4">
        <v>4</v>
      </c>
      <c r="H4075" s="4" t="s">
        <v>76</v>
      </c>
      <c r="I4075" s="4" t="s">
        <v>65</v>
      </c>
      <c r="J4075" s="4" t="s">
        <v>66</v>
      </c>
      <c r="K4075" s="4">
        <v>1</v>
      </c>
      <c r="L4075" s="94">
        <v>6475</v>
      </c>
      <c r="M4075" s="94">
        <v>25900</v>
      </c>
    </row>
    <row r="4076" spans="3:13" x14ac:dyDescent="0.3">
      <c r="C4076" t="s">
        <v>71</v>
      </c>
      <c r="D4076" t="s">
        <v>62</v>
      </c>
      <c r="E4076" t="s">
        <v>68</v>
      </c>
      <c r="F4076" t="s">
        <v>25</v>
      </c>
      <c r="G4076" s="4">
        <v>0</v>
      </c>
      <c r="I4076" s="4" t="s">
        <v>69</v>
      </c>
      <c r="J4076" s="4" t="s">
        <v>66</v>
      </c>
      <c r="K4076" s="4">
        <v>0</v>
      </c>
      <c r="L4076" s="94">
        <v>76702</v>
      </c>
      <c r="M4076" s="94">
        <v>0</v>
      </c>
    </row>
    <row r="4077" spans="3:13" x14ac:dyDescent="0.3">
      <c r="C4077" t="s">
        <v>71</v>
      </c>
      <c r="D4077" t="s">
        <v>67</v>
      </c>
      <c r="E4077" t="s">
        <v>68</v>
      </c>
      <c r="F4077" t="s">
        <v>25</v>
      </c>
      <c r="G4077" s="4">
        <v>0</v>
      </c>
      <c r="H4077" s="4" t="s">
        <v>14</v>
      </c>
      <c r="I4077" s="4" t="s">
        <v>69</v>
      </c>
      <c r="J4077" s="4" t="s">
        <v>66</v>
      </c>
      <c r="K4077" s="4">
        <v>0</v>
      </c>
      <c r="L4077" s="94">
        <v>340003</v>
      </c>
      <c r="M4077" s="94">
        <v>0</v>
      </c>
    </row>
    <row r="4078" spans="3:13" x14ac:dyDescent="0.3">
      <c r="C4078" t="s">
        <v>61</v>
      </c>
      <c r="D4078" t="s">
        <v>67</v>
      </c>
      <c r="E4078" t="s">
        <v>63</v>
      </c>
      <c r="F4078" t="s">
        <v>25</v>
      </c>
      <c r="G4078" s="4">
        <v>14</v>
      </c>
      <c r="H4078" s="4" t="s">
        <v>76</v>
      </c>
      <c r="I4078" s="4" t="s">
        <v>69</v>
      </c>
      <c r="J4078" s="4" t="s">
        <v>66</v>
      </c>
      <c r="K4078" s="4">
        <v>0</v>
      </c>
      <c r="L4078" s="94">
        <v>-104358</v>
      </c>
      <c r="M4078" s="94">
        <v>0</v>
      </c>
    </row>
    <row r="4079" spans="3:13" x14ac:dyDescent="0.3">
      <c r="C4079" t="s">
        <v>71</v>
      </c>
      <c r="D4079" t="s">
        <v>67</v>
      </c>
      <c r="E4079" t="s">
        <v>63</v>
      </c>
      <c r="F4079" t="s">
        <v>25</v>
      </c>
      <c r="G4079" s="4">
        <v>8</v>
      </c>
      <c r="H4079" s="4" t="s">
        <v>18</v>
      </c>
      <c r="I4079" s="4" t="s">
        <v>69</v>
      </c>
      <c r="J4079" s="4" t="s">
        <v>66</v>
      </c>
      <c r="K4079" s="4">
        <v>1</v>
      </c>
      <c r="L4079" s="94">
        <v>-405480</v>
      </c>
      <c r="M4079" s="94">
        <v>0</v>
      </c>
    </row>
    <row r="4080" spans="3:13" x14ac:dyDescent="0.3">
      <c r="C4080" t="s">
        <v>71</v>
      </c>
      <c r="D4080" t="s">
        <v>67</v>
      </c>
      <c r="E4080" t="s">
        <v>63</v>
      </c>
      <c r="F4080" t="s">
        <v>26</v>
      </c>
      <c r="G4080" s="4">
        <v>4</v>
      </c>
      <c r="H4080" s="4" t="s">
        <v>18</v>
      </c>
      <c r="I4080" s="4" t="s">
        <v>69</v>
      </c>
      <c r="J4080" s="4" t="s">
        <v>73</v>
      </c>
      <c r="K4080" s="4">
        <v>1</v>
      </c>
      <c r="L4080" s="94">
        <v>-77034</v>
      </c>
      <c r="M4080" s="94">
        <v>0</v>
      </c>
    </row>
    <row r="4081" spans="3:13" x14ac:dyDescent="0.3">
      <c r="C4081" t="s">
        <v>70</v>
      </c>
      <c r="D4081" t="s">
        <v>67</v>
      </c>
      <c r="E4081" t="s">
        <v>63</v>
      </c>
      <c r="F4081" t="s">
        <v>25</v>
      </c>
      <c r="G4081" s="4">
        <v>14</v>
      </c>
      <c r="H4081" s="4" t="s">
        <v>82</v>
      </c>
      <c r="I4081" s="4" t="s">
        <v>69</v>
      </c>
      <c r="J4081" s="4" t="s">
        <v>66</v>
      </c>
      <c r="K4081" s="4">
        <v>0</v>
      </c>
      <c r="L4081" s="94">
        <v>-230740</v>
      </c>
      <c r="M4081" s="94">
        <v>0</v>
      </c>
    </row>
    <row r="4082" spans="3:13" x14ac:dyDescent="0.3">
      <c r="C4082" t="s">
        <v>71</v>
      </c>
      <c r="D4082" t="s">
        <v>67</v>
      </c>
      <c r="E4082" t="s">
        <v>68</v>
      </c>
      <c r="F4082" t="s">
        <v>25</v>
      </c>
      <c r="G4082" s="4">
        <v>0</v>
      </c>
      <c r="H4082" s="4" t="s">
        <v>14</v>
      </c>
      <c r="I4082" s="4" t="s">
        <v>69</v>
      </c>
      <c r="J4082" s="4" t="s">
        <v>73</v>
      </c>
      <c r="K4082" s="4">
        <v>1</v>
      </c>
      <c r="L4082" s="94">
        <v>4532</v>
      </c>
      <c r="M4082" s="94">
        <v>0</v>
      </c>
    </row>
    <row r="4083" spans="3:13" x14ac:dyDescent="0.3">
      <c r="C4083" t="s">
        <v>61</v>
      </c>
      <c r="D4083" t="s">
        <v>67</v>
      </c>
      <c r="E4083" t="s">
        <v>63</v>
      </c>
      <c r="F4083" t="s">
        <v>72</v>
      </c>
      <c r="G4083" s="4">
        <v>6</v>
      </c>
      <c r="H4083" s="4" t="s">
        <v>17</v>
      </c>
      <c r="I4083" s="4" t="s">
        <v>65</v>
      </c>
      <c r="J4083" s="4" t="s">
        <v>73</v>
      </c>
      <c r="K4083" s="4">
        <v>1</v>
      </c>
      <c r="L4083" s="94">
        <v>-417</v>
      </c>
      <c r="M4083" s="94">
        <v>0</v>
      </c>
    </row>
    <row r="4084" spans="3:13" x14ac:dyDescent="0.3">
      <c r="C4084" t="s">
        <v>70</v>
      </c>
      <c r="D4084" t="s">
        <v>67</v>
      </c>
      <c r="E4084" t="s">
        <v>68</v>
      </c>
      <c r="F4084" t="s">
        <v>72</v>
      </c>
      <c r="G4084" s="4">
        <v>2</v>
      </c>
      <c r="H4084" s="4" t="s">
        <v>14</v>
      </c>
      <c r="I4084" s="4" t="s">
        <v>69</v>
      </c>
      <c r="J4084" s="4" t="s">
        <v>73</v>
      </c>
      <c r="K4084" s="4">
        <v>1</v>
      </c>
      <c r="L4084" s="94">
        <v>1615773</v>
      </c>
      <c r="M4084" s="94">
        <v>3231546</v>
      </c>
    </row>
    <row r="4085" spans="3:13" x14ac:dyDescent="0.3">
      <c r="C4085" t="s">
        <v>70</v>
      </c>
      <c r="D4085" t="s">
        <v>67</v>
      </c>
      <c r="E4085" t="s">
        <v>68</v>
      </c>
      <c r="F4085" t="s">
        <v>72</v>
      </c>
      <c r="G4085" s="4">
        <v>1</v>
      </c>
      <c r="H4085" s="4" t="s">
        <v>76</v>
      </c>
      <c r="I4085" s="4" t="s">
        <v>69</v>
      </c>
      <c r="J4085" s="4" t="s">
        <v>66</v>
      </c>
      <c r="K4085" s="4">
        <v>0</v>
      </c>
      <c r="L4085" s="94">
        <v>145695</v>
      </c>
      <c r="M4085" s="94">
        <v>145695</v>
      </c>
    </row>
    <row r="4086" spans="3:13" x14ac:dyDescent="0.3">
      <c r="C4086" t="s">
        <v>70</v>
      </c>
      <c r="D4086" t="s">
        <v>67</v>
      </c>
      <c r="E4086" t="s">
        <v>68</v>
      </c>
      <c r="F4086" t="s">
        <v>26</v>
      </c>
      <c r="G4086" s="4">
        <v>0</v>
      </c>
      <c r="H4086" s="4" t="s">
        <v>13</v>
      </c>
      <c r="I4086" s="4" t="s">
        <v>69</v>
      </c>
      <c r="J4086" s="4" t="s">
        <v>66</v>
      </c>
      <c r="K4086" s="4">
        <v>0</v>
      </c>
      <c r="L4086" s="94">
        <v>8343</v>
      </c>
      <c r="M4086" s="94">
        <v>0</v>
      </c>
    </row>
    <row r="4087" spans="3:13" x14ac:dyDescent="0.3">
      <c r="C4087" t="s">
        <v>61</v>
      </c>
      <c r="D4087" t="s">
        <v>67</v>
      </c>
      <c r="E4087" t="s">
        <v>63</v>
      </c>
      <c r="F4087" t="s">
        <v>26</v>
      </c>
      <c r="G4087" s="4">
        <v>6</v>
      </c>
      <c r="H4087" s="4" t="s">
        <v>77</v>
      </c>
      <c r="I4087" s="4" t="s">
        <v>69</v>
      </c>
      <c r="J4087" s="4" t="s">
        <v>66</v>
      </c>
      <c r="K4087" s="4">
        <v>0</v>
      </c>
      <c r="L4087" s="94">
        <v>-131</v>
      </c>
      <c r="M4087" s="94">
        <v>0</v>
      </c>
    </row>
    <row r="4088" spans="3:13" x14ac:dyDescent="0.3">
      <c r="C4088" t="s">
        <v>71</v>
      </c>
      <c r="D4088" t="s">
        <v>67</v>
      </c>
      <c r="E4088" t="s">
        <v>63</v>
      </c>
      <c r="F4088" t="s">
        <v>26</v>
      </c>
      <c r="G4088" s="4">
        <v>9</v>
      </c>
      <c r="H4088" s="4" t="s">
        <v>13</v>
      </c>
      <c r="I4088" s="4" t="s">
        <v>69</v>
      </c>
      <c r="J4088" s="4" t="s">
        <v>73</v>
      </c>
      <c r="K4088" s="4">
        <v>1</v>
      </c>
      <c r="L4088" s="94">
        <v>-177956</v>
      </c>
      <c r="M4088" s="94">
        <v>0</v>
      </c>
    </row>
    <row r="4089" spans="3:13" x14ac:dyDescent="0.3">
      <c r="C4089" t="s">
        <v>70</v>
      </c>
      <c r="D4089" t="s">
        <v>67</v>
      </c>
      <c r="E4089" t="s">
        <v>68</v>
      </c>
      <c r="F4089" t="s">
        <v>26</v>
      </c>
      <c r="G4089" s="4">
        <v>8</v>
      </c>
      <c r="H4089" s="4" t="s">
        <v>79</v>
      </c>
      <c r="I4089" s="4" t="s">
        <v>69</v>
      </c>
      <c r="J4089" s="4" t="s">
        <v>66</v>
      </c>
      <c r="K4089" s="4">
        <v>0</v>
      </c>
      <c r="L4089" s="94">
        <v>2488956</v>
      </c>
      <c r="M4089" s="94">
        <v>19911648</v>
      </c>
    </row>
    <row r="4090" spans="3:13" x14ac:dyDescent="0.3">
      <c r="C4090" t="s">
        <v>70</v>
      </c>
      <c r="D4090" t="s">
        <v>67</v>
      </c>
      <c r="E4090" t="s">
        <v>68</v>
      </c>
      <c r="F4090" t="s">
        <v>26</v>
      </c>
      <c r="G4090" s="4">
        <v>2</v>
      </c>
      <c r="H4090" s="4" t="s">
        <v>17</v>
      </c>
      <c r="I4090" s="4" t="s">
        <v>65</v>
      </c>
      <c r="J4090" s="4" t="s">
        <v>73</v>
      </c>
      <c r="K4090" s="4">
        <v>1</v>
      </c>
      <c r="L4090" s="94">
        <v>151603</v>
      </c>
      <c r="M4090" s="94">
        <v>303206</v>
      </c>
    </row>
    <row r="4091" spans="3:13" x14ac:dyDescent="0.3">
      <c r="C4091" t="s">
        <v>70</v>
      </c>
      <c r="D4091" t="s">
        <v>62</v>
      </c>
      <c r="E4091" t="s">
        <v>68</v>
      </c>
      <c r="F4091" t="s">
        <v>24</v>
      </c>
      <c r="G4091" s="4">
        <v>35</v>
      </c>
      <c r="I4091" s="4" t="s">
        <v>65</v>
      </c>
      <c r="J4091" s="4" t="s">
        <v>66</v>
      </c>
      <c r="K4091" s="4">
        <v>1</v>
      </c>
      <c r="L4091" s="94">
        <v>1388530</v>
      </c>
      <c r="M4091" s="94">
        <v>48598550</v>
      </c>
    </row>
    <row r="4092" spans="3:13" x14ac:dyDescent="0.3">
      <c r="C4092" t="s">
        <v>71</v>
      </c>
      <c r="D4092" t="s">
        <v>67</v>
      </c>
      <c r="E4092" t="s">
        <v>68</v>
      </c>
      <c r="F4092" t="s">
        <v>26</v>
      </c>
      <c r="G4092" s="4">
        <v>-4</v>
      </c>
      <c r="H4092" s="4" t="s">
        <v>83</v>
      </c>
      <c r="I4092" s="4" t="s">
        <v>69</v>
      </c>
      <c r="J4092" s="4" t="s">
        <v>66</v>
      </c>
      <c r="K4092" s="4">
        <v>0</v>
      </c>
      <c r="L4092" s="94">
        <v>159466</v>
      </c>
      <c r="M4092" s="94">
        <v>0</v>
      </c>
    </row>
    <row r="4093" spans="3:13" x14ac:dyDescent="0.3">
      <c r="C4093" t="s">
        <v>61</v>
      </c>
      <c r="D4093" t="s">
        <v>62</v>
      </c>
      <c r="E4093" t="s">
        <v>68</v>
      </c>
      <c r="F4093" t="s">
        <v>25</v>
      </c>
      <c r="G4093" s="4">
        <v>31</v>
      </c>
      <c r="I4093" s="4" t="s">
        <v>65</v>
      </c>
      <c r="J4093" s="4" t="s">
        <v>66</v>
      </c>
      <c r="K4093" s="4">
        <v>1</v>
      </c>
      <c r="L4093" s="94">
        <v>71219</v>
      </c>
      <c r="M4093" s="94">
        <v>2207789</v>
      </c>
    </row>
    <row r="4094" spans="3:13" x14ac:dyDescent="0.3">
      <c r="C4094" t="s">
        <v>61</v>
      </c>
      <c r="D4094" t="s">
        <v>85</v>
      </c>
      <c r="E4094" t="s">
        <v>68</v>
      </c>
      <c r="F4094" t="s">
        <v>25</v>
      </c>
      <c r="G4094" s="4">
        <v>1</v>
      </c>
      <c r="H4094" s="4" t="s">
        <v>81</v>
      </c>
      <c r="I4094" s="4" t="s">
        <v>69</v>
      </c>
      <c r="J4094" s="4" t="s">
        <v>66</v>
      </c>
      <c r="K4094" s="4">
        <v>0</v>
      </c>
      <c r="L4094" s="94">
        <v>16678</v>
      </c>
      <c r="M4094" s="94">
        <v>16678</v>
      </c>
    </row>
    <row r="4095" spans="3:13" x14ac:dyDescent="0.3">
      <c r="C4095" t="s">
        <v>71</v>
      </c>
      <c r="D4095" t="s">
        <v>67</v>
      </c>
      <c r="E4095" t="s">
        <v>63</v>
      </c>
      <c r="F4095" t="s">
        <v>26</v>
      </c>
      <c r="G4095" s="4">
        <v>-4</v>
      </c>
      <c r="H4095" s="4" t="s">
        <v>14</v>
      </c>
      <c r="I4095" s="4" t="s">
        <v>69</v>
      </c>
      <c r="J4095" s="4" t="s">
        <v>73</v>
      </c>
      <c r="K4095" s="4">
        <v>1</v>
      </c>
      <c r="L4095" s="94">
        <v>-3838674</v>
      </c>
      <c r="M4095" s="94">
        <v>0</v>
      </c>
    </row>
    <row r="4096" spans="3:13" x14ac:dyDescent="0.3">
      <c r="C4096" t="s">
        <v>71</v>
      </c>
      <c r="D4096" t="s">
        <v>62</v>
      </c>
      <c r="E4096" t="s">
        <v>63</v>
      </c>
      <c r="F4096" t="s">
        <v>25</v>
      </c>
      <c r="G4096" s="4">
        <v>26</v>
      </c>
      <c r="I4096" s="4" t="s">
        <v>69</v>
      </c>
      <c r="J4096" s="4" t="s">
        <v>66</v>
      </c>
      <c r="K4096" s="4">
        <v>0</v>
      </c>
      <c r="L4096" s="94">
        <v>-48592</v>
      </c>
      <c r="M4096" s="94">
        <v>0</v>
      </c>
    </row>
    <row r="4097" spans="3:13" x14ac:dyDescent="0.3">
      <c r="C4097" t="s">
        <v>71</v>
      </c>
      <c r="D4097" t="s">
        <v>67</v>
      </c>
      <c r="E4097" t="s">
        <v>63</v>
      </c>
      <c r="F4097" t="s">
        <v>26</v>
      </c>
      <c r="G4097" s="4">
        <v>0</v>
      </c>
      <c r="H4097" s="4" t="s">
        <v>12</v>
      </c>
      <c r="I4097" s="4" t="s">
        <v>69</v>
      </c>
      <c r="J4097" s="4" t="s">
        <v>73</v>
      </c>
      <c r="K4097" s="4">
        <v>1</v>
      </c>
      <c r="L4097" s="94">
        <v>-23357</v>
      </c>
      <c r="M4097" s="94">
        <v>0</v>
      </c>
    </row>
    <row r="4098" spans="3:13" x14ac:dyDescent="0.3">
      <c r="C4098" t="s">
        <v>70</v>
      </c>
      <c r="D4098" t="s">
        <v>67</v>
      </c>
      <c r="E4098" t="s">
        <v>68</v>
      </c>
      <c r="F4098" t="s">
        <v>26</v>
      </c>
      <c r="G4098" s="4">
        <v>10</v>
      </c>
      <c r="H4098" s="4" t="s">
        <v>83</v>
      </c>
      <c r="I4098" s="4" t="s">
        <v>69</v>
      </c>
      <c r="J4098" s="4" t="s">
        <v>66</v>
      </c>
      <c r="K4098" s="4">
        <v>0</v>
      </c>
      <c r="L4098" s="94">
        <v>1437513</v>
      </c>
      <c r="M4098" s="94">
        <v>14375130</v>
      </c>
    </row>
    <row r="4099" spans="3:13" x14ac:dyDescent="0.3">
      <c r="C4099" t="s">
        <v>61</v>
      </c>
      <c r="D4099" t="s">
        <v>67</v>
      </c>
      <c r="E4099" t="s">
        <v>63</v>
      </c>
      <c r="F4099" t="s">
        <v>25</v>
      </c>
      <c r="G4099" s="4">
        <v>2</v>
      </c>
      <c r="H4099" s="4" t="s">
        <v>17</v>
      </c>
      <c r="I4099" s="4" t="s">
        <v>69</v>
      </c>
      <c r="J4099" s="4" t="s">
        <v>66</v>
      </c>
      <c r="K4099" s="4">
        <v>0</v>
      </c>
      <c r="L4099" s="94">
        <v>-381402</v>
      </c>
      <c r="M4099" s="94">
        <v>0</v>
      </c>
    </row>
    <row r="4100" spans="3:13" x14ac:dyDescent="0.3">
      <c r="C4100" t="s">
        <v>70</v>
      </c>
      <c r="D4100" t="s">
        <v>67</v>
      </c>
      <c r="E4100" t="s">
        <v>63</v>
      </c>
      <c r="F4100" t="s">
        <v>72</v>
      </c>
      <c r="G4100" s="4">
        <v>5</v>
      </c>
      <c r="H4100" s="4" t="s">
        <v>81</v>
      </c>
      <c r="I4100" s="4" t="s">
        <v>69</v>
      </c>
      <c r="J4100" s="4" t="s">
        <v>66</v>
      </c>
      <c r="K4100" s="4">
        <v>0</v>
      </c>
      <c r="L4100" s="94">
        <v>-794</v>
      </c>
      <c r="M4100" s="94">
        <v>0</v>
      </c>
    </row>
    <row r="4101" spans="3:13" x14ac:dyDescent="0.3">
      <c r="C4101" t="s">
        <v>61</v>
      </c>
      <c r="D4101" t="s">
        <v>67</v>
      </c>
      <c r="E4101" t="s">
        <v>68</v>
      </c>
      <c r="F4101" t="s">
        <v>25</v>
      </c>
      <c r="G4101" s="4">
        <v>-1</v>
      </c>
      <c r="H4101" s="4" t="s">
        <v>14</v>
      </c>
      <c r="I4101" s="4" t="s">
        <v>69</v>
      </c>
      <c r="J4101" s="4" t="s">
        <v>66</v>
      </c>
      <c r="K4101" s="4">
        <v>1</v>
      </c>
      <c r="L4101" s="94">
        <v>1280769</v>
      </c>
      <c r="M4101" s="94">
        <v>0</v>
      </c>
    </row>
    <row r="4102" spans="3:13" x14ac:dyDescent="0.3">
      <c r="C4102" t="s">
        <v>70</v>
      </c>
      <c r="D4102" t="s">
        <v>67</v>
      </c>
      <c r="E4102" t="s">
        <v>68</v>
      </c>
      <c r="F4102" t="s">
        <v>25</v>
      </c>
      <c r="G4102" s="4">
        <v>-1</v>
      </c>
      <c r="H4102" s="4" t="s">
        <v>18</v>
      </c>
      <c r="I4102" s="4" t="s">
        <v>69</v>
      </c>
      <c r="J4102" s="4" t="s">
        <v>66</v>
      </c>
      <c r="K4102" s="4">
        <v>0</v>
      </c>
      <c r="L4102" s="94">
        <v>826075</v>
      </c>
      <c r="M4102" s="94">
        <v>0</v>
      </c>
    </row>
    <row r="4103" spans="3:13" x14ac:dyDescent="0.3">
      <c r="C4103" t="s">
        <v>70</v>
      </c>
      <c r="D4103" t="s">
        <v>67</v>
      </c>
      <c r="E4103" t="s">
        <v>63</v>
      </c>
      <c r="F4103" t="s">
        <v>25</v>
      </c>
      <c r="G4103" s="4">
        <v>2</v>
      </c>
      <c r="H4103" s="4" t="s">
        <v>18</v>
      </c>
      <c r="I4103" s="4" t="s">
        <v>69</v>
      </c>
      <c r="J4103" s="4" t="s">
        <v>66</v>
      </c>
      <c r="K4103" s="4">
        <v>0</v>
      </c>
      <c r="L4103" s="94">
        <v>-48251</v>
      </c>
      <c r="M4103" s="94">
        <v>0</v>
      </c>
    </row>
    <row r="4104" spans="3:13" x14ac:dyDescent="0.3">
      <c r="C4104" t="s">
        <v>61</v>
      </c>
      <c r="D4104" t="s">
        <v>67</v>
      </c>
      <c r="E4104" t="s">
        <v>63</v>
      </c>
      <c r="F4104" t="s">
        <v>72</v>
      </c>
      <c r="G4104" s="4">
        <v>3</v>
      </c>
      <c r="H4104" s="4" t="s">
        <v>16</v>
      </c>
      <c r="I4104" s="4" t="s">
        <v>69</v>
      </c>
      <c r="J4104" s="4" t="s">
        <v>66</v>
      </c>
      <c r="K4104" s="4">
        <v>0</v>
      </c>
      <c r="L4104" s="94">
        <v>-654</v>
      </c>
      <c r="M4104" s="94">
        <v>0</v>
      </c>
    </row>
    <row r="4105" spans="3:13" x14ac:dyDescent="0.3">
      <c r="C4105" t="s">
        <v>71</v>
      </c>
      <c r="D4105" t="s">
        <v>67</v>
      </c>
      <c r="E4105" t="s">
        <v>68</v>
      </c>
      <c r="F4105" t="s">
        <v>25</v>
      </c>
      <c r="G4105" s="4">
        <v>11</v>
      </c>
      <c r="H4105" s="4" t="s">
        <v>76</v>
      </c>
      <c r="I4105" s="4" t="s">
        <v>69</v>
      </c>
      <c r="J4105" s="4" t="s">
        <v>66</v>
      </c>
      <c r="K4105" s="4">
        <v>0</v>
      </c>
      <c r="L4105" s="94">
        <v>92047</v>
      </c>
      <c r="M4105" s="94">
        <v>1012517</v>
      </c>
    </row>
    <row r="4106" spans="3:13" x14ac:dyDescent="0.3">
      <c r="C4106" t="s">
        <v>71</v>
      </c>
      <c r="D4106" t="s">
        <v>67</v>
      </c>
      <c r="E4106" t="s">
        <v>63</v>
      </c>
      <c r="F4106" t="s">
        <v>26</v>
      </c>
      <c r="G4106" s="4">
        <v>0</v>
      </c>
      <c r="H4106" s="4" t="s">
        <v>17</v>
      </c>
      <c r="I4106" s="4" t="s">
        <v>65</v>
      </c>
      <c r="J4106" s="4" t="s">
        <v>66</v>
      </c>
      <c r="K4106" s="4">
        <v>1</v>
      </c>
      <c r="L4106" s="94">
        <v>-12052</v>
      </c>
      <c r="M4106" s="94">
        <v>0</v>
      </c>
    </row>
    <row r="4107" spans="3:13" x14ac:dyDescent="0.3">
      <c r="C4107" t="s">
        <v>70</v>
      </c>
      <c r="D4107" t="s">
        <v>67</v>
      </c>
      <c r="E4107" t="s">
        <v>68</v>
      </c>
      <c r="F4107" t="s">
        <v>72</v>
      </c>
      <c r="G4107" s="4">
        <v>0</v>
      </c>
      <c r="H4107" s="4" t="s">
        <v>74</v>
      </c>
      <c r="I4107" s="4" t="s">
        <v>69</v>
      </c>
      <c r="J4107" s="4" t="s">
        <v>66</v>
      </c>
      <c r="K4107" s="4">
        <v>0</v>
      </c>
      <c r="L4107" s="94">
        <v>86549</v>
      </c>
      <c r="M4107" s="94">
        <v>0</v>
      </c>
    </row>
    <row r="4108" spans="3:13" x14ac:dyDescent="0.3">
      <c r="C4108" t="s">
        <v>61</v>
      </c>
      <c r="D4108" t="s">
        <v>62</v>
      </c>
      <c r="E4108" t="s">
        <v>68</v>
      </c>
      <c r="F4108" t="s">
        <v>24</v>
      </c>
      <c r="G4108" s="4">
        <v>35</v>
      </c>
      <c r="I4108" s="4" t="s">
        <v>69</v>
      </c>
      <c r="J4108" s="4" t="s">
        <v>66</v>
      </c>
      <c r="K4108" s="4">
        <v>0</v>
      </c>
      <c r="L4108" s="94">
        <v>1353274392</v>
      </c>
      <c r="M4108" s="94">
        <v>47364603720</v>
      </c>
    </row>
    <row r="4109" spans="3:13" x14ac:dyDescent="0.3">
      <c r="C4109" t="s">
        <v>70</v>
      </c>
      <c r="D4109" t="s">
        <v>67</v>
      </c>
      <c r="E4109" t="s">
        <v>63</v>
      </c>
      <c r="F4109" t="s">
        <v>26</v>
      </c>
      <c r="G4109" s="4">
        <v>-1</v>
      </c>
      <c r="H4109" s="4" t="s">
        <v>14</v>
      </c>
      <c r="I4109" s="4" t="s">
        <v>65</v>
      </c>
      <c r="J4109" s="4" t="s">
        <v>73</v>
      </c>
      <c r="K4109" s="4">
        <v>1</v>
      </c>
      <c r="L4109" s="94">
        <v>-959</v>
      </c>
      <c r="M4109" s="94">
        <v>0</v>
      </c>
    </row>
    <row r="4110" spans="3:13" x14ac:dyDescent="0.3">
      <c r="C4110" t="s">
        <v>70</v>
      </c>
      <c r="D4110" t="s">
        <v>67</v>
      </c>
      <c r="E4110" t="s">
        <v>63</v>
      </c>
      <c r="F4110" t="s">
        <v>26</v>
      </c>
      <c r="G4110" s="4">
        <v>3</v>
      </c>
      <c r="H4110" s="4" t="s">
        <v>17</v>
      </c>
      <c r="I4110" s="4" t="s">
        <v>65</v>
      </c>
      <c r="J4110" s="4" t="s">
        <v>66</v>
      </c>
      <c r="K4110" s="4">
        <v>1</v>
      </c>
      <c r="L4110" s="94">
        <v>-10013</v>
      </c>
      <c r="M4110" s="94">
        <v>0</v>
      </c>
    </row>
    <row r="4111" spans="3:13" x14ac:dyDescent="0.3">
      <c r="C4111" t="s">
        <v>61</v>
      </c>
      <c r="D4111" t="s">
        <v>62</v>
      </c>
      <c r="E4111" t="s">
        <v>68</v>
      </c>
      <c r="F4111" t="s">
        <v>25</v>
      </c>
      <c r="G4111" s="4">
        <v>32</v>
      </c>
      <c r="I4111" s="4" t="s">
        <v>69</v>
      </c>
      <c r="J4111" s="4" t="s">
        <v>66</v>
      </c>
      <c r="K4111" s="4">
        <v>0</v>
      </c>
      <c r="L4111" s="94">
        <v>356359</v>
      </c>
      <c r="M4111" s="94">
        <v>11403488</v>
      </c>
    </row>
    <row r="4112" spans="3:13" x14ac:dyDescent="0.3">
      <c r="C4112" t="s">
        <v>61</v>
      </c>
      <c r="D4112" t="s">
        <v>84</v>
      </c>
      <c r="E4112" t="s">
        <v>63</v>
      </c>
      <c r="F4112" t="s">
        <v>25</v>
      </c>
      <c r="G4112" s="4">
        <v>1</v>
      </c>
      <c r="H4112" s="4" t="s">
        <v>81</v>
      </c>
      <c r="I4112" s="4" t="s">
        <v>69</v>
      </c>
      <c r="J4112" s="4" t="s">
        <v>66</v>
      </c>
      <c r="K4112" s="4">
        <v>0</v>
      </c>
      <c r="L4112" s="94">
        <v>-4176</v>
      </c>
      <c r="M4112" s="94">
        <v>0</v>
      </c>
    </row>
    <row r="4113" spans="3:13" x14ac:dyDescent="0.3">
      <c r="C4113" t="s">
        <v>71</v>
      </c>
      <c r="D4113" t="s">
        <v>67</v>
      </c>
      <c r="E4113" t="s">
        <v>68</v>
      </c>
      <c r="F4113" t="s">
        <v>25</v>
      </c>
      <c r="G4113" s="4">
        <v>7</v>
      </c>
      <c r="H4113" s="4" t="s">
        <v>14</v>
      </c>
      <c r="I4113" s="4" t="s">
        <v>69</v>
      </c>
      <c r="J4113" s="4" t="s">
        <v>66</v>
      </c>
      <c r="K4113" s="4">
        <v>1</v>
      </c>
      <c r="L4113" s="94">
        <v>301089</v>
      </c>
      <c r="M4113" s="94">
        <v>2107623</v>
      </c>
    </row>
    <row r="4114" spans="3:13" x14ac:dyDescent="0.3">
      <c r="C4114" t="s">
        <v>71</v>
      </c>
      <c r="D4114" t="s">
        <v>67</v>
      </c>
      <c r="E4114" t="s">
        <v>68</v>
      </c>
      <c r="F4114" t="s">
        <v>72</v>
      </c>
      <c r="G4114" s="4">
        <v>0</v>
      </c>
      <c r="H4114" s="4" t="s">
        <v>82</v>
      </c>
      <c r="I4114" s="4" t="s">
        <v>65</v>
      </c>
      <c r="J4114" s="4" t="s">
        <v>66</v>
      </c>
      <c r="K4114" s="4">
        <v>1</v>
      </c>
      <c r="L4114" s="94">
        <v>13698</v>
      </c>
      <c r="M4114" s="94">
        <v>0</v>
      </c>
    </row>
    <row r="4115" spans="3:13" x14ac:dyDescent="0.3">
      <c r="C4115" t="s">
        <v>70</v>
      </c>
      <c r="D4115" t="s">
        <v>62</v>
      </c>
      <c r="E4115" t="s">
        <v>68</v>
      </c>
      <c r="F4115" t="s">
        <v>25</v>
      </c>
      <c r="G4115" s="4">
        <v>33</v>
      </c>
      <c r="I4115" s="4" t="s">
        <v>69</v>
      </c>
      <c r="J4115" s="4" t="s">
        <v>66</v>
      </c>
      <c r="K4115" s="4">
        <v>0</v>
      </c>
      <c r="L4115" s="94">
        <v>83648</v>
      </c>
      <c r="M4115" s="94">
        <v>2760384</v>
      </c>
    </row>
    <row r="4116" spans="3:13" x14ac:dyDescent="0.3">
      <c r="C4116" t="s">
        <v>61</v>
      </c>
      <c r="D4116" t="s">
        <v>67</v>
      </c>
      <c r="E4116" t="s">
        <v>63</v>
      </c>
      <c r="F4116" t="s">
        <v>25</v>
      </c>
      <c r="G4116" s="4">
        <v>14</v>
      </c>
      <c r="H4116" s="4" t="s">
        <v>18</v>
      </c>
      <c r="I4116" s="4" t="s">
        <v>69</v>
      </c>
      <c r="J4116" s="4" t="s">
        <v>66</v>
      </c>
      <c r="K4116" s="4">
        <v>0</v>
      </c>
      <c r="L4116" s="94">
        <v>-6828</v>
      </c>
      <c r="M4116" s="94">
        <v>0</v>
      </c>
    </row>
    <row r="4117" spans="3:13" x14ac:dyDescent="0.3">
      <c r="C4117" t="s">
        <v>70</v>
      </c>
      <c r="D4117" t="s">
        <v>67</v>
      </c>
      <c r="E4117" t="s">
        <v>68</v>
      </c>
      <c r="F4117" t="s">
        <v>26</v>
      </c>
      <c r="G4117" s="4">
        <v>2</v>
      </c>
      <c r="H4117" s="4" t="s">
        <v>79</v>
      </c>
      <c r="I4117" s="4" t="s">
        <v>69</v>
      </c>
      <c r="J4117" s="4" t="s">
        <v>66</v>
      </c>
      <c r="K4117" s="4">
        <v>0</v>
      </c>
      <c r="L4117" s="94">
        <v>2426969</v>
      </c>
      <c r="M4117" s="94">
        <v>4853938</v>
      </c>
    </row>
    <row r="4118" spans="3:13" x14ac:dyDescent="0.3">
      <c r="C4118" t="s">
        <v>61</v>
      </c>
      <c r="D4118" t="s">
        <v>84</v>
      </c>
      <c r="E4118" t="s">
        <v>63</v>
      </c>
      <c r="F4118" t="s">
        <v>25</v>
      </c>
      <c r="G4118" s="4">
        <v>8</v>
      </c>
      <c r="H4118" s="4" t="s">
        <v>75</v>
      </c>
      <c r="I4118" s="4" t="s">
        <v>69</v>
      </c>
      <c r="J4118" s="4" t="s">
        <v>66</v>
      </c>
      <c r="K4118" s="4">
        <v>0</v>
      </c>
      <c r="L4118" s="94">
        <v>-539</v>
      </c>
      <c r="M4118" s="94">
        <v>0</v>
      </c>
    </row>
    <row r="4119" spans="3:13" x14ac:dyDescent="0.3">
      <c r="C4119" t="s">
        <v>70</v>
      </c>
      <c r="D4119" t="s">
        <v>67</v>
      </c>
      <c r="E4119" t="s">
        <v>63</v>
      </c>
      <c r="F4119" t="s">
        <v>72</v>
      </c>
      <c r="G4119" s="4">
        <v>-4</v>
      </c>
      <c r="H4119" s="4" t="s">
        <v>80</v>
      </c>
      <c r="I4119" s="4" t="s">
        <v>69</v>
      </c>
      <c r="J4119" s="4" t="s">
        <v>66</v>
      </c>
      <c r="K4119" s="4">
        <v>0</v>
      </c>
      <c r="L4119" s="94">
        <v>-57</v>
      </c>
      <c r="M4119" s="94">
        <v>0</v>
      </c>
    </row>
    <row r="4120" spans="3:13" x14ac:dyDescent="0.3">
      <c r="C4120" t="s">
        <v>61</v>
      </c>
      <c r="D4120" t="s">
        <v>67</v>
      </c>
      <c r="E4120" t="s">
        <v>68</v>
      </c>
      <c r="F4120" t="s">
        <v>25</v>
      </c>
      <c r="G4120" s="4">
        <v>5</v>
      </c>
      <c r="H4120" s="4" t="s">
        <v>17</v>
      </c>
      <c r="I4120" s="4" t="s">
        <v>69</v>
      </c>
      <c r="J4120" s="4" t="s">
        <v>66</v>
      </c>
      <c r="K4120" s="4">
        <v>0</v>
      </c>
      <c r="L4120" s="94">
        <v>33009556</v>
      </c>
      <c r="M4120" s="94">
        <v>165047780</v>
      </c>
    </row>
    <row r="4121" spans="3:13" x14ac:dyDescent="0.3">
      <c r="C4121" t="s">
        <v>70</v>
      </c>
      <c r="D4121" t="s">
        <v>62</v>
      </c>
      <c r="E4121" t="s">
        <v>68</v>
      </c>
      <c r="F4121" t="s">
        <v>24</v>
      </c>
      <c r="G4121" s="4">
        <v>12</v>
      </c>
      <c r="I4121" s="4" t="s">
        <v>65</v>
      </c>
      <c r="J4121" s="4" t="s">
        <v>66</v>
      </c>
      <c r="K4121" s="4">
        <v>1</v>
      </c>
      <c r="L4121" s="94">
        <v>193957</v>
      </c>
      <c r="M4121" s="94">
        <v>2327484</v>
      </c>
    </row>
    <row r="4122" spans="3:13" x14ac:dyDescent="0.3">
      <c r="C4122" t="s">
        <v>71</v>
      </c>
      <c r="D4122" t="s">
        <v>62</v>
      </c>
      <c r="E4122" t="s">
        <v>68</v>
      </c>
      <c r="F4122" t="s">
        <v>24</v>
      </c>
      <c r="G4122" s="4">
        <v>18</v>
      </c>
      <c r="I4122" s="4" t="s">
        <v>69</v>
      </c>
      <c r="J4122" s="4" t="s">
        <v>66</v>
      </c>
      <c r="K4122" s="4">
        <v>0</v>
      </c>
      <c r="L4122" s="94">
        <v>5595471</v>
      </c>
      <c r="M4122" s="94">
        <v>100718478</v>
      </c>
    </row>
    <row r="4123" spans="3:13" x14ac:dyDescent="0.3">
      <c r="C4123" t="s">
        <v>61</v>
      </c>
      <c r="D4123" t="s">
        <v>62</v>
      </c>
      <c r="E4123" t="s">
        <v>63</v>
      </c>
      <c r="F4123" t="s">
        <v>25</v>
      </c>
      <c r="G4123" s="4">
        <v>34</v>
      </c>
      <c r="I4123" s="4" t="s">
        <v>69</v>
      </c>
      <c r="J4123" s="4" t="s">
        <v>66</v>
      </c>
      <c r="K4123" s="4">
        <v>0</v>
      </c>
      <c r="L4123" s="94">
        <v>-343</v>
      </c>
      <c r="M4123" s="94">
        <v>0</v>
      </c>
    </row>
    <row r="4124" spans="3:13" x14ac:dyDescent="0.3">
      <c r="C4124" t="s">
        <v>70</v>
      </c>
      <c r="D4124" t="s">
        <v>67</v>
      </c>
      <c r="E4124" t="s">
        <v>68</v>
      </c>
      <c r="F4124" t="s">
        <v>25</v>
      </c>
      <c r="G4124" s="4">
        <v>2</v>
      </c>
      <c r="H4124" s="4" t="s">
        <v>17</v>
      </c>
      <c r="I4124" s="4" t="s">
        <v>69</v>
      </c>
      <c r="J4124" s="4" t="s">
        <v>66</v>
      </c>
      <c r="K4124" s="4">
        <v>1</v>
      </c>
      <c r="L4124" s="94">
        <v>246617</v>
      </c>
      <c r="M4124" s="94">
        <v>493234</v>
      </c>
    </row>
    <row r="4125" spans="3:13" x14ac:dyDescent="0.3">
      <c r="C4125" t="s">
        <v>61</v>
      </c>
      <c r="D4125" t="s">
        <v>67</v>
      </c>
      <c r="E4125" t="s">
        <v>68</v>
      </c>
      <c r="F4125" t="s">
        <v>25</v>
      </c>
      <c r="G4125" s="4">
        <v>11</v>
      </c>
      <c r="H4125" s="4" t="s">
        <v>79</v>
      </c>
      <c r="I4125" s="4" t="s">
        <v>69</v>
      </c>
      <c r="J4125" s="4" t="s">
        <v>66</v>
      </c>
      <c r="K4125" s="4">
        <v>0</v>
      </c>
      <c r="L4125" s="94">
        <v>8989407</v>
      </c>
      <c r="M4125" s="94">
        <v>98883477</v>
      </c>
    </row>
    <row r="4126" spans="3:13" x14ac:dyDescent="0.3">
      <c r="C4126" t="s">
        <v>61</v>
      </c>
      <c r="D4126" t="s">
        <v>67</v>
      </c>
      <c r="E4126" t="s">
        <v>68</v>
      </c>
      <c r="F4126" t="s">
        <v>72</v>
      </c>
      <c r="G4126" s="4">
        <v>2</v>
      </c>
      <c r="H4126" s="4" t="s">
        <v>17</v>
      </c>
      <c r="I4126" s="4" t="s">
        <v>65</v>
      </c>
      <c r="J4126" s="4" t="s">
        <v>73</v>
      </c>
      <c r="K4126" s="4">
        <v>1</v>
      </c>
      <c r="L4126" s="94">
        <v>87940</v>
      </c>
      <c r="M4126" s="94">
        <v>175880</v>
      </c>
    </row>
    <row r="4127" spans="3:13" x14ac:dyDescent="0.3">
      <c r="C4127" t="s">
        <v>61</v>
      </c>
      <c r="D4127" t="s">
        <v>84</v>
      </c>
      <c r="E4127" t="s">
        <v>68</v>
      </c>
      <c r="F4127" t="s">
        <v>25</v>
      </c>
      <c r="G4127" s="4">
        <v>6</v>
      </c>
      <c r="H4127" s="4" t="s">
        <v>81</v>
      </c>
      <c r="I4127" s="4" t="s">
        <v>69</v>
      </c>
      <c r="J4127" s="4" t="s">
        <v>66</v>
      </c>
      <c r="K4127" s="4">
        <v>0</v>
      </c>
      <c r="L4127" s="94">
        <v>206626</v>
      </c>
      <c r="M4127" s="94">
        <v>1239756</v>
      </c>
    </row>
    <row r="4128" spans="3:13" x14ac:dyDescent="0.3">
      <c r="C4128" t="s">
        <v>70</v>
      </c>
      <c r="D4128" t="s">
        <v>67</v>
      </c>
      <c r="E4128" t="s">
        <v>63</v>
      </c>
      <c r="F4128" t="s">
        <v>72</v>
      </c>
      <c r="G4128" s="4">
        <v>7</v>
      </c>
      <c r="H4128" s="4" t="s">
        <v>74</v>
      </c>
      <c r="I4128" s="4" t="s">
        <v>69</v>
      </c>
      <c r="J4128" s="4" t="s">
        <v>66</v>
      </c>
      <c r="K4128" s="4">
        <v>0</v>
      </c>
      <c r="L4128" s="94">
        <v>-9692</v>
      </c>
      <c r="M4128" s="94">
        <v>0</v>
      </c>
    </row>
    <row r="4129" spans="3:13" x14ac:dyDescent="0.3">
      <c r="C4129" t="s">
        <v>70</v>
      </c>
      <c r="D4129" t="s">
        <v>67</v>
      </c>
      <c r="E4129" t="s">
        <v>63</v>
      </c>
      <c r="F4129" t="s">
        <v>72</v>
      </c>
      <c r="G4129" s="4">
        <v>0</v>
      </c>
      <c r="H4129" s="4" t="s">
        <v>76</v>
      </c>
      <c r="I4129" s="4" t="s">
        <v>69</v>
      </c>
      <c r="J4129" s="4" t="s">
        <v>66</v>
      </c>
      <c r="K4129" s="4">
        <v>0</v>
      </c>
      <c r="L4129" s="94">
        <v>-73</v>
      </c>
      <c r="M4129" s="94">
        <v>0</v>
      </c>
    </row>
    <row r="4130" spans="3:13" x14ac:dyDescent="0.3">
      <c r="C4130" t="s">
        <v>61</v>
      </c>
      <c r="D4130" t="s">
        <v>67</v>
      </c>
      <c r="E4130" t="s">
        <v>68</v>
      </c>
      <c r="F4130" t="s">
        <v>25</v>
      </c>
      <c r="G4130" s="4">
        <v>9</v>
      </c>
      <c r="H4130" s="4" t="s">
        <v>79</v>
      </c>
      <c r="I4130" s="4" t="s">
        <v>69</v>
      </c>
      <c r="J4130" s="4" t="s">
        <v>66</v>
      </c>
      <c r="K4130" s="4">
        <v>0</v>
      </c>
      <c r="L4130" s="94">
        <v>17784846</v>
      </c>
      <c r="M4130" s="94">
        <v>160063614</v>
      </c>
    </row>
    <row r="4131" spans="3:13" x14ac:dyDescent="0.3">
      <c r="C4131" t="s">
        <v>70</v>
      </c>
      <c r="D4131" t="s">
        <v>67</v>
      </c>
      <c r="E4131" t="s">
        <v>68</v>
      </c>
      <c r="F4131" t="s">
        <v>25</v>
      </c>
      <c r="G4131" s="4">
        <v>-4</v>
      </c>
      <c r="H4131" s="4" t="s">
        <v>14</v>
      </c>
      <c r="I4131" s="4" t="s">
        <v>69</v>
      </c>
      <c r="J4131" s="4" t="s">
        <v>66</v>
      </c>
      <c r="K4131" s="4">
        <v>1</v>
      </c>
      <c r="L4131" s="94">
        <v>218</v>
      </c>
      <c r="M4131" s="94">
        <v>0</v>
      </c>
    </row>
    <row r="4132" spans="3:13" x14ac:dyDescent="0.3">
      <c r="C4132" t="s">
        <v>70</v>
      </c>
      <c r="D4132" t="s">
        <v>67</v>
      </c>
      <c r="E4132" t="s">
        <v>63</v>
      </c>
      <c r="F4132" t="s">
        <v>72</v>
      </c>
      <c r="G4132" s="4">
        <v>1</v>
      </c>
      <c r="H4132" s="4" t="s">
        <v>82</v>
      </c>
      <c r="I4132" s="4" t="s">
        <v>65</v>
      </c>
      <c r="J4132" s="4" t="s">
        <v>66</v>
      </c>
      <c r="K4132" s="4">
        <v>1</v>
      </c>
      <c r="L4132" s="94">
        <v>-5899</v>
      </c>
      <c r="M4132" s="94">
        <v>0</v>
      </c>
    </row>
    <row r="4133" spans="3:13" x14ac:dyDescent="0.3">
      <c r="C4133" t="s">
        <v>61</v>
      </c>
      <c r="D4133" t="s">
        <v>67</v>
      </c>
      <c r="E4133" t="s">
        <v>68</v>
      </c>
      <c r="F4133" t="s">
        <v>26</v>
      </c>
      <c r="G4133" s="4">
        <v>2</v>
      </c>
      <c r="H4133" s="4" t="s">
        <v>16</v>
      </c>
      <c r="I4133" s="4" t="s">
        <v>65</v>
      </c>
      <c r="J4133" s="4" t="s">
        <v>66</v>
      </c>
      <c r="K4133" s="4">
        <v>1</v>
      </c>
      <c r="L4133" s="94">
        <v>219014</v>
      </c>
      <c r="M4133" s="94">
        <v>438028</v>
      </c>
    </row>
    <row r="4134" spans="3:13" x14ac:dyDescent="0.3">
      <c r="C4134" t="s">
        <v>70</v>
      </c>
      <c r="D4134" t="s">
        <v>67</v>
      </c>
      <c r="E4134" t="s">
        <v>68</v>
      </c>
      <c r="F4134" t="s">
        <v>72</v>
      </c>
      <c r="G4134" s="4">
        <v>3</v>
      </c>
      <c r="H4134" s="4" t="s">
        <v>83</v>
      </c>
      <c r="I4134" s="4" t="s">
        <v>69</v>
      </c>
      <c r="J4134" s="4" t="s">
        <v>66</v>
      </c>
      <c r="K4134" s="4">
        <v>0</v>
      </c>
      <c r="L4134" s="94">
        <v>215191</v>
      </c>
      <c r="M4134" s="94">
        <v>645573</v>
      </c>
    </row>
    <row r="4135" spans="3:13" x14ac:dyDescent="0.3">
      <c r="C4135" t="s">
        <v>61</v>
      </c>
      <c r="D4135" t="s">
        <v>67</v>
      </c>
      <c r="E4135" t="s">
        <v>68</v>
      </c>
      <c r="F4135" t="s">
        <v>25</v>
      </c>
      <c r="G4135" s="4">
        <v>4</v>
      </c>
      <c r="H4135" s="4" t="s">
        <v>17</v>
      </c>
      <c r="I4135" s="4" t="s">
        <v>69</v>
      </c>
      <c r="J4135" s="4" t="s">
        <v>66</v>
      </c>
      <c r="K4135" s="4">
        <v>0</v>
      </c>
      <c r="L4135" s="94">
        <v>9279069</v>
      </c>
      <c r="M4135" s="94">
        <v>37116276</v>
      </c>
    </row>
    <row r="4136" spans="3:13" x14ac:dyDescent="0.3">
      <c r="C4136" t="s">
        <v>70</v>
      </c>
      <c r="D4136" t="s">
        <v>67</v>
      </c>
      <c r="E4136" t="s">
        <v>68</v>
      </c>
      <c r="F4136" t="s">
        <v>72</v>
      </c>
      <c r="G4136" s="4">
        <v>0</v>
      </c>
      <c r="H4136" s="4" t="s">
        <v>80</v>
      </c>
      <c r="I4136" s="4" t="s">
        <v>69</v>
      </c>
      <c r="J4136" s="4" t="s">
        <v>66</v>
      </c>
      <c r="K4136" s="4">
        <v>0</v>
      </c>
      <c r="L4136" s="94">
        <v>4115</v>
      </c>
      <c r="M4136" s="94">
        <v>0</v>
      </c>
    </row>
    <row r="4137" spans="3:13" x14ac:dyDescent="0.3">
      <c r="C4137" t="s">
        <v>61</v>
      </c>
      <c r="D4137" t="s">
        <v>67</v>
      </c>
      <c r="E4137" t="s">
        <v>63</v>
      </c>
      <c r="F4137" t="s">
        <v>72</v>
      </c>
      <c r="G4137" s="4">
        <v>2</v>
      </c>
      <c r="H4137" s="4" t="s">
        <v>14</v>
      </c>
      <c r="I4137" s="4" t="s">
        <v>69</v>
      </c>
      <c r="J4137" s="4" t="s">
        <v>66</v>
      </c>
      <c r="K4137" s="4">
        <v>0</v>
      </c>
      <c r="L4137" s="94">
        <v>-7972</v>
      </c>
      <c r="M4137" s="94">
        <v>0</v>
      </c>
    </row>
    <row r="4138" spans="3:13" x14ac:dyDescent="0.3">
      <c r="C4138" t="s">
        <v>71</v>
      </c>
      <c r="D4138" t="s">
        <v>62</v>
      </c>
      <c r="E4138" t="s">
        <v>63</v>
      </c>
      <c r="F4138" t="s">
        <v>25</v>
      </c>
      <c r="G4138" s="4">
        <v>8</v>
      </c>
      <c r="I4138" s="4" t="s">
        <v>69</v>
      </c>
      <c r="J4138" s="4" t="s">
        <v>66</v>
      </c>
      <c r="K4138" s="4">
        <v>0</v>
      </c>
      <c r="L4138" s="94">
        <v>-113470</v>
      </c>
      <c r="M4138" s="94">
        <v>0</v>
      </c>
    </row>
    <row r="4139" spans="3:13" x14ac:dyDescent="0.3">
      <c r="C4139" t="s">
        <v>61</v>
      </c>
      <c r="D4139" t="s">
        <v>67</v>
      </c>
      <c r="E4139" t="s">
        <v>63</v>
      </c>
      <c r="F4139" t="s">
        <v>25</v>
      </c>
      <c r="G4139" s="4">
        <v>7</v>
      </c>
      <c r="H4139" s="4" t="s">
        <v>14</v>
      </c>
      <c r="I4139" s="4" t="s">
        <v>69</v>
      </c>
      <c r="J4139" s="4" t="s">
        <v>66</v>
      </c>
      <c r="K4139" s="4">
        <v>0</v>
      </c>
      <c r="L4139" s="94">
        <v>-2100</v>
      </c>
      <c r="M4139" s="94">
        <v>0</v>
      </c>
    </row>
    <row r="4140" spans="3:13" x14ac:dyDescent="0.3">
      <c r="C4140" t="s">
        <v>61</v>
      </c>
      <c r="D4140" t="s">
        <v>62</v>
      </c>
      <c r="E4140" t="s">
        <v>68</v>
      </c>
      <c r="F4140" t="s">
        <v>24</v>
      </c>
      <c r="G4140" s="4">
        <v>1</v>
      </c>
      <c r="I4140" s="4" t="s">
        <v>69</v>
      </c>
      <c r="J4140" s="4" t="s">
        <v>66</v>
      </c>
      <c r="K4140" s="4">
        <v>0</v>
      </c>
      <c r="L4140" s="94">
        <v>11744586</v>
      </c>
      <c r="M4140" s="94">
        <v>11744586</v>
      </c>
    </row>
    <row r="4141" spans="3:13" x14ac:dyDescent="0.3">
      <c r="C4141" t="s">
        <v>71</v>
      </c>
      <c r="D4141" t="s">
        <v>67</v>
      </c>
      <c r="E4141" t="s">
        <v>68</v>
      </c>
      <c r="F4141" t="s">
        <v>26</v>
      </c>
      <c r="G4141" s="4">
        <v>1</v>
      </c>
      <c r="H4141" s="4" t="s">
        <v>14</v>
      </c>
      <c r="I4141" s="4" t="s">
        <v>69</v>
      </c>
      <c r="J4141" s="4" t="s">
        <v>66</v>
      </c>
      <c r="K4141" s="4">
        <v>0</v>
      </c>
      <c r="L4141" s="94">
        <v>2639987</v>
      </c>
      <c r="M4141" s="94">
        <v>2639987</v>
      </c>
    </row>
    <row r="4142" spans="3:13" x14ac:dyDescent="0.3">
      <c r="C4142" t="s">
        <v>70</v>
      </c>
      <c r="D4142" t="s">
        <v>67</v>
      </c>
      <c r="E4142" t="s">
        <v>63</v>
      </c>
      <c r="F4142" t="s">
        <v>72</v>
      </c>
      <c r="G4142" s="4">
        <v>7</v>
      </c>
      <c r="H4142" s="4" t="s">
        <v>17</v>
      </c>
      <c r="I4142" s="4" t="s">
        <v>65</v>
      </c>
      <c r="J4142" s="4" t="s">
        <v>73</v>
      </c>
      <c r="K4142" s="4">
        <v>1</v>
      </c>
      <c r="L4142" s="94">
        <v>-1135</v>
      </c>
      <c r="M4142" s="94">
        <v>0</v>
      </c>
    </row>
    <row r="4143" spans="3:13" x14ac:dyDescent="0.3">
      <c r="C4143" t="s">
        <v>61</v>
      </c>
      <c r="D4143" t="s">
        <v>67</v>
      </c>
      <c r="E4143" t="s">
        <v>68</v>
      </c>
      <c r="F4143" t="s">
        <v>25</v>
      </c>
      <c r="G4143" s="4">
        <v>3</v>
      </c>
      <c r="H4143" s="4" t="s">
        <v>12</v>
      </c>
      <c r="I4143" s="4" t="s">
        <v>69</v>
      </c>
      <c r="J4143" s="4" t="s">
        <v>66</v>
      </c>
      <c r="K4143" s="4">
        <v>1</v>
      </c>
      <c r="L4143" s="94">
        <v>967612</v>
      </c>
      <c r="M4143" s="94">
        <v>2902836</v>
      </c>
    </row>
    <row r="4144" spans="3:13" x14ac:dyDescent="0.3">
      <c r="C4144" t="s">
        <v>71</v>
      </c>
      <c r="D4144" t="s">
        <v>67</v>
      </c>
      <c r="E4144" t="s">
        <v>68</v>
      </c>
      <c r="F4144" t="s">
        <v>26</v>
      </c>
      <c r="G4144" s="4">
        <v>-4</v>
      </c>
      <c r="H4144" s="4" t="s">
        <v>75</v>
      </c>
      <c r="I4144" s="4" t="s">
        <v>69</v>
      </c>
      <c r="J4144" s="4" t="s">
        <v>66</v>
      </c>
      <c r="K4144" s="4">
        <v>0</v>
      </c>
      <c r="L4144" s="94">
        <v>1738157</v>
      </c>
      <c r="M4144" s="94">
        <v>0</v>
      </c>
    </row>
    <row r="4145" spans="3:13" x14ac:dyDescent="0.3">
      <c r="C4145" t="s">
        <v>61</v>
      </c>
      <c r="D4145" t="s">
        <v>67</v>
      </c>
      <c r="E4145" t="s">
        <v>63</v>
      </c>
      <c r="F4145" t="s">
        <v>25</v>
      </c>
      <c r="G4145" s="4">
        <v>5</v>
      </c>
      <c r="H4145" s="4" t="s">
        <v>78</v>
      </c>
      <c r="I4145" s="4" t="s">
        <v>69</v>
      </c>
      <c r="J4145" s="4" t="s">
        <v>66</v>
      </c>
      <c r="K4145" s="4">
        <v>0</v>
      </c>
      <c r="L4145" s="94">
        <v>-1729</v>
      </c>
      <c r="M4145" s="94">
        <v>0</v>
      </c>
    </row>
    <row r="4146" spans="3:13" x14ac:dyDescent="0.3">
      <c r="C4146" t="s">
        <v>70</v>
      </c>
      <c r="D4146" t="s">
        <v>67</v>
      </c>
      <c r="E4146" t="s">
        <v>68</v>
      </c>
      <c r="F4146" t="s">
        <v>72</v>
      </c>
      <c r="G4146" s="4">
        <v>4</v>
      </c>
      <c r="H4146" s="4" t="s">
        <v>18</v>
      </c>
      <c r="I4146" s="4" t="s">
        <v>65</v>
      </c>
      <c r="J4146" s="4" t="s">
        <v>66</v>
      </c>
      <c r="K4146" s="4">
        <v>1</v>
      </c>
      <c r="L4146" s="94">
        <v>8138</v>
      </c>
      <c r="M4146" s="94">
        <v>32552</v>
      </c>
    </row>
    <row r="4147" spans="3:13" x14ac:dyDescent="0.3">
      <c r="C4147" t="s">
        <v>61</v>
      </c>
      <c r="D4147" t="s">
        <v>84</v>
      </c>
      <c r="E4147" t="s">
        <v>68</v>
      </c>
      <c r="F4147" t="s">
        <v>25</v>
      </c>
      <c r="G4147" s="4">
        <v>3</v>
      </c>
      <c r="H4147" s="4" t="s">
        <v>79</v>
      </c>
      <c r="I4147" s="4" t="s">
        <v>69</v>
      </c>
      <c r="J4147" s="4" t="s">
        <v>66</v>
      </c>
      <c r="K4147" s="4">
        <v>0</v>
      </c>
      <c r="L4147" s="94">
        <v>792943</v>
      </c>
      <c r="M4147" s="94">
        <v>2378829</v>
      </c>
    </row>
    <row r="4148" spans="3:13" x14ac:dyDescent="0.3">
      <c r="C4148" t="s">
        <v>70</v>
      </c>
      <c r="D4148" t="s">
        <v>67</v>
      </c>
      <c r="E4148" t="s">
        <v>63</v>
      </c>
      <c r="F4148" t="s">
        <v>72</v>
      </c>
      <c r="G4148" s="4">
        <v>2</v>
      </c>
      <c r="H4148" s="4" t="s">
        <v>14</v>
      </c>
      <c r="I4148" s="4" t="s">
        <v>69</v>
      </c>
      <c r="J4148" s="4" t="s">
        <v>66</v>
      </c>
      <c r="K4148" s="4">
        <v>0</v>
      </c>
      <c r="L4148" s="94">
        <v>-34732</v>
      </c>
      <c r="M4148" s="94">
        <v>0</v>
      </c>
    </row>
    <row r="4149" spans="3:13" x14ac:dyDescent="0.3">
      <c r="C4149" t="s">
        <v>70</v>
      </c>
      <c r="D4149" t="s">
        <v>67</v>
      </c>
      <c r="E4149" t="s">
        <v>63</v>
      </c>
      <c r="F4149" t="s">
        <v>26</v>
      </c>
      <c r="G4149" s="4">
        <v>7</v>
      </c>
      <c r="H4149" s="4" t="s">
        <v>18</v>
      </c>
      <c r="I4149" s="4" t="s">
        <v>69</v>
      </c>
      <c r="J4149" s="4" t="s">
        <v>66</v>
      </c>
      <c r="K4149" s="4">
        <v>0</v>
      </c>
      <c r="L4149" s="94">
        <v>-170550</v>
      </c>
      <c r="M4149" s="94">
        <v>0</v>
      </c>
    </row>
    <row r="4150" spans="3:13" x14ac:dyDescent="0.3">
      <c r="C4150" t="s">
        <v>71</v>
      </c>
      <c r="D4150" t="s">
        <v>67</v>
      </c>
      <c r="E4150" t="s">
        <v>63</v>
      </c>
      <c r="F4150" t="s">
        <v>25</v>
      </c>
      <c r="G4150" s="4">
        <v>7</v>
      </c>
      <c r="H4150" s="4" t="s">
        <v>18</v>
      </c>
      <c r="I4150" s="4" t="s">
        <v>69</v>
      </c>
      <c r="J4150" s="4" t="s">
        <v>66</v>
      </c>
      <c r="K4150" s="4">
        <v>0</v>
      </c>
      <c r="L4150" s="94">
        <v>-10387</v>
      </c>
      <c r="M4150" s="94">
        <v>0</v>
      </c>
    </row>
    <row r="4151" spans="3:13" x14ac:dyDescent="0.3">
      <c r="C4151" t="s">
        <v>61</v>
      </c>
      <c r="D4151" t="s">
        <v>67</v>
      </c>
      <c r="E4151" t="s">
        <v>63</v>
      </c>
      <c r="F4151" t="s">
        <v>72</v>
      </c>
      <c r="G4151" s="4">
        <v>7</v>
      </c>
      <c r="H4151" s="4" t="s">
        <v>74</v>
      </c>
      <c r="I4151" s="4" t="s">
        <v>69</v>
      </c>
      <c r="J4151" s="4" t="s">
        <v>66</v>
      </c>
      <c r="K4151" s="4">
        <v>0</v>
      </c>
      <c r="L4151" s="94">
        <v>-1502</v>
      </c>
      <c r="M4151" s="94">
        <v>0</v>
      </c>
    </row>
    <row r="4152" spans="3:13" x14ac:dyDescent="0.3">
      <c r="C4152" t="s">
        <v>61</v>
      </c>
      <c r="D4152" t="s">
        <v>67</v>
      </c>
      <c r="E4152" t="s">
        <v>68</v>
      </c>
      <c r="F4152" t="s">
        <v>25</v>
      </c>
      <c r="G4152" s="4">
        <v>17</v>
      </c>
      <c r="H4152" s="4" t="s">
        <v>75</v>
      </c>
      <c r="I4152" s="4" t="s">
        <v>69</v>
      </c>
      <c r="J4152" s="4" t="s">
        <v>66</v>
      </c>
      <c r="K4152" s="4">
        <v>0</v>
      </c>
      <c r="L4152" s="94">
        <v>2189149</v>
      </c>
      <c r="M4152" s="94">
        <v>37215533</v>
      </c>
    </row>
    <row r="4153" spans="3:13" x14ac:dyDescent="0.3">
      <c r="C4153" t="s">
        <v>70</v>
      </c>
      <c r="D4153" t="s">
        <v>67</v>
      </c>
      <c r="E4153" t="s">
        <v>63</v>
      </c>
      <c r="F4153" t="s">
        <v>26</v>
      </c>
      <c r="G4153" s="4">
        <v>-1</v>
      </c>
      <c r="H4153" s="4" t="s">
        <v>82</v>
      </c>
      <c r="I4153" s="4" t="s">
        <v>69</v>
      </c>
      <c r="J4153" s="4" t="s">
        <v>66</v>
      </c>
      <c r="K4153" s="4">
        <v>0</v>
      </c>
      <c r="L4153" s="94">
        <v>-506875</v>
      </c>
      <c r="M4153" s="94">
        <v>0</v>
      </c>
    </row>
    <row r="4154" spans="3:13" x14ac:dyDescent="0.3">
      <c r="C4154" t="s">
        <v>61</v>
      </c>
      <c r="D4154" t="s">
        <v>67</v>
      </c>
      <c r="E4154" t="s">
        <v>63</v>
      </c>
      <c r="F4154" t="s">
        <v>72</v>
      </c>
      <c r="G4154" s="4">
        <v>0</v>
      </c>
      <c r="H4154" s="4" t="s">
        <v>76</v>
      </c>
      <c r="I4154" s="4" t="s">
        <v>69</v>
      </c>
      <c r="J4154" s="4" t="s">
        <v>66</v>
      </c>
      <c r="K4154" s="4">
        <v>0</v>
      </c>
      <c r="L4154" s="94">
        <v>-445</v>
      </c>
      <c r="M4154" s="94">
        <v>0</v>
      </c>
    </row>
    <row r="4155" spans="3:13" x14ac:dyDescent="0.3">
      <c r="C4155" t="s">
        <v>70</v>
      </c>
      <c r="D4155" t="s">
        <v>67</v>
      </c>
      <c r="E4155" t="s">
        <v>68</v>
      </c>
      <c r="F4155" t="s">
        <v>72</v>
      </c>
      <c r="G4155" s="4">
        <v>5</v>
      </c>
      <c r="H4155" s="4" t="s">
        <v>76</v>
      </c>
      <c r="I4155" s="4" t="s">
        <v>69</v>
      </c>
      <c r="J4155" s="4" t="s">
        <v>66</v>
      </c>
      <c r="K4155" s="4">
        <v>0</v>
      </c>
      <c r="L4155" s="94">
        <v>509902</v>
      </c>
      <c r="M4155" s="94">
        <v>2549510</v>
      </c>
    </row>
    <row r="4156" spans="3:13" x14ac:dyDescent="0.3">
      <c r="C4156" t="s">
        <v>61</v>
      </c>
      <c r="D4156" t="s">
        <v>67</v>
      </c>
      <c r="E4156" t="s">
        <v>68</v>
      </c>
      <c r="F4156" t="s">
        <v>25</v>
      </c>
      <c r="G4156" s="4">
        <v>10</v>
      </c>
      <c r="H4156" s="4" t="s">
        <v>17</v>
      </c>
      <c r="I4156" s="4" t="s">
        <v>69</v>
      </c>
      <c r="J4156" s="4" t="s">
        <v>66</v>
      </c>
      <c r="K4156" s="4">
        <v>1</v>
      </c>
      <c r="L4156" s="94">
        <v>57413</v>
      </c>
      <c r="M4156" s="94">
        <v>574130</v>
      </c>
    </row>
    <row r="4157" spans="3:13" x14ac:dyDescent="0.3">
      <c r="C4157" t="s">
        <v>70</v>
      </c>
      <c r="D4157" t="s">
        <v>67</v>
      </c>
      <c r="E4157" t="s">
        <v>68</v>
      </c>
      <c r="F4157" t="s">
        <v>26</v>
      </c>
      <c r="G4157" s="4">
        <v>0</v>
      </c>
      <c r="H4157" s="4" t="s">
        <v>83</v>
      </c>
      <c r="I4157" s="4" t="s">
        <v>69</v>
      </c>
      <c r="J4157" s="4" t="s">
        <v>66</v>
      </c>
      <c r="K4157" s="4">
        <v>0</v>
      </c>
      <c r="L4157" s="94">
        <v>307119</v>
      </c>
      <c r="M4157" s="94">
        <v>0</v>
      </c>
    </row>
    <row r="4158" spans="3:13" x14ac:dyDescent="0.3">
      <c r="C4158" t="s">
        <v>70</v>
      </c>
      <c r="D4158" t="s">
        <v>62</v>
      </c>
      <c r="E4158" t="s">
        <v>63</v>
      </c>
      <c r="F4158" t="s">
        <v>24</v>
      </c>
      <c r="G4158" s="4">
        <v>45</v>
      </c>
      <c r="I4158" s="4" t="s">
        <v>69</v>
      </c>
      <c r="J4158" s="4" t="s">
        <v>66</v>
      </c>
      <c r="K4158" s="4">
        <v>0</v>
      </c>
      <c r="L4158" s="94">
        <v>-9744</v>
      </c>
      <c r="M4158" s="94">
        <v>0</v>
      </c>
    </row>
    <row r="4159" spans="3:13" x14ac:dyDescent="0.3">
      <c r="C4159" t="s">
        <v>70</v>
      </c>
      <c r="D4159" t="s">
        <v>67</v>
      </c>
      <c r="E4159" t="s">
        <v>68</v>
      </c>
      <c r="F4159" t="s">
        <v>25</v>
      </c>
      <c r="G4159" s="4">
        <v>12</v>
      </c>
      <c r="H4159" s="4" t="s">
        <v>12</v>
      </c>
      <c r="I4159" s="4" t="s">
        <v>69</v>
      </c>
      <c r="J4159" s="4" t="s">
        <v>66</v>
      </c>
      <c r="K4159" s="4">
        <v>1</v>
      </c>
      <c r="L4159" s="94">
        <v>15014</v>
      </c>
      <c r="M4159" s="94">
        <v>180168</v>
      </c>
    </row>
    <row r="4160" spans="3:13" x14ac:dyDescent="0.3">
      <c r="C4160" t="s">
        <v>61</v>
      </c>
      <c r="D4160" t="s">
        <v>62</v>
      </c>
      <c r="E4160" t="s">
        <v>63</v>
      </c>
      <c r="F4160" t="s">
        <v>25</v>
      </c>
      <c r="G4160" s="4">
        <v>21</v>
      </c>
      <c r="I4160" s="4" t="s">
        <v>65</v>
      </c>
      <c r="J4160" s="4" t="s">
        <v>66</v>
      </c>
      <c r="K4160" s="4">
        <v>1</v>
      </c>
      <c r="L4160" s="94">
        <v>-4</v>
      </c>
      <c r="M4160" s="94">
        <v>0</v>
      </c>
    </row>
    <row r="4161" spans="3:13" x14ac:dyDescent="0.3">
      <c r="C4161" t="s">
        <v>70</v>
      </c>
      <c r="D4161" t="s">
        <v>67</v>
      </c>
      <c r="E4161" t="s">
        <v>63</v>
      </c>
      <c r="F4161" t="s">
        <v>25</v>
      </c>
      <c r="G4161" s="4">
        <v>9</v>
      </c>
      <c r="H4161" s="4" t="s">
        <v>18</v>
      </c>
      <c r="I4161" s="4" t="s">
        <v>69</v>
      </c>
      <c r="J4161" s="4" t="s">
        <v>66</v>
      </c>
      <c r="K4161" s="4">
        <v>0</v>
      </c>
      <c r="L4161" s="94">
        <v>-157233</v>
      </c>
      <c r="M4161" s="94">
        <v>0</v>
      </c>
    </row>
    <row r="4162" spans="3:13" x14ac:dyDescent="0.3">
      <c r="C4162" t="s">
        <v>70</v>
      </c>
      <c r="D4162" t="s">
        <v>62</v>
      </c>
      <c r="E4162" t="s">
        <v>63</v>
      </c>
      <c r="F4162" t="s">
        <v>25</v>
      </c>
      <c r="G4162" s="4">
        <v>12</v>
      </c>
      <c r="I4162" s="4" t="s">
        <v>69</v>
      </c>
      <c r="J4162" s="4" t="s">
        <v>66</v>
      </c>
      <c r="K4162" s="4">
        <v>0</v>
      </c>
      <c r="L4162" s="94">
        <v>-24280</v>
      </c>
      <c r="M4162" s="94">
        <v>0</v>
      </c>
    </row>
    <row r="4163" spans="3:13" x14ac:dyDescent="0.3">
      <c r="C4163" t="s">
        <v>61</v>
      </c>
      <c r="D4163" t="s">
        <v>67</v>
      </c>
      <c r="E4163" t="s">
        <v>63</v>
      </c>
      <c r="F4163" t="s">
        <v>26</v>
      </c>
      <c r="G4163" s="4">
        <v>2</v>
      </c>
      <c r="H4163" s="4" t="s">
        <v>15</v>
      </c>
      <c r="I4163" s="4" t="s">
        <v>69</v>
      </c>
      <c r="J4163" s="4" t="s">
        <v>73</v>
      </c>
      <c r="K4163" s="4">
        <v>1</v>
      </c>
      <c r="L4163" s="94">
        <v>-1727</v>
      </c>
      <c r="M4163" s="94">
        <v>0</v>
      </c>
    </row>
    <row r="4164" spans="3:13" x14ac:dyDescent="0.3">
      <c r="C4164" t="s">
        <v>70</v>
      </c>
      <c r="D4164" t="s">
        <v>67</v>
      </c>
      <c r="E4164" t="s">
        <v>63</v>
      </c>
      <c r="F4164" t="s">
        <v>72</v>
      </c>
      <c r="G4164" s="4">
        <v>-1</v>
      </c>
      <c r="H4164" s="4" t="s">
        <v>18</v>
      </c>
      <c r="I4164" s="4" t="s">
        <v>69</v>
      </c>
      <c r="J4164" s="4" t="s">
        <v>73</v>
      </c>
      <c r="K4164" s="4">
        <v>1</v>
      </c>
      <c r="L4164" s="94">
        <v>-22</v>
      </c>
      <c r="M4164" s="94">
        <v>0</v>
      </c>
    </row>
    <row r="4165" spans="3:13" x14ac:dyDescent="0.3">
      <c r="C4165" t="s">
        <v>71</v>
      </c>
      <c r="D4165" t="s">
        <v>67</v>
      </c>
      <c r="E4165" t="s">
        <v>63</v>
      </c>
      <c r="F4165" t="s">
        <v>26</v>
      </c>
      <c r="G4165" s="4">
        <v>3</v>
      </c>
      <c r="H4165" s="4" t="s">
        <v>76</v>
      </c>
      <c r="I4165" s="4" t="s">
        <v>69</v>
      </c>
      <c r="J4165" s="4" t="s">
        <v>66</v>
      </c>
      <c r="K4165" s="4">
        <v>0</v>
      </c>
      <c r="L4165" s="94">
        <v>-660259</v>
      </c>
      <c r="M4165" s="94">
        <v>0</v>
      </c>
    </row>
    <row r="4166" spans="3:13" x14ac:dyDescent="0.3">
      <c r="C4166" t="s">
        <v>61</v>
      </c>
      <c r="D4166" t="s">
        <v>84</v>
      </c>
      <c r="E4166" t="s">
        <v>68</v>
      </c>
      <c r="F4166" t="s">
        <v>25</v>
      </c>
      <c r="G4166" s="4">
        <v>-1</v>
      </c>
      <c r="H4166" s="4" t="s">
        <v>74</v>
      </c>
      <c r="I4166" s="4" t="s">
        <v>69</v>
      </c>
      <c r="J4166" s="4" t="s">
        <v>66</v>
      </c>
      <c r="K4166" s="4">
        <v>0</v>
      </c>
      <c r="L4166" s="94">
        <v>300064</v>
      </c>
      <c r="M4166" s="94">
        <v>0</v>
      </c>
    </row>
    <row r="4167" spans="3:13" x14ac:dyDescent="0.3">
      <c r="C4167" t="s">
        <v>71</v>
      </c>
      <c r="D4167" t="s">
        <v>62</v>
      </c>
      <c r="E4167" t="s">
        <v>68</v>
      </c>
      <c r="F4167" t="s">
        <v>24</v>
      </c>
      <c r="G4167" s="4">
        <v>31</v>
      </c>
      <c r="I4167" s="4" t="s">
        <v>69</v>
      </c>
      <c r="J4167" s="4" t="s">
        <v>66</v>
      </c>
      <c r="K4167" s="4">
        <v>1</v>
      </c>
      <c r="L4167" s="94">
        <v>15278</v>
      </c>
      <c r="M4167" s="94">
        <v>473618</v>
      </c>
    </row>
    <row r="4168" spans="3:13" x14ac:dyDescent="0.3">
      <c r="C4168" t="s">
        <v>70</v>
      </c>
      <c r="D4168" t="s">
        <v>62</v>
      </c>
      <c r="E4168" t="s">
        <v>68</v>
      </c>
      <c r="F4168" t="s">
        <v>25</v>
      </c>
      <c r="G4168" s="4">
        <v>11</v>
      </c>
      <c r="I4168" s="4" t="s">
        <v>69</v>
      </c>
      <c r="J4168" s="4" t="s">
        <v>66</v>
      </c>
      <c r="K4168" s="4">
        <v>1</v>
      </c>
      <c r="L4168" s="94">
        <v>23658</v>
      </c>
      <c r="M4168" s="94">
        <v>260238</v>
      </c>
    </row>
    <row r="4169" spans="3:13" x14ac:dyDescent="0.3">
      <c r="C4169" t="s">
        <v>70</v>
      </c>
      <c r="D4169" t="s">
        <v>67</v>
      </c>
      <c r="E4169" t="s">
        <v>68</v>
      </c>
      <c r="F4169" t="s">
        <v>26</v>
      </c>
      <c r="G4169" s="4">
        <v>1</v>
      </c>
      <c r="H4169" s="4" t="s">
        <v>15</v>
      </c>
      <c r="I4169" s="4" t="s">
        <v>69</v>
      </c>
      <c r="J4169" s="4" t="s">
        <v>73</v>
      </c>
      <c r="K4169" s="4">
        <v>1</v>
      </c>
      <c r="L4169" s="94">
        <v>36178</v>
      </c>
      <c r="M4169" s="94">
        <v>36178</v>
      </c>
    </row>
    <row r="4170" spans="3:13" x14ac:dyDescent="0.3">
      <c r="C4170" t="s">
        <v>61</v>
      </c>
      <c r="D4170" t="s">
        <v>67</v>
      </c>
      <c r="E4170" t="s">
        <v>63</v>
      </c>
      <c r="F4170" t="s">
        <v>26</v>
      </c>
      <c r="G4170" s="4">
        <v>2</v>
      </c>
      <c r="H4170" s="4" t="s">
        <v>14</v>
      </c>
      <c r="I4170" s="4" t="s">
        <v>65</v>
      </c>
      <c r="J4170" s="4" t="s">
        <v>66</v>
      </c>
      <c r="K4170" s="4">
        <v>1</v>
      </c>
      <c r="L4170" s="94">
        <v>-556</v>
      </c>
      <c r="M4170" s="94">
        <v>0</v>
      </c>
    </row>
    <row r="4171" spans="3:13" x14ac:dyDescent="0.3">
      <c r="C4171" t="s">
        <v>70</v>
      </c>
      <c r="D4171" t="s">
        <v>67</v>
      </c>
      <c r="E4171" t="s">
        <v>63</v>
      </c>
      <c r="F4171" t="s">
        <v>25</v>
      </c>
      <c r="G4171" s="4">
        <v>0</v>
      </c>
      <c r="H4171" s="4" t="s">
        <v>82</v>
      </c>
      <c r="I4171" s="4" t="s">
        <v>69</v>
      </c>
      <c r="J4171" s="4" t="s">
        <v>66</v>
      </c>
      <c r="K4171" s="4">
        <v>0</v>
      </c>
      <c r="L4171" s="94">
        <v>-2859</v>
      </c>
      <c r="M4171" s="94">
        <v>0</v>
      </c>
    </row>
    <row r="4172" spans="3:13" x14ac:dyDescent="0.3">
      <c r="C4172" t="s">
        <v>70</v>
      </c>
      <c r="D4172" t="s">
        <v>67</v>
      </c>
      <c r="E4172" t="s">
        <v>63</v>
      </c>
      <c r="F4172" t="s">
        <v>72</v>
      </c>
      <c r="G4172" s="4">
        <v>-4</v>
      </c>
      <c r="H4172" s="4" t="s">
        <v>74</v>
      </c>
      <c r="I4172" s="4" t="s">
        <v>69</v>
      </c>
      <c r="J4172" s="4" t="s">
        <v>66</v>
      </c>
      <c r="K4172" s="4">
        <v>0</v>
      </c>
      <c r="L4172" s="94">
        <v>-363</v>
      </c>
      <c r="M4172" s="94">
        <v>0</v>
      </c>
    </row>
    <row r="4173" spans="3:13" x14ac:dyDescent="0.3">
      <c r="C4173" t="s">
        <v>61</v>
      </c>
      <c r="D4173" t="s">
        <v>67</v>
      </c>
      <c r="E4173" t="s">
        <v>68</v>
      </c>
      <c r="F4173" t="s">
        <v>25</v>
      </c>
      <c r="G4173" s="4">
        <v>16</v>
      </c>
      <c r="H4173" s="4" t="s">
        <v>83</v>
      </c>
      <c r="I4173" s="4" t="s">
        <v>69</v>
      </c>
      <c r="J4173" s="4" t="s">
        <v>66</v>
      </c>
      <c r="K4173" s="4">
        <v>0</v>
      </c>
      <c r="L4173" s="94">
        <v>66048</v>
      </c>
      <c r="M4173" s="94">
        <v>1056768</v>
      </c>
    </row>
    <row r="4174" spans="3:13" x14ac:dyDescent="0.3">
      <c r="C4174" t="s">
        <v>61</v>
      </c>
      <c r="D4174" t="s">
        <v>62</v>
      </c>
      <c r="E4174" t="s">
        <v>68</v>
      </c>
      <c r="F4174" t="s">
        <v>24</v>
      </c>
      <c r="G4174" s="4">
        <v>16</v>
      </c>
      <c r="I4174" s="4" t="s">
        <v>65</v>
      </c>
      <c r="J4174" s="4" t="s">
        <v>66</v>
      </c>
      <c r="K4174" s="4">
        <v>1</v>
      </c>
      <c r="L4174" s="94">
        <v>3488190</v>
      </c>
      <c r="M4174" s="94">
        <v>55811040</v>
      </c>
    </row>
    <row r="4175" spans="3:13" x14ac:dyDescent="0.3">
      <c r="C4175" t="s">
        <v>61</v>
      </c>
      <c r="D4175" t="s">
        <v>62</v>
      </c>
      <c r="E4175" t="s">
        <v>63</v>
      </c>
      <c r="F4175" t="s">
        <v>24</v>
      </c>
      <c r="G4175" s="4">
        <v>3</v>
      </c>
      <c r="I4175" s="4" t="s">
        <v>65</v>
      </c>
      <c r="J4175" s="4" t="s">
        <v>73</v>
      </c>
      <c r="K4175" s="4">
        <v>1</v>
      </c>
      <c r="L4175" s="94">
        <v>0</v>
      </c>
      <c r="M4175" s="94">
        <v>0</v>
      </c>
    </row>
    <row r="4176" spans="3:13" x14ac:dyDescent="0.3">
      <c r="C4176" t="s">
        <v>71</v>
      </c>
      <c r="D4176" t="s">
        <v>67</v>
      </c>
      <c r="E4176" t="s">
        <v>63</v>
      </c>
      <c r="F4176" t="s">
        <v>72</v>
      </c>
      <c r="G4176" s="4">
        <v>5</v>
      </c>
      <c r="H4176" s="4" t="s">
        <v>76</v>
      </c>
      <c r="I4176" s="4" t="s">
        <v>69</v>
      </c>
      <c r="J4176" s="4" t="s">
        <v>66</v>
      </c>
      <c r="K4176" s="4">
        <v>0</v>
      </c>
      <c r="L4176" s="94">
        <v>-28579</v>
      </c>
      <c r="M4176" s="94">
        <v>0</v>
      </c>
    </row>
    <row r="4177" spans="3:13" x14ac:dyDescent="0.3">
      <c r="C4177" t="s">
        <v>70</v>
      </c>
      <c r="D4177" t="s">
        <v>67</v>
      </c>
      <c r="E4177" t="s">
        <v>63</v>
      </c>
      <c r="F4177" t="s">
        <v>26</v>
      </c>
      <c r="G4177" s="4">
        <v>4</v>
      </c>
      <c r="H4177" s="4" t="s">
        <v>14</v>
      </c>
      <c r="I4177" s="4" t="s">
        <v>69</v>
      </c>
      <c r="J4177" s="4" t="s">
        <v>73</v>
      </c>
      <c r="K4177" s="4">
        <v>1</v>
      </c>
      <c r="L4177" s="94">
        <v>-739874</v>
      </c>
      <c r="M4177" s="94">
        <v>0</v>
      </c>
    </row>
    <row r="4178" spans="3:13" x14ac:dyDescent="0.3">
      <c r="C4178" t="s">
        <v>70</v>
      </c>
      <c r="D4178" t="s">
        <v>67</v>
      </c>
      <c r="E4178" t="s">
        <v>63</v>
      </c>
      <c r="F4178" t="s">
        <v>26</v>
      </c>
      <c r="G4178" s="4">
        <v>1</v>
      </c>
      <c r="H4178" s="4" t="s">
        <v>18</v>
      </c>
      <c r="I4178" s="4" t="s">
        <v>65</v>
      </c>
      <c r="J4178" s="4" t="s">
        <v>66</v>
      </c>
      <c r="K4178" s="4">
        <v>1</v>
      </c>
      <c r="L4178" s="94">
        <v>-197</v>
      </c>
      <c r="M4178" s="94">
        <v>0</v>
      </c>
    </row>
    <row r="4179" spans="3:13" x14ac:dyDescent="0.3">
      <c r="C4179" t="s">
        <v>70</v>
      </c>
      <c r="D4179" t="s">
        <v>62</v>
      </c>
      <c r="E4179" t="s">
        <v>63</v>
      </c>
      <c r="F4179" t="s">
        <v>24</v>
      </c>
      <c r="G4179" s="4">
        <v>27</v>
      </c>
      <c r="I4179" s="4" t="s">
        <v>65</v>
      </c>
      <c r="J4179" s="4" t="s">
        <v>66</v>
      </c>
      <c r="K4179" s="4">
        <v>1</v>
      </c>
      <c r="L4179" s="94">
        <v>-1268</v>
      </c>
      <c r="M4179" s="94">
        <v>0</v>
      </c>
    </row>
    <row r="4180" spans="3:13" x14ac:dyDescent="0.3">
      <c r="C4180" t="s">
        <v>61</v>
      </c>
      <c r="D4180" t="s">
        <v>88</v>
      </c>
      <c r="E4180" t="s">
        <v>63</v>
      </c>
      <c r="F4180" t="s">
        <v>25</v>
      </c>
      <c r="G4180" s="4">
        <v>3</v>
      </c>
      <c r="H4180" s="4" t="s">
        <v>86</v>
      </c>
      <c r="I4180" s="4" t="s">
        <v>69</v>
      </c>
      <c r="J4180" s="4" t="s">
        <v>66</v>
      </c>
      <c r="K4180" s="4">
        <v>0</v>
      </c>
      <c r="L4180" s="94">
        <v>-16</v>
      </c>
      <c r="M4180" s="94">
        <v>0</v>
      </c>
    </row>
    <row r="4181" spans="3:13" x14ac:dyDescent="0.3">
      <c r="C4181" t="s">
        <v>71</v>
      </c>
      <c r="D4181" t="s">
        <v>67</v>
      </c>
      <c r="E4181" t="s">
        <v>68</v>
      </c>
      <c r="F4181" t="s">
        <v>26</v>
      </c>
      <c r="G4181" s="4">
        <v>2</v>
      </c>
      <c r="H4181" s="4" t="s">
        <v>82</v>
      </c>
      <c r="I4181" s="4" t="s">
        <v>69</v>
      </c>
      <c r="J4181" s="4" t="s">
        <v>66</v>
      </c>
      <c r="K4181" s="4">
        <v>0</v>
      </c>
      <c r="L4181" s="94">
        <v>3611602</v>
      </c>
      <c r="M4181" s="94">
        <v>7223204</v>
      </c>
    </row>
    <row r="4182" spans="3:13" x14ac:dyDescent="0.3">
      <c r="C4182" t="s">
        <v>70</v>
      </c>
      <c r="D4182" t="s">
        <v>62</v>
      </c>
      <c r="E4182" t="s">
        <v>68</v>
      </c>
      <c r="F4182" t="s">
        <v>24</v>
      </c>
      <c r="G4182" s="4">
        <v>3</v>
      </c>
      <c r="I4182" s="4" t="s">
        <v>69</v>
      </c>
      <c r="J4182" s="4" t="s">
        <v>66</v>
      </c>
      <c r="K4182" s="4">
        <v>1</v>
      </c>
      <c r="L4182" s="94">
        <v>109796</v>
      </c>
      <c r="M4182" s="94">
        <v>329388</v>
      </c>
    </row>
    <row r="4183" spans="3:13" x14ac:dyDescent="0.3">
      <c r="C4183" t="s">
        <v>61</v>
      </c>
      <c r="D4183" t="s">
        <v>67</v>
      </c>
      <c r="E4183" t="s">
        <v>68</v>
      </c>
      <c r="F4183" t="s">
        <v>25</v>
      </c>
      <c r="G4183" s="4">
        <v>6</v>
      </c>
      <c r="H4183" s="4" t="s">
        <v>75</v>
      </c>
      <c r="I4183" s="4" t="s">
        <v>65</v>
      </c>
      <c r="J4183" s="4" t="s">
        <v>66</v>
      </c>
      <c r="K4183" s="4">
        <v>1</v>
      </c>
      <c r="L4183" s="94">
        <v>365303</v>
      </c>
      <c r="M4183" s="94">
        <v>2191818</v>
      </c>
    </row>
    <row r="4184" spans="3:13" x14ac:dyDescent="0.3">
      <c r="C4184" t="s">
        <v>71</v>
      </c>
      <c r="D4184" t="s">
        <v>67</v>
      </c>
      <c r="E4184" t="s">
        <v>68</v>
      </c>
      <c r="F4184" t="s">
        <v>72</v>
      </c>
      <c r="G4184" s="4">
        <v>0</v>
      </c>
      <c r="H4184" s="4" t="s">
        <v>17</v>
      </c>
      <c r="I4184" s="4" t="s">
        <v>65</v>
      </c>
      <c r="J4184" s="4" t="s">
        <v>73</v>
      </c>
      <c r="K4184" s="4">
        <v>1</v>
      </c>
      <c r="L4184" s="94">
        <v>21581</v>
      </c>
      <c r="M4184" s="94">
        <v>0</v>
      </c>
    </row>
    <row r="4185" spans="3:13" x14ac:dyDescent="0.3">
      <c r="C4185" t="s">
        <v>61</v>
      </c>
      <c r="D4185" t="s">
        <v>67</v>
      </c>
      <c r="E4185" t="s">
        <v>63</v>
      </c>
      <c r="F4185" t="s">
        <v>72</v>
      </c>
      <c r="G4185" s="4">
        <v>1</v>
      </c>
      <c r="H4185" s="4" t="s">
        <v>80</v>
      </c>
      <c r="I4185" s="4" t="s">
        <v>69</v>
      </c>
      <c r="J4185" s="4" t="s">
        <v>66</v>
      </c>
      <c r="K4185" s="4">
        <v>0</v>
      </c>
      <c r="L4185" s="94">
        <v>-736</v>
      </c>
      <c r="M4185" s="94">
        <v>0</v>
      </c>
    </row>
    <row r="4186" spans="3:13" x14ac:dyDescent="0.3">
      <c r="C4186" t="s">
        <v>61</v>
      </c>
      <c r="D4186" t="s">
        <v>62</v>
      </c>
      <c r="E4186" t="s">
        <v>68</v>
      </c>
      <c r="F4186" t="s">
        <v>25</v>
      </c>
      <c r="G4186" s="4">
        <v>8</v>
      </c>
      <c r="I4186" s="4" t="s">
        <v>69</v>
      </c>
      <c r="J4186" s="4" t="s">
        <v>66</v>
      </c>
      <c r="K4186" s="4">
        <v>1</v>
      </c>
      <c r="L4186" s="94">
        <v>188341</v>
      </c>
      <c r="M4186" s="94">
        <v>1506728</v>
      </c>
    </row>
    <row r="4187" spans="3:13" x14ac:dyDescent="0.3">
      <c r="C4187" t="s">
        <v>71</v>
      </c>
      <c r="D4187" t="s">
        <v>67</v>
      </c>
      <c r="E4187" t="s">
        <v>68</v>
      </c>
      <c r="F4187" t="s">
        <v>25</v>
      </c>
      <c r="G4187" s="4">
        <v>0</v>
      </c>
      <c r="H4187" s="4" t="s">
        <v>14</v>
      </c>
      <c r="I4187" s="4" t="s">
        <v>69</v>
      </c>
      <c r="J4187" s="4" t="s">
        <v>66</v>
      </c>
      <c r="K4187" s="4">
        <v>1</v>
      </c>
      <c r="L4187" s="94">
        <v>776161</v>
      </c>
      <c r="M4187" s="94">
        <v>0</v>
      </c>
    </row>
    <row r="4188" spans="3:13" x14ac:dyDescent="0.3">
      <c r="C4188" t="s">
        <v>70</v>
      </c>
      <c r="D4188" t="s">
        <v>67</v>
      </c>
      <c r="E4188" t="s">
        <v>63</v>
      </c>
      <c r="F4188" t="s">
        <v>26</v>
      </c>
      <c r="G4188" s="4">
        <v>5</v>
      </c>
      <c r="H4188" s="4" t="s">
        <v>77</v>
      </c>
      <c r="I4188" s="4" t="s">
        <v>69</v>
      </c>
      <c r="J4188" s="4" t="s">
        <v>66</v>
      </c>
      <c r="K4188" s="4">
        <v>0</v>
      </c>
      <c r="L4188" s="94">
        <v>-89624</v>
      </c>
      <c r="M4188" s="94">
        <v>0</v>
      </c>
    </row>
    <row r="4189" spans="3:13" x14ac:dyDescent="0.3">
      <c r="C4189" t="s">
        <v>61</v>
      </c>
      <c r="D4189" t="s">
        <v>67</v>
      </c>
      <c r="E4189" t="s">
        <v>63</v>
      </c>
      <c r="F4189" t="s">
        <v>25</v>
      </c>
      <c r="G4189" s="4">
        <v>4</v>
      </c>
      <c r="H4189" s="4" t="s">
        <v>77</v>
      </c>
      <c r="I4189" s="4" t="s">
        <v>69</v>
      </c>
      <c r="J4189" s="4" t="s">
        <v>66</v>
      </c>
      <c r="K4189" s="4">
        <v>0</v>
      </c>
      <c r="L4189" s="94">
        <v>-711</v>
      </c>
      <c r="M4189" s="94">
        <v>0</v>
      </c>
    </row>
    <row r="4190" spans="3:13" x14ac:dyDescent="0.3">
      <c r="C4190" t="s">
        <v>71</v>
      </c>
      <c r="D4190" t="s">
        <v>67</v>
      </c>
      <c r="E4190" t="s">
        <v>68</v>
      </c>
      <c r="F4190" t="s">
        <v>72</v>
      </c>
      <c r="G4190" s="4">
        <v>-4</v>
      </c>
      <c r="H4190" s="4" t="s">
        <v>80</v>
      </c>
      <c r="I4190" s="4" t="s">
        <v>69</v>
      </c>
      <c r="J4190" s="4" t="s">
        <v>66</v>
      </c>
      <c r="K4190" s="4">
        <v>0</v>
      </c>
      <c r="L4190" s="94">
        <v>5353</v>
      </c>
      <c r="M4190" s="94">
        <v>0</v>
      </c>
    </row>
    <row r="4191" spans="3:13" x14ac:dyDescent="0.3">
      <c r="C4191" t="s">
        <v>70</v>
      </c>
      <c r="D4191" t="s">
        <v>62</v>
      </c>
      <c r="E4191" t="s">
        <v>68</v>
      </c>
      <c r="F4191" t="s">
        <v>24</v>
      </c>
      <c r="G4191" s="4">
        <v>16</v>
      </c>
      <c r="I4191" s="4" t="s">
        <v>69</v>
      </c>
      <c r="J4191" s="4" t="s">
        <v>66</v>
      </c>
      <c r="K4191" s="4">
        <v>0</v>
      </c>
      <c r="L4191" s="94">
        <v>25691730</v>
      </c>
      <c r="M4191" s="94">
        <v>411067680</v>
      </c>
    </row>
    <row r="4192" spans="3:13" x14ac:dyDescent="0.3">
      <c r="C4192" t="s">
        <v>71</v>
      </c>
      <c r="D4192" t="s">
        <v>67</v>
      </c>
      <c r="E4192" t="s">
        <v>68</v>
      </c>
      <c r="F4192" t="s">
        <v>25</v>
      </c>
      <c r="G4192" s="4">
        <v>3</v>
      </c>
      <c r="H4192" s="4" t="s">
        <v>76</v>
      </c>
      <c r="I4192" s="4" t="s">
        <v>69</v>
      </c>
      <c r="J4192" s="4" t="s">
        <v>66</v>
      </c>
      <c r="K4192" s="4">
        <v>0</v>
      </c>
      <c r="L4192" s="94">
        <v>5763408</v>
      </c>
      <c r="M4192" s="94">
        <v>17290224</v>
      </c>
    </row>
    <row r="4193" spans="3:13" x14ac:dyDescent="0.3">
      <c r="C4193" t="s">
        <v>71</v>
      </c>
      <c r="D4193" t="s">
        <v>62</v>
      </c>
      <c r="E4193" t="s">
        <v>63</v>
      </c>
      <c r="F4193" t="s">
        <v>24</v>
      </c>
      <c r="G4193" s="4">
        <v>22</v>
      </c>
      <c r="I4193" s="4" t="s">
        <v>69</v>
      </c>
      <c r="J4193" s="4" t="s">
        <v>66</v>
      </c>
      <c r="K4193" s="4">
        <v>1</v>
      </c>
      <c r="L4193" s="94">
        <v>-69354</v>
      </c>
      <c r="M4193" s="94">
        <v>0</v>
      </c>
    </row>
    <row r="4194" spans="3:13" x14ac:dyDescent="0.3">
      <c r="C4194" t="s">
        <v>61</v>
      </c>
      <c r="D4194" t="s">
        <v>62</v>
      </c>
      <c r="E4194" t="s">
        <v>63</v>
      </c>
      <c r="F4194" t="s">
        <v>25</v>
      </c>
      <c r="G4194" s="4">
        <v>0</v>
      </c>
      <c r="I4194" s="4" t="s">
        <v>69</v>
      </c>
      <c r="J4194" s="4" t="s">
        <v>66</v>
      </c>
      <c r="K4194" s="4">
        <v>0</v>
      </c>
      <c r="L4194" s="94">
        <v>-714</v>
      </c>
      <c r="M4194" s="94">
        <v>0</v>
      </c>
    </row>
    <row r="4195" spans="3:13" x14ac:dyDescent="0.3">
      <c r="C4195" t="s">
        <v>71</v>
      </c>
      <c r="D4195" t="s">
        <v>62</v>
      </c>
      <c r="E4195" t="s">
        <v>68</v>
      </c>
      <c r="F4195" t="s">
        <v>24</v>
      </c>
      <c r="G4195" s="4">
        <v>11</v>
      </c>
      <c r="I4195" s="4" t="s">
        <v>69</v>
      </c>
      <c r="J4195" s="4" t="s">
        <v>66</v>
      </c>
      <c r="K4195" s="4">
        <v>1</v>
      </c>
      <c r="L4195" s="94">
        <v>25875</v>
      </c>
      <c r="M4195" s="94">
        <v>284625</v>
      </c>
    </row>
    <row r="4196" spans="3:13" x14ac:dyDescent="0.3">
      <c r="C4196" t="s">
        <v>70</v>
      </c>
      <c r="D4196" t="s">
        <v>67</v>
      </c>
      <c r="E4196" t="s">
        <v>68</v>
      </c>
      <c r="F4196" t="s">
        <v>25</v>
      </c>
      <c r="G4196" s="4">
        <v>-4</v>
      </c>
      <c r="H4196" s="4" t="s">
        <v>80</v>
      </c>
      <c r="I4196" s="4" t="s">
        <v>69</v>
      </c>
      <c r="J4196" s="4" t="s">
        <v>66</v>
      </c>
      <c r="K4196" s="4">
        <v>0</v>
      </c>
      <c r="L4196" s="94">
        <v>18</v>
      </c>
      <c r="M4196" s="94">
        <v>0</v>
      </c>
    </row>
    <row r="4197" spans="3:13" x14ac:dyDescent="0.3">
      <c r="C4197" t="s">
        <v>61</v>
      </c>
      <c r="D4197" t="s">
        <v>67</v>
      </c>
      <c r="E4197" t="s">
        <v>68</v>
      </c>
      <c r="F4197" t="s">
        <v>25</v>
      </c>
      <c r="G4197" s="4">
        <v>-1</v>
      </c>
      <c r="H4197" s="4" t="s">
        <v>74</v>
      </c>
      <c r="I4197" s="4" t="s">
        <v>69</v>
      </c>
      <c r="J4197" s="4" t="s">
        <v>66</v>
      </c>
      <c r="K4197" s="4">
        <v>0</v>
      </c>
      <c r="L4197" s="94">
        <v>200608</v>
      </c>
      <c r="M4197" s="94">
        <v>0</v>
      </c>
    </row>
    <row r="4198" spans="3:13" x14ac:dyDescent="0.3">
      <c r="C4198" t="s">
        <v>71</v>
      </c>
      <c r="D4198" t="s">
        <v>67</v>
      </c>
      <c r="E4198" t="s">
        <v>68</v>
      </c>
      <c r="F4198" t="s">
        <v>26</v>
      </c>
      <c r="G4198" s="4">
        <v>7</v>
      </c>
      <c r="H4198" s="4" t="s">
        <v>17</v>
      </c>
      <c r="I4198" s="4" t="s">
        <v>69</v>
      </c>
      <c r="J4198" s="4" t="s">
        <v>66</v>
      </c>
      <c r="K4198" s="4">
        <v>0</v>
      </c>
      <c r="L4198" s="94">
        <v>54615</v>
      </c>
      <c r="M4198" s="94">
        <v>382305</v>
      </c>
    </row>
    <row r="4199" spans="3:13" x14ac:dyDescent="0.3">
      <c r="C4199" t="s">
        <v>71</v>
      </c>
      <c r="D4199" t="s">
        <v>67</v>
      </c>
      <c r="E4199" t="s">
        <v>68</v>
      </c>
      <c r="F4199" t="s">
        <v>26</v>
      </c>
      <c r="G4199" s="4">
        <v>4</v>
      </c>
      <c r="H4199" s="4" t="s">
        <v>80</v>
      </c>
      <c r="I4199" s="4" t="s">
        <v>69</v>
      </c>
      <c r="J4199" s="4" t="s">
        <v>66</v>
      </c>
      <c r="K4199" s="4">
        <v>0</v>
      </c>
      <c r="L4199" s="94">
        <v>46619</v>
      </c>
      <c r="M4199" s="94">
        <v>186476</v>
      </c>
    </row>
    <row r="4200" spans="3:13" x14ac:dyDescent="0.3">
      <c r="C4200" t="s">
        <v>61</v>
      </c>
      <c r="D4200" t="s">
        <v>67</v>
      </c>
      <c r="E4200" t="s">
        <v>63</v>
      </c>
      <c r="F4200" t="s">
        <v>26</v>
      </c>
      <c r="G4200" s="4">
        <v>7</v>
      </c>
      <c r="H4200" s="4" t="s">
        <v>79</v>
      </c>
      <c r="I4200" s="4" t="s">
        <v>69</v>
      </c>
      <c r="J4200" s="4" t="s">
        <v>66</v>
      </c>
      <c r="K4200" s="4">
        <v>0</v>
      </c>
      <c r="L4200" s="94">
        <v>-2853</v>
      </c>
      <c r="M4200" s="94">
        <v>0</v>
      </c>
    </row>
    <row r="4201" spans="3:13" x14ac:dyDescent="0.3">
      <c r="C4201" t="s">
        <v>61</v>
      </c>
      <c r="D4201" t="s">
        <v>67</v>
      </c>
      <c r="E4201" t="s">
        <v>68</v>
      </c>
      <c r="F4201" t="s">
        <v>25</v>
      </c>
      <c r="G4201" s="4">
        <v>1</v>
      </c>
      <c r="H4201" s="4" t="s">
        <v>75</v>
      </c>
      <c r="I4201" s="4" t="s">
        <v>69</v>
      </c>
      <c r="J4201" s="4" t="s">
        <v>66</v>
      </c>
      <c r="K4201" s="4">
        <v>0</v>
      </c>
      <c r="L4201" s="94">
        <v>105650071</v>
      </c>
      <c r="M4201" s="94">
        <v>105650071</v>
      </c>
    </row>
    <row r="4202" spans="3:13" x14ac:dyDescent="0.3">
      <c r="C4202" t="s">
        <v>61</v>
      </c>
      <c r="D4202" t="s">
        <v>67</v>
      </c>
      <c r="E4202" t="s">
        <v>63</v>
      </c>
      <c r="F4202" t="s">
        <v>25</v>
      </c>
      <c r="G4202" s="4">
        <v>8</v>
      </c>
      <c r="H4202" s="4" t="s">
        <v>78</v>
      </c>
      <c r="I4202" s="4" t="s">
        <v>69</v>
      </c>
      <c r="J4202" s="4" t="s">
        <v>66</v>
      </c>
      <c r="K4202" s="4">
        <v>0</v>
      </c>
      <c r="L4202" s="94">
        <v>-2956</v>
      </c>
      <c r="M4202" s="94">
        <v>0</v>
      </c>
    </row>
    <row r="4203" spans="3:13" x14ac:dyDescent="0.3">
      <c r="C4203" t="s">
        <v>61</v>
      </c>
      <c r="D4203" t="s">
        <v>84</v>
      </c>
      <c r="E4203" t="s">
        <v>63</v>
      </c>
      <c r="F4203" t="s">
        <v>25</v>
      </c>
      <c r="G4203" s="4">
        <v>0</v>
      </c>
      <c r="H4203" s="4" t="s">
        <v>81</v>
      </c>
      <c r="I4203" s="4" t="s">
        <v>69</v>
      </c>
      <c r="J4203" s="4" t="s">
        <v>66</v>
      </c>
      <c r="K4203" s="4">
        <v>0</v>
      </c>
      <c r="L4203" s="94">
        <v>-42</v>
      </c>
      <c r="M4203" s="94">
        <v>0</v>
      </c>
    </row>
    <row r="4204" spans="3:13" x14ac:dyDescent="0.3">
      <c r="C4204" t="s">
        <v>71</v>
      </c>
      <c r="D4204" t="s">
        <v>67</v>
      </c>
      <c r="E4204" t="s">
        <v>63</v>
      </c>
      <c r="F4204" t="s">
        <v>72</v>
      </c>
      <c r="G4204" s="4">
        <v>3</v>
      </c>
      <c r="H4204" s="4" t="s">
        <v>18</v>
      </c>
      <c r="I4204" s="4" t="s">
        <v>69</v>
      </c>
      <c r="J4204" s="4" t="s">
        <v>66</v>
      </c>
      <c r="K4204" s="4">
        <v>0</v>
      </c>
      <c r="L4204" s="94">
        <v>-81676</v>
      </c>
      <c r="M4204" s="94">
        <v>0</v>
      </c>
    </row>
    <row r="4205" spans="3:13" x14ac:dyDescent="0.3">
      <c r="C4205" t="s">
        <v>71</v>
      </c>
      <c r="D4205" t="s">
        <v>67</v>
      </c>
      <c r="E4205" t="s">
        <v>63</v>
      </c>
      <c r="F4205" t="s">
        <v>72</v>
      </c>
      <c r="G4205" s="4">
        <v>-4</v>
      </c>
      <c r="H4205" s="4" t="s">
        <v>79</v>
      </c>
      <c r="I4205" s="4" t="s">
        <v>69</v>
      </c>
      <c r="J4205" s="4" t="s">
        <v>66</v>
      </c>
      <c r="K4205" s="4">
        <v>0</v>
      </c>
      <c r="L4205" s="94">
        <v>-8435</v>
      </c>
      <c r="M4205" s="94">
        <v>0</v>
      </c>
    </row>
    <row r="4206" spans="3:13" x14ac:dyDescent="0.3">
      <c r="C4206" t="s">
        <v>61</v>
      </c>
      <c r="D4206" t="s">
        <v>67</v>
      </c>
      <c r="E4206" t="s">
        <v>68</v>
      </c>
      <c r="F4206" t="s">
        <v>26</v>
      </c>
      <c r="G4206" s="4">
        <v>7</v>
      </c>
      <c r="H4206" s="4" t="s">
        <v>75</v>
      </c>
      <c r="I4206" s="4" t="s">
        <v>69</v>
      </c>
      <c r="J4206" s="4" t="s">
        <v>66</v>
      </c>
      <c r="K4206" s="4">
        <v>0</v>
      </c>
      <c r="L4206" s="94">
        <v>2053855</v>
      </c>
      <c r="M4206" s="94">
        <v>14376985</v>
      </c>
    </row>
    <row r="4207" spans="3:13" x14ac:dyDescent="0.3">
      <c r="C4207" t="s">
        <v>71</v>
      </c>
      <c r="D4207" t="s">
        <v>67</v>
      </c>
      <c r="E4207" t="s">
        <v>63</v>
      </c>
      <c r="F4207" t="s">
        <v>26</v>
      </c>
      <c r="G4207" s="4">
        <v>7</v>
      </c>
      <c r="H4207" s="4" t="s">
        <v>17</v>
      </c>
      <c r="I4207" s="4" t="s">
        <v>65</v>
      </c>
      <c r="J4207" s="4" t="s">
        <v>73</v>
      </c>
      <c r="K4207" s="4">
        <v>1</v>
      </c>
      <c r="L4207" s="94">
        <v>-8243</v>
      </c>
      <c r="M4207" s="94">
        <v>0</v>
      </c>
    </row>
    <row r="4208" spans="3:13" x14ac:dyDescent="0.3">
      <c r="C4208" t="s">
        <v>61</v>
      </c>
      <c r="D4208" t="s">
        <v>62</v>
      </c>
      <c r="E4208" t="s">
        <v>68</v>
      </c>
      <c r="F4208" t="s">
        <v>24</v>
      </c>
      <c r="G4208" s="4">
        <v>28</v>
      </c>
      <c r="I4208" s="4" t="s">
        <v>69</v>
      </c>
      <c r="J4208" s="4" t="s">
        <v>66</v>
      </c>
      <c r="K4208" s="4">
        <v>1</v>
      </c>
      <c r="L4208" s="94">
        <v>2502698</v>
      </c>
      <c r="M4208" s="94">
        <v>70075544</v>
      </c>
    </row>
    <row r="4209" spans="3:13" x14ac:dyDescent="0.3">
      <c r="C4209" t="s">
        <v>61</v>
      </c>
      <c r="D4209" t="s">
        <v>67</v>
      </c>
      <c r="E4209" t="s">
        <v>63</v>
      </c>
      <c r="F4209" t="s">
        <v>72</v>
      </c>
      <c r="G4209" s="4">
        <v>3</v>
      </c>
      <c r="H4209" s="4" t="s">
        <v>18</v>
      </c>
      <c r="I4209" s="4" t="s">
        <v>69</v>
      </c>
      <c r="J4209" s="4" t="s">
        <v>73</v>
      </c>
      <c r="K4209" s="4">
        <v>1</v>
      </c>
      <c r="L4209" s="94">
        <v>-2134</v>
      </c>
      <c r="M4209" s="94">
        <v>0</v>
      </c>
    </row>
    <row r="4210" spans="3:13" x14ac:dyDescent="0.3">
      <c r="C4210" t="s">
        <v>70</v>
      </c>
      <c r="D4210" t="s">
        <v>67</v>
      </c>
      <c r="E4210" t="s">
        <v>63</v>
      </c>
      <c r="F4210" t="s">
        <v>26</v>
      </c>
      <c r="G4210" s="4">
        <v>0</v>
      </c>
      <c r="H4210" s="4" t="s">
        <v>75</v>
      </c>
      <c r="I4210" s="4" t="s">
        <v>65</v>
      </c>
      <c r="J4210" s="4" t="s">
        <v>66</v>
      </c>
      <c r="K4210" s="4">
        <v>1</v>
      </c>
      <c r="L4210" s="94">
        <v>-16</v>
      </c>
      <c r="M4210" s="94">
        <v>0</v>
      </c>
    </row>
    <row r="4211" spans="3:13" x14ac:dyDescent="0.3">
      <c r="C4211" t="s">
        <v>61</v>
      </c>
      <c r="D4211" t="s">
        <v>67</v>
      </c>
      <c r="E4211" t="s">
        <v>63</v>
      </c>
      <c r="F4211" t="s">
        <v>26</v>
      </c>
      <c r="G4211" s="4">
        <v>2</v>
      </c>
      <c r="H4211" s="4" t="s">
        <v>17</v>
      </c>
      <c r="I4211" s="4" t="s">
        <v>69</v>
      </c>
      <c r="J4211" s="4" t="s">
        <v>66</v>
      </c>
      <c r="K4211" s="4">
        <v>0</v>
      </c>
      <c r="L4211" s="94">
        <v>-145157</v>
      </c>
      <c r="M4211" s="94">
        <v>0</v>
      </c>
    </row>
    <row r="4212" spans="3:13" x14ac:dyDescent="0.3">
      <c r="C4212" t="s">
        <v>61</v>
      </c>
      <c r="D4212" t="s">
        <v>67</v>
      </c>
      <c r="E4212" t="s">
        <v>68</v>
      </c>
      <c r="F4212" t="s">
        <v>25</v>
      </c>
      <c r="G4212" s="4">
        <v>3</v>
      </c>
      <c r="H4212" s="4" t="s">
        <v>79</v>
      </c>
      <c r="I4212" s="4" t="s">
        <v>69</v>
      </c>
      <c r="J4212" s="4" t="s">
        <v>66</v>
      </c>
      <c r="K4212" s="4">
        <v>0</v>
      </c>
      <c r="L4212" s="94">
        <v>2835246</v>
      </c>
      <c r="M4212" s="94">
        <v>8505738</v>
      </c>
    </row>
    <row r="4213" spans="3:13" x14ac:dyDescent="0.3">
      <c r="C4213" t="s">
        <v>71</v>
      </c>
      <c r="D4213" t="s">
        <v>67</v>
      </c>
      <c r="E4213" t="s">
        <v>68</v>
      </c>
      <c r="F4213" t="s">
        <v>26</v>
      </c>
      <c r="G4213" s="4">
        <v>8</v>
      </c>
      <c r="H4213" s="4" t="s">
        <v>82</v>
      </c>
      <c r="I4213" s="4" t="s">
        <v>69</v>
      </c>
      <c r="J4213" s="4" t="s">
        <v>66</v>
      </c>
      <c r="K4213" s="4">
        <v>0</v>
      </c>
      <c r="L4213" s="94">
        <v>6335</v>
      </c>
      <c r="M4213" s="94">
        <v>50680</v>
      </c>
    </row>
    <row r="4214" spans="3:13" x14ac:dyDescent="0.3">
      <c r="C4214" t="s">
        <v>70</v>
      </c>
      <c r="D4214" t="s">
        <v>67</v>
      </c>
      <c r="E4214" t="s">
        <v>68</v>
      </c>
      <c r="F4214" t="s">
        <v>72</v>
      </c>
      <c r="G4214" s="4">
        <v>5</v>
      </c>
      <c r="H4214" s="4" t="s">
        <v>13</v>
      </c>
      <c r="I4214" s="4" t="s">
        <v>69</v>
      </c>
      <c r="J4214" s="4" t="s">
        <v>73</v>
      </c>
      <c r="K4214" s="4">
        <v>1</v>
      </c>
      <c r="L4214" s="94">
        <v>151553</v>
      </c>
      <c r="M4214" s="94">
        <v>757765</v>
      </c>
    </row>
    <row r="4215" spans="3:13" x14ac:dyDescent="0.3">
      <c r="C4215" t="s">
        <v>70</v>
      </c>
      <c r="D4215" t="s">
        <v>67</v>
      </c>
      <c r="E4215" t="s">
        <v>68</v>
      </c>
      <c r="F4215" t="s">
        <v>25</v>
      </c>
      <c r="G4215" s="4">
        <v>15</v>
      </c>
      <c r="H4215" s="4" t="s">
        <v>17</v>
      </c>
      <c r="I4215" s="4" t="s">
        <v>69</v>
      </c>
      <c r="J4215" s="4" t="s">
        <v>66</v>
      </c>
      <c r="K4215" s="4">
        <v>1</v>
      </c>
      <c r="L4215" s="94">
        <v>43735</v>
      </c>
      <c r="M4215" s="94">
        <v>656025</v>
      </c>
    </row>
    <row r="4216" spans="3:13" x14ac:dyDescent="0.3">
      <c r="C4216" t="s">
        <v>70</v>
      </c>
      <c r="D4216" t="s">
        <v>67</v>
      </c>
      <c r="E4216" t="s">
        <v>68</v>
      </c>
      <c r="F4216" t="s">
        <v>72</v>
      </c>
      <c r="G4216" s="4">
        <v>4</v>
      </c>
      <c r="H4216" s="4" t="s">
        <v>81</v>
      </c>
      <c r="I4216" s="4" t="s">
        <v>69</v>
      </c>
      <c r="J4216" s="4" t="s">
        <v>66</v>
      </c>
      <c r="K4216" s="4">
        <v>0</v>
      </c>
      <c r="L4216" s="94">
        <v>60506</v>
      </c>
      <c r="M4216" s="94">
        <v>242024</v>
      </c>
    </row>
    <row r="4217" spans="3:13" x14ac:dyDescent="0.3">
      <c r="C4217" t="s">
        <v>61</v>
      </c>
      <c r="D4217" t="s">
        <v>62</v>
      </c>
      <c r="E4217" t="s">
        <v>63</v>
      </c>
      <c r="F4217" t="s">
        <v>24</v>
      </c>
      <c r="G4217" s="4">
        <v>30</v>
      </c>
      <c r="I4217" s="4" t="s">
        <v>69</v>
      </c>
      <c r="J4217" s="4" t="s">
        <v>66</v>
      </c>
      <c r="K4217" s="4">
        <v>1</v>
      </c>
      <c r="L4217" s="94">
        <v>-1490</v>
      </c>
      <c r="M4217" s="94">
        <v>0</v>
      </c>
    </row>
    <row r="4218" spans="3:13" x14ac:dyDescent="0.3">
      <c r="C4218" t="s">
        <v>71</v>
      </c>
      <c r="D4218" t="s">
        <v>67</v>
      </c>
      <c r="E4218" t="s">
        <v>68</v>
      </c>
      <c r="F4218" t="s">
        <v>72</v>
      </c>
      <c r="G4218" s="4">
        <v>6</v>
      </c>
      <c r="H4218" s="4" t="s">
        <v>82</v>
      </c>
      <c r="I4218" s="4" t="s">
        <v>69</v>
      </c>
      <c r="J4218" s="4" t="s">
        <v>66</v>
      </c>
      <c r="K4218" s="4">
        <v>0</v>
      </c>
      <c r="L4218" s="94">
        <v>9060970</v>
      </c>
      <c r="M4218" s="94">
        <v>54365820</v>
      </c>
    </row>
    <row r="4219" spans="3:13" x14ac:dyDescent="0.3">
      <c r="C4219" t="s">
        <v>61</v>
      </c>
      <c r="D4219" t="s">
        <v>67</v>
      </c>
      <c r="E4219" t="s">
        <v>68</v>
      </c>
      <c r="F4219" t="s">
        <v>72</v>
      </c>
      <c r="G4219" s="4">
        <v>4</v>
      </c>
      <c r="H4219" s="4" t="s">
        <v>13</v>
      </c>
      <c r="I4219" s="4" t="s">
        <v>69</v>
      </c>
      <c r="J4219" s="4" t="s">
        <v>73</v>
      </c>
      <c r="K4219" s="4">
        <v>1</v>
      </c>
      <c r="L4219" s="94">
        <v>386180</v>
      </c>
      <c r="M4219" s="94">
        <v>1544720</v>
      </c>
    </row>
    <row r="4220" spans="3:13" x14ac:dyDescent="0.3">
      <c r="C4220" t="s">
        <v>71</v>
      </c>
      <c r="D4220" t="s">
        <v>62</v>
      </c>
      <c r="E4220" t="s">
        <v>63</v>
      </c>
      <c r="F4220" t="s">
        <v>24</v>
      </c>
      <c r="G4220" s="4">
        <v>32</v>
      </c>
      <c r="I4220" s="4" t="s">
        <v>69</v>
      </c>
      <c r="J4220" s="4" t="s">
        <v>66</v>
      </c>
      <c r="K4220" s="4">
        <v>0</v>
      </c>
      <c r="L4220" s="94">
        <v>-1786529</v>
      </c>
      <c r="M4220" s="94">
        <v>0</v>
      </c>
    </row>
    <row r="4221" spans="3:13" x14ac:dyDescent="0.3">
      <c r="C4221" t="s">
        <v>71</v>
      </c>
      <c r="D4221" t="s">
        <v>67</v>
      </c>
      <c r="E4221" t="s">
        <v>63</v>
      </c>
      <c r="F4221" t="s">
        <v>26</v>
      </c>
      <c r="G4221" s="4">
        <v>-4</v>
      </c>
      <c r="H4221" s="4" t="s">
        <v>12</v>
      </c>
      <c r="I4221" s="4" t="s">
        <v>69</v>
      </c>
      <c r="J4221" s="4" t="s">
        <v>66</v>
      </c>
      <c r="K4221" s="4">
        <v>0</v>
      </c>
      <c r="L4221" s="94">
        <v>-250226</v>
      </c>
      <c r="M4221" s="94">
        <v>0</v>
      </c>
    </row>
    <row r="4222" spans="3:13" x14ac:dyDescent="0.3">
      <c r="C4222" t="s">
        <v>71</v>
      </c>
      <c r="D4222" t="s">
        <v>67</v>
      </c>
      <c r="E4222" t="s">
        <v>68</v>
      </c>
      <c r="F4222" t="s">
        <v>26</v>
      </c>
      <c r="G4222" s="4">
        <v>20</v>
      </c>
      <c r="H4222" s="4" t="s">
        <v>64</v>
      </c>
      <c r="I4222" s="4" t="s">
        <v>69</v>
      </c>
      <c r="J4222" s="4" t="s">
        <v>66</v>
      </c>
      <c r="K4222" s="4">
        <v>0</v>
      </c>
      <c r="L4222" s="94">
        <v>75140</v>
      </c>
      <c r="M4222" s="94">
        <v>1502800</v>
      </c>
    </row>
    <row r="4223" spans="3:13" x14ac:dyDescent="0.3">
      <c r="C4223" t="s">
        <v>71</v>
      </c>
      <c r="D4223" t="s">
        <v>67</v>
      </c>
      <c r="E4223" t="s">
        <v>63</v>
      </c>
      <c r="F4223" t="s">
        <v>25</v>
      </c>
      <c r="G4223" s="4">
        <v>11</v>
      </c>
      <c r="H4223" s="4" t="s">
        <v>17</v>
      </c>
      <c r="I4223" s="4" t="s">
        <v>69</v>
      </c>
      <c r="J4223" s="4" t="s">
        <v>66</v>
      </c>
      <c r="K4223" s="4">
        <v>0</v>
      </c>
      <c r="L4223" s="94">
        <v>-35256</v>
      </c>
      <c r="M4223" s="94">
        <v>0</v>
      </c>
    </row>
    <row r="4224" spans="3:13" x14ac:dyDescent="0.3">
      <c r="C4224" t="s">
        <v>61</v>
      </c>
      <c r="D4224" t="s">
        <v>67</v>
      </c>
      <c r="E4224" t="s">
        <v>63</v>
      </c>
      <c r="F4224" t="s">
        <v>72</v>
      </c>
      <c r="G4224" s="4">
        <v>1</v>
      </c>
      <c r="H4224" s="4" t="s">
        <v>74</v>
      </c>
      <c r="I4224" s="4" t="s">
        <v>69</v>
      </c>
      <c r="J4224" s="4" t="s">
        <v>66</v>
      </c>
      <c r="K4224" s="4">
        <v>0</v>
      </c>
      <c r="L4224" s="94">
        <v>-17552</v>
      </c>
      <c r="M4224" s="94">
        <v>0</v>
      </c>
    </row>
    <row r="4225" spans="3:13" x14ac:dyDescent="0.3">
      <c r="C4225" t="s">
        <v>71</v>
      </c>
      <c r="D4225" t="s">
        <v>62</v>
      </c>
      <c r="E4225" t="s">
        <v>63</v>
      </c>
      <c r="F4225" t="s">
        <v>24</v>
      </c>
      <c r="G4225" s="4">
        <v>25</v>
      </c>
      <c r="I4225" s="4" t="s">
        <v>65</v>
      </c>
      <c r="J4225" s="4" t="s">
        <v>66</v>
      </c>
      <c r="K4225" s="4">
        <v>1</v>
      </c>
      <c r="L4225" s="94">
        <v>-19887</v>
      </c>
      <c r="M4225" s="94">
        <v>0</v>
      </c>
    </row>
    <row r="4226" spans="3:13" x14ac:dyDescent="0.3">
      <c r="C4226" t="s">
        <v>71</v>
      </c>
      <c r="D4226" t="s">
        <v>67</v>
      </c>
      <c r="E4226" t="s">
        <v>63</v>
      </c>
      <c r="F4226" t="s">
        <v>26</v>
      </c>
      <c r="G4226" s="4">
        <v>-1</v>
      </c>
      <c r="H4226" s="4" t="s">
        <v>13</v>
      </c>
      <c r="I4226" s="4" t="s">
        <v>69</v>
      </c>
      <c r="J4226" s="4" t="s">
        <v>66</v>
      </c>
      <c r="K4226" s="4">
        <v>0</v>
      </c>
      <c r="L4226" s="94">
        <v>-181</v>
      </c>
      <c r="M4226" s="94">
        <v>0</v>
      </c>
    </row>
    <row r="4227" spans="3:13" x14ac:dyDescent="0.3">
      <c r="C4227" t="s">
        <v>61</v>
      </c>
      <c r="D4227" t="s">
        <v>67</v>
      </c>
      <c r="E4227" t="s">
        <v>68</v>
      </c>
      <c r="F4227" t="s">
        <v>26</v>
      </c>
      <c r="G4227" s="4">
        <v>3</v>
      </c>
      <c r="H4227" s="4" t="s">
        <v>77</v>
      </c>
      <c r="I4227" s="4" t="s">
        <v>69</v>
      </c>
      <c r="J4227" s="4" t="s">
        <v>66</v>
      </c>
      <c r="K4227" s="4">
        <v>0</v>
      </c>
      <c r="L4227" s="94">
        <v>23534880</v>
      </c>
      <c r="M4227" s="94">
        <v>70604640</v>
      </c>
    </row>
    <row r="4228" spans="3:13" x14ac:dyDescent="0.3">
      <c r="C4228" t="s">
        <v>70</v>
      </c>
      <c r="D4228" t="s">
        <v>67</v>
      </c>
      <c r="E4228" t="s">
        <v>63</v>
      </c>
      <c r="F4228" t="s">
        <v>25</v>
      </c>
      <c r="G4228" s="4">
        <v>-4</v>
      </c>
      <c r="H4228" s="4" t="s">
        <v>18</v>
      </c>
      <c r="I4228" s="4" t="s">
        <v>69</v>
      </c>
      <c r="J4228" s="4" t="s">
        <v>66</v>
      </c>
      <c r="K4228" s="4">
        <v>0</v>
      </c>
      <c r="L4228" s="94">
        <v>-408</v>
      </c>
      <c r="M4228" s="94">
        <v>0</v>
      </c>
    </row>
    <row r="4229" spans="3:13" x14ac:dyDescent="0.3">
      <c r="C4229" t="s">
        <v>61</v>
      </c>
      <c r="D4229" t="s">
        <v>67</v>
      </c>
      <c r="E4229" t="s">
        <v>68</v>
      </c>
      <c r="F4229" t="s">
        <v>72</v>
      </c>
      <c r="G4229" s="4">
        <v>-1</v>
      </c>
      <c r="H4229" s="4" t="s">
        <v>12</v>
      </c>
      <c r="I4229" s="4" t="s">
        <v>69</v>
      </c>
      <c r="J4229" s="4" t="s">
        <v>73</v>
      </c>
      <c r="K4229" s="4">
        <v>1</v>
      </c>
      <c r="L4229" s="94">
        <v>2262983</v>
      </c>
      <c r="M4229" s="94">
        <v>0</v>
      </c>
    </row>
    <row r="4230" spans="3:13" x14ac:dyDescent="0.3">
      <c r="C4230" t="s">
        <v>71</v>
      </c>
      <c r="D4230" t="s">
        <v>67</v>
      </c>
      <c r="E4230" t="s">
        <v>68</v>
      </c>
      <c r="F4230" t="s">
        <v>72</v>
      </c>
      <c r="G4230" s="4">
        <v>-4</v>
      </c>
      <c r="H4230" s="4" t="s">
        <v>74</v>
      </c>
      <c r="I4230" s="4" t="s">
        <v>69</v>
      </c>
      <c r="J4230" s="4" t="s">
        <v>66</v>
      </c>
      <c r="K4230" s="4">
        <v>0</v>
      </c>
      <c r="L4230" s="94">
        <v>40366</v>
      </c>
      <c r="M4230" s="94">
        <v>0</v>
      </c>
    </row>
    <row r="4231" spans="3:13" x14ac:dyDescent="0.3">
      <c r="C4231" t="s">
        <v>70</v>
      </c>
      <c r="D4231" t="s">
        <v>67</v>
      </c>
      <c r="E4231" t="s">
        <v>68</v>
      </c>
      <c r="F4231" t="s">
        <v>72</v>
      </c>
      <c r="G4231" s="4">
        <v>3</v>
      </c>
      <c r="H4231" s="4" t="s">
        <v>18</v>
      </c>
      <c r="I4231" s="4" t="s">
        <v>69</v>
      </c>
      <c r="J4231" s="4" t="s">
        <v>73</v>
      </c>
      <c r="K4231" s="4">
        <v>1</v>
      </c>
      <c r="L4231" s="94">
        <v>240701</v>
      </c>
      <c r="M4231" s="94">
        <v>722103</v>
      </c>
    </row>
    <row r="4232" spans="3:13" x14ac:dyDescent="0.3">
      <c r="C4232" t="s">
        <v>70</v>
      </c>
      <c r="D4232" t="s">
        <v>67</v>
      </c>
      <c r="E4232" t="s">
        <v>68</v>
      </c>
      <c r="F4232" t="s">
        <v>72</v>
      </c>
      <c r="G4232" s="4">
        <v>0</v>
      </c>
      <c r="H4232" s="4" t="s">
        <v>17</v>
      </c>
      <c r="I4232" s="4" t="s">
        <v>69</v>
      </c>
      <c r="J4232" s="4" t="s">
        <v>73</v>
      </c>
      <c r="K4232" s="4">
        <v>1</v>
      </c>
      <c r="L4232" s="94">
        <v>2859</v>
      </c>
      <c r="M4232" s="94">
        <v>0</v>
      </c>
    </row>
    <row r="4233" spans="3:13" x14ac:dyDescent="0.3">
      <c r="C4233" t="s">
        <v>61</v>
      </c>
      <c r="D4233" t="s">
        <v>67</v>
      </c>
      <c r="E4233" t="s">
        <v>63</v>
      </c>
      <c r="F4233" t="s">
        <v>26</v>
      </c>
      <c r="G4233" s="4">
        <v>1</v>
      </c>
      <c r="H4233" s="4" t="s">
        <v>77</v>
      </c>
      <c r="I4233" s="4" t="s">
        <v>69</v>
      </c>
      <c r="J4233" s="4" t="s">
        <v>66</v>
      </c>
      <c r="K4233" s="4">
        <v>0</v>
      </c>
      <c r="L4233" s="94">
        <v>-22226</v>
      </c>
      <c r="M4233" s="94">
        <v>0</v>
      </c>
    </row>
    <row r="4234" spans="3:13" x14ac:dyDescent="0.3">
      <c r="C4234" t="s">
        <v>71</v>
      </c>
      <c r="D4234" t="s">
        <v>62</v>
      </c>
      <c r="E4234" t="s">
        <v>68</v>
      </c>
      <c r="F4234" t="s">
        <v>24</v>
      </c>
      <c r="G4234" s="4">
        <v>37</v>
      </c>
      <c r="I4234" s="4" t="s">
        <v>69</v>
      </c>
      <c r="J4234" s="4" t="s">
        <v>66</v>
      </c>
      <c r="K4234" s="4">
        <v>0</v>
      </c>
      <c r="L4234" s="94">
        <v>8883053</v>
      </c>
      <c r="M4234" s="94">
        <v>328672961</v>
      </c>
    </row>
    <row r="4235" spans="3:13" x14ac:dyDescent="0.3">
      <c r="C4235" t="s">
        <v>61</v>
      </c>
      <c r="D4235" t="s">
        <v>67</v>
      </c>
      <c r="E4235" t="s">
        <v>68</v>
      </c>
      <c r="F4235" t="s">
        <v>25</v>
      </c>
      <c r="G4235" s="4">
        <v>16</v>
      </c>
      <c r="H4235" s="4" t="s">
        <v>75</v>
      </c>
      <c r="I4235" s="4" t="s">
        <v>69</v>
      </c>
      <c r="J4235" s="4" t="s">
        <v>66</v>
      </c>
      <c r="K4235" s="4">
        <v>0</v>
      </c>
      <c r="L4235" s="94">
        <v>1029519</v>
      </c>
      <c r="M4235" s="94">
        <v>16472304</v>
      </c>
    </row>
    <row r="4236" spans="3:13" x14ac:dyDescent="0.3">
      <c r="C4236" t="s">
        <v>61</v>
      </c>
      <c r="D4236" t="s">
        <v>67</v>
      </c>
      <c r="E4236" t="s">
        <v>63</v>
      </c>
      <c r="F4236" t="s">
        <v>72</v>
      </c>
      <c r="G4236" s="4">
        <v>1</v>
      </c>
      <c r="H4236" s="4" t="s">
        <v>17</v>
      </c>
      <c r="I4236" s="4" t="s">
        <v>65</v>
      </c>
      <c r="J4236" s="4" t="s">
        <v>73</v>
      </c>
      <c r="K4236" s="4">
        <v>1</v>
      </c>
      <c r="L4236" s="94">
        <v>-706</v>
      </c>
      <c r="M4236" s="94">
        <v>0</v>
      </c>
    </row>
    <row r="4237" spans="3:13" x14ac:dyDescent="0.3">
      <c r="C4237" t="s">
        <v>71</v>
      </c>
      <c r="D4237" t="s">
        <v>67</v>
      </c>
      <c r="E4237" t="s">
        <v>68</v>
      </c>
      <c r="F4237" t="s">
        <v>26</v>
      </c>
      <c r="G4237" s="4">
        <v>15</v>
      </c>
      <c r="H4237" s="4" t="s">
        <v>18</v>
      </c>
      <c r="I4237" s="4" t="s">
        <v>69</v>
      </c>
      <c r="J4237" s="4" t="s">
        <v>66</v>
      </c>
      <c r="K4237" s="4">
        <v>0</v>
      </c>
      <c r="L4237" s="94">
        <v>352760</v>
      </c>
      <c r="M4237" s="94">
        <v>5291400</v>
      </c>
    </row>
    <row r="4238" spans="3:13" x14ac:dyDescent="0.3">
      <c r="C4238" t="s">
        <v>61</v>
      </c>
      <c r="D4238" t="s">
        <v>67</v>
      </c>
      <c r="E4238" t="s">
        <v>63</v>
      </c>
      <c r="F4238" t="s">
        <v>26</v>
      </c>
      <c r="G4238" s="4">
        <v>8</v>
      </c>
      <c r="H4238" s="4" t="s">
        <v>83</v>
      </c>
      <c r="I4238" s="4" t="s">
        <v>69</v>
      </c>
      <c r="J4238" s="4" t="s">
        <v>66</v>
      </c>
      <c r="K4238" s="4">
        <v>0</v>
      </c>
      <c r="L4238" s="94">
        <v>-1312</v>
      </c>
      <c r="M4238" s="94">
        <v>0</v>
      </c>
    </row>
    <row r="4239" spans="3:13" x14ac:dyDescent="0.3">
      <c r="C4239" t="s">
        <v>61</v>
      </c>
      <c r="D4239" t="s">
        <v>67</v>
      </c>
      <c r="E4239" t="s">
        <v>63</v>
      </c>
      <c r="F4239" t="s">
        <v>26</v>
      </c>
      <c r="G4239" s="4">
        <v>9</v>
      </c>
      <c r="H4239" s="4" t="s">
        <v>75</v>
      </c>
      <c r="I4239" s="4" t="s">
        <v>69</v>
      </c>
      <c r="J4239" s="4" t="s">
        <v>66</v>
      </c>
      <c r="K4239" s="4">
        <v>0</v>
      </c>
      <c r="L4239" s="94">
        <v>-310</v>
      </c>
      <c r="M4239" s="94">
        <v>0</v>
      </c>
    </row>
    <row r="4240" spans="3:13" x14ac:dyDescent="0.3">
      <c r="C4240" t="s">
        <v>61</v>
      </c>
      <c r="D4240" t="s">
        <v>62</v>
      </c>
      <c r="E4240" t="s">
        <v>63</v>
      </c>
      <c r="F4240" t="s">
        <v>25</v>
      </c>
      <c r="G4240" s="4">
        <v>28</v>
      </c>
      <c r="I4240" s="4" t="s">
        <v>69</v>
      </c>
      <c r="J4240" s="4" t="s">
        <v>66</v>
      </c>
      <c r="K4240" s="4">
        <v>0</v>
      </c>
      <c r="L4240" s="94">
        <v>-339</v>
      </c>
      <c r="M4240" s="94">
        <v>0</v>
      </c>
    </row>
    <row r="4241" spans="3:13" x14ac:dyDescent="0.3">
      <c r="C4241" t="s">
        <v>70</v>
      </c>
      <c r="D4241" t="s">
        <v>67</v>
      </c>
      <c r="E4241" t="s">
        <v>63</v>
      </c>
      <c r="F4241" t="s">
        <v>26</v>
      </c>
      <c r="G4241" s="4">
        <v>3</v>
      </c>
      <c r="H4241" s="4" t="s">
        <v>14</v>
      </c>
      <c r="I4241" s="4" t="s">
        <v>69</v>
      </c>
      <c r="J4241" s="4" t="s">
        <v>66</v>
      </c>
      <c r="K4241" s="4">
        <v>0</v>
      </c>
      <c r="L4241" s="94">
        <v>-657254</v>
      </c>
      <c r="M4241" s="94">
        <v>0</v>
      </c>
    </row>
    <row r="4242" spans="3:13" x14ac:dyDescent="0.3">
      <c r="C4242" t="s">
        <v>61</v>
      </c>
      <c r="D4242" t="s">
        <v>67</v>
      </c>
      <c r="E4242" t="s">
        <v>63</v>
      </c>
      <c r="F4242" t="s">
        <v>25</v>
      </c>
      <c r="G4242" s="4">
        <v>6</v>
      </c>
      <c r="H4242" s="4" t="s">
        <v>18</v>
      </c>
      <c r="I4242" s="4" t="s">
        <v>69</v>
      </c>
      <c r="J4242" s="4" t="s">
        <v>66</v>
      </c>
      <c r="K4242" s="4">
        <v>0</v>
      </c>
      <c r="L4242" s="94">
        <v>-21115</v>
      </c>
      <c r="M4242" s="94">
        <v>0</v>
      </c>
    </row>
    <row r="4243" spans="3:13" x14ac:dyDescent="0.3">
      <c r="C4243" t="s">
        <v>61</v>
      </c>
      <c r="D4243" t="s">
        <v>67</v>
      </c>
      <c r="E4243" t="s">
        <v>68</v>
      </c>
      <c r="F4243" t="s">
        <v>26</v>
      </c>
      <c r="G4243" s="4">
        <v>0</v>
      </c>
      <c r="H4243" s="4" t="s">
        <v>12</v>
      </c>
      <c r="I4243" s="4" t="s">
        <v>69</v>
      </c>
      <c r="J4243" s="4" t="s">
        <v>66</v>
      </c>
      <c r="K4243" s="4">
        <v>0</v>
      </c>
      <c r="L4243" s="94">
        <v>14977270</v>
      </c>
      <c r="M4243" s="94">
        <v>0</v>
      </c>
    </row>
    <row r="4244" spans="3:13" x14ac:dyDescent="0.3">
      <c r="C4244" t="s">
        <v>70</v>
      </c>
      <c r="D4244" t="s">
        <v>62</v>
      </c>
      <c r="E4244" t="s">
        <v>63</v>
      </c>
      <c r="F4244" t="s">
        <v>24</v>
      </c>
      <c r="G4244" s="4">
        <v>20</v>
      </c>
      <c r="I4244" s="4" t="s">
        <v>69</v>
      </c>
      <c r="J4244" s="4" t="s">
        <v>66</v>
      </c>
      <c r="K4244" s="4">
        <v>1</v>
      </c>
      <c r="L4244" s="94">
        <v>-8787</v>
      </c>
      <c r="M4244" s="94">
        <v>0</v>
      </c>
    </row>
    <row r="4245" spans="3:13" x14ac:dyDescent="0.3">
      <c r="C4245" t="s">
        <v>61</v>
      </c>
      <c r="D4245" t="s">
        <v>67</v>
      </c>
      <c r="E4245" t="s">
        <v>68</v>
      </c>
      <c r="F4245" t="s">
        <v>25</v>
      </c>
      <c r="G4245" s="4">
        <v>10</v>
      </c>
      <c r="H4245" s="4" t="s">
        <v>82</v>
      </c>
      <c r="I4245" s="4" t="s">
        <v>69</v>
      </c>
      <c r="J4245" s="4" t="s">
        <v>66</v>
      </c>
      <c r="K4245" s="4">
        <v>0</v>
      </c>
      <c r="L4245" s="94">
        <v>130317</v>
      </c>
      <c r="M4245" s="94">
        <v>1303170</v>
      </c>
    </row>
    <row r="4246" spans="3:13" x14ac:dyDescent="0.3">
      <c r="C4246" t="s">
        <v>71</v>
      </c>
      <c r="D4246" t="s">
        <v>67</v>
      </c>
      <c r="E4246" t="s">
        <v>63</v>
      </c>
      <c r="F4246" t="s">
        <v>26</v>
      </c>
      <c r="G4246" s="4">
        <v>0</v>
      </c>
      <c r="H4246" s="4" t="s">
        <v>14</v>
      </c>
      <c r="I4246" s="4" t="s">
        <v>69</v>
      </c>
      <c r="J4246" s="4" t="s">
        <v>66</v>
      </c>
      <c r="K4246" s="4">
        <v>0</v>
      </c>
      <c r="L4246" s="94">
        <v>-616461</v>
      </c>
      <c r="M4246" s="94">
        <v>0</v>
      </c>
    </row>
    <row r="4247" spans="3:13" x14ac:dyDescent="0.3">
      <c r="C4247" t="s">
        <v>61</v>
      </c>
      <c r="D4247" t="s">
        <v>67</v>
      </c>
      <c r="E4247" t="s">
        <v>63</v>
      </c>
      <c r="F4247" t="s">
        <v>72</v>
      </c>
      <c r="G4247" s="4">
        <v>2</v>
      </c>
      <c r="H4247" s="4" t="s">
        <v>12</v>
      </c>
      <c r="I4247" s="4" t="s">
        <v>69</v>
      </c>
      <c r="J4247" s="4" t="s">
        <v>73</v>
      </c>
      <c r="K4247" s="4">
        <v>1</v>
      </c>
      <c r="L4247" s="94">
        <v>-2751</v>
      </c>
      <c r="M4247" s="94">
        <v>0</v>
      </c>
    </row>
    <row r="4248" spans="3:13" x14ac:dyDescent="0.3">
      <c r="C4248" t="s">
        <v>61</v>
      </c>
      <c r="D4248" t="s">
        <v>67</v>
      </c>
      <c r="E4248" t="s">
        <v>68</v>
      </c>
      <c r="F4248" t="s">
        <v>26</v>
      </c>
      <c r="G4248" s="4">
        <v>7</v>
      </c>
      <c r="H4248" s="4" t="s">
        <v>83</v>
      </c>
      <c r="I4248" s="4" t="s">
        <v>69</v>
      </c>
      <c r="J4248" s="4" t="s">
        <v>66</v>
      </c>
      <c r="K4248" s="4">
        <v>0</v>
      </c>
      <c r="L4248" s="94">
        <v>1336045</v>
      </c>
      <c r="M4248" s="94">
        <v>9352315</v>
      </c>
    </row>
    <row r="4249" spans="3:13" x14ac:dyDescent="0.3">
      <c r="C4249" t="s">
        <v>61</v>
      </c>
      <c r="D4249" t="s">
        <v>67</v>
      </c>
      <c r="E4249" t="s">
        <v>68</v>
      </c>
      <c r="F4249" t="s">
        <v>72</v>
      </c>
      <c r="G4249" s="4">
        <v>3</v>
      </c>
      <c r="H4249" s="4" t="s">
        <v>78</v>
      </c>
      <c r="I4249" s="4" t="s">
        <v>69</v>
      </c>
      <c r="J4249" s="4" t="s">
        <v>66</v>
      </c>
      <c r="K4249" s="4">
        <v>0</v>
      </c>
      <c r="L4249" s="94">
        <v>343091</v>
      </c>
      <c r="M4249" s="94">
        <v>1029273</v>
      </c>
    </row>
    <row r="4250" spans="3:13" x14ac:dyDescent="0.3">
      <c r="C4250" t="s">
        <v>61</v>
      </c>
      <c r="D4250" t="s">
        <v>67</v>
      </c>
      <c r="E4250" t="s">
        <v>63</v>
      </c>
      <c r="F4250" t="s">
        <v>26</v>
      </c>
      <c r="G4250" s="4">
        <v>0</v>
      </c>
      <c r="H4250" s="4" t="s">
        <v>12</v>
      </c>
      <c r="I4250" s="4" t="s">
        <v>69</v>
      </c>
      <c r="J4250" s="4" t="s">
        <v>66</v>
      </c>
      <c r="K4250" s="4">
        <v>0</v>
      </c>
      <c r="L4250" s="94">
        <v>-90055</v>
      </c>
      <c r="M4250" s="94">
        <v>0</v>
      </c>
    </row>
    <row r="4251" spans="3:13" x14ac:dyDescent="0.3">
      <c r="C4251" t="s">
        <v>71</v>
      </c>
      <c r="D4251" t="s">
        <v>67</v>
      </c>
      <c r="E4251" t="s">
        <v>68</v>
      </c>
      <c r="F4251" t="s">
        <v>26</v>
      </c>
      <c r="G4251" s="4">
        <v>11</v>
      </c>
      <c r="H4251" s="4" t="s">
        <v>17</v>
      </c>
      <c r="I4251" s="4" t="s">
        <v>65</v>
      </c>
      <c r="J4251" s="4" t="s">
        <v>73</v>
      </c>
      <c r="K4251" s="4">
        <v>1</v>
      </c>
      <c r="L4251" s="94">
        <v>181990</v>
      </c>
      <c r="M4251" s="94">
        <v>2001890</v>
      </c>
    </row>
    <row r="4252" spans="3:13" x14ac:dyDescent="0.3">
      <c r="C4252" t="s">
        <v>70</v>
      </c>
      <c r="D4252" t="s">
        <v>62</v>
      </c>
      <c r="E4252" t="s">
        <v>63</v>
      </c>
      <c r="F4252" t="s">
        <v>24</v>
      </c>
      <c r="G4252" s="4">
        <v>32</v>
      </c>
      <c r="I4252" s="4" t="s">
        <v>69</v>
      </c>
      <c r="J4252" s="4" t="s">
        <v>66</v>
      </c>
      <c r="K4252" s="4">
        <v>0</v>
      </c>
      <c r="L4252" s="94">
        <v>-1288384</v>
      </c>
      <c r="M4252" s="94">
        <v>0</v>
      </c>
    </row>
    <row r="4253" spans="3:13" x14ac:dyDescent="0.3">
      <c r="C4253" t="s">
        <v>61</v>
      </c>
      <c r="D4253" t="s">
        <v>67</v>
      </c>
      <c r="E4253" t="s">
        <v>68</v>
      </c>
      <c r="F4253" t="s">
        <v>26</v>
      </c>
      <c r="G4253" s="4">
        <v>-1</v>
      </c>
      <c r="H4253" s="4" t="s">
        <v>82</v>
      </c>
      <c r="I4253" s="4" t="s">
        <v>69</v>
      </c>
      <c r="J4253" s="4" t="s">
        <v>66</v>
      </c>
      <c r="K4253" s="4">
        <v>0</v>
      </c>
      <c r="L4253" s="94">
        <v>45608931</v>
      </c>
      <c r="M4253" s="94">
        <v>0</v>
      </c>
    </row>
    <row r="4254" spans="3:13" x14ac:dyDescent="0.3">
      <c r="C4254" t="s">
        <v>70</v>
      </c>
      <c r="D4254" t="s">
        <v>67</v>
      </c>
      <c r="E4254" t="s">
        <v>63</v>
      </c>
      <c r="F4254" t="s">
        <v>72</v>
      </c>
      <c r="G4254" s="4">
        <v>4</v>
      </c>
      <c r="H4254" s="4" t="s">
        <v>18</v>
      </c>
      <c r="I4254" s="4" t="s">
        <v>69</v>
      </c>
      <c r="J4254" s="4" t="s">
        <v>73</v>
      </c>
      <c r="K4254" s="4">
        <v>1</v>
      </c>
      <c r="L4254" s="94">
        <v>-14099</v>
      </c>
      <c r="M4254" s="94">
        <v>0</v>
      </c>
    </row>
    <row r="4255" spans="3:13" x14ac:dyDescent="0.3">
      <c r="C4255" t="s">
        <v>61</v>
      </c>
      <c r="D4255" t="s">
        <v>62</v>
      </c>
      <c r="E4255" t="s">
        <v>68</v>
      </c>
      <c r="F4255" t="s">
        <v>25</v>
      </c>
      <c r="G4255" s="4">
        <v>29</v>
      </c>
      <c r="I4255" s="4" t="s">
        <v>69</v>
      </c>
      <c r="J4255" s="4" t="s">
        <v>66</v>
      </c>
      <c r="K4255" s="4">
        <v>0</v>
      </c>
      <c r="L4255" s="94">
        <v>85817</v>
      </c>
      <c r="M4255" s="94">
        <v>2488693</v>
      </c>
    </row>
    <row r="4256" spans="3:13" x14ac:dyDescent="0.3">
      <c r="C4256" t="s">
        <v>71</v>
      </c>
      <c r="D4256" t="s">
        <v>67</v>
      </c>
      <c r="E4256" t="s">
        <v>68</v>
      </c>
      <c r="F4256" t="s">
        <v>25</v>
      </c>
      <c r="G4256" s="4">
        <v>6</v>
      </c>
      <c r="H4256" s="4" t="s">
        <v>74</v>
      </c>
      <c r="I4256" s="4" t="s">
        <v>69</v>
      </c>
      <c r="J4256" s="4" t="s">
        <v>66</v>
      </c>
      <c r="K4256" s="4">
        <v>0</v>
      </c>
      <c r="L4256" s="94">
        <v>267963</v>
      </c>
      <c r="M4256" s="94">
        <v>1607778</v>
      </c>
    </row>
    <row r="4257" spans="3:13" x14ac:dyDescent="0.3">
      <c r="C4257" t="s">
        <v>70</v>
      </c>
      <c r="D4257" t="s">
        <v>67</v>
      </c>
      <c r="E4257" t="s">
        <v>63</v>
      </c>
      <c r="F4257" t="s">
        <v>26</v>
      </c>
      <c r="G4257" s="4">
        <v>6</v>
      </c>
      <c r="H4257" s="4" t="s">
        <v>83</v>
      </c>
      <c r="I4257" s="4" t="s">
        <v>69</v>
      </c>
      <c r="J4257" s="4" t="s">
        <v>66</v>
      </c>
      <c r="K4257" s="4">
        <v>0</v>
      </c>
      <c r="L4257" s="94">
        <v>-773</v>
      </c>
      <c r="M4257" s="94">
        <v>0</v>
      </c>
    </row>
    <row r="4258" spans="3:13" x14ac:dyDescent="0.3">
      <c r="C4258" t="s">
        <v>70</v>
      </c>
      <c r="D4258" t="s">
        <v>67</v>
      </c>
      <c r="E4258" t="s">
        <v>63</v>
      </c>
      <c r="F4258" t="s">
        <v>26</v>
      </c>
      <c r="G4258" s="4">
        <v>5</v>
      </c>
      <c r="H4258" s="4" t="s">
        <v>12</v>
      </c>
      <c r="I4258" s="4" t="s">
        <v>65</v>
      </c>
      <c r="J4258" s="4" t="s">
        <v>73</v>
      </c>
      <c r="K4258" s="4">
        <v>1</v>
      </c>
      <c r="L4258" s="94">
        <v>-10343</v>
      </c>
      <c r="M4258" s="94">
        <v>0</v>
      </c>
    </row>
    <row r="4259" spans="3:13" x14ac:dyDescent="0.3">
      <c r="C4259" t="s">
        <v>61</v>
      </c>
      <c r="D4259" t="s">
        <v>67</v>
      </c>
      <c r="E4259" t="s">
        <v>68</v>
      </c>
      <c r="F4259" t="s">
        <v>26</v>
      </c>
      <c r="G4259" s="4">
        <v>4</v>
      </c>
      <c r="H4259" s="4" t="s">
        <v>18</v>
      </c>
      <c r="I4259" s="4" t="s">
        <v>69</v>
      </c>
      <c r="J4259" s="4" t="s">
        <v>66</v>
      </c>
      <c r="K4259" s="4">
        <v>0</v>
      </c>
      <c r="L4259" s="94">
        <v>201055866</v>
      </c>
      <c r="M4259" s="94">
        <v>804223464</v>
      </c>
    </row>
    <row r="4260" spans="3:13" x14ac:dyDescent="0.3">
      <c r="C4260" t="s">
        <v>71</v>
      </c>
      <c r="D4260" t="s">
        <v>67</v>
      </c>
      <c r="E4260" t="s">
        <v>68</v>
      </c>
      <c r="F4260" t="s">
        <v>26</v>
      </c>
      <c r="G4260" s="4">
        <v>2</v>
      </c>
      <c r="H4260" s="4" t="s">
        <v>12</v>
      </c>
      <c r="I4260" s="4" t="s">
        <v>65</v>
      </c>
      <c r="J4260" s="4" t="s">
        <v>73</v>
      </c>
      <c r="K4260" s="4">
        <v>1</v>
      </c>
      <c r="L4260" s="94">
        <v>13650</v>
      </c>
      <c r="M4260" s="94">
        <v>27300</v>
      </c>
    </row>
    <row r="4261" spans="3:13" x14ac:dyDescent="0.3">
      <c r="C4261" t="s">
        <v>71</v>
      </c>
      <c r="D4261" t="s">
        <v>67</v>
      </c>
      <c r="E4261" t="s">
        <v>63</v>
      </c>
      <c r="F4261" t="s">
        <v>26</v>
      </c>
      <c r="G4261" s="4">
        <v>1</v>
      </c>
      <c r="H4261" s="4" t="s">
        <v>82</v>
      </c>
      <c r="I4261" s="4" t="s">
        <v>69</v>
      </c>
      <c r="J4261" s="4" t="s">
        <v>66</v>
      </c>
      <c r="K4261" s="4">
        <v>0</v>
      </c>
      <c r="L4261" s="94">
        <v>-608476</v>
      </c>
      <c r="M4261" s="94">
        <v>0</v>
      </c>
    </row>
    <row r="4262" spans="3:13" x14ac:dyDescent="0.3">
      <c r="C4262" t="s">
        <v>61</v>
      </c>
      <c r="D4262" t="s">
        <v>67</v>
      </c>
      <c r="E4262" t="s">
        <v>68</v>
      </c>
      <c r="F4262" t="s">
        <v>26</v>
      </c>
      <c r="G4262" s="4">
        <v>14</v>
      </c>
      <c r="H4262" s="4" t="s">
        <v>76</v>
      </c>
      <c r="I4262" s="4" t="s">
        <v>69</v>
      </c>
      <c r="J4262" s="4" t="s">
        <v>66</v>
      </c>
      <c r="K4262" s="4">
        <v>0</v>
      </c>
      <c r="L4262" s="94">
        <v>405808</v>
      </c>
      <c r="M4262" s="94">
        <v>5681312</v>
      </c>
    </row>
    <row r="4263" spans="3:13" x14ac:dyDescent="0.3">
      <c r="C4263" t="s">
        <v>61</v>
      </c>
      <c r="D4263" t="s">
        <v>67</v>
      </c>
      <c r="E4263" t="s">
        <v>63</v>
      </c>
      <c r="F4263" t="s">
        <v>25</v>
      </c>
      <c r="G4263" s="4">
        <v>1</v>
      </c>
      <c r="H4263" s="4" t="s">
        <v>76</v>
      </c>
      <c r="I4263" s="4" t="s">
        <v>69</v>
      </c>
      <c r="J4263" s="4" t="s">
        <v>66</v>
      </c>
      <c r="K4263" s="4">
        <v>0</v>
      </c>
      <c r="L4263" s="94">
        <v>-23399</v>
      </c>
      <c r="M4263" s="94">
        <v>0</v>
      </c>
    </row>
    <row r="4264" spans="3:13" x14ac:dyDescent="0.3">
      <c r="C4264" t="s">
        <v>71</v>
      </c>
      <c r="D4264" t="s">
        <v>67</v>
      </c>
      <c r="E4264" t="s">
        <v>68</v>
      </c>
      <c r="F4264" t="s">
        <v>26</v>
      </c>
      <c r="G4264" s="4">
        <v>-1</v>
      </c>
      <c r="H4264" s="4" t="s">
        <v>13</v>
      </c>
      <c r="I4264" s="4" t="s">
        <v>69</v>
      </c>
      <c r="J4264" s="4" t="s">
        <v>66</v>
      </c>
      <c r="K4264" s="4">
        <v>0</v>
      </c>
      <c r="L4264" s="94">
        <v>205</v>
      </c>
      <c r="M4264" s="94">
        <v>0</v>
      </c>
    </row>
    <row r="4265" spans="3:13" x14ac:dyDescent="0.3">
      <c r="C4265" t="s">
        <v>70</v>
      </c>
      <c r="D4265" t="s">
        <v>67</v>
      </c>
      <c r="E4265" t="s">
        <v>68</v>
      </c>
      <c r="F4265" t="s">
        <v>25</v>
      </c>
      <c r="G4265" s="4">
        <v>-4</v>
      </c>
      <c r="H4265" s="4" t="s">
        <v>74</v>
      </c>
      <c r="I4265" s="4" t="s">
        <v>69</v>
      </c>
      <c r="J4265" s="4" t="s">
        <v>66</v>
      </c>
      <c r="K4265" s="4">
        <v>0</v>
      </c>
      <c r="L4265" s="94">
        <v>368</v>
      </c>
      <c r="M4265" s="94">
        <v>0</v>
      </c>
    </row>
    <row r="4266" spans="3:13" x14ac:dyDescent="0.3">
      <c r="C4266" t="s">
        <v>61</v>
      </c>
      <c r="D4266" t="s">
        <v>62</v>
      </c>
      <c r="E4266" t="s">
        <v>68</v>
      </c>
      <c r="F4266" t="s">
        <v>24</v>
      </c>
      <c r="G4266" s="4">
        <v>17</v>
      </c>
      <c r="I4266" s="4" t="s">
        <v>69</v>
      </c>
      <c r="J4266" s="4" t="s">
        <v>66</v>
      </c>
      <c r="K4266" s="4">
        <v>0</v>
      </c>
      <c r="L4266" s="94">
        <v>331800022</v>
      </c>
      <c r="M4266" s="94">
        <v>5640600374</v>
      </c>
    </row>
    <row r="4267" spans="3:13" x14ac:dyDescent="0.3">
      <c r="C4267" t="s">
        <v>70</v>
      </c>
      <c r="D4267" t="s">
        <v>67</v>
      </c>
      <c r="E4267" t="s">
        <v>68</v>
      </c>
      <c r="F4267" t="s">
        <v>25</v>
      </c>
      <c r="G4267" s="4">
        <v>4</v>
      </c>
      <c r="H4267" s="4" t="s">
        <v>75</v>
      </c>
      <c r="I4267" s="4" t="s">
        <v>69</v>
      </c>
      <c r="J4267" s="4" t="s">
        <v>66</v>
      </c>
      <c r="K4267" s="4">
        <v>0</v>
      </c>
      <c r="L4267" s="94">
        <v>29568200</v>
      </c>
      <c r="M4267" s="94">
        <v>118272800</v>
      </c>
    </row>
    <row r="4268" spans="3:13" x14ac:dyDescent="0.3">
      <c r="C4268" t="s">
        <v>70</v>
      </c>
      <c r="D4268" t="s">
        <v>62</v>
      </c>
      <c r="E4268" t="s">
        <v>63</v>
      </c>
      <c r="F4268" t="s">
        <v>24</v>
      </c>
      <c r="G4268" s="4">
        <v>4</v>
      </c>
      <c r="I4268" s="4" t="s">
        <v>69</v>
      </c>
      <c r="J4268" s="4" t="s">
        <v>66</v>
      </c>
      <c r="K4268" s="4">
        <v>1</v>
      </c>
      <c r="L4268" s="94">
        <v>-15034</v>
      </c>
      <c r="M4268" s="94">
        <v>0</v>
      </c>
    </row>
    <row r="4269" spans="3:13" x14ac:dyDescent="0.3">
      <c r="C4269" t="s">
        <v>71</v>
      </c>
      <c r="D4269" t="s">
        <v>67</v>
      </c>
      <c r="E4269" t="s">
        <v>68</v>
      </c>
      <c r="F4269" t="s">
        <v>26</v>
      </c>
      <c r="G4269" s="4">
        <v>4</v>
      </c>
      <c r="H4269" s="4" t="s">
        <v>74</v>
      </c>
      <c r="I4269" s="4" t="s">
        <v>69</v>
      </c>
      <c r="J4269" s="4" t="s">
        <v>66</v>
      </c>
      <c r="K4269" s="4">
        <v>0</v>
      </c>
      <c r="L4269" s="94">
        <v>1498762</v>
      </c>
      <c r="M4269" s="94">
        <v>5995048</v>
      </c>
    </row>
    <row r="4270" spans="3:13" x14ac:dyDescent="0.3">
      <c r="C4270" t="s">
        <v>61</v>
      </c>
      <c r="D4270" t="s">
        <v>67</v>
      </c>
      <c r="E4270" t="s">
        <v>63</v>
      </c>
      <c r="F4270" t="s">
        <v>26</v>
      </c>
      <c r="G4270" s="4">
        <v>-4</v>
      </c>
      <c r="H4270" s="4" t="s">
        <v>14</v>
      </c>
      <c r="I4270" s="4" t="s">
        <v>69</v>
      </c>
      <c r="J4270" s="4" t="s">
        <v>66</v>
      </c>
      <c r="K4270" s="4">
        <v>0</v>
      </c>
      <c r="L4270" s="94">
        <v>-1051</v>
      </c>
      <c r="M4270" s="94">
        <v>0</v>
      </c>
    </row>
    <row r="4271" spans="3:13" x14ac:dyDescent="0.3">
      <c r="C4271" t="s">
        <v>61</v>
      </c>
      <c r="D4271" t="s">
        <v>67</v>
      </c>
      <c r="E4271" t="s">
        <v>63</v>
      </c>
      <c r="F4271" t="s">
        <v>26</v>
      </c>
      <c r="G4271" s="4">
        <v>4</v>
      </c>
      <c r="H4271" s="4" t="s">
        <v>18</v>
      </c>
      <c r="I4271" s="4" t="s">
        <v>69</v>
      </c>
      <c r="J4271" s="4" t="s">
        <v>66</v>
      </c>
      <c r="K4271" s="4">
        <v>0</v>
      </c>
      <c r="L4271" s="94">
        <v>-236909</v>
      </c>
      <c r="M4271" s="94">
        <v>0</v>
      </c>
    </row>
    <row r="4272" spans="3:13" x14ac:dyDescent="0.3">
      <c r="C4272" t="s">
        <v>71</v>
      </c>
      <c r="D4272" t="s">
        <v>67</v>
      </c>
      <c r="E4272" t="s">
        <v>63</v>
      </c>
      <c r="F4272" t="s">
        <v>72</v>
      </c>
      <c r="G4272" s="4">
        <v>4</v>
      </c>
      <c r="H4272" s="4" t="s">
        <v>76</v>
      </c>
      <c r="I4272" s="4" t="s">
        <v>69</v>
      </c>
      <c r="J4272" s="4" t="s">
        <v>66</v>
      </c>
      <c r="K4272" s="4">
        <v>0</v>
      </c>
      <c r="L4272" s="94">
        <v>-64615</v>
      </c>
      <c r="M4272" s="94">
        <v>0</v>
      </c>
    </row>
    <row r="4273" spans="3:13" x14ac:dyDescent="0.3">
      <c r="C4273" t="s">
        <v>70</v>
      </c>
      <c r="D4273" t="s">
        <v>67</v>
      </c>
      <c r="E4273" t="s">
        <v>63</v>
      </c>
      <c r="F4273" t="s">
        <v>26</v>
      </c>
      <c r="G4273" s="4">
        <v>3</v>
      </c>
      <c r="H4273" s="4" t="s">
        <v>74</v>
      </c>
      <c r="I4273" s="4" t="s">
        <v>69</v>
      </c>
      <c r="J4273" s="4" t="s">
        <v>66</v>
      </c>
      <c r="K4273" s="4">
        <v>0</v>
      </c>
      <c r="L4273" s="94">
        <v>-340977</v>
      </c>
      <c r="M4273" s="94">
        <v>0</v>
      </c>
    </row>
    <row r="4274" spans="3:13" x14ac:dyDescent="0.3">
      <c r="C4274" t="s">
        <v>71</v>
      </c>
      <c r="D4274" t="s">
        <v>62</v>
      </c>
      <c r="E4274" t="s">
        <v>63</v>
      </c>
      <c r="F4274" t="s">
        <v>25</v>
      </c>
      <c r="G4274" s="4">
        <v>21</v>
      </c>
      <c r="I4274" s="4" t="s">
        <v>69</v>
      </c>
      <c r="J4274" s="4" t="s">
        <v>66</v>
      </c>
      <c r="K4274" s="4">
        <v>0</v>
      </c>
      <c r="L4274" s="94">
        <v>-288297</v>
      </c>
      <c r="M4274" s="94">
        <v>0</v>
      </c>
    </row>
    <row r="4275" spans="3:13" x14ac:dyDescent="0.3">
      <c r="C4275" t="s">
        <v>61</v>
      </c>
      <c r="D4275" t="s">
        <v>67</v>
      </c>
      <c r="E4275" t="s">
        <v>68</v>
      </c>
      <c r="F4275" t="s">
        <v>26</v>
      </c>
      <c r="G4275" s="4">
        <v>0</v>
      </c>
      <c r="H4275" s="4" t="s">
        <v>86</v>
      </c>
      <c r="I4275" s="4" t="s">
        <v>69</v>
      </c>
      <c r="J4275" s="4" t="s">
        <v>66</v>
      </c>
      <c r="K4275" s="4">
        <v>0</v>
      </c>
      <c r="L4275" s="94">
        <v>469</v>
      </c>
      <c r="M4275" s="94">
        <v>0</v>
      </c>
    </row>
    <row r="4276" spans="3:13" x14ac:dyDescent="0.3">
      <c r="C4276" t="s">
        <v>71</v>
      </c>
      <c r="D4276" t="s">
        <v>67</v>
      </c>
      <c r="E4276" t="s">
        <v>68</v>
      </c>
      <c r="F4276" t="s">
        <v>26</v>
      </c>
      <c r="G4276" s="4">
        <v>3</v>
      </c>
      <c r="H4276" s="4" t="s">
        <v>64</v>
      </c>
      <c r="I4276" s="4" t="s">
        <v>69</v>
      </c>
      <c r="J4276" s="4" t="s">
        <v>66</v>
      </c>
      <c r="K4276" s="4">
        <v>0</v>
      </c>
      <c r="L4276" s="94">
        <v>194901</v>
      </c>
      <c r="M4276" s="94">
        <v>584703</v>
      </c>
    </row>
    <row r="4277" spans="3:13" x14ac:dyDescent="0.3">
      <c r="C4277" t="s">
        <v>61</v>
      </c>
      <c r="D4277" t="s">
        <v>67</v>
      </c>
      <c r="E4277" t="s">
        <v>68</v>
      </c>
      <c r="F4277" t="s">
        <v>25</v>
      </c>
      <c r="G4277" s="4">
        <v>10</v>
      </c>
      <c r="H4277" s="4" t="s">
        <v>17</v>
      </c>
      <c r="I4277" s="4" t="s">
        <v>69</v>
      </c>
      <c r="J4277" s="4" t="s">
        <v>66</v>
      </c>
      <c r="K4277" s="4">
        <v>0</v>
      </c>
      <c r="L4277" s="94">
        <v>13052966</v>
      </c>
      <c r="M4277" s="94">
        <v>130529660</v>
      </c>
    </row>
    <row r="4278" spans="3:13" x14ac:dyDescent="0.3">
      <c r="C4278" t="s">
        <v>71</v>
      </c>
      <c r="D4278" t="s">
        <v>67</v>
      </c>
      <c r="E4278" t="s">
        <v>63</v>
      </c>
      <c r="F4278" t="s">
        <v>26</v>
      </c>
      <c r="G4278" s="4">
        <v>0</v>
      </c>
      <c r="H4278" s="4" t="s">
        <v>74</v>
      </c>
      <c r="I4278" s="4" t="s">
        <v>69</v>
      </c>
      <c r="J4278" s="4" t="s">
        <v>66</v>
      </c>
      <c r="K4278" s="4">
        <v>0</v>
      </c>
      <c r="L4278" s="94">
        <v>-50974</v>
      </c>
      <c r="M4278" s="94">
        <v>0</v>
      </c>
    </row>
    <row r="4279" spans="3:13" x14ac:dyDescent="0.3">
      <c r="C4279" t="s">
        <v>70</v>
      </c>
      <c r="D4279" t="s">
        <v>67</v>
      </c>
      <c r="E4279" t="s">
        <v>68</v>
      </c>
      <c r="F4279" t="s">
        <v>26</v>
      </c>
      <c r="G4279" s="4">
        <v>-1</v>
      </c>
      <c r="H4279" s="4" t="s">
        <v>75</v>
      </c>
      <c r="I4279" s="4" t="s">
        <v>65</v>
      </c>
      <c r="J4279" s="4" t="s">
        <v>66</v>
      </c>
      <c r="K4279" s="4">
        <v>1</v>
      </c>
      <c r="L4279" s="94">
        <v>978</v>
      </c>
      <c r="M4279" s="94">
        <v>0</v>
      </c>
    </row>
    <row r="4280" spans="3:13" x14ac:dyDescent="0.3">
      <c r="C4280" t="s">
        <v>61</v>
      </c>
      <c r="D4280" t="s">
        <v>62</v>
      </c>
      <c r="E4280" t="s">
        <v>68</v>
      </c>
      <c r="F4280" t="s">
        <v>24</v>
      </c>
      <c r="G4280" s="4">
        <v>20</v>
      </c>
      <c r="I4280" s="4" t="s">
        <v>69</v>
      </c>
      <c r="J4280" s="4" t="s">
        <v>66</v>
      </c>
      <c r="K4280" s="4">
        <v>0</v>
      </c>
      <c r="L4280" s="94">
        <v>599391967</v>
      </c>
      <c r="M4280" s="94">
        <v>11987839340</v>
      </c>
    </row>
    <row r="4281" spans="3:13" x14ac:dyDescent="0.3">
      <c r="C4281" t="s">
        <v>61</v>
      </c>
      <c r="D4281" t="s">
        <v>62</v>
      </c>
      <c r="E4281" t="s">
        <v>63</v>
      </c>
      <c r="F4281" t="s">
        <v>24</v>
      </c>
      <c r="G4281" s="4">
        <v>37</v>
      </c>
      <c r="I4281" s="4" t="s">
        <v>69</v>
      </c>
      <c r="J4281" s="4" t="s">
        <v>66</v>
      </c>
      <c r="K4281" s="4">
        <v>1</v>
      </c>
      <c r="L4281" s="94">
        <v>-806</v>
      </c>
      <c r="M4281" s="94">
        <v>0</v>
      </c>
    </row>
    <row r="4282" spans="3:13" x14ac:dyDescent="0.3">
      <c r="C4282" t="s">
        <v>71</v>
      </c>
      <c r="D4282" t="s">
        <v>67</v>
      </c>
      <c r="E4282" t="s">
        <v>63</v>
      </c>
      <c r="F4282" t="s">
        <v>25</v>
      </c>
      <c r="G4282" s="4">
        <v>1</v>
      </c>
      <c r="H4282" s="4" t="s">
        <v>14</v>
      </c>
      <c r="I4282" s="4" t="s">
        <v>69</v>
      </c>
      <c r="J4282" s="4" t="s">
        <v>66</v>
      </c>
      <c r="K4282" s="4">
        <v>0</v>
      </c>
      <c r="L4282" s="94">
        <v>-63505</v>
      </c>
      <c r="M4282" s="94">
        <v>0</v>
      </c>
    </row>
    <row r="4283" spans="3:13" x14ac:dyDescent="0.3">
      <c r="C4283" t="s">
        <v>61</v>
      </c>
      <c r="D4283" t="s">
        <v>84</v>
      </c>
      <c r="E4283" t="s">
        <v>68</v>
      </c>
      <c r="F4283" t="s">
        <v>25</v>
      </c>
      <c r="G4283" s="4">
        <v>14</v>
      </c>
      <c r="H4283" s="4" t="s">
        <v>81</v>
      </c>
      <c r="I4283" s="4" t="s">
        <v>69</v>
      </c>
      <c r="J4283" s="4" t="s">
        <v>66</v>
      </c>
      <c r="K4283" s="4">
        <v>0</v>
      </c>
      <c r="L4283" s="94">
        <v>1826836</v>
      </c>
      <c r="M4283" s="94">
        <v>25575704</v>
      </c>
    </row>
    <row r="4284" spans="3:13" x14ac:dyDescent="0.3">
      <c r="C4284" t="s">
        <v>70</v>
      </c>
      <c r="D4284" t="s">
        <v>62</v>
      </c>
      <c r="E4284" t="s">
        <v>68</v>
      </c>
      <c r="F4284" t="s">
        <v>25</v>
      </c>
      <c r="G4284" s="4">
        <v>4</v>
      </c>
      <c r="I4284" s="4" t="s">
        <v>69</v>
      </c>
      <c r="J4284" s="4" t="s">
        <v>66</v>
      </c>
      <c r="K4284" s="4">
        <v>0</v>
      </c>
      <c r="L4284" s="94">
        <v>405075</v>
      </c>
      <c r="M4284" s="94">
        <v>1620300</v>
      </c>
    </row>
    <row r="4285" spans="3:13" x14ac:dyDescent="0.3">
      <c r="C4285" t="s">
        <v>71</v>
      </c>
      <c r="D4285" t="s">
        <v>67</v>
      </c>
      <c r="E4285" t="s">
        <v>68</v>
      </c>
      <c r="F4285" t="s">
        <v>26</v>
      </c>
      <c r="G4285" s="4">
        <v>0</v>
      </c>
      <c r="H4285" s="4" t="s">
        <v>16</v>
      </c>
      <c r="I4285" s="4" t="s">
        <v>69</v>
      </c>
      <c r="J4285" s="4" t="s">
        <v>66</v>
      </c>
      <c r="K4285" s="4">
        <v>0</v>
      </c>
      <c r="L4285" s="94">
        <v>59451</v>
      </c>
      <c r="M4285" s="94">
        <v>0</v>
      </c>
    </row>
    <row r="4286" spans="3:13" x14ac:dyDescent="0.3">
      <c r="C4286" t="s">
        <v>71</v>
      </c>
      <c r="D4286" t="s">
        <v>67</v>
      </c>
      <c r="E4286" t="s">
        <v>63</v>
      </c>
      <c r="F4286" t="s">
        <v>26</v>
      </c>
      <c r="G4286" s="4">
        <v>15</v>
      </c>
      <c r="H4286" s="4" t="s">
        <v>17</v>
      </c>
      <c r="I4286" s="4" t="s">
        <v>69</v>
      </c>
      <c r="J4286" s="4" t="s">
        <v>66</v>
      </c>
      <c r="K4286" s="4">
        <v>0</v>
      </c>
      <c r="L4286" s="94">
        <v>-47157</v>
      </c>
      <c r="M4286" s="94">
        <v>0</v>
      </c>
    </row>
    <row r="4287" spans="3:13" x14ac:dyDescent="0.3">
      <c r="C4287" t="s">
        <v>70</v>
      </c>
      <c r="D4287" t="s">
        <v>62</v>
      </c>
      <c r="E4287" t="s">
        <v>68</v>
      </c>
      <c r="F4287" t="s">
        <v>24</v>
      </c>
      <c r="G4287" s="4">
        <v>20</v>
      </c>
      <c r="I4287" s="4" t="s">
        <v>65</v>
      </c>
      <c r="J4287" s="4" t="s">
        <v>66</v>
      </c>
      <c r="K4287" s="4">
        <v>1</v>
      </c>
      <c r="L4287" s="94">
        <v>642308</v>
      </c>
      <c r="M4287" s="94">
        <v>12846160</v>
      </c>
    </row>
    <row r="4288" spans="3:13" x14ac:dyDescent="0.3">
      <c r="C4288" t="s">
        <v>71</v>
      </c>
      <c r="D4288" t="s">
        <v>67</v>
      </c>
      <c r="E4288" t="s">
        <v>68</v>
      </c>
      <c r="F4288" t="s">
        <v>72</v>
      </c>
      <c r="G4288" s="4">
        <v>-4</v>
      </c>
      <c r="H4288" s="4" t="s">
        <v>14</v>
      </c>
      <c r="I4288" s="4" t="s">
        <v>69</v>
      </c>
      <c r="J4288" s="4" t="s">
        <v>66</v>
      </c>
      <c r="K4288" s="4">
        <v>0</v>
      </c>
      <c r="L4288" s="94">
        <v>782816</v>
      </c>
      <c r="M4288" s="94">
        <v>0</v>
      </c>
    </row>
    <row r="4289" spans="3:13" x14ac:dyDescent="0.3">
      <c r="C4289" t="s">
        <v>61</v>
      </c>
      <c r="D4289" t="s">
        <v>67</v>
      </c>
      <c r="E4289" t="s">
        <v>63</v>
      </c>
      <c r="F4289" t="s">
        <v>26</v>
      </c>
      <c r="G4289" s="4">
        <v>2</v>
      </c>
      <c r="H4289" s="4" t="s">
        <v>14</v>
      </c>
      <c r="I4289" s="4" t="s">
        <v>65</v>
      </c>
      <c r="J4289" s="4" t="s">
        <v>73</v>
      </c>
      <c r="K4289" s="4">
        <v>1</v>
      </c>
      <c r="L4289" s="94">
        <v>-2381</v>
      </c>
      <c r="M4289" s="94">
        <v>0</v>
      </c>
    </row>
    <row r="4290" spans="3:13" x14ac:dyDescent="0.3">
      <c r="C4290" t="s">
        <v>71</v>
      </c>
      <c r="D4290" t="s">
        <v>62</v>
      </c>
      <c r="E4290" t="s">
        <v>68</v>
      </c>
      <c r="F4290" t="s">
        <v>24</v>
      </c>
      <c r="G4290" s="4">
        <v>15</v>
      </c>
      <c r="I4290" s="4" t="s">
        <v>69</v>
      </c>
      <c r="J4290" s="4" t="s">
        <v>66</v>
      </c>
      <c r="K4290" s="4">
        <v>0</v>
      </c>
      <c r="L4290" s="94">
        <v>4898344</v>
      </c>
      <c r="M4290" s="94">
        <v>73475160</v>
      </c>
    </row>
    <row r="4291" spans="3:13" x14ac:dyDescent="0.3">
      <c r="C4291" t="s">
        <v>61</v>
      </c>
      <c r="D4291" t="s">
        <v>67</v>
      </c>
      <c r="E4291" t="s">
        <v>68</v>
      </c>
      <c r="F4291" t="s">
        <v>25</v>
      </c>
      <c r="G4291" s="4">
        <v>13</v>
      </c>
      <c r="H4291" s="4" t="s">
        <v>75</v>
      </c>
      <c r="I4291" s="4" t="s">
        <v>69</v>
      </c>
      <c r="J4291" s="4" t="s">
        <v>66</v>
      </c>
      <c r="K4291" s="4">
        <v>0</v>
      </c>
      <c r="L4291" s="94">
        <v>17962876</v>
      </c>
      <c r="M4291" s="94">
        <v>233517388</v>
      </c>
    </row>
    <row r="4292" spans="3:13" x14ac:dyDescent="0.3">
      <c r="C4292" t="s">
        <v>61</v>
      </c>
      <c r="D4292" t="s">
        <v>67</v>
      </c>
      <c r="E4292" t="s">
        <v>68</v>
      </c>
      <c r="F4292" t="s">
        <v>72</v>
      </c>
      <c r="G4292" s="4">
        <v>5</v>
      </c>
      <c r="H4292" s="4" t="s">
        <v>16</v>
      </c>
      <c r="I4292" s="4" t="s">
        <v>69</v>
      </c>
      <c r="J4292" s="4" t="s">
        <v>66</v>
      </c>
      <c r="K4292" s="4">
        <v>0</v>
      </c>
      <c r="L4292" s="94">
        <v>61094</v>
      </c>
      <c r="M4292" s="94">
        <v>305470</v>
      </c>
    </row>
    <row r="4293" spans="3:13" x14ac:dyDescent="0.3">
      <c r="C4293" t="s">
        <v>70</v>
      </c>
      <c r="D4293" t="s">
        <v>62</v>
      </c>
      <c r="E4293" t="s">
        <v>68</v>
      </c>
      <c r="F4293" t="s">
        <v>24</v>
      </c>
      <c r="G4293" s="4">
        <v>38</v>
      </c>
      <c r="I4293" s="4" t="s">
        <v>69</v>
      </c>
      <c r="J4293" s="4" t="s">
        <v>66</v>
      </c>
      <c r="K4293" s="4">
        <v>1</v>
      </c>
      <c r="L4293" s="94">
        <v>144559</v>
      </c>
      <c r="M4293" s="94">
        <v>5493242</v>
      </c>
    </row>
    <row r="4294" spans="3:13" x14ac:dyDescent="0.3">
      <c r="C4294" t="s">
        <v>61</v>
      </c>
      <c r="D4294" t="s">
        <v>67</v>
      </c>
      <c r="E4294" t="s">
        <v>63</v>
      </c>
      <c r="F4294" t="s">
        <v>72</v>
      </c>
      <c r="G4294" s="4">
        <v>1</v>
      </c>
      <c r="H4294" s="4" t="s">
        <v>14</v>
      </c>
      <c r="I4294" s="4" t="s">
        <v>69</v>
      </c>
      <c r="J4294" s="4" t="s">
        <v>66</v>
      </c>
      <c r="K4294" s="4">
        <v>0</v>
      </c>
      <c r="L4294" s="94">
        <v>-9550</v>
      </c>
      <c r="M4294" s="94">
        <v>0</v>
      </c>
    </row>
    <row r="4295" spans="3:13" x14ac:dyDescent="0.3">
      <c r="C4295" t="s">
        <v>70</v>
      </c>
      <c r="D4295" t="s">
        <v>67</v>
      </c>
      <c r="E4295" t="s">
        <v>68</v>
      </c>
      <c r="F4295" t="s">
        <v>72</v>
      </c>
      <c r="G4295" s="4">
        <v>-4</v>
      </c>
      <c r="H4295" s="4" t="s">
        <v>12</v>
      </c>
      <c r="I4295" s="4" t="s">
        <v>69</v>
      </c>
      <c r="J4295" s="4" t="s">
        <v>73</v>
      </c>
      <c r="K4295" s="4">
        <v>1</v>
      </c>
      <c r="L4295" s="94">
        <v>79</v>
      </c>
      <c r="M4295" s="94">
        <v>0</v>
      </c>
    </row>
    <row r="4296" spans="3:13" x14ac:dyDescent="0.3">
      <c r="C4296" t="s">
        <v>61</v>
      </c>
      <c r="D4296" t="s">
        <v>67</v>
      </c>
      <c r="E4296" t="s">
        <v>63</v>
      </c>
      <c r="F4296" t="s">
        <v>26</v>
      </c>
      <c r="G4296" s="4">
        <v>7</v>
      </c>
      <c r="H4296" s="4" t="s">
        <v>12</v>
      </c>
      <c r="I4296" s="4" t="s">
        <v>69</v>
      </c>
      <c r="J4296" s="4" t="s">
        <v>66</v>
      </c>
      <c r="K4296" s="4">
        <v>0</v>
      </c>
      <c r="L4296" s="94">
        <v>-2099</v>
      </c>
      <c r="M4296" s="94">
        <v>0</v>
      </c>
    </row>
    <row r="4297" spans="3:13" x14ac:dyDescent="0.3">
      <c r="C4297" t="s">
        <v>71</v>
      </c>
      <c r="D4297" t="s">
        <v>67</v>
      </c>
      <c r="E4297" t="s">
        <v>63</v>
      </c>
      <c r="F4297" t="s">
        <v>25</v>
      </c>
      <c r="G4297" s="4">
        <v>6</v>
      </c>
      <c r="H4297" s="4" t="s">
        <v>74</v>
      </c>
      <c r="I4297" s="4" t="s">
        <v>69</v>
      </c>
      <c r="J4297" s="4" t="s">
        <v>66</v>
      </c>
      <c r="K4297" s="4">
        <v>0</v>
      </c>
      <c r="L4297" s="94">
        <v>-99617</v>
      </c>
      <c r="M4297" s="94">
        <v>0</v>
      </c>
    </row>
    <row r="4298" spans="3:13" x14ac:dyDescent="0.3">
      <c r="C4298" t="s">
        <v>61</v>
      </c>
      <c r="D4298" t="s">
        <v>67</v>
      </c>
      <c r="E4298" t="s">
        <v>68</v>
      </c>
      <c r="F4298" t="s">
        <v>26</v>
      </c>
      <c r="G4298" s="4">
        <v>5</v>
      </c>
      <c r="H4298" s="4" t="s">
        <v>77</v>
      </c>
      <c r="I4298" s="4" t="s">
        <v>69</v>
      </c>
      <c r="J4298" s="4" t="s">
        <v>66</v>
      </c>
      <c r="K4298" s="4">
        <v>0</v>
      </c>
      <c r="L4298" s="94">
        <v>1248724</v>
      </c>
      <c r="M4298" s="94">
        <v>6243620</v>
      </c>
    </row>
    <row r="4299" spans="3:13" x14ac:dyDescent="0.3">
      <c r="C4299" t="s">
        <v>61</v>
      </c>
      <c r="D4299" t="s">
        <v>67</v>
      </c>
      <c r="E4299" t="s">
        <v>68</v>
      </c>
      <c r="F4299" t="s">
        <v>26</v>
      </c>
      <c r="G4299" s="4">
        <v>8</v>
      </c>
      <c r="H4299" s="4" t="s">
        <v>83</v>
      </c>
      <c r="I4299" s="4" t="s">
        <v>69</v>
      </c>
      <c r="J4299" s="4" t="s">
        <v>66</v>
      </c>
      <c r="K4299" s="4">
        <v>0</v>
      </c>
      <c r="L4299" s="94">
        <v>481253</v>
      </c>
      <c r="M4299" s="94">
        <v>3850024</v>
      </c>
    </row>
    <row r="4300" spans="3:13" x14ac:dyDescent="0.3">
      <c r="C4300" t="s">
        <v>61</v>
      </c>
      <c r="D4300" t="s">
        <v>67</v>
      </c>
      <c r="E4300" t="s">
        <v>63</v>
      </c>
      <c r="F4300" t="s">
        <v>25</v>
      </c>
      <c r="G4300" s="4">
        <v>1</v>
      </c>
      <c r="H4300" s="4" t="s">
        <v>18</v>
      </c>
      <c r="I4300" s="4" t="s">
        <v>69</v>
      </c>
      <c r="J4300" s="4" t="s">
        <v>66</v>
      </c>
      <c r="K4300" s="4">
        <v>0</v>
      </c>
      <c r="L4300" s="94">
        <v>-5461</v>
      </c>
      <c r="M4300" s="94">
        <v>0</v>
      </c>
    </row>
    <row r="4301" spans="3:13" x14ac:dyDescent="0.3">
      <c r="C4301" t="s">
        <v>70</v>
      </c>
      <c r="D4301" t="s">
        <v>62</v>
      </c>
      <c r="E4301" t="s">
        <v>68</v>
      </c>
      <c r="F4301" t="s">
        <v>24</v>
      </c>
      <c r="G4301" s="4">
        <v>2</v>
      </c>
      <c r="I4301" s="4" t="s">
        <v>69</v>
      </c>
      <c r="J4301" s="4" t="s">
        <v>66</v>
      </c>
      <c r="K4301" s="4">
        <v>0</v>
      </c>
      <c r="L4301" s="94">
        <v>3144465</v>
      </c>
      <c r="M4301" s="94">
        <v>6288930</v>
      </c>
    </row>
    <row r="4302" spans="3:13" x14ac:dyDescent="0.3">
      <c r="C4302" t="s">
        <v>71</v>
      </c>
      <c r="D4302" t="s">
        <v>67</v>
      </c>
      <c r="E4302" t="s">
        <v>68</v>
      </c>
      <c r="F4302" t="s">
        <v>26</v>
      </c>
      <c r="G4302" s="4">
        <v>-1</v>
      </c>
      <c r="H4302" s="4" t="s">
        <v>75</v>
      </c>
      <c r="I4302" s="4" t="s">
        <v>69</v>
      </c>
      <c r="J4302" s="4" t="s">
        <v>66</v>
      </c>
      <c r="K4302" s="4">
        <v>0</v>
      </c>
      <c r="L4302" s="94">
        <v>1213431</v>
      </c>
      <c r="M4302" s="94">
        <v>0</v>
      </c>
    </row>
    <row r="4303" spans="3:13" x14ac:dyDescent="0.3">
      <c r="C4303" t="s">
        <v>70</v>
      </c>
      <c r="D4303" t="s">
        <v>62</v>
      </c>
      <c r="E4303" t="s">
        <v>68</v>
      </c>
      <c r="F4303" t="s">
        <v>25</v>
      </c>
      <c r="G4303" s="4">
        <v>16</v>
      </c>
      <c r="I4303" s="4" t="s">
        <v>69</v>
      </c>
      <c r="J4303" s="4" t="s">
        <v>66</v>
      </c>
      <c r="K4303" s="4">
        <v>0</v>
      </c>
      <c r="L4303" s="94">
        <v>277986</v>
      </c>
      <c r="M4303" s="94">
        <v>4447776</v>
      </c>
    </row>
    <row r="4304" spans="3:13" x14ac:dyDescent="0.3">
      <c r="C4304" t="s">
        <v>71</v>
      </c>
      <c r="D4304" t="s">
        <v>67</v>
      </c>
      <c r="E4304" t="s">
        <v>63</v>
      </c>
      <c r="F4304" t="s">
        <v>26</v>
      </c>
      <c r="G4304" s="4">
        <v>19</v>
      </c>
      <c r="H4304" s="4" t="s">
        <v>16</v>
      </c>
      <c r="I4304" s="4" t="s">
        <v>69</v>
      </c>
      <c r="J4304" s="4" t="s">
        <v>66</v>
      </c>
      <c r="K4304" s="4">
        <v>0</v>
      </c>
      <c r="L4304" s="94">
        <v>-146603</v>
      </c>
      <c r="M4304" s="94">
        <v>0</v>
      </c>
    </row>
    <row r="4305" spans="3:13" x14ac:dyDescent="0.3">
      <c r="C4305" t="s">
        <v>70</v>
      </c>
      <c r="D4305" t="s">
        <v>67</v>
      </c>
      <c r="E4305" t="s">
        <v>63</v>
      </c>
      <c r="F4305" t="s">
        <v>26</v>
      </c>
      <c r="G4305" s="4">
        <v>2</v>
      </c>
      <c r="H4305" s="4" t="s">
        <v>13</v>
      </c>
      <c r="I4305" s="4" t="s">
        <v>69</v>
      </c>
      <c r="J4305" s="4" t="s">
        <v>73</v>
      </c>
      <c r="K4305" s="4">
        <v>1</v>
      </c>
      <c r="L4305" s="94">
        <v>-3949</v>
      </c>
      <c r="M4305" s="94">
        <v>0</v>
      </c>
    </row>
    <row r="4306" spans="3:13" x14ac:dyDescent="0.3">
      <c r="C4306" t="s">
        <v>61</v>
      </c>
      <c r="D4306" t="s">
        <v>67</v>
      </c>
      <c r="E4306" t="s">
        <v>63</v>
      </c>
      <c r="F4306" t="s">
        <v>25</v>
      </c>
      <c r="G4306" s="4">
        <v>17</v>
      </c>
      <c r="H4306" s="4" t="s">
        <v>76</v>
      </c>
      <c r="I4306" s="4" t="s">
        <v>69</v>
      </c>
      <c r="J4306" s="4" t="s">
        <v>66</v>
      </c>
      <c r="K4306" s="4">
        <v>0</v>
      </c>
      <c r="L4306" s="94">
        <v>-5570</v>
      </c>
      <c r="M4306" s="94">
        <v>0</v>
      </c>
    </row>
    <row r="4307" spans="3:13" x14ac:dyDescent="0.3">
      <c r="C4307" t="s">
        <v>61</v>
      </c>
      <c r="D4307" t="s">
        <v>67</v>
      </c>
      <c r="E4307" t="s">
        <v>68</v>
      </c>
      <c r="F4307" t="s">
        <v>25</v>
      </c>
      <c r="G4307" s="4">
        <v>3</v>
      </c>
      <c r="H4307" s="4" t="s">
        <v>12</v>
      </c>
      <c r="I4307" s="4" t="s">
        <v>69</v>
      </c>
      <c r="J4307" s="4" t="s">
        <v>66</v>
      </c>
      <c r="K4307" s="4">
        <v>0</v>
      </c>
      <c r="L4307" s="94">
        <v>538204</v>
      </c>
      <c r="M4307" s="94">
        <v>1614612</v>
      </c>
    </row>
    <row r="4308" spans="3:13" x14ac:dyDescent="0.3">
      <c r="C4308" t="s">
        <v>61</v>
      </c>
      <c r="D4308" t="s">
        <v>67</v>
      </c>
      <c r="E4308" t="s">
        <v>68</v>
      </c>
      <c r="F4308" t="s">
        <v>25</v>
      </c>
      <c r="G4308" s="4">
        <v>15</v>
      </c>
      <c r="H4308" s="4" t="s">
        <v>83</v>
      </c>
      <c r="I4308" s="4" t="s">
        <v>69</v>
      </c>
      <c r="J4308" s="4" t="s">
        <v>66</v>
      </c>
      <c r="K4308" s="4">
        <v>0</v>
      </c>
      <c r="L4308" s="94">
        <v>344847</v>
      </c>
      <c r="M4308" s="94">
        <v>5172705</v>
      </c>
    </row>
    <row r="4309" spans="3:13" x14ac:dyDescent="0.3">
      <c r="C4309" t="s">
        <v>61</v>
      </c>
      <c r="D4309" t="s">
        <v>67</v>
      </c>
      <c r="E4309" t="s">
        <v>63</v>
      </c>
      <c r="F4309" t="s">
        <v>72</v>
      </c>
      <c r="G4309" s="4">
        <v>2</v>
      </c>
      <c r="H4309" s="4" t="s">
        <v>82</v>
      </c>
      <c r="I4309" s="4" t="s">
        <v>65</v>
      </c>
      <c r="J4309" s="4" t="s">
        <v>66</v>
      </c>
      <c r="K4309" s="4">
        <v>1</v>
      </c>
      <c r="L4309" s="94">
        <v>-48</v>
      </c>
      <c r="M4309" s="94">
        <v>0</v>
      </c>
    </row>
    <row r="4310" spans="3:13" x14ac:dyDescent="0.3">
      <c r="C4310" t="s">
        <v>61</v>
      </c>
      <c r="D4310" t="s">
        <v>84</v>
      </c>
      <c r="E4310" t="s">
        <v>68</v>
      </c>
      <c r="F4310" t="s">
        <v>25</v>
      </c>
      <c r="G4310" s="4">
        <v>2</v>
      </c>
      <c r="H4310" s="4" t="s">
        <v>75</v>
      </c>
      <c r="I4310" s="4" t="s">
        <v>69</v>
      </c>
      <c r="J4310" s="4" t="s">
        <v>66</v>
      </c>
      <c r="K4310" s="4">
        <v>0</v>
      </c>
      <c r="L4310" s="94">
        <v>153165</v>
      </c>
      <c r="M4310" s="94">
        <v>306330</v>
      </c>
    </row>
    <row r="4311" spans="3:13" x14ac:dyDescent="0.3">
      <c r="C4311" t="s">
        <v>70</v>
      </c>
      <c r="D4311" t="s">
        <v>62</v>
      </c>
      <c r="E4311" t="s">
        <v>63</v>
      </c>
      <c r="F4311" t="s">
        <v>25</v>
      </c>
      <c r="G4311" s="4">
        <v>29</v>
      </c>
      <c r="I4311" s="4" t="s">
        <v>69</v>
      </c>
      <c r="J4311" s="4" t="s">
        <v>66</v>
      </c>
      <c r="K4311" s="4">
        <v>0</v>
      </c>
      <c r="L4311" s="94">
        <v>-88584</v>
      </c>
      <c r="M4311" s="94">
        <v>0</v>
      </c>
    </row>
    <row r="4312" spans="3:13" x14ac:dyDescent="0.3">
      <c r="C4312" t="s">
        <v>70</v>
      </c>
      <c r="D4312" t="s">
        <v>67</v>
      </c>
      <c r="E4312" t="s">
        <v>68</v>
      </c>
      <c r="F4312" t="s">
        <v>26</v>
      </c>
      <c r="G4312" s="4">
        <v>0</v>
      </c>
      <c r="H4312" s="4" t="s">
        <v>13</v>
      </c>
      <c r="I4312" s="4" t="s">
        <v>69</v>
      </c>
      <c r="J4312" s="4" t="s">
        <v>73</v>
      </c>
      <c r="K4312" s="4">
        <v>1</v>
      </c>
      <c r="L4312" s="94">
        <v>1669</v>
      </c>
      <c r="M4312" s="94">
        <v>0</v>
      </c>
    </row>
    <row r="4313" spans="3:13" x14ac:dyDescent="0.3">
      <c r="C4313" t="s">
        <v>71</v>
      </c>
      <c r="D4313" t="s">
        <v>67</v>
      </c>
      <c r="E4313" t="s">
        <v>63</v>
      </c>
      <c r="F4313" t="s">
        <v>26</v>
      </c>
      <c r="G4313" s="4">
        <v>-1</v>
      </c>
      <c r="H4313" s="4" t="s">
        <v>83</v>
      </c>
      <c r="I4313" s="4" t="s">
        <v>69</v>
      </c>
      <c r="J4313" s="4" t="s">
        <v>66</v>
      </c>
      <c r="K4313" s="4">
        <v>0</v>
      </c>
      <c r="L4313" s="94">
        <v>-211828</v>
      </c>
      <c r="M4313" s="94">
        <v>0</v>
      </c>
    </row>
    <row r="4314" spans="3:13" x14ac:dyDescent="0.3">
      <c r="C4314" t="s">
        <v>71</v>
      </c>
      <c r="D4314" t="s">
        <v>67</v>
      </c>
      <c r="E4314" t="s">
        <v>68</v>
      </c>
      <c r="F4314" t="s">
        <v>25</v>
      </c>
      <c r="G4314" s="4">
        <v>3</v>
      </c>
      <c r="H4314" s="4" t="s">
        <v>18</v>
      </c>
      <c r="I4314" s="4" t="s">
        <v>69</v>
      </c>
      <c r="J4314" s="4" t="s">
        <v>66</v>
      </c>
      <c r="K4314" s="4">
        <v>0</v>
      </c>
      <c r="L4314" s="94">
        <v>224693</v>
      </c>
      <c r="M4314" s="94">
        <v>674079</v>
      </c>
    </row>
    <row r="4315" spans="3:13" x14ac:dyDescent="0.3">
      <c r="C4315" t="s">
        <v>71</v>
      </c>
      <c r="D4315" t="s">
        <v>67</v>
      </c>
      <c r="E4315" t="s">
        <v>68</v>
      </c>
      <c r="F4315" t="s">
        <v>26</v>
      </c>
      <c r="G4315" s="4">
        <v>-4</v>
      </c>
      <c r="H4315" s="4" t="s">
        <v>13</v>
      </c>
      <c r="I4315" s="4" t="s">
        <v>69</v>
      </c>
      <c r="J4315" s="4" t="s">
        <v>73</v>
      </c>
      <c r="K4315" s="4">
        <v>1</v>
      </c>
      <c r="L4315" s="94">
        <v>20000</v>
      </c>
      <c r="M4315" s="94">
        <v>0</v>
      </c>
    </row>
    <row r="4316" spans="3:13" x14ac:dyDescent="0.3">
      <c r="C4316" t="s">
        <v>61</v>
      </c>
      <c r="D4316" t="s">
        <v>67</v>
      </c>
      <c r="E4316" t="s">
        <v>63</v>
      </c>
      <c r="F4316" t="s">
        <v>72</v>
      </c>
      <c r="G4316" s="4">
        <v>5</v>
      </c>
      <c r="H4316" s="4" t="s">
        <v>18</v>
      </c>
      <c r="I4316" s="4" t="s">
        <v>69</v>
      </c>
      <c r="J4316" s="4" t="s">
        <v>73</v>
      </c>
      <c r="K4316" s="4">
        <v>1</v>
      </c>
      <c r="L4316" s="94">
        <v>-2813</v>
      </c>
      <c r="M4316" s="94">
        <v>0</v>
      </c>
    </row>
    <row r="4317" spans="3:13" x14ac:dyDescent="0.3">
      <c r="C4317" t="s">
        <v>61</v>
      </c>
      <c r="D4317" t="s">
        <v>67</v>
      </c>
      <c r="E4317" t="s">
        <v>68</v>
      </c>
      <c r="F4317" t="s">
        <v>25</v>
      </c>
      <c r="G4317" s="4">
        <v>13</v>
      </c>
      <c r="H4317" s="4" t="s">
        <v>83</v>
      </c>
      <c r="I4317" s="4" t="s">
        <v>69</v>
      </c>
      <c r="J4317" s="4" t="s">
        <v>66</v>
      </c>
      <c r="K4317" s="4">
        <v>0</v>
      </c>
      <c r="L4317" s="94">
        <v>14007976</v>
      </c>
      <c r="M4317" s="94">
        <v>182103688</v>
      </c>
    </row>
    <row r="4318" spans="3:13" x14ac:dyDescent="0.3">
      <c r="C4318" t="s">
        <v>70</v>
      </c>
      <c r="D4318" t="s">
        <v>67</v>
      </c>
      <c r="E4318" t="s">
        <v>68</v>
      </c>
      <c r="F4318" t="s">
        <v>26</v>
      </c>
      <c r="G4318" s="4">
        <v>8</v>
      </c>
      <c r="H4318" s="4" t="s">
        <v>12</v>
      </c>
      <c r="I4318" s="4" t="s">
        <v>69</v>
      </c>
      <c r="J4318" s="4" t="s">
        <v>73</v>
      </c>
      <c r="K4318" s="4">
        <v>1</v>
      </c>
      <c r="L4318" s="94">
        <v>200544</v>
      </c>
      <c r="M4318" s="94">
        <v>1604352</v>
      </c>
    </row>
    <row r="4319" spans="3:13" x14ac:dyDescent="0.3">
      <c r="C4319" t="s">
        <v>71</v>
      </c>
      <c r="D4319" t="s">
        <v>67</v>
      </c>
      <c r="E4319" t="s">
        <v>63</v>
      </c>
      <c r="F4319" t="s">
        <v>72</v>
      </c>
      <c r="G4319" s="4">
        <v>5</v>
      </c>
      <c r="H4319" s="4" t="s">
        <v>18</v>
      </c>
      <c r="I4319" s="4" t="s">
        <v>69</v>
      </c>
      <c r="J4319" s="4" t="s">
        <v>66</v>
      </c>
      <c r="K4319" s="4">
        <v>0</v>
      </c>
      <c r="L4319" s="94">
        <v>-19561</v>
      </c>
      <c r="M4319" s="94">
        <v>0</v>
      </c>
    </row>
    <row r="4320" spans="3:13" x14ac:dyDescent="0.3">
      <c r="C4320" t="s">
        <v>70</v>
      </c>
      <c r="D4320" t="s">
        <v>67</v>
      </c>
      <c r="E4320" t="s">
        <v>63</v>
      </c>
      <c r="F4320" t="s">
        <v>26</v>
      </c>
      <c r="G4320" s="4">
        <v>3</v>
      </c>
      <c r="H4320" s="4" t="s">
        <v>80</v>
      </c>
      <c r="I4320" s="4" t="s">
        <v>69</v>
      </c>
      <c r="J4320" s="4" t="s">
        <v>66</v>
      </c>
      <c r="K4320" s="4">
        <v>0</v>
      </c>
      <c r="L4320" s="94">
        <v>-37559</v>
      </c>
      <c r="M4320" s="94">
        <v>0</v>
      </c>
    </row>
    <row r="4321" spans="3:13" x14ac:dyDescent="0.3">
      <c r="C4321" t="s">
        <v>61</v>
      </c>
      <c r="D4321" t="s">
        <v>67</v>
      </c>
      <c r="E4321" t="s">
        <v>68</v>
      </c>
      <c r="F4321" t="s">
        <v>72</v>
      </c>
      <c r="G4321" s="4">
        <v>1</v>
      </c>
      <c r="H4321" s="4" t="s">
        <v>81</v>
      </c>
      <c r="I4321" s="4" t="s">
        <v>69</v>
      </c>
      <c r="J4321" s="4" t="s">
        <v>66</v>
      </c>
      <c r="K4321" s="4">
        <v>0</v>
      </c>
      <c r="L4321" s="94">
        <v>47129</v>
      </c>
      <c r="M4321" s="94">
        <v>47129</v>
      </c>
    </row>
    <row r="4322" spans="3:13" x14ac:dyDescent="0.3">
      <c r="C4322" t="s">
        <v>61</v>
      </c>
      <c r="D4322" t="s">
        <v>67</v>
      </c>
      <c r="E4322" t="s">
        <v>68</v>
      </c>
      <c r="F4322" t="s">
        <v>72</v>
      </c>
      <c r="G4322" s="4">
        <v>2</v>
      </c>
      <c r="H4322" s="4" t="s">
        <v>17</v>
      </c>
      <c r="I4322" s="4" t="s">
        <v>65</v>
      </c>
      <c r="J4322" s="4" t="s">
        <v>66</v>
      </c>
      <c r="K4322" s="4">
        <v>1</v>
      </c>
      <c r="L4322" s="94">
        <v>15436</v>
      </c>
      <c r="M4322" s="94">
        <v>30872</v>
      </c>
    </row>
    <row r="4323" spans="3:13" x14ac:dyDescent="0.3">
      <c r="C4323" t="s">
        <v>70</v>
      </c>
      <c r="D4323" t="s">
        <v>67</v>
      </c>
      <c r="E4323" t="s">
        <v>68</v>
      </c>
      <c r="F4323" t="s">
        <v>72</v>
      </c>
      <c r="G4323" s="4">
        <v>7</v>
      </c>
      <c r="H4323" s="4" t="s">
        <v>74</v>
      </c>
      <c r="I4323" s="4" t="s">
        <v>69</v>
      </c>
      <c r="J4323" s="4" t="s">
        <v>66</v>
      </c>
      <c r="K4323" s="4">
        <v>0</v>
      </c>
      <c r="L4323" s="94">
        <v>170983</v>
      </c>
      <c r="M4323" s="94">
        <v>1196881</v>
      </c>
    </row>
    <row r="4324" spans="3:13" x14ac:dyDescent="0.3">
      <c r="C4324" t="s">
        <v>71</v>
      </c>
      <c r="D4324" t="s">
        <v>67</v>
      </c>
      <c r="E4324" t="s">
        <v>63</v>
      </c>
      <c r="F4324" t="s">
        <v>26</v>
      </c>
      <c r="G4324" s="4">
        <v>2</v>
      </c>
      <c r="H4324" s="4" t="s">
        <v>77</v>
      </c>
      <c r="I4324" s="4" t="s">
        <v>69</v>
      </c>
      <c r="J4324" s="4" t="s">
        <v>66</v>
      </c>
      <c r="K4324" s="4">
        <v>0</v>
      </c>
      <c r="L4324" s="94">
        <v>-228351</v>
      </c>
      <c r="M4324" s="94">
        <v>0</v>
      </c>
    </row>
    <row r="4325" spans="3:13" x14ac:dyDescent="0.3">
      <c r="C4325" t="s">
        <v>61</v>
      </c>
      <c r="D4325" t="s">
        <v>67</v>
      </c>
      <c r="E4325" t="s">
        <v>68</v>
      </c>
      <c r="F4325" t="s">
        <v>72</v>
      </c>
      <c r="G4325" s="4">
        <v>-4</v>
      </c>
      <c r="H4325" s="4" t="s">
        <v>82</v>
      </c>
      <c r="I4325" s="4" t="s">
        <v>69</v>
      </c>
      <c r="J4325" s="4" t="s">
        <v>66</v>
      </c>
      <c r="K4325" s="4">
        <v>0</v>
      </c>
      <c r="L4325" s="94">
        <v>397</v>
      </c>
      <c r="M4325" s="94">
        <v>0</v>
      </c>
    </row>
    <row r="4326" spans="3:13" x14ac:dyDescent="0.3">
      <c r="C4326" t="s">
        <v>61</v>
      </c>
      <c r="D4326" t="s">
        <v>67</v>
      </c>
      <c r="E4326" t="s">
        <v>68</v>
      </c>
      <c r="F4326" t="s">
        <v>26</v>
      </c>
      <c r="G4326" s="4">
        <v>2</v>
      </c>
      <c r="H4326" s="4" t="s">
        <v>75</v>
      </c>
      <c r="I4326" s="4" t="s">
        <v>69</v>
      </c>
      <c r="J4326" s="4" t="s">
        <v>66</v>
      </c>
      <c r="K4326" s="4">
        <v>0</v>
      </c>
      <c r="L4326" s="94">
        <v>15104058</v>
      </c>
      <c r="M4326" s="94">
        <v>30208116</v>
      </c>
    </row>
    <row r="4327" spans="3:13" x14ac:dyDescent="0.3">
      <c r="C4327" t="s">
        <v>70</v>
      </c>
      <c r="D4327" t="s">
        <v>67</v>
      </c>
      <c r="E4327" t="s">
        <v>63</v>
      </c>
      <c r="F4327" t="s">
        <v>72</v>
      </c>
      <c r="G4327" s="4">
        <v>5</v>
      </c>
      <c r="H4327" s="4" t="s">
        <v>18</v>
      </c>
      <c r="I4327" s="4" t="s">
        <v>69</v>
      </c>
      <c r="J4327" s="4" t="s">
        <v>73</v>
      </c>
      <c r="K4327" s="4">
        <v>1</v>
      </c>
      <c r="L4327" s="94">
        <v>-19709</v>
      </c>
      <c r="M4327" s="94">
        <v>0</v>
      </c>
    </row>
    <row r="4328" spans="3:13" x14ac:dyDescent="0.3">
      <c r="C4328" t="s">
        <v>61</v>
      </c>
      <c r="D4328" t="s">
        <v>67</v>
      </c>
      <c r="E4328" t="s">
        <v>63</v>
      </c>
      <c r="F4328" t="s">
        <v>26</v>
      </c>
      <c r="G4328" s="4">
        <v>2</v>
      </c>
      <c r="H4328" s="4" t="s">
        <v>82</v>
      </c>
      <c r="I4328" s="4" t="s">
        <v>69</v>
      </c>
      <c r="J4328" s="4" t="s">
        <v>66</v>
      </c>
      <c r="K4328" s="4">
        <v>0</v>
      </c>
      <c r="L4328" s="94">
        <v>-107746</v>
      </c>
      <c r="M4328" s="94">
        <v>0</v>
      </c>
    </row>
    <row r="4329" spans="3:13" x14ac:dyDescent="0.3">
      <c r="C4329" t="s">
        <v>71</v>
      </c>
      <c r="D4329" t="s">
        <v>62</v>
      </c>
      <c r="E4329" t="s">
        <v>68</v>
      </c>
      <c r="F4329" t="s">
        <v>24</v>
      </c>
      <c r="G4329" s="4">
        <v>-4</v>
      </c>
      <c r="I4329" s="4" t="s">
        <v>69</v>
      </c>
      <c r="J4329" s="4" t="s">
        <v>66</v>
      </c>
      <c r="K4329" s="4">
        <v>1</v>
      </c>
      <c r="L4329" s="94">
        <v>1202</v>
      </c>
      <c r="M4329" s="94">
        <v>0</v>
      </c>
    </row>
    <row r="4330" spans="3:13" x14ac:dyDescent="0.3">
      <c r="C4330" t="s">
        <v>61</v>
      </c>
      <c r="D4330" t="s">
        <v>67</v>
      </c>
      <c r="E4330" t="s">
        <v>68</v>
      </c>
      <c r="F4330" t="s">
        <v>25</v>
      </c>
      <c r="G4330" s="4">
        <v>15</v>
      </c>
      <c r="H4330" s="4" t="s">
        <v>75</v>
      </c>
      <c r="I4330" s="4" t="s">
        <v>69</v>
      </c>
      <c r="J4330" s="4" t="s">
        <v>66</v>
      </c>
      <c r="K4330" s="4">
        <v>0</v>
      </c>
      <c r="L4330" s="94">
        <v>42812563</v>
      </c>
      <c r="M4330" s="94">
        <v>642188445</v>
      </c>
    </row>
    <row r="4331" spans="3:13" x14ac:dyDescent="0.3">
      <c r="C4331" t="s">
        <v>61</v>
      </c>
      <c r="D4331" t="s">
        <v>67</v>
      </c>
      <c r="E4331" t="s">
        <v>63</v>
      </c>
      <c r="F4331" t="s">
        <v>25</v>
      </c>
      <c r="G4331" s="4">
        <v>12</v>
      </c>
      <c r="H4331" s="4" t="s">
        <v>74</v>
      </c>
      <c r="I4331" s="4" t="s">
        <v>69</v>
      </c>
      <c r="J4331" s="4" t="s">
        <v>66</v>
      </c>
      <c r="K4331" s="4">
        <v>0</v>
      </c>
      <c r="L4331" s="94">
        <v>-7219</v>
      </c>
      <c r="M4331" s="94">
        <v>0</v>
      </c>
    </row>
    <row r="4332" spans="3:13" x14ac:dyDescent="0.3">
      <c r="C4332" t="s">
        <v>70</v>
      </c>
      <c r="D4332" t="s">
        <v>67</v>
      </c>
      <c r="E4332" t="s">
        <v>68</v>
      </c>
      <c r="F4332" t="s">
        <v>25</v>
      </c>
      <c r="G4332" s="4">
        <v>0</v>
      </c>
      <c r="H4332" s="4" t="s">
        <v>79</v>
      </c>
      <c r="I4332" s="4" t="s">
        <v>69</v>
      </c>
      <c r="J4332" s="4" t="s">
        <v>66</v>
      </c>
      <c r="K4332" s="4">
        <v>0</v>
      </c>
      <c r="L4332" s="94">
        <v>34357</v>
      </c>
      <c r="M4332" s="94">
        <v>0</v>
      </c>
    </row>
    <row r="4333" spans="3:13" x14ac:dyDescent="0.3">
      <c r="C4333" t="s">
        <v>71</v>
      </c>
      <c r="D4333" t="s">
        <v>84</v>
      </c>
      <c r="E4333" t="s">
        <v>68</v>
      </c>
      <c r="F4333" t="s">
        <v>25</v>
      </c>
      <c r="G4333" s="4">
        <v>9</v>
      </c>
      <c r="H4333" s="4" t="s">
        <v>18</v>
      </c>
      <c r="I4333" s="4" t="s">
        <v>69</v>
      </c>
      <c r="J4333" s="4" t="s">
        <v>66</v>
      </c>
      <c r="K4333" s="4">
        <v>0</v>
      </c>
      <c r="L4333" s="94">
        <v>976066</v>
      </c>
      <c r="M4333" s="94">
        <v>8784594</v>
      </c>
    </row>
    <row r="4334" spans="3:13" x14ac:dyDescent="0.3">
      <c r="C4334" t="s">
        <v>70</v>
      </c>
      <c r="D4334" t="s">
        <v>67</v>
      </c>
      <c r="E4334" t="s">
        <v>63</v>
      </c>
      <c r="F4334" t="s">
        <v>25</v>
      </c>
      <c r="G4334" s="4">
        <v>12</v>
      </c>
      <c r="H4334" s="4" t="s">
        <v>75</v>
      </c>
      <c r="I4334" s="4" t="s">
        <v>69</v>
      </c>
      <c r="J4334" s="4" t="s">
        <v>66</v>
      </c>
      <c r="K4334" s="4">
        <v>0</v>
      </c>
      <c r="L4334" s="94">
        <v>-146802</v>
      </c>
      <c r="M4334" s="94">
        <v>0</v>
      </c>
    </row>
    <row r="4335" spans="3:13" x14ac:dyDescent="0.3">
      <c r="C4335" t="s">
        <v>61</v>
      </c>
      <c r="D4335" t="s">
        <v>62</v>
      </c>
      <c r="E4335" t="s">
        <v>63</v>
      </c>
      <c r="F4335" t="s">
        <v>24</v>
      </c>
      <c r="G4335" s="4">
        <v>33</v>
      </c>
      <c r="I4335" s="4" t="s">
        <v>69</v>
      </c>
      <c r="J4335" s="4" t="s">
        <v>66</v>
      </c>
      <c r="K4335" s="4">
        <v>1</v>
      </c>
      <c r="L4335" s="94">
        <v>-775</v>
      </c>
      <c r="M4335" s="94">
        <v>0</v>
      </c>
    </row>
    <row r="4336" spans="3:13" x14ac:dyDescent="0.3">
      <c r="C4336" t="s">
        <v>71</v>
      </c>
      <c r="D4336" t="s">
        <v>67</v>
      </c>
      <c r="E4336" t="s">
        <v>68</v>
      </c>
      <c r="F4336" t="s">
        <v>25</v>
      </c>
      <c r="G4336" s="4">
        <v>29</v>
      </c>
      <c r="H4336" s="4" t="s">
        <v>76</v>
      </c>
      <c r="I4336" s="4" t="s">
        <v>69</v>
      </c>
      <c r="J4336" s="4" t="s">
        <v>66</v>
      </c>
      <c r="K4336" s="4">
        <v>0</v>
      </c>
      <c r="L4336" s="94">
        <v>57460429</v>
      </c>
      <c r="M4336" s="94">
        <v>1666352441</v>
      </c>
    </row>
    <row r="4337" spans="3:13" x14ac:dyDescent="0.3">
      <c r="C4337" t="s">
        <v>70</v>
      </c>
      <c r="D4337" t="s">
        <v>67</v>
      </c>
      <c r="E4337" t="s">
        <v>63</v>
      </c>
      <c r="F4337" t="s">
        <v>25</v>
      </c>
      <c r="G4337" s="4">
        <v>11</v>
      </c>
      <c r="H4337" s="4" t="s">
        <v>80</v>
      </c>
      <c r="I4337" s="4" t="s">
        <v>69</v>
      </c>
      <c r="J4337" s="4" t="s">
        <v>66</v>
      </c>
      <c r="K4337" s="4">
        <v>0</v>
      </c>
      <c r="L4337" s="94">
        <v>-2693</v>
      </c>
      <c r="M4337" s="94">
        <v>0</v>
      </c>
    </row>
    <row r="4338" spans="3:13" x14ac:dyDescent="0.3">
      <c r="C4338" t="s">
        <v>61</v>
      </c>
      <c r="D4338" t="s">
        <v>62</v>
      </c>
      <c r="E4338" t="s">
        <v>63</v>
      </c>
      <c r="F4338" t="s">
        <v>24</v>
      </c>
      <c r="G4338" s="4">
        <v>1</v>
      </c>
      <c r="I4338" s="4" t="s">
        <v>69</v>
      </c>
      <c r="J4338" s="4" t="s">
        <v>66</v>
      </c>
      <c r="K4338" s="4">
        <v>1</v>
      </c>
      <c r="L4338" s="94">
        <v>-10</v>
      </c>
      <c r="M4338" s="94">
        <v>0</v>
      </c>
    </row>
    <row r="4339" spans="3:13" x14ac:dyDescent="0.3">
      <c r="C4339" t="s">
        <v>70</v>
      </c>
      <c r="D4339" t="s">
        <v>67</v>
      </c>
      <c r="E4339" t="s">
        <v>68</v>
      </c>
      <c r="F4339" t="s">
        <v>25</v>
      </c>
      <c r="G4339" s="4">
        <v>1</v>
      </c>
      <c r="H4339" s="4" t="s">
        <v>17</v>
      </c>
      <c r="I4339" s="4" t="s">
        <v>69</v>
      </c>
      <c r="J4339" s="4" t="s">
        <v>66</v>
      </c>
      <c r="K4339" s="4">
        <v>1</v>
      </c>
      <c r="L4339" s="94">
        <v>17128</v>
      </c>
      <c r="M4339" s="94">
        <v>17128</v>
      </c>
    </row>
    <row r="4340" spans="3:13" x14ac:dyDescent="0.3">
      <c r="C4340" t="s">
        <v>71</v>
      </c>
      <c r="D4340" t="s">
        <v>67</v>
      </c>
      <c r="E4340" t="s">
        <v>63</v>
      </c>
      <c r="F4340" t="s">
        <v>72</v>
      </c>
      <c r="G4340" s="4">
        <v>3</v>
      </c>
      <c r="H4340" s="4" t="s">
        <v>76</v>
      </c>
      <c r="I4340" s="4" t="s">
        <v>69</v>
      </c>
      <c r="J4340" s="4" t="s">
        <v>66</v>
      </c>
      <c r="K4340" s="4">
        <v>0</v>
      </c>
      <c r="L4340" s="94">
        <v>-20922</v>
      </c>
      <c r="M4340" s="94">
        <v>0</v>
      </c>
    </row>
    <row r="4341" spans="3:13" x14ac:dyDescent="0.3">
      <c r="C4341" t="s">
        <v>61</v>
      </c>
      <c r="D4341" t="s">
        <v>62</v>
      </c>
      <c r="E4341" t="s">
        <v>68</v>
      </c>
      <c r="F4341" t="s">
        <v>24</v>
      </c>
      <c r="G4341" s="4">
        <v>36</v>
      </c>
      <c r="I4341" s="4" t="s">
        <v>69</v>
      </c>
      <c r="J4341" s="4" t="s">
        <v>66</v>
      </c>
      <c r="K4341" s="4">
        <v>1</v>
      </c>
      <c r="L4341" s="94">
        <v>2029823</v>
      </c>
      <c r="M4341" s="94">
        <v>73073628</v>
      </c>
    </row>
    <row r="4342" spans="3:13" x14ac:dyDescent="0.3">
      <c r="C4342" t="s">
        <v>61</v>
      </c>
      <c r="D4342" t="s">
        <v>67</v>
      </c>
      <c r="E4342" t="s">
        <v>68</v>
      </c>
      <c r="F4342" t="s">
        <v>26</v>
      </c>
      <c r="G4342" s="4">
        <v>0</v>
      </c>
      <c r="H4342" s="4" t="s">
        <v>17</v>
      </c>
      <c r="I4342" s="4" t="s">
        <v>65</v>
      </c>
      <c r="J4342" s="4" t="s">
        <v>73</v>
      </c>
      <c r="K4342" s="4">
        <v>1</v>
      </c>
      <c r="L4342" s="94">
        <v>2471319</v>
      </c>
      <c r="M4342" s="94">
        <v>0</v>
      </c>
    </row>
    <row r="4343" spans="3:13" x14ac:dyDescent="0.3">
      <c r="C4343" t="s">
        <v>71</v>
      </c>
      <c r="D4343" t="s">
        <v>67</v>
      </c>
      <c r="E4343" t="s">
        <v>68</v>
      </c>
      <c r="F4343" t="s">
        <v>72</v>
      </c>
      <c r="G4343" s="4">
        <v>-4</v>
      </c>
      <c r="H4343" s="4" t="s">
        <v>12</v>
      </c>
      <c r="I4343" s="4" t="s">
        <v>65</v>
      </c>
      <c r="J4343" s="4" t="s">
        <v>73</v>
      </c>
      <c r="K4343" s="4">
        <v>1</v>
      </c>
      <c r="L4343" s="94">
        <v>1970</v>
      </c>
      <c r="M4343" s="94">
        <v>0</v>
      </c>
    </row>
    <row r="4344" spans="3:13" x14ac:dyDescent="0.3">
      <c r="C4344" t="s">
        <v>71</v>
      </c>
      <c r="D4344" t="s">
        <v>67</v>
      </c>
      <c r="E4344" t="s">
        <v>68</v>
      </c>
      <c r="F4344" t="s">
        <v>26</v>
      </c>
      <c r="G4344" s="4">
        <v>-1</v>
      </c>
      <c r="H4344" s="4" t="s">
        <v>83</v>
      </c>
      <c r="I4344" s="4" t="s">
        <v>69</v>
      </c>
      <c r="J4344" s="4" t="s">
        <v>66</v>
      </c>
      <c r="K4344" s="4">
        <v>0</v>
      </c>
      <c r="L4344" s="94">
        <v>276680</v>
      </c>
      <c r="M4344" s="94">
        <v>0</v>
      </c>
    </row>
    <row r="4345" spans="3:13" x14ac:dyDescent="0.3">
      <c r="C4345" t="s">
        <v>61</v>
      </c>
      <c r="D4345" t="s">
        <v>62</v>
      </c>
      <c r="E4345" t="s">
        <v>68</v>
      </c>
      <c r="F4345" t="s">
        <v>24</v>
      </c>
      <c r="G4345" s="4">
        <v>21</v>
      </c>
      <c r="I4345" s="4" t="s">
        <v>65</v>
      </c>
      <c r="J4345" s="4" t="s">
        <v>66</v>
      </c>
      <c r="K4345" s="4">
        <v>1</v>
      </c>
      <c r="L4345" s="94">
        <v>9773960</v>
      </c>
      <c r="M4345" s="94">
        <v>205253160</v>
      </c>
    </row>
    <row r="4346" spans="3:13" x14ac:dyDescent="0.3">
      <c r="C4346" t="s">
        <v>61</v>
      </c>
      <c r="D4346" t="s">
        <v>67</v>
      </c>
      <c r="E4346" t="s">
        <v>63</v>
      </c>
      <c r="F4346" t="s">
        <v>25</v>
      </c>
      <c r="G4346" s="4">
        <v>3</v>
      </c>
      <c r="H4346" s="4" t="s">
        <v>17</v>
      </c>
      <c r="I4346" s="4" t="s">
        <v>69</v>
      </c>
      <c r="J4346" s="4" t="s">
        <v>66</v>
      </c>
      <c r="K4346" s="4">
        <v>1</v>
      </c>
      <c r="L4346" s="94">
        <v>-186</v>
      </c>
      <c r="M4346" s="94">
        <v>0</v>
      </c>
    </row>
    <row r="4347" spans="3:13" x14ac:dyDescent="0.3">
      <c r="C4347" t="s">
        <v>61</v>
      </c>
      <c r="D4347" t="s">
        <v>67</v>
      </c>
      <c r="E4347" t="s">
        <v>68</v>
      </c>
      <c r="F4347" t="s">
        <v>25</v>
      </c>
      <c r="G4347" s="4">
        <v>-1</v>
      </c>
      <c r="H4347" s="4" t="s">
        <v>14</v>
      </c>
      <c r="I4347" s="4" t="s">
        <v>69</v>
      </c>
      <c r="J4347" s="4" t="s">
        <v>66</v>
      </c>
      <c r="K4347" s="4">
        <v>0</v>
      </c>
      <c r="L4347" s="94">
        <v>1170998</v>
      </c>
      <c r="M4347" s="94">
        <v>0</v>
      </c>
    </row>
    <row r="4348" spans="3:13" x14ac:dyDescent="0.3">
      <c r="C4348" t="s">
        <v>70</v>
      </c>
      <c r="D4348" t="s">
        <v>67</v>
      </c>
      <c r="E4348" t="s">
        <v>63</v>
      </c>
      <c r="F4348" t="s">
        <v>26</v>
      </c>
      <c r="G4348" s="4">
        <v>-1</v>
      </c>
      <c r="H4348" s="4" t="s">
        <v>15</v>
      </c>
      <c r="I4348" s="4" t="s">
        <v>69</v>
      </c>
      <c r="J4348" s="4" t="s">
        <v>73</v>
      </c>
      <c r="K4348" s="4">
        <v>1</v>
      </c>
      <c r="L4348" s="94">
        <v>-9489</v>
      </c>
      <c r="M4348" s="94">
        <v>0</v>
      </c>
    </row>
    <row r="4349" spans="3:13" x14ac:dyDescent="0.3">
      <c r="C4349" t="s">
        <v>70</v>
      </c>
      <c r="D4349" t="s">
        <v>67</v>
      </c>
      <c r="E4349" t="s">
        <v>68</v>
      </c>
      <c r="F4349" t="s">
        <v>26</v>
      </c>
      <c r="G4349" s="4">
        <v>-4</v>
      </c>
      <c r="H4349" s="4" t="s">
        <v>18</v>
      </c>
      <c r="I4349" s="4" t="s">
        <v>69</v>
      </c>
      <c r="J4349" s="4" t="s">
        <v>66</v>
      </c>
      <c r="K4349" s="4">
        <v>0</v>
      </c>
      <c r="L4349" s="94">
        <v>325052</v>
      </c>
      <c r="M4349" s="94">
        <v>0</v>
      </c>
    </row>
    <row r="4350" spans="3:13" x14ac:dyDescent="0.3">
      <c r="C4350" t="s">
        <v>70</v>
      </c>
      <c r="D4350" t="s">
        <v>67</v>
      </c>
      <c r="E4350" t="s">
        <v>63</v>
      </c>
      <c r="F4350" t="s">
        <v>26</v>
      </c>
      <c r="G4350" s="4">
        <v>0</v>
      </c>
      <c r="H4350" s="4" t="s">
        <v>18</v>
      </c>
      <c r="I4350" s="4" t="s">
        <v>69</v>
      </c>
      <c r="J4350" s="4" t="s">
        <v>73</v>
      </c>
      <c r="K4350" s="4">
        <v>1</v>
      </c>
      <c r="L4350" s="94">
        <v>-48482</v>
      </c>
      <c r="M4350" s="94">
        <v>0</v>
      </c>
    </row>
    <row r="4351" spans="3:13" x14ac:dyDescent="0.3">
      <c r="C4351" t="s">
        <v>61</v>
      </c>
      <c r="D4351" t="s">
        <v>67</v>
      </c>
      <c r="E4351" t="s">
        <v>63</v>
      </c>
      <c r="F4351" t="s">
        <v>26</v>
      </c>
      <c r="G4351" s="4">
        <v>0</v>
      </c>
      <c r="H4351" s="4" t="s">
        <v>80</v>
      </c>
      <c r="I4351" s="4" t="s">
        <v>69</v>
      </c>
      <c r="J4351" s="4" t="s">
        <v>66</v>
      </c>
      <c r="K4351" s="4">
        <v>0</v>
      </c>
      <c r="L4351" s="94">
        <v>-9495</v>
      </c>
      <c r="M4351" s="94">
        <v>0</v>
      </c>
    </row>
    <row r="4352" spans="3:13" x14ac:dyDescent="0.3">
      <c r="C4352" t="s">
        <v>61</v>
      </c>
      <c r="D4352" t="s">
        <v>67</v>
      </c>
      <c r="E4352" t="s">
        <v>68</v>
      </c>
      <c r="F4352" t="s">
        <v>72</v>
      </c>
      <c r="G4352" s="4">
        <v>3</v>
      </c>
      <c r="H4352" s="4" t="s">
        <v>13</v>
      </c>
      <c r="I4352" s="4" t="s">
        <v>69</v>
      </c>
      <c r="J4352" s="4" t="s">
        <v>66</v>
      </c>
      <c r="K4352" s="4">
        <v>0</v>
      </c>
      <c r="L4352" s="94">
        <v>55509</v>
      </c>
      <c r="M4352" s="94">
        <v>166527</v>
      </c>
    </row>
    <row r="4353" spans="3:13" x14ac:dyDescent="0.3">
      <c r="C4353" t="s">
        <v>71</v>
      </c>
      <c r="D4353" t="s">
        <v>67</v>
      </c>
      <c r="E4353" t="s">
        <v>63</v>
      </c>
      <c r="F4353" t="s">
        <v>26</v>
      </c>
      <c r="G4353" s="4">
        <v>-4</v>
      </c>
      <c r="H4353" s="4" t="s">
        <v>17</v>
      </c>
      <c r="I4353" s="4" t="s">
        <v>65</v>
      </c>
      <c r="J4353" s="4" t="s">
        <v>73</v>
      </c>
      <c r="K4353" s="4">
        <v>1</v>
      </c>
      <c r="L4353" s="94">
        <v>-50538</v>
      </c>
      <c r="M4353" s="94">
        <v>0</v>
      </c>
    </row>
    <row r="4354" spans="3:13" x14ac:dyDescent="0.3">
      <c r="C4354" t="s">
        <v>70</v>
      </c>
      <c r="D4354" t="s">
        <v>67</v>
      </c>
      <c r="E4354" t="s">
        <v>63</v>
      </c>
      <c r="F4354" t="s">
        <v>25</v>
      </c>
      <c r="G4354" s="4">
        <v>11</v>
      </c>
      <c r="H4354" s="4" t="s">
        <v>79</v>
      </c>
      <c r="I4354" s="4" t="s">
        <v>69</v>
      </c>
      <c r="J4354" s="4" t="s">
        <v>66</v>
      </c>
      <c r="K4354" s="4">
        <v>0</v>
      </c>
      <c r="L4354" s="94">
        <v>-266608</v>
      </c>
      <c r="M4354" s="94">
        <v>0</v>
      </c>
    </row>
    <row r="4355" spans="3:13" x14ac:dyDescent="0.3">
      <c r="C4355" t="s">
        <v>71</v>
      </c>
      <c r="D4355" t="s">
        <v>67</v>
      </c>
      <c r="E4355" t="s">
        <v>63</v>
      </c>
      <c r="F4355" t="s">
        <v>26</v>
      </c>
      <c r="G4355" s="4">
        <v>3</v>
      </c>
      <c r="H4355" s="4" t="s">
        <v>18</v>
      </c>
      <c r="I4355" s="4" t="s">
        <v>69</v>
      </c>
      <c r="J4355" s="4" t="s">
        <v>73</v>
      </c>
      <c r="K4355" s="4">
        <v>1</v>
      </c>
      <c r="L4355" s="94">
        <v>-286210</v>
      </c>
      <c r="M4355" s="94">
        <v>0</v>
      </c>
    </row>
    <row r="4356" spans="3:13" x14ac:dyDescent="0.3">
      <c r="C4356" t="s">
        <v>71</v>
      </c>
      <c r="D4356" t="s">
        <v>67</v>
      </c>
      <c r="E4356" t="s">
        <v>68</v>
      </c>
      <c r="F4356" t="s">
        <v>26</v>
      </c>
      <c r="G4356" s="4">
        <v>6</v>
      </c>
      <c r="H4356" s="4" t="s">
        <v>76</v>
      </c>
      <c r="I4356" s="4" t="s">
        <v>69</v>
      </c>
      <c r="J4356" s="4" t="s">
        <v>66</v>
      </c>
      <c r="K4356" s="4">
        <v>0</v>
      </c>
      <c r="L4356" s="94">
        <v>415184</v>
      </c>
      <c r="M4356" s="94">
        <v>2491104</v>
      </c>
    </row>
    <row r="4357" spans="3:13" x14ac:dyDescent="0.3">
      <c r="C4357" t="s">
        <v>61</v>
      </c>
      <c r="D4357" t="s">
        <v>62</v>
      </c>
      <c r="E4357" t="s">
        <v>68</v>
      </c>
      <c r="F4357" t="s">
        <v>24</v>
      </c>
      <c r="G4357" s="4">
        <v>27</v>
      </c>
      <c r="I4357" s="4" t="s">
        <v>65</v>
      </c>
      <c r="J4357" s="4" t="s">
        <v>66</v>
      </c>
      <c r="K4357" s="4">
        <v>1</v>
      </c>
      <c r="L4357" s="94">
        <v>9801696</v>
      </c>
      <c r="M4357" s="94">
        <v>264645792</v>
      </c>
    </row>
    <row r="4358" spans="3:13" x14ac:dyDescent="0.3">
      <c r="C4358" t="s">
        <v>61</v>
      </c>
      <c r="D4358" t="s">
        <v>67</v>
      </c>
      <c r="E4358" t="s">
        <v>68</v>
      </c>
      <c r="F4358" t="s">
        <v>25</v>
      </c>
      <c r="G4358" s="4">
        <v>14</v>
      </c>
      <c r="H4358" s="4" t="s">
        <v>18</v>
      </c>
      <c r="I4358" s="4" t="s">
        <v>69</v>
      </c>
      <c r="J4358" s="4" t="s">
        <v>66</v>
      </c>
      <c r="K4358" s="4">
        <v>1</v>
      </c>
      <c r="L4358" s="94">
        <v>278226</v>
      </c>
      <c r="M4358" s="94">
        <v>3895164</v>
      </c>
    </row>
    <row r="4359" spans="3:13" x14ac:dyDescent="0.3">
      <c r="C4359" t="s">
        <v>70</v>
      </c>
      <c r="D4359" t="s">
        <v>67</v>
      </c>
      <c r="E4359" t="s">
        <v>68</v>
      </c>
      <c r="F4359" t="s">
        <v>26</v>
      </c>
      <c r="G4359" s="4">
        <v>1</v>
      </c>
      <c r="H4359" s="4" t="s">
        <v>82</v>
      </c>
      <c r="I4359" s="4" t="s">
        <v>69</v>
      </c>
      <c r="J4359" s="4" t="s">
        <v>66</v>
      </c>
      <c r="K4359" s="4">
        <v>0</v>
      </c>
      <c r="L4359" s="94">
        <v>4180254</v>
      </c>
      <c r="M4359" s="94">
        <v>4180254</v>
      </c>
    </row>
    <row r="4360" spans="3:13" x14ac:dyDescent="0.3">
      <c r="C4360" t="s">
        <v>70</v>
      </c>
      <c r="D4360" t="s">
        <v>67</v>
      </c>
      <c r="E4360" t="s">
        <v>68</v>
      </c>
      <c r="F4360" t="s">
        <v>26</v>
      </c>
      <c r="G4360" s="4">
        <v>2</v>
      </c>
      <c r="H4360" s="4" t="s">
        <v>14</v>
      </c>
      <c r="I4360" s="4" t="s">
        <v>69</v>
      </c>
      <c r="J4360" s="4" t="s">
        <v>73</v>
      </c>
      <c r="K4360" s="4">
        <v>1</v>
      </c>
      <c r="L4360" s="94">
        <v>16779916</v>
      </c>
      <c r="M4360" s="94">
        <v>33559832</v>
      </c>
    </row>
    <row r="4361" spans="3:13" x14ac:dyDescent="0.3">
      <c r="C4361" t="s">
        <v>61</v>
      </c>
      <c r="D4361" t="s">
        <v>67</v>
      </c>
      <c r="E4361" t="s">
        <v>63</v>
      </c>
      <c r="F4361" t="s">
        <v>72</v>
      </c>
      <c r="G4361" s="4">
        <v>3</v>
      </c>
      <c r="H4361" s="4" t="s">
        <v>75</v>
      </c>
      <c r="I4361" s="4" t="s">
        <v>65</v>
      </c>
      <c r="J4361" s="4" t="s">
        <v>66</v>
      </c>
      <c r="K4361" s="4">
        <v>1</v>
      </c>
      <c r="L4361" s="94">
        <v>-84</v>
      </c>
      <c r="M4361" s="94">
        <v>0</v>
      </c>
    </row>
    <row r="4362" spans="3:13" x14ac:dyDescent="0.3">
      <c r="C4362" t="s">
        <v>61</v>
      </c>
      <c r="D4362" t="s">
        <v>67</v>
      </c>
      <c r="E4362" t="s">
        <v>68</v>
      </c>
      <c r="F4362" t="s">
        <v>26</v>
      </c>
      <c r="G4362" s="4">
        <v>10</v>
      </c>
      <c r="H4362" s="4" t="s">
        <v>74</v>
      </c>
      <c r="I4362" s="4" t="s">
        <v>69</v>
      </c>
      <c r="J4362" s="4" t="s">
        <v>66</v>
      </c>
      <c r="K4362" s="4">
        <v>0</v>
      </c>
      <c r="L4362" s="94">
        <v>131229709</v>
      </c>
      <c r="M4362" s="94">
        <v>1312297090</v>
      </c>
    </row>
    <row r="4363" spans="3:13" x14ac:dyDescent="0.3">
      <c r="C4363" t="s">
        <v>70</v>
      </c>
      <c r="D4363" t="s">
        <v>62</v>
      </c>
      <c r="E4363" t="s">
        <v>68</v>
      </c>
      <c r="F4363" t="s">
        <v>24</v>
      </c>
      <c r="G4363" s="4">
        <v>27</v>
      </c>
      <c r="I4363" s="4" t="s">
        <v>69</v>
      </c>
      <c r="J4363" s="4" t="s">
        <v>66</v>
      </c>
      <c r="K4363" s="4">
        <v>0</v>
      </c>
      <c r="L4363" s="94">
        <v>50633371</v>
      </c>
      <c r="M4363" s="94">
        <v>1367101017</v>
      </c>
    </row>
    <row r="4364" spans="3:13" x14ac:dyDescent="0.3">
      <c r="C4364" t="s">
        <v>61</v>
      </c>
      <c r="D4364" t="s">
        <v>62</v>
      </c>
      <c r="E4364" t="s">
        <v>68</v>
      </c>
      <c r="F4364" t="s">
        <v>25</v>
      </c>
      <c r="G4364" s="4">
        <v>13</v>
      </c>
      <c r="I4364" s="4" t="s">
        <v>69</v>
      </c>
      <c r="J4364" s="4" t="s">
        <v>66</v>
      </c>
      <c r="K4364" s="4">
        <v>1</v>
      </c>
      <c r="L4364" s="94">
        <v>1081</v>
      </c>
      <c r="M4364" s="94">
        <v>14053</v>
      </c>
    </row>
    <row r="4365" spans="3:13" x14ac:dyDescent="0.3">
      <c r="C4365" t="s">
        <v>70</v>
      </c>
      <c r="D4365" t="s">
        <v>67</v>
      </c>
      <c r="E4365" t="s">
        <v>63</v>
      </c>
      <c r="F4365" t="s">
        <v>26</v>
      </c>
      <c r="G4365" s="4">
        <v>-1</v>
      </c>
      <c r="H4365" s="4" t="s">
        <v>17</v>
      </c>
      <c r="I4365" s="4" t="s">
        <v>69</v>
      </c>
      <c r="J4365" s="4" t="s">
        <v>73</v>
      </c>
      <c r="K4365" s="4">
        <v>1</v>
      </c>
      <c r="L4365" s="94">
        <v>-95031</v>
      </c>
      <c r="M4365" s="94">
        <v>0</v>
      </c>
    </row>
    <row r="4366" spans="3:13" x14ac:dyDescent="0.3">
      <c r="C4366" t="s">
        <v>61</v>
      </c>
      <c r="D4366" t="s">
        <v>67</v>
      </c>
      <c r="E4366" t="s">
        <v>63</v>
      </c>
      <c r="F4366" t="s">
        <v>26</v>
      </c>
      <c r="G4366" s="4">
        <v>-1</v>
      </c>
      <c r="H4366" s="4" t="s">
        <v>83</v>
      </c>
      <c r="I4366" s="4" t="s">
        <v>69</v>
      </c>
      <c r="J4366" s="4" t="s">
        <v>66</v>
      </c>
      <c r="K4366" s="4">
        <v>0</v>
      </c>
      <c r="L4366" s="94">
        <v>-27191</v>
      </c>
      <c r="M4366" s="94">
        <v>0</v>
      </c>
    </row>
    <row r="4367" spans="3:13" x14ac:dyDescent="0.3">
      <c r="C4367" t="s">
        <v>61</v>
      </c>
      <c r="D4367" t="s">
        <v>67</v>
      </c>
      <c r="E4367" t="s">
        <v>63</v>
      </c>
      <c r="F4367" t="s">
        <v>25</v>
      </c>
      <c r="G4367" s="4">
        <v>15</v>
      </c>
      <c r="H4367" s="4" t="s">
        <v>14</v>
      </c>
      <c r="I4367" s="4" t="s">
        <v>69</v>
      </c>
      <c r="J4367" s="4" t="s">
        <v>66</v>
      </c>
      <c r="K4367" s="4">
        <v>0</v>
      </c>
      <c r="L4367" s="94">
        <v>-2226</v>
      </c>
      <c r="M4367" s="94">
        <v>0</v>
      </c>
    </row>
    <row r="4368" spans="3:13" x14ac:dyDescent="0.3">
      <c r="C4368" t="s">
        <v>61</v>
      </c>
      <c r="D4368" t="s">
        <v>67</v>
      </c>
      <c r="E4368" t="s">
        <v>68</v>
      </c>
      <c r="F4368" t="s">
        <v>72</v>
      </c>
      <c r="G4368" s="4">
        <v>6</v>
      </c>
      <c r="H4368" s="4" t="s">
        <v>79</v>
      </c>
      <c r="I4368" s="4" t="s">
        <v>69</v>
      </c>
      <c r="J4368" s="4" t="s">
        <v>66</v>
      </c>
      <c r="K4368" s="4">
        <v>0</v>
      </c>
      <c r="L4368" s="94">
        <v>1340729</v>
      </c>
      <c r="M4368" s="94">
        <v>8044374</v>
      </c>
    </row>
    <row r="4369" spans="3:13" x14ac:dyDescent="0.3">
      <c r="C4369" t="s">
        <v>71</v>
      </c>
      <c r="D4369" t="s">
        <v>67</v>
      </c>
      <c r="E4369" t="s">
        <v>63</v>
      </c>
      <c r="F4369" t="s">
        <v>25</v>
      </c>
      <c r="G4369" s="4">
        <v>6</v>
      </c>
      <c r="H4369" s="4" t="s">
        <v>79</v>
      </c>
      <c r="I4369" s="4" t="s">
        <v>69</v>
      </c>
      <c r="J4369" s="4" t="s">
        <v>66</v>
      </c>
      <c r="K4369" s="4">
        <v>0</v>
      </c>
      <c r="L4369" s="94">
        <v>-65229</v>
      </c>
      <c r="M4369" s="94">
        <v>0</v>
      </c>
    </row>
    <row r="4370" spans="3:13" x14ac:dyDescent="0.3">
      <c r="C4370" t="s">
        <v>70</v>
      </c>
      <c r="D4370" t="s">
        <v>62</v>
      </c>
      <c r="E4370" t="s">
        <v>63</v>
      </c>
      <c r="F4370" t="s">
        <v>25</v>
      </c>
      <c r="G4370" s="4">
        <v>-1</v>
      </c>
      <c r="I4370" s="4" t="s">
        <v>69</v>
      </c>
      <c r="J4370" s="4" t="s">
        <v>66</v>
      </c>
      <c r="K4370" s="4">
        <v>0</v>
      </c>
      <c r="L4370" s="94">
        <v>-2004</v>
      </c>
      <c r="M4370" s="94">
        <v>0</v>
      </c>
    </row>
    <row r="4371" spans="3:13" x14ac:dyDescent="0.3">
      <c r="C4371" t="s">
        <v>61</v>
      </c>
      <c r="D4371" t="s">
        <v>62</v>
      </c>
      <c r="E4371" t="s">
        <v>63</v>
      </c>
      <c r="F4371" t="s">
        <v>25</v>
      </c>
      <c r="G4371" s="4">
        <v>7</v>
      </c>
      <c r="I4371" s="4" t="s">
        <v>69</v>
      </c>
      <c r="J4371" s="4" t="s">
        <v>66</v>
      </c>
      <c r="K4371" s="4">
        <v>1</v>
      </c>
      <c r="L4371" s="94">
        <v>-2031</v>
      </c>
      <c r="M4371" s="94">
        <v>0</v>
      </c>
    </row>
    <row r="4372" spans="3:13" x14ac:dyDescent="0.3">
      <c r="C4372" t="s">
        <v>70</v>
      </c>
      <c r="D4372" t="s">
        <v>67</v>
      </c>
      <c r="E4372" t="s">
        <v>68</v>
      </c>
      <c r="F4372" t="s">
        <v>26</v>
      </c>
      <c r="G4372" s="4">
        <v>8</v>
      </c>
      <c r="H4372" s="4" t="s">
        <v>14</v>
      </c>
      <c r="I4372" s="4" t="s">
        <v>69</v>
      </c>
      <c r="J4372" s="4" t="s">
        <v>73</v>
      </c>
      <c r="K4372" s="4">
        <v>1</v>
      </c>
      <c r="L4372" s="94">
        <v>1259971</v>
      </c>
      <c r="M4372" s="94">
        <v>10079768</v>
      </c>
    </row>
    <row r="4373" spans="3:13" x14ac:dyDescent="0.3">
      <c r="C4373" t="s">
        <v>71</v>
      </c>
      <c r="D4373" t="s">
        <v>67</v>
      </c>
      <c r="E4373" t="s">
        <v>68</v>
      </c>
      <c r="F4373" t="s">
        <v>26</v>
      </c>
      <c r="G4373" s="4">
        <v>-4</v>
      </c>
      <c r="H4373" s="4" t="s">
        <v>18</v>
      </c>
      <c r="I4373" s="4" t="s">
        <v>65</v>
      </c>
      <c r="J4373" s="4" t="s">
        <v>66</v>
      </c>
      <c r="K4373" s="4">
        <v>1</v>
      </c>
      <c r="L4373" s="94">
        <v>294</v>
      </c>
      <c r="M4373" s="94">
        <v>0</v>
      </c>
    </row>
    <row r="4374" spans="3:13" x14ac:dyDescent="0.3">
      <c r="C4374" t="s">
        <v>71</v>
      </c>
      <c r="D4374" t="s">
        <v>67</v>
      </c>
      <c r="E4374" t="s">
        <v>63</v>
      </c>
      <c r="F4374" t="s">
        <v>26</v>
      </c>
      <c r="G4374" s="4">
        <v>-1</v>
      </c>
      <c r="H4374" s="4" t="s">
        <v>78</v>
      </c>
      <c r="I4374" s="4" t="s">
        <v>69</v>
      </c>
      <c r="J4374" s="4" t="s">
        <v>66</v>
      </c>
      <c r="K4374" s="4">
        <v>0</v>
      </c>
      <c r="L4374" s="94">
        <v>-178866</v>
      </c>
      <c r="M4374" s="94">
        <v>0</v>
      </c>
    </row>
    <row r="4375" spans="3:13" x14ac:dyDescent="0.3">
      <c r="C4375" t="s">
        <v>70</v>
      </c>
      <c r="D4375" t="s">
        <v>67</v>
      </c>
      <c r="E4375" t="s">
        <v>63</v>
      </c>
      <c r="F4375" t="s">
        <v>26</v>
      </c>
      <c r="G4375" s="4">
        <v>5</v>
      </c>
      <c r="H4375" s="4" t="s">
        <v>17</v>
      </c>
      <c r="I4375" s="4" t="s">
        <v>69</v>
      </c>
      <c r="J4375" s="4" t="s">
        <v>66</v>
      </c>
      <c r="K4375" s="4">
        <v>0</v>
      </c>
      <c r="L4375" s="94">
        <v>-121308</v>
      </c>
      <c r="M4375" s="94">
        <v>0</v>
      </c>
    </row>
    <row r="4376" spans="3:13" x14ac:dyDescent="0.3">
      <c r="C4376" t="s">
        <v>70</v>
      </c>
      <c r="D4376" t="s">
        <v>67</v>
      </c>
      <c r="E4376" t="s">
        <v>68</v>
      </c>
      <c r="F4376" t="s">
        <v>25</v>
      </c>
      <c r="G4376" s="4">
        <v>6</v>
      </c>
      <c r="H4376" s="4" t="s">
        <v>14</v>
      </c>
      <c r="I4376" s="4" t="s">
        <v>69</v>
      </c>
      <c r="J4376" s="4" t="s">
        <v>66</v>
      </c>
      <c r="K4376" s="4">
        <v>1</v>
      </c>
      <c r="L4376" s="94">
        <v>1568998</v>
      </c>
      <c r="M4376" s="94">
        <v>9413988</v>
      </c>
    </row>
    <row r="4377" spans="3:13" x14ac:dyDescent="0.3">
      <c r="C4377" t="s">
        <v>70</v>
      </c>
      <c r="D4377" t="s">
        <v>62</v>
      </c>
      <c r="E4377" t="s">
        <v>68</v>
      </c>
      <c r="F4377" t="s">
        <v>24</v>
      </c>
      <c r="G4377" s="4">
        <v>32</v>
      </c>
      <c r="I4377" s="4" t="s">
        <v>69</v>
      </c>
      <c r="J4377" s="4" t="s">
        <v>66</v>
      </c>
      <c r="K4377" s="4">
        <v>0</v>
      </c>
      <c r="L4377" s="94">
        <v>43933437</v>
      </c>
      <c r="M4377" s="94">
        <v>1405869984</v>
      </c>
    </row>
    <row r="4378" spans="3:13" x14ac:dyDescent="0.3">
      <c r="C4378" t="s">
        <v>61</v>
      </c>
      <c r="D4378" t="s">
        <v>67</v>
      </c>
      <c r="E4378" t="s">
        <v>68</v>
      </c>
      <c r="F4378" t="s">
        <v>26</v>
      </c>
      <c r="G4378" s="4">
        <v>5</v>
      </c>
      <c r="H4378" s="4" t="s">
        <v>12</v>
      </c>
      <c r="I4378" s="4" t="s">
        <v>65</v>
      </c>
      <c r="J4378" s="4" t="s">
        <v>73</v>
      </c>
      <c r="K4378" s="4">
        <v>1</v>
      </c>
      <c r="L4378" s="94">
        <v>689536</v>
      </c>
      <c r="M4378" s="94">
        <v>3447680</v>
      </c>
    </row>
    <row r="4379" spans="3:13" x14ac:dyDescent="0.3">
      <c r="C4379" t="s">
        <v>71</v>
      </c>
      <c r="D4379" t="s">
        <v>62</v>
      </c>
      <c r="E4379" t="s">
        <v>63</v>
      </c>
      <c r="F4379" t="s">
        <v>25</v>
      </c>
      <c r="G4379" s="4">
        <v>22</v>
      </c>
      <c r="I4379" s="4" t="s">
        <v>69</v>
      </c>
      <c r="J4379" s="4" t="s">
        <v>66</v>
      </c>
      <c r="K4379" s="4">
        <v>0</v>
      </c>
      <c r="L4379" s="94">
        <v>-87357</v>
      </c>
      <c r="M4379" s="94">
        <v>0</v>
      </c>
    </row>
    <row r="4380" spans="3:13" x14ac:dyDescent="0.3">
      <c r="C4380" t="s">
        <v>71</v>
      </c>
      <c r="D4380" t="s">
        <v>67</v>
      </c>
      <c r="E4380" t="s">
        <v>68</v>
      </c>
      <c r="F4380" t="s">
        <v>25</v>
      </c>
      <c r="G4380" s="4">
        <v>-4</v>
      </c>
      <c r="H4380" s="4" t="s">
        <v>14</v>
      </c>
      <c r="I4380" s="4" t="s">
        <v>69</v>
      </c>
      <c r="J4380" s="4" t="s">
        <v>66</v>
      </c>
      <c r="K4380" s="4">
        <v>1</v>
      </c>
      <c r="L4380" s="94">
        <v>1208000</v>
      </c>
      <c r="M4380" s="94">
        <v>0</v>
      </c>
    </row>
    <row r="4381" spans="3:13" x14ac:dyDescent="0.3">
      <c r="C4381" t="s">
        <v>61</v>
      </c>
      <c r="D4381" t="s">
        <v>62</v>
      </c>
      <c r="E4381" t="s">
        <v>68</v>
      </c>
      <c r="F4381" t="s">
        <v>24</v>
      </c>
      <c r="G4381" s="4">
        <v>32</v>
      </c>
      <c r="I4381" s="4" t="s">
        <v>65</v>
      </c>
      <c r="J4381" s="4" t="s">
        <v>66</v>
      </c>
      <c r="K4381" s="4">
        <v>1</v>
      </c>
      <c r="L4381" s="94">
        <v>9590455</v>
      </c>
      <c r="M4381" s="94">
        <v>306894560</v>
      </c>
    </row>
    <row r="4382" spans="3:13" x14ac:dyDescent="0.3">
      <c r="C4382" t="s">
        <v>71</v>
      </c>
      <c r="D4382" t="s">
        <v>67</v>
      </c>
      <c r="E4382" t="s">
        <v>68</v>
      </c>
      <c r="F4382" t="s">
        <v>26</v>
      </c>
      <c r="G4382" s="4">
        <v>3</v>
      </c>
      <c r="H4382" s="4" t="s">
        <v>83</v>
      </c>
      <c r="I4382" s="4" t="s">
        <v>69</v>
      </c>
      <c r="J4382" s="4" t="s">
        <v>66</v>
      </c>
      <c r="K4382" s="4">
        <v>0</v>
      </c>
      <c r="L4382" s="94">
        <v>112514</v>
      </c>
      <c r="M4382" s="94">
        <v>337542</v>
      </c>
    </row>
    <row r="4383" spans="3:13" x14ac:dyDescent="0.3">
      <c r="C4383" t="s">
        <v>61</v>
      </c>
      <c r="D4383" t="s">
        <v>62</v>
      </c>
      <c r="E4383" t="s">
        <v>68</v>
      </c>
      <c r="F4383" t="s">
        <v>24</v>
      </c>
      <c r="G4383" s="4">
        <v>23</v>
      </c>
      <c r="I4383" s="4" t="s">
        <v>69</v>
      </c>
      <c r="J4383" s="4" t="s">
        <v>66</v>
      </c>
      <c r="K4383" s="4">
        <v>1</v>
      </c>
      <c r="L4383" s="94">
        <v>2707524</v>
      </c>
      <c r="M4383" s="94">
        <v>62273052</v>
      </c>
    </row>
    <row r="4384" spans="3:13" x14ac:dyDescent="0.3">
      <c r="C4384" t="s">
        <v>61</v>
      </c>
      <c r="D4384" t="s">
        <v>67</v>
      </c>
      <c r="E4384" t="s">
        <v>68</v>
      </c>
      <c r="F4384" t="s">
        <v>26</v>
      </c>
      <c r="G4384" s="4">
        <v>11</v>
      </c>
      <c r="H4384" s="4" t="s">
        <v>76</v>
      </c>
      <c r="I4384" s="4" t="s">
        <v>69</v>
      </c>
      <c r="J4384" s="4" t="s">
        <v>66</v>
      </c>
      <c r="K4384" s="4">
        <v>0</v>
      </c>
      <c r="L4384" s="94">
        <v>2522493</v>
      </c>
      <c r="M4384" s="94">
        <v>27747423</v>
      </c>
    </row>
    <row r="4385" spans="3:13" x14ac:dyDescent="0.3">
      <c r="C4385" t="s">
        <v>61</v>
      </c>
      <c r="D4385" t="s">
        <v>67</v>
      </c>
      <c r="E4385" t="s">
        <v>68</v>
      </c>
      <c r="F4385" t="s">
        <v>26</v>
      </c>
      <c r="G4385" s="4">
        <v>0</v>
      </c>
      <c r="H4385" s="4" t="s">
        <v>80</v>
      </c>
      <c r="I4385" s="4" t="s">
        <v>69</v>
      </c>
      <c r="J4385" s="4" t="s">
        <v>66</v>
      </c>
      <c r="K4385" s="4">
        <v>0</v>
      </c>
      <c r="L4385" s="94">
        <v>1840562</v>
      </c>
      <c r="M4385" s="94">
        <v>0</v>
      </c>
    </row>
    <row r="4386" spans="3:13" x14ac:dyDescent="0.3">
      <c r="C4386" t="s">
        <v>71</v>
      </c>
      <c r="D4386" t="s">
        <v>67</v>
      </c>
      <c r="E4386" t="s">
        <v>68</v>
      </c>
      <c r="F4386" t="s">
        <v>26</v>
      </c>
      <c r="G4386" s="4">
        <v>-1</v>
      </c>
      <c r="H4386" s="4" t="s">
        <v>64</v>
      </c>
      <c r="I4386" s="4" t="s">
        <v>69</v>
      </c>
      <c r="J4386" s="4" t="s">
        <v>66</v>
      </c>
      <c r="K4386" s="4">
        <v>0</v>
      </c>
      <c r="L4386" s="94">
        <v>1048154</v>
      </c>
      <c r="M4386" s="94">
        <v>0</v>
      </c>
    </row>
    <row r="4387" spans="3:13" x14ac:dyDescent="0.3">
      <c r="C4387" t="s">
        <v>61</v>
      </c>
      <c r="D4387" t="s">
        <v>67</v>
      </c>
      <c r="E4387" t="s">
        <v>63</v>
      </c>
      <c r="F4387" t="s">
        <v>26</v>
      </c>
      <c r="G4387" s="4">
        <v>-1</v>
      </c>
      <c r="H4387" s="4" t="s">
        <v>75</v>
      </c>
      <c r="I4387" s="4" t="s">
        <v>69</v>
      </c>
      <c r="J4387" s="4" t="s">
        <v>66</v>
      </c>
      <c r="K4387" s="4">
        <v>0</v>
      </c>
      <c r="L4387" s="94">
        <v>-154827</v>
      </c>
      <c r="M4387" s="94">
        <v>0</v>
      </c>
    </row>
    <row r="4388" spans="3:13" x14ac:dyDescent="0.3">
      <c r="C4388" t="s">
        <v>61</v>
      </c>
      <c r="D4388" t="s">
        <v>62</v>
      </c>
      <c r="E4388" t="s">
        <v>68</v>
      </c>
      <c r="F4388" t="s">
        <v>24</v>
      </c>
      <c r="G4388" s="4">
        <v>34</v>
      </c>
      <c r="I4388" s="4" t="s">
        <v>69</v>
      </c>
      <c r="J4388" s="4" t="s">
        <v>66</v>
      </c>
      <c r="K4388" s="4">
        <v>0</v>
      </c>
      <c r="L4388" s="94">
        <v>1357023971</v>
      </c>
      <c r="M4388" s="94">
        <v>46138815014</v>
      </c>
    </row>
    <row r="4389" spans="3:13" x14ac:dyDescent="0.3">
      <c r="C4389" t="s">
        <v>71</v>
      </c>
      <c r="D4389" t="s">
        <v>67</v>
      </c>
      <c r="E4389" t="s">
        <v>68</v>
      </c>
      <c r="F4389" t="s">
        <v>72</v>
      </c>
      <c r="G4389" s="4">
        <v>0</v>
      </c>
      <c r="H4389" s="4" t="s">
        <v>82</v>
      </c>
      <c r="I4389" s="4" t="s">
        <v>69</v>
      </c>
      <c r="J4389" s="4" t="s">
        <v>66</v>
      </c>
      <c r="K4389" s="4">
        <v>0</v>
      </c>
      <c r="L4389" s="94">
        <v>141989</v>
      </c>
      <c r="M4389" s="94">
        <v>0</v>
      </c>
    </row>
    <row r="4390" spans="3:13" x14ac:dyDescent="0.3">
      <c r="C4390" t="s">
        <v>71</v>
      </c>
      <c r="D4390" t="s">
        <v>67</v>
      </c>
      <c r="E4390" t="s">
        <v>68</v>
      </c>
      <c r="F4390" t="s">
        <v>26</v>
      </c>
      <c r="G4390" s="4">
        <v>4</v>
      </c>
      <c r="H4390" s="4" t="s">
        <v>12</v>
      </c>
      <c r="I4390" s="4" t="s">
        <v>69</v>
      </c>
      <c r="J4390" s="4" t="s">
        <v>66</v>
      </c>
      <c r="K4390" s="4">
        <v>0</v>
      </c>
      <c r="L4390" s="94">
        <v>7187</v>
      </c>
      <c r="M4390" s="94">
        <v>28748</v>
      </c>
    </row>
    <row r="4391" spans="3:13" x14ac:dyDescent="0.3">
      <c r="C4391" t="s">
        <v>61</v>
      </c>
      <c r="D4391" t="s">
        <v>67</v>
      </c>
      <c r="E4391" t="s">
        <v>63</v>
      </c>
      <c r="F4391" t="s">
        <v>26</v>
      </c>
      <c r="G4391" s="4">
        <v>7</v>
      </c>
      <c r="H4391" s="4" t="s">
        <v>14</v>
      </c>
      <c r="I4391" s="4" t="s">
        <v>69</v>
      </c>
      <c r="J4391" s="4" t="s">
        <v>66</v>
      </c>
      <c r="K4391" s="4">
        <v>0</v>
      </c>
      <c r="L4391" s="94">
        <v>-28036</v>
      </c>
      <c r="M4391" s="94">
        <v>0</v>
      </c>
    </row>
    <row r="4392" spans="3:13" x14ac:dyDescent="0.3">
      <c r="C4392" t="s">
        <v>70</v>
      </c>
      <c r="D4392" t="s">
        <v>67</v>
      </c>
      <c r="E4392" t="s">
        <v>68</v>
      </c>
      <c r="F4392" t="s">
        <v>72</v>
      </c>
      <c r="G4392" s="4">
        <v>-4</v>
      </c>
      <c r="H4392" s="4" t="s">
        <v>14</v>
      </c>
      <c r="I4392" s="4" t="s">
        <v>69</v>
      </c>
      <c r="J4392" s="4" t="s">
        <v>73</v>
      </c>
      <c r="K4392" s="4">
        <v>1</v>
      </c>
      <c r="L4392" s="94">
        <v>4121</v>
      </c>
      <c r="M4392" s="94">
        <v>0</v>
      </c>
    </row>
    <row r="4393" spans="3:13" x14ac:dyDescent="0.3">
      <c r="C4393" t="s">
        <v>70</v>
      </c>
      <c r="D4393" t="s">
        <v>67</v>
      </c>
      <c r="E4393" t="s">
        <v>63</v>
      </c>
      <c r="F4393" t="s">
        <v>25</v>
      </c>
      <c r="G4393" s="4">
        <v>8</v>
      </c>
      <c r="H4393" s="4" t="s">
        <v>14</v>
      </c>
      <c r="I4393" s="4" t="s">
        <v>69</v>
      </c>
      <c r="J4393" s="4" t="s">
        <v>66</v>
      </c>
      <c r="K4393" s="4">
        <v>0</v>
      </c>
      <c r="L4393" s="94">
        <v>-47032</v>
      </c>
      <c r="M4393" s="94">
        <v>0</v>
      </c>
    </row>
    <row r="4394" spans="3:13" x14ac:dyDescent="0.3">
      <c r="C4394" t="s">
        <v>61</v>
      </c>
      <c r="D4394" t="s">
        <v>67</v>
      </c>
      <c r="E4394" t="s">
        <v>63</v>
      </c>
      <c r="F4394" t="s">
        <v>25</v>
      </c>
      <c r="G4394" s="4">
        <v>18</v>
      </c>
      <c r="H4394" s="4" t="s">
        <v>17</v>
      </c>
      <c r="I4394" s="4" t="s">
        <v>69</v>
      </c>
      <c r="J4394" s="4" t="s">
        <v>66</v>
      </c>
      <c r="K4394" s="4">
        <v>0</v>
      </c>
      <c r="L4394" s="94">
        <v>-753</v>
      </c>
      <c r="M4394" s="94">
        <v>0</v>
      </c>
    </row>
    <row r="4395" spans="3:13" x14ac:dyDescent="0.3">
      <c r="C4395" t="s">
        <v>61</v>
      </c>
      <c r="D4395" t="s">
        <v>67</v>
      </c>
      <c r="E4395" t="s">
        <v>68</v>
      </c>
      <c r="F4395" t="s">
        <v>26</v>
      </c>
      <c r="G4395" s="4">
        <v>5</v>
      </c>
      <c r="H4395" s="4" t="s">
        <v>82</v>
      </c>
      <c r="I4395" s="4" t="s">
        <v>69</v>
      </c>
      <c r="J4395" s="4" t="s">
        <v>66</v>
      </c>
      <c r="K4395" s="4">
        <v>0</v>
      </c>
      <c r="L4395" s="94">
        <v>15467661</v>
      </c>
      <c r="M4395" s="94">
        <v>77338305</v>
      </c>
    </row>
    <row r="4396" spans="3:13" x14ac:dyDescent="0.3">
      <c r="C4396" t="s">
        <v>61</v>
      </c>
      <c r="D4396" t="s">
        <v>67</v>
      </c>
      <c r="E4396" t="s">
        <v>68</v>
      </c>
      <c r="F4396" t="s">
        <v>26</v>
      </c>
      <c r="G4396" s="4">
        <v>8</v>
      </c>
      <c r="H4396" s="4" t="s">
        <v>78</v>
      </c>
      <c r="I4396" s="4" t="s">
        <v>69</v>
      </c>
      <c r="J4396" s="4" t="s">
        <v>66</v>
      </c>
      <c r="K4396" s="4">
        <v>0</v>
      </c>
      <c r="L4396" s="94">
        <v>1381019</v>
      </c>
      <c r="M4396" s="94">
        <v>11048152</v>
      </c>
    </row>
    <row r="4397" spans="3:13" x14ac:dyDescent="0.3">
      <c r="C4397" t="s">
        <v>61</v>
      </c>
      <c r="D4397" t="s">
        <v>67</v>
      </c>
      <c r="E4397" t="s">
        <v>63</v>
      </c>
      <c r="F4397" t="s">
        <v>72</v>
      </c>
      <c r="G4397" s="4">
        <v>-1</v>
      </c>
      <c r="H4397" s="4" t="s">
        <v>76</v>
      </c>
      <c r="I4397" s="4" t="s">
        <v>69</v>
      </c>
      <c r="J4397" s="4" t="s">
        <v>66</v>
      </c>
      <c r="K4397" s="4">
        <v>0</v>
      </c>
      <c r="L4397" s="94">
        <v>-5065</v>
      </c>
      <c r="M4397" s="94">
        <v>0</v>
      </c>
    </row>
    <row r="4398" spans="3:13" x14ac:dyDescent="0.3">
      <c r="C4398" t="s">
        <v>61</v>
      </c>
      <c r="D4398" t="s">
        <v>67</v>
      </c>
      <c r="E4398" t="s">
        <v>63</v>
      </c>
      <c r="F4398" t="s">
        <v>25</v>
      </c>
      <c r="G4398" s="4">
        <v>5</v>
      </c>
      <c r="H4398" s="4" t="s">
        <v>12</v>
      </c>
      <c r="I4398" s="4" t="s">
        <v>69</v>
      </c>
      <c r="J4398" s="4" t="s">
        <v>66</v>
      </c>
      <c r="K4398" s="4">
        <v>1</v>
      </c>
      <c r="L4398" s="94">
        <v>-33682</v>
      </c>
      <c r="M4398" s="94">
        <v>0</v>
      </c>
    </row>
    <row r="4399" spans="3:13" x14ac:dyDescent="0.3">
      <c r="C4399" t="s">
        <v>70</v>
      </c>
      <c r="D4399" t="s">
        <v>67</v>
      </c>
      <c r="E4399" t="s">
        <v>63</v>
      </c>
      <c r="F4399" t="s">
        <v>26</v>
      </c>
      <c r="G4399" s="4">
        <v>2</v>
      </c>
      <c r="H4399" s="4" t="s">
        <v>18</v>
      </c>
      <c r="I4399" s="4" t="s">
        <v>65</v>
      </c>
      <c r="J4399" s="4" t="s">
        <v>66</v>
      </c>
      <c r="K4399" s="4">
        <v>1</v>
      </c>
      <c r="L4399" s="94">
        <v>-3971</v>
      </c>
      <c r="M4399" s="94">
        <v>0</v>
      </c>
    </row>
    <row r="4400" spans="3:13" x14ac:dyDescent="0.3">
      <c r="C4400" t="s">
        <v>70</v>
      </c>
      <c r="D4400" t="s">
        <v>67</v>
      </c>
      <c r="E4400" t="s">
        <v>68</v>
      </c>
      <c r="F4400" t="s">
        <v>25</v>
      </c>
      <c r="G4400" s="4">
        <v>7</v>
      </c>
      <c r="H4400" s="4" t="s">
        <v>14</v>
      </c>
      <c r="I4400" s="4" t="s">
        <v>69</v>
      </c>
      <c r="J4400" s="4" t="s">
        <v>66</v>
      </c>
      <c r="K4400" s="4">
        <v>1</v>
      </c>
      <c r="L4400" s="94">
        <v>684735</v>
      </c>
      <c r="M4400" s="94">
        <v>4793145</v>
      </c>
    </row>
    <row r="4401" spans="3:13" x14ac:dyDescent="0.3">
      <c r="C4401" t="s">
        <v>70</v>
      </c>
      <c r="D4401" t="s">
        <v>62</v>
      </c>
      <c r="E4401" t="s">
        <v>63</v>
      </c>
      <c r="F4401" t="s">
        <v>25</v>
      </c>
      <c r="G4401" s="4">
        <v>10</v>
      </c>
      <c r="I4401" s="4" t="s">
        <v>69</v>
      </c>
      <c r="J4401" s="4" t="s">
        <v>66</v>
      </c>
      <c r="K4401" s="4">
        <v>0</v>
      </c>
      <c r="L4401" s="94">
        <v>-79772</v>
      </c>
      <c r="M4401" s="94">
        <v>0</v>
      </c>
    </row>
    <row r="4402" spans="3:13" x14ac:dyDescent="0.3">
      <c r="C4402" t="s">
        <v>71</v>
      </c>
      <c r="D4402" t="s">
        <v>67</v>
      </c>
      <c r="E4402" t="s">
        <v>63</v>
      </c>
      <c r="F4402" t="s">
        <v>26</v>
      </c>
      <c r="G4402" s="4">
        <v>4</v>
      </c>
      <c r="H4402" s="4" t="s">
        <v>18</v>
      </c>
      <c r="I4402" s="4" t="s">
        <v>69</v>
      </c>
      <c r="J4402" s="4" t="s">
        <v>66</v>
      </c>
      <c r="K4402" s="4">
        <v>0</v>
      </c>
      <c r="L4402" s="94">
        <v>-3603096</v>
      </c>
      <c r="M4402" s="94">
        <v>0</v>
      </c>
    </row>
    <row r="4403" spans="3:13" x14ac:dyDescent="0.3">
      <c r="C4403" t="s">
        <v>61</v>
      </c>
      <c r="D4403" t="s">
        <v>67</v>
      </c>
      <c r="E4403" t="s">
        <v>68</v>
      </c>
      <c r="F4403" t="s">
        <v>25</v>
      </c>
      <c r="G4403" s="4">
        <v>3</v>
      </c>
      <c r="H4403" s="4" t="s">
        <v>14</v>
      </c>
      <c r="I4403" s="4" t="s">
        <v>69</v>
      </c>
      <c r="J4403" s="4" t="s">
        <v>66</v>
      </c>
      <c r="K4403" s="4">
        <v>0</v>
      </c>
      <c r="L4403" s="94">
        <v>2051056</v>
      </c>
      <c r="M4403" s="94">
        <v>6153168</v>
      </c>
    </row>
    <row r="4404" spans="3:13" x14ac:dyDescent="0.3">
      <c r="C4404" t="s">
        <v>70</v>
      </c>
      <c r="D4404" t="s">
        <v>67</v>
      </c>
      <c r="E4404" t="s">
        <v>68</v>
      </c>
      <c r="F4404" t="s">
        <v>25</v>
      </c>
      <c r="G4404" s="4">
        <v>3</v>
      </c>
      <c r="H4404" s="4" t="s">
        <v>18</v>
      </c>
      <c r="I4404" s="4" t="s">
        <v>69</v>
      </c>
      <c r="J4404" s="4" t="s">
        <v>66</v>
      </c>
      <c r="K4404" s="4">
        <v>1</v>
      </c>
      <c r="L4404" s="94">
        <v>278262</v>
      </c>
      <c r="M4404" s="94">
        <v>834786</v>
      </c>
    </row>
    <row r="4405" spans="3:13" x14ac:dyDescent="0.3">
      <c r="C4405" t="s">
        <v>70</v>
      </c>
      <c r="D4405" t="s">
        <v>67</v>
      </c>
      <c r="E4405" t="s">
        <v>63</v>
      </c>
      <c r="F4405" t="s">
        <v>72</v>
      </c>
      <c r="G4405" s="4">
        <v>0</v>
      </c>
      <c r="H4405" s="4" t="s">
        <v>18</v>
      </c>
      <c r="I4405" s="4" t="s">
        <v>69</v>
      </c>
      <c r="J4405" s="4" t="s">
        <v>73</v>
      </c>
      <c r="K4405" s="4">
        <v>1</v>
      </c>
      <c r="L4405" s="94">
        <v>-157</v>
      </c>
      <c r="M4405" s="94">
        <v>0</v>
      </c>
    </row>
    <row r="4406" spans="3:13" x14ac:dyDescent="0.3">
      <c r="C4406" t="s">
        <v>71</v>
      </c>
      <c r="D4406" t="s">
        <v>67</v>
      </c>
      <c r="E4406" t="s">
        <v>63</v>
      </c>
      <c r="F4406" t="s">
        <v>25</v>
      </c>
      <c r="G4406" s="4">
        <v>-4</v>
      </c>
      <c r="H4406" s="4" t="s">
        <v>64</v>
      </c>
      <c r="I4406" s="4" t="s">
        <v>69</v>
      </c>
      <c r="J4406" s="4" t="s">
        <v>66</v>
      </c>
      <c r="K4406" s="4">
        <v>0</v>
      </c>
      <c r="L4406" s="94">
        <v>-200392</v>
      </c>
      <c r="M4406" s="94">
        <v>0</v>
      </c>
    </row>
    <row r="4407" spans="3:13" x14ac:dyDescent="0.3">
      <c r="C4407" t="s">
        <v>70</v>
      </c>
      <c r="D4407" t="s">
        <v>62</v>
      </c>
      <c r="E4407" t="s">
        <v>68</v>
      </c>
      <c r="F4407" t="s">
        <v>24</v>
      </c>
      <c r="G4407" s="4">
        <v>34</v>
      </c>
      <c r="I4407" s="4" t="s">
        <v>65</v>
      </c>
      <c r="J4407" s="4" t="s">
        <v>66</v>
      </c>
      <c r="K4407" s="4">
        <v>1</v>
      </c>
      <c r="L4407" s="94">
        <v>1140066</v>
      </c>
      <c r="M4407" s="94">
        <v>38762244</v>
      </c>
    </row>
    <row r="4408" spans="3:13" x14ac:dyDescent="0.3">
      <c r="C4408" t="s">
        <v>61</v>
      </c>
      <c r="D4408" t="s">
        <v>67</v>
      </c>
      <c r="E4408" t="s">
        <v>63</v>
      </c>
      <c r="F4408" t="s">
        <v>25</v>
      </c>
      <c r="G4408" s="4">
        <v>12</v>
      </c>
      <c r="H4408" s="4" t="s">
        <v>79</v>
      </c>
      <c r="I4408" s="4" t="s">
        <v>69</v>
      </c>
      <c r="J4408" s="4" t="s">
        <v>66</v>
      </c>
      <c r="K4408" s="4">
        <v>0</v>
      </c>
      <c r="L4408" s="94">
        <v>-32984</v>
      </c>
      <c r="M4408" s="94">
        <v>0</v>
      </c>
    </row>
    <row r="4409" spans="3:13" x14ac:dyDescent="0.3">
      <c r="C4409" t="s">
        <v>70</v>
      </c>
      <c r="D4409" t="s">
        <v>67</v>
      </c>
      <c r="E4409" t="s">
        <v>63</v>
      </c>
      <c r="F4409" t="s">
        <v>72</v>
      </c>
      <c r="G4409" s="4">
        <v>-4</v>
      </c>
      <c r="H4409" s="4" t="s">
        <v>14</v>
      </c>
      <c r="I4409" s="4" t="s">
        <v>69</v>
      </c>
      <c r="J4409" s="4" t="s">
        <v>73</v>
      </c>
      <c r="K4409" s="4">
        <v>1</v>
      </c>
      <c r="L4409" s="94">
        <v>-720</v>
      </c>
      <c r="M4409" s="94">
        <v>0</v>
      </c>
    </row>
    <row r="4410" spans="3:13" x14ac:dyDescent="0.3">
      <c r="C4410" t="s">
        <v>61</v>
      </c>
      <c r="D4410" t="s">
        <v>84</v>
      </c>
      <c r="E4410" t="s">
        <v>68</v>
      </c>
      <c r="F4410" t="s">
        <v>25</v>
      </c>
      <c r="G4410" s="4">
        <v>14</v>
      </c>
      <c r="H4410" s="4" t="s">
        <v>76</v>
      </c>
      <c r="I4410" s="4" t="s">
        <v>69</v>
      </c>
      <c r="J4410" s="4" t="s">
        <v>66</v>
      </c>
      <c r="K4410" s="4">
        <v>0</v>
      </c>
      <c r="L4410" s="94">
        <v>17206384</v>
      </c>
      <c r="M4410" s="94">
        <v>240889376</v>
      </c>
    </row>
    <row r="4411" spans="3:13" x14ac:dyDescent="0.3">
      <c r="C4411" t="s">
        <v>70</v>
      </c>
      <c r="D4411" t="s">
        <v>67</v>
      </c>
      <c r="E4411" t="s">
        <v>68</v>
      </c>
      <c r="F4411" t="s">
        <v>26</v>
      </c>
      <c r="G4411" s="4">
        <v>4</v>
      </c>
      <c r="H4411" s="4" t="s">
        <v>17</v>
      </c>
      <c r="I4411" s="4" t="s">
        <v>69</v>
      </c>
      <c r="J4411" s="4" t="s">
        <v>73</v>
      </c>
      <c r="K4411" s="4">
        <v>1</v>
      </c>
      <c r="L4411" s="94">
        <v>129491</v>
      </c>
      <c r="M4411" s="94">
        <v>517964</v>
      </c>
    </row>
    <row r="4412" spans="3:13" x14ac:dyDescent="0.3">
      <c r="C4412" t="s">
        <v>61</v>
      </c>
      <c r="D4412" t="s">
        <v>67</v>
      </c>
      <c r="E4412" t="s">
        <v>63</v>
      </c>
      <c r="F4412" t="s">
        <v>26</v>
      </c>
      <c r="G4412" s="4">
        <v>4</v>
      </c>
      <c r="H4412" s="4" t="s">
        <v>16</v>
      </c>
      <c r="I4412" s="4" t="s">
        <v>69</v>
      </c>
      <c r="J4412" s="4" t="s">
        <v>66</v>
      </c>
      <c r="K4412" s="4">
        <v>0</v>
      </c>
      <c r="L4412" s="94">
        <v>-2375</v>
      </c>
      <c r="M4412" s="94">
        <v>0</v>
      </c>
    </row>
    <row r="4413" spans="3:13" x14ac:dyDescent="0.3">
      <c r="C4413" t="s">
        <v>71</v>
      </c>
      <c r="D4413" t="s">
        <v>67</v>
      </c>
      <c r="E4413" t="s">
        <v>68</v>
      </c>
      <c r="F4413" t="s">
        <v>25</v>
      </c>
      <c r="G4413" s="4">
        <v>1</v>
      </c>
      <c r="H4413" s="4" t="s">
        <v>17</v>
      </c>
      <c r="I4413" s="4" t="s">
        <v>69</v>
      </c>
      <c r="J4413" s="4" t="s">
        <v>66</v>
      </c>
      <c r="K4413" s="4">
        <v>0</v>
      </c>
      <c r="L4413" s="94">
        <v>72088</v>
      </c>
      <c r="M4413" s="94">
        <v>72088</v>
      </c>
    </row>
    <row r="4414" spans="3:13" x14ac:dyDescent="0.3">
      <c r="C4414" t="s">
        <v>71</v>
      </c>
      <c r="D4414" t="s">
        <v>62</v>
      </c>
      <c r="E4414" t="s">
        <v>63</v>
      </c>
      <c r="F4414" t="s">
        <v>25</v>
      </c>
      <c r="G4414" s="4">
        <v>14</v>
      </c>
      <c r="I4414" s="4" t="s">
        <v>69</v>
      </c>
      <c r="J4414" s="4" t="s">
        <v>66</v>
      </c>
      <c r="K4414" s="4">
        <v>0</v>
      </c>
      <c r="L4414" s="94">
        <v>-100637</v>
      </c>
      <c r="M4414" s="94">
        <v>0</v>
      </c>
    </row>
    <row r="4415" spans="3:13" x14ac:dyDescent="0.3">
      <c r="C4415" t="s">
        <v>71</v>
      </c>
      <c r="D4415" t="s">
        <v>67</v>
      </c>
      <c r="E4415" t="s">
        <v>63</v>
      </c>
      <c r="F4415" t="s">
        <v>72</v>
      </c>
      <c r="G4415" s="4">
        <v>1</v>
      </c>
      <c r="H4415" s="4" t="s">
        <v>12</v>
      </c>
      <c r="I4415" s="4" t="s">
        <v>69</v>
      </c>
      <c r="J4415" s="4" t="s">
        <v>73</v>
      </c>
      <c r="K4415" s="4">
        <v>1</v>
      </c>
      <c r="L4415" s="94">
        <v>-22755</v>
      </c>
      <c r="M4415" s="94">
        <v>0</v>
      </c>
    </row>
    <row r="4416" spans="3:13" x14ac:dyDescent="0.3">
      <c r="C4416" t="s">
        <v>71</v>
      </c>
      <c r="D4416" t="s">
        <v>62</v>
      </c>
      <c r="E4416" t="s">
        <v>68</v>
      </c>
      <c r="F4416" t="s">
        <v>24</v>
      </c>
      <c r="G4416" s="4">
        <v>8</v>
      </c>
      <c r="I4416" s="4" t="s">
        <v>69</v>
      </c>
      <c r="J4416" s="4" t="s">
        <v>66</v>
      </c>
      <c r="K4416" s="4">
        <v>0</v>
      </c>
      <c r="L4416" s="94">
        <v>2495570</v>
      </c>
      <c r="M4416" s="94">
        <v>19964560</v>
      </c>
    </row>
    <row r="4417" spans="3:13" x14ac:dyDescent="0.3">
      <c r="C4417" t="s">
        <v>61</v>
      </c>
      <c r="D4417" t="s">
        <v>67</v>
      </c>
      <c r="E4417" t="s">
        <v>68</v>
      </c>
      <c r="F4417" t="s">
        <v>25</v>
      </c>
      <c r="G4417" s="4">
        <v>13</v>
      </c>
      <c r="H4417" s="4" t="s">
        <v>64</v>
      </c>
      <c r="I4417" s="4" t="s">
        <v>69</v>
      </c>
      <c r="J4417" s="4" t="s">
        <v>66</v>
      </c>
      <c r="K4417" s="4">
        <v>0</v>
      </c>
      <c r="L4417" s="94">
        <v>1707418</v>
      </c>
      <c r="M4417" s="94">
        <v>22196434</v>
      </c>
    </row>
    <row r="4418" spans="3:13" x14ac:dyDescent="0.3">
      <c r="C4418" t="s">
        <v>61</v>
      </c>
      <c r="D4418" t="s">
        <v>67</v>
      </c>
      <c r="E4418" t="s">
        <v>63</v>
      </c>
      <c r="F4418" t="s">
        <v>72</v>
      </c>
      <c r="G4418" s="4">
        <v>0</v>
      </c>
      <c r="H4418" s="4" t="s">
        <v>18</v>
      </c>
      <c r="I4418" s="4" t="s">
        <v>69</v>
      </c>
      <c r="J4418" s="4" t="s">
        <v>73</v>
      </c>
      <c r="K4418" s="4">
        <v>1</v>
      </c>
      <c r="L4418" s="94">
        <v>-1421</v>
      </c>
      <c r="M4418" s="94">
        <v>0</v>
      </c>
    </row>
    <row r="4419" spans="3:13" x14ac:dyDescent="0.3">
      <c r="C4419" t="s">
        <v>61</v>
      </c>
      <c r="D4419" t="s">
        <v>67</v>
      </c>
      <c r="E4419" t="s">
        <v>63</v>
      </c>
      <c r="F4419" t="s">
        <v>72</v>
      </c>
      <c r="G4419" s="4">
        <v>1</v>
      </c>
      <c r="H4419" s="4" t="s">
        <v>12</v>
      </c>
      <c r="I4419" s="4" t="s">
        <v>69</v>
      </c>
      <c r="J4419" s="4" t="s">
        <v>66</v>
      </c>
      <c r="K4419" s="4">
        <v>0</v>
      </c>
      <c r="L4419" s="94">
        <v>-775</v>
      </c>
      <c r="M4419" s="94">
        <v>0</v>
      </c>
    </row>
    <row r="4420" spans="3:13" x14ac:dyDescent="0.3">
      <c r="C4420" t="s">
        <v>61</v>
      </c>
      <c r="D4420" t="s">
        <v>67</v>
      </c>
      <c r="E4420" t="s">
        <v>63</v>
      </c>
      <c r="F4420" t="s">
        <v>72</v>
      </c>
      <c r="G4420" s="4">
        <v>7</v>
      </c>
      <c r="H4420" s="4" t="s">
        <v>14</v>
      </c>
      <c r="I4420" s="4" t="s">
        <v>69</v>
      </c>
      <c r="J4420" s="4" t="s">
        <v>73</v>
      </c>
      <c r="K4420" s="4">
        <v>1</v>
      </c>
      <c r="L4420" s="94">
        <v>-831</v>
      </c>
      <c r="M4420" s="94">
        <v>0</v>
      </c>
    </row>
    <row r="4421" spans="3:13" x14ac:dyDescent="0.3">
      <c r="C4421" t="s">
        <v>71</v>
      </c>
      <c r="D4421" t="s">
        <v>67</v>
      </c>
      <c r="E4421" t="s">
        <v>68</v>
      </c>
      <c r="F4421" t="s">
        <v>72</v>
      </c>
      <c r="G4421" s="4">
        <v>-4</v>
      </c>
      <c r="H4421" s="4" t="s">
        <v>12</v>
      </c>
      <c r="I4421" s="4" t="s">
        <v>69</v>
      </c>
      <c r="J4421" s="4" t="s">
        <v>66</v>
      </c>
      <c r="K4421" s="4">
        <v>0</v>
      </c>
      <c r="L4421" s="94">
        <v>6374</v>
      </c>
      <c r="M4421" s="94">
        <v>0</v>
      </c>
    </row>
    <row r="4422" spans="3:13" x14ac:dyDescent="0.3">
      <c r="C4422" t="s">
        <v>61</v>
      </c>
      <c r="D4422" t="s">
        <v>62</v>
      </c>
      <c r="E4422" t="s">
        <v>68</v>
      </c>
      <c r="F4422" t="s">
        <v>24</v>
      </c>
      <c r="G4422" s="4">
        <v>31</v>
      </c>
      <c r="I4422" s="4" t="s">
        <v>69</v>
      </c>
      <c r="J4422" s="4" t="s">
        <v>66</v>
      </c>
      <c r="K4422" s="4">
        <v>0</v>
      </c>
      <c r="L4422" s="94">
        <v>702920397</v>
      </c>
      <c r="M4422" s="94">
        <v>21790532307</v>
      </c>
    </row>
    <row r="4423" spans="3:13" x14ac:dyDescent="0.3">
      <c r="C4423" t="s">
        <v>70</v>
      </c>
      <c r="D4423" t="s">
        <v>62</v>
      </c>
      <c r="E4423" t="s">
        <v>63</v>
      </c>
      <c r="F4423" t="s">
        <v>24</v>
      </c>
      <c r="G4423" s="4">
        <v>6</v>
      </c>
      <c r="I4423" s="4" t="s">
        <v>69</v>
      </c>
      <c r="J4423" s="4" t="s">
        <v>66</v>
      </c>
      <c r="K4423" s="4">
        <v>1</v>
      </c>
      <c r="L4423" s="94">
        <v>-7930</v>
      </c>
      <c r="M4423" s="94">
        <v>0</v>
      </c>
    </row>
    <row r="4424" spans="3:13" x14ac:dyDescent="0.3">
      <c r="C4424" t="s">
        <v>61</v>
      </c>
      <c r="D4424" t="s">
        <v>67</v>
      </c>
      <c r="E4424" t="s">
        <v>68</v>
      </c>
      <c r="F4424" t="s">
        <v>72</v>
      </c>
      <c r="G4424" s="4">
        <v>-4</v>
      </c>
      <c r="H4424" s="4" t="s">
        <v>17</v>
      </c>
      <c r="I4424" s="4" t="s">
        <v>65</v>
      </c>
      <c r="J4424" s="4" t="s">
        <v>73</v>
      </c>
      <c r="K4424" s="4">
        <v>1</v>
      </c>
      <c r="L4424" s="94">
        <v>48</v>
      </c>
      <c r="M4424" s="94">
        <v>0</v>
      </c>
    </row>
    <row r="4425" spans="3:13" x14ac:dyDescent="0.3">
      <c r="C4425" t="s">
        <v>70</v>
      </c>
      <c r="D4425" t="s">
        <v>67</v>
      </c>
      <c r="E4425" t="s">
        <v>68</v>
      </c>
      <c r="F4425" t="s">
        <v>25</v>
      </c>
      <c r="G4425" s="4">
        <v>14</v>
      </c>
      <c r="H4425" s="4" t="s">
        <v>80</v>
      </c>
      <c r="I4425" s="4" t="s">
        <v>69</v>
      </c>
      <c r="J4425" s="4" t="s">
        <v>66</v>
      </c>
      <c r="K4425" s="4">
        <v>0</v>
      </c>
      <c r="L4425" s="94">
        <v>86680</v>
      </c>
      <c r="M4425" s="94">
        <v>1213520</v>
      </c>
    </row>
    <row r="4426" spans="3:13" x14ac:dyDescent="0.3">
      <c r="C4426" t="s">
        <v>61</v>
      </c>
      <c r="D4426" t="s">
        <v>62</v>
      </c>
      <c r="E4426" t="s">
        <v>63</v>
      </c>
      <c r="F4426" t="s">
        <v>24</v>
      </c>
      <c r="G4426" s="4">
        <v>4</v>
      </c>
      <c r="I4426" s="4" t="s">
        <v>69</v>
      </c>
      <c r="J4426" s="4" t="s">
        <v>66</v>
      </c>
      <c r="K4426" s="4">
        <v>1</v>
      </c>
      <c r="L4426" s="94">
        <v>-558</v>
      </c>
      <c r="M4426" s="94">
        <v>0</v>
      </c>
    </row>
    <row r="4427" spans="3:13" x14ac:dyDescent="0.3">
      <c r="C4427" t="s">
        <v>61</v>
      </c>
      <c r="D4427" t="s">
        <v>67</v>
      </c>
      <c r="E4427" t="s">
        <v>68</v>
      </c>
      <c r="F4427" t="s">
        <v>25</v>
      </c>
      <c r="G4427" s="4">
        <v>0</v>
      </c>
      <c r="H4427" s="4" t="s">
        <v>18</v>
      </c>
      <c r="I4427" s="4" t="s">
        <v>69</v>
      </c>
      <c r="J4427" s="4" t="s">
        <v>66</v>
      </c>
      <c r="K4427" s="4">
        <v>1</v>
      </c>
      <c r="L4427" s="94">
        <v>19147</v>
      </c>
      <c r="M4427" s="94">
        <v>0</v>
      </c>
    </row>
    <row r="4428" spans="3:13" x14ac:dyDescent="0.3">
      <c r="C4428" t="s">
        <v>70</v>
      </c>
      <c r="D4428" t="s">
        <v>67</v>
      </c>
      <c r="E4428" t="s">
        <v>68</v>
      </c>
      <c r="F4428" t="s">
        <v>25</v>
      </c>
      <c r="G4428" s="4">
        <v>0</v>
      </c>
      <c r="H4428" s="4" t="s">
        <v>14</v>
      </c>
      <c r="I4428" s="4" t="s">
        <v>69</v>
      </c>
      <c r="J4428" s="4" t="s">
        <v>66</v>
      </c>
      <c r="K4428" s="4">
        <v>0</v>
      </c>
      <c r="L4428" s="94">
        <v>404386</v>
      </c>
      <c r="M4428" s="94">
        <v>0</v>
      </c>
    </row>
    <row r="4429" spans="3:13" x14ac:dyDescent="0.3">
      <c r="C4429" t="s">
        <v>71</v>
      </c>
      <c r="D4429" t="s">
        <v>67</v>
      </c>
      <c r="E4429" t="s">
        <v>63</v>
      </c>
      <c r="F4429" t="s">
        <v>72</v>
      </c>
      <c r="G4429" s="4">
        <v>-4</v>
      </c>
      <c r="H4429" s="4" t="s">
        <v>74</v>
      </c>
      <c r="I4429" s="4" t="s">
        <v>69</v>
      </c>
      <c r="J4429" s="4" t="s">
        <v>66</v>
      </c>
      <c r="K4429" s="4">
        <v>0</v>
      </c>
      <c r="L4429" s="94">
        <v>-32465</v>
      </c>
      <c r="M4429" s="94">
        <v>0</v>
      </c>
    </row>
    <row r="4430" spans="3:13" x14ac:dyDescent="0.3">
      <c r="C4430" t="s">
        <v>61</v>
      </c>
      <c r="D4430" t="s">
        <v>84</v>
      </c>
      <c r="E4430" t="s">
        <v>63</v>
      </c>
      <c r="F4430" t="s">
        <v>25</v>
      </c>
      <c r="G4430" s="4">
        <v>13</v>
      </c>
      <c r="H4430" s="4" t="s">
        <v>81</v>
      </c>
      <c r="I4430" s="4" t="s">
        <v>69</v>
      </c>
      <c r="J4430" s="4" t="s">
        <v>66</v>
      </c>
      <c r="K4430" s="4">
        <v>0</v>
      </c>
      <c r="L4430" s="94">
        <v>-411</v>
      </c>
      <c r="M4430" s="94">
        <v>0</v>
      </c>
    </row>
    <row r="4431" spans="3:13" x14ac:dyDescent="0.3">
      <c r="C4431" t="s">
        <v>61</v>
      </c>
      <c r="D4431" t="s">
        <v>67</v>
      </c>
      <c r="E4431" t="s">
        <v>68</v>
      </c>
      <c r="F4431" t="s">
        <v>72</v>
      </c>
      <c r="G4431" s="4">
        <v>3</v>
      </c>
      <c r="H4431" s="4" t="s">
        <v>83</v>
      </c>
      <c r="I4431" s="4" t="s">
        <v>69</v>
      </c>
      <c r="J4431" s="4" t="s">
        <v>66</v>
      </c>
      <c r="K4431" s="4">
        <v>0</v>
      </c>
      <c r="L4431" s="94">
        <v>576450</v>
      </c>
      <c r="M4431" s="94">
        <v>1729350</v>
      </c>
    </row>
    <row r="4432" spans="3:13" x14ac:dyDescent="0.3">
      <c r="C4432" t="s">
        <v>61</v>
      </c>
      <c r="D4432" t="s">
        <v>67</v>
      </c>
      <c r="E4432" t="s">
        <v>63</v>
      </c>
      <c r="F4432" t="s">
        <v>72</v>
      </c>
      <c r="G4432" s="4">
        <v>2</v>
      </c>
      <c r="H4432" s="4" t="s">
        <v>14</v>
      </c>
      <c r="I4432" s="4" t="s">
        <v>69</v>
      </c>
      <c r="J4432" s="4" t="s">
        <v>73</v>
      </c>
      <c r="K4432" s="4">
        <v>1</v>
      </c>
      <c r="L4432" s="94">
        <v>-12161</v>
      </c>
      <c r="M4432" s="94">
        <v>0</v>
      </c>
    </row>
    <row r="4433" spans="3:13" x14ac:dyDescent="0.3">
      <c r="C4433" t="s">
        <v>61</v>
      </c>
      <c r="D4433" t="s">
        <v>67</v>
      </c>
      <c r="E4433" t="s">
        <v>68</v>
      </c>
      <c r="F4433" t="s">
        <v>72</v>
      </c>
      <c r="G4433" s="4">
        <v>0</v>
      </c>
      <c r="H4433" s="4" t="s">
        <v>80</v>
      </c>
      <c r="I4433" s="4" t="s">
        <v>69</v>
      </c>
      <c r="J4433" s="4" t="s">
        <v>66</v>
      </c>
      <c r="K4433" s="4">
        <v>0</v>
      </c>
      <c r="L4433" s="94">
        <v>5246</v>
      </c>
      <c r="M4433" s="94">
        <v>0</v>
      </c>
    </row>
    <row r="4434" spans="3:13" x14ac:dyDescent="0.3">
      <c r="C4434" t="s">
        <v>61</v>
      </c>
      <c r="D4434" t="s">
        <v>67</v>
      </c>
      <c r="E4434" t="s">
        <v>63</v>
      </c>
      <c r="F4434" t="s">
        <v>25</v>
      </c>
      <c r="G4434" s="4">
        <v>2</v>
      </c>
      <c r="H4434" s="4" t="s">
        <v>18</v>
      </c>
      <c r="I4434" s="4" t="s">
        <v>69</v>
      </c>
      <c r="J4434" s="4" t="s">
        <v>66</v>
      </c>
      <c r="K4434" s="4">
        <v>1</v>
      </c>
      <c r="L4434" s="94">
        <v>-1167</v>
      </c>
      <c r="M4434" s="94">
        <v>0</v>
      </c>
    </row>
    <row r="4435" spans="3:13" x14ac:dyDescent="0.3">
      <c r="C4435" t="s">
        <v>61</v>
      </c>
      <c r="D4435" t="s">
        <v>67</v>
      </c>
      <c r="E4435" t="s">
        <v>68</v>
      </c>
      <c r="F4435" t="s">
        <v>26</v>
      </c>
      <c r="G4435" s="4">
        <v>-1</v>
      </c>
      <c r="H4435" s="4" t="s">
        <v>77</v>
      </c>
      <c r="I4435" s="4" t="s">
        <v>69</v>
      </c>
      <c r="J4435" s="4" t="s">
        <v>66</v>
      </c>
      <c r="K4435" s="4">
        <v>0</v>
      </c>
      <c r="L4435" s="94">
        <v>8304026</v>
      </c>
      <c r="M4435" s="94">
        <v>0</v>
      </c>
    </row>
    <row r="4436" spans="3:13" x14ac:dyDescent="0.3">
      <c r="C4436" t="s">
        <v>70</v>
      </c>
      <c r="D4436" t="s">
        <v>62</v>
      </c>
      <c r="E4436" t="s">
        <v>68</v>
      </c>
      <c r="F4436" t="s">
        <v>25</v>
      </c>
      <c r="G4436" s="4">
        <v>35</v>
      </c>
      <c r="I4436" s="4" t="s">
        <v>69</v>
      </c>
      <c r="J4436" s="4" t="s">
        <v>66</v>
      </c>
      <c r="K4436" s="4">
        <v>0</v>
      </c>
      <c r="L4436" s="94">
        <v>103325</v>
      </c>
      <c r="M4436" s="94">
        <v>3616375</v>
      </c>
    </row>
    <row r="4437" spans="3:13" x14ac:dyDescent="0.3">
      <c r="C4437" t="s">
        <v>70</v>
      </c>
      <c r="D4437" t="s">
        <v>67</v>
      </c>
      <c r="E4437" t="s">
        <v>63</v>
      </c>
      <c r="F4437" t="s">
        <v>25</v>
      </c>
      <c r="G4437" s="4">
        <v>2</v>
      </c>
      <c r="H4437" s="4" t="s">
        <v>17</v>
      </c>
      <c r="I4437" s="4" t="s">
        <v>69</v>
      </c>
      <c r="J4437" s="4" t="s">
        <v>66</v>
      </c>
      <c r="K4437" s="4">
        <v>1</v>
      </c>
      <c r="L4437" s="94">
        <v>-8362</v>
      </c>
      <c r="M4437" s="94">
        <v>0</v>
      </c>
    </row>
    <row r="4438" spans="3:13" x14ac:dyDescent="0.3">
      <c r="C4438" t="s">
        <v>71</v>
      </c>
      <c r="D4438" t="s">
        <v>67</v>
      </c>
      <c r="E4438" t="s">
        <v>63</v>
      </c>
      <c r="F4438" t="s">
        <v>26</v>
      </c>
      <c r="G4438" s="4">
        <v>4</v>
      </c>
      <c r="H4438" s="4" t="s">
        <v>76</v>
      </c>
      <c r="I4438" s="4" t="s">
        <v>69</v>
      </c>
      <c r="J4438" s="4" t="s">
        <v>66</v>
      </c>
      <c r="K4438" s="4">
        <v>0</v>
      </c>
      <c r="L4438" s="94">
        <v>-243137</v>
      </c>
      <c r="M4438" s="94">
        <v>0</v>
      </c>
    </row>
    <row r="4439" spans="3:13" x14ac:dyDescent="0.3">
      <c r="C4439" t="s">
        <v>71</v>
      </c>
      <c r="D4439" t="s">
        <v>67</v>
      </c>
      <c r="E4439" t="s">
        <v>68</v>
      </c>
      <c r="F4439" t="s">
        <v>72</v>
      </c>
      <c r="G4439" s="4">
        <v>0</v>
      </c>
      <c r="H4439" s="4" t="s">
        <v>17</v>
      </c>
      <c r="I4439" s="4" t="s">
        <v>69</v>
      </c>
      <c r="J4439" s="4" t="s">
        <v>66</v>
      </c>
      <c r="K4439" s="4">
        <v>0</v>
      </c>
      <c r="L4439" s="94">
        <v>119595</v>
      </c>
      <c r="M4439" s="94">
        <v>0</v>
      </c>
    </row>
    <row r="4440" spans="3:13" x14ac:dyDescent="0.3">
      <c r="C4440" t="s">
        <v>61</v>
      </c>
      <c r="D4440" t="s">
        <v>67</v>
      </c>
      <c r="E4440" t="s">
        <v>68</v>
      </c>
      <c r="F4440" t="s">
        <v>25</v>
      </c>
      <c r="G4440" s="4">
        <v>1</v>
      </c>
      <c r="H4440" s="4" t="s">
        <v>78</v>
      </c>
      <c r="I4440" s="4" t="s">
        <v>69</v>
      </c>
      <c r="J4440" s="4" t="s">
        <v>66</v>
      </c>
      <c r="K4440" s="4">
        <v>0</v>
      </c>
      <c r="L4440" s="94">
        <v>835839</v>
      </c>
      <c r="M4440" s="94">
        <v>835839</v>
      </c>
    </row>
    <row r="4441" spans="3:13" x14ac:dyDescent="0.3">
      <c r="C4441" t="s">
        <v>70</v>
      </c>
      <c r="D4441" t="s">
        <v>67</v>
      </c>
      <c r="E4441" t="s">
        <v>68</v>
      </c>
      <c r="F4441" t="s">
        <v>25</v>
      </c>
      <c r="G4441" s="4">
        <v>4</v>
      </c>
      <c r="H4441" s="4" t="s">
        <v>64</v>
      </c>
      <c r="I4441" s="4" t="s">
        <v>69</v>
      </c>
      <c r="J4441" s="4" t="s">
        <v>66</v>
      </c>
      <c r="K4441" s="4">
        <v>0</v>
      </c>
      <c r="L4441" s="94">
        <v>41439</v>
      </c>
      <c r="M4441" s="94">
        <v>165756</v>
      </c>
    </row>
    <row r="4442" spans="3:13" x14ac:dyDescent="0.3">
      <c r="C4442" t="s">
        <v>70</v>
      </c>
      <c r="D4442" t="s">
        <v>62</v>
      </c>
      <c r="E4442" t="s">
        <v>63</v>
      </c>
      <c r="F4442" t="s">
        <v>24</v>
      </c>
      <c r="G4442" s="4">
        <v>17</v>
      </c>
      <c r="I4442" s="4" t="s">
        <v>65</v>
      </c>
      <c r="J4442" s="4" t="s">
        <v>66</v>
      </c>
      <c r="K4442" s="4">
        <v>1</v>
      </c>
      <c r="L4442" s="94">
        <v>-5172</v>
      </c>
      <c r="M4442" s="94">
        <v>0</v>
      </c>
    </row>
    <row r="4443" spans="3:13" x14ac:dyDescent="0.3">
      <c r="C4443" t="s">
        <v>61</v>
      </c>
      <c r="D4443" t="s">
        <v>67</v>
      </c>
      <c r="E4443" t="s">
        <v>63</v>
      </c>
      <c r="F4443" t="s">
        <v>25</v>
      </c>
      <c r="G4443" s="4">
        <v>18</v>
      </c>
      <c r="H4443" s="4" t="s">
        <v>82</v>
      </c>
      <c r="I4443" s="4" t="s">
        <v>69</v>
      </c>
      <c r="J4443" s="4" t="s">
        <v>66</v>
      </c>
      <c r="K4443" s="4">
        <v>0</v>
      </c>
      <c r="L4443" s="94">
        <v>-199</v>
      </c>
      <c r="M4443" s="94">
        <v>0</v>
      </c>
    </row>
    <row r="4444" spans="3:13" x14ac:dyDescent="0.3">
      <c r="C4444" t="s">
        <v>70</v>
      </c>
      <c r="D4444" t="s">
        <v>67</v>
      </c>
      <c r="E4444" t="s">
        <v>63</v>
      </c>
      <c r="F4444" t="s">
        <v>25</v>
      </c>
      <c r="G4444" s="4">
        <v>8</v>
      </c>
      <c r="H4444" s="4" t="s">
        <v>74</v>
      </c>
      <c r="I4444" s="4" t="s">
        <v>69</v>
      </c>
      <c r="J4444" s="4" t="s">
        <v>66</v>
      </c>
      <c r="K4444" s="4">
        <v>0</v>
      </c>
      <c r="L4444" s="94">
        <v>-44666</v>
      </c>
      <c r="M4444" s="94">
        <v>0</v>
      </c>
    </row>
    <row r="4445" spans="3:13" x14ac:dyDescent="0.3">
      <c r="C4445" t="s">
        <v>71</v>
      </c>
      <c r="D4445" t="s">
        <v>67</v>
      </c>
      <c r="E4445" t="s">
        <v>63</v>
      </c>
      <c r="F4445" t="s">
        <v>25</v>
      </c>
      <c r="G4445" s="4">
        <v>6</v>
      </c>
      <c r="H4445" s="4" t="s">
        <v>12</v>
      </c>
      <c r="I4445" s="4" t="s">
        <v>69</v>
      </c>
      <c r="J4445" s="4" t="s">
        <v>66</v>
      </c>
      <c r="K4445" s="4">
        <v>0</v>
      </c>
      <c r="L4445" s="94">
        <v>-17102</v>
      </c>
      <c r="M4445" s="94">
        <v>0</v>
      </c>
    </row>
    <row r="4446" spans="3:13" x14ac:dyDescent="0.3">
      <c r="C4446" t="s">
        <v>61</v>
      </c>
      <c r="D4446" t="s">
        <v>67</v>
      </c>
      <c r="E4446" t="s">
        <v>63</v>
      </c>
      <c r="F4446" t="s">
        <v>72</v>
      </c>
      <c r="G4446" s="4">
        <v>-1</v>
      </c>
      <c r="H4446" s="4" t="s">
        <v>18</v>
      </c>
      <c r="I4446" s="4" t="s">
        <v>69</v>
      </c>
      <c r="J4446" s="4" t="s">
        <v>66</v>
      </c>
      <c r="K4446" s="4">
        <v>0</v>
      </c>
      <c r="L4446" s="94">
        <v>-13832</v>
      </c>
      <c r="M4446" s="94">
        <v>0</v>
      </c>
    </row>
    <row r="4447" spans="3:13" x14ac:dyDescent="0.3">
      <c r="C4447" t="s">
        <v>61</v>
      </c>
      <c r="D4447" t="s">
        <v>62</v>
      </c>
      <c r="E4447" t="s">
        <v>63</v>
      </c>
      <c r="F4447" t="s">
        <v>24</v>
      </c>
      <c r="G4447" s="4">
        <v>32</v>
      </c>
      <c r="I4447" s="4" t="s">
        <v>69</v>
      </c>
      <c r="J4447" s="4" t="s">
        <v>66</v>
      </c>
      <c r="K4447" s="4">
        <v>0</v>
      </c>
      <c r="L4447" s="94">
        <v>-367549</v>
      </c>
      <c r="M4447" s="94">
        <v>0</v>
      </c>
    </row>
    <row r="4448" spans="3:13" x14ac:dyDescent="0.3">
      <c r="C4448" t="s">
        <v>70</v>
      </c>
      <c r="D4448" t="s">
        <v>62</v>
      </c>
      <c r="E4448" t="s">
        <v>68</v>
      </c>
      <c r="F4448" t="s">
        <v>24</v>
      </c>
      <c r="G4448" s="4">
        <v>31</v>
      </c>
      <c r="I4448" s="4" t="s">
        <v>65</v>
      </c>
      <c r="J4448" s="4" t="s">
        <v>66</v>
      </c>
      <c r="K4448" s="4">
        <v>1</v>
      </c>
      <c r="L4448" s="94">
        <v>938518</v>
      </c>
      <c r="M4448" s="94">
        <v>29094058</v>
      </c>
    </row>
    <row r="4449" spans="3:13" x14ac:dyDescent="0.3">
      <c r="C4449" t="s">
        <v>71</v>
      </c>
      <c r="D4449" t="s">
        <v>67</v>
      </c>
      <c r="E4449" t="s">
        <v>63</v>
      </c>
      <c r="F4449" t="s">
        <v>72</v>
      </c>
      <c r="G4449" s="4">
        <v>-4</v>
      </c>
      <c r="H4449" s="4" t="s">
        <v>17</v>
      </c>
      <c r="I4449" s="4" t="s">
        <v>65</v>
      </c>
      <c r="J4449" s="4" t="s">
        <v>73</v>
      </c>
      <c r="K4449" s="4">
        <v>1</v>
      </c>
      <c r="L4449" s="94">
        <v>-1960</v>
      </c>
      <c r="M4449" s="94">
        <v>0</v>
      </c>
    </row>
    <row r="4450" spans="3:13" x14ac:dyDescent="0.3">
      <c r="C4450" t="s">
        <v>61</v>
      </c>
      <c r="D4450" t="s">
        <v>67</v>
      </c>
      <c r="E4450" t="s">
        <v>68</v>
      </c>
      <c r="F4450" t="s">
        <v>26</v>
      </c>
      <c r="G4450" s="4">
        <v>3</v>
      </c>
      <c r="H4450" s="4" t="s">
        <v>82</v>
      </c>
      <c r="I4450" s="4" t="s">
        <v>69</v>
      </c>
      <c r="J4450" s="4" t="s">
        <v>66</v>
      </c>
      <c r="K4450" s="4">
        <v>0</v>
      </c>
      <c r="L4450" s="94">
        <v>16310970</v>
      </c>
      <c r="M4450" s="94">
        <v>48932910</v>
      </c>
    </row>
    <row r="4451" spans="3:13" x14ac:dyDescent="0.3">
      <c r="C4451" t="s">
        <v>61</v>
      </c>
      <c r="D4451" t="s">
        <v>62</v>
      </c>
      <c r="E4451" t="s">
        <v>63</v>
      </c>
      <c r="F4451" t="s">
        <v>24</v>
      </c>
      <c r="G4451" s="4">
        <v>20</v>
      </c>
      <c r="I4451" s="4" t="s">
        <v>69</v>
      </c>
      <c r="J4451" s="4" t="s">
        <v>66</v>
      </c>
      <c r="K4451" s="4">
        <v>1</v>
      </c>
      <c r="L4451" s="94">
        <v>-2126</v>
      </c>
      <c r="M4451" s="94">
        <v>0</v>
      </c>
    </row>
    <row r="4452" spans="3:13" x14ac:dyDescent="0.3">
      <c r="C4452" t="s">
        <v>70</v>
      </c>
      <c r="D4452" t="s">
        <v>67</v>
      </c>
      <c r="E4452" t="s">
        <v>63</v>
      </c>
      <c r="F4452" t="s">
        <v>25</v>
      </c>
      <c r="G4452" s="4">
        <v>-4</v>
      </c>
      <c r="H4452" s="4" t="s">
        <v>16</v>
      </c>
      <c r="I4452" s="4" t="s">
        <v>69</v>
      </c>
      <c r="J4452" s="4" t="s">
        <v>66</v>
      </c>
      <c r="K4452" s="4">
        <v>0</v>
      </c>
      <c r="L4452" s="94">
        <v>-9</v>
      </c>
      <c r="M4452" s="94">
        <v>0</v>
      </c>
    </row>
    <row r="4453" spans="3:13" x14ac:dyDescent="0.3">
      <c r="C4453" t="s">
        <v>71</v>
      </c>
      <c r="D4453" t="s">
        <v>62</v>
      </c>
      <c r="E4453" t="s">
        <v>63</v>
      </c>
      <c r="F4453" t="s">
        <v>24</v>
      </c>
      <c r="G4453" s="4">
        <v>6</v>
      </c>
      <c r="I4453" s="4" t="s">
        <v>69</v>
      </c>
      <c r="J4453" s="4" t="s">
        <v>66</v>
      </c>
      <c r="K4453" s="4">
        <v>1</v>
      </c>
      <c r="L4453" s="94">
        <v>-25170</v>
      </c>
      <c r="M4453" s="94">
        <v>0</v>
      </c>
    </row>
    <row r="4454" spans="3:13" x14ac:dyDescent="0.3">
      <c r="C4454" t="s">
        <v>61</v>
      </c>
      <c r="D4454" t="s">
        <v>67</v>
      </c>
      <c r="E4454" t="s">
        <v>68</v>
      </c>
      <c r="F4454" t="s">
        <v>72</v>
      </c>
      <c r="G4454" s="4">
        <v>-1</v>
      </c>
      <c r="H4454" s="4" t="s">
        <v>14</v>
      </c>
      <c r="I4454" s="4" t="s">
        <v>69</v>
      </c>
      <c r="J4454" s="4" t="s">
        <v>73</v>
      </c>
      <c r="K4454" s="4">
        <v>1</v>
      </c>
      <c r="L4454" s="94">
        <v>2803543</v>
      </c>
      <c r="M4454" s="94">
        <v>0</v>
      </c>
    </row>
    <row r="4455" spans="3:13" x14ac:dyDescent="0.3">
      <c r="C4455" t="s">
        <v>70</v>
      </c>
      <c r="D4455" t="s">
        <v>67</v>
      </c>
      <c r="E4455" t="s">
        <v>68</v>
      </c>
      <c r="F4455" t="s">
        <v>25</v>
      </c>
      <c r="G4455" s="4">
        <v>12</v>
      </c>
      <c r="H4455" s="4" t="s">
        <v>74</v>
      </c>
      <c r="I4455" s="4" t="s">
        <v>69</v>
      </c>
      <c r="J4455" s="4" t="s">
        <v>66</v>
      </c>
      <c r="K4455" s="4">
        <v>0</v>
      </c>
      <c r="L4455" s="94">
        <v>8982709</v>
      </c>
      <c r="M4455" s="94">
        <v>107792508</v>
      </c>
    </row>
    <row r="4456" spans="3:13" x14ac:dyDescent="0.3">
      <c r="C4456" t="s">
        <v>61</v>
      </c>
      <c r="D4456" t="s">
        <v>67</v>
      </c>
      <c r="E4456" t="s">
        <v>68</v>
      </c>
      <c r="F4456" t="s">
        <v>72</v>
      </c>
      <c r="G4456" s="4">
        <v>5</v>
      </c>
      <c r="H4456" s="4" t="s">
        <v>76</v>
      </c>
      <c r="I4456" s="4" t="s">
        <v>69</v>
      </c>
      <c r="J4456" s="4" t="s">
        <v>66</v>
      </c>
      <c r="K4456" s="4">
        <v>0</v>
      </c>
      <c r="L4456" s="94">
        <v>758092</v>
      </c>
      <c r="M4456" s="94">
        <v>3790460</v>
      </c>
    </row>
    <row r="4457" spans="3:13" x14ac:dyDescent="0.3">
      <c r="C4457" t="s">
        <v>70</v>
      </c>
      <c r="D4457" t="s">
        <v>67</v>
      </c>
      <c r="E4457" t="s">
        <v>63</v>
      </c>
      <c r="F4457" t="s">
        <v>26</v>
      </c>
      <c r="G4457" s="4">
        <v>3</v>
      </c>
      <c r="H4457" s="4" t="s">
        <v>12</v>
      </c>
      <c r="I4457" s="4" t="s">
        <v>69</v>
      </c>
      <c r="J4457" s="4" t="s">
        <v>66</v>
      </c>
      <c r="K4457" s="4">
        <v>0</v>
      </c>
      <c r="L4457" s="94">
        <v>-115971</v>
      </c>
      <c r="M4457" s="94">
        <v>0</v>
      </c>
    </row>
    <row r="4458" spans="3:13" x14ac:dyDescent="0.3">
      <c r="C4458" t="s">
        <v>71</v>
      </c>
      <c r="D4458" t="s">
        <v>62</v>
      </c>
      <c r="E4458" t="s">
        <v>63</v>
      </c>
      <c r="F4458" t="s">
        <v>24</v>
      </c>
      <c r="G4458" s="4">
        <v>17</v>
      </c>
      <c r="I4458" s="4" t="s">
        <v>65</v>
      </c>
      <c r="J4458" s="4" t="s">
        <v>66</v>
      </c>
      <c r="K4458" s="4">
        <v>1</v>
      </c>
      <c r="L4458" s="94">
        <v>-10168</v>
      </c>
      <c r="M4458" s="94">
        <v>0</v>
      </c>
    </row>
    <row r="4459" spans="3:13" x14ac:dyDescent="0.3">
      <c r="C4459" t="s">
        <v>71</v>
      </c>
      <c r="D4459" t="s">
        <v>67</v>
      </c>
      <c r="E4459" t="s">
        <v>63</v>
      </c>
      <c r="F4459" t="s">
        <v>72</v>
      </c>
      <c r="G4459" s="4">
        <v>0</v>
      </c>
      <c r="H4459" s="4" t="s">
        <v>76</v>
      </c>
      <c r="I4459" s="4" t="s">
        <v>69</v>
      </c>
      <c r="J4459" s="4" t="s">
        <v>66</v>
      </c>
      <c r="K4459" s="4">
        <v>0</v>
      </c>
      <c r="L4459" s="94">
        <v>-139041</v>
      </c>
      <c r="M4459" s="94">
        <v>0</v>
      </c>
    </row>
    <row r="4460" spans="3:13" x14ac:dyDescent="0.3">
      <c r="C4460" t="s">
        <v>61</v>
      </c>
      <c r="D4460" t="s">
        <v>67</v>
      </c>
      <c r="E4460" t="s">
        <v>68</v>
      </c>
      <c r="F4460" t="s">
        <v>25</v>
      </c>
      <c r="G4460" s="4">
        <v>10</v>
      </c>
      <c r="H4460" s="4" t="s">
        <v>77</v>
      </c>
      <c r="I4460" s="4" t="s">
        <v>69</v>
      </c>
      <c r="J4460" s="4" t="s">
        <v>66</v>
      </c>
      <c r="K4460" s="4">
        <v>0</v>
      </c>
      <c r="L4460" s="94">
        <v>733569</v>
      </c>
      <c r="M4460" s="94">
        <v>7335690</v>
      </c>
    </row>
    <row r="4461" spans="3:13" x14ac:dyDescent="0.3">
      <c r="C4461" t="s">
        <v>71</v>
      </c>
      <c r="D4461" t="s">
        <v>67</v>
      </c>
      <c r="E4461" t="s">
        <v>68</v>
      </c>
      <c r="F4461" t="s">
        <v>25</v>
      </c>
      <c r="G4461" s="4">
        <v>1</v>
      </c>
      <c r="H4461" s="4" t="s">
        <v>82</v>
      </c>
      <c r="I4461" s="4" t="s">
        <v>69</v>
      </c>
      <c r="J4461" s="4" t="s">
        <v>66</v>
      </c>
      <c r="K4461" s="4">
        <v>0</v>
      </c>
      <c r="L4461" s="94">
        <v>25255</v>
      </c>
      <c r="M4461" s="94">
        <v>25255</v>
      </c>
    </row>
    <row r="4462" spans="3:13" x14ac:dyDescent="0.3">
      <c r="C4462" t="s">
        <v>61</v>
      </c>
      <c r="D4462" t="s">
        <v>67</v>
      </c>
      <c r="E4462" t="s">
        <v>68</v>
      </c>
      <c r="F4462" t="s">
        <v>25</v>
      </c>
      <c r="G4462" s="4">
        <v>11</v>
      </c>
      <c r="H4462" s="4" t="s">
        <v>14</v>
      </c>
      <c r="I4462" s="4" t="s">
        <v>69</v>
      </c>
      <c r="J4462" s="4" t="s">
        <v>66</v>
      </c>
      <c r="K4462" s="4">
        <v>1</v>
      </c>
      <c r="L4462" s="94">
        <v>4286958</v>
      </c>
      <c r="M4462" s="94">
        <v>47156538</v>
      </c>
    </row>
    <row r="4463" spans="3:13" x14ac:dyDescent="0.3">
      <c r="C4463" t="s">
        <v>70</v>
      </c>
      <c r="D4463" t="s">
        <v>67</v>
      </c>
      <c r="E4463" t="s">
        <v>68</v>
      </c>
      <c r="F4463" t="s">
        <v>25</v>
      </c>
      <c r="G4463" s="4">
        <v>5</v>
      </c>
      <c r="H4463" s="4" t="s">
        <v>78</v>
      </c>
      <c r="I4463" s="4" t="s">
        <v>69</v>
      </c>
      <c r="J4463" s="4" t="s">
        <v>66</v>
      </c>
      <c r="K4463" s="4">
        <v>0</v>
      </c>
      <c r="L4463" s="94">
        <v>283762</v>
      </c>
      <c r="M4463" s="94">
        <v>1418810</v>
      </c>
    </row>
    <row r="4464" spans="3:13" x14ac:dyDescent="0.3">
      <c r="C4464" t="s">
        <v>61</v>
      </c>
      <c r="D4464" t="s">
        <v>67</v>
      </c>
      <c r="E4464" t="s">
        <v>68</v>
      </c>
      <c r="F4464" t="s">
        <v>25</v>
      </c>
      <c r="G4464" s="4">
        <v>10</v>
      </c>
      <c r="H4464" s="4" t="s">
        <v>74</v>
      </c>
      <c r="I4464" s="4" t="s">
        <v>65</v>
      </c>
      <c r="J4464" s="4" t="s">
        <v>66</v>
      </c>
      <c r="K4464" s="4">
        <v>1</v>
      </c>
      <c r="L4464" s="94">
        <v>99981</v>
      </c>
      <c r="M4464" s="94">
        <v>999810</v>
      </c>
    </row>
    <row r="4465" spans="3:13" x14ac:dyDescent="0.3">
      <c r="C4465" t="s">
        <v>71</v>
      </c>
      <c r="D4465" t="s">
        <v>67</v>
      </c>
      <c r="E4465" t="s">
        <v>63</v>
      </c>
      <c r="F4465" t="s">
        <v>26</v>
      </c>
      <c r="G4465" s="4">
        <v>6</v>
      </c>
      <c r="H4465" s="4" t="s">
        <v>17</v>
      </c>
      <c r="I4465" s="4" t="s">
        <v>69</v>
      </c>
      <c r="J4465" s="4" t="s">
        <v>73</v>
      </c>
      <c r="K4465" s="4">
        <v>1</v>
      </c>
      <c r="L4465" s="94">
        <v>-27915</v>
      </c>
      <c r="M4465" s="94">
        <v>0</v>
      </c>
    </row>
    <row r="4466" spans="3:13" x14ac:dyDescent="0.3">
      <c r="C4466" t="s">
        <v>61</v>
      </c>
      <c r="D4466" t="s">
        <v>67</v>
      </c>
      <c r="E4466" t="s">
        <v>63</v>
      </c>
      <c r="F4466" t="s">
        <v>26</v>
      </c>
      <c r="G4466" s="4">
        <v>8</v>
      </c>
      <c r="H4466" s="4" t="s">
        <v>78</v>
      </c>
      <c r="I4466" s="4" t="s">
        <v>69</v>
      </c>
      <c r="J4466" s="4" t="s">
        <v>66</v>
      </c>
      <c r="K4466" s="4">
        <v>0</v>
      </c>
      <c r="L4466" s="94">
        <v>-8795</v>
      </c>
      <c r="M4466" s="94">
        <v>0</v>
      </c>
    </row>
    <row r="4467" spans="3:13" x14ac:dyDescent="0.3">
      <c r="C4467" t="s">
        <v>61</v>
      </c>
      <c r="D4467" t="s">
        <v>62</v>
      </c>
      <c r="E4467" t="s">
        <v>68</v>
      </c>
      <c r="F4467" t="s">
        <v>25</v>
      </c>
      <c r="G4467" s="4">
        <v>15</v>
      </c>
      <c r="I4467" s="4" t="s">
        <v>69</v>
      </c>
      <c r="J4467" s="4" t="s">
        <v>66</v>
      </c>
      <c r="K4467" s="4">
        <v>0</v>
      </c>
      <c r="L4467" s="94">
        <v>1068999</v>
      </c>
      <c r="M4467" s="94">
        <v>16034985</v>
      </c>
    </row>
    <row r="4468" spans="3:13" x14ac:dyDescent="0.3">
      <c r="C4468" t="s">
        <v>70</v>
      </c>
      <c r="D4468" t="s">
        <v>67</v>
      </c>
      <c r="E4468" t="s">
        <v>63</v>
      </c>
      <c r="F4468" t="s">
        <v>72</v>
      </c>
      <c r="G4468" s="4">
        <v>-1</v>
      </c>
      <c r="H4468" s="4" t="s">
        <v>18</v>
      </c>
      <c r="I4468" s="4" t="s">
        <v>69</v>
      </c>
      <c r="J4468" s="4" t="s">
        <v>66</v>
      </c>
      <c r="K4468" s="4">
        <v>0</v>
      </c>
      <c r="L4468" s="94">
        <v>-24023</v>
      </c>
      <c r="M4468" s="94">
        <v>0</v>
      </c>
    </row>
    <row r="4469" spans="3:13" x14ac:dyDescent="0.3">
      <c r="C4469" t="s">
        <v>61</v>
      </c>
      <c r="D4469" t="s">
        <v>67</v>
      </c>
      <c r="E4469" t="s">
        <v>63</v>
      </c>
      <c r="F4469" t="s">
        <v>26</v>
      </c>
      <c r="G4469" s="4">
        <v>7</v>
      </c>
      <c r="H4469" s="4" t="s">
        <v>80</v>
      </c>
      <c r="I4469" s="4" t="s">
        <v>69</v>
      </c>
      <c r="J4469" s="4" t="s">
        <v>66</v>
      </c>
      <c r="K4469" s="4">
        <v>0</v>
      </c>
      <c r="L4469" s="94">
        <v>-517</v>
      </c>
      <c r="M4469" s="94">
        <v>0</v>
      </c>
    </row>
    <row r="4470" spans="3:13" x14ac:dyDescent="0.3">
      <c r="C4470" t="s">
        <v>61</v>
      </c>
      <c r="D4470" t="s">
        <v>67</v>
      </c>
      <c r="E4470" t="s">
        <v>63</v>
      </c>
      <c r="F4470" t="s">
        <v>25</v>
      </c>
      <c r="G4470" s="4">
        <v>-1</v>
      </c>
      <c r="H4470" s="4" t="s">
        <v>18</v>
      </c>
      <c r="I4470" s="4" t="s">
        <v>69</v>
      </c>
      <c r="J4470" s="4" t="s">
        <v>66</v>
      </c>
      <c r="K4470" s="4">
        <v>0</v>
      </c>
      <c r="L4470" s="94">
        <v>-10029</v>
      </c>
      <c r="M4470" s="94">
        <v>0</v>
      </c>
    </row>
    <row r="4471" spans="3:13" x14ac:dyDescent="0.3">
      <c r="C4471" t="s">
        <v>61</v>
      </c>
      <c r="D4471" t="s">
        <v>67</v>
      </c>
      <c r="E4471" t="s">
        <v>68</v>
      </c>
      <c r="F4471" t="s">
        <v>26</v>
      </c>
      <c r="G4471" s="4">
        <v>6</v>
      </c>
      <c r="H4471" s="4" t="s">
        <v>74</v>
      </c>
      <c r="I4471" s="4" t="s">
        <v>69</v>
      </c>
      <c r="J4471" s="4" t="s">
        <v>66</v>
      </c>
      <c r="K4471" s="4">
        <v>0</v>
      </c>
      <c r="L4471" s="94">
        <v>23471596</v>
      </c>
      <c r="M4471" s="94">
        <v>140829576</v>
      </c>
    </row>
    <row r="4472" spans="3:13" x14ac:dyDescent="0.3">
      <c r="C4472" t="s">
        <v>70</v>
      </c>
      <c r="D4472" t="s">
        <v>67</v>
      </c>
      <c r="E4472" t="s">
        <v>68</v>
      </c>
      <c r="F4472" t="s">
        <v>25</v>
      </c>
      <c r="G4472" s="4">
        <v>-4</v>
      </c>
      <c r="H4472" s="4" t="s">
        <v>79</v>
      </c>
      <c r="I4472" s="4" t="s">
        <v>69</v>
      </c>
      <c r="J4472" s="4" t="s">
        <v>66</v>
      </c>
      <c r="K4472" s="4">
        <v>0</v>
      </c>
      <c r="L4472" s="94">
        <v>2</v>
      </c>
      <c r="M4472" s="94">
        <v>0</v>
      </c>
    </row>
    <row r="4473" spans="3:13" x14ac:dyDescent="0.3">
      <c r="C4473" t="s">
        <v>61</v>
      </c>
      <c r="D4473" t="s">
        <v>67</v>
      </c>
      <c r="E4473" t="s">
        <v>68</v>
      </c>
      <c r="F4473" t="s">
        <v>25</v>
      </c>
      <c r="G4473" s="4">
        <v>9</v>
      </c>
      <c r="H4473" s="4" t="s">
        <v>14</v>
      </c>
      <c r="I4473" s="4" t="s">
        <v>69</v>
      </c>
      <c r="J4473" s="4" t="s">
        <v>66</v>
      </c>
      <c r="K4473" s="4">
        <v>1</v>
      </c>
      <c r="L4473" s="94">
        <v>4610092</v>
      </c>
      <c r="M4473" s="94">
        <v>41490828</v>
      </c>
    </row>
    <row r="4474" spans="3:13" x14ac:dyDescent="0.3">
      <c r="C4474" t="s">
        <v>61</v>
      </c>
      <c r="D4474" t="s">
        <v>67</v>
      </c>
      <c r="E4474" t="s">
        <v>68</v>
      </c>
      <c r="F4474" t="s">
        <v>25</v>
      </c>
      <c r="G4474" s="4">
        <v>3</v>
      </c>
      <c r="H4474" s="4" t="s">
        <v>80</v>
      </c>
      <c r="I4474" s="4" t="s">
        <v>69</v>
      </c>
      <c r="J4474" s="4" t="s">
        <v>66</v>
      </c>
      <c r="K4474" s="4">
        <v>0</v>
      </c>
      <c r="L4474" s="94">
        <v>43329</v>
      </c>
      <c r="M4474" s="94">
        <v>129987</v>
      </c>
    </row>
    <row r="4475" spans="3:13" x14ac:dyDescent="0.3">
      <c r="C4475" t="s">
        <v>70</v>
      </c>
      <c r="D4475" t="s">
        <v>67</v>
      </c>
      <c r="E4475" t="s">
        <v>68</v>
      </c>
      <c r="F4475" t="s">
        <v>26</v>
      </c>
      <c r="G4475" s="4">
        <v>1</v>
      </c>
      <c r="H4475" s="4" t="s">
        <v>17</v>
      </c>
      <c r="I4475" s="4" t="s">
        <v>69</v>
      </c>
      <c r="J4475" s="4" t="s">
        <v>66</v>
      </c>
      <c r="K4475" s="4">
        <v>0</v>
      </c>
      <c r="L4475" s="94">
        <v>6320785</v>
      </c>
      <c r="M4475" s="94">
        <v>6320785</v>
      </c>
    </row>
    <row r="4476" spans="3:13" x14ac:dyDescent="0.3">
      <c r="C4476" t="s">
        <v>61</v>
      </c>
      <c r="D4476" t="s">
        <v>67</v>
      </c>
      <c r="E4476" t="s">
        <v>63</v>
      </c>
      <c r="F4476" t="s">
        <v>26</v>
      </c>
      <c r="G4476" s="4">
        <v>2</v>
      </c>
      <c r="H4476" s="4" t="s">
        <v>15</v>
      </c>
      <c r="I4476" s="4" t="s">
        <v>69</v>
      </c>
      <c r="J4476" s="4" t="s">
        <v>66</v>
      </c>
      <c r="K4476" s="4">
        <v>0</v>
      </c>
      <c r="L4476" s="94">
        <v>-3283</v>
      </c>
      <c r="M4476" s="94">
        <v>0</v>
      </c>
    </row>
    <row r="4477" spans="3:13" x14ac:dyDescent="0.3">
      <c r="C4477" t="s">
        <v>70</v>
      </c>
      <c r="D4477" t="s">
        <v>67</v>
      </c>
      <c r="E4477" t="s">
        <v>68</v>
      </c>
      <c r="F4477" t="s">
        <v>72</v>
      </c>
      <c r="G4477" s="4">
        <v>4</v>
      </c>
      <c r="H4477" s="4" t="s">
        <v>76</v>
      </c>
      <c r="I4477" s="4" t="s">
        <v>69</v>
      </c>
      <c r="J4477" s="4" t="s">
        <v>66</v>
      </c>
      <c r="K4477" s="4">
        <v>0</v>
      </c>
      <c r="L4477" s="94">
        <v>1148591</v>
      </c>
      <c r="M4477" s="94">
        <v>4594364</v>
      </c>
    </row>
    <row r="4478" spans="3:13" x14ac:dyDescent="0.3">
      <c r="C4478" t="s">
        <v>70</v>
      </c>
      <c r="D4478" t="s">
        <v>67</v>
      </c>
      <c r="E4478" t="s">
        <v>63</v>
      </c>
      <c r="F4478" t="s">
        <v>72</v>
      </c>
      <c r="G4478" s="4">
        <v>6</v>
      </c>
      <c r="H4478" s="4" t="s">
        <v>14</v>
      </c>
      <c r="I4478" s="4" t="s">
        <v>69</v>
      </c>
      <c r="J4478" s="4" t="s">
        <v>73</v>
      </c>
      <c r="K4478" s="4">
        <v>1</v>
      </c>
      <c r="L4478" s="94">
        <v>-7702</v>
      </c>
      <c r="M4478" s="94">
        <v>0</v>
      </c>
    </row>
    <row r="4479" spans="3:13" x14ac:dyDescent="0.3">
      <c r="C4479" t="s">
        <v>71</v>
      </c>
      <c r="D4479" t="s">
        <v>67</v>
      </c>
      <c r="E4479" t="s">
        <v>63</v>
      </c>
      <c r="F4479" t="s">
        <v>25</v>
      </c>
      <c r="G4479" s="4">
        <v>4</v>
      </c>
      <c r="H4479" s="4" t="s">
        <v>75</v>
      </c>
      <c r="I4479" s="4" t="s">
        <v>69</v>
      </c>
      <c r="J4479" s="4" t="s">
        <v>66</v>
      </c>
      <c r="K4479" s="4">
        <v>0</v>
      </c>
      <c r="L4479" s="94">
        <v>-1745020</v>
      </c>
      <c r="M4479" s="94">
        <v>0</v>
      </c>
    </row>
    <row r="4480" spans="3:13" x14ac:dyDescent="0.3">
      <c r="C4480" t="s">
        <v>61</v>
      </c>
      <c r="D4480" t="s">
        <v>62</v>
      </c>
      <c r="E4480" t="s">
        <v>63</v>
      </c>
      <c r="F4480" t="s">
        <v>24</v>
      </c>
      <c r="G4480" s="4">
        <v>0</v>
      </c>
      <c r="I4480" s="4" t="s">
        <v>69</v>
      </c>
      <c r="J4480" s="4" t="s">
        <v>66</v>
      </c>
      <c r="K4480" s="4">
        <v>1</v>
      </c>
      <c r="L4480" s="94">
        <v>-19</v>
      </c>
      <c r="M4480" s="94">
        <v>0</v>
      </c>
    </row>
    <row r="4481" spans="3:13" x14ac:dyDescent="0.3">
      <c r="C4481" t="s">
        <v>70</v>
      </c>
      <c r="D4481" t="s">
        <v>62</v>
      </c>
      <c r="E4481" t="s">
        <v>68</v>
      </c>
      <c r="F4481" t="s">
        <v>24</v>
      </c>
      <c r="G4481" s="4">
        <v>42</v>
      </c>
      <c r="I4481" s="4" t="s">
        <v>69</v>
      </c>
      <c r="J4481" s="4" t="s">
        <v>66</v>
      </c>
      <c r="K4481" s="4">
        <v>0</v>
      </c>
      <c r="L4481" s="94">
        <v>3294982</v>
      </c>
      <c r="M4481" s="94">
        <v>138389244</v>
      </c>
    </row>
    <row r="4482" spans="3:13" x14ac:dyDescent="0.3">
      <c r="C4482" t="s">
        <v>70</v>
      </c>
      <c r="D4482" t="s">
        <v>67</v>
      </c>
      <c r="E4482" t="s">
        <v>68</v>
      </c>
      <c r="F4482" t="s">
        <v>72</v>
      </c>
      <c r="G4482" s="4">
        <v>-1</v>
      </c>
      <c r="H4482" s="4" t="s">
        <v>77</v>
      </c>
      <c r="I4482" s="4" t="s">
        <v>69</v>
      </c>
      <c r="J4482" s="4" t="s">
        <v>66</v>
      </c>
      <c r="K4482" s="4">
        <v>0</v>
      </c>
      <c r="L4482" s="94">
        <v>130059</v>
      </c>
      <c r="M4482" s="94">
        <v>0</v>
      </c>
    </row>
    <row r="4483" spans="3:13" x14ac:dyDescent="0.3">
      <c r="C4483" t="s">
        <v>71</v>
      </c>
      <c r="D4483" t="s">
        <v>67</v>
      </c>
      <c r="E4483" t="s">
        <v>63</v>
      </c>
      <c r="F4483" t="s">
        <v>72</v>
      </c>
      <c r="G4483" s="4">
        <v>-4</v>
      </c>
      <c r="H4483" s="4" t="s">
        <v>80</v>
      </c>
      <c r="I4483" s="4" t="s">
        <v>69</v>
      </c>
      <c r="J4483" s="4" t="s">
        <v>66</v>
      </c>
      <c r="K4483" s="4">
        <v>0</v>
      </c>
      <c r="L4483" s="94">
        <v>-3403</v>
      </c>
      <c r="M4483" s="94">
        <v>0</v>
      </c>
    </row>
    <row r="4484" spans="3:13" x14ac:dyDescent="0.3">
      <c r="C4484" t="s">
        <v>61</v>
      </c>
      <c r="D4484" t="s">
        <v>67</v>
      </c>
      <c r="E4484" t="s">
        <v>68</v>
      </c>
      <c r="F4484" t="s">
        <v>72</v>
      </c>
      <c r="G4484" s="4">
        <v>3</v>
      </c>
      <c r="H4484" s="4" t="s">
        <v>75</v>
      </c>
      <c r="I4484" s="4" t="s">
        <v>69</v>
      </c>
      <c r="J4484" s="4" t="s">
        <v>66</v>
      </c>
      <c r="K4484" s="4">
        <v>0</v>
      </c>
      <c r="L4484" s="94">
        <v>3354302</v>
      </c>
      <c r="M4484" s="94">
        <v>10062906</v>
      </c>
    </row>
    <row r="4485" spans="3:13" x14ac:dyDescent="0.3">
      <c r="C4485" t="s">
        <v>71</v>
      </c>
      <c r="D4485" t="s">
        <v>62</v>
      </c>
      <c r="E4485" t="s">
        <v>68</v>
      </c>
      <c r="F4485" t="s">
        <v>24</v>
      </c>
      <c r="G4485" s="4">
        <v>4</v>
      </c>
      <c r="I4485" s="4" t="s">
        <v>69</v>
      </c>
      <c r="J4485" s="4" t="s">
        <v>66</v>
      </c>
      <c r="K4485" s="4">
        <v>0</v>
      </c>
      <c r="L4485" s="94">
        <v>1145814</v>
      </c>
      <c r="M4485" s="94">
        <v>4583256</v>
      </c>
    </row>
    <row r="4486" spans="3:13" x14ac:dyDescent="0.3">
      <c r="C4486" t="s">
        <v>61</v>
      </c>
      <c r="D4486" t="s">
        <v>67</v>
      </c>
      <c r="E4486" t="s">
        <v>63</v>
      </c>
      <c r="F4486" t="s">
        <v>26</v>
      </c>
      <c r="G4486" s="4">
        <v>12</v>
      </c>
      <c r="H4486" s="4" t="s">
        <v>12</v>
      </c>
      <c r="I4486" s="4" t="s">
        <v>69</v>
      </c>
      <c r="J4486" s="4" t="s">
        <v>73</v>
      </c>
      <c r="K4486" s="4">
        <v>1</v>
      </c>
      <c r="L4486" s="94">
        <v>-7544</v>
      </c>
      <c r="M4486" s="94">
        <v>0</v>
      </c>
    </row>
    <row r="4487" spans="3:13" x14ac:dyDescent="0.3">
      <c r="C4487" t="s">
        <v>71</v>
      </c>
      <c r="D4487" t="s">
        <v>67</v>
      </c>
      <c r="E4487" t="s">
        <v>68</v>
      </c>
      <c r="F4487" t="s">
        <v>26</v>
      </c>
      <c r="G4487" s="4">
        <v>6</v>
      </c>
      <c r="H4487" s="4" t="s">
        <v>18</v>
      </c>
      <c r="I4487" s="4" t="s">
        <v>69</v>
      </c>
      <c r="J4487" s="4" t="s">
        <v>66</v>
      </c>
      <c r="K4487" s="4">
        <v>0</v>
      </c>
      <c r="L4487" s="94">
        <v>1883424</v>
      </c>
      <c r="M4487" s="94">
        <v>11300544</v>
      </c>
    </row>
    <row r="4488" spans="3:13" x14ac:dyDescent="0.3">
      <c r="C4488" t="s">
        <v>61</v>
      </c>
      <c r="D4488" t="s">
        <v>67</v>
      </c>
      <c r="E4488" t="s">
        <v>68</v>
      </c>
      <c r="F4488" t="s">
        <v>72</v>
      </c>
      <c r="G4488" s="4">
        <v>1</v>
      </c>
      <c r="H4488" s="4" t="s">
        <v>18</v>
      </c>
      <c r="I4488" s="4" t="s">
        <v>69</v>
      </c>
      <c r="J4488" s="4" t="s">
        <v>66</v>
      </c>
      <c r="K4488" s="4">
        <v>0</v>
      </c>
      <c r="L4488" s="94">
        <v>3765229</v>
      </c>
      <c r="M4488" s="94">
        <v>3765229</v>
      </c>
    </row>
    <row r="4489" spans="3:13" x14ac:dyDescent="0.3">
      <c r="C4489" t="s">
        <v>61</v>
      </c>
      <c r="D4489" t="s">
        <v>67</v>
      </c>
      <c r="E4489" t="s">
        <v>68</v>
      </c>
      <c r="F4489" t="s">
        <v>26</v>
      </c>
      <c r="G4489" s="4">
        <v>1</v>
      </c>
      <c r="H4489" s="4" t="s">
        <v>75</v>
      </c>
      <c r="I4489" s="4" t="s">
        <v>65</v>
      </c>
      <c r="J4489" s="4" t="s">
        <v>66</v>
      </c>
      <c r="K4489" s="4">
        <v>1</v>
      </c>
      <c r="L4489" s="94">
        <v>3797</v>
      </c>
      <c r="M4489" s="94">
        <v>3797</v>
      </c>
    </row>
    <row r="4490" spans="3:13" x14ac:dyDescent="0.3">
      <c r="C4490" t="s">
        <v>71</v>
      </c>
      <c r="D4490" t="s">
        <v>67</v>
      </c>
      <c r="E4490" t="s">
        <v>63</v>
      </c>
      <c r="F4490" t="s">
        <v>26</v>
      </c>
      <c r="G4490" s="4">
        <v>12</v>
      </c>
      <c r="H4490" s="4" t="s">
        <v>14</v>
      </c>
      <c r="I4490" s="4" t="s">
        <v>69</v>
      </c>
      <c r="J4490" s="4" t="s">
        <v>73</v>
      </c>
      <c r="K4490" s="4">
        <v>1</v>
      </c>
      <c r="L4490" s="94">
        <v>-685921</v>
      </c>
      <c r="M4490" s="94">
        <v>0</v>
      </c>
    </row>
    <row r="4491" spans="3:13" x14ac:dyDescent="0.3">
      <c r="C4491" t="s">
        <v>70</v>
      </c>
      <c r="D4491" t="s">
        <v>67</v>
      </c>
      <c r="E4491" t="s">
        <v>63</v>
      </c>
      <c r="F4491" t="s">
        <v>26</v>
      </c>
      <c r="G4491" s="4">
        <v>4</v>
      </c>
      <c r="H4491" s="4" t="s">
        <v>12</v>
      </c>
      <c r="I4491" s="4" t="s">
        <v>69</v>
      </c>
      <c r="J4491" s="4" t="s">
        <v>73</v>
      </c>
      <c r="K4491" s="4">
        <v>1</v>
      </c>
      <c r="L4491" s="94">
        <v>-52940</v>
      </c>
      <c r="M4491" s="94">
        <v>0</v>
      </c>
    </row>
    <row r="4492" spans="3:13" x14ac:dyDescent="0.3">
      <c r="C4492" t="s">
        <v>61</v>
      </c>
      <c r="D4492" t="s">
        <v>88</v>
      </c>
      <c r="E4492" t="s">
        <v>63</v>
      </c>
      <c r="F4492" t="s">
        <v>25</v>
      </c>
      <c r="G4492" s="4">
        <v>3</v>
      </c>
      <c r="H4492" s="4" t="s">
        <v>74</v>
      </c>
      <c r="I4492" s="4" t="s">
        <v>69</v>
      </c>
      <c r="J4492" s="4" t="s">
        <v>66</v>
      </c>
      <c r="K4492" s="4">
        <v>0</v>
      </c>
      <c r="L4492" s="94">
        <v>-81</v>
      </c>
      <c r="M4492" s="94">
        <v>0</v>
      </c>
    </row>
    <row r="4493" spans="3:13" x14ac:dyDescent="0.3">
      <c r="C4493" t="s">
        <v>61</v>
      </c>
      <c r="D4493" t="s">
        <v>67</v>
      </c>
      <c r="E4493" t="s">
        <v>63</v>
      </c>
      <c r="F4493" t="s">
        <v>72</v>
      </c>
      <c r="G4493" s="4">
        <v>9</v>
      </c>
      <c r="H4493" s="4" t="s">
        <v>74</v>
      </c>
      <c r="I4493" s="4" t="s">
        <v>69</v>
      </c>
      <c r="J4493" s="4" t="s">
        <v>66</v>
      </c>
      <c r="K4493" s="4">
        <v>0</v>
      </c>
      <c r="L4493" s="94">
        <v>-2</v>
      </c>
      <c r="M4493" s="94">
        <v>0</v>
      </c>
    </row>
    <row r="4494" spans="3:13" x14ac:dyDescent="0.3">
      <c r="C4494" t="s">
        <v>61</v>
      </c>
      <c r="D4494" t="s">
        <v>67</v>
      </c>
      <c r="E4494" t="s">
        <v>68</v>
      </c>
      <c r="F4494" t="s">
        <v>26</v>
      </c>
      <c r="G4494" s="4">
        <v>11</v>
      </c>
      <c r="H4494" s="4" t="s">
        <v>18</v>
      </c>
      <c r="I4494" s="4" t="s">
        <v>69</v>
      </c>
      <c r="J4494" s="4" t="s">
        <v>66</v>
      </c>
      <c r="K4494" s="4">
        <v>0</v>
      </c>
      <c r="L4494" s="94">
        <v>1246410</v>
      </c>
      <c r="M4494" s="94">
        <v>13710510</v>
      </c>
    </row>
    <row r="4495" spans="3:13" x14ac:dyDescent="0.3">
      <c r="C4495" t="s">
        <v>70</v>
      </c>
      <c r="D4495" t="s">
        <v>67</v>
      </c>
      <c r="E4495" t="s">
        <v>63</v>
      </c>
      <c r="F4495" t="s">
        <v>26</v>
      </c>
      <c r="G4495" s="4">
        <v>4</v>
      </c>
      <c r="H4495" s="4" t="s">
        <v>17</v>
      </c>
      <c r="I4495" s="4" t="s">
        <v>65</v>
      </c>
      <c r="J4495" s="4" t="s">
        <v>66</v>
      </c>
      <c r="K4495" s="4">
        <v>1</v>
      </c>
      <c r="L4495" s="94">
        <v>-954</v>
      </c>
      <c r="M4495" s="94">
        <v>0</v>
      </c>
    </row>
    <row r="4496" spans="3:13" x14ac:dyDescent="0.3">
      <c r="C4496" t="s">
        <v>70</v>
      </c>
      <c r="D4496" t="s">
        <v>62</v>
      </c>
      <c r="E4496" t="s">
        <v>68</v>
      </c>
      <c r="F4496" t="s">
        <v>24</v>
      </c>
      <c r="G4496" s="4">
        <v>30</v>
      </c>
      <c r="I4496" s="4" t="s">
        <v>69</v>
      </c>
      <c r="J4496" s="4" t="s">
        <v>66</v>
      </c>
      <c r="K4496" s="4">
        <v>0</v>
      </c>
      <c r="L4496" s="94">
        <v>48266998</v>
      </c>
      <c r="M4496" s="94">
        <v>1448009940</v>
      </c>
    </row>
    <row r="4497" spans="3:13" x14ac:dyDescent="0.3">
      <c r="C4497" t="s">
        <v>70</v>
      </c>
      <c r="D4497" t="s">
        <v>67</v>
      </c>
      <c r="E4497" t="s">
        <v>68</v>
      </c>
      <c r="F4497" t="s">
        <v>25</v>
      </c>
      <c r="G4497" s="4">
        <v>5</v>
      </c>
      <c r="H4497" s="4" t="s">
        <v>64</v>
      </c>
      <c r="I4497" s="4" t="s">
        <v>69</v>
      </c>
      <c r="J4497" s="4" t="s">
        <v>66</v>
      </c>
      <c r="K4497" s="4">
        <v>0</v>
      </c>
      <c r="L4497" s="94">
        <v>392040</v>
      </c>
      <c r="M4497" s="94">
        <v>1960200</v>
      </c>
    </row>
    <row r="4498" spans="3:13" x14ac:dyDescent="0.3">
      <c r="C4498" t="s">
        <v>61</v>
      </c>
      <c r="D4498" t="s">
        <v>67</v>
      </c>
      <c r="E4498" t="s">
        <v>63</v>
      </c>
      <c r="F4498" t="s">
        <v>26</v>
      </c>
      <c r="G4498" s="4">
        <v>3</v>
      </c>
      <c r="H4498" s="4" t="s">
        <v>75</v>
      </c>
      <c r="I4498" s="4" t="s">
        <v>65</v>
      </c>
      <c r="J4498" s="4" t="s">
        <v>66</v>
      </c>
      <c r="K4498" s="4">
        <v>1</v>
      </c>
      <c r="L4498" s="94">
        <v>-1086</v>
      </c>
      <c r="M4498" s="94">
        <v>0</v>
      </c>
    </row>
    <row r="4499" spans="3:13" x14ac:dyDescent="0.3">
      <c r="C4499" t="s">
        <v>71</v>
      </c>
      <c r="D4499" t="s">
        <v>67</v>
      </c>
      <c r="E4499" t="s">
        <v>68</v>
      </c>
      <c r="F4499" t="s">
        <v>26</v>
      </c>
      <c r="G4499" s="4">
        <v>4</v>
      </c>
      <c r="H4499" s="4" t="s">
        <v>17</v>
      </c>
      <c r="I4499" s="4" t="s">
        <v>65</v>
      </c>
      <c r="J4499" s="4" t="s">
        <v>73</v>
      </c>
      <c r="K4499" s="4">
        <v>1</v>
      </c>
      <c r="L4499" s="94">
        <v>47448</v>
      </c>
      <c r="M4499" s="94">
        <v>189792</v>
      </c>
    </row>
    <row r="4500" spans="3:13" x14ac:dyDescent="0.3">
      <c r="C4500" t="s">
        <v>71</v>
      </c>
      <c r="D4500" t="s">
        <v>67</v>
      </c>
      <c r="E4500" t="s">
        <v>63</v>
      </c>
      <c r="F4500" t="s">
        <v>25</v>
      </c>
      <c r="G4500" s="4">
        <v>-1</v>
      </c>
      <c r="H4500" s="4" t="s">
        <v>14</v>
      </c>
      <c r="I4500" s="4" t="s">
        <v>69</v>
      </c>
      <c r="J4500" s="4" t="s">
        <v>66</v>
      </c>
      <c r="K4500" s="4">
        <v>0</v>
      </c>
      <c r="L4500" s="94">
        <v>-1680692</v>
      </c>
      <c r="M4500" s="94">
        <v>0</v>
      </c>
    </row>
    <row r="4501" spans="3:13" x14ac:dyDescent="0.3">
      <c r="C4501" t="s">
        <v>70</v>
      </c>
      <c r="D4501" t="s">
        <v>67</v>
      </c>
      <c r="E4501" t="s">
        <v>63</v>
      </c>
      <c r="F4501" t="s">
        <v>26</v>
      </c>
      <c r="G4501" s="4">
        <v>5</v>
      </c>
      <c r="H4501" s="4" t="s">
        <v>82</v>
      </c>
      <c r="I4501" s="4" t="s">
        <v>69</v>
      </c>
      <c r="J4501" s="4" t="s">
        <v>66</v>
      </c>
      <c r="K4501" s="4">
        <v>0</v>
      </c>
      <c r="L4501" s="94">
        <v>-66107</v>
      </c>
      <c r="M4501" s="94">
        <v>0</v>
      </c>
    </row>
    <row r="4502" spans="3:13" x14ac:dyDescent="0.3">
      <c r="C4502" t="s">
        <v>61</v>
      </c>
      <c r="D4502" t="s">
        <v>67</v>
      </c>
      <c r="E4502" t="s">
        <v>63</v>
      </c>
      <c r="F4502" t="s">
        <v>25</v>
      </c>
      <c r="G4502" s="4">
        <v>4</v>
      </c>
      <c r="H4502" s="4" t="s">
        <v>82</v>
      </c>
      <c r="I4502" s="4" t="s">
        <v>69</v>
      </c>
      <c r="J4502" s="4" t="s">
        <v>66</v>
      </c>
      <c r="K4502" s="4">
        <v>0</v>
      </c>
      <c r="L4502" s="94">
        <v>-12401</v>
      </c>
      <c r="M4502" s="94">
        <v>0</v>
      </c>
    </row>
    <row r="4503" spans="3:13" x14ac:dyDescent="0.3">
      <c r="C4503" t="s">
        <v>61</v>
      </c>
      <c r="D4503" t="s">
        <v>62</v>
      </c>
      <c r="E4503" t="s">
        <v>68</v>
      </c>
      <c r="F4503" t="s">
        <v>24</v>
      </c>
      <c r="G4503" s="4">
        <v>30</v>
      </c>
      <c r="I4503" s="4" t="s">
        <v>65</v>
      </c>
      <c r="J4503" s="4" t="s">
        <v>66</v>
      </c>
      <c r="K4503" s="4">
        <v>1</v>
      </c>
      <c r="L4503" s="94">
        <v>12351822</v>
      </c>
      <c r="M4503" s="94">
        <v>370554660</v>
      </c>
    </row>
    <row r="4504" spans="3:13" x14ac:dyDescent="0.3">
      <c r="C4504" t="s">
        <v>70</v>
      </c>
      <c r="D4504" t="s">
        <v>67</v>
      </c>
      <c r="E4504" t="s">
        <v>63</v>
      </c>
      <c r="F4504" t="s">
        <v>25</v>
      </c>
      <c r="G4504" s="4">
        <v>4</v>
      </c>
      <c r="H4504" s="4" t="s">
        <v>76</v>
      </c>
      <c r="I4504" s="4" t="s">
        <v>69</v>
      </c>
      <c r="J4504" s="4" t="s">
        <v>66</v>
      </c>
      <c r="K4504" s="4">
        <v>0</v>
      </c>
      <c r="L4504" s="94">
        <v>-66724</v>
      </c>
      <c r="M4504" s="94">
        <v>0</v>
      </c>
    </row>
    <row r="4505" spans="3:13" x14ac:dyDescent="0.3">
      <c r="C4505" t="s">
        <v>61</v>
      </c>
      <c r="D4505" t="s">
        <v>67</v>
      </c>
      <c r="E4505" t="s">
        <v>68</v>
      </c>
      <c r="F4505" t="s">
        <v>25</v>
      </c>
      <c r="G4505" s="4">
        <v>6</v>
      </c>
      <c r="H4505" s="4" t="s">
        <v>76</v>
      </c>
      <c r="I4505" s="4" t="s">
        <v>69</v>
      </c>
      <c r="J4505" s="4" t="s">
        <v>66</v>
      </c>
      <c r="K4505" s="4">
        <v>0</v>
      </c>
      <c r="L4505" s="94">
        <v>17520248</v>
      </c>
      <c r="M4505" s="94">
        <v>105121488</v>
      </c>
    </row>
    <row r="4506" spans="3:13" x14ac:dyDescent="0.3">
      <c r="C4506" t="s">
        <v>71</v>
      </c>
      <c r="D4506" t="s">
        <v>62</v>
      </c>
      <c r="E4506" t="s">
        <v>63</v>
      </c>
      <c r="F4506" t="s">
        <v>25</v>
      </c>
      <c r="G4506" s="4">
        <v>2</v>
      </c>
      <c r="I4506" s="4" t="s">
        <v>69</v>
      </c>
      <c r="J4506" s="4" t="s">
        <v>66</v>
      </c>
      <c r="K4506" s="4">
        <v>0</v>
      </c>
      <c r="L4506" s="94">
        <v>-46454</v>
      </c>
      <c r="M4506" s="94">
        <v>0</v>
      </c>
    </row>
    <row r="4507" spans="3:13" x14ac:dyDescent="0.3">
      <c r="C4507" t="s">
        <v>70</v>
      </c>
      <c r="D4507" t="s">
        <v>67</v>
      </c>
      <c r="E4507" t="s">
        <v>68</v>
      </c>
      <c r="F4507" t="s">
        <v>25</v>
      </c>
      <c r="G4507" s="4">
        <v>12</v>
      </c>
      <c r="H4507" s="4" t="s">
        <v>80</v>
      </c>
      <c r="I4507" s="4" t="s">
        <v>69</v>
      </c>
      <c r="J4507" s="4" t="s">
        <v>66</v>
      </c>
      <c r="K4507" s="4">
        <v>0</v>
      </c>
      <c r="L4507" s="94">
        <v>245025</v>
      </c>
      <c r="M4507" s="94">
        <v>2940300</v>
      </c>
    </row>
    <row r="4508" spans="3:13" x14ac:dyDescent="0.3">
      <c r="C4508" t="s">
        <v>61</v>
      </c>
      <c r="D4508" t="s">
        <v>67</v>
      </c>
      <c r="E4508" t="s">
        <v>63</v>
      </c>
      <c r="F4508" t="s">
        <v>72</v>
      </c>
      <c r="G4508" s="4">
        <v>1</v>
      </c>
      <c r="H4508" s="4" t="s">
        <v>79</v>
      </c>
      <c r="I4508" s="4" t="s">
        <v>69</v>
      </c>
      <c r="J4508" s="4" t="s">
        <v>66</v>
      </c>
      <c r="K4508" s="4">
        <v>0</v>
      </c>
      <c r="L4508" s="94">
        <v>-4141</v>
      </c>
      <c r="M4508" s="94">
        <v>0</v>
      </c>
    </row>
    <row r="4509" spans="3:13" x14ac:dyDescent="0.3">
      <c r="C4509" t="s">
        <v>61</v>
      </c>
      <c r="D4509" t="s">
        <v>62</v>
      </c>
      <c r="E4509" t="s">
        <v>63</v>
      </c>
      <c r="F4509" t="s">
        <v>24</v>
      </c>
      <c r="G4509" s="4">
        <v>36</v>
      </c>
      <c r="I4509" s="4" t="s">
        <v>69</v>
      </c>
      <c r="J4509" s="4" t="s">
        <v>66</v>
      </c>
      <c r="K4509" s="4">
        <v>0</v>
      </c>
      <c r="L4509" s="94">
        <v>-566791</v>
      </c>
      <c r="M4509" s="94">
        <v>0</v>
      </c>
    </row>
    <row r="4510" spans="3:13" x14ac:dyDescent="0.3">
      <c r="C4510" t="s">
        <v>61</v>
      </c>
      <c r="D4510" t="s">
        <v>67</v>
      </c>
      <c r="E4510" t="s">
        <v>63</v>
      </c>
      <c r="F4510" t="s">
        <v>72</v>
      </c>
      <c r="G4510" s="4">
        <v>6</v>
      </c>
      <c r="H4510" s="4" t="s">
        <v>14</v>
      </c>
      <c r="I4510" s="4" t="s">
        <v>69</v>
      </c>
      <c r="J4510" s="4" t="s">
        <v>73</v>
      </c>
      <c r="K4510" s="4">
        <v>1</v>
      </c>
      <c r="L4510" s="94">
        <v>-2547</v>
      </c>
      <c r="M4510" s="94">
        <v>0</v>
      </c>
    </row>
    <row r="4511" spans="3:13" x14ac:dyDescent="0.3">
      <c r="C4511" t="s">
        <v>70</v>
      </c>
      <c r="D4511" t="s">
        <v>67</v>
      </c>
      <c r="E4511" t="s">
        <v>68</v>
      </c>
      <c r="F4511" t="s">
        <v>72</v>
      </c>
      <c r="G4511" s="4">
        <v>2</v>
      </c>
      <c r="H4511" s="4" t="s">
        <v>17</v>
      </c>
      <c r="I4511" s="4" t="s">
        <v>65</v>
      </c>
      <c r="J4511" s="4" t="s">
        <v>73</v>
      </c>
      <c r="K4511" s="4">
        <v>1</v>
      </c>
      <c r="L4511" s="94">
        <v>17793</v>
      </c>
      <c r="M4511" s="94">
        <v>35586</v>
      </c>
    </row>
    <row r="4512" spans="3:13" x14ac:dyDescent="0.3">
      <c r="C4512" t="s">
        <v>71</v>
      </c>
      <c r="D4512" t="s">
        <v>67</v>
      </c>
      <c r="E4512" t="s">
        <v>68</v>
      </c>
      <c r="F4512" t="s">
        <v>25</v>
      </c>
      <c r="G4512" s="4">
        <v>-4</v>
      </c>
      <c r="H4512" s="4" t="s">
        <v>76</v>
      </c>
      <c r="I4512" s="4" t="s">
        <v>69</v>
      </c>
      <c r="J4512" s="4" t="s">
        <v>66</v>
      </c>
      <c r="K4512" s="4">
        <v>0</v>
      </c>
      <c r="L4512" s="94">
        <v>170481</v>
      </c>
      <c r="M4512" s="94">
        <v>0</v>
      </c>
    </row>
    <row r="4513" spans="3:13" x14ac:dyDescent="0.3">
      <c r="C4513" t="s">
        <v>61</v>
      </c>
      <c r="D4513" t="s">
        <v>67</v>
      </c>
      <c r="E4513" t="s">
        <v>63</v>
      </c>
      <c r="F4513" t="s">
        <v>25</v>
      </c>
      <c r="G4513" s="4">
        <v>13</v>
      </c>
      <c r="H4513" s="4" t="s">
        <v>14</v>
      </c>
      <c r="I4513" s="4" t="s">
        <v>69</v>
      </c>
      <c r="J4513" s="4" t="s">
        <v>66</v>
      </c>
      <c r="K4513" s="4">
        <v>0</v>
      </c>
      <c r="L4513" s="94">
        <v>-714</v>
      </c>
      <c r="M4513" s="94">
        <v>0</v>
      </c>
    </row>
    <row r="4514" spans="3:13" x14ac:dyDescent="0.3">
      <c r="C4514" t="s">
        <v>70</v>
      </c>
      <c r="D4514" t="s">
        <v>67</v>
      </c>
      <c r="E4514" t="s">
        <v>63</v>
      </c>
      <c r="F4514" t="s">
        <v>72</v>
      </c>
      <c r="G4514" s="4">
        <v>3</v>
      </c>
      <c r="H4514" s="4" t="s">
        <v>74</v>
      </c>
      <c r="I4514" s="4" t="s">
        <v>69</v>
      </c>
      <c r="J4514" s="4" t="s">
        <v>66</v>
      </c>
      <c r="K4514" s="4">
        <v>0</v>
      </c>
      <c r="L4514" s="94">
        <v>-34608</v>
      </c>
      <c r="M4514" s="94">
        <v>0</v>
      </c>
    </row>
    <row r="4515" spans="3:13" x14ac:dyDescent="0.3">
      <c r="C4515" t="s">
        <v>61</v>
      </c>
      <c r="D4515" t="s">
        <v>67</v>
      </c>
      <c r="E4515" t="s">
        <v>68</v>
      </c>
      <c r="F4515" t="s">
        <v>25</v>
      </c>
      <c r="G4515" s="4">
        <v>2</v>
      </c>
      <c r="H4515" s="4" t="s">
        <v>77</v>
      </c>
      <c r="I4515" s="4" t="s">
        <v>69</v>
      </c>
      <c r="J4515" s="4" t="s">
        <v>66</v>
      </c>
      <c r="K4515" s="4">
        <v>0</v>
      </c>
      <c r="L4515" s="94">
        <v>178884</v>
      </c>
      <c r="M4515" s="94">
        <v>357768</v>
      </c>
    </row>
    <row r="4516" spans="3:13" x14ac:dyDescent="0.3">
      <c r="C4516" t="s">
        <v>70</v>
      </c>
      <c r="D4516" t="s">
        <v>67</v>
      </c>
      <c r="E4516" t="s">
        <v>63</v>
      </c>
      <c r="F4516" t="s">
        <v>26</v>
      </c>
      <c r="G4516" s="4">
        <v>1</v>
      </c>
      <c r="H4516" s="4" t="s">
        <v>12</v>
      </c>
      <c r="I4516" s="4" t="s">
        <v>65</v>
      </c>
      <c r="J4516" s="4" t="s">
        <v>73</v>
      </c>
      <c r="K4516" s="4">
        <v>1</v>
      </c>
      <c r="L4516" s="94">
        <v>-1217</v>
      </c>
      <c r="M4516" s="94">
        <v>0</v>
      </c>
    </row>
    <row r="4517" spans="3:13" x14ac:dyDescent="0.3">
      <c r="C4517" t="s">
        <v>71</v>
      </c>
      <c r="D4517" t="s">
        <v>67</v>
      </c>
      <c r="E4517" t="s">
        <v>63</v>
      </c>
      <c r="F4517" t="s">
        <v>26</v>
      </c>
      <c r="G4517" s="4">
        <v>5</v>
      </c>
      <c r="H4517" s="4" t="s">
        <v>82</v>
      </c>
      <c r="I4517" s="4" t="s">
        <v>69</v>
      </c>
      <c r="J4517" s="4" t="s">
        <v>66</v>
      </c>
      <c r="K4517" s="4">
        <v>0</v>
      </c>
      <c r="L4517" s="94">
        <v>-372718</v>
      </c>
      <c r="M4517" s="94">
        <v>0</v>
      </c>
    </row>
    <row r="4518" spans="3:13" x14ac:dyDescent="0.3">
      <c r="C4518" t="s">
        <v>61</v>
      </c>
      <c r="D4518" t="s">
        <v>84</v>
      </c>
      <c r="E4518" t="s">
        <v>68</v>
      </c>
      <c r="F4518" t="s">
        <v>25</v>
      </c>
      <c r="G4518" s="4">
        <v>7</v>
      </c>
      <c r="H4518" s="4" t="s">
        <v>14</v>
      </c>
      <c r="I4518" s="4" t="s">
        <v>69</v>
      </c>
      <c r="J4518" s="4" t="s">
        <v>66</v>
      </c>
      <c r="K4518" s="4">
        <v>0</v>
      </c>
      <c r="L4518" s="94">
        <v>867617</v>
      </c>
      <c r="M4518" s="94">
        <v>6073319</v>
      </c>
    </row>
    <row r="4519" spans="3:13" x14ac:dyDescent="0.3">
      <c r="C4519" t="s">
        <v>61</v>
      </c>
      <c r="D4519" t="s">
        <v>62</v>
      </c>
      <c r="E4519" t="s">
        <v>68</v>
      </c>
      <c r="F4519" t="s">
        <v>25</v>
      </c>
      <c r="G4519" s="4">
        <v>5</v>
      </c>
      <c r="I4519" s="4" t="s">
        <v>69</v>
      </c>
      <c r="J4519" s="4" t="s">
        <v>66</v>
      </c>
      <c r="K4519" s="4">
        <v>0</v>
      </c>
      <c r="L4519" s="94">
        <v>53746089</v>
      </c>
      <c r="M4519" s="94">
        <v>268730445</v>
      </c>
    </row>
    <row r="4520" spans="3:13" x14ac:dyDescent="0.3">
      <c r="C4520" t="s">
        <v>70</v>
      </c>
      <c r="D4520" t="s">
        <v>62</v>
      </c>
      <c r="E4520" t="s">
        <v>68</v>
      </c>
      <c r="F4520" t="s">
        <v>24</v>
      </c>
      <c r="G4520" s="4">
        <v>28</v>
      </c>
      <c r="I4520" s="4" t="s">
        <v>65</v>
      </c>
      <c r="J4520" s="4" t="s">
        <v>66</v>
      </c>
      <c r="K4520" s="4">
        <v>1</v>
      </c>
      <c r="L4520" s="94">
        <v>966394</v>
      </c>
      <c r="M4520" s="94">
        <v>27059032</v>
      </c>
    </row>
    <row r="4521" spans="3:13" x14ac:dyDescent="0.3">
      <c r="C4521" t="s">
        <v>61</v>
      </c>
      <c r="D4521" t="s">
        <v>67</v>
      </c>
      <c r="E4521" t="s">
        <v>63</v>
      </c>
      <c r="F4521" t="s">
        <v>26</v>
      </c>
      <c r="G4521" s="4">
        <v>6</v>
      </c>
      <c r="H4521" s="4" t="s">
        <v>75</v>
      </c>
      <c r="I4521" s="4" t="s">
        <v>69</v>
      </c>
      <c r="J4521" s="4" t="s">
        <v>66</v>
      </c>
      <c r="K4521" s="4">
        <v>0</v>
      </c>
      <c r="L4521" s="94">
        <v>-21413</v>
      </c>
      <c r="M4521" s="94">
        <v>0</v>
      </c>
    </row>
    <row r="4522" spans="3:13" x14ac:dyDescent="0.3">
      <c r="C4522" t="s">
        <v>71</v>
      </c>
      <c r="D4522" t="s">
        <v>62</v>
      </c>
      <c r="E4522" t="s">
        <v>68</v>
      </c>
      <c r="F4522" t="s">
        <v>24</v>
      </c>
      <c r="G4522" s="4">
        <v>23</v>
      </c>
      <c r="I4522" s="4" t="s">
        <v>69</v>
      </c>
      <c r="J4522" s="4" t="s">
        <v>73</v>
      </c>
      <c r="K4522" s="4">
        <v>1</v>
      </c>
      <c r="L4522" s="94">
        <v>6931</v>
      </c>
      <c r="M4522" s="94">
        <v>159413</v>
      </c>
    </row>
    <row r="4523" spans="3:13" x14ac:dyDescent="0.3">
      <c r="C4523" t="s">
        <v>61</v>
      </c>
      <c r="D4523" t="s">
        <v>67</v>
      </c>
      <c r="E4523" t="s">
        <v>68</v>
      </c>
      <c r="F4523" t="s">
        <v>25</v>
      </c>
      <c r="G4523" s="4">
        <v>12</v>
      </c>
      <c r="H4523" s="4" t="s">
        <v>80</v>
      </c>
      <c r="I4523" s="4" t="s">
        <v>69</v>
      </c>
      <c r="J4523" s="4" t="s">
        <v>66</v>
      </c>
      <c r="K4523" s="4">
        <v>0</v>
      </c>
      <c r="L4523" s="94">
        <v>556442</v>
      </c>
      <c r="M4523" s="94">
        <v>6677304</v>
      </c>
    </row>
    <row r="4524" spans="3:13" x14ac:dyDescent="0.3">
      <c r="C4524" t="s">
        <v>70</v>
      </c>
      <c r="D4524" t="s">
        <v>67</v>
      </c>
      <c r="E4524" t="s">
        <v>68</v>
      </c>
      <c r="F4524" t="s">
        <v>26</v>
      </c>
      <c r="G4524" s="4">
        <v>0</v>
      </c>
      <c r="H4524" s="4" t="s">
        <v>15</v>
      </c>
      <c r="I4524" s="4" t="s">
        <v>69</v>
      </c>
      <c r="J4524" s="4" t="s">
        <v>66</v>
      </c>
      <c r="K4524" s="4">
        <v>0</v>
      </c>
      <c r="L4524" s="94">
        <v>78090</v>
      </c>
      <c r="M4524" s="94">
        <v>0</v>
      </c>
    </row>
    <row r="4525" spans="3:13" x14ac:dyDescent="0.3">
      <c r="C4525" t="s">
        <v>71</v>
      </c>
      <c r="D4525" t="s">
        <v>67</v>
      </c>
      <c r="E4525" t="s">
        <v>68</v>
      </c>
      <c r="F4525" t="s">
        <v>72</v>
      </c>
      <c r="G4525" s="4">
        <v>0</v>
      </c>
      <c r="H4525" s="4" t="s">
        <v>18</v>
      </c>
      <c r="I4525" s="4" t="s">
        <v>69</v>
      </c>
      <c r="J4525" s="4" t="s">
        <v>73</v>
      </c>
      <c r="K4525" s="4">
        <v>1</v>
      </c>
      <c r="L4525" s="94">
        <v>18732</v>
      </c>
      <c r="M4525" s="94">
        <v>0</v>
      </c>
    </row>
    <row r="4526" spans="3:13" x14ac:dyDescent="0.3">
      <c r="C4526" t="s">
        <v>70</v>
      </c>
      <c r="D4526" t="s">
        <v>67</v>
      </c>
      <c r="E4526" t="s">
        <v>68</v>
      </c>
      <c r="F4526" t="s">
        <v>72</v>
      </c>
      <c r="G4526" s="4">
        <v>-4</v>
      </c>
      <c r="H4526" s="4" t="s">
        <v>75</v>
      </c>
      <c r="I4526" s="4" t="s">
        <v>69</v>
      </c>
      <c r="J4526" s="4" t="s">
        <v>66</v>
      </c>
      <c r="K4526" s="4">
        <v>0</v>
      </c>
      <c r="L4526" s="94">
        <v>1764</v>
      </c>
      <c r="M4526" s="94">
        <v>0</v>
      </c>
    </row>
    <row r="4527" spans="3:13" x14ac:dyDescent="0.3">
      <c r="C4527" t="s">
        <v>70</v>
      </c>
      <c r="D4527" t="s">
        <v>62</v>
      </c>
      <c r="E4527" t="s">
        <v>68</v>
      </c>
      <c r="F4527" t="s">
        <v>25</v>
      </c>
      <c r="G4527" s="4">
        <v>2</v>
      </c>
      <c r="I4527" s="4" t="s">
        <v>69</v>
      </c>
      <c r="J4527" s="4" t="s">
        <v>66</v>
      </c>
      <c r="K4527" s="4">
        <v>0</v>
      </c>
      <c r="L4527" s="94">
        <v>362491</v>
      </c>
      <c r="M4527" s="94">
        <v>724982</v>
      </c>
    </row>
    <row r="4528" spans="3:13" x14ac:dyDescent="0.3">
      <c r="C4528" t="s">
        <v>71</v>
      </c>
      <c r="D4528" t="s">
        <v>67</v>
      </c>
      <c r="E4528" t="s">
        <v>63</v>
      </c>
      <c r="F4528" t="s">
        <v>26</v>
      </c>
      <c r="G4528" s="4">
        <v>4</v>
      </c>
      <c r="H4528" s="4" t="s">
        <v>12</v>
      </c>
      <c r="I4528" s="4" t="s">
        <v>69</v>
      </c>
      <c r="J4528" s="4" t="s">
        <v>73</v>
      </c>
      <c r="K4528" s="4">
        <v>1</v>
      </c>
      <c r="L4528" s="94">
        <v>-11548</v>
      </c>
      <c r="M4528" s="94">
        <v>0</v>
      </c>
    </row>
    <row r="4529" spans="3:13" x14ac:dyDescent="0.3">
      <c r="C4529" t="s">
        <v>61</v>
      </c>
      <c r="D4529" t="s">
        <v>67</v>
      </c>
      <c r="E4529" t="s">
        <v>68</v>
      </c>
      <c r="F4529" t="s">
        <v>26</v>
      </c>
      <c r="G4529" s="4">
        <v>-1</v>
      </c>
      <c r="H4529" s="4" t="s">
        <v>18</v>
      </c>
      <c r="I4529" s="4" t="s">
        <v>65</v>
      </c>
      <c r="J4529" s="4" t="s">
        <v>66</v>
      </c>
      <c r="K4529" s="4">
        <v>1</v>
      </c>
      <c r="L4529" s="94">
        <v>101118</v>
      </c>
      <c r="M4529" s="94">
        <v>0</v>
      </c>
    </row>
    <row r="4530" spans="3:13" x14ac:dyDescent="0.3">
      <c r="C4530" t="s">
        <v>71</v>
      </c>
      <c r="D4530" t="s">
        <v>67</v>
      </c>
      <c r="E4530" t="s">
        <v>63</v>
      </c>
      <c r="F4530" t="s">
        <v>25</v>
      </c>
      <c r="G4530" s="4">
        <v>8</v>
      </c>
      <c r="H4530" s="4" t="s">
        <v>12</v>
      </c>
      <c r="I4530" s="4" t="s">
        <v>69</v>
      </c>
      <c r="J4530" s="4" t="s">
        <v>66</v>
      </c>
      <c r="K4530" s="4">
        <v>1</v>
      </c>
      <c r="L4530" s="94">
        <v>-96426</v>
      </c>
      <c r="M4530" s="94">
        <v>0</v>
      </c>
    </row>
    <row r="4531" spans="3:13" x14ac:dyDescent="0.3">
      <c r="C4531" t="s">
        <v>61</v>
      </c>
      <c r="D4531" t="s">
        <v>67</v>
      </c>
      <c r="E4531" t="s">
        <v>63</v>
      </c>
      <c r="F4531" t="s">
        <v>26</v>
      </c>
      <c r="G4531" s="4">
        <v>-1</v>
      </c>
      <c r="I4531" s="4" t="s">
        <v>69</v>
      </c>
      <c r="J4531" s="4" t="s">
        <v>66</v>
      </c>
      <c r="K4531" s="4">
        <v>0</v>
      </c>
      <c r="L4531" s="94">
        <v>-1411092</v>
      </c>
      <c r="M4531" s="94">
        <v>0</v>
      </c>
    </row>
    <row r="4532" spans="3:13" x14ac:dyDescent="0.3">
      <c r="C4532" t="s">
        <v>61</v>
      </c>
      <c r="D4532" t="s">
        <v>67</v>
      </c>
      <c r="E4532" t="s">
        <v>68</v>
      </c>
      <c r="F4532" t="s">
        <v>25</v>
      </c>
      <c r="G4532" s="4">
        <v>-4</v>
      </c>
      <c r="H4532" s="4" t="s">
        <v>79</v>
      </c>
      <c r="I4532" s="4" t="s">
        <v>69</v>
      </c>
      <c r="J4532" s="4" t="s">
        <v>66</v>
      </c>
      <c r="K4532" s="4">
        <v>0</v>
      </c>
      <c r="L4532" s="94">
        <v>5713</v>
      </c>
      <c r="M4532" s="94">
        <v>0</v>
      </c>
    </row>
    <row r="4533" spans="3:13" x14ac:dyDescent="0.3">
      <c r="C4533" t="s">
        <v>61</v>
      </c>
      <c r="D4533" t="s">
        <v>67</v>
      </c>
      <c r="E4533" t="s">
        <v>68</v>
      </c>
      <c r="F4533" t="s">
        <v>72</v>
      </c>
      <c r="G4533" s="4">
        <v>4</v>
      </c>
      <c r="H4533" s="4" t="s">
        <v>12</v>
      </c>
      <c r="I4533" s="4" t="s">
        <v>69</v>
      </c>
      <c r="J4533" s="4" t="s">
        <v>66</v>
      </c>
      <c r="K4533" s="4">
        <v>0</v>
      </c>
      <c r="L4533" s="94">
        <v>390527</v>
      </c>
      <c r="M4533" s="94">
        <v>1562108</v>
      </c>
    </row>
    <row r="4534" spans="3:13" x14ac:dyDescent="0.3">
      <c r="C4534" t="s">
        <v>71</v>
      </c>
      <c r="D4534" t="s">
        <v>62</v>
      </c>
      <c r="E4534" t="s">
        <v>63</v>
      </c>
      <c r="F4534" t="s">
        <v>24</v>
      </c>
      <c r="G4534" s="4">
        <v>32</v>
      </c>
      <c r="I4534" s="4" t="s">
        <v>69</v>
      </c>
      <c r="J4534" s="4" t="s">
        <v>66</v>
      </c>
      <c r="K4534" s="4">
        <v>1</v>
      </c>
      <c r="L4534" s="94">
        <v>-32079</v>
      </c>
      <c r="M4534" s="94">
        <v>0</v>
      </c>
    </row>
    <row r="4535" spans="3:13" x14ac:dyDescent="0.3">
      <c r="C4535" t="s">
        <v>70</v>
      </c>
      <c r="D4535" t="s">
        <v>62</v>
      </c>
      <c r="E4535" t="s">
        <v>68</v>
      </c>
      <c r="F4535" t="s">
        <v>25</v>
      </c>
      <c r="G4535" s="4">
        <v>8</v>
      </c>
      <c r="I4535" s="4" t="s">
        <v>69</v>
      </c>
      <c r="J4535" s="4" t="s">
        <v>66</v>
      </c>
      <c r="K4535" s="4">
        <v>0</v>
      </c>
      <c r="L4535" s="94">
        <v>794918</v>
      </c>
      <c r="M4535" s="94">
        <v>6359344</v>
      </c>
    </row>
    <row r="4536" spans="3:13" x14ac:dyDescent="0.3">
      <c r="C4536" t="s">
        <v>70</v>
      </c>
      <c r="D4536" t="s">
        <v>67</v>
      </c>
      <c r="E4536" t="s">
        <v>68</v>
      </c>
      <c r="F4536" t="s">
        <v>26</v>
      </c>
      <c r="G4536" s="4">
        <v>4</v>
      </c>
      <c r="H4536" s="4" t="s">
        <v>13</v>
      </c>
      <c r="I4536" s="4" t="s">
        <v>69</v>
      </c>
      <c r="J4536" s="4" t="s">
        <v>66</v>
      </c>
      <c r="K4536" s="4">
        <v>0</v>
      </c>
      <c r="L4536" s="94">
        <v>389740</v>
      </c>
      <c r="M4536" s="94">
        <v>1558960</v>
      </c>
    </row>
    <row r="4537" spans="3:13" x14ac:dyDescent="0.3">
      <c r="C4537" t="s">
        <v>70</v>
      </c>
      <c r="D4537" t="s">
        <v>67</v>
      </c>
      <c r="E4537" t="s">
        <v>68</v>
      </c>
      <c r="F4537" t="s">
        <v>72</v>
      </c>
      <c r="G4537" s="4">
        <v>0</v>
      </c>
      <c r="H4537" s="4" t="s">
        <v>16</v>
      </c>
      <c r="I4537" s="4" t="s">
        <v>69</v>
      </c>
      <c r="J4537" s="4" t="s">
        <v>66</v>
      </c>
      <c r="K4537" s="4">
        <v>0</v>
      </c>
      <c r="L4537" s="94">
        <v>1578</v>
      </c>
      <c r="M4537" s="94">
        <v>0</v>
      </c>
    </row>
    <row r="4538" spans="3:13" x14ac:dyDescent="0.3">
      <c r="C4538" t="s">
        <v>70</v>
      </c>
      <c r="D4538" t="s">
        <v>62</v>
      </c>
      <c r="E4538" t="s">
        <v>68</v>
      </c>
      <c r="F4538" t="s">
        <v>24</v>
      </c>
      <c r="G4538" s="4">
        <v>3</v>
      </c>
      <c r="I4538" s="4" t="s">
        <v>69</v>
      </c>
      <c r="J4538" s="4" t="s">
        <v>66</v>
      </c>
      <c r="K4538" s="4">
        <v>0</v>
      </c>
      <c r="L4538" s="94">
        <v>4282343</v>
      </c>
      <c r="M4538" s="94">
        <v>12847029</v>
      </c>
    </row>
    <row r="4539" spans="3:13" x14ac:dyDescent="0.3">
      <c r="C4539" t="s">
        <v>61</v>
      </c>
      <c r="D4539" t="s">
        <v>67</v>
      </c>
      <c r="E4539" t="s">
        <v>68</v>
      </c>
      <c r="F4539" t="s">
        <v>25</v>
      </c>
      <c r="G4539" s="4">
        <v>4</v>
      </c>
      <c r="H4539" s="4" t="s">
        <v>78</v>
      </c>
      <c r="I4539" s="4" t="s">
        <v>69</v>
      </c>
      <c r="J4539" s="4" t="s">
        <v>66</v>
      </c>
      <c r="K4539" s="4">
        <v>0</v>
      </c>
      <c r="L4539" s="94">
        <v>171322</v>
      </c>
      <c r="M4539" s="94">
        <v>685288</v>
      </c>
    </row>
    <row r="4540" spans="3:13" x14ac:dyDescent="0.3">
      <c r="C4540" t="s">
        <v>61</v>
      </c>
      <c r="D4540" t="s">
        <v>67</v>
      </c>
      <c r="E4540" t="s">
        <v>63</v>
      </c>
      <c r="F4540" t="s">
        <v>72</v>
      </c>
      <c r="G4540" s="4">
        <v>3</v>
      </c>
      <c r="H4540" s="4" t="s">
        <v>74</v>
      </c>
      <c r="I4540" s="4" t="s">
        <v>69</v>
      </c>
      <c r="J4540" s="4" t="s">
        <v>66</v>
      </c>
      <c r="K4540" s="4">
        <v>0</v>
      </c>
      <c r="L4540" s="94">
        <v>-10024</v>
      </c>
      <c r="M4540" s="94">
        <v>0</v>
      </c>
    </row>
    <row r="4541" spans="3:13" x14ac:dyDescent="0.3">
      <c r="C4541" t="s">
        <v>70</v>
      </c>
      <c r="D4541" t="s">
        <v>67</v>
      </c>
      <c r="E4541" t="s">
        <v>63</v>
      </c>
      <c r="F4541" t="s">
        <v>26</v>
      </c>
      <c r="G4541" s="4">
        <v>8</v>
      </c>
      <c r="H4541" s="4" t="s">
        <v>75</v>
      </c>
      <c r="I4541" s="4" t="s">
        <v>69</v>
      </c>
      <c r="J4541" s="4" t="s">
        <v>66</v>
      </c>
      <c r="K4541" s="4">
        <v>0</v>
      </c>
      <c r="L4541" s="94">
        <v>-2355</v>
      </c>
      <c r="M4541" s="94">
        <v>0</v>
      </c>
    </row>
    <row r="4542" spans="3:13" x14ac:dyDescent="0.3">
      <c r="C4542" t="s">
        <v>71</v>
      </c>
      <c r="D4542" t="s">
        <v>67</v>
      </c>
      <c r="E4542" t="s">
        <v>63</v>
      </c>
      <c r="F4542" t="s">
        <v>26</v>
      </c>
      <c r="G4542" s="4">
        <v>6</v>
      </c>
      <c r="H4542" s="4" t="s">
        <v>64</v>
      </c>
      <c r="I4542" s="4" t="s">
        <v>69</v>
      </c>
      <c r="J4542" s="4" t="s">
        <v>66</v>
      </c>
      <c r="K4542" s="4">
        <v>0</v>
      </c>
      <c r="L4542" s="94">
        <v>-8920</v>
      </c>
      <c r="M4542" s="94">
        <v>0</v>
      </c>
    </row>
    <row r="4543" spans="3:13" x14ac:dyDescent="0.3">
      <c r="C4543" t="s">
        <v>70</v>
      </c>
      <c r="D4543" t="s">
        <v>62</v>
      </c>
      <c r="E4543" t="s">
        <v>63</v>
      </c>
      <c r="F4543" t="s">
        <v>24</v>
      </c>
      <c r="G4543" s="4">
        <v>13</v>
      </c>
      <c r="I4543" s="4" t="s">
        <v>65</v>
      </c>
      <c r="J4543" s="4" t="s">
        <v>66</v>
      </c>
      <c r="K4543" s="4">
        <v>1</v>
      </c>
      <c r="L4543" s="94">
        <v>-8890</v>
      </c>
      <c r="M4543" s="94">
        <v>0</v>
      </c>
    </row>
    <row r="4544" spans="3:13" x14ac:dyDescent="0.3">
      <c r="C4544" t="s">
        <v>61</v>
      </c>
      <c r="D4544" t="s">
        <v>67</v>
      </c>
      <c r="E4544" t="s">
        <v>68</v>
      </c>
      <c r="F4544" t="s">
        <v>26</v>
      </c>
      <c r="G4544" s="4">
        <v>3</v>
      </c>
      <c r="H4544" s="4" t="s">
        <v>16</v>
      </c>
      <c r="I4544" s="4" t="s">
        <v>65</v>
      </c>
      <c r="J4544" s="4" t="s">
        <v>66</v>
      </c>
      <c r="K4544" s="4">
        <v>1</v>
      </c>
      <c r="L4544" s="94">
        <v>32241</v>
      </c>
      <c r="M4544" s="94">
        <v>96723</v>
      </c>
    </row>
    <row r="4545" spans="3:13" x14ac:dyDescent="0.3">
      <c r="C4545" t="s">
        <v>61</v>
      </c>
      <c r="D4545" t="s">
        <v>62</v>
      </c>
      <c r="E4545" t="s">
        <v>63</v>
      </c>
      <c r="F4545" t="s">
        <v>24</v>
      </c>
      <c r="G4545" s="4">
        <v>42</v>
      </c>
      <c r="I4545" s="4" t="s">
        <v>65</v>
      </c>
      <c r="J4545" s="4" t="s">
        <v>66</v>
      </c>
      <c r="K4545" s="4">
        <v>1</v>
      </c>
      <c r="L4545" s="94">
        <v>-225</v>
      </c>
      <c r="M4545" s="94">
        <v>0</v>
      </c>
    </row>
    <row r="4546" spans="3:13" x14ac:dyDescent="0.3">
      <c r="C4546" t="s">
        <v>71</v>
      </c>
      <c r="D4546" t="s">
        <v>67</v>
      </c>
      <c r="E4546" t="s">
        <v>63</v>
      </c>
      <c r="F4546" t="s">
        <v>26</v>
      </c>
      <c r="G4546" s="4">
        <v>-4</v>
      </c>
      <c r="H4546" s="4" t="s">
        <v>75</v>
      </c>
      <c r="I4546" s="4" t="s">
        <v>65</v>
      </c>
      <c r="J4546" s="4" t="s">
        <v>66</v>
      </c>
      <c r="K4546" s="4">
        <v>1</v>
      </c>
      <c r="L4546" s="94">
        <v>-226</v>
      </c>
      <c r="M4546" s="94">
        <v>0</v>
      </c>
    </row>
    <row r="4547" spans="3:13" x14ac:dyDescent="0.3">
      <c r="C4547" t="s">
        <v>70</v>
      </c>
      <c r="D4547" t="s">
        <v>67</v>
      </c>
      <c r="E4547" t="s">
        <v>68</v>
      </c>
      <c r="F4547" t="s">
        <v>26</v>
      </c>
      <c r="G4547" s="4">
        <v>5</v>
      </c>
      <c r="H4547" s="4" t="s">
        <v>12</v>
      </c>
      <c r="I4547" s="4" t="s">
        <v>69</v>
      </c>
      <c r="J4547" s="4" t="s">
        <v>66</v>
      </c>
      <c r="K4547" s="4">
        <v>0</v>
      </c>
      <c r="L4547" s="94">
        <v>168028</v>
      </c>
      <c r="M4547" s="94">
        <v>840140</v>
      </c>
    </row>
    <row r="4548" spans="3:13" x14ac:dyDescent="0.3">
      <c r="C4548" t="s">
        <v>61</v>
      </c>
      <c r="D4548" t="s">
        <v>62</v>
      </c>
      <c r="E4548" t="s">
        <v>63</v>
      </c>
      <c r="F4548" t="s">
        <v>25</v>
      </c>
      <c r="G4548" s="4">
        <v>12</v>
      </c>
      <c r="I4548" s="4" t="s">
        <v>69</v>
      </c>
      <c r="J4548" s="4" t="s">
        <v>66</v>
      </c>
      <c r="K4548" s="4">
        <v>0</v>
      </c>
      <c r="L4548" s="94">
        <v>-11570</v>
      </c>
      <c r="M4548" s="94">
        <v>0</v>
      </c>
    </row>
    <row r="4549" spans="3:13" x14ac:dyDescent="0.3">
      <c r="C4549" t="s">
        <v>61</v>
      </c>
      <c r="D4549" t="s">
        <v>62</v>
      </c>
      <c r="E4549" t="s">
        <v>68</v>
      </c>
      <c r="F4549" t="s">
        <v>24</v>
      </c>
      <c r="G4549" s="4">
        <v>3</v>
      </c>
      <c r="I4549" s="4" t="s">
        <v>65</v>
      </c>
      <c r="J4549" s="4" t="s">
        <v>66</v>
      </c>
      <c r="K4549" s="4">
        <v>1</v>
      </c>
      <c r="L4549" s="94">
        <v>454791</v>
      </c>
      <c r="M4549" s="94">
        <v>1364373</v>
      </c>
    </row>
    <row r="4550" spans="3:13" x14ac:dyDescent="0.3">
      <c r="C4550" t="s">
        <v>70</v>
      </c>
      <c r="D4550" t="s">
        <v>67</v>
      </c>
      <c r="E4550" t="s">
        <v>63</v>
      </c>
      <c r="F4550" t="s">
        <v>25</v>
      </c>
      <c r="G4550" s="4">
        <v>1</v>
      </c>
      <c r="H4550" s="4" t="s">
        <v>14</v>
      </c>
      <c r="I4550" s="4" t="s">
        <v>69</v>
      </c>
      <c r="J4550" s="4" t="s">
        <v>66</v>
      </c>
      <c r="K4550" s="4">
        <v>1</v>
      </c>
      <c r="L4550" s="94">
        <v>-99064</v>
      </c>
      <c r="M4550" s="94">
        <v>0</v>
      </c>
    </row>
    <row r="4551" spans="3:13" x14ac:dyDescent="0.3">
      <c r="C4551" t="s">
        <v>61</v>
      </c>
      <c r="D4551" t="s">
        <v>67</v>
      </c>
      <c r="E4551" t="s">
        <v>63</v>
      </c>
      <c r="F4551" t="s">
        <v>72</v>
      </c>
      <c r="G4551" s="4">
        <v>3</v>
      </c>
      <c r="H4551" s="4" t="s">
        <v>17</v>
      </c>
      <c r="I4551" s="4" t="s">
        <v>65</v>
      </c>
      <c r="J4551" s="4" t="s">
        <v>73</v>
      </c>
      <c r="K4551" s="4">
        <v>1</v>
      </c>
      <c r="L4551" s="94">
        <v>-242</v>
      </c>
      <c r="M4551" s="94">
        <v>0</v>
      </c>
    </row>
    <row r="4552" spans="3:13" x14ac:dyDescent="0.3">
      <c r="C4552" t="s">
        <v>61</v>
      </c>
      <c r="D4552" t="s">
        <v>62</v>
      </c>
      <c r="E4552" t="s">
        <v>63</v>
      </c>
      <c r="F4552" t="s">
        <v>24</v>
      </c>
      <c r="G4552" s="4">
        <v>28</v>
      </c>
      <c r="I4552" s="4" t="s">
        <v>69</v>
      </c>
      <c r="J4552" s="4" t="s">
        <v>66</v>
      </c>
      <c r="K4552" s="4">
        <v>0</v>
      </c>
      <c r="L4552" s="94">
        <v>-369772</v>
      </c>
      <c r="M4552" s="94">
        <v>0</v>
      </c>
    </row>
    <row r="4553" spans="3:13" x14ac:dyDescent="0.3">
      <c r="C4553" t="s">
        <v>70</v>
      </c>
      <c r="D4553" t="s">
        <v>67</v>
      </c>
      <c r="E4553" t="s">
        <v>63</v>
      </c>
      <c r="F4553" t="s">
        <v>25</v>
      </c>
      <c r="G4553" s="4">
        <v>5</v>
      </c>
      <c r="H4553" s="4" t="s">
        <v>18</v>
      </c>
      <c r="I4553" s="4" t="s">
        <v>69</v>
      </c>
      <c r="J4553" s="4" t="s">
        <v>66</v>
      </c>
      <c r="K4553" s="4">
        <v>0</v>
      </c>
      <c r="L4553" s="94">
        <v>-98401</v>
      </c>
      <c r="M4553" s="94">
        <v>0</v>
      </c>
    </row>
    <row r="4554" spans="3:13" x14ac:dyDescent="0.3">
      <c r="C4554" t="s">
        <v>71</v>
      </c>
      <c r="D4554" t="s">
        <v>67</v>
      </c>
      <c r="E4554" t="s">
        <v>63</v>
      </c>
      <c r="F4554" t="s">
        <v>26</v>
      </c>
      <c r="G4554" s="4">
        <v>7</v>
      </c>
      <c r="H4554" s="4" t="s">
        <v>18</v>
      </c>
      <c r="I4554" s="4" t="s">
        <v>69</v>
      </c>
      <c r="J4554" s="4" t="s">
        <v>73</v>
      </c>
      <c r="K4554" s="4">
        <v>1</v>
      </c>
      <c r="L4554" s="94">
        <v>-28540</v>
      </c>
      <c r="M4554" s="94">
        <v>0</v>
      </c>
    </row>
    <row r="4555" spans="3:13" x14ac:dyDescent="0.3">
      <c r="C4555" t="s">
        <v>70</v>
      </c>
      <c r="D4555" t="s">
        <v>62</v>
      </c>
      <c r="E4555" t="s">
        <v>63</v>
      </c>
      <c r="F4555" t="s">
        <v>24</v>
      </c>
      <c r="G4555" s="4">
        <v>20</v>
      </c>
      <c r="I4555" s="4" t="s">
        <v>69</v>
      </c>
      <c r="J4555" s="4" t="s">
        <v>66</v>
      </c>
      <c r="K4555" s="4">
        <v>0</v>
      </c>
      <c r="L4555" s="94">
        <v>-1084267</v>
      </c>
      <c r="M4555" s="94">
        <v>0</v>
      </c>
    </row>
    <row r="4556" spans="3:13" x14ac:dyDescent="0.3">
      <c r="C4556" t="s">
        <v>70</v>
      </c>
      <c r="D4556" t="s">
        <v>67</v>
      </c>
      <c r="E4556" t="s">
        <v>68</v>
      </c>
      <c r="F4556" t="s">
        <v>26</v>
      </c>
      <c r="G4556" s="4">
        <v>-4</v>
      </c>
      <c r="H4556" s="4" t="s">
        <v>14</v>
      </c>
      <c r="I4556" s="4" t="s">
        <v>69</v>
      </c>
      <c r="J4556" s="4" t="s">
        <v>73</v>
      </c>
      <c r="K4556" s="4">
        <v>1</v>
      </c>
      <c r="L4556" s="94">
        <v>12569</v>
      </c>
      <c r="M4556" s="94">
        <v>0</v>
      </c>
    </row>
    <row r="4557" spans="3:13" x14ac:dyDescent="0.3">
      <c r="C4557" t="s">
        <v>70</v>
      </c>
      <c r="D4557" t="s">
        <v>67</v>
      </c>
      <c r="E4557" t="s">
        <v>68</v>
      </c>
      <c r="F4557" t="s">
        <v>72</v>
      </c>
      <c r="G4557" s="4">
        <v>3</v>
      </c>
      <c r="H4557" s="4" t="s">
        <v>17</v>
      </c>
      <c r="I4557" s="4" t="s">
        <v>65</v>
      </c>
      <c r="J4557" s="4" t="s">
        <v>73</v>
      </c>
      <c r="K4557" s="4">
        <v>1</v>
      </c>
      <c r="L4557" s="94">
        <v>41063</v>
      </c>
      <c r="M4557" s="94">
        <v>123189</v>
      </c>
    </row>
    <row r="4558" spans="3:13" x14ac:dyDescent="0.3">
      <c r="C4558" t="s">
        <v>61</v>
      </c>
      <c r="D4558" t="s">
        <v>67</v>
      </c>
      <c r="E4558" t="s">
        <v>63</v>
      </c>
      <c r="F4558" t="s">
        <v>26</v>
      </c>
      <c r="G4558" s="4">
        <v>6</v>
      </c>
      <c r="H4558" s="4" t="s">
        <v>83</v>
      </c>
      <c r="I4558" s="4" t="s">
        <v>69</v>
      </c>
      <c r="J4558" s="4" t="s">
        <v>66</v>
      </c>
      <c r="K4558" s="4">
        <v>0</v>
      </c>
      <c r="L4558" s="94">
        <v>-13665</v>
      </c>
      <c r="M4558" s="94">
        <v>0</v>
      </c>
    </row>
    <row r="4559" spans="3:13" x14ac:dyDescent="0.3">
      <c r="C4559" t="s">
        <v>61</v>
      </c>
      <c r="D4559" t="s">
        <v>67</v>
      </c>
      <c r="E4559" t="s">
        <v>63</v>
      </c>
      <c r="F4559" t="s">
        <v>26</v>
      </c>
      <c r="G4559" s="4">
        <v>5</v>
      </c>
      <c r="H4559" s="4" t="s">
        <v>12</v>
      </c>
      <c r="I4559" s="4" t="s">
        <v>65</v>
      </c>
      <c r="J4559" s="4" t="s">
        <v>73</v>
      </c>
      <c r="K4559" s="4">
        <v>1</v>
      </c>
      <c r="L4559" s="94">
        <v>-2230</v>
      </c>
      <c r="M4559" s="94">
        <v>0</v>
      </c>
    </row>
    <row r="4560" spans="3:13" x14ac:dyDescent="0.3">
      <c r="C4560" t="s">
        <v>70</v>
      </c>
      <c r="D4560" t="s">
        <v>67</v>
      </c>
      <c r="E4560" t="s">
        <v>68</v>
      </c>
      <c r="F4560" t="s">
        <v>72</v>
      </c>
      <c r="G4560" s="4">
        <v>1</v>
      </c>
      <c r="H4560" s="4" t="s">
        <v>79</v>
      </c>
      <c r="I4560" s="4" t="s">
        <v>69</v>
      </c>
      <c r="J4560" s="4" t="s">
        <v>66</v>
      </c>
      <c r="K4560" s="4">
        <v>0</v>
      </c>
      <c r="L4560" s="94">
        <v>324007</v>
      </c>
      <c r="M4560" s="94">
        <v>324007</v>
      </c>
    </row>
    <row r="4561" spans="3:13" x14ac:dyDescent="0.3">
      <c r="C4561" t="s">
        <v>61</v>
      </c>
      <c r="D4561" t="s">
        <v>62</v>
      </c>
      <c r="E4561" t="s">
        <v>68</v>
      </c>
      <c r="F4561" t="s">
        <v>24</v>
      </c>
      <c r="G4561" s="4">
        <v>44</v>
      </c>
      <c r="I4561" s="4" t="s">
        <v>65</v>
      </c>
      <c r="J4561" s="4" t="s">
        <v>66</v>
      </c>
      <c r="K4561" s="4">
        <v>1</v>
      </c>
      <c r="L4561" s="94">
        <v>76742</v>
      </c>
      <c r="M4561" s="94">
        <v>3376648</v>
      </c>
    </row>
    <row r="4562" spans="3:13" x14ac:dyDescent="0.3">
      <c r="C4562" t="s">
        <v>70</v>
      </c>
      <c r="D4562" t="s">
        <v>62</v>
      </c>
      <c r="E4562" t="s">
        <v>63</v>
      </c>
      <c r="F4562" t="s">
        <v>24</v>
      </c>
      <c r="G4562" s="4">
        <v>0</v>
      </c>
      <c r="I4562" s="4" t="s">
        <v>69</v>
      </c>
      <c r="J4562" s="4" t="s">
        <v>66</v>
      </c>
      <c r="K4562" s="4">
        <v>0</v>
      </c>
      <c r="L4562" s="94">
        <v>-2602</v>
      </c>
      <c r="M4562" s="94">
        <v>0</v>
      </c>
    </row>
    <row r="4563" spans="3:13" x14ac:dyDescent="0.3">
      <c r="C4563" t="s">
        <v>70</v>
      </c>
      <c r="D4563" t="s">
        <v>67</v>
      </c>
      <c r="E4563" t="s">
        <v>63</v>
      </c>
      <c r="F4563" t="s">
        <v>72</v>
      </c>
      <c r="G4563" s="4">
        <v>-4</v>
      </c>
      <c r="H4563" s="4" t="s">
        <v>16</v>
      </c>
      <c r="I4563" s="4" t="s">
        <v>69</v>
      </c>
      <c r="J4563" s="4" t="s">
        <v>66</v>
      </c>
      <c r="K4563" s="4">
        <v>0</v>
      </c>
      <c r="L4563" s="94">
        <v>-14</v>
      </c>
      <c r="M4563" s="94">
        <v>0</v>
      </c>
    </row>
    <row r="4564" spans="3:13" x14ac:dyDescent="0.3">
      <c r="C4564" t="s">
        <v>70</v>
      </c>
      <c r="D4564" t="s">
        <v>67</v>
      </c>
      <c r="E4564" t="s">
        <v>63</v>
      </c>
      <c r="F4564" t="s">
        <v>26</v>
      </c>
      <c r="G4564" s="4">
        <v>0</v>
      </c>
      <c r="H4564" s="4" t="s">
        <v>12</v>
      </c>
      <c r="I4564" s="4" t="s">
        <v>69</v>
      </c>
      <c r="J4564" s="4" t="s">
        <v>66</v>
      </c>
      <c r="K4564" s="4">
        <v>0</v>
      </c>
      <c r="L4564" s="94">
        <v>-3087</v>
      </c>
      <c r="M4564" s="94">
        <v>0</v>
      </c>
    </row>
    <row r="4565" spans="3:13" x14ac:dyDescent="0.3">
      <c r="C4565" t="s">
        <v>70</v>
      </c>
      <c r="D4565" t="s">
        <v>67</v>
      </c>
      <c r="E4565" t="s">
        <v>68</v>
      </c>
      <c r="F4565" t="s">
        <v>72</v>
      </c>
      <c r="G4565" s="4">
        <v>-4</v>
      </c>
      <c r="H4565" s="4" t="s">
        <v>83</v>
      </c>
      <c r="I4565" s="4" t="s">
        <v>69</v>
      </c>
      <c r="J4565" s="4" t="s">
        <v>66</v>
      </c>
      <c r="K4565" s="4">
        <v>0</v>
      </c>
      <c r="L4565" s="94">
        <v>241</v>
      </c>
      <c r="M4565" s="94">
        <v>0</v>
      </c>
    </row>
    <row r="4566" spans="3:13" x14ac:dyDescent="0.3">
      <c r="C4566" t="s">
        <v>70</v>
      </c>
      <c r="D4566" t="s">
        <v>67</v>
      </c>
      <c r="E4566" t="s">
        <v>68</v>
      </c>
      <c r="F4566" t="s">
        <v>26</v>
      </c>
      <c r="G4566" s="4">
        <v>2</v>
      </c>
      <c r="H4566" s="4" t="s">
        <v>18</v>
      </c>
      <c r="I4566" s="4" t="s">
        <v>69</v>
      </c>
      <c r="J4566" s="4" t="s">
        <v>66</v>
      </c>
      <c r="K4566" s="4">
        <v>0</v>
      </c>
      <c r="L4566" s="94">
        <v>23944803</v>
      </c>
      <c r="M4566" s="94">
        <v>47889606</v>
      </c>
    </row>
    <row r="4567" spans="3:13" x14ac:dyDescent="0.3">
      <c r="C4567" t="s">
        <v>61</v>
      </c>
      <c r="D4567" t="s">
        <v>67</v>
      </c>
      <c r="E4567" t="s">
        <v>63</v>
      </c>
      <c r="F4567" t="s">
        <v>25</v>
      </c>
      <c r="G4567" s="4">
        <v>13</v>
      </c>
      <c r="H4567" s="4" t="s">
        <v>76</v>
      </c>
      <c r="I4567" s="4" t="s">
        <v>65</v>
      </c>
      <c r="J4567" s="4" t="s">
        <v>66</v>
      </c>
      <c r="K4567" s="4">
        <v>1</v>
      </c>
      <c r="L4567" s="94">
        <v>-1625</v>
      </c>
      <c r="M4567" s="94">
        <v>0</v>
      </c>
    </row>
    <row r="4568" spans="3:13" x14ac:dyDescent="0.3">
      <c r="C4568" t="s">
        <v>71</v>
      </c>
      <c r="D4568" t="s">
        <v>67</v>
      </c>
      <c r="E4568" t="s">
        <v>63</v>
      </c>
      <c r="F4568" t="s">
        <v>26</v>
      </c>
      <c r="G4568" s="4">
        <v>3</v>
      </c>
      <c r="H4568" s="4" t="s">
        <v>12</v>
      </c>
      <c r="I4568" s="4" t="s">
        <v>69</v>
      </c>
      <c r="J4568" s="4" t="s">
        <v>66</v>
      </c>
      <c r="K4568" s="4">
        <v>0</v>
      </c>
      <c r="L4568" s="94">
        <v>-45297</v>
      </c>
      <c r="M4568" s="94">
        <v>0</v>
      </c>
    </row>
    <row r="4569" spans="3:13" x14ac:dyDescent="0.3">
      <c r="C4569" t="s">
        <v>61</v>
      </c>
      <c r="D4569" t="s">
        <v>62</v>
      </c>
      <c r="E4569" t="s">
        <v>68</v>
      </c>
      <c r="F4569" t="s">
        <v>24</v>
      </c>
      <c r="G4569" s="4">
        <v>17</v>
      </c>
      <c r="I4569" s="4" t="s">
        <v>69</v>
      </c>
      <c r="J4569" s="4" t="s">
        <v>66</v>
      </c>
      <c r="K4569" s="4">
        <v>1</v>
      </c>
      <c r="L4569" s="94">
        <v>1141383</v>
      </c>
      <c r="M4569" s="94">
        <v>19403511</v>
      </c>
    </row>
    <row r="4570" spans="3:13" x14ac:dyDescent="0.3">
      <c r="C4570" t="s">
        <v>61</v>
      </c>
      <c r="D4570" t="s">
        <v>67</v>
      </c>
      <c r="E4570" t="s">
        <v>63</v>
      </c>
      <c r="F4570" t="s">
        <v>72</v>
      </c>
      <c r="G4570" s="4">
        <v>4</v>
      </c>
      <c r="H4570" s="4" t="s">
        <v>17</v>
      </c>
      <c r="I4570" s="4" t="s">
        <v>65</v>
      </c>
      <c r="J4570" s="4" t="s">
        <v>73</v>
      </c>
      <c r="K4570" s="4">
        <v>1</v>
      </c>
      <c r="L4570" s="94">
        <v>-1787</v>
      </c>
      <c r="M4570" s="94">
        <v>0</v>
      </c>
    </row>
    <row r="4571" spans="3:13" x14ac:dyDescent="0.3">
      <c r="C4571" t="s">
        <v>61</v>
      </c>
      <c r="D4571" t="s">
        <v>62</v>
      </c>
      <c r="E4571" t="s">
        <v>63</v>
      </c>
      <c r="F4571" t="s">
        <v>24</v>
      </c>
      <c r="G4571" s="4">
        <v>8</v>
      </c>
      <c r="I4571" s="4" t="s">
        <v>65</v>
      </c>
      <c r="J4571" s="4" t="s">
        <v>66</v>
      </c>
      <c r="K4571" s="4">
        <v>1</v>
      </c>
      <c r="L4571" s="94">
        <v>-1044</v>
      </c>
      <c r="M4571" s="94">
        <v>0</v>
      </c>
    </row>
    <row r="4572" spans="3:13" x14ac:dyDescent="0.3">
      <c r="C4572" t="s">
        <v>70</v>
      </c>
      <c r="D4572" t="s">
        <v>67</v>
      </c>
      <c r="E4572" t="s">
        <v>68</v>
      </c>
      <c r="F4572" t="s">
        <v>26</v>
      </c>
      <c r="G4572" s="4">
        <v>3</v>
      </c>
      <c r="H4572" s="4" t="s">
        <v>79</v>
      </c>
      <c r="I4572" s="4" t="s">
        <v>69</v>
      </c>
      <c r="J4572" s="4" t="s">
        <v>66</v>
      </c>
      <c r="K4572" s="4">
        <v>0</v>
      </c>
      <c r="L4572" s="94">
        <v>4396162</v>
      </c>
      <c r="M4572" s="94">
        <v>13188486</v>
      </c>
    </row>
    <row r="4573" spans="3:13" x14ac:dyDescent="0.3">
      <c r="C4573" t="s">
        <v>71</v>
      </c>
      <c r="D4573" t="s">
        <v>67</v>
      </c>
      <c r="E4573" t="s">
        <v>68</v>
      </c>
      <c r="F4573" t="s">
        <v>26</v>
      </c>
      <c r="G4573" s="4">
        <v>-4</v>
      </c>
      <c r="I4573" s="4" t="s">
        <v>69</v>
      </c>
      <c r="J4573" s="4" t="s">
        <v>66</v>
      </c>
      <c r="K4573" s="4">
        <v>0</v>
      </c>
      <c r="L4573" s="94">
        <v>434206</v>
      </c>
      <c r="M4573" s="94">
        <v>0</v>
      </c>
    </row>
    <row r="4574" spans="3:13" x14ac:dyDescent="0.3">
      <c r="C4574" t="s">
        <v>70</v>
      </c>
      <c r="D4574" t="s">
        <v>62</v>
      </c>
      <c r="E4574" t="s">
        <v>63</v>
      </c>
      <c r="F4574" t="s">
        <v>24</v>
      </c>
      <c r="G4574" s="4">
        <v>12</v>
      </c>
      <c r="I4574" s="4" t="s">
        <v>65</v>
      </c>
      <c r="J4574" s="4" t="s">
        <v>66</v>
      </c>
      <c r="K4574" s="4">
        <v>1</v>
      </c>
      <c r="L4574" s="94">
        <v>-2543</v>
      </c>
      <c r="M4574" s="94">
        <v>0</v>
      </c>
    </row>
    <row r="4575" spans="3:13" x14ac:dyDescent="0.3">
      <c r="C4575" t="s">
        <v>70</v>
      </c>
      <c r="D4575" t="s">
        <v>67</v>
      </c>
      <c r="E4575" t="s">
        <v>63</v>
      </c>
      <c r="F4575" t="s">
        <v>26</v>
      </c>
      <c r="G4575" s="4">
        <v>-4</v>
      </c>
      <c r="H4575" s="4" t="s">
        <v>14</v>
      </c>
      <c r="I4575" s="4" t="s">
        <v>69</v>
      </c>
      <c r="J4575" s="4" t="s">
        <v>66</v>
      </c>
      <c r="K4575" s="4">
        <v>0</v>
      </c>
      <c r="L4575" s="94">
        <v>-35872</v>
      </c>
      <c r="M4575" s="94">
        <v>0</v>
      </c>
    </row>
    <row r="4576" spans="3:13" x14ac:dyDescent="0.3">
      <c r="C4576" t="s">
        <v>61</v>
      </c>
      <c r="D4576" t="s">
        <v>67</v>
      </c>
      <c r="E4576" t="s">
        <v>68</v>
      </c>
      <c r="F4576" t="s">
        <v>25</v>
      </c>
      <c r="G4576" s="4">
        <v>5</v>
      </c>
      <c r="H4576" s="4" t="s">
        <v>78</v>
      </c>
      <c r="I4576" s="4" t="s">
        <v>69</v>
      </c>
      <c r="J4576" s="4" t="s">
        <v>66</v>
      </c>
      <c r="K4576" s="4">
        <v>0</v>
      </c>
      <c r="L4576" s="94">
        <v>2918970</v>
      </c>
      <c r="M4576" s="94">
        <v>14594850</v>
      </c>
    </row>
    <row r="4577" spans="3:13" x14ac:dyDescent="0.3">
      <c r="C4577" t="s">
        <v>70</v>
      </c>
      <c r="D4577" t="s">
        <v>67</v>
      </c>
      <c r="E4577" t="s">
        <v>68</v>
      </c>
      <c r="F4577" t="s">
        <v>25</v>
      </c>
      <c r="G4577" s="4">
        <v>10</v>
      </c>
      <c r="H4577" s="4" t="s">
        <v>77</v>
      </c>
      <c r="I4577" s="4" t="s">
        <v>69</v>
      </c>
      <c r="J4577" s="4" t="s">
        <v>66</v>
      </c>
      <c r="K4577" s="4">
        <v>0</v>
      </c>
      <c r="L4577" s="94">
        <v>789111</v>
      </c>
      <c r="M4577" s="94">
        <v>7891110</v>
      </c>
    </row>
    <row r="4578" spans="3:13" x14ac:dyDescent="0.3">
      <c r="C4578" t="s">
        <v>70</v>
      </c>
      <c r="D4578" t="s">
        <v>67</v>
      </c>
      <c r="E4578" t="s">
        <v>68</v>
      </c>
      <c r="F4578" t="s">
        <v>72</v>
      </c>
      <c r="G4578" s="4">
        <v>5</v>
      </c>
      <c r="H4578" s="4" t="s">
        <v>12</v>
      </c>
      <c r="I4578" s="4" t="s">
        <v>69</v>
      </c>
      <c r="J4578" s="4" t="s">
        <v>66</v>
      </c>
      <c r="K4578" s="4">
        <v>0</v>
      </c>
      <c r="L4578" s="94">
        <v>190401</v>
      </c>
      <c r="M4578" s="94">
        <v>952005</v>
      </c>
    </row>
    <row r="4579" spans="3:13" x14ac:dyDescent="0.3">
      <c r="C4579" t="s">
        <v>70</v>
      </c>
      <c r="D4579" t="s">
        <v>67</v>
      </c>
      <c r="E4579" t="s">
        <v>68</v>
      </c>
      <c r="F4579" t="s">
        <v>72</v>
      </c>
      <c r="G4579" s="4">
        <v>-1</v>
      </c>
      <c r="H4579" s="4" t="s">
        <v>75</v>
      </c>
      <c r="I4579" s="4" t="s">
        <v>65</v>
      </c>
      <c r="J4579" s="4" t="s">
        <v>66</v>
      </c>
      <c r="K4579" s="4">
        <v>1</v>
      </c>
      <c r="L4579" s="94">
        <v>300486</v>
      </c>
      <c r="M4579" s="94">
        <v>0</v>
      </c>
    </row>
    <row r="4580" spans="3:13" x14ac:dyDescent="0.3">
      <c r="C4580" t="s">
        <v>71</v>
      </c>
      <c r="D4580" t="s">
        <v>67</v>
      </c>
      <c r="E4580" t="s">
        <v>68</v>
      </c>
      <c r="F4580" t="s">
        <v>26</v>
      </c>
      <c r="G4580" s="4">
        <v>10</v>
      </c>
      <c r="H4580" s="4" t="s">
        <v>14</v>
      </c>
      <c r="I4580" s="4" t="s">
        <v>69</v>
      </c>
      <c r="J4580" s="4" t="s">
        <v>73</v>
      </c>
      <c r="K4580" s="4">
        <v>1</v>
      </c>
      <c r="L4580" s="94">
        <v>2557707</v>
      </c>
      <c r="M4580" s="94">
        <v>25577070</v>
      </c>
    </row>
    <row r="4581" spans="3:13" x14ac:dyDescent="0.3">
      <c r="C4581" t="s">
        <v>61</v>
      </c>
      <c r="D4581" t="s">
        <v>67</v>
      </c>
      <c r="E4581" t="s">
        <v>63</v>
      </c>
      <c r="F4581" t="s">
        <v>72</v>
      </c>
      <c r="G4581" s="4">
        <v>0</v>
      </c>
      <c r="H4581" s="4" t="s">
        <v>12</v>
      </c>
      <c r="I4581" s="4" t="s">
        <v>69</v>
      </c>
      <c r="J4581" s="4" t="s">
        <v>66</v>
      </c>
      <c r="K4581" s="4">
        <v>0</v>
      </c>
      <c r="L4581" s="94">
        <v>-89</v>
      </c>
      <c r="M4581" s="94">
        <v>0</v>
      </c>
    </row>
    <row r="4582" spans="3:13" x14ac:dyDescent="0.3">
      <c r="C4582" t="s">
        <v>70</v>
      </c>
      <c r="D4582" t="s">
        <v>67</v>
      </c>
      <c r="E4582" t="s">
        <v>68</v>
      </c>
      <c r="F4582" t="s">
        <v>25</v>
      </c>
      <c r="G4582" s="4">
        <v>19</v>
      </c>
      <c r="H4582" s="4" t="s">
        <v>76</v>
      </c>
      <c r="I4582" s="4" t="s">
        <v>69</v>
      </c>
      <c r="J4582" s="4" t="s">
        <v>66</v>
      </c>
      <c r="K4582" s="4">
        <v>0</v>
      </c>
      <c r="L4582" s="94">
        <v>280234</v>
      </c>
      <c r="M4582" s="94">
        <v>5324446</v>
      </c>
    </row>
    <row r="4583" spans="3:13" x14ac:dyDescent="0.3">
      <c r="C4583" t="s">
        <v>70</v>
      </c>
      <c r="D4583" t="s">
        <v>67</v>
      </c>
      <c r="E4583" t="s">
        <v>63</v>
      </c>
      <c r="F4583" t="s">
        <v>25</v>
      </c>
      <c r="G4583" s="4">
        <v>10</v>
      </c>
      <c r="H4583" s="4" t="s">
        <v>14</v>
      </c>
      <c r="I4583" s="4" t="s">
        <v>69</v>
      </c>
      <c r="J4583" s="4" t="s">
        <v>66</v>
      </c>
      <c r="K4583" s="4">
        <v>0</v>
      </c>
      <c r="L4583" s="94">
        <v>-6325</v>
      </c>
      <c r="M4583" s="94">
        <v>0</v>
      </c>
    </row>
    <row r="4584" spans="3:13" x14ac:dyDescent="0.3">
      <c r="C4584" t="s">
        <v>61</v>
      </c>
      <c r="D4584" t="s">
        <v>62</v>
      </c>
      <c r="E4584" t="s">
        <v>63</v>
      </c>
      <c r="F4584" t="s">
        <v>24</v>
      </c>
      <c r="G4584" s="4">
        <v>30</v>
      </c>
      <c r="I4584" s="4" t="s">
        <v>69</v>
      </c>
      <c r="J4584" s="4" t="s">
        <v>66</v>
      </c>
      <c r="K4584" s="4">
        <v>0</v>
      </c>
      <c r="L4584" s="94">
        <v>-393989</v>
      </c>
      <c r="M4584" s="94">
        <v>0</v>
      </c>
    </row>
    <row r="4585" spans="3:13" x14ac:dyDescent="0.3">
      <c r="C4585" t="s">
        <v>70</v>
      </c>
      <c r="D4585" t="s">
        <v>62</v>
      </c>
      <c r="E4585" t="s">
        <v>63</v>
      </c>
      <c r="F4585" t="s">
        <v>24</v>
      </c>
      <c r="G4585" s="4">
        <v>36</v>
      </c>
      <c r="I4585" s="4" t="s">
        <v>69</v>
      </c>
      <c r="J4585" s="4" t="s">
        <v>66</v>
      </c>
      <c r="K4585" s="4">
        <v>1</v>
      </c>
      <c r="L4585" s="94">
        <v>-3349</v>
      </c>
      <c r="M4585" s="94">
        <v>0</v>
      </c>
    </row>
    <row r="4586" spans="3:13" x14ac:dyDescent="0.3">
      <c r="C4586" t="s">
        <v>70</v>
      </c>
      <c r="D4586" t="s">
        <v>67</v>
      </c>
      <c r="E4586" t="s">
        <v>68</v>
      </c>
      <c r="F4586" t="s">
        <v>25</v>
      </c>
      <c r="G4586" s="4">
        <v>7</v>
      </c>
      <c r="H4586" s="4" t="s">
        <v>76</v>
      </c>
      <c r="I4586" s="4" t="s">
        <v>69</v>
      </c>
      <c r="J4586" s="4" t="s">
        <v>66</v>
      </c>
      <c r="K4586" s="4">
        <v>0</v>
      </c>
      <c r="L4586" s="94">
        <v>9930061</v>
      </c>
      <c r="M4586" s="94">
        <v>69510427</v>
      </c>
    </row>
    <row r="4587" spans="3:13" x14ac:dyDescent="0.3">
      <c r="C4587" t="s">
        <v>61</v>
      </c>
      <c r="D4587" t="s">
        <v>67</v>
      </c>
      <c r="E4587" t="s">
        <v>63</v>
      </c>
      <c r="F4587" t="s">
        <v>25</v>
      </c>
      <c r="G4587" s="4">
        <v>3</v>
      </c>
      <c r="H4587" s="4" t="s">
        <v>14</v>
      </c>
      <c r="I4587" s="4" t="s">
        <v>69</v>
      </c>
      <c r="J4587" s="4" t="s">
        <v>66</v>
      </c>
      <c r="K4587" s="4">
        <v>0</v>
      </c>
      <c r="L4587" s="94">
        <v>-2670</v>
      </c>
      <c r="M4587" s="94">
        <v>0</v>
      </c>
    </row>
    <row r="4588" spans="3:13" x14ac:dyDescent="0.3">
      <c r="C4588" t="s">
        <v>70</v>
      </c>
      <c r="D4588" t="s">
        <v>67</v>
      </c>
      <c r="E4588" t="s">
        <v>68</v>
      </c>
      <c r="F4588" t="s">
        <v>26</v>
      </c>
      <c r="G4588" s="4">
        <v>8</v>
      </c>
      <c r="H4588" s="4" t="s">
        <v>18</v>
      </c>
      <c r="I4588" s="4" t="s">
        <v>69</v>
      </c>
      <c r="J4588" s="4" t="s">
        <v>66</v>
      </c>
      <c r="K4588" s="4">
        <v>0</v>
      </c>
      <c r="L4588" s="94">
        <v>2487674</v>
      </c>
      <c r="M4588" s="94">
        <v>19901392</v>
      </c>
    </row>
    <row r="4589" spans="3:13" x14ac:dyDescent="0.3">
      <c r="C4589" t="s">
        <v>71</v>
      </c>
      <c r="D4589" t="s">
        <v>67</v>
      </c>
      <c r="E4589" t="s">
        <v>68</v>
      </c>
      <c r="F4589" t="s">
        <v>26</v>
      </c>
      <c r="G4589" s="4">
        <v>1</v>
      </c>
      <c r="H4589" s="4" t="s">
        <v>81</v>
      </c>
      <c r="I4589" s="4" t="s">
        <v>69</v>
      </c>
      <c r="J4589" s="4" t="s">
        <v>66</v>
      </c>
      <c r="K4589" s="4">
        <v>0</v>
      </c>
      <c r="L4589" s="94">
        <v>18304</v>
      </c>
      <c r="M4589" s="94">
        <v>18304</v>
      </c>
    </row>
    <row r="4590" spans="3:13" x14ac:dyDescent="0.3">
      <c r="C4590" t="s">
        <v>61</v>
      </c>
      <c r="D4590" t="s">
        <v>62</v>
      </c>
      <c r="E4590" t="s">
        <v>63</v>
      </c>
      <c r="F4590" t="s">
        <v>25</v>
      </c>
      <c r="G4590" s="4">
        <v>18</v>
      </c>
      <c r="I4590" s="4" t="s">
        <v>69</v>
      </c>
      <c r="J4590" s="4" t="s">
        <v>66</v>
      </c>
      <c r="K4590" s="4">
        <v>0</v>
      </c>
      <c r="L4590" s="94">
        <v>-1526</v>
      </c>
      <c r="M4590" s="94">
        <v>0</v>
      </c>
    </row>
    <row r="4591" spans="3:13" x14ac:dyDescent="0.3">
      <c r="C4591" t="s">
        <v>61</v>
      </c>
      <c r="D4591" t="s">
        <v>67</v>
      </c>
      <c r="E4591" t="s">
        <v>68</v>
      </c>
      <c r="F4591" t="s">
        <v>25</v>
      </c>
      <c r="G4591" s="4">
        <v>0</v>
      </c>
      <c r="H4591" s="4" t="s">
        <v>14</v>
      </c>
      <c r="I4591" s="4" t="s">
        <v>69</v>
      </c>
      <c r="J4591" s="4" t="s">
        <v>73</v>
      </c>
      <c r="K4591" s="4">
        <v>1</v>
      </c>
      <c r="L4591" s="94">
        <v>9715960</v>
      </c>
      <c r="M4591" s="94">
        <v>0</v>
      </c>
    </row>
    <row r="4592" spans="3:13" x14ac:dyDescent="0.3">
      <c r="C4592" t="s">
        <v>70</v>
      </c>
      <c r="D4592" t="s">
        <v>67</v>
      </c>
      <c r="E4592" t="s">
        <v>68</v>
      </c>
      <c r="F4592" t="s">
        <v>72</v>
      </c>
      <c r="G4592" s="4">
        <v>6</v>
      </c>
      <c r="H4592" s="4" t="s">
        <v>76</v>
      </c>
      <c r="I4592" s="4" t="s">
        <v>69</v>
      </c>
      <c r="J4592" s="4" t="s">
        <v>66</v>
      </c>
      <c r="K4592" s="4">
        <v>0</v>
      </c>
      <c r="L4592" s="94">
        <v>103414</v>
      </c>
      <c r="M4592" s="94">
        <v>620484</v>
      </c>
    </row>
    <row r="4593" spans="3:13" x14ac:dyDescent="0.3">
      <c r="C4593" t="s">
        <v>70</v>
      </c>
      <c r="D4593" t="s">
        <v>67</v>
      </c>
      <c r="E4593" t="s">
        <v>68</v>
      </c>
      <c r="F4593" t="s">
        <v>26</v>
      </c>
      <c r="G4593" s="4">
        <v>6</v>
      </c>
      <c r="H4593" s="4" t="s">
        <v>77</v>
      </c>
      <c r="I4593" s="4" t="s">
        <v>69</v>
      </c>
      <c r="J4593" s="4" t="s">
        <v>66</v>
      </c>
      <c r="K4593" s="4">
        <v>0</v>
      </c>
      <c r="L4593" s="94">
        <v>249257</v>
      </c>
      <c r="M4593" s="94">
        <v>1495542</v>
      </c>
    </row>
    <row r="4594" spans="3:13" x14ac:dyDescent="0.3">
      <c r="C4594" t="s">
        <v>71</v>
      </c>
      <c r="D4594" t="s">
        <v>67</v>
      </c>
      <c r="E4594" t="s">
        <v>68</v>
      </c>
      <c r="F4594" t="s">
        <v>26</v>
      </c>
      <c r="G4594" s="4">
        <v>2</v>
      </c>
      <c r="H4594" s="4" t="s">
        <v>18</v>
      </c>
      <c r="I4594" s="4" t="s">
        <v>65</v>
      </c>
      <c r="J4594" s="4" t="s">
        <v>66</v>
      </c>
      <c r="K4594" s="4">
        <v>1</v>
      </c>
      <c r="L4594" s="94">
        <v>1500</v>
      </c>
      <c r="M4594" s="94">
        <v>3000</v>
      </c>
    </row>
    <row r="4595" spans="3:13" x14ac:dyDescent="0.3">
      <c r="C4595" t="s">
        <v>70</v>
      </c>
      <c r="D4595" t="s">
        <v>67</v>
      </c>
      <c r="E4595" t="s">
        <v>68</v>
      </c>
      <c r="F4595" t="s">
        <v>25</v>
      </c>
      <c r="G4595" s="4">
        <v>3</v>
      </c>
      <c r="H4595" s="4" t="s">
        <v>74</v>
      </c>
      <c r="I4595" s="4" t="s">
        <v>69</v>
      </c>
      <c r="J4595" s="4" t="s">
        <v>66</v>
      </c>
      <c r="K4595" s="4">
        <v>0</v>
      </c>
      <c r="L4595" s="94">
        <v>305293</v>
      </c>
      <c r="M4595" s="94">
        <v>915879</v>
      </c>
    </row>
    <row r="4596" spans="3:13" x14ac:dyDescent="0.3">
      <c r="C4596" t="s">
        <v>71</v>
      </c>
      <c r="D4596" t="s">
        <v>67</v>
      </c>
      <c r="E4596" t="s">
        <v>68</v>
      </c>
      <c r="F4596" t="s">
        <v>26</v>
      </c>
      <c r="G4596" s="4">
        <v>-4</v>
      </c>
      <c r="H4596" s="4" t="s">
        <v>15</v>
      </c>
      <c r="I4596" s="4" t="s">
        <v>69</v>
      </c>
      <c r="J4596" s="4" t="s">
        <v>66</v>
      </c>
      <c r="K4596" s="4">
        <v>0</v>
      </c>
      <c r="L4596" s="94">
        <v>52976</v>
      </c>
      <c r="M4596" s="94">
        <v>0</v>
      </c>
    </row>
    <row r="4597" spans="3:13" x14ac:dyDescent="0.3">
      <c r="C4597" t="s">
        <v>61</v>
      </c>
      <c r="D4597" t="s">
        <v>67</v>
      </c>
      <c r="E4597" t="s">
        <v>68</v>
      </c>
      <c r="F4597" t="s">
        <v>25</v>
      </c>
      <c r="G4597" s="4">
        <v>14</v>
      </c>
      <c r="H4597" s="4" t="s">
        <v>80</v>
      </c>
      <c r="I4597" s="4" t="s">
        <v>69</v>
      </c>
      <c r="J4597" s="4" t="s">
        <v>66</v>
      </c>
      <c r="K4597" s="4">
        <v>0</v>
      </c>
      <c r="L4597" s="94">
        <v>264962</v>
      </c>
      <c r="M4597" s="94">
        <v>3709468</v>
      </c>
    </row>
    <row r="4598" spans="3:13" x14ac:dyDescent="0.3">
      <c r="C4598" t="s">
        <v>70</v>
      </c>
      <c r="D4598" t="s">
        <v>67</v>
      </c>
      <c r="E4598" t="s">
        <v>63</v>
      </c>
      <c r="F4598" t="s">
        <v>26</v>
      </c>
      <c r="G4598" s="4">
        <v>4</v>
      </c>
      <c r="H4598" s="4" t="s">
        <v>76</v>
      </c>
      <c r="I4598" s="4" t="s">
        <v>69</v>
      </c>
      <c r="J4598" s="4" t="s">
        <v>66</v>
      </c>
      <c r="K4598" s="4">
        <v>0</v>
      </c>
      <c r="L4598" s="94">
        <v>-193411</v>
      </c>
      <c r="M4598" s="94">
        <v>0</v>
      </c>
    </row>
    <row r="4599" spans="3:13" x14ac:dyDescent="0.3">
      <c r="C4599" t="s">
        <v>70</v>
      </c>
      <c r="D4599" t="s">
        <v>67</v>
      </c>
      <c r="E4599" t="s">
        <v>63</v>
      </c>
      <c r="F4599" t="s">
        <v>25</v>
      </c>
      <c r="G4599" s="4">
        <v>2</v>
      </c>
      <c r="H4599" s="4" t="s">
        <v>79</v>
      </c>
      <c r="I4599" s="4" t="s">
        <v>69</v>
      </c>
      <c r="J4599" s="4" t="s">
        <v>66</v>
      </c>
      <c r="K4599" s="4">
        <v>0</v>
      </c>
      <c r="L4599" s="94">
        <v>-4759</v>
      </c>
      <c r="M4599" s="94">
        <v>0</v>
      </c>
    </row>
    <row r="4600" spans="3:13" x14ac:dyDescent="0.3">
      <c r="C4600" t="s">
        <v>61</v>
      </c>
      <c r="D4600" t="s">
        <v>67</v>
      </c>
      <c r="E4600" t="s">
        <v>68</v>
      </c>
      <c r="F4600" t="s">
        <v>26</v>
      </c>
      <c r="G4600" s="4">
        <v>1</v>
      </c>
      <c r="H4600" s="4" t="s">
        <v>12</v>
      </c>
      <c r="I4600" s="4" t="s">
        <v>69</v>
      </c>
      <c r="J4600" s="4" t="s">
        <v>66</v>
      </c>
      <c r="K4600" s="4">
        <v>0</v>
      </c>
      <c r="L4600" s="94">
        <v>3052326</v>
      </c>
      <c r="M4600" s="94">
        <v>3052326</v>
      </c>
    </row>
    <row r="4601" spans="3:13" x14ac:dyDescent="0.3">
      <c r="C4601" t="s">
        <v>70</v>
      </c>
      <c r="D4601" t="s">
        <v>67</v>
      </c>
      <c r="E4601" t="s">
        <v>63</v>
      </c>
      <c r="F4601" t="s">
        <v>72</v>
      </c>
      <c r="G4601" s="4">
        <v>4</v>
      </c>
      <c r="H4601" s="4" t="s">
        <v>74</v>
      </c>
      <c r="I4601" s="4" t="s">
        <v>69</v>
      </c>
      <c r="J4601" s="4" t="s">
        <v>66</v>
      </c>
      <c r="K4601" s="4">
        <v>0</v>
      </c>
      <c r="L4601" s="94">
        <v>-48383</v>
      </c>
      <c r="M4601" s="94">
        <v>0</v>
      </c>
    </row>
    <row r="4602" spans="3:13" x14ac:dyDescent="0.3">
      <c r="C4602" t="s">
        <v>61</v>
      </c>
      <c r="D4602" t="s">
        <v>67</v>
      </c>
      <c r="E4602" t="s">
        <v>63</v>
      </c>
      <c r="F4602" t="s">
        <v>25</v>
      </c>
      <c r="G4602" s="4">
        <v>5</v>
      </c>
      <c r="H4602" s="4" t="s">
        <v>75</v>
      </c>
      <c r="I4602" s="4" t="s">
        <v>65</v>
      </c>
      <c r="J4602" s="4" t="s">
        <v>66</v>
      </c>
      <c r="K4602" s="4">
        <v>1</v>
      </c>
      <c r="L4602" s="94">
        <v>-868</v>
      </c>
      <c r="M4602" s="94">
        <v>0</v>
      </c>
    </row>
    <row r="4603" spans="3:13" x14ac:dyDescent="0.3">
      <c r="C4603" t="s">
        <v>71</v>
      </c>
      <c r="D4603" t="s">
        <v>62</v>
      </c>
      <c r="E4603" t="s">
        <v>68</v>
      </c>
      <c r="F4603" t="s">
        <v>25</v>
      </c>
      <c r="G4603" s="4">
        <v>29</v>
      </c>
      <c r="I4603" s="4" t="s">
        <v>69</v>
      </c>
      <c r="J4603" s="4" t="s">
        <v>66</v>
      </c>
      <c r="K4603" s="4">
        <v>0</v>
      </c>
      <c r="L4603" s="94">
        <v>86710</v>
      </c>
      <c r="M4603" s="94">
        <v>2514590</v>
      </c>
    </row>
    <row r="4604" spans="3:13" x14ac:dyDescent="0.3">
      <c r="C4604" t="s">
        <v>70</v>
      </c>
      <c r="D4604" t="s">
        <v>67</v>
      </c>
      <c r="E4604" t="s">
        <v>63</v>
      </c>
      <c r="F4604" t="s">
        <v>72</v>
      </c>
      <c r="G4604" s="4">
        <v>1</v>
      </c>
      <c r="H4604" s="4" t="s">
        <v>18</v>
      </c>
      <c r="I4604" s="4" t="s">
        <v>69</v>
      </c>
      <c r="J4604" s="4" t="s">
        <v>73</v>
      </c>
      <c r="K4604" s="4">
        <v>1</v>
      </c>
      <c r="L4604" s="94">
        <v>-2147</v>
      </c>
      <c r="M4604" s="94">
        <v>0</v>
      </c>
    </row>
    <row r="4605" spans="3:13" x14ac:dyDescent="0.3">
      <c r="C4605" t="s">
        <v>71</v>
      </c>
      <c r="D4605" t="s">
        <v>67</v>
      </c>
      <c r="E4605" t="s">
        <v>63</v>
      </c>
      <c r="F4605" t="s">
        <v>25</v>
      </c>
      <c r="G4605" s="4">
        <v>10</v>
      </c>
      <c r="H4605" s="4" t="s">
        <v>17</v>
      </c>
      <c r="I4605" s="4" t="s">
        <v>69</v>
      </c>
      <c r="J4605" s="4" t="s">
        <v>66</v>
      </c>
      <c r="K4605" s="4">
        <v>0</v>
      </c>
      <c r="L4605" s="94">
        <v>-15361</v>
      </c>
      <c r="M4605" s="94">
        <v>0</v>
      </c>
    </row>
    <row r="4606" spans="3:13" x14ac:dyDescent="0.3">
      <c r="C4606" t="s">
        <v>70</v>
      </c>
      <c r="D4606" t="s">
        <v>62</v>
      </c>
      <c r="E4606" t="s">
        <v>63</v>
      </c>
      <c r="F4606" t="s">
        <v>25</v>
      </c>
      <c r="G4606" s="4">
        <v>34</v>
      </c>
      <c r="I4606" s="4" t="s">
        <v>69</v>
      </c>
      <c r="J4606" s="4" t="s">
        <v>66</v>
      </c>
      <c r="K4606" s="4">
        <v>0</v>
      </c>
      <c r="L4606" s="94">
        <v>-7644</v>
      </c>
      <c r="M4606" s="94">
        <v>0</v>
      </c>
    </row>
    <row r="4607" spans="3:13" x14ac:dyDescent="0.3">
      <c r="C4607" t="s">
        <v>71</v>
      </c>
      <c r="D4607" t="s">
        <v>67</v>
      </c>
      <c r="E4607" t="s">
        <v>68</v>
      </c>
      <c r="F4607" t="s">
        <v>25</v>
      </c>
      <c r="G4607" s="4">
        <v>2</v>
      </c>
      <c r="H4607" s="4" t="s">
        <v>75</v>
      </c>
      <c r="I4607" s="4" t="s">
        <v>69</v>
      </c>
      <c r="J4607" s="4" t="s">
        <v>66</v>
      </c>
      <c r="K4607" s="4">
        <v>0</v>
      </c>
      <c r="L4607" s="94">
        <v>3488075</v>
      </c>
      <c r="M4607" s="94">
        <v>6976150</v>
      </c>
    </row>
    <row r="4608" spans="3:13" x14ac:dyDescent="0.3">
      <c r="C4608" t="s">
        <v>61</v>
      </c>
      <c r="D4608" t="s">
        <v>62</v>
      </c>
      <c r="E4608" t="s">
        <v>68</v>
      </c>
      <c r="F4608" t="s">
        <v>24</v>
      </c>
      <c r="G4608" s="4">
        <v>24</v>
      </c>
      <c r="I4608" s="4" t="s">
        <v>65</v>
      </c>
      <c r="J4608" s="4" t="s">
        <v>66</v>
      </c>
      <c r="K4608" s="4">
        <v>1</v>
      </c>
      <c r="L4608" s="94">
        <v>10135379</v>
      </c>
      <c r="M4608" s="94">
        <v>243249096</v>
      </c>
    </row>
    <row r="4609" spans="3:13" x14ac:dyDescent="0.3">
      <c r="C4609" t="s">
        <v>61</v>
      </c>
      <c r="D4609" t="s">
        <v>67</v>
      </c>
      <c r="E4609" t="s">
        <v>63</v>
      </c>
      <c r="F4609" t="s">
        <v>72</v>
      </c>
      <c r="G4609" s="4">
        <v>5</v>
      </c>
      <c r="H4609" s="4" t="s">
        <v>80</v>
      </c>
      <c r="I4609" s="4" t="s">
        <v>69</v>
      </c>
      <c r="J4609" s="4" t="s">
        <v>66</v>
      </c>
      <c r="K4609" s="4">
        <v>0</v>
      </c>
      <c r="L4609" s="94">
        <v>-1744</v>
      </c>
      <c r="M4609" s="94">
        <v>0</v>
      </c>
    </row>
    <row r="4610" spans="3:13" x14ac:dyDescent="0.3">
      <c r="C4610" t="s">
        <v>70</v>
      </c>
      <c r="D4610" t="s">
        <v>67</v>
      </c>
      <c r="E4610" t="s">
        <v>63</v>
      </c>
      <c r="F4610" t="s">
        <v>25</v>
      </c>
      <c r="G4610" s="4">
        <v>10</v>
      </c>
      <c r="H4610" s="4" t="s">
        <v>74</v>
      </c>
      <c r="I4610" s="4" t="s">
        <v>69</v>
      </c>
      <c r="J4610" s="4" t="s">
        <v>66</v>
      </c>
      <c r="K4610" s="4">
        <v>0</v>
      </c>
      <c r="L4610" s="94">
        <v>-7871</v>
      </c>
      <c r="M4610" s="94">
        <v>0</v>
      </c>
    </row>
    <row r="4611" spans="3:13" x14ac:dyDescent="0.3">
      <c r="C4611" t="s">
        <v>70</v>
      </c>
      <c r="D4611" t="s">
        <v>67</v>
      </c>
      <c r="E4611" t="s">
        <v>68</v>
      </c>
      <c r="F4611" t="s">
        <v>72</v>
      </c>
      <c r="G4611" s="4">
        <v>4</v>
      </c>
      <c r="H4611" s="4" t="s">
        <v>17</v>
      </c>
      <c r="I4611" s="4" t="s">
        <v>69</v>
      </c>
      <c r="J4611" s="4" t="s">
        <v>73</v>
      </c>
      <c r="K4611" s="4">
        <v>1</v>
      </c>
      <c r="L4611" s="94">
        <v>94408</v>
      </c>
      <c r="M4611" s="94">
        <v>377632</v>
      </c>
    </row>
    <row r="4612" spans="3:13" x14ac:dyDescent="0.3">
      <c r="C4612" t="s">
        <v>61</v>
      </c>
      <c r="D4612" t="s">
        <v>67</v>
      </c>
      <c r="E4612" t="s">
        <v>63</v>
      </c>
      <c r="F4612" t="s">
        <v>72</v>
      </c>
      <c r="G4612" s="4">
        <v>7</v>
      </c>
      <c r="H4612" s="4" t="s">
        <v>81</v>
      </c>
      <c r="I4612" s="4" t="s">
        <v>69</v>
      </c>
      <c r="J4612" s="4" t="s">
        <v>66</v>
      </c>
      <c r="K4612" s="4">
        <v>0</v>
      </c>
      <c r="L4612" s="94">
        <v>-616</v>
      </c>
      <c r="M4612" s="94">
        <v>0</v>
      </c>
    </row>
    <row r="4613" spans="3:13" x14ac:dyDescent="0.3">
      <c r="C4613" t="s">
        <v>61</v>
      </c>
      <c r="D4613" t="s">
        <v>67</v>
      </c>
      <c r="E4613" t="s">
        <v>63</v>
      </c>
      <c r="F4613" t="s">
        <v>25</v>
      </c>
      <c r="G4613" s="4">
        <v>10</v>
      </c>
      <c r="H4613" s="4" t="s">
        <v>75</v>
      </c>
      <c r="I4613" s="4" t="s">
        <v>69</v>
      </c>
      <c r="J4613" s="4" t="s">
        <v>66</v>
      </c>
      <c r="K4613" s="4">
        <v>0</v>
      </c>
      <c r="L4613" s="94">
        <v>-132322</v>
      </c>
      <c r="M4613" s="94">
        <v>0</v>
      </c>
    </row>
    <row r="4614" spans="3:13" x14ac:dyDescent="0.3">
      <c r="C4614" t="s">
        <v>70</v>
      </c>
      <c r="D4614" t="s">
        <v>67</v>
      </c>
      <c r="E4614" t="s">
        <v>63</v>
      </c>
      <c r="F4614" t="s">
        <v>26</v>
      </c>
      <c r="G4614" s="4">
        <v>7</v>
      </c>
      <c r="H4614" s="4" t="s">
        <v>12</v>
      </c>
      <c r="I4614" s="4" t="s">
        <v>69</v>
      </c>
      <c r="J4614" s="4" t="s">
        <v>66</v>
      </c>
      <c r="K4614" s="4">
        <v>0</v>
      </c>
      <c r="L4614" s="94">
        <v>-17479</v>
      </c>
      <c r="M4614" s="94">
        <v>0</v>
      </c>
    </row>
    <row r="4615" spans="3:13" x14ac:dyDescent="0.3">
      <c r="C4615" t="s">
        <v>71</v>
      </c>
      <c r="D4615" t="s">
        <v>67</v>
      </c>
      <c r="E4615" t="s">
        <v>63</v>
      </c>
      <c r="F4615" t="s">
        <v>26</v>
      </c>
      <c r="G4615" s="4">
        <v>10</v>
      </c>
      <c r="H4615" s="4" t="s">
        <v>14</v>
      </c>
      <c r="I4615" s="4" t="s">
        <v>69</v>
      </c>
      <c r="J4615" s="4" t="s">
        <v>66</v>
      </c>
      <c r="K4615" s="4">
        <v>0</v>
      </c>
      <c r="L4615" s="94">
        <v>-28196</v>
      </c>
      <c r="M4615" s="94">
        <v>0</v>
      </c>
    </row>
    <row r="4616" spans="3:13" x14ac:dyDescent="0.3">
      <c r="C4616" t="s">
        <v>70</v>
      </c>
      <c r="D4616" t="s">
        <v>62</v>
      </c>
      <c r="E4616" t="s">
        <v>68</v>
      </c>
      <c r="F4616" t="s">
        <v>25</v>
      </c>
      <c r="G4616" s="4">
        <v>10</v>
      </c>
      <c r="I4616" s="4" t="s">
        <v>69</v>
      </c>
      <c r="J4616" s="4" t="s">
        <v>66</v>
      </c>
      <c r="K4616" s="4">
        <v>1</v>
      </c>
      <c r="L4616" s="94">
        <v>82278</v>
      </c>
      <c r="M4616" s="94">
        <v>822780</v>
      </c>
    </row>
    <row r="4617" spans="3:13" x14ac:dyDescent="0.3">
      <c r="C4617" t="s">
        <v>61</v>
      </c>
      <c r="D4617" t="s">
        <v>67</v>
      </c>
      <c r="E4617" t="s">
        <v>63</v>
      </c>
      <c r="F4617" t="s">
        <v>25</v>
      </c>
      <c r="G4617" s="4">
        <v>19</v>
      </c>
      <c r="H4617" s="4" t="s">
        <v>76</v>
      </c>
      <c r="I4617" s="4" t="s">
        <v>69</v>
      </c>
      <c r="J4617" s="4" t="s">
        <v>66</v>
      </c>
      <c r="K4617" s="4">
        <v>0</v>
      </c>
      <c r="L4617" s="94">
        <v>-852</v>
      </c>
      <c r="M4617" s="94">
        <v>0</v>
      </c>
    </row>
    <row r="4618" spans="3:13" x14ac:dyDescent="0.3">
      <c r="C4618" t="s">
        <v>61</v>
      </c>
      <c r="D4618" t="s">
        <v>67</v>
      </c>
      <c r="E4618" t="s">
        <v>68</v>
      </c>
      <c r="F4618" t="s">
        <v>25</v>
      </c>
      <c r="G4618" s="4">
        <v>11</v>
      </c>
      <c r="H4618" s="4" t="s">
        <v>64</v>
      </c>
      <c r="I4618" s="4" t="s">
        <v>65</v>
      </c>
      <c r="J4618" s="4" t="s">
        <v>66</v>
      </c>
      <c r="K4618" s="4">
        <v>1</v>
      </c>
      <c r="L4618" s="94">
        <v>98104</v>
      </c>
      <c r="M4618" s="94">
        <v>1079144</v>
      </c>
    </row>
    <row r="4619" spans="3:13" x14ac:dyDescent="0.3">
      <c r="C4619" t="s">
        <v>61</v>
      </c>
      <c r="D4619" t="s">
        <v>62</v>
      </c>
      <c r="E4619" t="s">
        <v>63</v>
      </c>
      <c r="F4619" t="s">
        <v>24</v>
      </c>
      <c r="G4619" s="4">
        <v>33</v>
      </c>
      <c r="I4619" s="4" t="s">
        <v>69</v>
      </c>
      <c r="J4619" s="4" t="s">
        <v>66</v>
      </c>
      <c r="K4619" s="4">
        <v>0</v>
      </c>
      <c r="L4619" s="94">
        <v>-470911</v>
      </c>
      <c r="M4619" s="94">
        <v>0</v>
      </c>
    </row>
    <row r="4620" spans="3:13" x14ac:dyDescent="0.3">
      <c r="C4620" t="s">
        <v>61</v>
      </c>
      <c r="D4620" t="s">
        <v>67</v>
      </c>
      <c r="E4620" t="s">
        <v>68</v>
      </c>
      <c r="F4620" t="s">
        <v>72</v>
      </c>
      <c r="G4620" s="4">
        <v>0</v>
      </c>
      <c r="H4620" s="4" t="s">
        <v>13</v>
      </c>
      <c r="I4620" s="4" t="s">
        <v>69</v>
      </c>
      <c r="J4620" s="4" t="s">
        <v>73</v>
      </c>
      <c r="K4620" s="4">
        <v>1</v>
      </c>
      <c r="L4620" s="94">
        <v>21496</v>
      </c>
      <c r="M4620" s="94">
        <v>0</v>
      </c>
    </row>
    <row r="4621" spans="3:13" x14ac:dyDescent="0.3">
      <c r="C4621" t="s">
        <v>70</v>
      </c>
      <c r="D4621" t="s">
        <v>67</v>
      </c>
      <c r="E4621" t="s">
        <v>63</v>
      </c>
      <c r="F4621" t="s">
        <v>72</v>
      </c>
      <c r="G4621" s="4">
        <v>-4</v>
      </c>
      <c r="H4621" s="4" t="s">
        <v>81</v>
      </c>
      <c r="I4621" s="4" t="s">
        <v>69</v>
      </c>
      <c r="J4621" s="4" t="s">
        <v>66</v>
      </c>
      <c r="K4621" s="4">
        <v>0</v>
      </c>
      <c r="L4621" s="94">
        <v>-2</v>
      </c>
      <c r="M4621" s="94">
        <v>0</v>
      </c>
    </row>
    <row r="4622" spans="3:13" x14ac:dyDescent="0.3">
      <c r="C4622" t="s">
        <v>61</v>
      </c>
      <c r="D4622" t="s">
        <v>67</v>
      </c>
      <c r="E4622" t="s">
        <v>63</v>
      </c>
      <c r="F4622" t="s">
        <v>26</v>
      </c>
      <c r="G4622" s="4">
        <v>2</v>
      </c>
      <c r="H4622" s="4" t="s">
        <v>16</v>
      </c>
      <c r="I4622" s="4" t="s">
        <v>65</v>
      </c>
      <c r="J4622" s="4" t="s">
        <v>66</v>
      </c>
      <c r="K4622" s="4">
        <v>1</v>
      </c>
      <c r="L4622" s="94">
        <v>-1472</v>
      </c>
      <c r="M4622" s="94">
        <v>0</v>
      </c>
    </row>
    <row r="4623" spans="3:13" x14ac:dyDescent="0.3">
      <c r="C4623" t="s">
        <v>61</v>
      </c>
      <c r="D4623" t="s">
        <v>62</v>
      </c>
      <c r="E4623" t="s">
        <v>63</v>
      </c>
      <c r="F4623" t="s">
        <v>25</v>
      </c>
      <c r="G4623" s="4">
        <v>32</v>
      </c>
      <c r="I4623" s="4" t="s">
        <v>69</v>
      </c>
      <c r="J4623" s="4" t="s">
        <v>66</v>
      </c>
      <c r="K4623" s="4">
        <v>0</v>
      </c>
      <c r="L4623" s="94">
        <v>-665</v>
      </c>
      <c r="M4623" s="94">
        <v>0</v>
      </c>
    </row>
    <row r="4624" spans="3:13" x14ac:dyDescent="0.3">
      <c r="C4624" t="s">
        <v>70</v>
      </c>
      <c r="D4624" t="s">
        <v>67</v>
      </c>
      <c r="E4624" t="s">
        <v>68</v>
      </c>
      <c r="F4624" t="s">
        <v>26</v>
      </c>
      <c r="G4624" s="4">
        <v>2</v>
      </c>
      <c r="H4624" s="4" t="s">
        <v>76</v>
      </c>
      <c r="I4624" s="4" t="s">
        <v>69</v>
      </c>
      <c r="J4624" s="4" t="s">
        <v>66</v>
      </c>
      <c r="K4624" s="4">
        <v>0</v>
      </c>
      <c r="L4624" s="94">
        <v>5492563</v>
      </c>
      <c r="M4624" s="94">
        <v>10985126</v>
      </c>
    </row>
    <row r="4625" spans="3:13" x14ac:dyDescent="0.3">
      <c r="C4625" t="s">
        <v>71</v>
      </c>
      <c r="D4625" t="s">
        <v>67</v>
      </c>
      <c r="E4625" t="s">
        <v>63</v>
      </c>
      <c r="F4625" t="s">
        <v>25</v>
      </c>
      <c r="G4625" s="4">
        <v>5</v>
      </c>
      <c r="H4625" s="4" t="s">
        <v>83</v>
      </c>
      <c r="I4625" s="4" t="s">
        <v>69</v>
      </c>
      <c r="J4625" s="4" t="s">
        <v>66</v>
      </c>
      <c r="K4625" s="4">
        <v>0</v>
      </c>
      <c r="L4625" s="94">
        <v>-87985</v>
      </c>
      <c r="M4625" s="94">
        <v>0</v>
      </c>
    </row>
    <row r="4626" spans="3:13" x14ac:dyDescent="0.3">
      <c r="C4626" t="s">
        <v>71</v>
      </c>
      <c r="D4626" t="s">
        <v>62</v>
      </c>
      <c r="E4626" t="s">
        <v>68</v>
      </c>
      <c r="F4626" t="s">
        <v>24</v>
      </c>
      <c r="G4626" s="4">
        <v>9</v>
      </c>
      <c r="I4626" s="4" t="s">
        <v>65</v>
      </c>
      <c r="J4626" s="4" t="s">
        <v>66</v>
      </c>
      <c r="K4626" s="4">
        <v>1</v>
      </c>
      <c r="L4626" s="94">
        <v>20091</v>
      </c>
      <c r="M4626" s="94">
        <v>180819</v>
      </c>
    </row>
    <row r="4627" spans="3:13" x14ac:dyDescent="0.3">
      <c r="C4627" t="s">
        <v>71</v>
      </c>
      <c r="D4627" t="s">
        <v>67</v>
      </c>
      <c r="E4627" t="s">
        <v>63</v>
      </c>
      <c r="F4627" t="s">
        <v>72</v>
      </c>
      <c r="G4627" s="4">
        <v>4</v>
      </c>
      <c r="H4627" s="4" t="s">
        <v>14</v>
      </c>
      <c r="I4627" s="4" t="s">
        <v>69</v>
      </c>
      <c r="J4627" s="4" t="s">
        <v>73</v>
      </c>
      <c r="K4627" s="4">
        <v>1</v>
      </c>
      <c r="L4627" s="94">
        <v>-70283</v>
      </c>
      <c r="M4627" s="94">
        <v>0</v>
      </c>
    </row>
    <row r="4628" spans="3:13" x14ac:dyDescent="0.3">
      <c r="C4628" t="s">
        <v>70</v>
      </c>
      <c r="D4628" t="s">
        <v>62</v>
      </c>
      <c r="E4628" t="s">
        <v>68</v>
      </c>
      <c r="F4628" t="s">
        <v>24</v>
      </c>
      <c r="G4628" s="4">
        <v>24</v>
      </c>
      <c r="I4628" s="4" t="s">
        <v>69</v>
      </c>
      <c r="J4628" s="4" t="s">
        <v>66</v>
      </c>
      <c r="K4628" s="4">
        <v>0</v>
      </c>
      <c r="L4628" s="94">
        <v>48979468</v>
      </c>
      <c r="M4628" s="94">
        <v>1175507232</v>
      </c>
    </row>
    <row r="4629" spans="3:13" x14ac:dyDescent="0.3">
      <c r="C4629" t="s">
        <v>61</v>
      </c>
      <c r="D4629" t="s">
        <v>67</v>
      </c>
      <c r="E4629" t="s">
        <v>68</v>
      </c>
      <c r="F4629" t="s">
        <v>72</v>
      </c>
      <c r="G4629" s="4">
        <v>11</v>
      </c>
      <c r="H4629" s="4" t="s">
        <v>75</v>
      </c>
      <c r="I4629" s="4" t="s">
        <v>69</v>
      </c>
      <c r="J4629" s="4" t="s">
        <v>66</v>
      </c>
      <c r="K4629" s="4">
        <v>0</v>
      </c>
      <c r="L4629" s="94">
        <v>794976</v>
      </c>
      <c r="M4629" s="94">
        <v>8744736</v>
      </c>
    </row>
    <row r="4630" spans="3:13" x14ac:dyDescent="0.3">
      <c r="C4630" t="s">
        <v>71</v>
      </c>
      <c r="D4630" t="s">
        <v>67</v>
      </c>
      <c r="E4630" t="s">
        <v>63</v>
      </c>
      <c r="F4630" t="s">
        <v>25</v>
      </c>
      <c r="G4630" s="4">
        <v>3</v>
      </c>
      <c r="H4630" s="4" t="s">
        <v>76</v>
      </c>
      <c r="I4630" s="4" t="s">
        <v>69</v>
      </c>
      <c r="J4630" s="4" t="s">
        <v>66</v>
      </c>
      <c r="K4630" s="4">
        <v>0</v>
      </c>
      <c r="L4630" s="94">
        <v>-709794</v>
      </c>
      <c r="M4630" s="94">
        <v>0</v>
      </c>
    </row>
    <row r="4631" spans="3:13" x14ac:dyDescent="0.3">
      <c r="C4631" t="s">
        <v>61</v>
      </c>
      <c r="D4631" t="s">
        <v>67</v>
      </c>
      <c r="E4631" t="s">
        <v>68</v>
      </c>
      <c r="F4631" t="s">
        <v>25</v>
      </c>
      <c r="G4631" s="4">
        <v>12</v>
      </c>
      <c r="H4631" s="4" t="s">
        <v>14</v>
      </c>
      <c r="I4631" s="4" t="s">
        <v>69</v>
      </c>
      <c r="J4631" s="4" t="s">
        <v>66</v>
      </c>
      <c r="K4631" s="4">
        <v>0</v>
      </c>
      <c r="L4631" s="94">
        <v>1952308</v>
      </c>
      <c r="M4631" s="94">
        <v>23427696</v>
      </c>
    </row>
    <row r="4632" spans="3:13" x14ac:dyDescent="0.3">
      <c r="C4632" t="s">
        <v>70</v>
      </c>
      <c r="D4632" t="s">
        <v>67</v>
      </c>
      <c r="E4632" t="s">
        <v>68</v>
      </c>
      <c r="F4632" t="s">
        <v>25</v>
      </c>
      <c r="G4632" s="4">
        <v>12</v>
      </c>
      <c r="H4632" s="4" t="s">
        <v>18</v>
      </c>
      <c r="I4632" s="4" t="s">
        <v>69</v>
      </c>
      <c r="J4632" s="4" t="s">
        <v>66</v>
      </c>
      <c r="K4632" s="4">
        <v>1</v>
      </c>
      <c r="L4632" s="94">
        <v>396221</v>
      </c>
      <c r="M4632" s="94">
        <v>4754652</v>
      </c>
    </row>
    <row r="4633" spans="3:13" x14ac:dyDescent="0.3">
      <c r="C4633" t="s">
        <v>70</v>
      </c>
      <c r="D4633" t="s">
        <v>67</v>
      </c>
      <c r="E4633" t="s">
        <v>63</v>
      </c>
      <c r="F4633" t="s">
        <v>25</v>
      </c>
      <c r="G4633" s="4">
        <v>16</v>
      </c>
      <c r="H4633" s="4" t="s">
        <v>16</v>
      </c>
      <c r="I4633" s="4" t="s">
        <v>69</v>
      </c>
      <c r="J4633" s="4" t="s">
        <v>66</v>
      </c>
      <c r="K4633" s="4">
        <v>0</v>
      </c>
      <c r="L4633" s="94">
        <v>-4712</v>
      </c>
      <c r="M4633" s="94">
        <v>0</v>
      </c>
    </row>
    <row r="4634" spans="3:13" x14ac:dyDescent="0.3">
      <c r="C4634" t="s">
        <v>71</v>
      </c>
      <c r="D4634" t="s">
        <v>62</v>
      </c>
      <c r="E4634" t="s">
        <v>68</v>
      </c>
      <c r="F4634" t="s">
        <v>24</v>
      </c>
      <c r="G4634" s="4">
        <v>15</v>
      </c>
      <c r="I4634" s="4" t="s">
        <v>69</v>
      </c>
      <c r="J4634" s="4" t="s">
        <v>66</v>
      </c>
      <c r="K4634" s="4">
        <v>1</v>
      </c>
      <c r="L4634" s="94">
        <v>135357</v>
      </c>
      <c r="M4634" s="94">
        <v>2030355</v>
      </c>
    </row>
    <row r="4635" spans="3:13" x14ac:dyDescent="0.3">
      <c r="C4635" t="s">
        <v>61</v>
      </c>
      <c r="D4635" t="s">
        <v>67</v>
      </c>
      <c r="E4635" t="s">
        <v>63</v>
      </c>
      <c r="F4635" t="s">
        <v>25</v>
      </c>
      <c r="G4635" s="4">
        <v>7</v>
      </c>
      <c r="H4635" s="4" t="s">
        <v>16</v>
      </c>
      <c r="I4635" s="4" t="s">
        <v>69</v>
      </c>
      <c r="J4635" s="4" t="s">
        <v>66</v>
      </c>
      <c r="K4635" s="4">
        <v>0</v>
      </c>
      <c r="L4635" s="94">
        <v>-121</v>
      </c>
      <c r="M4635" s="94">
        <v>0</v>
      </c>
    </row>
    <row r="4636" spans="3:13" x14ac:dyDescent="0.3">
      <c r="C4636" t="s">
        <v>71</v>
      </c>
      <c r="D4636" t="s">
        <v>67</v>
      </c>
      <c r="E4636" t="s">
        <v>68</v>
      </c>
      <c r="F4636" t="s">
        <v>25</v>
      </c>
      <c r="G4636" s="4">
        <v>17</v>
      </c>
      <c r="H4636" s="4" t="s">
        <v>83</v>
      </c>
      <c r="I4636" s="4" t="s">
        <v>69</v>
      </c>
      <c r="J4636" s="4" t="s">
        <v>66</v>
      </c>
      <c r="K4636" s="4">
        <v>0</v>
      </c>
      <c r="L4636" s="94">
        <v>285437</v>
      </c>
      <c r="M4636" s="94">
        <v>4852429</v>
      </c>
    </row>
    <row r="4637" spans="3:13" x14ac:dyDescent="0.3">
      <c r="C4637" t="s">
        <v>70</v>
      </c>
      <c r="D4637" t="s">
        <v>67</v>
      </c>
      <c r="E4637" t="s">
        <v>63</v>
      </c>
      <c r="F4637" t="s">
        <v>25</v>
      </c>
      <c r="G4637" s="4">
        <v>12</v>
      </c>
      <c r="H4637" s="4" t="s">
        <v>18</v>
      </c>
      <c r="I4637" s="4" t="s">
        <v>69</v>
      </c>
      <c r="J4637" s="4" t="s">
        <v>66</v>
      </c>
      <c r="K4637" s="4">
        <v>1</v>
      </c>
      <c r="L4637" s="94">
        <v>-13019</v>
      </c>
      <c r="M4637" s="94">
        <v>0</v>
      </c>
    </row>
    <row r="4638" spans="3:13" x14ac:dyDescent="0.3">
      <c r="C4638" t="s">
        <v>71</v>
      </c>
      <c r="D4638" t="s">
        <v>62</v>
      </c>
      <c r="E4638" t="s">
        <v>68</v>
      </c>
      <c r="F4638" t="s">
        <v>25</v>
      </c>
      <c r="G4638" s="4">
        <v>10</v>
      </c>
      <c r="I4638" s="4" t="s">
        <v>69</v>
      </c>
      <c r="J4638" s="4" t="s">
        <v>66</v>
      </c>
      <c r="K4638" s="4">
        <v>0</v>
      </c>
      <c r="L4638" s="94">
        <v>13042</v>
      </c>
      <c r="M4638" s="94">
        <v>130420</v>
      </c>
    </row>
    <row r="4639" spans="3:13" x14ac:dyDescent="0.3">
      <c r="C4639" t="s">
        <v>70</v>
      </c>
      <c r="D4639" t="s">
        <v>62</v>
      </c>
      <c r="E4639" t="s">
        <v>68</v>
      </c>
      <c r="F4639" t="s">
        <v>24</v>
      </c>
      <c r="G4639" s="4">
        <v>38</v>
      </c>
      <c r="I4639" s="4" t="s">
        <v>69</v>
      </c>
      <c r="J4639" s="4" t="s">
        <v>66</v>
      </c>
      <c r="K4639" s="4">
        <v>0</v>
      </c>
      <c r="L4639" s="94">
        <v>34430088</v>
      </c>
      <c r="M4639" s="94">
        <v>1308343344</v>
      </c>
    </row>
    <row r="4640" spans="3:13" x14ac:dyDescent="0.3">
      <c r="C4640" t="s">
        <v>61</v>
      </c>
      <c r="D4640" t="s">
        <v>67</v>
      </c>
      <c r="E4640" t="s">
        <v>68</v>
      </c>
      <c r="F4640" t="s">
        <v>26</v>
      </c>
      <c r="G4640" s="4">
        <v>2</v>
      </c>
      <c r="H4640" s="4" t="s">
        <v>14</v>
      </c>
      <c r="I4640" s="4" t="s">
        <v>65</v>
      </c>
      <c r="J4640" s="4" t="s">
        <v>66</v>
      </c>
      <c r="K4640" s="4">
        <v>1</v>
      </c>
      <c r="L4640" s="94">
        <v>143107</v>
      </c>
      <c r="M4640" s="94">
        <v>286214</v>
      </c>
    </row>
    <row r="4641" spans="3:13" x14ac:dyDescent="0.3">
      <c r="C4641" t="s">
        <v>70</v>
      </c>
      <c r="D4641" t="s">
        <v>67</v>
      </c>
      <c r="E4641" t="s">
        <v>63</v>
      </c>
      <c r="F4641" t="s">
        <v>26</v>
      </c>
      <c r="G4641" s="4">
        <v>4</v>
      </c>
      <c r="H4641" s="4" t="s">
        <v>18</v>
      </c>
      <c r="I4641" s="4" t="s">
        <v>69</v>
      </c>
      <c r="J4641" s="4" t="s">
        <v>66</v>
      </c>
      <c r="K4641" s="4">
        <v>0</v>
      </c>
      <c r="L4641" s="94">
        <v>-992344</v>
      </c>
      <c r="M4641" s="94">
        <v>0</v>
      </c>
    </row>
    <row r="4642" spans="3:13" x14ac:dyDescent="0.3">
      <c r="C4642" t="s">
        <v>70</v>
      </c>
      <c r="D4642" t="s">
        <v>67</v>
      </c>
      <c r="E4642" t="s">
        <v>63</v>
      </c>
      <c r="F4642" t="s">
        <v>72</v>
      </c>
      <c r="G4642" s="4">
        <v>5</v>
      </c>
      <c r="H4642" s="4" t="s">
        <v>80</v>
      </c>
      <c r="I4642" s="4" t="s">
        <v>69</v>
      </c>
      <c r="J4642" s="4" t="s">
        <v>66</v>
      </c>
      <c r="K4642" s="4">
        <v>0</v>
      </c>
      <c r="L4642" s="94">
        <v>-13544</v>
      </c>
      <c r="M4642" s="94">
        <v>0</v>
      </c>
    </row>
    <row r="4643" spans="3:13" x14ac:dyDescent="0.3">
      <c r="C4643" t="s">
        <v>71</v>
      </c>
      <c r="D4643" t="s">
        <v>67</v>
      </c>
      <c r="E4643" t="s">
        <v>68</v>
      </c>
      <c r="F4643" t="s">
        <v>25</v>
      </c>
      <c r="G4643" s="4">
        <v>5</v>
      </c>
      <c r="H4643" s="4" t="s">
        <v>17</v>
      </c>
      <c r="I4643" s="4" t="s">
        <v>69</v>
      </c>
      <c r="J4643" s="4" t="s">
        <v>66</v>
      </c>
      <c r="K4643" s="4">
        <v>0</v>
      </c>
      <c r="L4643" s="94">
        <v>295476</v>
      </c>
      <c r="M4643" s="94">
        <v>1477380</v>
      </c>
    </row>
    <row r="4644" spans="3:13" x14ac:dyDescent="0.3">
      <c r="C4644" t="s">
        <v>61</v>
      </c>
      <c r="D4644" t="s">
        <v>67</v>
      </c>
      <c r="E4644" t="s">
        <v>63</v>
      </c>
      <c r="F4644" t="s">
        <v>26</v>
      </c>
      <c r="G4644" s="4">
        <v>3</v>
      </c>
      <c r="H4644" s="4" t="s">
        <v>74</v>
      </c>
      <c r="I4644" s="4" t="s">
        <v>69</v>
      </c>
      <c r="J4644" s="4" t="s">
        <v>66</v>
      </c>
      <c r="K4644" s="4">
        <v>0</v>
      </c>
      <c r="L4644" s="94">
        <v>-310179</v>
      </c>
      <c r="M4644" s="94">
        <v>0</v>
      </c>
    </row>
    <row r="4645" spans="3:13" x14ac:dyDescent="0.3">
      <c r="C4645" t="s">
        <v>70</v>
      </c>
      <c r="D4645" t="s">
        <v>67</v>
      </c>
      <c r="E4645" t="s">
        <v>63</v>
      </c>
      <c r="F4645" t="s">
        <v>72</v>
      </c>
      <c r="G4645" s="4">
        <v>4</v>
      </c>
      <c r="H4645" s="4" t="s">
        <v>14</v>
      </c>
      <c r="I4645" s="4" t="s">
        <v>69</v>
      </c>
      <c r="J4645" s="4" t="s">
        <v>66</v>
      </c>
      <c r="K4645" s="4">
        <v>0</v>
      </c>
      <c r="L4645" s="94">
        <v>-71175</v>
      </c>
      <c r="M4645" s="94">
        <v>0</v>
      </c>
    </row>
    <row r="4646" spans="3:13" x14ac:dyDescent="0.3">
      <c r="C4646" t="s">
        <v>61</v>
      </c>
      <c r="D4646" t="s">
        <v>67</v>
      </c>
      <c r="E4646" t="s">
        <v>68</v>
      </c>
      <c r="F4646" t="s">
        <v>26</v>
      </c>
      <c r="G4646" s="4">
        <v>2</v>
      </c>
      <c r="H4646" s="4" t="s">
        <v>15</v>
      </c>
      <c r="I4646" s="4" t="s">
        <v>69</v>
      </c>
      <c r="J4646" s="4" t="s">
        <v>73</v>
      </c>
      <c r="K4646" s="4">
        <v>1</v>
      </c>
      <c r="L4646" s="94">
        <v>1863119</v>
      </c>
      <c r="M4646" s="94">
        <v>3726238</v>
      </c>
    </row>
    <row r="4647" spans="3:13" x14ac:dyDescent="0.3">
      <c r="C4647" t="s">
        <v>70</v>
      </c>
      <c r="D4647" t="s">
        <v>67</v>
      </c>
      <c r="E4647" t="s">
        <v>68</v>
      </c>
      <c r="F4647" t="s">
        <v>26</v>
      </c>
      <c r="G4647" s="4">
        <v>4</v>
      </c>
      <c r="H4647" s="4" t="s">
        <v>83</v>
      </c>
      <c r="I4647" s="4" t="s">
        <v>69</v>
      </c>
      <c r="J4647" s="4" t="s">
        <v>66</v>
      </c>
      <c r="K4647" s="4">
        <v>0</v>
      </c>
      <c r="L4647" s="94">
        <v>840709</v>
      </c>
      <c r="M4647" s="94">
        <v>3362836</v>
      </c>
    </row>
    <row r="4648" spans="3:13" x14ac:dyDescent="0.3">
      <c r="C4648" t="s">
        <v>61</v>
      </c>
      <c r="D4648" t="s">
        <v>67</v>
      </c>
      <c r="E4648" t="s">
        <v>68</v>
      </c>
      <c r="F4648" t="s">
        <v>25</v>
      </c>
      <c r="G4648" s="4">
        <v>0</v>
      </c>
      <c r="H4648" s="4" t="s">
        <v>74</v>
      </c>
      <c r="I4648" s="4" t="s">
        <v>69</v>
      </c>
      <c r="J4648" s="4" t="s">
        <v>66</v>
      </c>
      <c r="K4648" s="4">
        <v>0</v>
      </c>
      <c r="L4648" s="94">
        <v>5170269</v>
      </c>
      <c r="M4648" s="94">
        <v>0</v>
      </c>
    </row>
    <row r="4649" spans="3:13" x14ac:dyDescent="0.3">
      <c r="C4649" t="s">
        <v>61</v>
      </c>
      <c r="D4649" t="s">
        <v>67</v>
      </c>
      <c r="E4649" t="s">
        <v>68</v>
      </c>
      <c r="F4649" t="s">
        <v>25</v>
      </c>
      <c r="G4649" s="4">
        <v>3</v>
      </c>
      <c r="H4649" s="4" t="s">
        <v>18</v>
      </c>
      <c r="I4649" s="4" t="s">
        <v>69</v>
      </c>
      <c r="J4649" s="4" t="s">
        <v>66</v>
      </c>
      <c r="K4649" s="4">
        <v>1</v>
      </c>
      <c r="L4649" s="94">
        <v>445861</v>
      </c>
      <c r="M4649" s="94">
        <v>1337583</v>
      </c>
    </row>
    <row r="4650" spans="3:13" x14ac:dyDescent="0.3">
      <c r="C4650" t="s">
        <v>70</v>
      </c>
      <c r="D4650" t="s">
        <v>67</v>
      </c>
      <c r="E4650" t="s">
        <v>68</v>
      </c>
      <c r="F4650" t="s">
        <v>25</v>
      </c>
      <c r="G4650" s="4">
        <v>3</v>
      </c>
      <c r="H4650" s="4" t="s">
        <v>14</v>
      </c>
      <c r="I4650" s="4" t="s">
        <v>69</v>
      </c>
      <c r="J4650" s="4" t="s">
        <v>66</v>
      </c>
      <c r="K4650" s="4">
        <v>0</v>
      </c>
      <c r="L4650" s="94">
        <v>80121</v>
      </c>
      <c r="M4650" s="94">
        <v>240363</v>
      </c>
    </row>
    <row r="4651" spans="3:13" x14ac:dyDescent="0.3">
      <c r="C4651" t="s">
        <v>61</v>
      </c>
      <c r="D4651" t="s">
        <v>62</v>
      </c>
      <c r="E4651" t="s">
        <v>68</v>
      </c>
      <c r="F4651" t="s">
        <v>24</v>
      </c>
      <c r="G4651" s="4">
        <v>20</v>
      </c>
      <c r="I4651" s="4" t="s">
        <v>69</v>
      </c>
      <c r="J4651" s="4" t="s">
        <v>66</v>
      </c>
      <c r="K4651" s="4">
        <v>1</v>
      </c>
      <c r="L4651" s="94">
        <v>2326466</v>
      </c>
      <c r="M4651" s="94">
        <v>46529320</v>
      </c>
    </row>
    <row r="4652" spans="3:13" x14ac:dyDescent="0.3">
      <c r="C4652" t="s">
        <v>61</v>
      </c>
      <c r="D4652" t="s">
        <v>67</v>
      </c>
      <c r="E4652" t="s">
        <v>63</v>
      </c>
      <c r="F4652" t="s">
        <v>25</v>
      </c>
      <c r="G4652" s="4">
        <v>7</v>
      </c>
      <c r="H4652" s="4" t="s">
        <v>79</v>
      </c>
      <c r="I4652" s="4" t="s">
        <v>65</v>
      </c>
      <c r="J4652" s="4" t="s">
        <v>66</v>
      </c>
      <c r="K4652" s="4">
        <v>1</v>
      </c>
      <c r="L4652" s="94">
        <v>-86</v>
      </c>
      <c r="M4652" s="94">
        <v>0</v>
      </c>
    </row>
    <row r="4653" spans="3:13" x14ac:dyDescent="0.3">
      <c r="C4653" t="s">
        <v>70</v>
      </c>
      <c r="D4653" t="s">
        <v>67</v>
      </c>
      <c r="E4653" t="s">
        <v>68</v>
      </c>
      <c r="F4653" t="s">
        <v>26</v>
      </c>
      <c r="G4653" s="4">
        <v>8</v>
      </c>
      <c r="H4653" s="4" t="s">
        <v>76</v>
      </c>
      <c r="I4653" s="4" t="s">
        <v>69</v>
      </c>
      <c r="J4653" s="4" t="s">
        <v>66</v>
      </c>
      <c r="K4653" s="4">
        <v>0</v>
      </c>
      <c r="L4653" s="94">
        <v>591580</v>
      </c>
      <c r="M4653" s="94">
        <v>4732640</v>
      </c>
    </row>
    <row r="4654" spans="3:13" x14ac:dyDescent="0.3">
      <c r="C4654" t="s">
        <v>70</v>
      </c>
      <c r="D4654" t="s">
        <v>67</v>
      </c>
      <c r="E4654" t="s">
        <v>63</v>
      </c>
      <c r="F4654" t="s">
        <v>25</v>
      </c>
      <c r="G4654" s="4">
        <v>-1</v>
      </c>
      <c r="H4654" s="4" t="s">
        <v>12</v>
      </c>
      <c r="I4654" s="4" t="s">
        <v>69</v>
      </c>
      <c r="J4654" s="4" t="s">
        <v>66</v>
      </c>
      <c r="K4654" s="4">
        <v>1</v>
      </c>
      <c r="L4654" s="94">
        <v>-2967</v>
      </c>
      <c r="M4654" s="94">
        <v>0</v>
      </c>
    </row>
    <row r="4655" spans="3:13" x14ac:dyDescent="0.3">
      <c r="C4655" t="s">
        <v>61</v>
      </c>
      <c r="D4655" t="s">
        <v>67</v>
      </c>
      <c r="E4655" t="s">
        <v>68</v>
      </c>
      <c r="F4655" t="s">
        <v>72</v>
      </c>
      <c r="G4655" s="4">
        <v>2</v>
      </c>
      <c r="H4655" s="4" t="s">
        <v>13</v>
      </c>
      <c r="I4655" s="4" t="s">
        <v>69</v>
      </c>
      <c r="J4655" s="4" t="s">
        <v>66</v>
      </c>
      <c r="K4655" s="4">
        <v>0</v>
      </c>
      <c r="L4655" s="94">
        <v>107737</v>
      </c>
      <c r="M4655" s="94">
        <v>215474</v>
      </c>
    </row>
    <row r="4656" spans="3:13" x14ac:dyDescent="0.3">
      <c r="C4656" t="s">
        <v>70</v>
      </c>
      <c r="D4656" t="s">
        <v>67</v>
      </c>
      <c r="E4656" t="s">
        <v>68</v>
      </c>
      <c r="F4656" t="s">
        <v>26</v>
      </c>
      <c r="G4656" s="4">
        <v>5</v>
      </c>
      <c r="H4656" s="4" t="s">
        <v>79</v>
      </c>
      <c r="I4656" s="4" t="s">
        <v>69</v>
      </c>
      <c r="J4656" s="4" t="s">
        <v>66</v>
      </c>
      <c r="K4656" s="4">
        <v>0</v>
      </c>
      <c r="L4656" s="94">
        <v>592450</v>
      </c>
      <c r="M4656" s="94">
        <v>2962250</v>
      </c>
    </row>
    <row r="4657" spans="3:13" x14ac:dyDescent="0.3">
      <c r="C4657" t="s">
        <v>61</v>
      </c>
      <c r="D4657" t="s">
        <v>62</v>
      </c>
      <c r="E4657" t="s">
        <v>68</v>
      </c>
      <c r="F4657" t="s">
        <v>24</v>
      </c>
      <c r="G4657" s="4">
        <v>38</v>
      </c>
      <c r="I4657" s="4" t="s">
        <v>65</v>
      </c>
      <c r="J4657" s="4" t="s">
        <v>66</v>
      </c>
      <c r="K4657" s="4">
        <v>1</v>
      </c>
      <c r="L4657" s="94">
        <v>9437501</v>
      </c>
      <c r="M4657" s="94">
        <v>358625038</v>
      </c>
    </row>
    <row r="4658" spans="3:13" x14ac:dyDescent="0.3">
      <c r="C4658" t="s">
        <v>71</v>
      </c>
      <c r="D4658" t="s">
        <v>67</v>
      </c>
      <c r="E4658" t="s">
        <v>68</v>
      </c>
      <c r="F4658" t="s">
        <v>26</v>
      </c>
      <c r="G4658" s="4">
        <v>1</v>
      </c>
      <c r="H4658" s="4" t="s">
        <v>16</v>
      </c>
      <c r="I4658" s="4" t="s">
        <v>69</v>
      </c>
      <c r="J4658" s="4" t="s">
        <v>66</v>
      </c>
      <c r="K4658" s="4">
        <v>0</v>
      </c>
      <c r="L4658" s="94">
        <v>4731</v>
      </c>
      <c r="M4658" s="94">
        <v>4731</v>
      </c>
    </row>
    <row r="4659" spans="3:13" x14ac:dyDescent="0.3">
      <c r="C4659" t="s">
        <v>71</v>
      </c>
      <c r="D4659" t="s">
        <v>67</v>
      </c>
      <c r="E4659" t="s">
        <v>68</v>
      </c>
      <c r="F4659" t="s">
        <v>25</v>
      </c>
      <c r="G4659" s="4">
        <v>3</v>
      </c>
      <c r="H4659" s="4" t="s">
        <v>12</v>
      </c>
      <c r="I4659" s="4" t="s">
        <v>69</v>
      </c>
      <c r="J4659" s="4" t="s">
        <v>66</v>
      </c>
      <c r="K4659" s="4">
        <v>1</v>
      </c>
      <c r="L4659" s="94">
        <v>51982</v>
      </c>
      <c r="M4659" s="94">
        <v>155946</v>
      </c>
    </row>
    <row r="4660" spans="3:13" x14ac:dyDescent="0.3">
      <c r="C4660" t="s">
        <v>61</v>
      </c>
      <c r="D4660" t="s">
        <v>67</v>
      </c>
      <c r="E4660" t="s">
        <v>68</v>
      </c>
      <c r="F4660" t="s">
        <v>25</v>
      </c>
      <c r="G4660" s="4">
        <v>6</v>
      </c>
      <c r="H4660" s="4" t="s">
        <v>14</v>
      </c>
      <c r="I4660" s="4" t="s">
        <v>69</v>
      </c>
      <c r="J4660" s="4" t="s">
        <v>66</v>
      </c>
      <c r="K4660" s="4">
        <v>1</v>
      </c>
      <c r="L4660" s="94">
        <v>4683861</v>
      </c>
      <c r="M4660" s="94">
        <v>28103166</v>
      </c>
    </row>
    <row r="4661" spans="3:13" x14ac:dyDescent="0.3">
      <c r="C4661" t="s">
        <v>70</v>
      </c>
      <c r="D4661" t="s">
        <v>67</v>
      </c>
      <c r="E4661" t="s">
        <v>63</v>
      </c>
      <c r="F4661" t="s">
        <v>26</v>
      </c>
      <c r="G4661" s="4">
        <v>0</v>
      </c>
      <c r="H4661" s="4" t="s">
        <v>79</v>
      </c>
      <c r="I4661" s="4" t="s">
        <v>69</v>
      </c>
      <c r="J4661" s="4" t="s">
        <v>66</v>
      </c>
      <c r="K4661" s="4">
        <v>0</v>
      </c>
      <c r="L4661" s="94">
        <v>-22149</v>
      </c>
      <c r="M4661" s="94">
        <v>0</v>
      </c>
    </row>
    <row r="4662" spans="3:13" x14ac:dyDescent="0.3">
      <c r="C4662" t="s">
        <v>61</v>
      </c>
      <c r="D4662" t="s">
        <v>67</v>
      </c>
      <c r="E4662" t="s">
        <v>68</v>
      </c>
      <c r="F4662" t="s">
        <v>26</v>
      </c>
      <c r="G4662" s="4">
        <v>4</v>
      </c>
      <c r="H4662" s="4" t="s">
        <v>12</v>
      </c>
      <c r="I4662" s="4" t="s">
        <v>69</v>
      </c>
      <c r="J4662" s="4" t="s">
        <v>73</v>
      </c>
      <c r="K4662" s="4">
        <v>1</v>
      </c>
      <c r="L4662" s="94">
        <v>11260629</v>
      </c>
      <c r="M4662" s="94">
        <v>45042516</v>
      </c>
    </row>
    <row r="4663" spans="3:13" x14ac:dyDescent="0.3">
      <c r="C4663" t="s">
        <v>70</v>
      </c>
      <c r="D4663" t="s">
        <v>67</v>
      </c>
      <c r="E4663" t="s">
        <v>63</v>
      </c>
      <c r="F4663" t="s">
        <v>26</v>
      </c>
      <c r="G4663" s="4">
        <v>2</v>
      </c>
      <c r="H4663" s="4" t="s">
        <v>82</v>
      </c>
      <c r="I4663" s="4" t="s">
        <v>69</v>
      </c>
      <c r="J4663" s="4" t="s">
        <v>66</v>
      </c>
      <c r="K4663" s="4">
        <v>0</v>
      </c>
      <c r="L4663" s="94">
        <v>-402427</v>
      </c>
      <c r="M4663" s="94">
        <v>0</v>
      </c>
    </row>
    <row r="4664" spans="3:13" x14ac:dyDescent="0.3">
      <c r="C4664" t="s">
        <v>61</v>
      </c>
      <c r="D4664" t="s">
        <v>67</v>
      </c>
      <c r="E4664" t="s">
        <v>68</v>
      </c>
      <c r="F4664" t="s">
        <v>72</v>
      </c>
      <c r="G4664" s="4">
        <v>7</v>
      </c>
      <c r="H4664" s="4" t="s">
        <v>18</v>
      </c>
      <c r="I4664" s="4" t="s">
        <v>69</v>
      </c>
      <c r="J4664" s="4" t="s">
        <v>66</v>
      </c>
      <c r="K4664" s="4">
        <v>0</v>
      </c>
      <c r="L4664" s="94">
        <v>371407</v>
      </c>
      <c r="M4664" s="94">
        <v>2599849</v>
      </c>
    </row>
    <row r="4665" spans="3:13" x14ac:dyDescent="0.3">
      <c r="C4665" t="s">
        <v>71</v>
      </c>
      <c r="D4665" t="s">
        <v>62</v>
      </c>
      <c r="E4665" t="s">
        <v>63</v>
      </c>
      <c r="F4665" t="s">
        <v>24</v>
      </c>
      <c r="G4665" s="4">
        <v>53</v>
      </c>
      <c r="I4665" s="4" t="s">
        <v>69</v>
      </c>
      <c r="J4665" s="4" t="s">
        <v>66</v>
      </c>
      <c r="K4665" s="4">
        <v>0</v>
      </c>
      <c r="L4665" s="94">
        <v>-13877</v>
      </c>
      <c r="M4665" s="94">
        <v>0</v>
      </c>
    </row>
    <row r="4666" spans="3:13" x14ac:dyDescent="0.3">
      <c r="C4666" t="s">
        <v>61</v>
      </c>
      <c r="D4666" t="s">
        <v>67</v>
      </c>
      <c r="E4666" t="s">
        <v>68</v>
      </c>
      <c r="F4666" t="s">
        <v>26</v>
      </c>
      <c r="G4666" s="4">
        <v>4</v>
      </c>
      <c r="H4666" s="4" t="s">
        <v>17</v>
      </c>
      <c r="I4666" s="4" t="s">
        <v>65</v>
      </c>
      <c r="J4666" s="4" t="s">
        <v>66</v>
      </c>
      <c r="K4666" s="4">
        <v>1</v>
      </c>
      <c r="L4666" s="94">
        <v>88508</v>
      </c>
      <c r="M4666" s="94">
        <v>354032</v>
      </c>
    </row>
    <row r="4667" spans="3:13" x14ac:dyDescent="0.3">
      <c r="C4667" t="s">
        <v>70</v>
      </c>
      <c r="D4667" t="s">
        <v>67</v>
      </c>
      <c r="E4667" t="s">
        <v>68</v>
      </c>
      <c r="F4667" t="s">
        <v>72</v>
      </c>
      <c r="G4667" s="4">
        <v>1</v>
      </c>
      <c r="H4667" s="4" t="s">
        <v>12</v>
      </c>
      <c r="I4667" s="4" t="s">
        <v>69</v>
      </c>
      <c r="J4667" s="4" t="s">
        <v>66</v>
      </c>
      <c r="K4667" s="4">
        <v>0</v>
      </c>
      <c r="L4667" s="94">
        <v>140058</v>
      </c>
      <c r="M4667" s="94">
        <v>140058</v>
      </c>
    </row>
    <row r="4668" spans="3:13" x14ac:dyDescent="0.3">
      <c r="C4668" t="s">
        <v>70</v>
      </c>
      <c r="D4668" t="s">
        <v>67</v>
      </c>
      <c r="E4668" t="s">
        <v>68</v>
      </c>
      <c r="F4668" t="s">
        <v>26</v>
      </c>
      <c r="G4668" s="4">
        <v>0</v>
      </c>
      <c r="H4668" s="4" t="s">
        <v>77</v>
      </c>
      <c r="I4668" s="4" t="s">
        <v>69</v>
      </c>
      <c r="J4668" s="4" t="s">
        <v>66</v>
      </c>
      <c r="K4668" s="4">
        <v>0</v>
      </c>
      <c r="L4668" s="94">
        <v>1118678</v>
      </c>
      <c r="M4668" s="94">
        <v>0</v>
      </c>
    </row>
    <row r="4669" spans="3:13" x14ac:dyDescent="0.3">
      <c r="C4669" t="s">
        <v>70</v>
      </c>
      <c r="D4669" t="s">
        <v>67</v>
      </c>
      <c r="E4669" t="s">
        <v>68</v>
      </c>
      <c r="F4669" t="s">
        <v>72</v>
      </c>
      <c r="G4669" s="4">
        <v>5</v>
      </c>
      <c r="H4669" s="4" t="s">
        <v>79</v>
      </c>
      <c r="I4669" s="4" t="s">
        <v>69</v>
      </c>
      <c r="J4669" s="4" t="s">
        <v>66</v>
      </c>
      <c r="K4669" s="4">
        <v>0</v>
      </c>
      <c r="L4669" s="94">
        <v>1107516</v>
      </c>
      <c r="M4669" s="94">
        <v>5537580</v>
      </c>
    </row>
    <row r="4670" spans="3:13" x14ac:dyDescent="0.3">
      <c r="C4670" t="s">
        <v>71</v>
      </c>
      <c r="D4670" t="s">
        <v>67</v>
      </c>
      <c r="E4670" t="s">
        <v>68</v>
      </c>
      <c r="F4670" t="s">
        <v>25</v>
      </c>
      <c r="G4670" s="4">
        <v>4</v>
      </c>
      <c r="H4670" s="4" t="s">
        <v>17</v>
      </c>
      <c r="I4670" s="4" t="s">
        <v>69</v>
      </c>
      <c r="J4670" s="4" t="s">
        <v>66</v>
      </c>
      <c r="K4670" s="4">
        <v>0</v>
      </c>
      <c r="L4670" s="94">
        <v>750434</v>
      </c>
      <c r="M4670" s="94">
        <v>3001736</v>
      </c>
    </row>
    <row r="4671" spans="3:13" x14ac:dyDescent="0.3">
      <c r="C4671" t="s">
        <v>70</v>
      </c>
      <c r="D4671" t="s">
        <v>67</v>
      </c>
      <c r="E4671" t="s">
        <v>68</v>
      </c>
      <c r="F4671" t="s">
        <v>26</v>
      </c>
      <c r="G4671" s="4">
        <v>15</v>
      </c>
      <c r="H4671" s="4" t="s">
        <v>17</v>
      </c>
      <c r="I4671" s="4" t="s">
        <v>69</v>
      </c>
      <c r="J4671" s="4" t="s">
        <v>66</v>
      </c>
      <c r="K4671" s="4">
        <v>0</v>
      </c>
      <c r="L4671" s="94">
        <v>69983</v>
      </c>
      <c r="M4671" s="94">
        <v>1049745</v>
      </c>
    </row>
    <row r="4672" spans="3:13" x14ac:dyDescent="0.3">
      <c r="C4672" t="s">
        <v>61</v>
      </c>
      <c r="D4672" t="s">
        <v>67</v>
      </c>
      <c r="E4672" t="s">
        <v>63</v>
      </c>
      <c r="F4672" t="s">
        <v>72</v>
      </c>
      <c r="G4672" s="4">
        <v>5</v>
      </c>
      <c r="H4672" s="4" t="s">
        <v>74</v>
      </c>
      <c r="I4672" s="4" t="s">
        <v>69</v>
      </c>
      <c r="J4672" s="4" t="s">
        <v>66</v>
      </c>
      <c r="K4672" s="4">
        <v>0</v>
      </c>
      <c r="L4672" s="94">
        <v>-8874</v>
      </c>
      <c r="M4672" s="94">
        <v>0</v>
      </c>
    </row>
    <row r="4673" spans="3:13" x14ac:dyDescent="0.3">
      <c r="C4673" t="s">
        <v>61</v>
      </c>
      <c r="D4673" t="s">
        <v>67</v>
      </c>
      <c r="E4673" t="s">
        <v>63</v>
      </c>
      <c r="F4673" t="s">
        <v>72</v>
      </c>
      <c r="G4673" s="4">
        <v>0</v>
      </c>
      <c r="H4673" s="4" t="s">
        <v>79</v>
      </c>
      <c r="I4673" s="4" t="s">
        <v>69</v>
      </c>
      <c r="J4673" s="4" t="s">
        <v>66</v>
      </c>
      <c r="K4673" s="4">
        <v>0</v>
      </c>
      <c r="L4673" s="94">
        <v>-584</v>
      </c>
      <c r="M4673" s="94">
        <v>0</v>
      </c>
    </row>
    <row r="4674" spans="3:13" x14ac:dyDescent="0.3">
      <c r="C4674" t="s">
        <v>71</v>
      </c>
      <c r="D4674" t="s">
        <v>67</v>
      </c>
      <c r="E4674" t="s">
        <v>68</v>
      </c>
      <c r="F4674" t="s">
        <v>26</v>
      </c>
      <c r="G4674" s="4">
        <v>-1</v>
      </c>
      <c r="H4674" s="4" t="s">
        <v>14</v>
      </c>
      <c r="I4674" s="4" t="s">
        <v>65</v>
      </c>
      <c r="J4674" s="4" t="s">
        <v>66</v>
      </c>
      <c r="K4674" s="4">
        <v>1</v>
      </c>
      <c r="L4674" s="94">
        <v>51463</v>
      </c>
      <c r="M4674" s="94">
        <v>0</v>
      </c>
    </row>
    <row r="4675" spans="3:13" x14ac:dyDescent="0.3">
      <c r="C4675" t="s">
        <v>61</v>
      </c>
      <c r="D4675" t="s">
        <v>62</v>
      </c>
      <c r="E4675" t="s">
        <v>68</v>
      </c>
      <c r="F4675" t="s">
        <v>25</v>
      </c>
      <c r="G4675" s="4">
        <v>36</v>
      </c>
      <c r="I4675" s="4" t="s">
        <v>69</v>
      </c>
      <c r="J4675" s="4" t="s">
        <v>66</v>
      </c>
      <c r="K4675" s="4">
        <v>0</v>
      </c>
      <c r="L4675" s="94">
        <v>131988</v>
      </c>
      <c r="M4675" s="94">
        <v>4751568</v>
      </c>
    </row>
    <row r="4676" spans="3:13" x14ac:dyDescent="0.3">
      <c r="C4676" t="s">
        <v>61</v>
      </c>
      <c r="D4676" t="s">
        <v>67</v>
      </c>
      <c r="E4676" t="s">
        <v>63</v>
      </c>
      <c r="F4676" t="s">
        <v>26</v>
      </c>
      <c r="G4676" s="4">
        <v>-1</v>
      </c>
      <c r="H4676" s="4" t="s">
        <v>15</v>
      </c>
      <c r="I4676" s="4" t="s">
        <v>69</v>
      </c>
      <c r="J4676" s="4" t="s">
        <v>73</v>
      </c>
      <c r="K4676" s="4">
        <v>1</v>
      </c>
      <c r="L4676" s="94">
        <v>-477</v>
      </c>
      <c r="M4676" s="94">
        <v>0</v>
      </c>
    </row>
    <row r="4677" spans="3:13" x14ac:dyDescent="0.3">
      <c r="C4677" t="s">
        <v>71</v>
      </c>
      <c r="D4677" t="s">
        <v>62</v>
      </c>
      <c r="E4677" t="s">
        <v>68</v>
      </c>
      <c r="F4677" t="s">
        <v>24</v>
      </c>
      <c r="G4677" s="4">
        <v>53</v>
      </c>
      <c r="I4677" s="4" t="s">
        <v>69</v>
      </c>
      <c r="J4677" s="4" t="s">
        <v>66</v>
      </c>
      <c r="K4677" s="4">
        <v>0</v>
      </c>
      <c r="L4677" s="94">
        <v>50354</v>
      </c>
      <c r="M4677" s="94">
        <v>2668762</v>
      </c>
    </row>
    <row r="4678" spans="3:13" x14ac:dyDescent="0.3">
      <c r="C4678" t="s">
        <v>70</v>
      </c>
      <c r="D4678" t="s">
        <v>67</v>
      </c>
      <c r="E4678" t="s">
        <v>68</v>
      </c>
      <c r="F4678" t="s">
        <v>26</v>
      </c>
      <c r="G4678" s="4">
        <v>3</v>
      </c>
      <c r="H4678" s="4" t="s">
        <v>12</v>
      </c>
      <c r="I4678" s="4" t="s">
        <v>69</v>
      </c>
      <c r="J4678" s="4" t="s">
        <v>66</v>
      </c>
      <c r="K4678" s="4">
        <v>0</v>
      </c>
      <c r="L4678" s="94">
        <v>2289527</v>
      </c>
      <c r="M4678" s="94">
        <v>6868581</v>
      </c>
    </row>
    <row r="4679" spans="3:13" x14ac:dyDescent="0.3">
      <c r="C4679" t="s">
        <v>71</v>
      </c>
      <c r="D4679" t="s">
        <v>67</v>
      </c>
      <c r="E4679" t="s">
        <v>68</v>
      </c>
      <c r="F4679" t="s">
        <v>26</v>
      </c>
      <c r="G4679" s="4">
        <v>-1</v>
      </c>
      <c r="H4679" s="4" t="s">
        <v>15</v>
      </c>
      <c r="I4679" s="4" t="s">
        <v>69</v>
      </c>
      <c r="J4679" s="4" t="s">
        <v>73</v>
      </c>
      <c r="K4679" s="4">
        <v>1</v>
      </c>
      <c r="L4679" s="94">
        <v>4548</v>
      </c>
      <c r="M4679" s="94">
        <v>0</v>
      </c>
    </row>
    <row r="4680" spans="3:13" x14ac:dyDescent="0.3">
      <c r="C4680" t="s">
        <v>71</v>
      </c>
      <c r="D4680" t="s">
        <v>62</v>
      </c>
      <c r="E4680" t="s">
        <v>68</v>
      </c>
      <c r="F4680" t="s">
        <v>24</v>
      </c>
      <c r="G4680" s="4">
        <v>-4</v>
      </c>
      <c r="I4680" s="4" t="s">
        <v>69</v>
      </c>
      <c r="J4680" s="4" t="s">
        <v>66</v>
      </c>
      <c r="K4680" s="4">
        <v>0</v>
      </c>
      <c r="L4680" s="94">
        <v>968924</v>
      </c>
      <c r="M4680" s="94">
        <v>0</v>
      </c>
    </row>
    <row r="4681" spans="3:13" x14ac:dyDescent="0.3">
      <c r="C4681" t="s">
        <v>61</v>
      </c>
      <c r="D4681" t="s">
        <v>67</v>
      </c>
      <c r="E4681" t="s">
        <v>63</v>
      </c>
      <c r="F4681" t="s">
        <v>26</v>
      </c>
      <c r="G4681" s="4">
        <v>3</v>
      </c>
      <c r="H4681" s="4" t="s">
        <v>17</v>
      </c>
      <c r="I4681" s="4" t="s">
        <v>65</v>
      </c>
      <c r="J4681" s="4" t="s">
        <v>73</v>
      </c>
      <c r="K4681" s="4">
        <v>1</v>
      </c>
      <c r="L4681" s="94">
        <v>-8795</v>
      </c>
      <c r="M4681" s="94">
        <v>0</v>
      </c>
    </row>
    <row r="4682" spans="3:13" x14ac:dyDescent="0.3">
      <c r="C4682" t="s">
        <v>70</v>
      </c>
      <c r="D4682" t="s">
        <v>67</v>
      </c>
      <c r="E4682" t="s">
        <v>63</v>
      </c>
      <c r="F4682" t="s">
        <v>25</v>
      </c>
      <c r="G4682" s="4">
        <v>13</v>
      </c>
      <c r="H4682" s="4" t="s">
        <v>75</v>
      </c>
      <c r="I4682" s="4" t="s">
        <v>69</v>
      </c>
      <c r="J4682" s="4" t="s">
        <v>66</v>
      </c>
      <c r="K4682" s="4">
        <v>0</v>
      </c>
      <c r="L4682" s="94">
        <v>-83359</v>
      </c>
      <c r="M4682" s="94">
        <v>0</v>
      </c>
    </row>
    <row r="4683" spans="3:13" x14ac:dyDescent="0.3">
      <c r="C4683" t="s">
        <v>61</v>
      </c>
      <c r="D4683" t="s">
        <v>67</v>
      </c>
      <c r="E4683" t="s">
        <v>63</v>
      </c>
      <c r="F4683" t="s">
        <v>26</v>
      </c>
      <c r="G4683" s="4">
        <v>-1</v>
      </c>
      <c r="H4683" s="4" t="s">
        <v>14</v>
      </c>
      <c r="I4683" s="4" t="s">
        <v>65</v>
      </c>
      <c r="J4683" s="4" t="s">
        <v>66</v>
      </c>
      <c r="K4683" s="4">
        <v>1</v>
      </c>
      <c r="L4683" s="94">
        <v>-814</v>
      </c>
      <c r="M4683" s="94">
        <v>0</v>
      </c>
    </row>
    <row r="4684" spans="3:13" x14ac:dyDescent="0.3">
      <c r="C4684" t="s">
        <v>71</v>
      </c>
      <c r="D4684" t="s">
        <v>67</v>
      </c>
      <c r="E4684" t="s">
        <v>68</v>
      </c>
      <c r="F4684" t="s">
        <v>25</v>
      </c>
      <c r="G4684" s="4">
        <v>-4</v>
      </c>
      <c r="H4684" s="4" t="s">
        <v>18</v>
      </c>
      <c r="I4684" s="4" t="s">
        <v>69</v>
      </c>
      <c r="J4684" s="4" t="s">
        <v>66</v>
      </c>
      <c r="K4684" s="4">
        <v>0</v>
      </c>
      <c r="L4684" s="94">
        <v>225343</v>
      </c>
      <c r="M4684" s="94">
        <v>0</v>
      </c>
    </row>
    <row r="4685" spans="3:13" x14ac:dyDescent="0.3">
      <c r="C4685" t="s">
        <v>70</v>
      </c>
      <c r="D4685" t="s">
        <v>67</v>
      </c>
      <c r="E4685" t="s">
        <v>63</v>
      </c>
      <c r="F4685" t="s">
        <v>72</v>
      </c>
      <c r="G4685" s="4">
        <v>3</v>
      </c>
      <c r="H4685" s="4" t="s">
        <v>14</v>
      </c>
      <c r="I4685" s="4" t="s">
        <v>69</v>
      </c>
      <c r="J4685" s="4" t="s">
        <v>66</v>
      </c>
      <c r="K4685" s="4">
        <v>0</v>
      </c>
      <c r="L4685" s="94">
        <v>-72166</v>
      </c>
      <c r="M4685" s="94">
        <v>0</v>
      </c>
    </row>
    <row r="4686" spans="3:13" x14ac:dyDescent="0.3">
      <c r="C4686" t="s">
        <v>61</v>
      </c>
      <c r="D4686" t="s">
        <v>67</v>
      </c>
      <c r="E4686" t="s">
        <v>63</v>
      </c>
      <c r="F4686" t="s">
        <v>25</v>
      </c>
      <c r="G4686" s="4">
        <v>5</v>
      </c>
      <c r="H4686" s="4" t="s">
        <v>82</v>
      </c>
      <c r="I4686" s="4" t="s">
        <v>69</v>
      </c>
      <c r="J4686" s="4" t="s">
        <v>66</v>
      </c>
      <c r="K4686" s="4">
        <v>0</v>
      </c>
      <c r="L4686" s="94">
        <v>-4340</v>
      </c>
      <c r="M4686" s="94">
        <v>0</v>
      </c>
    </row>
    <row r="4687" spans="3:13" x14ac:dyDescent="0.3">
      <c r="C4687" t="s">
        <v>70</v>
      </c>
      <c r="D4687" t="s">
        <v>67</v>
      </c>
      <c r="E4687" t="s">
        <v>63</v>
      </c>
      <c r="F4687" t="s">
        <v>25</v>
      </c>
      <c r="G4687" s="4">
        <v>5</v>
      </c>
      <c r="H4687" s="4" t="s">
        <v>76</v>
      </c>
      <c r="I4687" s="4" t="s">
        <v>69</v>
      </c>
      <c r="J4687" s="4" t="s">
        <v>66</v>
      </c>
      <c r="K4687" s="4">
        <v>0</v>
      </c>
      <c r="L4687" s="94">
        <v>-224218</v>
      </c>
      <c r="M4687" s="94">
        <v>0</v>
      </c>
    </row>
    <row r="4688" spans="3:13" x14ac:dyDescent="0.3">
      <c r="C4688" t="s">
        <v>61</v>
      </c>
      <c r="D4688" t="s">
        <v>67</v>
      </c>
      <c r="E4688" t="s">
        <v>68</v>
      </c>
      <c r="F4688" t="s">
        <v>25</v>
      </c>
      <c r="G4688" s="4">
        <v>0</v>
      </c>
      <c r="H4688" s="4" t="s">
        <v>80</v>
      </c>
      <c r="I4688" s="4" t="s">
        <v>69</v>
      </c>
      <c r="J4688" s="4" t="s">
        <v>66</v>
      </c>
      <c r="K4688" s="4">
        <v>0</v>
      </c>
      <c r="L4688" s="94">
        <v>12037</v>
      </c>
      <c r="M4688" s="94">
        <v>0</v>
      </c>
    </row>
    <row r="4689" spans="3:13" x14ac:dyDescent="0.3">
      <c r="C4689" t="s">
        <v>70</v>
      </c>
      <c r="D4689" t="s">
        <v>62</v>
      </c>
      <c r="E4689" t="s">
        <v>68</v>
      </c>
      <c r="F4689" t="s">
        <v>24</v>
      </c>
      <c r="G4689" s="4">
        <v>25</v>
      </c>
      <c r="I4689" s="4" t="s">
        <v>65</v>
      </c>
      <c r="J4689" s="4" t="s">
        <v>66</v>
      </c>
      <c r="K4689" s="4">
        <v>1</v>
      </c>
      <c r="L4689" s="94">
        <v>772033</v>
      </c>
      <c r="M4689" s="94">
        <v>19300825</v>
      </c>
    </row>
    <row r="4690" spans="3:13" x14ac:dyDescent="0.3">
      <c r="C4690" t="s">
        <v>71</v>
      </c>
      <c r="D4690" t="s">
        <v>67</v>
      </c>
      <c r="E4690" t="s">
        <v>63</v>
      </c>
      <c r="F4690" t="s">
        <v>26</v>
      </c>
      <c r="G4690" s="4">
        <v>-1</v>
      </c>
      <c r="H4690" s="4" t="s">
        <v>17</v>
      </c>
      <c r="I4690" s="4" t="s">
        <v>69</v>
      </c>
      <c r="J4690" s="4" t="s">
        <v>73</v>
      </c>
      <c r="K4690" s="4">
        <v>1</v>
      </c>
      <c r="L4690" s="94">
        <v>-224572</v>
      </c>
      <c r="M4690" s="94">
        <v>0</v>
      </c>
    </row>
    <row r="4691" spans="3:13" x14ac:dyDescent="0.3">
      <c r="C4691" t="s">
        <v>61</v>
      </c>
      <c r="D4691" t="s">
        <v>62</v>
      </c>
      <c r="E4691" t="s">
        <v>63</v>
      </c>
      <c r="F4691" t="s">
        <v>24</v>
      </c>
      <c r="G4691" s="4">
        <v>37</v>
      </c>
      <c r="I4691" s="4" t="s">
        <v>69</v>
      </c>
      <c r="J4691" s="4" t="s">
        <v>66</v>
      </c>
      <c r="K4691" s="4">
        <v>0</v>
      </c>
      <c r="L4691" s="94">
        <v>-751029</v>
      </c>
      <c r="M4691" s="94">
        <v>0</v>
      </c>
    </row>
    <row r="4692" spans="3:13" x14ac:dyDescent="0.3">
      <c r="C4692" t="s">
        <v>70</v>
      </c>
      <c r="D4692" t="s">
        <v>67</v>
      </c>
      <c r="E4692" t="s">
        <v>68</v>
      </c>
      <c r="F4692" t="s">
        <v>26</v>
      </c>
      <c r="G4692" s="4">
        <v>5</v>
      </c>
      <c r="H4692" s="4" t="s">
        <v>86</v>
      </c>
      <c r="I4692" s="4" t="s">
        <v>69</v>
      </c>
      <c r="J4692" s="4" t="s">
        <v>66</v>
      </c>
      <c r="K4692" s="4">
        <v>0</v>
      </c>
      <c r="L4692" s="94">
        <v>47878</v>
      </c>
      <c r="M4692" s="94">
        <v>239390</v>
      </c>
    </row>
    <row r="4693" spans="3:13" x14ac:dyDescent="0.3">
      <c r="C4693" t="s">
        <v>61</v>
      </c>
      <c r="D4693" t="s">
        <v>67</v>
      </c>
      <c r="E4693" t="s">
        <v>63</v>
      </c>
      <c r="F4693" t="s">
        <v>25</v>
      </c>
      <c r="G4693" s="4">
        <v>1</v>
      </c>
      <c r="H4693" s="4" t="s">
        <v>75</v>
      </c>
      <c r="I4693" s="4" t="s">
        <v>69</v>
      </c>
      <c r="J4693" s="4" t="s">
        <v>66</v>
      </c>
      <c r="K4693" s="4">
        <v>1</v>
      </c>
      <c r="L4693" s="94">
        <v>-1309</v>
      </c>
      <c r="M4693" s="94">
        <v>0</v>
      </c>
    </row>
    <row r="4694" spans="3:13" x14ac:dyDescent="0.3">
      <c r="C4694" t="s">
        <v>71</v>
      </c>
      <c r="D4694" t="s">
        <v>84</v>
      </c>
      <c r="E4694" t="s">
        <v>68</v>
      </c>
      <c r="F4694" t="s">
        <v>25</v>
      </c>
      <c r="G4694" s="4">
        <v>1</v>
      </c>
      <c r="H4694" s="4" t="s">
        <v>75</v>
      </c>
      <c r="I4694" s="4" t="s">
        <v>69</v>
      </c>
      <c r="J4694" s="4" t="s">
        <v>66</v>
      </c>
      <c r="K4694" s="4">
        <v>0</v>
      </c>
      <c r="L4694" s="94">
        <v>1307632</v>
      </c>
      <c r="M4694" s="94">
        <v>1307632</v>
      </c>
    </row>
    <row r="4695" spans="3:13" x14ac:dyDescent="0.3">
      <c r="C4695" t="s">
        <v>61</v>
      </c>
      <c r="D4695" t="s">
        <v>67</v>
      </c>
      <c r="E4695" t="s">
        <v>68</v>
      </c>
      <c r="G4695" s="4">
        <v>-1</v>
      </c>
      <c r="H4695" s="4" t="s">
        <v>77</v>
      </c>
      <c r="I4695" s="4" t="s">
        <v>69</v>
      </c>
      <c r="J4695" s="4" t="s">
        <v>66</v>
      </c>
      <c r="K4695" s="4">
        <v>0</v>
      </c>
      <c r="L4695" s="94">
        <v>0</v>
      </c>
      <c r="M4695" s="94">
        <v>0</v>
      </c>
    </row>
    <row r="4696" spans="3:13" x14ac:dyDescent="0.3">
      <c r="C4696" t="s">
        <v>71</v>
      </c>
      <c r="D4696" t="s">
        <v>67</v>
      </c>
      <c r="E4696" t="s">
        <v>68</v>
      </c>
      <c r="F4696" t="s">
        <v>26</v>
      </c>
      <c r="G4696" s="4">
        <v>3</v>
      </c>
      <c r="H4696" s="4" t="s">
        <v>17</v>
      </c>
      <c r="I4696" s="4" t="s">
        <v>69</v>
      </c>
      <c r="J4696" s="4" t="s">
        <v>73</v>
      </c>
      <c r="K4696" s="4">
        <v>1</v>
      </c>
      <c r="L4696" s="94">
        <v>689503</v>
      </c>
      <c r="M4696" s="94">
        <v>2068509</v>
      </c>
    </row>
    <row r="4697" spans="3:13" x14ac:dyDescent="0.3">
      <c r="C4697" t="s">
        <v>70</v>
      </c>
      <c r="D4697" t="s">
        <v>67</v>
      </c>
      <c r="E4697" t="s">
        <v>68</v>
      </c>
      <c r="F4697" t="s">
        <v>26</v>
      </c>
      <c r="G4697" s="4">
        <v>-1</v>
      </c>
      <c r="H4697" s="4" t="s">
        <v>14</v>
      </c>
      <c r="I4697" s="4" t="s">
        <v>69</v>
      </c>
      <c r="J4697" s="4" t="s">
        <v>66</v>
      </c>
      <c r="K4697" s="4">
        <v>0</v>
      </c>
      <c r="L4697" s="94">
        <v>22364830</v>
      </c>
      <c r="M4697" s="94">
        <v>0</v>
      </c>
    </row>
    <row r="4698" spans="3:13" x14ac:dyDescent="0.3">
      <c r="C4698" t="s">
        <v>61</v>
      </c>
      <c r="D4698" t="s">
        <v>67</v>
      </c>
      <c r="E4698" t="s">
        <v>63</v>
      </c>
      <c r="F4698" t="s">
        <v>72</v>
      </c>
      <c r="G4698" s="4">
        <v>3</v>
      </c>
      <c r="H4698" s="4" t="s">
        <v>14</v>
      </c>
      <c r="I4698" s="4" t="s">
        <v>69</v>
      </c>
      <c r="J4698" s="4" t="s">
        <v>66</v>
      </c>
      <c r="K4698" s="4">
        <v>0</v>
      </c>
      <c r="L4698" s="94">
        <v>-11605</v>
      </c>
      <c r="M4698" s="94">
        <v>0</v>
      </c>
    </row>
    <row r="4699" spans="3:13" x14ac:dyDescent="0.3">
      <c r="C4699" t="s">
        <v>71</v>
      </c>
      <c r="D4699" t="s">
        <v>67</v>
      </c>
      <c r="E4699" t="s">
        <v>68</v>
      </c>
      <c r="F4699" t="s">
        <v>72</v>
      </c>
      <c r="G4699" s="4">
        <v>2</v>
      </c>
      <c r="H4699" s="4" t="s">
        <v>76</v>
      </c>
      <c r="I4699" s="4" t="s">
        <v>69</v>
      </c>
      <c r="J4699" s="4" t="s">
        <v>66</v>
      </c>
      <c r="K4699" s="4">
        <v>0</v>
      </c>
      <c r="L4699" s="94">
        <v>74055</v>
      </c>
      <c r="M4699" s="94">
        <v>148110</v>
      </c>
    </row>
    <row r="4700" spans="3:13" x14ac:dyDescent="0.3">
      <c r="C4700" t="s">
        <v>70</v>
      </c>
      <c r="D4700" t="s">
        <v>67</v>
      </c>
      <c r="E4700" t="s">
        <v>68</v>
      </c>
      <c r="F4700" t="s">
        <v>72</v>
      </c>
      <c r="G4700" s="4">
        <v>3</v>
      </c>
      <c r="H4700" s="4" t="s">
        <v>77</v>
      </c>
      <c r="I4700" s="4" t="s">
        <v>69</v>
      </c>
      <c r="J4700" s="4" t="s">
        <v>66</v>
      </c>
      <c r="K4700" s="4">
        <v>0</v>
      </c>
      <c r="L4700" s="94">
        <v>213289</v>
      </c>
      <c r="M4700" s="94">
        <v>639867</v>
      </c>
    </row>
    <row r="4701" spans="3:13" x14ac:dyDescent="0.3">
      <c r="C4701" t="s">
        <v>71</v>
      </c>
      <c r="D4701" t="s">
        <v>67</v>
      </c>
      <c r="E4701" t="s">
        <v>63</v>
      </c>
      <c r="F4701" t="s">
        <v>25</v>
      </c>
      <c r="G4701" s="4">
        <v>13</v>
      </c>
      <c r="H4701" s="4" t="s">
        <v>76</v>
      </c>
      <c r="I4701" s="4" t="s">
        <v>69</v>
      </c>
      <c r="J4701" s="4" t="s">
        <v>66</v>
      </c>
      <c r="K4701" s="4">
        <v>0</v>
      </c>
      <c r="L4701" s="94">
        <v>-6631654</v>
      </c>
      <c r="M4701" s="94">
        <v>0</v>
      </c>
    </row>
    <row r="4702" spans="3:13" x14ac:dyDescent="0.3">
      <c r="C4702" t="s">
        <v>70</v>
      </c>
      <c r="D4702" t="s">
        <v>67</v>
      </c>
      <c r="E4702" t="s">
        <v>63</v>
      </c>
      <c r="F4702" t="s">
        <v>25</v>
      </c>
      <c r="G4702" s="4">
        <v>2</v>
      </c>
      <c r="H4702" s="4" t="s">
        <v>12</v>
      </c>
      <c r="I4702" s="4" t="s">
        <v>69</v>
      </c>
      <c r="J4702" s="4" t="s">
        <v>66</v>
      </c>
      <c r="K4702" s="4">
        <v>0</v>
      </c>
      <c r="L4702" s="94">
        <v>-798</v>
      </c>
      <c r="M4702" s="94">
        <v>0</v>
      </c>
    </row>
    <row r="4703" spans="3:13" x14ac:dyDescent="0.3">
      <c r="C4703" t="s">
        <v>61</v>
      </c>
      <c r="D4703" t="s">
        <v>67</v>
      </c>
      <c r="E4703" t="s">
        <v>68</v>
      </c>
      <c r="F4703" t="s">
        <v>26</v>
      </c>
      <c r="G4703" s="4">
        <v>1</v>
      </c>
      <c r="H4703" s="4" t="s">
        <v>79</v>
      </c>
      <c r="I4703" s="4" t="s">
        <v>69</v>
      </c>
      <c r="J4703" s="4" t="s">
        <v>66</v>
      </c>
      <c r="K4703" s="4">
        <v>0</v>
      </c>
      <c r="L4703" s="94">
        <v>13848108</v>
      </c>
      <c r="M4703" s="94">
        <v>13848108</v>
      </c>
    </row>
    <row r="4704" spans="3:13" x14ac:dyDescent="0.3">
      <c r="C4704" t="s">
        <v>71</v>
      </c>
      <c r="D4704" t="s">
        <v>67</v>
      </c>
      <c r="E4704" t="s">
        <v>68</v>
      </c>
      <c r="F4704" t="s">
        <v>72</v>
      </c>
      <c r="G4704" s="4">
        <v>1</v>
      </c>
      <c r="H4704" s="4" t="s">
        <v>14</v>
      </c>
      <c r="I4704" s="4" t="s">
        <v>69</v>
      </c>
      <c r="J4704" s="4" t="s">
        <v>73</v>
      </c>
      <c r="K4704" s="4">
        <v>1</v>
      </c>
      <c r="L4704" s="94">
        <v>255657</v>
      </c>
      <c r="M4704" s="94">
        <v>255657</v>
      </c>
    </row>
    <row r="4705" spans="3:13" x14ac:dyDescent="0.3">
      <c r="C4705" t="s">
        <v>61</v>
      </c>
      <c r="D4705" t="s">
        <v>67</v>
      </c>
      <c r="E4705" t="s">
        <v>63</v>
      </c>
      <c r="F4705" t="s">
        <v>26</v>
      </c>
      <c r="G4705" s="4">
        <v>3</v>
      </c>
      <c r="H4705" s="4" t="s">
        <v>80</v>
      </c>
      <c r="I4705" s="4" t="s">
        <v>69</v>
      </c>
      <c r="J4705" s="4" t="s">
        <v>66</v>
      </c>
      <c r="K4705" s="4">
        <v>0</v>
      </c>
      <c r="L4705" s="94">
        <v>-8255</v>
      </c>
      <c r="M4705" s="94">
        <v>0</v>
      </c>
    </row>
    <row r="4706" spans="3:13" x14ac:dyDescent="0.3">
      <c r="C4706" t="s">
        <v>70</v>
      </c>
      <c r="D4706" t="s">
        <v>67</v>
      </c>
      <c r="E4706" t="s">
        <v>63</v>
      </c>
      <c r="F4706" t="s">
        <v>72</v>
      </c>
      <c r="G4706" s="4">
        <v>0</v>
      </c>
      <c r="H4706" s="4" t="s">
        <v>79</v>
      </c>
      <c r="I4706" s="4" t="s">
        <v>69</v>
      </c>
      <c r="J4706" s="4" t="s">
        <v>66</v>
      </c>
      <c r="K4706" s="4">
        <v>0</v>
      </c>
      <c r="L4706" s="94">
        <v>-1530</v>
      </c>
      <c r="M4706" s="94">
        <v>0</v>
      </c>
    </row>
    <row r="4707" spans="3:13" x14ac:dyDescent="0.3">
      <c r="C4707" t="s">
        <v>71</v>
      </c>
      <c r="D4707" t="s">
        <v>67</v>
      </c>
      <c r="E4707" t="s">
        <v>63</v>
      </c>
      <c r="F4707" t="s">
        <v>26</v>
      </c>
      <c r="G4707" s="4">
        <v>0</v>
      </c>
      <c r="H4707" s="4" t="s">
        <v>18</v>
      </c>
      <c r="I4707" s="4" t="s">
        <v>69</v>
      </c>
      <c r="J4707" s="4" t="s">
        <v>73</v>
      </c>
      <c r="K4707" s="4">
        <v>1</v>
      </c>
      <c r="L4707" s="94">
        <v>-20221</v>
      </c>
      <c r="M4707" s="94">
        <v>0</v>
      </c>
    </row>
    <row r="4708" spans="3:13" x14ac:dyDescent="0.3">
      <c r="C4708" t="s">
        <v>61</v>
      </c>
      <c r="D4708" t="s">
        <v>67</v>
      </c>
      <c r="E4708" t="s">
        <v>63</v>
      </c>
      <c r="F4708" t="s">
        <v>26</v>
      </c>
      <c r="G4708" s="4">
        <v>5</v>
      </c>
      <c r="H4708" s="4" t="s">
        <v>17</v>
      </c>
      <c r="I4708" s="4" t="s">
        <v>69</v>
      </c>
      <c r="J4708" s="4" t="s">
        <v>66</v>
      </c>
      <c r="K4708" s="4">
        <v>0</v>
      </c>
      <c r="L4708" s="94">
        <v>-9607</v>
      </c>
      <c r="M4708" s="94">
        <v>0</v>
      </c>
    </row>
    <row r="4709" spans="3:13" x14ac:dyDescent="0.3">
      <c r="C4709" t="s">
        <v>61</v>
      </c>
      <c r="D4709" t="s">
        <v>62</v>
      </c>
      <c r="E4709" t="s">
        <v>68</v>
      </c>
      <c r="F4709" t="s">
        <v>24</v>
      </c>
      <c r="G4709" s="4">
        <v>23</v>
      </c>
      <c r="I4709" s="4" t="s">
        <v>69</v>
      </c>
      <c r="J4709" s="4" t="s">
        <v>66</v>
      </c>
      <c r="K4709" s="4">
        <v>0</v>
      </c>
      <c r="L4709" s="94">
        <v>616132622</v>
      </c>
      <c r="M4709" s="94">
        <v>14171050306</v>
      </c>
    </row>
    <row r="4710" spans="3:13" x14ac:dyDescent="0.3">
      <c r="C4710" t="s">
        <v>61</v>
      </c>
      <c r="D4710" t="s">
        <v>84</v>
      </c>
      <c r="E4710" t="s">
        <v>68</v>
      </c>
      <c r="F4710" t="s">
        <v>25</v>
      </c>
      <c r="G4710" s="4">
        <v>10</v>
      </c>
      <c r="H4710" s="4" t="s">
        <v>75</v>
      </c>
      <c r="I4710" s="4" t="s">
        <v>69</v>
      </c>
      <c r="J4710" s="4" t="s">
        <v>66</v>
      </c>
      <c r="K4710" s="4">
        <v>0</v>
      </c>
      <c r="L4710" s="94">
        <v>15918106</v>
      </c>
      <c r="M4710" s="94">
        <v>159181060</v>
      </c>
    </row>
    <row r="4711" spans="3:13" x14ac:dyDescent="0.3">
      <c r="C4711" t="s">
        <v>61</v>
      </c>
      <c r="D4711" t="s">
        <v>67</v>
      </c>
      <c r="E4711" t="s">
        <v>63</v>
      </c>
      <c r="F4711" t="s">
        <v>25</v>
      </c>
      <c r="G4711" s="4">
        <v>5</v>
      </c>
      <c r="H4711" s="4" t="s">
        <v>77</v>
      </c>
      <c r="I4711" s="4" t="s">
        <v>69</v>
      </c>
      <c r="J4711" s="4" t="s">
        <v>66</v>
      </c>
      <c r="K4711" s="4">
        <v>0</v>
      </c>
      <c r="L4711" s="94">
        <v>-1141</v>
      </c>
      <c r="M4711" s="94">
        <v>0</v>
      </c>
    </row>
    <row r="4712" spans="3:13" x14ac:dyDescent="0.3">
      <c r="C4712" t="s">
        <v>71</v>
      </c>
      <c r="D4712" t="s">
        <v>67</v>
      </c>
      <c r="E4712" t="s">
        <v>63</v>
      </c>
      <c r="F4712" t="s">
        <v>26</v>
      </c>
      <c r="G4712" s="4">
        <v>3</v>
      </c>
      <c r="H4712" s="4" t="s">
        <v>17</v>
      </c>
      <c r="I4712" s="4" t="s">
        <v>65</v>
      </c>
      <c r="J4712" s="4" t="s">
        <v>73</v>
      </c>
      <c r="K4712" s="4">
        <v>1</v>
      </c>
      <c r="L4712" s="94">
        <v>-224864</v>
      </c>
      <c r="M4712" s="94">
        <v>0</v>
      </c>
    </row>
    <row r="4713" spans="3:13" x14ac:dyDescent="0.3">
      <c r="C4713" t="s">
        <v>71</v>
      </c>
      <c r="D4713" t="s">
        <v>67</v>
      </c>
      <c r="E4713" t="s">
        <v>63</v>
      </c>
      <c r="F4713" t="s">
        <v>26</v>
      </c>
      <c r="G4713" s="4">
        <v>-1</v>
      </c>
      <c r="H4713" s="4" t="s">
        <v>14</v>
      </c>
      <c r="I4713" s="4" t="s">
        <v>65</v>
      </c>
      <c r="J4713" s="4" t="s">
        <v>66</v>
      </c>
      <c r="K4713" s="4">
        <v>1</v>
      </c>
      <c r="L4713" s="94">
        <v>-47460</v>
      </c>
      <c r="M4713" s="94">
        <v>0</v>
      </c>
    </row>
    <row r="4714" spans="3:13" x14ac:dyDescent="0.3">
      <c r="C4714" t="s">
        <v>70</v>
      </c>
      <c r="D4714" t="s">
        <v>67</v>
      </c>
      <c r="E4714" t="s">
        <v>63</v>
      </c>
      <c r="F4714" t="s">
        <v>26</v>
      </c>
      <c r="G4714" s="4">
        <v>0</v>
      </c>
      <c r="H4714" s="4" t="s">
        <v>17</v>
      </c>
      <c r="I4714" s="4" t="s">
        <v>65</v>
      </c>
      <c r="J4714" s="4" t="s">
        <v>73</v>
      </c>
      <c r="K4714" s="4">
        <v>1</v>
      </c>
      <c r="L4714" s="94">
        <v>-504</v>
      </c>
      <c r="M4714" s="94">
        <v>0</v>
      </c>
    </row>
    <row r="4715" spans="3:13" x14ac:dyDescent="0.3">
      <c r="C4715" t="s">
        <v>61</v>
      </c>
      <c r="D4715" t="s">
        <v>67</v>
      </c>
      <c r="E4715" t="s">
        <v>68</v>
      </c>
      <c r="F4715" t="s">
        <v>25</v>
      </c>
      <c r="G4715" s="4">
        <v>9</v>
      </c>
      <c r="H4715" s="4" t="s">
        <v>81</v>
      </c>
      <c r="I4715" s="4" t="s">
        <v>69</v>
      </c>
      <c r="J4715" s="4" t="s">
        <v>66</v>
      </c>
      <c r="K4715" s="4">
        <v>0</v>
      </c>
      <c r="L4715" s="94">
        <v>60024</v>
      </c>
      <c r="M4715" s="94">
        <v>540216</v>
      </c>
    </row>
    <row r="4716" spans="3:13" x14ac:dyDescent="0.3">
      <c r="C4716" t="s">
        <v>70</v>
      </c>
      <c r="D4716" t="s">
        <v>67</v>
      </c>
      <c r="E4716" t="s">
        <v>63</v>
      </c>
      <c r="F4716" t="s">
        <v>72</v>
      </c>
      <c r="G4716" s="4">
        <v>0</v>
      </c>
      <c r="H4716" s="4" t="s">
        <v>80</v>
      </c>
      <c r="I4716" s="4" t="s">
        <v>69</v>
      </c>
      <c r="J4716" s="4" t="s">
        <v>66</v>
      </c>
      <c r="K4716" s="4">
        <v>0</v>
      </c>
      <c r="L4716" s="94">
        <v>-92</v>
      </c>
      <c r="M4716" s="94">
        <v>0</v>
      </c>
    </row>
    <row r="4717" spans="3:13" x14ac:dyDescent="0.3">
      <c r="C4717" t="s">
        <v>61</v>
      </c>
      <c r="D4717" t="s">
        <v>67</v>
      </c>
      <c r="E4717" t="s">
        <v>68</v>
      </c>
      <c r="F4717" t="s">
        <v>72</v>
      </c>
      <c r="G4717" s="4">
        <v>4</v>
      </c>
      <c r="H4717" s="4" t="s">
        <v>74</v>
      </c>
      <c r="I4717" s="4" t="s">
        <v>69</v>
      </c>
      <c r="J4717" s="4" t="s">
        <v>66</v>
      </c>
      <c r="K4717" s="4">
        <v>0</v>
      </c>
      <c r="L4717" s="94">
        <v>8361781</v>
      </c>
      <c r="M4717" s="94">
        <v>33447124</v>
      </c>
    </row>
    <row r="4718" spans="3:13" x14ac:dyDescent="0.3">
      <c r="C4718" t="s">
        <v>71</v>
      </c>
      <c r="D4718" t="s">
        <v>67</v>
      </c>
      <c r="E4718" t="s">
        <v>68</v>
      </c>
      <c r="F4718" t="s">
        <v>72</v>
      </c>
      <c r="G4718" s="4">
        <v>1</v>
      </c>
      <c r="H4718" s="4" t="s">
        <v>12</v>
      </c>
      <c r="I4718" s="4" t="s">
        <v>69</v>
      </c>
      <c r="J4718" s="4" t="s">
        <v>73</v>
      </c>
      <c r="K4718" s="4">
        <v>1</v>
      </c>
      <c r="L4718" s="94">
        <v>31970</v>
      </c>
      <c r="M4718" s="94">
        <v>31970</v>
      </c>
    </row>
    <row r="4719" spans="3:13" x14ac:dyDescent="0.3">
      <c r="C4719" t="s">
        <v>70</v>
      </c>
      <c r="D4719" t="s">
        <v>67</v>
      </c>
      <c r="E4719" t="s">
        <v>68</v>
      </c>
      <c r="F4719" t="s">
        <v>25</v>
      </c>
      <c r="G4719" s="4">
        <v>8</v>
      </c>
      <c r="H4719" s="4" t="s">
        <v>17</v>
      </c>
      <c r="I4719" s="4" t="s">
        <v>69</v>
      </c>
      <c r="J4719" s="4" t="s">
        <v>66</v>
      </c>
      <c r="K4719" s="4">
        <v>0</v>
      </c>
      <c r="L4719" s="94">
        <v>749250</v>
      </c>
      <c r="M4719" s="94">
        <v>5994000</v>
      </c>
    </row>
    <row r="4720" spans="3:13" x14ac:dyDescent="0.3">
      <c r="C4720" t="s">
        <v>70</v>
      </c>
      <c r="D4720" t="s">
        <v>67</v>
      </c>
      <c r="E4720" t="s">
        <v>63</v>
      </c>
      <c r="F4720" t="s">
        <v>25</v>
      </c>
      <c r="G4720" s="4">
        <v>2</v>
      </c>
      <c r="H4720" s="4" t="s">
        <v>14</v>
      </c>
      <c r="I4720" s="4" t="s">
        <v>69</v>
      </c>
      <c r="J4720" s="4" t="s">
        <v>66</v>
      </c>
      <c r="K4720" s="4">
        <v>0</v>
      </c>
      <c r="L4720" s="94">
        <v>-12579</v>
      </c>
      <c r="M4720" s="94">
        <v>0</v>
      </c>
    </row>
    <row r="4721" spans="3:13" x14ac:dyDescent="0.3">
      <c r="C4721" t="s">
        <v>70</v>
      </c>
      <c r="D4721" t="s">
        <v>67</v>
      </c>
      <c r="E4721" t="s">
        <v>63</v>
      </c>
      <c r="F4721" t="s">
        <v>72</v>
      </c>
      <c r="G4721" s="4">
        <v>6</v>
      </c>
      <c r="H4721" s="4" t="s">
        <v>18</v>
      </c>
      <c r="I4721" s="4" t="s">
        <v>69</v>
      </c>
      <c r="J4721" s="4" t="s">
        <v>66</v>
      </c>
      <c r="K4721" s="4">
        <v>0</v>
      </c>
      <c r="L4721" s="94">
        <v>-19738</v>
      </c>
      <c r="M4721" s="94">
        <v>0</v>
      </c>
    </row>
    <row r="4722" spans="3:13" x14ac:dyDescent="0.3">
      <c r="C4722" t="s">
        <v>71</v>
      </c>
      <c r="D4722" t="s">
        <v>67</v>
      </c>
      <c r="E4722" t="s">
        <v>68</v>
      </c>
      <c r="F4722" t="s">
        <v>26</v>
      </c>
      <c r="G4722" s="4">
        <v>3</v>
      </c>
      <c r="H4722" s="4" t="s">
        <v>14</v>
      </c>
      <c r="I4722" s="4" t="s">
        <v>65</v>
      </c>
      <c r="J4722" s="4" t="s">
        <v>66</v>
      </c>
      <c r="K4722" s="4">
        <v>1</v>
      </c>
      <c r="L4722" s="94">
        <v>109355</v>
      </c>
      <c r="M4722" s="94">
        <v>328065</v>
      </c>
    </row>
    <row r="4723" spans="3:13" x14ac:dyDescent="0.3">
      <c r="C4723" t="s">
        <v>61</v>
      </c>
      <c r="D4723" t="s">
        <v>67</v>
      </c>
      <c r="E4723" t="s">
        <v>68</v>
      </c>
      <c r="F4723" t="s">
        <v>72</v>
      </c>
      <c r="G4723" s="4">
        <v>5</v>
      </c>
      <c r="H4723" s="4" t="s">
        <v>15</v>
      </c>
      <c r="I4723" s="4" t="s">
        <v>69</v>
      </c>
      <c r="J4723" s="4" t="s">
        <v>73</v>
      </c>
      <c r="K4723" s="4">
        <v>1</v>
      </c>
      <c r="L4723" s="94">
        <v>102783</v>
      </c>
      <c r="M4723" s="94">
        <v>513915</v>
      </c>
    </row>
    <row r="4724" spans="3:13" x14ac:dyDescent="0.3">
      <c r="C4724" t="s">
        <v>70</v>
      </c>
      <c r="D4724" t="s">
        <v>67</v>
      </c>
      <c r="E4724" t="s">
        <v>68</v>
      </c>
      <c r="F4724" t="s">
        <v>26</v>
      </c>
      <c r="G4724" s="4">
        <v>4</v>
      </c>
      <c r="H4724" s="4" t="s">
        <v>64</v>
      </c>
      <c r="I4724" s="4" t="s">
        <v>69</v>
      </c>
      <c r="J4724" s="4" t="s">
        <v>66</v>
      </c>
      <c r="K4724" s="4">
        <v>0</v>
      </c>
      <c r="L4724" s="94">
        <v>1163171</v>
      </c>
      <c r="M4724" s="94">
        <v>4652684</v>
      </c>
    </row>
    <row r="4725" spans="3:13" x14ac:dyDescent="0.3">
      <c r="C4725" t="s">
        <v>61</v>
      </c>
      <c r="D4725" t="s">
        <v>67</v>
      </c>
      <c r="E4725" t="s">
        <v>68</v>
      </c>
      <c r="F4725" t="s">
        <v>25</v>
      </c>
      <c r="G4725" s="4">
        <v>9</v>
      </c>
      <c r="H4725" s="4" t="s">
        <v>75</v>
      </c>
      <c r="I4725" s="4" t="s">
        <v>65</v>
      </c>
      <c r="J4725" s="4" t="s">
        <v>66</v>
      </c>
      <c r="K4725" s="4">
        <v>1</v>
      </c>
      <c r="L4725" s="94">
        <v>282141</v>
      </c>
      <c r="M4725" s="94">
        <v>2539269</v>
      </c>
    </row>
    <row r="4726" spans="3:13" x14ac:dyDescent="0.3">
      <c r="C4726" t="s">
        <v>61</v>
      </c>
      <c r="D4726" t="s">
        <v>67</v>
      </c>
      <c r="E4726" t="s">
        <v>63</v>
      </c>
      <c r="F4726" t="s">
        <v>72</v>
      </c>
      <c r="G4726" s="4">
        <v>3</v>
      </c>
      <c r="H4726" s="4" t="s">
        <v>12</v>
      </c>
      <c r="I4726" s="4" t="s">
        <v>69</v>
      </c>
      <c r="J4726" s="4" t="s">
        <v>66</v>
      </c>
      <c r="K4726" s="4">
        <v>0</v>
      </c>
      <c r="L4726" s="94">
        <v>-1823</v>
      </c>
      <c r="M4726" s="94">
        <v>0</v>
      </c>
    </row>
    <row r="4727" spans="3:13" x14ac:dyDescent="0.3">
      <c r="C4727" t="s">
        <v>61</v>
      </c>
      <c r="D4727" t="s">
        <v>67</v>
      </c>
      <c r="E4727" t="s">
        <v>68</v>
      </c>
      <c r="F4727" t="s">
        <v>72</v>
      </c>
      <c r="G4727" s="4">
        <v>-1</v>
      </c>
      <c r="H4727" s="4" t="s">
        <v>64</v>
      </c>
      <c r="I4727" s="4" t="s">
        <v>69</v>
      </c>
      <c r="J4727" s="4" t="s">
        <v>66</v>
      </c>
      <c r="K4727" s="4">
        <v>0</v>
      </c>
      <c r="L4727" s="94">
        <v>1601916</v>
      </c>
      <c r="M4727" s="94">
        <v>0</v>
      </c>
    </row>
    <row r="4728" spans="3:13" x14ac:dyDescent="0.3">
      <c r="C4728" t="s">
        <v>70</v>
      </c>
      <c r="D4728" t="s">
        <v>67</v>
      </c>
      <c r="E4728" t="s">
        <v>68</v>
      </c>
      <c r="F4728" t="s">
        <v>72</v>
      </c>
      <c r="G4728" s="4">
        <v>3</v>
      </c>
      <c r="H4728" s="4" t="s">
        <v>82</v>
      </c>
      <c r="I4728" s="4" t="s">
        <v>69</v>
      </c>
      <c r="J4728" s="4" t="s">
        <v>66</v>
      </c>
      <c r="K4728" s="4">
        <v>0</v>
      </c>
      <c r="L4728" s="94">
        <v>3023554</v>
      </c>
      <c r="M4728" s="94">
        <v>9070662</v>
      </c>
    </row>
    <row r="4729" spans="3:13" x14ac:dyDescent="0.3">
      <c r="C4729" t="s">
        <v>61</v>
      </c>
      <c r="D4729" t="s">
        <v>67</v>
      </c>
      <c r="E4729" t="s">
        <v>68</v>
      </c>
      <c r="F4729" t="s">
        <v>25</v>
      </c>
      <c r="G4729" s="4">
        <v>1</v>
      </c>
      <c r="H4729" s="4" t="s">
        <v>17</v>
      </c>
      <c r="I4729" s="4" t="s">
        <v>69</v>
      </c>
      <c r="J4729" s="4" t="s">
        <v>66</v>
      </c>
      <c r="K4729" s="4">
        <v>1</v>
      </c>
      <c r="L4729" s="94">
        <v>55769</v>
      </c>
      <c r="M4729" s="94">
        <v>55769</v>
      </c>
    </row>
    <row r="4730" spans="3:13" x14ac:dyDescent="0.3">
      <c r="C4730" t="s">
        <v>70</v>
      </c>
      <c r="D4730" t="s">
        <v>62</v>
      </c>
      <c r="E4730" t="s">
        <v>68</v>
      </c>
      <c r="F4730" t="s">
        <v>25</v>
      </c>
      <c r="G4730" s="4">
        <v>13</v>
      </c>
      <c r="I4730" s="4" t="s">
        <v>69</v>
      </c>
      <c r="J4730" s="4" t="s">
        <v>66</v>
      </c>
      <c r="K4730" s="4">
        <v>0</v>
      </c>
      <c r="L4730" s="94">
        <v>2103506</v>
      </c>
      <c r="M4730" s="94">
        <v>27345578</v>
      </c>
    </row>
    <row r="4731" spans="3:13" x14ac:dyDescent="0.3">
      <c r="C4731" t="s">
        <v>70</v>
      </c>
      <c r="D4731" t="s">
        <v>67</v>
      </c>
      <c r="E4731" t="s">
        <v>68</v>
      </c>
      <c r="F4731" t="s">
        <v>26</v>
      </c>
      <c r="G4731" s="4">
        <v>0</v>
      </c>
      <c r="H4731" s="4" t="s">
        <v>82</v>
      </c>
      <c r="I4731" s="4" t="s">
        <v>69</v>
      </c>
      <c r="J4731" s="4" t="s">
        <v>66</v>
      </c>
      <c r="K4731" s="4">
        <v>0</v>
      </c>
      <c r="L4731" s="94">
        <v>1805306</v>
      </c>
      <c r="M4731" s="94">
        <v>0</v>
      </c>
    </row>
    <row r="4732" spans="3:13" x14ac:dyDescent="0.3">
      <c r="C4732" t="s">
        <v>70</v>
      </c>
      <c r="D4732" t="s">
        <v>67</v>
      </c>
      <c r="E4732" t="s">
        <v>68</v>
      </c>
      <c r="F4732" t="s">
        <v>72</v>
      </c>
      <c r="G4732" s="4">
        <v>1</v>
      </c>
      <c r="H4732" s="4" t="s">
        <v>14</v>
      </c>
      <c r="I4732" s="4" t="s">
        <v>69</v>
      </c>
      <c r="J4732" s="4" t="s">
        <v>66</v>
      </c>
      <c r="K4732" s="4">
        <v>0</v>
      </c>
      <c r="L4732" s="94">
        <v>626188</v>
      </c>
      <c r="M4732" s="94">
        <v>626188</v>
      </c>
    </row>
    <row r="4733" spans="3:13" x14ac:dyDescent="0.3">
      <c r="C4733" t="s">
        <v>61</v>
      </c>
      <c r="D4733" t="s">
        <v>67</v>
      </c>
      <c r="E4733" t="s">
        <v>63</v>
      </c>
      <c r="F4733" t="s">
        <v>26</v>
      </c>
      <c r="G4733" s="4">
        <v>0</v>
      </c>
      <c r="H4733" s="4" t="s">
        <v>18</v>
      </c>
      <c r="I4733" s="4" t="s">
        <v>69</v>
      </c>
      <c r="J4733" s="4" t="s">
        <v>73</v>
      </c>
      <c r="K4733" s="4">
        <v>1</v>
      </c>
      <c r="L4733" s="94">
        <v>-116390</v>
      </c>
      <c r="M4733" s="94">
        <v>0</v>
      </c>
    </row>
    <row r="4734" spans="3:13" x14ac:dyDescent="0.3">
      <c r="C4734" t="s">
        <v>61</v>
      </c>
      <c r="D4734" t="s">
        <v>67</v>
      </c>
      <c r="E4734" t="s">
        <v>63</v>
      </c>
      <c r="F4734" t="s">
        <v>25</v>
      </c>
      <c r="G4734" s="4">
        <v>0</v>
      </c>
      <c r="H4734" s="4" t="s">
        <v>80</v>
      </c>
      <c r="I4734" s="4" t="s">
        <v>69</v>
      </c>
      <c r="J4734" s="4" t="s">
        <v>66</v>
      </c>
      <c r="K4734" s="4">
        <v>0</v>
      </c>
      <c r="L4734" s="94">
        <v>-59</v>
      </c>
      <c r="M4734" s="94">
        <v>0</v>
      </c>
    </row>
    <row r="4735" spans="3:13" x14ac:dyDescent="0.3">
      <c r="C4735" t="s">
        <v>61</v>
      </c>
      <c r="D4735" t="s">
        <v>67</v>
      </c>
      <c r="E4735" t="s">
        <v>68</v>
      </c>
      <c r="F4735" t="s">
        <v>25</v>
      </c>
      <c r="G4735" s="4">
        <v>6</v>
      </c>
      <c r="H4735" s="4" t="s">
        <v>12</v>
      </c>
      <c r="I4735" s="4" t="s">
        <v>69</v>
      </c>
      <c r="J4735" s="4" t="s">
        <v>66</v>
      </c>
      <c r="K4735" s="4">
        <v>1</v>
      </c>
      <c r="L4735" s="94">
        <v>4225356</v>
      </c>
      <c r="M4735" s="94">
        <v>25352136</v>
      </c>
    </row>
    <row r="4736" spans="3:13" x14ac:dyDescent="0.3">
      <c r="C4736" t="s">
        <v>61</v>
      </c>
      <c r="D4736" t="s">
        <v>67</v>
      </c>
      <c r="E4736" t="s">
        <v>68</v>
      </c>
      <c r="F4736" t="s">
        <v>26</v>
      </c>
      <c r="G4736" s="4">
        <v>4</v>
      </c>
      <c r="H4736" s="4" t="s">
        <v>14</v>
      </c>
      <c r="I4736" s="4" t="s">
        <v>69</v>
      </c>
      <c r="J4736" s="4" t="s">
        <v>73</v>
      </c>
      <c r="K4736" s="4">
        <v>1</v>
      </c>
      <c r="L4736" s="94">
        <v>51638228</v>
      </c>
      <c r="M4736" s="94">
        <v>206552912</v>
      </c>
    </row>
    <row r="4737" spans="3:13" x14ac:dyDescent="0.3">
      <c r="C4737" t="s">
        <v>71</v>
      </c>
      <c r="D4737" t="s">
        <v>67</v>
      </c>
      <c r="E4737" t="s">
        <v>63</v>
      </c>
      <c r="F4737" t="s">
        <v>25</v>
      </c>
      <c r="G4737" s="4">
        <v>5</v>
      </c>
      <c r="H4737" s="4" t="s">
        <v>64</v>
      </c>
      <c r="I4737" s="4" t="s">
        <v>69</v>
      </c>
      <c r="J4737" s="4" t="s">
        <v>66</v>
      </c>
      <c r="K4737" s="4">
        <v>0</v>
      </c>
      <c r="L4737" s="94">
        <v>-208033</v>
      </c>
      <c r="M4737" s="94">
        <v>0</v>
      </c>
    </row>
    <row r="4738" spans="3:13" x14ac:dyDescent="0.3">
      <c r="C4738" t="s">
        <v>71</v>
      </c>
      <c r="D4738" t="s">
        <v>67</v>
      </c>
      <c r="E4738" t="s">
        <v>68</v>
      </c>
      <c r="F4738" t="s">
        <v>25</v>
      </c>
      <c r="G4738" s="4">
        <v>0</v>
      </c>
      <c r="H4738" s="4" t="s">
        <v>76</v>
      </c>
      <c r="I4738" s="4" t="s">
        <v>69</v>
      </c>
      <c r="J4738" s="4" t="s">
        <v>66</v>
      </c>
      <c r="K4738" s="4">
        <v>0</v>
      </c>
      <c r="L4738" s="94">
        <v>11776</v>
      </c>
      <c r="M4738" s="94">
        <v>0</v>
      </c>
    </row>
    <row r="4739" spans="3:13" x14ac:dyDescent="0.3">
      <c r="C4739" t="s">
        <v>61</v>
      </c>
      <c r="D4739" t="s">
        <v>67</v>
      </c>
      <c r="E4739" t="s">
        <v>63</v>
      </c>
      <c r="F4739" t="s">
        <v>25</v>
      </c>
      <c r="G4739" s="4">
        <v>0</v>
      </c>
      <c r="H4739" s="4" t="s">
        <v>18</v>
      </c>
      <c r="I4739" s="4" t="s">
        <v>65</v>
      </c>
      <c r="J4739" s="4" t="s">
        <v>66</v>
      </c>
      <c r="K4739" s="4">
        <v>1</v>
      </c>
      <c r="L4739" s="94">
        <v>-23</v>
      </c>
      <c r="M4739" s="94">
        <v>0</v>
      </c>
    </row>
    <row r="4740" spans="3:13" x14ac:dyDescent="0.3">
      <c r="C4740" t="s">
        <v>70</v>
      </c>
      <c r="D4740" t="s">
        <v>67</v>
      </c>
      <c r="E4740" t="s">
        <v>68</v>
      </c>
      <c r="F4740" t="s">
        <v>26</v>
      </c>
      <c r="G4740" s="4">
        <v>3</v>
      </c>
      <c r="H4740" s="4" t="s">
        <v>14</v>
      </c>
      <c r="I4740" s="4" t="s">
        <v>69</v>
      </c>
      <c r="J4740" s="4" t="s">
        <v>66</v>
      </c>
      <c r="K4740" s="4">
        <v>0</v>
      </c>
      <c r="L4740" s="94">
        <v>17980948</v>
      </c>
      <c r="M4740" s="94">
        <v>53942844</v>
      </c>
    </row>
    <row r="4741" spans="3:13" x14ac:dyDescent="0.3">
      <c r="C4741" t="s">
        <v>71</v>
      </c>
      <c r="D4741" t="s">
        <v>62</v>
      </c>
      <c r="E4741" t="s">
        <v>63</v>
      </c>
      <c r="F4741" t="s">
        <v>24</v>
      </c>
      <c r="G4741" s="4">
        <v>37</v>
      </c>
      <c r="I4741" s="4" t="s">
        <v>69</v>
      </c>
      <c r="J4741" s="4" t="s">
        <v>66</v>
      </c>
      <c r="K4741" s="4">
        <v>0</v>
      </c>
      <c r="L4741" s="94">
        <v>-1945375</v>
      </c>
      <c r="M4741" s="94">
        <v>0</v>
      </c>
    </row>
    <row r="4742" spans="3:13" x14ac:dyDescent="0.3">
      <c r="C4742" t="s">
        <v>70</v>
      </c>
      <c r="D4742" t="s">
        <v>67</v>
      </c>
      <c r="E4742" t="s">
        <v>68</v>
      </c>
      <c r="F4742" t="s">
        <v>25</v>
      </c>
      <c r="G4742" s="4">
        <v>5</v>
      </c>
      <c r="H4742" s="4" t="s">
        <v>17</v>
      </c>
      <c r="I4742" s="4" t="s">
        <v>69</v>
      </c>
      <c r="J4742" s="4" t="s">
        <v>66</v>
      </c>
      <c r="K4742" s="4">
        <v>1</v>
      </c>
      <c r="L4742" s="94">
        <v>142898</v>
      </c>
      <c r="M4742" s="94">
        <v>714490</v>
      </c>
    </row>
    <row r="4743" spans="3:13" x14ac:dyDescent="0.3">
      <c r="C4743" t="s">
        <v>71</v>
      </c>
      <c r="D4743" t="s">
        <v>67</v>
      </c>
      <c r="E4743" t="s">
        <v>63</v>
      </c>
      <c r="F4743" t="s">
        <v>25</v>
      </c>
      <c r="G4743" s="4">
        <v>2</v>
      </c>
      <c r="H4743" s="4" t="s">
        <v>17</v>
      </c>
      <c r="I4743" s="4" t="s">
        <v>69</v>
      </c>
      <c r="J4743" s="4" t="s">
        <v>66</v>
      </c>
      <c r="K4743" s="4">
        <v>0</v>
      </c>
      <c r="L4743" s="94">
        <v>-14149</v>
      </c>
      <c r="M4743" s="94">
        <v>0</v>
      </c>
    </row>
    <row r="4744" spans="3:13" x14ac:dyDescent="0.3">
      <c r="C4744" t="s">
        <v>61</v>
      </c>
      <c r="D4744" t="s">
        <v>67</v>
      </c>
      <c r="E4744" t="s">
        <v>68</v>
      </c>
      <c r="F4744" t="s">
        <v>25</v>
      </c>
      <c r="G4744" s="4">
        <v>2</v>
      </c>
      <c r="H4744" s="4" t="s">
        <v>17</v>
      </c>
      <c r="I4744" s="4" t="s">
        <v>69</v>
      </c>
      <c r="J4744" s="4" t="s">
        <v>66</v>
      </c>
      <c r="K4744" s="4">
        <v>0</v>
      </c>
      <c r="L4744" s="94">
        <v>221370526</v>
      </c>
      <c r="M4744" s="94">
        <v>442741052</v>
      </c>
    </row>
    <row r="4745" spans="3:13" x14ac:dyDescent="0.3">
      <c r="C4745" t="s">
        <v>70</v>
      </c>
      <c r="D4745" t="s">
        <v>67</v>
      </c>
      <c r="E4745" t="s">
        <v>68</v>
      </c>
      <c r="F4745" t="s">
        <v>72</v>
      </c>
      <c r="G4745" s="4">
        <v>5</v>
      </c>
      <c r="H4745" s="4" t="s">
        <v>80</v>
      </c>
      <c r="I4745" s="4" t="s">
        <v>69</v>
      </c>
      <c r="J4745" s="4" t="s">
        <v>66</v>
      </c>
      <c r="K4745" s="4">
        <v>0</v>
      </c>
      <c r="L4745" s="94">
        <v>182780</v>
      </c>
      <c r="M4745" s="94">
        <v>913900</v>
      </c>
    </row>
    <row r="4746" spans="3:13" x14ac:dyDescent="0.3">
      <c r="C4746" t="s">
        <v>61</v>
      </c>
      <c r="D4746" t="s">
        <v>67</v>
      </c>
      <c r="E4746" t="s">
        <v>68</v>
      </c>
      <c r="F4746" t="s">
        <v>26</v>
      </c>
      <c r="G4746" s="4">
        <v>1</v>
      </c>
      <c r="H4746" s="4" t="s">
        <v>15</v>
      </c>
      <c r="I4746" s="4" t="s">
        <v>65</v>
      </c>
      <c r="J4746" s="4" t="s">
        <v>73</v>
      </c>
      <c r="K4746" s="4">
        <v>1</v>
      </c>
      <c r="L4746" s="94">
        <v>80497</v>
      </c>
      <c r="M4746" s="94">
        <v>80497</v>
      </c>
    </row>
    <row r="4747" spans="3:13" x14ac:dyDescent="0.3">
      <c r="C4747" t="s">
        <v>70</v>
      </c>
      <c r="D4747" t="s">
        <v>67</v>
      </c>
      <c r="E4747" t="s">
        <v>63</v>
      </c>
      <c r="F4747" t="s">
        <v>26</v>
      </c>
      <c r="G4747" s="4">
        <v>-1</v>
      </c>
      <c r="H4747" s="4" t="s">
        <v>83</v>
      </c>
      <c r="I4747" s="4" t="s">
        <v>69</v>
      </c>
      <c r="J4747" s="4" t="s">
        <v>66</v>
      </c>
      <c r="K4747" s="4">
        <v>0</v>
      </c>
      <c r="L4747" s="94">
        <v>-153881</v>
      </c>
      <c r="M4747" s="94">
        <v>0</v>
      </c>
    </row>
    <row r="4748" spans="3:13" x14ac:dyDescent="0.3">
      <c r="C4748" t="s">
        <v>61</v>
      </c>
      <c r="D4748" t="s">
        <v>67</v>
      </c>
      <c r="E4748" t="s">
        <v>63</v>
      </c>
      <c r="F4748" t="s">
        <v>25</v>
      </c>
      <c r="G4748" s="4">
        <v>10</v>
      </c>
      <c r="H4748" s="4" t="s">
        <v>78</v>
      </c>
      <c r="I4748" s="4" t="s">
        <v>69</v>
      </c>
      <c r="J4748" s="4" t="s">
        <v>66</v>
      </c>
      <c r="K4748" s="4">
        <v>0</v>
      </c>
      <c r="L4748" s="94">
        <v>-1082</v>
      </c>
      <c r="M4748" s="94">
        <v>0</v>
      </c>
    </row>
    <row r="4749" spans="3:13" x14ac:dyDescent="0.3">
      <c r="C4749" t="s">
        <v>70</v>
      </c>
      <c r="D4749" t="s">
        <v>67</v>
      </c>
      <c r="E4749" t="s">
        <v>63</v>
      </c>
      <c r="F4749" t="s">
        <v>25</v>
      </c>
      <c r="G4749" s="4">
        <v>10</v>
      </c>
      <c r="H4749" s="4" t="s">
        <v>79</v>
      </c>
      <c r="I4749" s="4" t="s">
        <v>69</v>
      </c>
      <c r="J4749" s="4" t="s">
        <v>66</v>
      </c>
      <c r="K4749" s="4">
        <v>0</v>
      </c>
      <c r="L4749" s="94">
        <v>-13088</v>
      </c>
      <c r="M4749" s="94">
        <v>0</v>
      </c>
    </row>
    <row r="4750" spans="3:13" x14ac:dyDescent="0.3">
      <c r="C4750" t="s">
        <v>61</v>
      </c>
      <c r="D4750" t="s">
        <v>67</v>
      </c>
      <c r="E4750" t="s">
        <v>63</v>
      </c>
      <c r="F4750" t="s">
        <v>26</v>
      </c>
      <c r="G4750" s="4">
        <v>3</v>
      </c>
      <c r="H4750" s="4" t="s">
        <v>86</v>
      </c>
      <c r="I4750" s="4" t="s">
        <v>69</v>
      </c>
      <c r="J4750" s="4" t="s">
        <v>66</v>
      </c>
      <c r="K4750" s="4">
        <v>0</v>
      </c>
      <c r="L4750" s="94">
        <v>-721</v>
      </c>
      <c r="M4750" s="94">
        <v>0</v>
      </c>
    </row>
    <row r="4751" spans="3:13" x14ac:dyDescent="0.3">
      <c r="C4751" t="s">
        <v>70</v>
      </c>
      <c r="D4751" t="s">
        <v>67</v>
      </c>
      <c r="E4751" t="s">
        <v>63</v>
      </c>
      <c r="F4751" t="s">
        <v>72</v>
      </c>
      <c r="G4751" s="4">
        <v>5</v>
      </c>
      <c r="H4751" s="4" t="s">
        <v>79</v>
      </c>
      <c r="I4751" s="4" t="s">
        <v>69</v>
      </c>
      <c r="J4751" s="4" t="s">
        <v>66</v>
      </c>
      <c r="K4751" s="4">
        <v>0</v>
      </c>
      <c r="L4751" s="94">
        <v>-63767</v>
      </c>
      <c r="M4751" s="94">
        <v>0</v>
      </c>
    </row>
    <row r="4752" spans="3:13" x14ac:dyDescent="0.3">
      <c r="C4752" t="s">
        <v>70</v>
      </c>
      <c r="D4752" t="s">
        <v>67</v>
      </c>
      <c r="E4752" t="s">
        <v>68</v>
      </c>
      <c r="F4752" t="s">
        <v>25</v>
      </c>
      <c r="G4752" s="4">
        <v>-4</v>
      </c>
      <c r="H4752" s="4" t="s">
        <v>18</v>
      </c>
      <c r="I4752" s="4" t="s">
        <v>69</v>
      </c>
      <c r="J4752" s="4" t="s">
        <v>66</v>
      </c>
      <c r="K4752" s="4">
        <v>1</v>
      </c>
      <c r="L4752" s="94">
        <v>179</v>
      </c>
      <c r="M4752" s="94">
        <v>0</v>
      </c>
    </row>
    <row r="4753" spans="3:13" x14ac:dyDescent="0.3">
      <c r="C4753" t="s">
        <v>61</v>
      </c>
      <c r="D4753" t="s">
        <v>67</v>
      </c>
      <c r="E4753" t="s">
        <v>68</v>
      </c>
      <c r="F4753" t="s">
        <v>26</v>
      </c>
      <c r="G4753" s="4">
        <v>1</v>
      </c>
      <c r="H4753" s="4" t="s">
        <v>74</v>
      </c>
      <c r="I4753" s="4" t="s">
        <v>69</v>
      </c>
      <c r="J4753" s="4" t="s">
        <v>66</v>
      </c>
      <c r="K4753" s="4">
        <v>0</v>
      </c>
      <c r="L4753" s="94">
        <v>25143712</v>
      </c>
      <c r="M4753" s="94">
        <v>25143712</v>
      </c>
    </row>
    <row r="4754" spans="3:13" x14ac:dyDescent="0.3">
      <c r="C4754" t="s">
        <v>70</v>
      </c>
      <c r="D4754" t="s">
        <v>67</v>
      </c>
      <c r="E4754" t="s">
        <v>63</v>
      </c>
      <c r="F4754" t="s">
        <v>26</v>
      </c>
      <c r="G4754" s="4">
        <v>4</v>
      </c>
      <c r="H4754" s="4" t="s">
        <v>16</v>
      </c>
      <c r="I4754" s="4" t="s">
        <v>69</v>
      </c>
      <c r="J4754" s="4" t="s">
        <v>66</v>
      </c>
      <c r="K4754" s="4">
        <v>0</v>
      </c>
      <c r="L4754" s="94">
        <v>-16090</v>
      </c>
      <c r="M4754" s="94">
        <v>0</v>
      </c>
    </row>
    <row r="4755" spans="3:13" x14ac:dyDescent="0.3">
      <c r="C4755" t="s">
        <v>61</v>
      </c>
      <c r="D4755" t="s">
        <v>67</v>
      </c>
      <c r="E4755" t="s">
        <v>68</v>
      </c>
      <c r="F4755" t="s">
        <v>26</v>
      </c>
      <c r="G4755" s="4">
        <v>2</v>
      </c>
      <c r="H4755" s="4" t="s">
        <v>17</v>
      </c>
      <c r="I4755" s="4" t="s">
        <v>69</v>
      </c>
      <c r="J4755" s="4" t="s">
        <v>73</v>
      </c>
      <c r="K4755" s="4">
        <v>1</v>
      </c>
      <c r="L4755" s="94">
        <v>1887517</v>
      </c>
      <c r="M4755" s="94">
        <v>3775034</v>
      </c>
    </row>
    <row r="4756" spans="3:13" x14ac:dyDescent="0.3">
      <c r="C4756" t="s">
        <v>61</v>
      </c>
      <c r="D4756" t="s">
        <v>67</v>
      </c>
      <c r="E4756" t="s">
        <v>63</v>
      </c>
      <c r="F4756" t="s">
        <v>72</v>
      </c>
      <c r="G4756" s="4">
        <v>2</v>
      </c>
      <c r="H4756" s="4" t="s">
        <v>18</v>
      </c>
      <c r="I4756" s="4" t="s">
        <v>69</v>
      </c>
      <c r="J4756" s="4" t="s">
        <v>66</v>
      </c>
      <c r="K4756" s="4">
        <v>0</v>
      </c>
      <c r="L4756" s="94">
        <v>-15471</v>
      </c>
      <c r="M4756" s="94">
        <v>0</v>
      </c>
    </row>
    <row r="4757" spans="3:13" x14ac:dyDescent="0.3">
      <c r="C4757" t="s">
        <v>61</v>
      </c>
      <c r="D4757" t="s">
        <v>67</v>
      </c>
      <c r="E4757" t="s">
        <v>68</v>
      </c>
      <c r="F4757" t="s">
        <v>72</v>
      </c>
      <c r="G4757" s="4">
        <v>-1</v>
      </c>
      <c r="H4757" s="4" t="s">
        <v>78</v>
      </c>
      <c r="I4757" s="4" t="s">
        <v>69</v>
      </c>
      <c r="J4757" s="4" t="s">
        <v>66</v>
      </c>
      <c r="K4757" s="4">
        <v>0</v>
      </c>
      <c r="L4757" s="94">
        <v>151287</v>
      </c>
      <c r="M4757" s="94">
        <v>0</v>
      </c>
    </row>
    <row r="4758" spans="3:13" x14ac:dyDescent="0.3">
      <c r="C4758" t="s">
        <v>71</v>
      </c>
      <c r="D4758" t="s">
        <v>67</v>
      </c>
      <c r="E4758" t="s">
        <v>63</v>
      </c>
      <c r="F4758" t="s">
        <v>72</v>
      </c>
      <c r="G4758" s="4">
        <v>-1</v>
      </c>
      <c r="H4758" s="4" t="s">
        <v>14</v>
      </c>
      <c r="I4758" s="4" t="s">
        <v>69</v>
      </c>
      <c r="J4758" s="4" t="s">
        <v>66</v>
      </c>
      <c r="K4758" s="4">
        <v>0</v>
      </c>
      <c r="L4758" s="94">
        <v>-157</v>
      </c>
      <c r="M4758" s="94">
        <v>0</v>
      </c>
    </row>
    <row r="4759" spans="3:13" x14ac:dyDescent="0.3">
      <c r="C4759" t="s">
        <v>61</v>
      </c>
      <c r="D4759" t="s">
        <v>84</v>
      </c>
      <c r="E4759" t="s">
        <v>63</v>
      </c>
      <c r="F4759" t="s">
        <v>25</v>
      </c>
      <c r="G4759" s="4">
        <v>4</v>
      </c>
      <c r="H4759" s="4" t="s">
        <v>75</v>
      </c>
      <c r="I4759" s="4" t="s">
        <v>69</v>
      </c>
      <c r="J4759" s="4" t="s">
        <v>66</v>
      </c>
      <c r="K4759" s="4">
        <v>0</v>
      </c>
      <c r="L4759" s="94">
        <v>-908</v>
      </c>
      <c r="M4759" s="94">
        <v>0</v>
      </c>
    </row>
    <row r="4760" spans="3:13" x14ac:dyDescent="0.3">
      <c r="C4760" t="s">
        <v>71</v>
      </c>
      <c r="D4760" t="s">
        <v>67</v>
      </c>
      <c r="E4760" t="s">
        <v>68</v>
      </c>
      <c r="F4760" t="s">
        <v>25</v>
      </c>
      <c r="G4760" s="4">
        <v>11</v>
      </c>
      <c r="H4760" s="4" t="s">
        <v>80</v>
      </c>
      <c r="I4760" s="4" t="s">
        <v>69</v>
      </c>
      <c r="J4760" s="4" t="s">
        <v>66</v>
      </c>
      <c r="K4760" s="4">
        <v>0</v>
      </c>
      <c r="L4760" s="94">
        <v>76678</v>
      </c>
      <c r="M4760" s="94">
        <v>843458</v>
      </c>
    </row>
    <row r="4761" spans="3:13" x14ac:dyDescent="0.3">
      <c r="C4761" t="s">
        <v>61</v>
      </c>
      <c r="D4761" t="s">
        <v>67</v>
      </c>
      <c r="E4761" t="s">
        <v>63</v>
      </c>
      <c r="F4761" t="s">
        <v>72</v>
      </c>
      <c r="G4761" s="4">
        <v>-4</v>
      </c>
      <c r="H4761" s="4" t="s">
        <v>76</v>
      </c>
      <c r="I4761" s="4" t="s">
        <v>69</v>
      </c>
      <c r="J4761" s="4" t="s">
        <v>66</v>
      </c>
      <c r="K4761" s="4">
        <v>0</v>
      </c>
      <c r="L4761" s="94">
        <v>-1</v>
      </c>
      <c r="M4761" s="94">
        <v>0</v>
      </c>
    </row>
    <row r="4762" spans="3:13" x14ac:dyDescent="0.3">
      <c r="C4762" t="s">
        <v>61</v>
      </c>
      <c r="D4762" t="s">
        <v>67</v>
      </c>
      <c r="E4762" t="s">
        <v>68</v>
      </c>
      <c r="F4762" t="s">
        <v>25</v>
      </c>
      <c r="G4762" s="4">
        <v>7</v>
      </c>
      <c r="H4762" s="4" t="s">
        <v>12</v>
      </c>
      <c r="I4762" s="4" t="s">
        <v>69</v>
      </c>
      <c r="J4762" s="4" t="s">
        <v>66</v>
      </c>
      <c r="K4762" s="4">
        <v>1</v>
      </c>
      <c r="L4762" s="94">
        <v>3173046</v>
      </c>
      <c r="M4762" s="94">
        <v>22211322</v>
      </c>
    </row>
    <row r="4763" spans="3:13" x14ac:dyDescent="0.3">
      <c r="C4763" t="s">
        <v>71</v>
      </c>
      <c r="D4763" t="s">
        <v>67</v>
      </c>
      <c r="E4763" t="s">
        <v>68</v>
      </c>
      <c r="F4763" t="s">
        <v>26</v>
      </c>
      <c r="G4763" s="4">
        <v>1</v>
      </c>
      <c r="H4763" s="4" t="s">
        <v>18</v>
      </c>
      <c r="I4763" s="4" t="s">
        <v>69</v>
      </c>
      <c r="J4763" s="4" t="s">
        <v>66</v>
      </c>
      <c r="K4763" s="4">
        <v>0</v>
      </c>
      <c r="L4763" s="94">
        <v>3593788</v>
      </c>
      <c r="M4763" s="94">
        <v>3593788</v>
      </c>
    </row>
    <row r="4764" spans="3:13" x14ac:dyDescent="0.3">
      <c r="C4764" t="s">
        <v>70</v>
      </c>
      <c r="D4764" t="s">
        <v>67</v>
      </c>
      <c r="E4764" t="s">
        <v>68</v>
      </c>
      <c r="F4764" t="s">
        <v>26</v>
      </c>
      <c r="G4764" s="4">
        <v>5</v>
      </c>
      <c r="H4764" s="4" t="s">
        <v>80</v>
      </c>
      <c r="I4764" s="4" t="s">
        <v>69</v>
      </c>
      <c r="J4764" s="4" t="s">
        <v>66</v>
      </c>
      <c r="K4764" s="4">
        <v>0</v>
      </c>
      <c r="L4764" s="94">
        <v>274987</v>
      </c>
      <c r="M4764" s="94">
        <v>1374935</v>
      </c>
    </row>
    <row r="4765" spans="3:13" x14ac:dyDescent="0.3">
      <c r="C4765" t="s">
        <v>70</v>
      </c>
      <c r="D4765" t="s">
        <v>67</v>
      </c>
      <c r="E4765" t="s">
        <v>68</v>
      </c>
      <c r="F4765" t="s">
        <v>26</v>
      </c>
      <c r="G4765" s="4">
        <v>6</v>
      </c>
      <c r="H4765" s="4" t="s">
        <v>17</v>
      </c>
      <c r="I4765" s="4" t="s">
        <v>69</v>
      </c>
      <c r="J4765" s="4" t="s">
        <v>66</v>
      </c>
      <c r="K4765" s="4">
        <v>0</v>
      </c>
      <c r="L4765" s="94">
        <v>294080</v>
      </c>
      <c r="M4765" s="94">
        <v>1764480</v>
      </c>
    </row>
    <row r="4766" spans="3:13" x14ac:dyDescent="0.3">
      <c r="C4766" t="s">
        <v>70</v>
      </c>
      <c r="D4766" t="s">
        <v>67</v>
      </c>
      <c r="E4766" t="s">
        <v>68</v>
      </c>
      <c r="F4766" t="s">
        <v>26</v>
      </c>
      <c r="G4766" s="4">
        <v>0</v>
      </c>
      <c r="H4766" s="4" t="s">
        <v>12</v>
      </c>
      <c r="I4766" s="4" t="s">
        <v>65</v>
      </c>
      <c r="J4766" s="4" t="s">
        <v>73</v>
      </c>
      <c r="K4766" s="4">
        <v>1</v>
      </c>
      <c r="L4766" s="94">
        <v>11949</v>
      </c>
      <c r="M4766" s="94">
        <v>0</v>
      </c>
    </row>
    <row r="4767" spans="3:13" x14ac:dyDescent="0.3">
      <c r="C4767" t="s">
        <v>71</v>
      </c>
      <c r="D4767" t="s">
        <v>62</v>
      </c>
      <c r="E4767" t="s">
        <v>68</v>
      </c>
      <c r="F4767" t="s">
        <v>24</v>
      </c>
      <c r="G4767" s="4">
        <v>6</v>
      </c>
      <c r="I4767" s="4" t="s">
        <v>69</v>
      </c>
      <c r="J4767" s="4" t="s">
        <v>66</v>
      </c>
      <c r="K4767" s="4">
        <v>0</v>
      </c>
      <c r="L4767" s="94">
        <v>1899760</v>
      </c>
      <c r="M4767" s="94">
        <v>11398560</v>
      </c>
    </row>
    <row r="4768" spans="3:13" x14ac:dyDescent="0.3">
      <c r="C4768" t="s">
        <v>71</v>
      </c>
      <c r="D4768" t="s">
        <v>67</v>
      </c>
      <c r="E4768" t="s">
        <v>68</v>
      </c>
      <c r="F4768" t="s">
        <v>26</v>
      </c>
      <c r="G4768" s="4">
        <v>-4</v>
      </c>
      <c r="H4768" s="4" t="s">
        <v>82</v>
      </c>
      <c r="I4768" s="4" t="s">
        <v>69</v>
      </c>
      <c r="J4768" s="4" t="s">
        <v>66</v>
      </c>
      <c r="K4768" s="4">
        <v>0</v>
      </c>
      <c r="L4768" s="94">
        <v>1723692</v>
      </c>
      <c r="M4768" s="94">
        <v>0</v>
      </c>
    </row>
    <row r="4769" spans="3:13" x14ac:dyDescent="0.3">
      <c r="C4769" t="s">
        <v>70</v>
      </c>
      <c r="D4769" t="s">
        <v>67</v>
      </c>
      <c r="E4769" t="s">
        <v>68</v>
      </c>
      <c r="F4769" t="s">
        <v>25</v>
      </c>
      <c r="G4769" s="4">
        <v>3</v>
      </c>
      <c r="H4769" s="4" t="s">
        <v>12</v>
      </c>
      <c r="I4769" s="4" t="s">
        <v>69</v>
      </c>
      <c r="J4769" s="4" t="s">
        <v>66</v>
      </c>
      <c r="K4769" s="4">
        <v>0</v>
      </c>
      <c r="L4769" s="94">
        <v>315210</v>
      </c>
      <c r="M4769" s="94">
        <v>945630</v>
      </c>
    </row>
    <row r="4770" spans="3:13" x14ac:dyDescent="0.3">
      <c r="C4770" t="s">
        <v>70</v>
      </c>
      <c r="D4770" t="s">
        <v>67</v>
      </c>
      <c r="E4770" t="s">
        <v>68</v>
      </c>
      <c r="F4770" t="s">
        <v>72</v>
      </c>
      <c r="G4770" s="4">
        <v>4</v>
      </c>
      <c r="H4770" s="4" t="s">
        <v>14</v>
      </c>
      <c r="I4770" s="4" t="s">
        <v>65</v>
      </c>
      <c r="J4770" s="4" t="s">
        <v>66</v>
      </c>
      <c r="K4770" s="4">
        <v>1</v>
      </c>
      <c r="L4770" s="94">
        <v>10015</v>
      </c>
      <c r="M4770" s="94">
        <v>40060</v>
      </c>
    </row>
    <row r="4771" spans="3:13" x14ac:dyDescent="0.3">
      <c r="C4771" t="s">
        <v>71</v>
      </c>
      <c r="D4771" t="s">
        <v>67</v>
      </c>
      <c r="E4771" t="s">
        <v>68</v>
      </c>
      <c r="F4771" t="s">
        <v>25</v>
      </c>
      <c r="G4771" s="4">
        <v>-1</v>
      </c>
      <c r="H4771" s="4" t="s">
        <v>12</v>
      </c>
      <c r="I4771" s="4" t="s">
        <v>69</v>
      </c>
      <c r="J4771" s="4" t="s">
        <v>66</v>
      </c>
      <c r="K4771" s="4">
        <v>1</v>
      </c>
      <c r="L4771" s="94">
        <v>231</v>
      </c>
      <c r="M4771" s="94">
        <v>0</v>
      </c>
    </row>
    <row r="4772" spans="3:13" x14ac:dyDescent="0.3">
      <c r="C4772" t="s">
        <v>61</v>
      </c>
      <c r="D4772" t="s">
        <v>67</v>
      </c>
      <c r="E4772" t="s">
        <v>63</v>
      </c>
      <c r="F4772" t="s">
        <v>72</v>
      </c>
      <c r="G4772" s="4">
        <v>0</v>
      </c>
      <c r="H4772" s="4" t="s">
        <v>74</v>
      </c>
      <c r="I4772" s="4" t="s">
        <v>69</v>
      </c>
      <c r="J4772" s="4" t="s">
        <v>66</v>
      </c>
      <c r="K4772" s="4">
        <v>0</v>
      </c>
      <c r="L4772" s="94">
        <v>-479</v>
      </c>
      <c r="M4772" s="94">
        <v>0</v>
      </c>
    </row>
    <row r="4773" spans="3:13" x14ac:dyDescent="0.3">
      <c r="C4773" t="s">
        <v>61</v>
      </c>
      <c r="D4773" t="s">
        <v>67</v>
      </c>
      <c r="E4773" t="s">
        <v>68</v>
      </c>
      <c r="F4773" t="s">
        <v>72</v>
      </c>
      <c r="G4773" s="4">
        <v>3</v>
      </c>
      <c r="H4773" s="4" t="s">
        <v>17</v>
      </c>
      <c r="I4773" s="4" t="s">
        <v>65</v>
      </c>
      <c r="J4773" s="4" t="s">
        <v>66</v>
      </c>
      <c r="K4773" s="4">
        <v>1</v>
      </c>
      <c r="L4773" s="94">
        <v>32286</v>
      </c>
      <c r="M4773" s="94">
        <v>96858</v>
      </c>
    </row>
    <row r="4774" spans="3:13" x14ac:dyDescent="0.3">
      <c r="C4774" t="s">
        <v>70</v>
      </c>
      <c r="D4774" t="s">
        <v>67</v>
      </c>
      <c r="E4774" t="s">
        <v>68</v>
      </c>
      <c r="F4774" t="s">
        <v>72</v>
      </c>
      <c r="G4774" s="4">
        <v>5</v>
      </c>
      <c r="H4774" s="4" t="s">
        <v>74</v>
      </c>
      <c r="I4774" s="4" t="s">
        <v>69</v>
      </c>
      <c r="J4774" s="4" t="s">
        <v>66</v>
      </c>
      <c r="K4774" s="4">
        <v>0</v>
      </c>
      <c r="L4774" s="94">
        <v>1895141</v>
      </c>
      <c r="M4774" s="94">
        <v>9475705</v>
      </c>
    </row>
    <row r="4775" spans="3:13" x14ac:dyDescent="0.3">
      <c r="C4775" t="s">
        <v>61</v>
      </c>
      <c r="D4775" t="s">
        <v>67</v>
      </c>
      <c r="E4775" t="s">
        <v>63</v>
      </c>
      <c r="F4775" t="s">
        <v>72</v>
      </c>
      <c r="G4775" s="4">
        <v>7</v>
      </c>
      <c r="H4775" s="4" t="s">
        <v>76</v>
      </c>
      <c r="I4775" s="4" t="s">
        <v>69</v>
      </c>
      <c r="J4775" s="4" t="s">
        <v>66</v>
      </c>
      <c r="K4775" s="4">
        <v>0</v>
      </c>
      <c r="L4775" s="94">
        <v>-955</v>
      </c>
      <c r="M4775" s="94">
        <v>0</v>
      </c>
    </row>
    <row r="4776" spans="3:13" x14ac:dyDescent="0.3">
      <c r="C4776" t="s">
        <v>70</v>
      </c>
      <c r="D4776" t="s">
        <v>67</v>
      </c>
      <c r="E4776" t="s">
        <v>63</v>
      </c>
      <c r="F4776" t="s">
        <v>26</v>
      </c>
      <c r="G4776" s="4">
        <v>-1</v>
      </c>
      <c r="H4776" s="4" t="s">
        <v>75</v>
      </c>
      <c r="I4776" s="4" t="s">
        <v>69</v>
      </c>
      <c r="J4776" s="4" t="s">
        <v>66</v>
      </c>
      <c r="K4776" s="4">
        <v>0</v>
      </c>
      <c r="L4776" s="94">
        <v>-457789</v>
      </c>
      <c r="M4776" s="94">
        <v>0</v>
      </c>
    </row>
    <row r="4777" spans="3:13" x14ac:dyDescent="0.3">
      <c r="C4777" t="s">
        <v>70</v>
      </c>
      <c r="D4777" t="s">
        <v>62</v>
      </c>
      <c r="E4777" t="s">
        <v>63</v>
      </c>
      <c r="F4777" t="s">
        <v>24</v>
      </c>
      <c r="G4777" s="4">
        <v>1</v>
      </c>
      <c r="I4777" s="4" t="s">
        <v>69</v>
      </c>
      <c r="J4777" s="4" t="s">
        <v>66</v>
      </c>
      <c r="K4777" s="4">
        <v>0</v>
      </c>
      <c r="L4777" s="94">
        <v>-15591</v>
      </c>
      <c r="M4777" s="94">
        <v>0</v>
      </c>
    </row>
    <row r="4778" spans="3:13" x14ac:dyDescent="0.3">
      <c r="C4778" t="s">
        <v>71</v>
      </c>
      <c r="D4778" t="s">
        <v>67</v>
      </c>
      <c r="E4778" t="s">
        <v>63</v>
      </c>
      <c r="F4778" t="s">
        <v>72</v>
      </c>
      <c r="G4778" s="4">
        <v>4</v>
      </c>
      <c r="H4778" s="4" t="s">
        <v>12</v>
      </c>
      <c r="I4778" s="4" t="s">
        <v>69</v>
      </c>
      <c r="J4778" s="4" t="s">
        <v>73</v>
      </c>
      <c r="K4778" s="4">
        <v>1</v>
      </c>
      <c r="L4778" s="94">
        <v>-68775</v>
      </c>
      <c r="M4778" s="94">
        <v>0</v>
      </c>
    </row>
    <row r="4779" spans="3:13" x14ac:dyDescent="0.3">
      <c r="C4779" t="s">
        <v>71</v>
      </c>
      <c r="D4779" t="s">
        <v>67</v>
      </c>
      <c r="E4779" t="s">
        <v>68</v>
      </c>
      <c r="F4779" t="s">
        <v>26</v>
      </c>
      <c r="G4779" s="4">
        <v>6</v>
      </c>
      <c r="H4779" s="4" t="s">
        <v>12</v>
      </c>
      <c r="I4779" s="4" t="s">
        <v>69</v>
      </c>
      <c r="J4779" s="4" t="s">
        <v>73</v>
      </c>
      <c r="K4779" s="4">
        <v>1</v>
      </c>
      <c r="L4779" s="94">
        <v>15856</v>
      </c>
      <c r="M4779" s="94">
        <v>95136</v>
      </c>
    </row>
    <row r="4780" spans="3:13" x14ac:dyDescent="0.3">
      <c r="C4780" t="s">
        <v>70</v>
      </c>
      <c r="D4780" t="s">
        <v>67</v>
      </c>
      <c r="E4780" t="s">
        <v>68</v>
      </c>
      <c r="F4780" t="s">
        <v>25</v>
      </c>
      <c r="G4780" s="4">
        <v>13</v>
      </c>
      <c r="H4780" s="4" t="s">
        <v>75</v>
      </c>
      <c r="I4780" s="4" t="s">
        <v>69</v>
      </c>
      <c r="J4780" s="4" t="s">
        <v>66</v>
      </c>
      <c r="K4780" s="4">
        <v>0</v>
      </c>
      <c r="L4780" s="94">
        <v>2336949</v>
      </c>
      <c r="M4780" s="94">
        <v>30380337</v>
      </c>
    </row>
    <row r="4781" spans="3:13" x14ac:dyDescent="0.3">
      <c r="C4781" t="s">
        <v>61</v>
      </c>
      <c r="D4781" t="s">
        <v>62</v>
      </c>
      <c r="E4781" t="s">
        <v>68</v>
      </c>
      <c r="F4781" t="s">
        <v>24</v>
      </c>
      <c r="G4781" s="4">
        <v>22</v>
      </c>
      <c r="I4781" s="4" t="s">
        <v>65</v>
      </c>
      <c r="J4781" s="4" t="s">
        <v>66</v>
      </c>
      <c r="K4781" s="4">
        <v>1</v>
      </c>
      <c r="L4781" s="94">
        <v>10827286</v>
      </c>
      <c r="M4781" s="94">
        <v>238200292</v>
      </c>
    </row>
    <row r="4782" spans="3:13" x14ac:dyDescent="0.3">
      <c r="C4782" t="s">
        <v>70</v>
      </c>
      <c r="D4782" t="s">
        <v>62</v>
      </c>
      <c r="E4782" t="s">
        <v>63</v>
      </c>
      <c r="F4782" t="s">
        <v>24</v>
      </c>
      <c r="G4782" s="4">
        <v>33</v>
      </c>
      <c r="I4782" s="4" t="s">
        <v>69</v>
      </c>
      <c r="J4782" s="4" t="s">
        <v>66</v>
      </c>
      <c r="K4782" s="4">
        <v>0</v>
      </c>
      <c r="L4782" s="94">
        <v>-1479240</v>
      </c>
      <c r="M4782" s="94">
        <v>0</v>
      </c>
    </row>
    <row r="4783" spans="3:13" x14ac:dyDescent="0.3">
      <c r="C4783" t="s">
        <v>70</v>
      </c>
      <c r="D4783" t="s">
        <v>67</v>
      </c>
      <c r="E4783" t="s">
        <v>68</v>
      </c>
      <c r="F4783" t="s">
        <v>26</v>
      </c>
      <c r="G4783" s="4">
        <v>-4</v>
      </c>
      <c r="H4783" s="4" t="s">
        <v>82</v>
      </c>
      <c r="I4783" s="4" t="s">
        <v>65</v>
      </c>
      <c r="J4783" s="4" t="s">
        <v>66</v>
      </c>
      <c r="K4783" s="4">
        <v>1</v>
      </c>
      <c r="L4783" s="94">
        <v>15000</v>
      </c>
      <c r="M4783" s="94">
        <v>0</v>
      </c>
    </row>
    <row r="4784" spans="3:13" x14ac:dyDescent="0.3">
      <c r="C4784" t="s">
        <v>61</v>
      </c>
      <c r="D4784" t="s">
        <v>67</v>
      </c>
      <c r="E4784" t="s">
        <v>63</v>
      </c>
      <c r="F4784" t="s">
        <v>25</v>
      </c>
      <c r="G4784" s="4">
        <v>21</v>
      </c>
      <c r="H4784" s="4" t="s">
        <v>18</v>
      </c>
      <c r="I4784" s="4" t="s">
        <v>69</v>
      </c>
      <c r="J4784" s="4" t="s">
        <v>66</v>
      </c>
      <c r="K4784" s="4">
        <v>0</v>
      </c>
      <c r="L4784" s="94">
        <v>-678</v>
      </c>
      <c r="M4784" s="94">
        <v>0</v>
      </c>
    </row>
    <row r="4785" spans="3:13" x14ac:dyDescent="0.3">
      <c r="C4785" t="s">
        <v>70</v>
      </c>
      <c r="D4785" t="s">
        <v>67</v>
      </c>
      <c r="E4785" t="s">
        <v>63</v>
      </c>
      <c r="F4785" t="s">
        <v>72</v>
      </c>
      <c r="G4785" s="4">
        <v>-4</v>
      </c>
      <c r="H4785" s="4" t="s">
        <v>76</v>
      </c>
      <c r="I4785" s="4" t="s">
        <v>69</v>
      </c>
      <c r="J4785" s="4" t="s">
        <v>66</v>
      </c>
      <c r="K4785" s="4">
        <v>0</v>
      </c>
      <c r="L4785" s="94">
        <v>-230</v>
      </c>
      <c r="M4785" s="94">
        <v>0</v>
      </c>
    </row>
    <row r="4786" spans="3:13" x14ac:dyDescent="0.3">
      <c r="C4786" t="s">
        <v>61</v>
      </c>
      <c r="D4786" t="s">
        <v>67</v>
      </c>
      <c r="E4786" t="s">
        <v>63</v>
      </c>
      <c r="F4786" t="s">
        <v>72</v>
      </c>
      <c r="G4786" s="4">
        <v>0</v>
      </c>
      <c r="H4786" s="4" t="s">
        <v>17</v>
      </c>
      <c r="I4786" s="4" t="s">
        <v>65</v>
      </c>
      <c r="J4786" s="4" t="s">
        <v>73</v>
      </c>
      <c r="K4786" s="4">
        <v>1</v>
      </c>
      <c r="L4786" s="94">
        <v>-209</v>
      </c>
      <c r="M4786" s="94">
        <v>0</v>
      </c>
    </row>
    <row r="4787" spans="3:13" x14ac:dyDescent="0.3">
      <c r="C4787" t="s">
        <v>70</v>
      </c>
      <c r="D4787" t="s">
        <v>67</v>
      </c>
      <c r="E4787" t="s">
        <v>68</v>
      </c>
      <c r="F4787" t="s">
        <v>26</v>
      </c>
      <c r="G4787" s="4">
        <v>2</v>
      </c>
      <c r="H4787" s="4" t="s">
        <v>81</v>
      </c>
      <c r="I4787" s="4" t="s">
        <v>69</v>
      </c>
      <c r="J4787" s="4" t="s">
        <v>66</v>
      </c>
      <c r="K4787" s="4">
        <v>0</v>
      </c>
      <c r="L4787" s="94">
        <v>18149</v>
      </c>
      <c r="M4787" s="94">
        <v>36298</v>
      </c>
    </row>
    <row r="4788" spans="3:13" x14ac:dyDescent="0.3">
      <c r="C4788" t="s">
        <v>70</v>
      </c>
      <c r="D4788" t="s">
        <v>67</v>
      </c>
      <c r="E4788" t="s">
        <v>68</v>
      </c>
      <c r="F4788" t="s">
        <v>26</v>
      </c>
      <c r="G4788" s="4">
        <v>6</v>
      </c>
      <c r="H4788" s="4" t="s">
        <v>82</v>
      </c>
      <c r="I4788" s="4" t="s">
        <v>69</v>
      </c>
      <c r="J4788" s="4" t="s">
        <v>66</v>
      </c>
      <c r="K4788" s="4">
        <v>0</v>
      </c>
      <c r="L4788" s="94">
        <v>141757</v>
      </c>
      <c r="M4788" s="94">
        <v>850542</v>
      </c>
    </row>
    <row r="4789" spans="3:13" x14ac:dyDescent="0.3">
      <c r="C4789" t="s">
        <v>61</v>
      </c>
      <c r="D4789" t="s">
        <v>67</v>
      </c>
      <c r="E4789" t="s">
        <v>68</v>
      </c>
      <c r="F4789" t="s">
        <v>72</v>
      </c>
      <c r="G4789" s="4">
        <v>1</v>
      </c>
      <c r="H4789" s="4" t="s">
        <v>15</v>
      </c>
      <c r="I4789" s="4" t="s">
        <v>69</v>
      </c>
      <c r="J4789" s="4" t="s">
        <v>73</v>
      </c>
      <c r="K4789" s="4">
        <v>1</v>
      </c>
      <c r="L4789" s="94">
        <v>222906</v>
      </c>
      <c r="M4789" s="94">
        <v>222906</v>
      </c>
    </row>
    <row r="4790" spans="3:13" x14ac:dyDescent="0.3">
      <c r="C4790" t="s">
        <v>61</v>
      </c>
      <c r="D4790" t="s">
        <v>67</v>
      </c>
      <c r="E4790" t="s">
        <v>68</v>
      </c>
      <c r="F4790" t="s">
        <v>25</v>
      </c>
      <c r="G4790" s="4">
        <v>14</v>
      </c>
      <c r="H4790" s="4" t="s">
        <v>79</v>
      </c>
      <c r="I4790" s="4" t="s">
        <v>69</v>
      </c>
      <c r="J4790" s="4" t="s">
        <v>66</v>
      </c>
      <c r="K4790" s="4">
        <v>0</v>
      </c>
      <c r="L4790" s="94">
        <v>3198879</v>
      </c>
      <c r="M4790" s="94">
        <v>44784306</v>
      </c>
    </row>
    <row r="4791" spans="3:13" x14ac:dyDescent="0.3">
      <c r="C4791" t="s">
        <v>71</v>
      </c>
      <c r="D4791" t="s">
        <v>67</v>
      </c>
      <c r="E4791" t="s">
        <v>63</v>
      </c>
      <c r="F4791" t="s">
        <v>25</v>
      </c>
      <c r="G4791" s="4">
        <v>0</v>
      </c>
      <c r="H4791" s="4" t="s">
        <v>18</v>
      </c>
      <c r="I4791" s="4" t="s">
        <v>69</v>
      </c>
      <c r="J4791" s="4" t="s">
        <v>66</v>
      </c>
      <c r="K4791" s="4">
        <v>0</v>
      </c>
      <c r="L4791" s="94">
        <v>-200640</v>
      </c>
      <c r="M4791" s="94">
        <v>0</v>
      </c>
    </row>
    <row r="4792" spans="3:13" x14ac:dyDescent="0.3">
      <c r="C4792" t="s">
        <v>71</v>
      </c>
      <c r="D4792" t="s">
        <v>62</v>
      </c>
      <c r="E4792" t="s">
        <v>63</v>
      </c>
      <c r="F4792" t="s">
        <v>24</v>
      </c>
      <c r="G4792" s="4">
        <v>30</v>
      </c>
      <c r="I4792" s="4" t="s">
        <v>69</v>
      </c>
      <c r="J4792" s="4" t="s">
        <v>66</v>
      </c>
      <c r="K4792" s="4">
        <v>0</v>
      </c>
      <c r="L4792" s="94">
        <v>-2147854</v>
      </c>
      <c r="M4792" s="94">
        <v>0</v>
      </c>
    </row>
    <row r="4793" spans="3:13" x14ac:dyDescent="0.3">
      <c r="C4793" t="s">
        <v>71</v>
      </c>
      <c r="D4793" t="s">
        <v>67</v>
      </c>
      <c r="E4793" t="s">
        <v>68</v>
      </c>
      <c r="F4793" t="s">
        <v>26</v>
      </c>
      <c r="G4793" s="4">
        <v>-4</v>
      </c>
      <c r="H4793" s="4" t="s">
        <v>17</v>
      </c>
      <c r="I4793" s="4" t="s">
        <v>69</v>
      </c>
      <c r="J4793" s="4" t="s">
        <v>66</v>
      </c>
      <c r="K4793" s="4">
        <v>0</v>
      </c>
      <c r="L4793" s="94">
        <v>7828443</v>
      </c>
      <c r="M4793" s="94">
        <v>0</v>
      </c>
    </row>
    <row r="4794" spans="3:13" x14ac:dyDescent="0.3">
      <c r="C4794" t="s">
        <v>61</v>
      </c>
      <c r="D4794" t="s">
        <v>67</v>
      </c>
      <c r="E4794" t="s">
        <v>63</v>
      </c>
      <c r="F4794" t="s">
        <v>25</v>
      </c>
      <c r="G4794" s="4">
        <v>3</v>
      </c>
      <c r="H4794" s="4" t="s">
        <v>12</v>
      </c>
      <c r="I4794" s="4" t="s">
        <v>69</v>
      </c>
      <c r="J4794" s="4" t="s">
        <v>66</v>
      </c>
      <c r="K4794" s="4">
        <v>0</v>
      </c>
      <c r="L4794" s="94">
        <v>-1142</v>
      </c>
      <c r="M4794" s="94">
        <v>0</v>
      </c>
    </row>
    <row r="4795" spans="3:13" x14ac:dyDescent="0.3">
      <c r="C4795" t="s">
        <v>71</v>
      </c>
      <c r="D4795" t="s">
        <v>67</v>
      </c>
      <c r="E4795" t="s">
        <v>63</v>
      </c>
      <c r="F4795" t="s">
        <v>25</v>
      </c>
      <c r="G4795" s="4">
        <v>9</v>
      </c>
      <c r="H4795" s="4" t="s">
        <v>82</v>
      </c>
      <c r="I4795" s="4" t="s">
        <v>69</v>
      </c>
      <c r="J4795" s="4" t="s">
        <v>66</v>
      </c>
      <c r="K4795" s="4">
        <v>0</v>
      </c>
      <c r="L4795" s="94">
        <v>-150111</v>
      </c>
      <c r="M4795" s="94">
        <v>0</v>
      </c>
    </row>
    <row r="4796" spans="3:13" x14ac:dyDescent="0.3">
      <c r="C4796" t="s">
        <v>71</v>
      </c>
      <c r="D4796" t="s">
        <v>67</v>
      </c>
      <c r="E4796" t="s">
        <v>68</v>
      </c>
      <c r="F4796" t="s">
        <v>26</v>
      </c>
      <c r="G4796" s="4">
        <v>1</v>
      </c>
      <c r="H4796" s="4" t="s">
        <v>76</v>
      </c>
      <c r="I4796" s="4" t="s">
        <v>69</v>
      </c>
      <c r="J4796" s="4" t="s">
        <v>66</v>
      </c>
      <c r="K4796" s="4">
        <v>0</v>
      </c>
      <c r="L4796" s="94">
        <v>954208</v>
      </c>
      <c r="M4796" s="94">
        <v>954208</v>
      </c>
    </row>
    <row r="4797" spans="3:13" x14ac:dyDescent="0.3">
      <c r="C4797" t="s">
        <v>70</v>
      </c>
      <c r="D4797" t="s">
        <v>62</v>
      </c>
      <c r="E4797" t="s">
        <v>68</v>
      </c>
      <c r="F4797" t="s">
        <v>25</v>
      </c>
      <c r="G4797" s="4">
        <v>15</v>
      </c>
      <c r="I4797" s="4" t="s">
        <v>69</v>
      </c>
      <c r="J4797" s="4" t="s">
        <v>66</v>
      </c>
      <c r="K4797" s="4">
        <v>1</v>
      </c>
      <c r="L4797" s="94">
        <v>182826</v>
      </c>
      <c r="M4797" s="94">
        <v>2742390</v>
      </c>
    </row>
    <row r="4798" spans="3:13" x14ac:dyDescent="0.3">
      <c r="C4798" t="s">
        <v>61</v>
      </c>
      <c r="D4798" t="s">
        <v>62</v>
      </c>
      <c r="E4798" t="s">
        <v>68</v>
      </c>
      <c r="F4798" t="s">
        <v>24</v>
      </c>
      <c r="G4798" s="4">
        <v>19</v>
      </c>
      <c r="I4798" s="4" t="s">
        <v>65</v>
      </c>
      <c r="J4798" s="4" t="s">
        <v>66</v>
      </c>
      <c r="K4798" s="4">
        <v>1</v>
      </c>
      <c r="L4798" s="94">
        <v>5309503</v>
      </c>
      <c r="M4798" s="94">
        <v>100880557</v>
      </c>
    </row>
    <row r="4799" spans="3:13" x14ac:dyDescent="0.3">
      <c r="C4799" t="s">
        <v>61</v>
      </c>
      <c r="D4799" t="s">
        <v>67</v>
      </c>
      <c r="E4799" t="s">
        <v>68</v>
      </c>
      <c r="F4799" t="s">
        <v>72</v>
      </c>
      <c r="G4799" s="4">
        <v>2</v>
      </c>
      <c r="H4799" s="4" t="s">
        <v>64</v>
      </c>
      <c r="I4799" s="4" t="s">
        <v>69</v>
      </c>
      <c r="J4799" s="4" t="s">
        <v>66</v>
      </c>
      <c r="K4799" s="4">
        <v>0</v>
      </c>
      <c r="L4799" s="94">
        <v>12030046</v>
      </c>
      <c r="M4799" s="94">
        <v>24060092</v>
      </c>
    </row>
    <row r="4800" spans="3:13" x14ac:dyDescent="0.3">
      <c r="C4800" t="s">
        <v>71</v>
      </c>
      <c r="D4800" t="s">
        <v>67</v>
      </c>
      <c r="E4800" t="s">
        <v>63</v>
      </c>
      <c r="F4800" t="s">
        <v>26</v>
      </c>
      <c r="G4800" s="4">
        <v>5</v>
      </c>
      <c r="H4800" s="4" t="s">
        <v>12</v>
      </c>
      <c r="I4800" s="4" t="s">
        <v>65</v>
      </c>
      <c r="J4800" s="4" t="s">
        <v>73</v>
      </c>
      <c r="K4800" s="4">
        <v>1</v>
      </c>
      <c r="L4800" s="94">
        <v>-14245</v>
      </c>
      <c r="M4800" s="94">
        <v>0</v>
      </c>
    </row>
    <row r="4801" spans="3:13" x14ac:dyDescent="0.3">
      <c r="C4801" t="s">
        <v>71</v>
      </c>
      <c r="D4801" t="s">
        <v>62</v>
      </c>
      <c r="E4801" t="s">
        <v>68</v>
      </c>
      <c r="F4801" t="s">
        <v>25</v>
      </c>
      <c r="G4801" s="4">
        <v>34</v>
      </c>
      <c r="I4801" s="4" t="s">
        <v>69</v>
      </c>
      <c r="J4801" s="4" t="s">
        <v>66</v>
      </c>
      <c r="K4801" s="4">
        <v>0</v>
      </c>
      <c r="L4801" s="94">
        <v>32484</v>
      </c>
      <c r="M4801" s="94">
        <v>1104456</v>
      </c>
    </row>
    <row r="4802" spans="3:13" x14ac:dyDescent="0.3">
      <c r="C4802" t="s">
        <v>70</v>
      </c>
      <c r="D4802" t="s">
        <v>62</v>
      </c>
      <c r="E4802" t="s">
        <v>68</v>
      </c>
      <c r="F4802" t="s">
        <v>24</v>
      </c>
      <c r="G4802" s="4">
        <v>19</v>
      </c>
      <c r="I4802" s="4" t="s">
        <v>69</v>
      </c>
      <c r="J4802" s="4" t="s">
        <v>66</v>
      </c>
      <c r="K4802" s="4">
        <v>0</v>
      </c>
      <c r="L4802" s="94">
        <v>38042709</v>
      </c>
      <c r="M4802" s="94">
        <v>722811471</v>
      </c>
    </row>
    <row r="4803" spans="3:13" x14ac:dyDescent="0.3">
      <c r="C4803" t="s">
        <v>61</v>
      </c>
      <c r="D4803" t="s">
        <v>67</v>
      </c>
      <c r="E4803" t="s">
        <v>63</v>
      </c>
      <c r="F4803" t="s">
        <v>72</v>
      </c>
      <c r="G4803" s="4">
        <v>3</v>
      </c>
      <c r="H4803" s="4" t="s">
        <v>79</v>
      </c>
      <c r="I4803" s="4" t="s">
        <v>69</v>
      </c>
      <c r="J4803" s="4" t="s">
        <v>66</v>
      </c>
      <c r="K4803" s="4">
        <v>0</v>
      </c>
      <c r="L4803" s="94">
        <v>-22279</v>
      </c>
      <c r="M4803" s="94">
        <v>0</v>
      </c>
    </row>
    <row r="4804" spans="3:13" x14ac:dyDescent="0.3">
      <c r="C4804" t="s">
        <v>71</v>
      </c>
      <c r="D4804" t="s">
        <v>67</v>
      </c>
      <c r="E4804" t="s">
        <v>68</v>
      </c>
      <c r="F4804" t="s">
        <v>25</v>
      </c>
      <c r="G4804" s="4">
        <v>2</v>
      </c>
      <c r="H4804" s="4" t="s">
        <v>64</v>
      </c>
      <c r="I4804" s="4" t="s">
        <v>69</v>
      </c>
      <c r="J4804" s="4" t="s">
        <v>66</v>
      </c>
      <c r="K4804" s="4">
        <v>0</v>
      </c>
      <c r="L4804" s="94">
        <v>1440854</v>
      </c>
      <c r="M4804" s="94">
        <v>2881708</v>
      </c>
    </row>
    <row r="4805" spans="3:13" x14ac:dyDescent="0.3">
      <c r="C4805" t="s">
        <v>61</v>
      </c>
      <c r="D4805" t="s">
        <v>67</v>
      </c>
      <c r="E4805" t="s">
        <v>68</v>
      </c>
      <c r="F4805" t="s">
        <v>25</v>
      </c>
      <c r="G4805" s="4">
        <v>4</v>
      </c>
      <c r="H4805" s="4" t="s">
        <v>75</v>
      </c>
      <c r="I4805" s="4" t="s">
        <v>69</v>
      </c>
      <c r="J4805" s="4" t="s">
        <v>66</v>
      </c>
      <c r="K4805" s="4">
        <v>0</v>
      </c>
      <c r="L4805" s="94">
        <v>24984693</v>
      </c>
      <c r="M4805" s="94">
        <v>99938772</v>
      </c>
    </row>
    <row r="4806" spans="3:13" x14ac:dyDescent="0.3">
      <c r="C4806" t="s">
        <v>70</v>
      </c>
      <c r="D4806" t="s">
        <v>67</v>
      </c>
      <c r="E4806" t="s">
        <v>68</v>
      </c>
      <c r="F4806" t="s">
        <v>26</v>
      </c>
      <c r="G4806" s="4">
        <v>-1</v>
      </c>
      <c r="H4806" s="4" t="s">
        <v>79</v>
      </c>
      <c r="I4806" s="4" t="s">
        <v>69</v>
      </c>
      <c r="J4806" s="4" t="s">
        <v>66</v>
      </c>
      <c r="K4806" s="4">
        <v>0</v>
      </c>
      <c r="L4806" s="94">
        <v>4860140</v>
      </c>
      <c r="M4806" s="94">
        <v>0</v>
      </c>
    </row>
    <row r="4807" spans="3:13" x14ac:dyDescent="0.3">
      <c r="C4807" t="s">
        <v>61</v>
      </c>
      <c r="D4807" t="s">
        <v>67</v>
      </c>
      <c r="E4807" t="s">
        <v>63</v>
      </c>
      <c r="F4807" t="s">
        <v>26</v>
      </c>
      <c r="G4807" s="4">
        <v>3</v>
      </c>
      <c r="H4807" s="4" t="s">
        <v>12</v>
      </c>
      <c r="I4807" s="4" t="s">
        <v>69</v>
      </c>
      <c r="J4807" s="4" t="s">
        <v>66</v>
      </c>
      <c r="K4807" s="4">
        <v>0</v>
      </c>
      <c r="L4807" s="94">
        <v>-16176</v>
      </c>
      <c r="M4807" s="94">
        <v>0</v>
      </c>
    </row>
    <row r="4808" spans="3:13" x14ac:dyDescent="0.3">
      <c r="C4808" t="s">
        <v>61</v>
      </c>
      <c r="D4808" t="s">
        <v>67</v>
      </c>
      <c r="E4808" t="s">
        <v>63</v>
      </c>
      <c r="F4808" t="s">
        <v>25</v>
      </c>
      <c r="G4808" s="4">
        <v>2</v>
      </c>
      <c r="H4808" s="4" t="s">
        <v>83</v>
      </c>
      <c r="I4808" s="4" t="s">
        <v>69</v>
      </c>
      <c r="J4808" s="4" t="s">
        <v>66</v>
      </c>
      <c r="K4808" s="4">
        <v>0</v>
      </c>
      <c r="L4808" s="94">
        <v>-342</v>
      </c>
      <c r="M4808" s="94">
        <v>0</v>
      </c>
    </row>
    <row r="4809" spans="3:13" x14ac:dyDescent="0.3">
      <c r="C4809" t="s">
        <v>70</v>
      </c>
      <c r="D4809" t="s">
        <v>67</v>
      </c>
      <c r="E4809" t="s">
        <v>63</v>
      </c>
      <c r="F4809" t="s">
        <v>25</v>
      </c>
      <c r="G4809" s="4">
        <v>2</v>
      </c>
      <c r="H4809" s="4" t="s">
        <v>80</v>
      </c>
      <c r="I4809" s="4" t="s">
        <v>69</v>
      </c>
      <c r="J4809" s="4" t="s">
        <v>66</v>
      </c>
      <c r="K4809" s="4">
        <v>0</v>
      </c>
      <c r="L4809" s="94">
        <v>-22328</v>
      </c>
      <c r="M4809" s="94">
        <v>0</v>
      </c>
    </row>
    <row r="4810" spans="3:13" x14ac:dyDescent="0.3">
      <c r="C4810" t="s">
        <v>61</v>
      </c>
      <c r="D4810" t="s">
        <v>62</v>
      </c>
      <c r="E4810" t="s">
        <v>63</v>
      </c>
      <c r="F4810" t="s">
        <v>24</v>
      </c>
      <c r="G4810" s="4">
        <v>36</v>
      </c>
      <c r="I4810" s="4" t="s">
        <v>69</v>
      </c>
      <c r="J4810" s="4" t="s">
        <v>66</v>
      </c>
      <c r="K4810" s="4">
        <v>1</v>
      </c>
      <c r="L4810" s="94">
        <v>-525</v>
      </c>
      <c r="M4810" s="94">
        <v>0</v>
      </c>
    </row>
    <row r="4811" spans="3:13" x14ac:dyDescent="0.3">
      <c r="C4811" t="s">
        <v>61</v>
      </c>
      <c r="D4811" t="s">
        <v>67</v>
      </c>
      <c r="E4811" t="s">
        <v>68</v>
      </c>
      <c r="F4811" t="s">
        <v>26</v>
      </c>
      <c r="G4811" s="4">
        <v>2</v>
      </c>
      <c r="H4811" s="4" t="s">
        <v>82</v>
      </c>
      <c r="I4811" s="4" t="s">
        <v>69</v>
      </c>
      <c r="J4811" s="4" t="s">
        <v>73</v>
      </c>
      <c r="K4811" s="4">
        <v>1</v>
      </c>
      <c r="L4811" s="94">
        <v>95556</v>
      </c>
      <c r="M4811" s="94">
        <v>191112</v>
      </c>
    </row>
    <row r="4812" spans="3:13" x14ac:dyDescent="0.3">
      <c r="C4812" t="s">
        <v>70</v>
      </c>
      <c r="D4812" t="s">
        <v>67</v>
      </c>
      <c r="E4812" t="s">
        <v>63</v>
      </c>
      <c r="F4812" t="s">
        <v>26</v>
      </c>
      <c r="G4812" s="4">
        <v>0</v>
      </c>
      <c r="H4812" s="4" t="s">
        <v>14</v>
      </c>
      <c r="I4812" s="4" t="s">
        <v>69</v>
      </c>
      <c r="J4812" s="4" t="s">
        <v>66</v>
      </c>
      <c r="K4812" s="4">
        <v>0</v>
      </c>
      <c r="L4812" s="94">
        <v>-492577</v>
      </c>
      <c r="M4812" s="94">
        <v>0</v>
      </c>
    </row>
    <row r="4813" spans="3:13" x14ac:dyDescent="0.3">
      <c r="C4813" t="s">
        <v>70</v>
      </c>
      <c r="D4813" t="s">
        <v>62</v>
      </c>
      <c r="E4813" t="s">
        <v>63</v>
      </c>
      <c r="F4813" t="s">
        <v>24</v>
      </c>
      <c r="G4813" s="4">
        <v>30</v>
      </c>
      <c r="I4813" s="4" t="s">
        <v>69</v>
      </c>
      <c r="J4813" s="4" t="s">
        <v>66</v>
      </c>
      <c r="K4813" s="4">
        <v>0</v>
      </c>
      <c r="L4813" s="94">
        <v>-1380375</v>
      </c>
      <c r="M4813" s="94">
        <v>0</v>
      </c>
    </row>
    <row r="4814" spans="3:13" x14ac:dyDescent="0.3">
      <c r="C4814" t="s">
        <v>70</v>
      </c>
      <c r="D4814" t="s">
        <v>67</v>
      </c>
      <c r="E4814" t="s">
        <v>68</v>
      </c>
      <c r="F4814" t="s">
        <v>26</v>
      </c>
      <c r="G4814" s="4">
        <v>-4</v>
      </c>
      <c r="H4814" s="4" t="s">
        <v>17</v>
      </c>
      <c r="I4814" s="4" t="s">
        <v>65</v>
      </c>
      <c r="J4814" s="4" t="s">
        <v>66</v>
      </c>
      <c r="K4814" s="4">
        <v>1</v>
      </c>
      <c r="L4814" s="94">
        <v>3000</v>
      </c>
      <c r="M4814" s="94">
        <v>0</v>
      </c>
    </row>
    <row r="4815" spans="3:13" x14ac:dyDescent="0.3">
      <c r="C4815" t="s">
        <v>61</v>
      </c>
      <c r="D4815" t="s">
        <v>67</v>
      </c>
      <c r="E4815" t="s">
        <v>68</v>
      </c>
      <c r="F4815" t="s">
        <v>72</v>
      </c>
      <c r="G4815" s="4">
        <v>4</v>
      </c>
      <c r="H4815" s="4" t="s">
        <v>12</v>
      </c>
      <c r="I4815" s="4" t="s">
        <v>65</v>
      </c>
      <c r="J4815" s="4" t="s">
        <v>73</v>
      </c>
      <c r="K4815" s="4">
        <v>1</v>
      </c>
      <c r="L4815" s="94">
        <v>52449</v>
      </c>
      <c r="M4815" s="94">
        <v>209796</v>
      </c>
    </row>
    <row r="4816" spans="3:13" x14ac:dyDescent="0.3">
      <c r="C4816" t="s">
        <v>61</v>
      </c>
      <c r="D4816" t="s">
        <v>62</v>
      </c>
      <c r="E4816" t="s">
        <v>63</v>
      </c>
      <c r="F4816" t="s">
        <v>24</v>
      </c>
      <c r="G4816" s="4">
        <v>22</v>
      </c>
      <c r="I4816" s="4" t="s">
        <v>69</v>
      </c>
      <c r="J4816" s="4" t="s">
        <v>66</v>
      </c>
      <c r="K4816" s="4">
        <v>0</v>
      </c>
      <c r="L4816" s="94">
        <v>-399012</v>
      </c>
      <c r="M4816" s="94">
        <v>0</v>
      </c>
    </row>
    <row r="4817" spans="3:13" x14ac:dyDescent="0.3">
      <c r="C4817" t="s">
        <v>61</v>
      </c>
      <c r="D4817" t="s">
        <v>67</v>
      </c>
      <c r="E4817" t="s">
        <v>63</v>
      </c>
      <c r="F4817" t="s">
        <v>25</v>
      </c>
      <c r="G4817" s="4">
        <v>14</v>
      </c>
      <c r="H4817" s="4" t="s">
        <v>80</v>
      </c>
      <c r="I4817" s="4" t="s">
        <v>69</v>
      </c>
      <c r="J4817" s="4" t="s">
        <v>66</v>
      </c>
      <c r="K4817" s="4">
        <v>0</v>
      </c>
      <c r="L4817" s="94">
        <v>-227</v>
      </c>
      <c r="M4817" s="94">
        <v>0</v>
      </c>
    </row>
    <row r="4818" spans="3:13" x14ac:dyDescent="0.3">
      <c r="C4818" t="s">
        <v>71</v>
      </c>
      <c r="D4818" t="s">
        <v>62</v>
      </c>
      <c r="E4818" t="s">
        <v>68</v>
      </c>
      <c r="F4818" t="s">
        <v>24</v>
      </c>
      <c r="G4818" s="4">
        <v>33</v>
      </c>
      <c r="I4818" s="4" t="s">
        <v>65</v>
      </c>
      <c r="J4818" s="4" t="s">
        <v>66</v>
      </c>
      <c r="K4818" s="4">
        <v>1</v>
      </c>
      <c r="L4818" s="94">
        <v>76591</v>
      </c>
      <c r="M4818" s="94">
        <v>2527503</v>
      </c>
    </row>
    <row r="4819" spans="3:13" x14ac:dyDescent="0.3">
      <c r="C4819" t="s">
        <v>70</v>
      </c>
      <c r="D4819" t="s">
        <v>67</v>
      </c>
      <c r="E4819" t="s">
        <v>68</v>
      </c>
      <c r="F4819" t="s">
        <v>26</v>
      </c>
      <c r="G4819" s="4">
        <v>-4</v>
      </c>
      <c r="H4819" s="4" t="s">
        <v>12</v>
      </c>
      <c r="I4819" s="4" t="s">
        <v>69</v>
      </c>
      <c r="J4819" s="4" t="s">
        <v>73</v>
      </c>
      <c r="K4819" s="4">
        <v>1</v>
      </c>
      <c r="L4819" s="94">
        <v>1784</v>
      </c>
      <c r="M4819" s="94">
        <v>0</v>
      </c>
    </row>
    <row r="4820" spans="3:13" x14ac:dyDescent="0.3">
      <c r="C4820" t="s">
        <v>61</v>
      </c>
      <c r="D4820" t="s">
        <v>84</v>
      </c>
      <c r="E4820" t="s">
        <v>63</v>
      </c>
      <c r="F4820" t="s">
        <v>25</v>
      </c>
      <c r="G4820" s="4">
        <v>-1</v>
      </c>
      <c r="H4820" s="4" t="s">
        <v>74</v>
      </c>
      <c r="I4820" s="4" t="s">
        <v>69</v>
      </c>
      <c r="J4820" s="4" t="s">
        <v>66</v>
      </c>
      <c r="K4820" s="4">
        <v>0</v>
      </c>
      <c r="L4820" s="94">
        <v>-287</v>
      </c>
      <c r="M4820" s="94">
        <v>0</v>
      </c>
    </row>
    <row r="4821" spans="3:13" x14ac:dyDescent="0.3">
      <c r="C4821" t="s">
        <v>70</v>
      </c>
      <c r="D4821" t="s">
        <v>67</v>
      </c>
      <c r="E4821" t="s">
        <v>68</v>
      </c>
      <c r="F4821" t="s">
        <v>72</v>
      </c>
      <c r="G4821" s="4">
        <v>1</v>
      </c>
      <c r="H4821" s="4" t="s">
        <v>80</v>
      </c>
      <c r="I4821" s="4" t="s">
        <v>69</v>
      </c>
      <c r="J4821" s="4" t="s">
        <v>66</v>
      </c>
      <c r="K4821" s="4">
        <v>0</v>
      </c>
      <c r="L4821" s="94">
        <v>20277</v>
      </c>
      <c r="M4821" s="94">
        <v>20277</v>
      </c>
    </row>
    <row r="4822" spans="3:13" x14ac:dyDescent="0.3">
      <c r="C4822" t="s">
        <v>70</v>
      </c>
      <c r="D4822" t="s">
        <v>67</v>
      </c>
      <c r="E4822" t="s">
        <v>63</v>
      </c>
      <c r="F4822" t="s">
        <v>25</v>
      </c>
      <c r="G4822" s="4">
        <v>9</v>
      </c>
      <c r="H4822" s="4" t="s">
        <v>74</v>
      </c>
      <c r="I4822" s="4" t="s">
        <v>69</v>
      </c>
      <c r="J4822" s="4" t="s">
        <v>66</v>
      </c>
      <c r="K4822" s="4">
        <v>0</v>
      </c>
      <c r="L4822" s="94">
        <v>-81142</v>
      </c>
      <c r="M4822" s="94">
        <v>0</v>
      </c>
    </row>
    <row r="4823" spans="3:13" x14ac:dyDescent="0.3">
      <c r="C4823" t="s">
        <v>71</v>
      </c>
      <c r="D4823" t="s">
        <v>67</v>
      </c>
      <c r="E4823" t="s">
        <v>68</v>
      </c>
      <c r="F4823" t="s">
        <v>26</v>
      </c>
      <c r="G4823" s="4">
        <v>10</v>
      </c>
      <c r="H4823" s="4" t="s">
        <v>12</v>
      </c>
      <c r="I4823" s="4" t="s">
        <v>69</v>
      </c>
      <c r="J4823" s="4" t="s">
        <v>73</v>
      </c>
      <c r="K4823" s="4">
        <v>1</v>
      </c>
      <c r="L4823" s="94">
        <v>8934</v>
      </c>
      <c r="M4823" s="94">
        <v>89340</v>
      </c>
    </row>
    <row r="4824" spans="3:13" x14ac:dyDescent="0.3">
      <c r="C4824" t="s">
        <v>70</v>
      </c>
      <c r="D4824" t="s">
        <v>67</v>
      </c>
      <c r="E4824" t="s">
        <v>68</v>
      </c>
      <c r="F4824" t="s">
        <v>25</v>
      </c>
      <c r="G4824" s="4">
        <v>11</v>
      </c>
      <c r="H4824" s="4" t="s">
        <v>12</v>
      </c>
      <c r="I4824" s="4" t="s">
        <v>69</v>
      </c>
      <c r="J4824" s="4" t="s">
        <v>66</v>
      </c>
      <c r="K4824" s="4">
        <v>1</v>
      </c>
      <c r="L4824" s="94">
        <v>486981</v>
      </c>
      <c r="M4824" s="94">
        <v>5356791</v>
      </c>
    </row>
    <row r="4825" spans="3:13" x14ac:dyDescent="0.3">
      <c r="C4825" t="s">
        <v>61</v>
      </c>
      <c r="D4825" t="s">
        <v>84</v>
      </c>
      <c r="E4825" t="s">
        <v>63</v>
      </c>
      <c r="F4825" t="s">
        <v>25</v>
      </c>
      <c r="G4825" s="4">
        <v>12</v>
      </c>
      <c r="H4825" s="4" t="s">
        <v>81</v>
      </c>
      <c r="I4825" s="4" t="s">
        <v>69</v>
      </c>
      <c r="J4825" s="4" t="s">
        <v>66</v>
      </c>
      <c r="K4825" s="4">
        <v>0</v>
      </c>
      <c r="L4825" s="94">
        <v>-151</v>
      </c>
      <c r="M4825" s="94">
        <v>0</v>
      </c>
    </row>
    <row r="4826" spans="3:13" x14ac:dyDescent="0.3">
      <c r="C4826" t="s">
        <v>61</v>
      </c>
      <c r="D4826" t="s">
        <v>62</v>
      </c>
      <c r="E4826" t="s">
        <v>63</v>
      </c>
      <c r="F4826" t="s">
        <v>24</v>
      </c>
      <c r="G4826" s="4">
        <v>0</v>
      </c>
      <c r="I4826" s="4" t="s">
        <v>69</v>
      </c>
      <c r="J4826" s="4" t="s">
        <v>66</v>
      </c>
      <c r="K4826" s="4">
        <v>0</v>
      </c>
      <c r="L4826" s="94">
        <v>-6176</v>
      </c>
      <c r="M4826" s="94">
        <v>0</v>
      </c>
    </row>
    <row r="4827" spans="3:13" x14ac:dyDescent="0.3">
      <c r="C4827" t="s">
        <v>70</v>
      </c>
      <c r="D4827" t="s">
        <v>67</v>
      </c>
      <c r="E4827" t="s">
        <v>63</v>
      </c>
      <c r="F4827" t="s">
        <v>26</v>
      </c>
      <c r="G4827" s="4">
        <v>-1</v>
      </c>
      <c r="H4827" s="4" t="s">
        <v>13</v>
      </c>
      <c r="I4827" s="4" t="s">
        <v>69</v>
      </c>
      <c r="J4827" s="4" t="s">
        <v>66</v>
      </c>
      <c r="K4827" s="4">
        <v>0</v>
      </c>
      <c r="L4827" s="94">
        <v>-8</v>
      </c>
      <c r="M4827" s="94">
        <v>0</v>
      </c>
    </row>
    <row r="4828" spans="3:13" x14ac:dyDescent="0.3">
      <c r="C4828" t="s">
        <v>70</v>
      </c>
      <c r="D4828" t="s">
        <v>67</v>
      </c>
      <c r="E4828" t="s">
        <v>63</v>
      </c>
      <c r="F4828" t="s">
        <v>25</v>
      </c>
      <c r="G4828" s="4">
        <v>10</v>
      </c>
      <c r="H4828" s="4" t="s">
        <v>12</v>
      </c>
      <c r="I4828" s="4" t="s">
        <v>69</v>
      </c>
      <c r="J4828" s="4" t="s">
        <v>66</v>
      </c>
      <c r="K4828" s="4">
        <v>0</v>
      </c>
      <c r="L4828" s="94">
        <v>-2302</v>
      </c>
      <c r="M4828" s="94">
        <v>0</v>
      </c>
    </row>
    <row r="4829" spans="3:13" x14ac:dyDescent="0.3">
      <c r="C4829" t="s">
        <v>70</v>
      </c>
      <c r="D4829" t="s">
        <v>67</v>
      </c>
      <c r="E4829" t="s">
        <v>63</v>
      </c>
      <c r="F4829" t="s">
        <v>72</v>
      </c>
      <c r="G4829" s="4">
        <v>2</v>
      </c>
      <c r="H4829" s="4" t="s">
        <v>76</v>
      </c>
      <c r="I4829" s="4" t="s">
        <v>69</v>
      </c>
      <c r="J4829" s="4" t="s">
        <v>66</v>
      </c>
      <c r="K4829" s="4">
        <v>0</v>
      </c>
      <c r="L4829" s="94">
        <v>-17814</v>
      </c>
      <c r="M4829" s="94">
        <v>0</v>
      </c>
    </row>
    <row r="4830" spans="3:13" x14ac:dyDescent="0.3">
      <c r="C4830" t="s">
        <v>61</v>
      </c>
      <c r="D4830" t="s">
        <v>62</v>
      </c>
      <c r="E4830" t="s">
        <v>68</v>
      </c>
      <c r="F4830" t="s">
        <v>24</v>
      </c>
      <c r="G4830" s="4">
        <v>31</v>
      </c>
      <c r="I4830" s="4" t="s">
        <v>69</v>
      </c>
      <c r="J4830" s="4" t="s">
        <v>66</v>
      </c>
      <c r="K4830" s="4">
        <v>1</v>
      </c>
      <c r="L4830" s="94">
        <v>1499003</v>
      </c>
      <c r="M4830" s="94">
        <v>46469093</v>
      </c>
    </row>
    <row r="4831" spans="3:13" x14ac:dyDescent="0.3">
      <c r="C4831" t="s">
        <v>70</v>
      </c>
      <c r="D4831" t="s">
        <v>67</v>
      </c>
      <c r="E4831" t="s">
        <v>63</v>
      </c>
      <c r="F4831" t="s">
        <v>72</v>
      </c>
      <c r="G4831" s="4">
        <v>3</v>
      </c>
      <c r="H4831" s="4" t="s">
        <v>79</v>
      </c>
      <c r="I4831" s="4" t="s">
        <v>69</v>
      </c>
      <c r="J4831" s="4" t="s">
        <v>66</v>
      </c>
      <c r="K4831" s="4">
        <v>0</v>
      </c>
      <c r="L4831" s="94">
        <v>-53492</v>
      </c>
      <c r="M4831" s="94">
        <v>0</v>
      </c>
    </row>
    <row r="4832" spans="3:13" x14ac:dyDescent="0.3">
      <c r="C4832" t="s">
        <v>61</v>
      </c>
      <c r="D4832" t="s">
        <v>67</v>
      </c>
      <c r="E4832" t="s">
        <v>63</v>
      </c>
      <c r="F4832" t="s">
        <v>26</v>
      </c>
      <c r="G4832" s="4">
        <v>4</v>
      </c>
      <c r="H4832" s="4" t="s">
        <v>17</v>
      </c>
      <c r="I4832" s="4" t="s">
        <v>65</v>
      </c>
      <c r="J4832" s="4" t="s">
        <v>66</v>
      </c>
      <c r="K4832" s="4">
        <v>1</v>
      </c>
      <c r="L4832" s="94">
        <v>-345</v>
      </c>
      <c r="M4832" s="94">
        <v>0</v>
      </c>
    </row>
    <row r="4833" spans="3:13" x14ac:dyDescent="0.3">
      <c r="C4833" t="s">
        <v>61</v>
      </c>
      <c r="D4833" t="s">
        <v>62</v>
      </c>
      <c r="E4833" t="s">
        <v>63</v>
      </c>
      <c r="F4833" t="s">
        <v>24</v>
      </c>
      <c r="G4833" s="4">
        <v>20</v>
      </c>
      <c r="I4833" s="4" t="s">
        <v>69</v>
      </c>
      <c r="J4833" s="4" t="s">
        <v>66</v>
      </c>
      <c r="K4833" s="4">
        <v>0</v>
      </c>
      <c r="L4833" s="94">
        <v>-273801</v>
      </c>
      <c r="M4833" s="94">
        <v>0</v>
      </c>
    </row>
    <row r="4834" spans="3:13" x14ac:dyDescent="0.3">
      <c r="C4834" t="s">
        <v>61</v>
      </c>
      <c r="D4834" t="s">
        <v>62</v>
      </c>
      <c r="E4834" t="s">
        <v>68</v>
      </c>
      <c r="F4834" t="s">
        <v>24</v>
      </c>
      <c r="G4834" s="4">
        <v>50</v>
      </c>
      <c r="I4834" s="4" t="s">
        <v>69</v>
      </c>
      <c r="J4834" s="4" t="s">
        <v>66</v>
      </c>
      <c r="K4834" s="4">
        <v>0</v>
      </c>
      <c r="L4834" s="94">
        <v>254584</v>
      </c>
      <c r="M4834" s="94">
        <v>12729200</v>
      </c>
    </row>
    <row r="4835" spans="3:13" x14ac:dyDescent="0.3">
      <c r="C4835" t="s">
        <v>61</v>
      </c>
      <c r="D4835" t="s">
        <v>67</v>
      </c>
      <c r="E4835" t="s">
        <v>68</v>
      </c>
      <c r="F4835" t="s">
        <v>25</v>
      </c>
      <c r="G4835" s="4">
        <v>4</v>
      </c>
      <c r="H4835" s="4" t="s">
        <v>83</v>
      </c>
      <c r="I4835" s="4" t="s">
        <v>69</v>
      </c>
      <c r="J4835" s="4" t="s">
        <v>66</v>
      </c>
      <c r="K4835" s="4">
        <v>0</v>
      </c>
      <c r="L4835" s="94">
        <v>29744</v>
      </c>
      <c r="M4835" s="94">
        <v>118976</v>
      </c>
    </row>
    <row r="4836" spans="3:13" x14ac:dyDescent="0.3">
      <c r="C4836" t="s">
        <v>70</v>
      </c>
      <c r="D4836" t="s">
        <v>67</v>
      </c>
      <c r="E4836" t="s">
        <v>68</v>
      </c>
      <c r="F4836" t="s">
        <v>72</v>
      </c>
      <c r="G4836" s="4">
        <v>3</v>
      </c>
      <c r="H4836" s="4" t="s">
        <v>17</v>
      </c>
      <c r="I4836" s="4" t="s">
        <v>69</v>
      </c>
      <c r="J4836" s="4" t="s">
        <v>66</v>
      </c>
      <c r="K4836" s="4">
        <v>0</v>
      </c>
      <c r="L4836" s="94">
        <v>1858751</v>
      </c>
      <c r="M4836" s="94">
        <v>5576253</v>
      </c>
    </row>
    <row r="4837" spans="3:13" x14ac:dyDescent="0.3">
      <c r="C4837" t="s">
        <v>71</v>
      </c>
      <c r="D4837" t="s">
        <v>67</v>
      </c>
      <c r="E4837" t="s">
        <v>63</v>
      </c>
      <c r="F4837" t="s">
        <v>26</v>
      </c>
      <c r="G4837" s="4">
        <v>6</v>
      </c>
      <c r="H4837" s="4" t="s">
        <v>75</v>
      </c>
      <c r="I4837" s="4" t="s">
        <v>69</v>
      </c>
      <c r="J4837" s="4" t="s">
        <v>66</v>
      </c>
      <c r="K4837" s="4">
        <v>0</v>
      </c>
      <c r="L4837" s="94">
        <v>-50762</v>
      </c>
      <c r="M4837" s="94">
        <v>0</v>
      </c>
    </row>
    <row r="4838" spans="3:13" x14ac:dyDescent="0.3">
      <c r="C4838" t="s">
        <v>61</v>
      </c>
      <c r="D4838" t="s">
        <v>67</v>
      </c>
      <c r="E4838" t="s">
        <v>63</v>
      </c>
      <c r="F4838" t="s">
        <v>26</v>
      </c>
      <c r="G4838" s="4">
        <v>9</v>
      </c>
      <c r="H4838" s="4" t="s">
        <v>15</v>
      </c>
      <c r="I4838" s="4" t="s">
        <v>69</v>
      </c>
      <c r="J4838" s="4" t="s">
        <v>73</v>
      </c>
      <c r="K4838" s="4">
        <v>1</v>
      </c>
      <c r="L4838" s="94">
        <v>-51351</v>
      </c>
      <c r="M4838" s="94">
        <v>0</v>
      </c>
    </row>
    <row r="4839" spans="3:13" x14ac:dyDescent="0.3">
      <c r="C4839" t="s">
        <v>71</v>
      </c>
      <c r="D4839" t="s">
        <v>67</v>
      </c>
      <c r="E4839" t="s">
        <v>68</v>
      </c>
      <c r="F4839" t="s">
        <v>25</v>
      </c>
      <c r="G4839" s="4">
        <v>2</v>
      </c>
      <c r="H4839" s="4" t="s">
        <v>78</v>
      </c>
      <c r="I4839" s="4" t="s">
        <v>69</v>
      </c>
      <c r="J4839" s="4" t="s">
        <v>66</v>
      </c>
      <c r="K4839" s="4">
        <v>0</v>
      </c>
      <c r="L4839" s="94">
        <v>31466</v>
      </c>
      <c r="M4839" s="94">
        <v>62932</v>
      </c>
    </row>
    <row r="4840" spans="3:13" x14ac:dyDescent="0.3">
      <c r="C4840" t="s">
        <v>70</v>
      </c>
      <c r="D4840" t="s">
        <v>67</v>
      </c>
      <c r="E4840" t="s">
        <v>68</v>
      </c>
      <c r="F4840" t="s">
        <v>25</v>
      </c>
      <c r="G4840" s="4">
        <v>1</v>
      </c>
      <c r="H4840" s="4" t="s">
        <v>75</v>
      </c>
      <c r="I4840" s="4" t="s">
        <v>69</v>
      </c>
      <c r="J4840" s="4" t="s">
        <v>66</v>
      </c>
      <c r="K4840" s="4">
        <v>0</v>
      </c>
      <c r="L4840" s="94">
        <v>486996</v>
      </c>
      <c r="M4840" s="94">
        <v>486996</v>
      </c>
    </row>
    <row r="4841" spans="3:13" x14ac:dyDescent="0.3">
      <c r="C4841" t="s">
        <v>61</v>
      </c>
      <c r="D4841" t="s">
        <v>67</v>
      </c>
      <c r="E4841" t="s">
        <v>68</v>
      </c>
      <c r="F4841" t="s">
        <v>25</v>
      </c>
      <c r="G4841" s="4">
        <v>1</v>
      </c>
      <c r="H4841" s="4" t="s">
        <v>82</v>
      </c>
      <c r="I4841" s="4" t="s">
        <v>69</v>
      </c>
      <c r="J4841" s="4" t="s">
        <v>66</v>
      </c>
      <c r="K4841" s="4">
        <v>1</v>
      </c>
      <c r="L4841" s="94">
        <v>9099</v>
      </c>
      <c r="M4841" s="94">
        <v>9099</v>
      </c>
    </row>
    <row r="4842" spans="3:13" x14ac:dyDescent="0.3">
      <c r="C4842" t="s">
        <v>70</v>
      </c>
      <c r="D4842" t="s">
        <v>67</v>
      </c>
      <c r="E4842" t="s">
        <v>68</v>
      </c>
      <c r="F4842" t="s">
        <v>26</v>
      </c>
      <c r="G4842" s="4">
        <v>-1</v>
      </c>
      <c r="H4842" s="4" t="s">
        <v>86</v>
      </c>
      <c r="I4842" s="4" t="s">
        <v>69</v>
      </c>
      <c r="J4842" s="4" t="s">
        <v>66</v>
      </c>
      <c r="K4842" s="4">
        <v>0</v>
      </c>
      <c r="L4842" s="94">
        <v>2389</v>
      </c>
      <c r="M4842" s="94">
        <v>0</v>
      </c>
    </row>
    <row r="4843" spans="3:13" x14ac:dyDescent="0.3">
      <c r="C4843" t="s">
        <v>61</v>
      </c>
      <c r="D4843" t="s">
        <v>67</v>
      </c>
      <c r="E4843" t="s">
        <v>68</v>
      </c>
      <c r="F4843" t="s">
        <v>72</v>
      </c>
      <c r="G4843" s="4">
        <v>4</v>
      </c>
      <c r="H4843" s="4" t="s">
        <v>14</v>
      </c>
      <c r="I4843" s="4" t="s">
        <v>69</v>
      </c>
      <c r="J4843" s="4" t="s">
        <v>66</v>
      </c>
      <c r="K4843" s="4">
        <v>0</v>
      </c>
      <c r="L4843" s="94">
        <v>5061871</v>
      </c>
      <c r="M4843" s="94">
        <v>20247484</v>
      </c>
    </row>
    <row r="4844" spans="3:13" x14ac:dyDescent="0.3">
      <c r="C4844" t="s">
        <v>70</v>
      </c>
      <c r="D4844" t="s">
        <v>67</v>
      </c>
      <c r="E4844" t="s">
        <v>63</v>
      </c>
      <c r="F4844" t="s">
        <v>72</v>
      </c>
      <c r="G4844" s="4">
        <v>5</v>
      </c>
      <c r="H4844" s="4" t="s">
        <v>12</v>
      </c>
      <c r="I4844" s="4" t="s">
        <v>69</v>
      </c>
      <c r="J4844" s="4" t="s">
        <v>66</v>
      </c>
      <c r="K4844" s="4">
        <v>0</v>
      </c>
      <c r="L4844" s="94">
        <v>-9864</v>
      </c>
      <c r="M4844" s="94">
        <v>0</v>
      </c>
    </row>
    <row r="4845" spans="3:13" x14ac:dyDescent="0.3">
      <c r="C4845" t="s">
        <v>70</v>
      </c>
      <c r="D4845" t="s">
        <v>67</v>
      </c>
      <c r="E4845" t="s">
        <v>68</v>
      </c>
      <c r="F4845" t="s">
        <v>25</v>
      </c>
      <c r="G4845" s="4">
        <v>9</v>
      </c>
      <c r="H4845" s="4" t="s">
        <v>12</v>
      </c>
      <c r="I4845" s="4" t="s">
        <v>69</v>
      </c>
      <c r="J4845" s="4" t="s">
        <v>66</v>
      </c>
      <c r="K4845" s="4">
        <v>1</v>
      </c>
      <c r="L4845" s="94">
        <v>553379</v>
      </c>
      <c r="M4845" s="94">
        <v>4980411</v>
      </c>
    </row>
    <row r="4846" spans="3:13" x14ac:dyDescent="0.3">
      <c r="C4846" t="s">
        <v>61</v>
      </c>
      <c r="D4846" t="s">
        <v>67</v>
      </c>
      <c r="E4846" t="s">
        <v>63</v>
      </c>
      <c r="F4846" t="s">
        <v>25</v>
      </c>
      <c r="G4846" s="4">
        <v>2</v>
      </c>
      <c r="H4846" s="4" t="s">
        <v>75</v>
      </c>
      <c r="I4846" s="4" t="s">
        <v>69</v>
      </c>
      <c r="J4846" s="4" t="s">
        <v>66</v>
      </c>
      <c r="K4846" s="4">
        <v>0</v>
      </c>
      <c r="L4846" s="94">
        <v>-43648</v>
      </c>
      <c r="M4846" s="94">
        <v>0</v>
      </c>
    </row>
    <row r="4847" spans="3:13" x14ac:dyDescent="0.3">
      <c r="C4847" t="s">
        <v>70</v>
      </c>
      <c r="D4847" t="s">
        <v>67</v>
      </c>
      <c r="E4847" t="s">
        <v>63</v>
      </c>
      <c r="F4847" t="s">
        <v>72</v>
      </c>
      <c r="G4847" s="4">
        <v>6</v>
      </c>
      <c r="H4847" s="4" t="s">
        <v>76</v>
      </c>
      <c r="I4847" s="4" t="s">
        <v>69</v>
      </c>
      <c r="J4847" s="4" t="s">
        <v>66</v>
      </c>
      <c r="K4847" s="4">
        <v>0</v>
      </c>
      <c r="L4847" s="94">
        <v>-6225</v>
      </c>
      <c r="M4847" s="94">
        <v>0</v>
      </c>
    </row>
    <row r="4848" spans="3:13" x14ac:dyDescent="0.3">
      <c r="C4848" t="s">
        <v>61</v>
      </c>
      <c r="D4848" t="s">
        <v>62</v>
      </c>
      <c r="E4848" t="s">
        <v>63</v>
      </c>
      <c r="F4848" t="s">
        <v>24</v>
      </c>
      <c r="G4848" s="4">
        <v>13</v>
      </c>
      <c r="I4848" s="4" t="s">
        <v>65</v>
      </c>
      <c r="J4848" s="4" t="s">
        <v>66</v>
      </c>
      <c r="K4848" s="4">
        <v>1</v>
      </c>
      <c r="L4848" s="94">
        <v>-1040</v>
      </c>
      <c r="M4848" s="94">
        <v>0</v>
      </c>
    </row>
    <row r="4849" spans="3:13" x14ac:dyDescent="0.3">
      <c r="C4849" t="s">
        <v>70</v>
      </c>
      <c r="D4849" t="s">
        <v>62</v>
      </c>
      <c r="E4849" t="s">
        <v>68</v>
      </c>
      <c r="F4849" t="s">
        <v>24</v>
      </c>
      <c r="G4849" s="4">
        <v>30</v>
      </c>
      <c r="I4849" s="4" t="s">
        <v>69</v>
      </c>
      <c r="J4849" s="4" t="s">
        <v>66</v>
      </c>
      <c r="K4849" s="4">
        <v>1</v>
      </c>
      <c r="L4849" s="94">
        <v>252425</v>
      </c>
      <c r="M4849" s="94">
        <v>7572750</v>
      </c>
    </row>
    <row r="4850" spans="3:13" x14ac:dyDescent="0.3">
      <c r="C4850" t="s">
        <v>71</v>
      </c>
      <c r="D4850" t="s">
        <v>67</v>
      </c>
      <c r="E4850" t="s">
        <v>68</v>
      </c>
      <c r="F4850" t="s">
        <v>26</v>
      </c>
      <c r="G4850" s="4">
        <v>0</v>
      </c>
      <c r="H4850" s="4" t="s">
        <v>12</v>
      </c>
      <c r="I4850" s="4" t="s">
        <v>69</v>
      </c>
      <c r="J4850" s="4" t="s">
        <v>73</v>
      </c>
      <c r="K4850" s="4">
        <v>1</v>
      </c>
      <c r="L4850" s="94">
        <v>1059096</v>
      </c>
      <c r="M4850" s="94">
        <v>0</v>
      </c>
    </row>
    <row r="4851" spans="3:13" x14ac:dyDescent="0.3">
      <c r="C4851" t="s">
        <v>70</v>
      </c>
      <c r="D4851" t="s">
        <v>67</v>
      </c>
      <c r="E4851" t="s">
        <v>63</v>
      </c>
      <c r="F4851" t="s">
        <v>25</v>
      </c>
      <c r="G4851" s="4">
        <v>8</v>
      </c>
      <c r="H4851" s="4" t="s">
        <v>17</v>
      </c>
      <c r="I4851" s="4" t="s">
        <v>69</v>
      </c>
      <c r="J4851" s="4" t="s">
        <v>66</v>
      </c>
      <c r="K4851" s="4">
        <v>1</v>
      </c>
      <c r="L4851" s="94">
        <v>-740</v>
      </c>
      <c r="M4851" s="94">
        <v>0</v>
      </c>
    </row>
    <row r="4852" spans="3:13" x14ac:dyDescent="0.3">
      <c r="C4852" t="s">
        <v>61</v>
      </c>
      <c r="D4852" t="s">
        <v>67</v>
      </c>
      <c r="E4852" t="s">
        <v>63</v>
      </c>
      <c r="F4852" t="s">
        <v>25</v>
      </c>
      <c r="G4852" s="4">
        <v>8</v>
      </c>
      <c r="H4852" s="4" t="s">
        <v>18</v>
      </c>
      <c r="I4852" s="4" t="s">
        <v>69</v>
      </c>
      <c r="J4852" s="4" t="s">
        <v>66</v>
      </c>
      <c r="K4852" s="4">
        <v>1</v>
      </c>
      <c r="L4852" s="94">
        <v>-589</v>
      </c>
      <c r="M4852" s="94">
        <v>0</v>
      </c>
    </row>
    <row r="4853" spans="3:13" x14ac:dyDescent="0.3">
      <c r="C4853" t="s">
        <v>61</v>
      </c>
      <c r="D4853" t="s">
        <v>62</v>
      </c>
      <c r="E4853" t="s">
        <v>63</v>
      </c>
      <c r="F4853" t="s">
        <v>25</v>
      </c>
      <c r="G4853" s="4">
        <v>17</v>
      </c>
      <c r="I4853" s="4" t="s">
        <v>69</v>
      </c>
      <c r="J4853" s="4" t="s">
        <v>66</v>
      </c>
      <c r="K4853" s="4">
        <v>0</v>
      </c>
      <c r="L4853" s="94">
        <v>-1565</v>
      </c>
      <c r="M4853" s="94">
        <v>0</v>
      </c>
    </row>
    <row r="4854" spans="3:13" x14ac:dyDescent="0.3">
      <c r="C4854" t="s">
        <v>71</v>
      </c>
      <c r="D4854" t="s">
        <v>67</v>
      </c>
      <c r="E4854" t="s">
        <v>68</v>
      </c>
      <c r="F4854" t="s">
        <v>26</v>
      </c>
      <c r="G4854" s="4">
        <v>0</v>
      </c>
      <c r="H4854" s="4" t="s">
        <v>17</v>
      </c>
      <c r="I4854" s="4" t="s">
        <v>65</v>
      </c>
      <c r="J4854" s="4" t="s">
        <v>66</v>
      </c>
      <c r="K4854" s="4">
        <v>1</v>
      </c>
      <c r="L4854" s="94">
        <v>16021</v>
      </c>
      <c r="M4854" s="94">
        <v>0</v>
      </c>
    </row>
    <row r="4855" spans="3:13" x14ac:dyDescent="0.3">
      <c r="C4855" t="s">
        <v>61</v>
      </c>
      <c r="D4855" t="s">
        <v>67</v>
      </c>
      <c r="E4855" t="s">
        <v>68</v>
      </c>
      <c r="F4855" t="s">
        <v>72</v>
      </c>
      <c r="G4855" s="4">
        <v>2</v>
      </c>
      <c r="H4855" s="4" t="s">
        <v>78</v>
      </c>
      <c r="I4855" s="4" t="s">
        <v>69</v>
      </c>
      <c r="J4855" s="4" t="s">
        <v>66</v>
      </c>
      <c r="K4855" s="4">
        <v>0</v>
      </c>
      <c r="L4855" s="94">
        <v>217181</v>
      </c>
      <c r="M4855" s="94">
        <v>434362</v>
      </c>
    </row>
    <row r="4856" spans="3:13" x14ac:dyDescent="0.3">
      <c r="C4856" t="s">
        <v>71</v>
      </c>
      <c r="D4856" t="s">
        <v>62</v>
      </c>
      <c r="E4856" t="s">
        <v>68</v>
      </c>
      <c r="F4856" t="s">
        <v>24</v>
      </c>
      <c r="G4856" s="4">
        <v>4</v>
      </c>
      <c r="I4856" s="4" t="s">
        <v>69</v>
      </c>
      <c r="J4856" s="4" t="s">
        <v>66</v>
      </c>
      <c r="K4856" s="4">
        <v>1</v>
      </c>
      <c r="L4856" s="94">
        <v>25900</v>
      </c>
      <c r="M4856" s="94">
        <v>103600</v>
      </c>
    </row>
    <row r="4857" spans="3:13" x14ac:dyDescent="0.3">
      <c r="C4857" t="s">
        <v>71</v>
      </c>
      <c r="D4857" t="s">
        <v>67</v>
      </c>
      <c r="E4857" t="s">
        <v>68</v>
      </c>
      <c r="F4857" t="s">
        <v>26</v>
      </c>
      <c r="G4857" s="4">
        <v>4</v>
      </c>
      <c r="H4857" s="4" t="s">
        <v>18</v>
      </c>
      <c r="I4857" s="4" t="s">
        <v>69</v>
      </c>
      <c r="J4857" s="4" t="s">
        <v>73</v>
      </c>
      <c r="K4857" s="4">
        <v>1</v>
      </c>
      <c r="L4857" s="94">
        <v>136069</v>
      </c>
      <c r="M4857" s="94">
        <v>544276</v>
      </c>
    </row>
    <row r="4858" spans="3:13" x14ac:dyDescent="0.3">
      <c r="C4858" t="s">
        <v>61</v>
      </c>
      <c r="D4858" t="s">
        <v>67</v>
      </c>
      <c r="E4858" t="s">
        <v>63</v>
      </c>
      <c r="F4858" t="s">
        <v>72</v>
      </c>
      <c r="G4858" s="4">
        <v>5</v>
      </c>
      <c r="H4858" s="4" t="s">
        <v>12</v>
      </c>
      <c r="I4858" s="4" t="s">
        <v>69</v>
      </c>
      <c r="J4858" s="4" t="s">
        <v>66</v>
      </c>
      <c r="K4858" s="4">
        <v>0</v>
      </c>
      <c r="L4858" s="94">
        <v>-2134</v>
      </c>
      <c r="M4858" s="94">
        <v>0</v>
      </c>
    </row>
    <row r="4859" spans="3:13" x14ac:dyDescent="0.3">
      <c r="C4859" t="s">
        <v>61</v>
      </c>
      <c r="D4859" t="s">
        <v>62</v>
      </c>
      <c r="E4859" t="s">
        <v>68</v>
      </c>
      <c r="F4859" t="s">
        <v>25</v>
      </c>
      <c r="G4859" s="4">
        <v>-4</v>
      </c>
      <c r="I4859" s="4" t="s">
        <v>69</v>
      </c>
      <c r="J4859" s="4" t="s">
        <v>66</v>
      </c>
      <c r="K4859" s="4">
        <v>0</v>
      </c>
      <c r="L4859" s="94">
        <v>290338</v>
      </c>
      <c r="M4859" s="94">
        <v>0</v>
      </c>
    </row>
    <row r="4860" spans="3:13" x14ac:dyDescent="0.3">
      <c r="C4860" t="s">
        <v>71</v>
      </c>
      <c r="D4860" t="s">
        <v>62</v>
      </c>
      <c r="E4860" t="s">
        <v>63</v>
      </c>
      <c r="F4860" t="s">
        <v>24</v>
      </c>
      <c r="G4860" s="4">
        <v>28</v>
      </c>
      <c r="I4860" s="4" t="s">
        <v>69</v>
      </c>
      <c r="J4860" s="4" t="s">
        <v>66</v>
      </c>
      <c r="K4860" s="4">
        <v>0</v>
      </c>
      <c r="L4860" s="94">
        <v>-2987373</v>
      </c>
      <c r="M4860" s="94">
        <v>0</v>
      </c>
    </row>
    <row r="4861" spans="3:13" x14ac:dyDescent="0.3">
      <c r="C4861" t="s">
        <v>71</v>
      </c>
      <c r="D4861" t="s">
        <v>67</v>
      </c>
      <c r="E4861" t="s">
        <v>63</v>
      </c>
      <c r="F4861" t="s">
        <v>26</v>
      </c>
      <c r="G4861" s="4">
        <v>5</v>
      </c>
      <c r="H4861" s="4" t="s">
        <v>77</v>
      </c>
      <c r="I4861" s="4" t="s">
        <v>69</v>
      </c>
      <c r="J4861" s="4" t="s">
        <v>66</v>
      </c>
      <c r="K4861" s="4">
        <v>0</v>
      </c>
      <c r="L4861" s="94">
        <v>-44234</v>
      </c>
      <c r="M4861" s="94">
        <v>0</v>
      </c>
    </row>
    <row r="4862" spans="3:13" x14ac:dyDescent="0.3">
      <c r="C4862" t="s">
        <v>71</v>
      </c>
      <c r="D4862" t="s">
        <v>67</v>
      </c>
      <c r="E4862" t="s">
        <v>68</v>
      </c>
      <c r="F4862" t="s">
        <v>25</v>
      </c>
      <c r="G4862" s="4">
        <v>-4</v>
      </c>
      <c r="H4862" s="4" t="s">
        <v>75</v>
      </c>
      <c r="I4862" s="4" t="s">
        <v>65</v>
      </c>
      <c r="J4862" s="4" t="s">
        <v>66</v>
      </c>
      <c r="K4862" s="4">
        <v>1</v>
      </c>
      <c r="L4862" s="94">
        <v>460104</v>
      </c>
      <c r="M4862" s="94">
        <v>0</v>
      </c>
    </row>
    <row r="4863" spans="3:13" x14ac:dyDescent="0.3">
      <c r="C4863" t="s">
        <v>61</v>
      </c>
      <c r="D4863" t="s">
        <v>67</v>
      </c>
      <c r="E4863" t="s">
        <v>63</v>
      </c>
      <c r="F4863" t="s">
        <v>72</v>
      </c>
      <c r="G4863" s="4">
        <v>6</v>
      </c>
      <c r="H4863" s="4" t="s">
        <v>76</v>
      </c>
      <c r="I4863" s="4" t="s">
        <v>69</v>
      </c>
      <c r="J4863" s="4" t="s">
        <v>66</v>
      </c>
      <c r="K4863" s="4">
        <v>0</v>
      </c>
      <c r="L4863" s="94">
        <v>-2131</v>
      </c>
      <c r="M4863" s="94">
        <v>0</v>
      </c>
    </row>
    <row r="4864" spans="3:13" x14ac:dyDescent="0.3">
      <c r="C4864" t="s">
        <v>61</v>
      </c>
      <c r="D4864" t="s">
        <v>62</v>
      </c>
      <c r="E4864" t="s">
        <v>63</v>
      </c>
      <c r="F4864" t="s">
        <v>24</v>
      </c>
      <c r="G4864" s="4">
        <v>4</v>
      </c>
      <c r="I4864" s="4" t="s">
        <v>69</v>
      </c>
      <c r="J4864" s="4" t="s">
        <v>66</v>
      </c>
      <c r="K4864" s="4">
        <v>0</v>
      </c>
      <c r="L4864" s="94">
        <v>-22839</v>
      </c>
      <c r="M4864" s="94">
        <v>0</v>
      </c>
    </row>
    <row r="4865" spans="3:13" x14ac:dyDescent="0.3">
      <c r="C4865" t="s">
        <v>70</v>
      </c>
      <c r="D4865" t="s">
        <v>62</v>
      </c>
      <c r="E4865" t="s">
        <v>68</v>
      </c>
      <c r="F4865" t="s">
        <v>24</v>
      </c>
      <c r="G4865" s="4">
        <v>18</v>
      </c>
      <c r="I4865" s="4" t="s">
        <v>65</v>
      </c>
      <c r="J4865" s="4" t="s">
        <v>66</v>
      </c>
      <c r="K4865" s="4">
        <v>1</v>
      </c>
      <c r="L4865" s="94">
        <v>297196</v>
      </c>
      <c r="M4865" s="94">
        <v>5349528</v>
      </c>
    </row>
    <row r="4866" spans="3:13" x14ac:dyDescent="0.3">
      <c r="C4866" t="s">
        <v>61</v>
      </c>
      <c r="D4866" t="s">
        <v>67</v>
      </c>
      <c r="E4866" t="s">
        <v>63</v>
      </c>
      <c r="F4866" t="s">
        <v>26</v>
      </c>
      <c r="G4866" s="4">
        <v>7</v>
      </c>
      <c r="H4866" s="4" t="s">
        <v>18</v>
      </c>
      <c r="I4866" s="4" t="s">
        <v>69</v>
      </c>
      <c r="J4866" s="4" t="s">
        <v>73</v>
      </c>
      <c r="K4866" s="4">
        <v>1</v>
      </c>
      <c r="L4866" s="94">
        <v>-9265</v>
      </c>
      <c r="M4866" s="94">
        <v>0</v>
      </c>
    </row>
    <row r="4867" spans="3:13" x14ac:dyDescent="0.3">
      <c r="C4867" t="s">
        <v>70</v>
      </c>
      <c r="D4867" t="s">
        <v>67</v>
      </c>
      <c r="E4867" t="s">
        <v>68</v>
      </c>
      <c r="F4867" t="s">
        <v>26</v>
      </c>
      <c r="G4867" s="4">
        <v>3</v>
      </c>
      <c r="H4867" s="4" t="s">
        <v>74</v>
      </c>
      <c r="I4867" s="4" t="s">
        <v>69</v>
      </c>
      <c r="J4867" s="4" t="s">
        <v>66</v>
      </c>
      <c r="K4867" s="4">
        <v>0</v>
      </c>
      <c r="L4867" s="94">
        <v>5939490</v>
      </c>
      <c r="M4867" s="94">
        <v>17818470</v>
      </c>
    </row>
    <row r="4868" spans="3:13" x14ac:dyDescent="0.3">
      <c r="C4868" t="s">
        <v>71</v>
      </c>
      <c r="D4868" t="s">
        <v>62</v>
      </c>
      <c r="E4868" t="s">
        <v>63</v>
      </c>
      <c r="F4868" t="s">
        <v>24</v>
      </c>
      <c r="G4868" s="4">
        <v>9</v>
      </c>
      <c r="I4868" s="4" t="s">
        <v>65</v>
      </c>
      <c r="J4868" s="4" t="s">
        <v>66</v>
      </c>
      <c r="K4868" s="4">
        <v>1</v>
      </c>
      <c r="L4868" s="94">
        <v>-3099</v>
      </c>
      <c r="M4868" s="94">
        <v>0</v>
      </c>
    </row>
    <row r="4869" spans="3:13" x14ac:dyDescent="0.3">
      <c r="C4869" t="s">
        <v>71</v>
      </c>
      <c r="D4869" t="s">
        <v>67</v>
      </c>
      <c r="E4869" t="s">
        <v>68</v>
      </c>
      <c r="F4869" t="s">
        <v>25</v>
      </c>
      <c r="G4869" s="4">
        <v>0</v>
      </c>
      <c r="H4869" s="4" t="s">
        <v>18</v>
      </c>
      <c r="I4869" s="4" t="s">
        <v>69</v>
      </c>
      <c r="J4869" s="4" t="s">
        <v>66</v>
      </c>
      <c r="K4869" s="4">
        <v>0</v>
      </c>
      <c r="L4869" s="94">
        <v>237440</v>
      </c>
      <c r="M4869" s="94">
        <v>0</v>
      </c>
    </row>
    <row r="4870" spans="3:13" x14ac:dyDescent="0.3">
      <c r="C4870" t="s">
        <v>70</v>
      </c>
      <c r="D4870" t="s">
        <v>67</v>
      </c>
      <c r="E4870" t="s">
        <v>63</v>
      </c>
      <c r="F4870" t="s">
        <v>25</v>
      </c>
      <c r="G4870" s="4">
        <v>14</v>
      </c>
      <c r="H4870" s="4" t="s">
        <v>75</v>
      </c>
      <c r="I4870" s="4" t="s">
        <v>69</v>
      </c>
      <c r="J4870" s="4" t="s">
        <v>66</v>
      </c>
      <c r="K4870" s="4">
        <v>0</v>
      </c>
      <c r="L4870" s="94">
        <v>-447372</v>
      </c>
      <c r="M4870" s="94">
        <v>0</v>
      </c>
    </row>
    <row r="4871" spans="3:13" x14ac:dyDescent="0.3">
      <c r="C4871" t="s">
        <v>61</v>
      </c>
      <c r="D4871" t="s">
        <v>67</v>
      </c>
      <c r="E4871" t="s">
        <v>63</v>
      </c>
      <c r="F4871" t="s">
        <v>26</v>
      </c>
      <c r="G4871" s="4">
        <v>6</v>
      </c>
      <c r="H4871" s="4" t="s">
        <v>64</v>
      </c>
      <c r="I4871" s="4" t="s">
        <v>69</v>
      </c>
      <c r="J4871" s="4" t="s">
        <v>66</v>
      </c>
      <c r="K4871" s="4">
        <v>0</v>
      </c>
      <c r="L4871" s="94">
        <v>-11796</v>
      </c>
      <c r="M4871" s="94">
        <v>0</v>
      </c>
    </row>
    <row r="4872" spans="3:13" x14ac:dyDescent="0.3">
      <c r="C4872" t="s">
        <v>71</v>
      </c>
      <c r="D4872" t="s">
        <v>67</v>
      </c>
      <c r="E4872" t="s">
        <v>68</v>
      </c>
      <c r="F4872" t="s">
        <v>26</v>
      </c>
      <c r="G4872" s="4">
        <v>18</v>
      </c>
      <c r="H4872" s="4" t="s">
        <v>14</v>
      </c>
      <c r="I4872" s="4" t="s">
        <v>69</v>
      </c>
      <c r="J4872" s="4" t="s">
        <v>73</v>
      </c>
      <c r="K4872" s="4">
        <v>1</v>
      </c>
      <c r="L4872" s="94">
        <v>25502</v>
      </c>
      <c r="M4872" s="94">
        <v>459036</v>
      </c>
    </row>
    <row r="4873" spans="3:13" x14ac:dyDescent="0.3">
      <c r="C4873" t="s">
        <v>70</v>
      </c>
      <c r="D4873" t="s">
        <v>67</v>
      </c>
      <c r="E4873" t="s">
        <v>68</v>
      </c>
      <c r="F4873" t="s">
        <v>26</v>
      </c>
      <c r="G4873" s="4">
        <v>0</v>
      </c>
      <c r="H4873" s="4" t="s">
        <v>17</v>
      </c>
      <c r="I4873" s="4" t="s">
        <v>69</v>
      </c>
      <c r="J4873" s="4" t="s">
        <v>66</v>
      </c>
      <c r="K4873" s="4">
        <v>0</v>
      </c>
      <c r="L4873" s="94">
        <v>8236384</v>
      </c>
      <c r="M4873" s="94">
        <v>0</v>
      </c>
    </row>
    <row r="4874" spans="3:13" x14ac:dyDescent="0.3">
      <c r="C4874" t="s">
        <v>61</v>
      </c>
      <c r="D4874" t="s">
        <v>67</v>
      </c>
      <c r="E4874" t="s">
        <v>63</v>
      </c>
      <c r="F4874" t="s">
        <v>25</v>
      </c>
      <c r="G4874" s="4">
        <v>9</v>
      </c>
      <c r="H4874" s="4" t="s">
        <v>83</v>
      </c>
      <c r="I4874" s="4" t="s">
        <v>69</v>
      </c>
      <c r="J4874" s="4" t="s">
        <v>66</v>
      </c>
      <c r="K4874" s="4">
        <v>0</v>
      </c>
      <c r="L4874" s="94">
        <v>-1529</v>
      </c>
      <c r="M4874" s="94">
        <v>0</v>
      </c>
    </row>
    <row r="4875" spans="3:13" x14ac:dyDescent="0.3">
      <c r="C4875" t="s">
        <v>61</v>
      </c>
      <c r="D4875" t="s">
        <v>67</v>
      </c>
      <c r="E4875" t="s">
        <v>68</v>
      </c>
      <c r="F4875" t="s">
        <v>26</v>
      </c>
      <c r="G4875" s="4">
        <v>-1</v>
      </c>
      <c r="H4875" s="4" t="s">
        <v>13</v>
      </c>
      <c r="I4875" s="4" t="s">
        <v>69</v>
      </c>
      <c r="J4875" s="4" t="s">
        <v>73</v>
      </c>
      <c r="K4875" s="4">
        <v>1</v>
      </c>
      <c r="L4875" s="94">
        <v>853447</v>
      </c>
      <c r="M4875" s="94">
        <v>0</v>
      </c>
    </row>
    <row r="4876" spans="3:13" x14ac:dyDescent="0.3">
      <c r="C4876" t="s">
        <v>70</v>
      </c>
      <c r="D4876" t="s">
        <v>62</v>
      </c>
      <c r="E4876" t="s">
        <v>63</v>
      </c>
      <c r="F4876" t="s">
        <v>24</v>
      </c>
      <c r="G4876" s="4">
        <v>32</v>
      </c>
      <c r="I4876" s="4" t="s">
        <v>65</v>
      </c>
      <c r="J4876" s="4" t="s">
        <v>66</v>
      </c>
      <c r="K4876" s="4">
        <v>1</v>
      </c>
      <c r="L4876" s="94">
        <v>-23204</v>
      </c>
      <c r="M4876" s="94">
        <v>0</v>
      </c>
    </row>
    <row r="4877" spans="3:13" x14ac:dyDescent="0.3">
      <c r="C4877" t="s">
        <v>61</v>
      </c>
      <c r="D4877" t="s">
        <v>67</v>
      </c>
      <c r="E4877" t="s">
        <v>63</v>
      </c>
      <c r="F4877" t="s">
        <v>26</v>
      </c>
      <c r="G4877" s="4">
        <v>3</v>
      </c>
      <c r="H4877" s="4" t="s">
        <v>82</v>
      </c>
      <c r="I4877" s="4" t="s">
        <v>69</v>
      </c>
      <c r="J4877" s="4" t="s">
        <v>73</v>
      </c>
      <c r="K4877" s="4">
        <v>1</v>
      </c>
      <c r="L4877" s="94">
        <v>-2023</v>
      </c>
      <c r="M4877" s="94">
        <v>0</v>
      </c>
    </row>
    <row r="4878" spans="3:13" x14ac:dyDescent="0.3">
      <c r="C4878" t="s">
        <v>70</v>
      </c>
      <c r="D4878" t="s">
        <v>62</v>
      </c>
      <c r="E4878" t="s">
        <v>63</v>
      </c>
      <c r="F4878" t="s">
        <v>24</v>
      </c>
      <c r="G4878" s="4">
        <v>25</v>
      </c>
      <c r="I4878" s="4" t="s">
        <v>69</v>
      </c>
      <c r="J4878" s="4" t="s">
        <v>66</v>
      </c>
      <c r="K4878" s="4">
        <v>0</v>
      </c>
      <c r="L4878" s="94">
        <v>-1231130</v>
      </c>
      <c r="M4878" s="94">
        <v>0</v>
      </c>
    </row>
    <row r="4879" spans="3:13" x14ac:dyDescent="0.3">
      <c r="D4879" t="s">
        <v>67</v>
      </c>
      <c r="E4879" t="s">
        <v>68</v>
      </c>
      <c r="G4879" s="4">
        <v>-3</v>
      </c>
      <c r="H4879" s="4" t="s">
        <v>81</v>
      </c>
      <c r="I4879" s="4" t="s">
        <v>69</v>
      </c>
      <c r="J4879" s="4" t="s">
        <v>66</v>
      </c>
      <c r="K4879" s="4">
        <v>0</v>
      </c>
      <c r="L4879" s="94">
        <v>0</v>
      </c>
      <c r="M4879" s="94">
        <v>0</v>
      </c>
    </row>
    <row r="4880" spans="3:13" x14ac:dyDescent="0.3">
      <c r="C4880" t="s">
        <v>70</v>
      </c>
      <c r="D4880" t="s">
        <v>67</v>
      </c>
      <c r="E4880" t="s">
        <v>63</v>
      </c>
      <c r="F4880" t="s">
        <v>25</v>
      </c>
      <c r="G4880" s="4">
        <v>16</v>
      </c>
      <c r="H4880" s="4" t="s">
        <v>12</v>
      </c>
      <c r="I4880" s="4" t="s">
        <v>69</v>
      </c>
      <c r="J4880" s="4" t="s">
        <v>66</v>
      </c>
      <c r="K4880" s="4">
        <v>1</v>
      </c>
      <c r="L4880" s="94">
        <v>-35968</v>
      </c>
      <c r="M4880" s="94">
        <v>0</v>
      </c>
    </row>
    <row r="4881" spans="3:13" x14ac:dyDescent="0.3">
      <c r="C4881" t="s">
        <v>70</v>
      </c>
      <c r="D4881" t="s">
        <v>67</v>
      </c>
      <c r="E4881" t="s">
        <v>63</v>
      </c>
      <c r="F4881" t="s">
        <v>26</v>
      </c>
      <c r="G4881" s="4">
        <v>1</v>
      </c>
      <c r="H4881" s="4" t="s">
        <v>12</v>
      </c>
      <c r="I4881" s="4" t="s">
        <v>69</v>
      </c>
      <c r="J4881" s="4" t="s">
        <v>73</v>
      </c>
      <c r="K4881" s="4">
        <v>1</v>
      </c>
      <c r="L4881" s="94">
        <v>-62731</v>
      </c>
      <c r="M4881" s="94">
        <v>0</v>
      </c>
    </row>
    <row r="4882" spans="3:13" x14ac:dyDescent="0.3">
      <c r="C4882" t="s">
        <v>61</v>
      </c>
      <c r="D4882" t="s">
        <v>67</v>
      </c>
      <c r="E4882" t="s">
        <v>63</v>
      </c>
      <c r="F4882" t="s">
        <v>26</v>
      </c>
      <c r="G4882" s="4">
        <v>1</v>
      </c>
      <c r="H4882" s="4" t="s">
        <v>87</v>
      </c>
      <c r="I4882" s="4" t="s">
        <v>69</v>
      </c>
      <c r="J4882" s="4" t="s">
        <v>66</v>
      </c>
      <c r="K4882" s="4">
        <v>0</v>
      </c>
      <c r="L4882" s="94">
        <v>-423430</v>
      </c>
      <c r="M4882" s="94">
        <v>0</v>
      </c>
    </row>
    <row r="4883" spans="3:13" x14ac:dyDescent="0.3">
      <c r="C4883" t="s">
        <v>61</v>
      </c>
      <c r="D4883" t="s">
        <v>62</v>
      </c>
      <c r="E4883" t="s">
        <v>63</v>
      </c>
      <c r="F4883" t="s">
        <v>24</v>
      </c>
      <c r="G4883" s="4">
        <v>17</v>
      </c>
      <c r="I4883" s="4" t="s">
        <v>69</v>
      </c>
      <c r="J4883" s="4" t="s">
        <v>66</v>
      </c>
      <c r="K4883" s="4">
        <v>0</v>
      </c>
      <c r="L4883" s="94">
        <v>-167438</v>
      </c>
      <c r="M4883" s="94">
        <v>0</v>
      </c>
    </row>
    <row r="4884" spans="3:13" x14ac:dyDescent="0.3">
      <c r="C4884" t="s">
        <v>71</v>
      </c>
      <c r="D4884" t="s">
        <v>67</v>
      </c>
      <c r="E4884" t="s">
        <v>63</v>
      </c>
      <c r="F4884" t="s">
        <v>26</v>
      </c>
      <c r="G4884" s="4">
        <v>2</v>
      </c>
      <c r="H4884" s="4" t="s">
        <v>16</v>
      </c>
      <c r="I4884" s="4" t="s">
        <v>69</v>
      </c>
      <c r="J4884" s="4" t="s">
        <v>66</v>
      </c>
      <c r="K4884" s="4">
        <v>0</v>
      </c>
      <c r="L4884" s="94">
        <v>-95350</v>
      </c>
      <c r="M4884" s="94">
        <v>0</v>
      </c>
    </row>
    <row r="4885" spans="3:13" x14ac:dyDescent="0.3">
      <c r="C4885" t="s">
        <v>61</v>
      </c>
      <c r="D4885" t="s">
        <v>67</v>
      </c>
      <c r="E4885" t="s">
        <v>68</v>
      </c>
      <c r="F4885" t="s">
        <v>26</v>
      </c>
      <c r="G4885" s="4">
        <v>2</v>
      </c>
      <c r="H4885" s="4" t="s">
        <v>14</v>
      </c>
      <c r="I4885" s="4" t="s">
        <v>69</v>
      </c>
      <c r="J4885" s="4" t="s">
        <v>66</v>
      </c>
      <c r="K4885" s="4">
        <v>0</v>
      </c>
      <c r="L4885" s="94">
        <v>71896991</v>
      </c>
      <c r="M4885" s="94">
        <v>143793982</v>
      </c>
    </row>
    <row r="4886" spans="3:13" x14ac:dyDescent="0.3">
      <c r="C4886" t="s">
        <v>61</v>
      </c>
      <c r="D4886" t="s">
        <v>67</v>
      </c>
      <c r="E4886" t="s">
        <v>68</v>
      </c>
      <c r="F4886" t="s">
        <v>72</v>
      </c>
      <c r="G4886" s="4">
        <v>-4</v>
      </c>
      <c r="H4886" s="4" t="s">
        <v>18</v>
      </c>
      <c r="I4886" s="4" t="s">
        <v>69</v>
      </c>
      <c r="J4886" s="4" t="s">
        <v>66</v>
      </c>
      <c r="K4886" s="4">
        <v>0</v>
      </c>
      <c r="L4886" s="94">
        <v>654</v>
      </c>
      <c r="M4886" s="94">
        <v>0</v>
      </c>
    </row>
    <row r="4887" spans="3:13" x14ac:dyDescent="0.3">
      <c r="C4887" t="s">
        <v>70</v>
      </c>
      <c r="D4887" t="s">
        <v>67</v>
      </c>
      <c r="E4887" t="s">
        <v>63</v>
      </c>
      <c r="F4887" t="s">
        <v>72</v>
      </c>
      <c r="G4887" s="4">
        <v>3</v>
      </c>
      <c r="H4887" s="4" t="s">
        <v>17</v>
      </c>
      <c r="I4887" s="4" t="s">
        <v>69</v>
      </c>
      <c r="J4887" s="4" t="s">
        <v>73</v>
      </c>
      <c r="K4887" s="4">
        <v>1</v>
      </c>
      <c r="L4887" s="94">
        <v>-4690</v>
      </c>
      <c r="M4887" s="94">
        <v>0</v>
      </c>
    </row>
    <row r="4888" spans="3:13" x14ac:dyDescent="0.3">
      <c r="C4888" t="s">
        <v>61</v>
      </c>
      <c r="D4888" t="s">
        <v>67</v>
      </c>
      <c r="E4888" t="s">
        <v>68</v>
      </c>
      <c r="F4888" t="s">
        <v>25</v>
      </c>
      <c r="G4888" s="4">
        <v>6</v>
      </c>
      <c r="H4888" s="4" t="s">
        <v>77</v>
      </c>
      <c r="I4888" s="4" t="s">
        <v>69</v>
      </c>
      <c r="J4888" s="4" t="s">
        <v>66</v>
      </c>
      <c r="K4888" s="4">
        <v>0</v>
      </c>
      <c r="L4888" s="94">
        <v>139235</v>
      </c>
      <c r="M4888" s="94">
        <v>835410</v>
      </c>
    </row>
    <row r="4889" spans="3:13" x14ac:dyDescent="0.3">
      <c r="C4889" t="s">
        <v>61</v>
      </c>
      <c r="D4889" t="s">
        <v>67</v>
      </c>
      <c r="E4889" t="s">
        <v>63</v>
      </c>
      <c r="F4889" t="s">
        <v>25</v>
      </c>
      <c r="G4889" s="4">
        <v>6</v>
      </c>
      <c r="H4889" s="4" t="s">
        <v>75</v>
      </c>
      <c r="I4889" s="4" t="s">
        <v>65</v>
      </c>
      <c r="J4889" s="4" t="s">
        <v>66</v>
      </c>
      <c r="K4889" s="4">
        <v>1</v>
      </c>
      <c r="L4889" s="94">
        <v>-663</v>
      </c>
      <c r="M4889" s="94">
        <v>0</v>
      </c>
    </row>
    <row r="4890" spans="3:13" x14ac:dyDescent="0.3">
      <c r="C4890" t="s">
        <v>71</v>
      </c>
      <c r="D4890" t="s">
        <v>62</v>
      </c>
      <c r="E4890" t="s">
        <v>68</v>
      </c>
      <c r="F4890" t="s">
        <v>24</v>
      </c>
      <c r="G4890" s="4">
        <v>39</v>
      </c>
      <c r="I4890" s="4" t="s">
        <v>69</v>
      </c>
      <c r="J4890" s="4" t="s">
        <v>66</v>
      </c>
      <c r="K4890" s="4">
        <v>0</v>
      </c>
      <c r="L4890" s="94">
        <v>2651688</v>
      </c>
      <c r="M4890" s="94">
        <v>103415832</v>
      </c>
    </row>
    <row r="4891" spans="3:13" x14ac:dyDescent="0.3">
      <c r="C4891" t="s">
        <v>71</v>
      </c>
      <c r="D4891" t="s">
        <v>67</v>
      </c>
      <c r="E4891" t="s">
        <v>68</v>
      </c>
      <c r="F4891" t="s">
        <v>26</v>
      </c>
      <c r="G4891" s="4">
        <v>4</v>
      </c>
      <c r="H4891" s="4" t="s">
        <v>83</v>
      </c>
      <c r="I4891" s="4" t="s">
        <v>69</v>
      </c>
      <c r="J4891" s="4" t="s">
        <v>66</v>
      </c>
      <c r="K4891" s="4">
        <v>0</v>
      </c>
      <c r="L4891" s="94">
        <v>77129</v>
      </c>
      <c r="M4891" s="94">
        <v>308516</v>
      </c>
    </row>
    <row r="4892" spans="3:13" x14ac:dyDescent="0.3">
      <c r="C4892" t="s">
        <v>61</v>
      </c>
      <c r="D4892" t="s">
        <v>67</v>
      </c>
      <c r="E4892" t="s">
        <v>63</v>
      </c>
      <c r="F4892" t="s">
        <v>26</v>
      </c>
      <c r="G4892" s="4">
        <v>7</v>
      </c>
      <c r="H4892" s="4" t="s">
        <v>78</v>
      </c>
      <c r="I4892" s="4" t="s">
        <v>69</v>
      </c>
      <c r="J4892" s="4" t="s">
        <v>66</v>
      </c>
      <c r="K4892" s="4">
        <v>0</v>
      </c>
      <c r="L4892" s="94">
        <v>-634</v>
      </c>
      <c r="M4892" s="94">
        <v>0</v>
      </c>
    </row>
    <row r="4893" spans="3:13" x14ac:dyDescent="0.3">
      <c r="C4893" t="s">
        <v>70</v>
      </c>
      <c r="D4893" t="s">
        <v>67</v>
      </c>
      <c r="E4893" t="s">
        <v>68</v>
      </c>
      <c r="F4893" t="s">
        <v>25</v>
      </c>
      <c r="G4893" s="4">
        <v>4</v>
      </c>
      <c r="H4893" s="4" t="s">
        <v>80</v>
      </c>
      <c r="I4893" s="4" t="s">
        <v>69</v>
      </c>
      <c r="J4893" s="4" t="s">
        <v>66</v>
      </c>
      <c r="K4893" s="4">
        <v>0</v>
      </c>
      <c r="L4893" s="94">
        <v>43436</v>
      </c>
      <c r="M4893" s="94">
        <v>173744</v>
      </c>
    </row>
    <row r="4894" spans="3:13" x14ac:dyDescent="0.3">
      <c r="C4894" t="s">
        <v>61</v>
      </c>
      <c r="D4894" t="s">
        <v>67</v>
      </c>
      <c r="E4894" t="s">
        <v>68</v>
      </c>
      <c r="F4894" t="s">
        <v>25</v>
      </c>
      <c r="G4894" s="4">
        <v>1</v>
      </c>
      <c r="H4894" s="4" t="s">
        <v>74</v>
      </c>
      <c r="I4894" s="4" t="s">
        <v>69</v>
      </c>
      <c r="J4894" s="4" t="s">
        <v>66</v>
      </c>
      <c r="K4894" s="4">
        <v>0</v>
      </c>
      <c r="L4894" s="94">
        <v>2032062</v>
      </c>
      <c r="M4894" s="94">
        <v>2032062</v>
      </c>
    </row>
    <row r="4895" spans="3:13" x14ac:dyDescent="0.3">
      <c r="C4895" t="s">
        <v>61</v>
      </c>
      <c r="D4895" t="s">
        <v>67</v>
      </c>
      <c r="E4895" t="s">
        <v>63</v>
      </c>
      <c r="F4895" t="s">
        <v>25</v>
      </c>
      <c r="G4895" s="4">
        <v>8</v>
      </c>
      <c r="H4895" s="4" t="s">
        <v>79</v>
      </c>
      <c r="I4895" s="4" t="s">
        <v>69</v>
      </c>
      <c r="J4895" s="4" t="s">
        <v>66</v>
      </c>
      <c r="K4895" s="4">
        <v>0</v>
      </c>
      <c r="L4895" s="94">
        <v>-5675</v>
      </c>
      <c r="M4895" s="94">
        <v>0</v>
      </c>
    </row>
    <row r="4896" spans="3:13" x14ac:dyDescent="0.3">
      <c r="C4896" t="s">
        <v>71</v>
      </c>
      <c r="D4896" t="s">
        <v>67</v>
      </c>
      <c r="E4896" t="s">
        <v>63</v>
      </c>
      <c r="F4896" t="s">
        <v>72</v>
      </c>
      <c r="G4896" s="4">
        <v>3</v>
      </c>
      <c r="H4896" s="4" t="s">
        <v>17</v>
      </c>
      <c r="I4896" s="4" t="s">
        <v>69</v>
      </c>
      <c r="J4896" s="4" t="s">
        <v>66</v>
      </c>
      <c r="K4896" s="4">
        <v>0</v>
      </c>
      <c r="L4896" s="94">
        <v>-157973</v>
      </c>
      <c r="M4896" s="94">
        <v>0</v>
      </c>
    </row>
    <row r="4897" spans="3:13" x14ac:dyDescent="0.3">
      <c r="C4897" t="s">
        <v>61</v>
      </c>
      <c r="D4897" t="s">
        <v>67</v>
      </c>
      <c r="E4897" t="s">
        <v>68</v>
      </c>
      <c r="F4897" t="s">
        <v>26</v>
      </c>
      <c r="G4897" s="4">
        <v>8</v>
      </c>
      <c r="H4897" s="4" t="s">
        <v>14</v>
      </c>
      <c r="I4897" s="4" t="s">
        <v>69</v>
      </c>
      <c r="J4897" s="4" t="s">
        <v>66</v>
      </c>
      <c r="K4897" s="4">
        <v>0</v>
      </c>
      <c r="L4897" s="94">
        <v>9968162</v>
      </c>
      <c r="M4897" s="94">
        <v>79745296</v>
      </c>
    </row>
    <row r="4898" spans="3:13" x14ac:dyDescent="0.3">
      <c r="C4898" t="s">
        <v>61</v>
      </c>
      <c r="D4898" t="s">
        <v>67</v>
      </c>
      <c r="E4898" t="s">
        <v>68</v>
      </c>
      <c r="F4898" t="s">
        <v>26</v>
      </c>
      <c r="G4898" s="4">
        <v>6</v>
      </c>
      <c r="H4898" s="4" t="s">
        <v>64</v>
      </c>
      <c r="I4898" s="4" t="s">
        <v>69</v>
      </c>
      <c r="J4898" s="4" t="s">
        <v>66</v>
      </c>
      <c r="K4898" s="4">
        <v>0</v>
      </c>
      <c r="L4898" s="94">
        <v>4123540</v>
      </c>
      <c r="M4898" s="94">
        <v>24741240</v>
      </c>
    </row>
    <row r="4899" spans="3:13" x14ac:dyDescent="0.3">
      <c r="C4899" t="s">
        <v>71</v>
      </c>
      <c r="D4899" t="s">
        <v>62</v>
      </c>
      <c r="E4899" t="s">
        <v>63</v>
      </c>
      <c r="F4899" t="s">
        <v>24</v>
      </c>
      <c r="G4899" s="4">
        <v>25</v>
      </c>
      <c r="I4899" s="4" t="s">
        <v>69</v>
      </c>
      <c r="J4899" s="4" t="s">
        <v>66</v>
      </c>
      <c r="K4899" s="4">
        <v>0</v>
      </c>
      <c r="L4899" s="94">
        <v>-2867277</v>
      </c>
      <c r="M4899" s="94">
        <v>0</v>
      </c>
    </row>
    <row r="4900" spans="3:13" x14ac:dyDescent="0.3">
      <c r="C4900" t="s">
        <v>70</v>
      </c>
      <c r="D4900" t="s">
        <v>67</v>
      </c>
      <c r="E4900" t="s">
        <v>68</v>
      </c>
      <c r="F4900" t="s">
        <v>25</v>
      </c>
      <c r="G4900" s="4">
        <v>-4</v>
      </c>
      <c r="H4900" s="4" t="s">
        <v>83</v>
      </c>
      <c r="I4900" s="4" t="s">
        <v>69</v>
      </c>
      <c r="J4900" s="4" t="s">
        <v>66</v>
      </c>
      <c r="K4900" s="4">
        <v>0</v>
      </c>
      <c r="L4900" s="94">
        <v>128</v>
      </c>
      <c r="M4900" s="94">
        <v>0</v>
      </c>
    </row>
    <row r="4901" spans="3:13" x14ac:dyDescent="0.3">
      <c r="C4901" t="s">
        <v>61</v>
      </c>
      <c r="D4901" t="s">
        <v>67</v>
      </c>
      <c r="E4901" t="s">
        <v>63</v>
      </c>
      <c r="F4901" t="s">
        <v>25</v>
      </c>
      <c r="G4901" s="4">
        <v>15</v>
      </c>
      <c r="H4901" s="4" t="s">
        <v>64</v>
      </c>
      <c r="I4901" s="4" t="s">
        <v>69</v>
      </c>
      <c r="J4901" s="4" t="s">
        <v>66</v>
      </c>
      <c r="K4901" s="4">
        <v>0</v>
      </c>
      <c r="L4901" s="94">
        <v>-3160</v>
      </c>
      <c r="M4901" s="94">
        <v>0</v>
      </c>
    </row>
    <row r="4902" spans="3:13" x14ac:dyDescent="0.3">
      <c r="C4902" t="s">
        <v>61</v>
      </c>
      <c r="D4902" t="s">
        <v>67</v>
      </c>
      <c r="E4902" t="s">
        <v>68</v>
      </c>
      <c r="F4902" t="s">
        <v>25</v>
      </c>
      <c r="G4902" s="4">
        <v>8</v>
      </c>
      <c r="H4902" s="4" t="s">
        <v>76</v>
      </c>
      <c r="I4902" s="4" t="s">
        <v>69</v>
      </c>
      <c r="J4902" s="4" t="s">
        <v>66</v>
      </c>
      <c r="K4902" s="4">
        <v>0</v>
      </c>
      <c r="L4902" s="94">
        <v>52858183</v>
      </c>
      <c r="M4902" s="94">
        <v>422865464</v>
      </c>
    </row>
    <row r="4903" spans="3:13" x14ac:dyDescent="0.3">
      <c r="C4903" t="s">
        <v>61</v>
      </c>
      <c r="D4903" t="s">
        <v>67</v>
      </c>
      <c r="E4903" t="s">
        <v>68</v>
      </c>
      <c r="F4903" t="s">
        <v>25</v>
      </c>
      <c r="G4903" s="4">
        <v>-1</v>
      </c>
      <c r="H4903" s="4" t="s">
        <v>75</v>
      </c>
      <c r="I4903" s="4" t="s">
        <v>69</v>
      </c>
      <c r="J4903" s="4" t="s">
        <v>66</v>
      </c>
      <c r="K4903" s="4">
        <v>0</v>
      </c>
      <c r="L4903" s="94">
        <v>4217524</v>
      </c>
      <c r="M4903" s="94">
        <v>0</v>
      </c>
    </row>
    <row r="4904" spans="3:13" x14ac:dyDescent="0.3">
      <c r="C4904" t="s">
        <v>70</v>
      </c>
      <c r="D4904" t="s">
        <v>67</v>
      </c>
      <c r="E4904" t="s">
        <v>68</v>
      </c>
      <c r="F4904" t="s">
        <v>26</v>
      </c>
      <c r="G4904" s="4">
        <v>1</v>
      </c>
      <c r="H4904" s="4" t="s">
        <v>16</v>
      </c>
      <c r="I4904" s="4" t="s">
        <v>69</v>
      </c>
      <c r="J4904" s="4" t="s">
        <v>66</v>
      </c>
      <c r="K4904" s="4">
        <v>0</v>
      </c>
      <c r="L4904" s="94">
        <v>33572</v>
      </c>
      <c r="M4904" s="94">
        <v>33572</v>
      </c>
    </row>
    <row r="4905" spans="3:13" x14ac:dyDescent="0.3">
      <c r="C4905" t="s">
        <v>61</v>
      </c>
      <c r="D4905" t="s">
        <v>67</v>
      </c>
      <c r="E4905" t="s">
        <v>63</v>
      </c>
      <c r="F4905" t="s">
        <v>26</v>
      </c>
      <c r="G4905" s="4">
        <v>2</v>
      </c>
      <c r="H4905" s="4" t="s">
        <v>18</v>
      </c>
      <c r="I4905" s="4" t="s">
        <v>69</v>
      </c>
      <c r="J4905" s="4" t="s">
        <v>66</v>
      </c>
      <c r="K4905" s="4">
        <v>0</v>
      </c>
      <c r="L4905" s="94">
        <v>-309817</v>
      </c>
      <c r="M4905" s="94">
        <v>0</v>
      </c>
    </row>
    <row r="4906" spans="3:13" x14ac:dyDescent="0.3">
      <c r="C4906" t="s">
        <v>61</v>
      </c>
      <c r="D4906" t="s">
        <v>62</v>
      </c>
      <c r="E4906" t="s">
        <v>63</v>
      </c>
      <c r="F4906" t="s">
        <v>24</v>
      </c>
      <c r="G4906" s="4">
        <v>9</v>
      </c>
      <c r="I4906" s="4" t="s">
        <v>69</v>
      </c>
      <c r="J4906" s="4" t="s">
        <v>66</v>
      </c>
      <c r="K4906" s="4">
        <v>1</v>
      </c>
      <c r="L4906" s="94">
        <v>-745</v>
      </c>
      <c r="M4906" s="94">
        <v>0</v>
      </c>
    </row>
    <row r="4907" spans="3:13" x14ac:dyDescent="0.3">
      <c r="C4907" t="s">
        <v>70</v>
      </c>
      <c r="D4907" t="s">
        <v>67</v>
      </c>
      <c r="E4907" t="s">
        <v>63</v>
      </c>
      <c r="F4907" t="s">
        <v>25</v>
      </c>
      <c r="G4907" s="4">
        <v>12</v>
      </c>
      <c r="H4907" s="4" t="s">
        <v>14</v>
      </c>
      <c r="I4907" s="4" t="s">
        <v>69</v>
      </c>
      <c r="J4907" s="4" t="s">
        <v>66</v>
      </c>
      <c r="K4907" s="4">
        <v>0</v>
      </c>
      <c r="L4907" s="94">
        <v>-43814</v>
      </c>
      <c r="M4907" s="94">
        <v>0</v>
      </c>
    </row>
    <row r="4908" spans="3:13" x14ac:dyDescent="0.3">
      <c r="C4908" t="s">
        <v>70</v>
      </c>
      <c r="D4908" t="s">
        <v>67</v>
      </c>
      <c r="E4908" t="s">
        <v>68</v>
      </c>
      <c r="F4908" t="s">
        <v>72</v>
      </c>
      <c r="G4908" s="4">
        <v>-1</v>
      </c>
      <c r="H4908" s="4" t="s">
        <v>76</v>
      </c>
      <c r="I4908" s="4" t="s">
        <v>69</v>
      </c>
      <c r="J4908" s="4" t="s">
        <v>66</v>
      </c>
      <c r="K4908" s="4">
        <v>0</v>
      </c>
      <c r="L4908" s="94">
        <v>1114097</v>
      </c>
      <c r="M4908" s="94">
        <v>0</v>
      </c>
    </row>
    <row r="4909" spans="3:13" x14ac:dyDescent="0.3">
      <c r="C4909" t="s">
        <v>61</v>
      </c>
      <c r="D4909" t="s">
        <v>67</v>
      </c>
      <c r="E4909" t="s">
        <v>68</v>
      </c>
      <c r="F4909" t="s">
        <v>26</v>
      </c>
      <c r="G4909" s="4">
        <v>7</v>
      </c>
      <c r="H4909" s="4" t="s">
        <v>74</v>
      </c>
      <c r="I4909" s="4" t="s">
        <v>69</v>
      </c>
      <c r="J4909" s="4" t="s">
        <v>66</v>
      </c>
      <c r="K4909" s="4">
        <v>0</v>
      </c>
      <c r="L4909" s="94">
        <v>17009475</v>
      </c>
      <c r="M4909" s="94">
        <v>119066325</v>
      </c>
    </row>
    <row r="4910" spans="3:13" x14ac:dyDescent="0.3">
      <c r="C4910" t="s">
        <v>61</v>
      </c>
      <c r="D4910" t="s">
        <v>62</v>
      </c>
      <c r="E4910" t="s">
        <v>63</v>
      </c>
      <c r="F4910" t="s">
        <v>25</v>
      </c>
      <c r="G4910" s="4">
        <v>6</v>
      </c>
      <c r="I4910" s="4" t="s">
        <v>69</v>
      </c>
      <c r="J4910" s="4" t="s">
        <v>66</v>
      </c>
      <c r="K4910" s="4">
        <v>1</v>
      </c>
      <c r="L4910" s="94">
        <v>-750</v>
      </c>
      <c r="M4910" s="94">
        <v>0</v>
      </c>
    </row>
    <row r="4911" spans="3:13" x14ac:dyDescent="0.3">
      <c r="C4911" t="s">
        <v>71</v>
      </c>
      <c r="D4911" t="s">
        <v>67</v>
      </c>
      <c r="E4911" t="s">
        <v>68</v>
      </c>
      <c r="F4911" t="s">
        <v>72</v>
      </c>
      <c r="G4911" s="4">
        <v>-4</v>
      </c>
      <c r="H4911" s="4" t="s">
        <v>75</v>
      </c>
      <c r="I4911" s="4" t="s">
        <v>69</v>
      </c>
      <c r="J4911" s="4" t="s">
        <v>66</v>
      </c>
      <c r="K4911" s="4">
        <v>0</v>
      </c>
      <c r="L4911" s="94">
        <v>2154</v>
      </c>
      <c r="M4911" s="94">
        <v>0</v>
      </c>
    </row>
    <row r="4912" spans="3:13" x14ac:dyDescent="0.3">
      <c r="C4912" t="s">
        <v>71</v>
      </c>
      <c r="D4912" t="s">
        <v>67</v>
      </c>
      <c r="E4912" t="s">
        <v>63</v>
      </c>
      <c r="F4912" t="s">
        <v>72</v>
      </c>
      <c r="G4912" s="4">
        <v>0</v>
      </c>
      <c r="H4912" s="4" t="s">
        <v>12</v>
      </c>
      <c r="I4912" s="4" t="s">
        <v>65</v>
      </c>
      <c r="J4912" s="4" t="s">
        <v>73</v>
      </c>
      <c r="K4912" s="4">
        <v>1</v>
      </c>
      <c r="L4912" s="94">
        <v>-4373</v>
      </c>
      <c r="M4912" s="94">
        <v>0</v>
      </c>
    </row>
    <row r="4913" spans="3:13" x14ac:dyDescent="0.3">
      <c r="C4913" t="s">
        <v>70</v>
      </c>
      <c r="D4913" t="s">
        <v>67</v>
      </c>
      <c r="E4913" t="s">
        <v>68</v>
      </c>
      <c r="F4913" t="s">
        <v>72</v>
      </c>
      <c r="G4913" s="4">
        <v>3</v>
      </c>
      <c r="H4913" s="4" t="s">
        <v>17</v>
      </c>
      <c r="I4913" s="4" t="s">
        <v>69</v>
      </c>
      <c r="J4913" s="4" t="s">
        <v>73</v>
      </c>
      <c r="K4913" s="4">
        <v>1</v>
      </c>
      <c r="L4913" s="94">
        <v>93926</v>
      </c>
      <c r="M4913" s="94">
        <v>281778</v>
      </c>
    </row>
    <row r="4914" spans="3:13" x14ac:dyDescent="0.3">
      <c r="C4914" t="s">
        <v>61</v>
      </c>
      <c r="D4914" t="s">
        <v>67</v>
      </c>
      <c r="E4914" t="s">
        <v>68</v>
      </c>
      <c r="F4914" t="s">
        <v>25</v>
      </c>
      <c r="G4914" s="4">
        <v>6</v>
      </c>
      <c r="H4914" s="4" t="s">
        <v>89</v>
      </c>
      <c r="I4914" s="4" t="s">
        <v>69</v>
      </c>
      <c r="J4914" s="4" t="s">
        <v>66</v>
      </c>
      <c r="K4914" s="4">
        <v>0</v>
      </c>
      <c r="L4914" s="94">
        <v>92209</v>
      </c>
      <c r="M4914" s="94">
        <v>553254</v>
      </c>
    </row>
    <row r="4915" spans="3:13" x14ac:dyDescent="0.3">
      <c r="C4915" t="s">
        <v>61</v>
      </c>
      <c r="D4915" t="s">
        <v>67</v>
      </c>
      <c r="E4915" t="s">
        <v>68</v>
      </c>
      <c r="F4915" t="s">
        <v>72</v>
      </c>
      <c r="G4915" s="4">
        <v>4</v>
      </c>
      <c r="H4915" s="4" t="s">
        <v>14</v>
      </c>
      <c r="I4915" s="4" t="s">
        <v>69</v>
      </c>
      <c r="J4915" s="4" t="s">
        <v>73</v>
      </c>
      <c r="K4915" s="4">
        <v>1</v>
      </c>
      <c r="L4915" s="94">
        <v>7429889</v>
      </c>
      <c r="M4915" s="94">
        <v>29719556</v>
      </c>
    </row>
    <row r="4916" spans="3:13" x14ac:dyDescent="0.3">
      <c r="C4916" t="s">
        <v>71</v>
      </c>
      <c r="D4916" t="s">
        <v>62</v>
      </c>
      <c r="E4916" t="s">
        <v>63</v>
      </c>
      <c r="F4916" t="s">
        <v>24</v>
      </c>
      <c r="G4916" s="4">
        <v>27</v>
      </c>
      <c r="I4916" s="4" t="s">
        <v>69</v>
      </c>
      <c r="J4916" s="4" t="s">
        <v>66</v>
      </c>
      <c r="K4916" s="4">
        <v>0</v>
      </c>
      <c r="L4916" s="94">
        <v>-1968806</v>
      </c>
      <c r="M4916" s="94">
        <v>0</v>
      </c>
    </row>
    <row r="4917" spans="3:13" x14ac:dyDescent="0.3">
      <c r="C4917" t="s">
        <v>61</v>
      </c>
      <c r="D4917" t="s">
        <v>67</v>
      </c>
      <c r="E4917" t="s">
        <v>68</v>
      </c>
      <c r="F4917" t="s">
        <v>72</v>
      </c>
      <c r="G4917" s="4">
        <v>5</v>
      </c>
      <c r="H4917" s="4" t="s">
        <v>77</v>
      </c>
      <c r="I4917" s="4" t="s">
        <v>69</v>
      </c>
      <c r="J4917" s="4" t="s">
        <v>66</v>
      </c>
      <c r="K4917" s="4">
        <v>0</v>
      </c>
      <c r="L4917" s="94">
        <v>332674</v>
      </c>
      <c r="M4917" s="94">
        <v>1663370</v>
      </c>
    </row>
    <row r="4918" spans="3:13" x14ac:dyDescent="0.3">
      <c r="C4918" t="s">
        <v>61</v>
      </c>
      <c r="D4918" t="s">
        <v>67</v>
      </c>
      <c r="E4918" t="s">
        <v>63</v>
      </c>
      <c r="F4918" t="s">
        <v>26</v>
      </c>
      <c r="G4918" s="4">
        <v>4</v>
      </c>
      <c r="H4918" s="4" t="s">
        <v>82</v>
      </c>
      <c r="I4918" s="4" t="s">
        <v>69</v>
      </c>
      <c r="J4918" s="4" t="s">
        <v>66</v>
      </c>
      <c r="K4918" s="4">
        <v>0</v>
      </c>
      <c r="L4918" s="94">
        <v>-37596</v>
      </c>
      <c r="M4918" s="94">
        <v>0</v>
      </c>
    </row>
    <row r="4919" spans="3:13" x14ac:dyDescent="0.3">
      <c r="C4919" t="s">
        <v>61</v>
      </c>
      <c r="D4919" t="s">
        <v>67</v>
      </c>
      <c r="E4919" t="s">
        <v>63</v>
      </c>
      <c r="F4919" t="s">
        <v>25</v>
      </c>
      <c r="G4919" s="4">
        <v>6</v>
      </c>
      <c r="H4919" s="4" t="s">
        <v>17</v>
      </c>
      <c r="I4919" s="4" t="s">
        <v>69</v>
      </c>
      <c r="J4919" s="4" t="s">
        <v>66</v>
      </c>
      <c r="K4919" s="4">
        <v>0</v>
      </c>
      <c r="L4919" s="94">
        <v>-4791</v>
      </c>
      <c r="M4919" s="94">
        <v>0</v>
      </c>
    </row>
    <row r="4920" spans="3:13" x14ac:dyDescent="0.3">
      <c r="C4920" t="s">
        <v>71</v>
      </c>
      <c r="D4920" t="s">
        <v>62</v>
      </c>
      <c r="E4920" t="s">
        <v>63</v>
      </c>
      <c r="F4920" t="s">
        <v>25</v>
      </c>
      <c r="G4920" s="4">
        <v>18</v>
      </c>
      <c r="I4920" s="4" t="s">
        <v>69</v>
      </c>
      <c r="J4920" s="4" t="s">
        <v>66</v>
      </c>
      <c r="K4920" s="4">
        <v>0</v>
      </c>
      <c r="L4920" s="94">
        <v>-14377</v>
      </c>
      <c r="M4920" s="94">
        <v>0</v>
      </c>
    </row>
    <row r="4921" spans="3:13" x14ac:dyDescent="0.3">
      <c r="C4921" t="s">
        <v>61</v>
      </c>
      <c r="D4921" t="s">
        <v>67</v>
      </c>
      <c r="E4921" t="s">
        <v>68</v>
      </c>
      <c r="F4921" t="s">
        <v>25</v>
      </c>
      <c r="G4921" s="4">
        <v>10</v>
      </c>
      <c r="H4921" s="4" t="s">
        <v>76</v>
      </c>
      <c r="I4921" s="4" t="s">
        <v>69</v>
      </c>
      <c r="J4921" s="4" t="s">
        <v>66</v>
      </c>
      <c r="K4921" s="4">
        <v>0</v>
      </c>
      <c r="L4921" s="94">
        <v>25910729</v>
      </c>
      <c r="M4921" s="94">
        <v>259107290</v>
      </c>
    </row>
    <row r="4922" spans="3:13" x14ac:dyDescent="0.3">
      <c r="C4922" t="s">
        <v>71</v>
      </c>
      <c r="D4922" t="s">
        <v>67</v>
      </c>
      <c r="E4922" t="s">
        <v>68</v>
      </c>
      <c r="F4922" t="s">
        <v>26</v>
      </c>
      <c r="G4922" s="4">
        <v>3</v>
      </c>
      <c r="H4922" s="4" t="s">
        <v>12</v>
      </c>
      <c r="I4922" s="4" t="s">
        <v>69</v>
      </c>
      <c r="J4922" s="4" t="s">
        <v>66</v>
      </c>
      <c r="K4922" s="4">
        <v>0</v>
      </c>
      <c r="L4922" s="94">
        <v>71720</v>
      </c>
      <c r="M4922" s="94">
        <v>215160</v>
      </c>
    </row>
    <row r="4923" spans="3:13" x14ac:dyDescent="0.3">
      <c r="C4923" t="s">
        <v>71</v>
      </c>
      <c r="D4923" t="s">
        <v>62</v>
      </c>
      <c r="E4923" t="s">
        <v>63</v>
      </c>
      <c r="F4923" t="s">
        <v>24</v>
      </c>
      <c r="G4923" s="4">
        <v>23</v>
      </c>
      <c r="I4923" s="4" t="s">
        <v>69</v>
      </c>
      <c r="J4923" s="4" t="s">
        <v>73</v>
      </c>
      <c r="K4923" s="4">
        <v>1</v>
      </c>
      <c r="L4923" s="94">
        <v>-2570</v>
      </c>
      <c r="M4923" s="94">
        <v>0</v>
      </c>
    </row>
    <row r="4924" spans="3:13" x14ac:dyDescent="0.3">
      <c r="C4924" t="s">
        <v>61</v>
      </c>
      <c r="D4924" t="s">
        <v>67</v>
      </c>
      <c r="E4924" t="s">
        <v>63</v>
      </c>
      <c r="F4924" t="s">
        <v>26</v>
      </c>
      <c r="G4924" s="4">
        <v>9</v>
      </c>
      <c r="H4924" s="4" t="s">
        <v>74</v>
      </c>
      <c r="I4924" s="4" t="s">
        <v>69</v>
      </c>
      <c r="J4924" s="4" t="s">
        <v>66</v>
      </c>
      <c r="K4924" s="4">
        <v>0</v>
      </c>
      <c r="L4924" s="94">
        <v>-1622</v>
      </c>
      <c r="M4924" s="94">
        <v>0</v>
      </c>
    </row>
    <row r="4925" spans="3:13" x14ac:dyDescent="0.3">
      <c r="C4925" t="s">
        <v>61</v>
      </c>
      <c r="D4925" t="s">
        <v>67</v>
      </c>
      <c r="E4925" t="s">
        <v>63</v>
      </c>
      <c r="F4925" t="s">
        <v>26</v>
      </c>
      <c r="G4925" s="4">
        <v>6</v>
      </c>
      <c r="H4925" s="4" t="s">
        <v>18</v>
      </c>
      <c r="I4925" s="4" t="s">
        <v>69</v>
      </c>
      <c r="J4925" s="4" t="s">
        <v>73</v>
      </c>
      <c r="K4925" s="4">
        <v>1</v>
      </c>
      <c r="L4925" s="94">
        <v>-3864</v>
      </c>
      <c r="M4925" s="94">
        <v>0</v>
      </c>
    </row>
    <row r="4926" spans="3:13" x14ac:dyDescent="0.3">
      <c r="C4926" t="s">
        <v>71</v>
      </c>
      <c r="D4926" t="s">
        <v>67</v>
      </c>
      <c r="E4926" t="s">
        <v>68</v>
      </c>
      <c r="F4926" t="s">
        <v>25</v>
      </c>
      <c r="G4926" s="4">
        <v>6</v>
      </c>
      <c r="H4926" s="4" t="s">
        <v>75</v>
      </c>
      <c r="I4926" s="4" t="s">
        <v>69</v>
      </c>
      <c r="J4926" s="4" t="s">
        <v>66</v>
      </c>
      <c r="K4926" s="4">
        <v>0</v>
      </c>
      <c r="L4926" s="94">
        <v>171477</v>
      </c>
      <c r="M4926" s="94">
        <v>1028862</v>
      </c>
    </row>
    <row r="4927" spans="3:13" x14ac:dyDescent="0.3">
      <c r="C4927" t="s">
        <v>61</v>
      </c>
      <c r="D4927" t="s">
        <v>67</v>
      </c>
      <c r="E4927" t="s">
        <v>68</v>
      </c>
      <c r="F4927" t="s">
        <v>25</v>
      </c>
      <c r="G4927" s="4">
        <v>3</v>
      </c>
      <c r="H4927" s="4" t="s">
        <v>64</v>
      </c>
      <c r="I4927" s="4" t="s">
        <v>69</v>
      </c>
      <c r="J4927" s="4" t="s">
        <v>66</v>
      </c>
      <c r="K4927" s="4">
        <v>0</v>
      </c>
      <c r="L4927" s="94">
        <v>141003</v>
      </c>
      <c r="M4927" s="94">
        <v>423009</v>
      </c>
    </row>
    <row r="4928" spans="3:13" x14ac:dyDescent="0.3">
      <c r="C4928" t="s">
        <v>70</v>
      </c>
      <c r="D4928" t="s">
        <v>62</v>
      </c>
      <c r="E4928" t="s">
        <v>63</v>
      </c>
      <c r="F4928" t="s">
        <v>24</v>
      </c>
      <c r="G4928" s="4">
        <v>36</v>
      </c>
      <c r="I4928" s="4" t="s">
        <v>65</v>
      </c>
      <c r="J4928" s="4" t="s">
        <v>66</v>
      </c>
      <c r="K4928" s="4">
        <v>1</v>
      </c>
      <c r="L4928" s="94">
        <v>-77332</v>
      </c>
      <c r="M4928" s="94">
        <v>0</v>
      </c>
    </row>
    <row r="4929" spans="3:13" x14ac:dyDescent="0.3">
      <c r="C4929" t="s">
        <v>61</v>
      </c>
      <c r="D4929" t="s">
        <v>67</v>
      </c>
      <c r="E4929" t="s">
        <v>68</v>
      </c>
      <c r="F4929" t="s">
        <v>26</v>
      </c>
      <c r="G4929" s="4">
        <v>7</v>
      </c>
      <c r="H4929" s="4" t="s">
        <v>80</v>
      </c>
      <c r="I4929" s="4" t="s">
        <v>69</v>
      </c>
      <c r="J4929" s="4" t="s">
        <v>66</v>
      </c>
      <c r="K4929" s="4">
        <v>0</v>
      </c>
      <c r="L4929" s="94">
        <v>600623</v>
      </c>
      <c r="M4929" s="94">
        <v>4204361</v>
      </c>
    </row>
    <row r="4930" spans="3:13" x14ac:dyDescent="0.3">
      <c r="C4930" t="s">
        <v>71</v>
      </c>
      <c r="D4930" t="s">
        <v>67</v>
      </c>
      <c r="E4930" t="s">
        <v>63</v>
      </c>
      <c r="F4930" t="s">
        <v>72</v>
      </c>
      <c r="G4930" s="4">
        <v>-4</v>
      </c>
      <c r="H4930" s="4" t="s">
        <v>64</v>
      </c>
      <c r="I4930" s="4" t="s">
        <v>69</v>
      </c>
      <c r="J4930" s="4" t="s">
        <v>66</v>
      </c>
      <c r="K4930" s="4">
        <v>0</v>
      </c>
      <c r="L4930" s="94">
        <v>-673440</v>
      </c>
      <c r="M4930" s="94">
        <v>0</v>
      </c>
    </row>
    <row r="4931" spans="3:13" x14ac:dyDescent="0.3">
      <c r="C4931" t="s">
        <v>61</v>
      </c>
      <c r="D4931" t="s">
        <v>67</v>
      </c>
      <c r="E4931" t="s">
        <v>68</v>
      </c>
      <c r="F4931" t="s">
        <v>72</v>
      </c>
      <c r="G4931" s="4">
        <v>3</v>
      </c>
      <c r="H4931" s="4" t="s">
        <v>79</v>
      </c>
      <c r="I4931" s="4" t="s">
        <v>69</v>
      </c>
      <c r="J4931" s="4" t="s">
        <v>66</v>
      </c>
      <c r="K4931" s="4">
        <v>0</v>
      </c>
      <c r="L4931" s="94">
        <v>6146118</v>
      </c>
      <c r="M4931" s="94">
        <v>18438354</v>
      </c>
    </row>
    <row r="4932" spans="3:13" x14ac:dyDescent="0.3">
      <c r="C4932" t="s">
        <v>70</v>
      </c>
      <c r="D4932" t="s">
        <v>62</v>
      </c>
      <c r="E4932" t="s">
        <v>63</v>
      </c>
      <c r="F4932" t="s">
        <v>25</v>
      </c>
      <c r="G4932" s="4">
        <v>26</v>
      </c>
      <c r="I4932" s="4" t="s">
        <v>69</v>
      </c>
      <c r="J4932" s="4" t="s">
        <v>66</v>
      </c>
      <c r="K4932" s="4">
        <v>0</v>
      </c>
      <c r="L4932" s="94">
        <v>-12704</v>
      </c>
      <c r="M4932" s="94">
        <v>0</v>
      </c>
    </row>
    <row r="4933" spans="3:13" x14ac:dyDescent="0.3">
      <c r="C4933" t="s">
        <v>61</v>
      </c>
      <c r="D4933" t="s">
        <v>67</v>
      </c>
      <c r="E4933" t="s">
        <v>63</v>
      </c>
      <c r="F4933" t="s">
        <v>25</v>
      </c>
      <c r="G4933" s="4">
        <v>11</v>
      </c>
      <c r="H4933" s="4" t="s">
        <v>14</v>
      </c>
      <c r="I4933" s="4" t="s">
        <v>69</v>
      </c>
      <c r="J4933" s="4" t="s">
        <v>66</v>
      </c>
      <c r="K4933" s="4">
        <v>0</v>
      </c>
      <c r="L4933" s="94">
        <v>-13541</v>
      </c>
      <c r="M4933" s="94">
        <v>0</v>
      </c>
    </row>
    <row r="4934" spans="3:13" x14ac:dyDescent="0.3">
      <c r="C4934" t="s">
        <v>61</v>
      </c>
      <c r="D4934" t="s">
        <v>67</v>
      </c>
      <c r="E4934" t="s">
        <v>63</v>
      </c>
      <c r="F4934" t="s">
        <v>25</v>
      </c>
      <c r="G4934" s="4">
        <v>20</v>
      </c>
      <c r="H4934" s="4" t="s">
        <v>18</v>
      </c>
      <c r="I4934" s="4" t="s">
        <v>69</v>
      </c>
      <c r="J4934" s="4" t="s">
        <v>66</v>
      </c>
      <c r="K4934" s="4">
        <v>0</v>
      </c>
      <c r="L4934" s="94">
        <v>-132</v>
      </c>
      <c r="M4934" s="94">
        <v>0</v>
      </c>
    </row>
    <row r="4935" spans="3:13" x14ac:dyDescent="0.3">
      <c r="C4935" t="s">
        <v>70</v>
      </c>
      <c r="D4935" t="s">
        <v>62</v>
      </c>
      <c r="E4935" t="s">
        <v>63</v>
      </c>
      <c r="F4935" t="s">
        <v>24</v>
      </c>
      <c r="G4935" s="4">
        <v>27</v>
      </c>
      <c r="I4935" s="4" t="s">
        <v>69</v>
      </c>
      <c r="J4935" s="4" t="s">
        <v>66</v>
      </c>
      <c r="K4935" s="4">
        <v>0</v>
      </c>
      <c r="L4935" s="94">
        <v>-1404738</v>
      </c>
      <c r="M4935" s="94">
        <v>0</v>
      </c>
    </row>
    <row r="4936" spans="3:13" x14ac:dyDescent="0.3">
      <c r="C4936" t="s">
        <v>61</v>
      </c>
      <c r="D4936" t="s">
        <v>67</v>
      </c>
      <c r="E4936" t="s">
        <v>63</v>
      </c>
      <c r="F4936" t="s">
        <v>26</v>
      </c>
      <c r="G4936" s="4">
        <v>7</v>
      </c>
      <c r="H4936" s="4" t="s">
        <v>64</v>
      </c>
      <c r="I4936" s="4" t="s">
        <v>69</v>
      </c>
      <c r="J4936" s="4" t="s">
        <v>66</v>
      </c>
      <c r="K4936" s="4">
        <v>0</v>
      </c>
      <c r="L4936" s="94">
        <v>-1341</v>
      </c>
      <c r="M4936" s="94">
        <v>0</v>
      </c>
    </row>
    <row r="4937" spans="3:13" x14ac:dyDescent="0.3">
      <c r="C4937" t="s">
        <v>71</v>
      </c>
      <c r="D4937" t="s">
        <v>67</v>
      </c>
      <c r="E4937" t="s">
        <v>68</v>
      </c>
      <c r="F4937" t="s">
        <v>26</v>
      </c>
      <c r="G4937" s="4">
        <v>4</v>
      </c>
      <c r="H4937" s="4" t="s">
        <v>75</v>
      </c>
      <c r="I4937" s="4" t="s">
        <v>69</v>
      </c>
      <c r="J4937" s="4" t="s">
        <v>66</v>
      </c>
      <c r="K4937" s="4">
        <v>0</v>
      </c>
      <c r="L4937" s="94">
        <v>871580</v>
      </c>
      <c r="M4937" s="94">
        <v>3486320</v>
      </c>
    </row>
    <row r="4938" spans="3:13" x14ac:dyDescent="0.3">
      <c r="C4938" t="s">
        <v>61</v>
      </c>
      <c r="D4938" t="s">
        <v>62</v>
      </c>
      <c r="E4938" t="s">
        <v>68</v>
      </c>
      <c r="F4938" t="s">
        <v>25</v>
      </c>
      <c r="G4938" s="4">
        <v>37</v>
      </c>
      <c r="I4938" s="4" t="s">
        <v>69</v>
      </c>
      <c r="J4938" s="4" t="s">
        <v>66</v>
      </c>
      <c r="K4938" s="4">
        <v>0</v>
      </c>
      <c r="L4938" s="94">
        <v>123184</v>
      </c>
      <c r="M4938" s="94">
        <v>4557808</v>
      </c>
    </row>
    <row r="4939" spans="3:13" x14ac:dyDescent="0.3">
      <c r="C4939" t="s">
        <v>61</v>
      </c>
      <c r="D4939" t="s">
        <v>67</v>
      </c>
      <c r="E4939" t="s">
        <v>63</v>
      </c>
      <c r="F4939" t="s">
        <v>25</v>
      </c>
      <c r="G4939" s="4">
        <v>5</v>
      </c>
      <c r="H4939" s="4" t="s">
        <v>75</v>
      </c>
      <c r="I4939" s="4" t="s">
        <v>69</v>
      </c>
      <c r="J4939" s="4" t="s">
        <v>66</v>
      </c>
      <c r="K4939" s="4">
        <v>1</v>
      </c>
      <c r="L4939" s="94">
        <v>-833</v>
      </c>
      <c r="M4939" s="94">
        <v>0</v>
      </c>
    </row>
    <row r="4940" spans="3:13" x14ac:dyDescent="0.3">
      <c r="C4940" t="s">
        <v>71</v>
      </c>
      <c r="D4940" t="s">
        <v>67</v>
      </c>
      <c r="E4940" t="s">
        <v>68</v>
      </c>
      <c r="F4940" t="s">
        <v>25</v>
      </c>
      <c r="G4940" s="4">
        <v>19</v>
      </c>
      <c r="H4940" s="4" t="s">
        <v>83</v>
      </c>
      <c r="I4940" s="4" t="s">
        <v>69</v>
      </c>
      <c r="J4940" s="4" t="s">
        <v>66</v>
      </c>
      <c r="K4940" s="4">
        <v>0</v>
      </c>
      <c r="L4940" s="94">
        <v>2898824</v>
      </c>
      <c r="M4940" s="94">
        <v>55077656</v>
      </c>
    </row>
    <row r="4941" spans="3:13" x14ac:dyDescent="0.3">
      <c r="C4941" t="s">
        <v>71</v>
      </c>
      <c r="D4941" t="s">
        <v>62</v>
      </c>
      <c r="E4941" t="s">
        <v>63</v>
      </c>
      <c r="F4941" t="s">
        <v>24</v>
      </c>
      <c r="G4941" s="4">
        <v>12</v>
      </c>
      <c r="I4941" s="4" t="s">
        <v>69</v>
      </c>
      <c r="J4941" s="4" t="s">
        <v>66</v>
      </c>
      <c r="K4941" s="4">
        <v>1</v>
      </c>
      <c r="L4941" s="94">
        <v>-10767</v>
      </c>
      <c r="M4941" s="94">
        <v>0</v>
      </c>
    </row>
    <row r="4942" spans="3:13" x14ac:dyDescent="0.3">
      <c r="C4942" t="s">
        <v>70</v>
      </c>
      <c r="D4942" t="s">
        <v>67</v>
      </c>
      <c r="E4942" t="s">
        <v>63</v>
      </c>
      <c r="F4942" t="s">
        <v>25</v>
      </c>
      <c r="G4942" s="4">
        <v>8</v>
      </c>
      <c r="H4942" s="4" t="s">
        <v>64</v>
      </c>
      <c r="I4942" s="4" t="s">
        <v>69</v>
      </c>
      <c r="J4942" s="4" t="s">
        <v>66</v>
      </c>
      <c r="K4942" s="4">
        <v>0</v>
      </c>
      <c r="L4942" s="94">
        <v>-18774</v>
      </c>
      <c r="M4942" s="94">
        <v>0</v>
      </c>
    </row>
    <row r="4943" spans="3:13" x14ac:dyDescent="0.3">
      <c r="C4943" t="s">
        <v>61</v>
      </c>
      <c r="D4943" t="s">
        <v>67</v>
      </c>
      <c r="E4943" t="s">
        <v>68</v>
      </c>
      <c r="F4943" t="s">
        <v>26</v>
      </c>
      <c r="G4943" s="4">
        <v>6</v>
      </c>
      <c r="H4943" s="4" t="s">
        <v>78</v>
      </c>
      <c r="I4943" s="4" t="s">
        <v>69</v>
      </c>
      <c r="J4943" s="4" t="s">
        <v>66</v>
      </c>
      <c r="K4943" s="4">
        <v>0</v>
      </c>
      <c r="L4943" s="94">
        <v>1130029</v>
      </c>
      <c r="M4943" s="94">
        <v>6780174</v>
      </c>
    </row>
    <row r="4944" spans="3:13" x14ac:dyDescent="0.3">
      <c r="C4944" t="s">
        <v>71</v>
      </c>
      <c r="D4944" t="s">
        <v>67</v>
      </c>
      <c r="E4944" t="s">
        <v>68</v>
      </c>
      <c r="F4944" t="s">
        <v>26</v>
      </c>
      <c r="G4944" s="4">
        <v>-1</v>
      </c>
      <c r="H4944" s="4" t="s">
        <v>14</v>
      </c>
      <c r="I4944" s="4" t="s">
        <v>69</v>
      </c>
      <c r="J4944" s="4" t="s">
        <v>66</v>
      </c>
      <c r="K4944" s="4">
        <v>0</v>
      </c>
      <c r="L4944" s="94">
        <v>2183263</v>
      </c>
      <c r="M4944" s="94">
        <v>0</v>
      </c>
    </row>
    <row r="4945" spans="3:13" x14ac:dyDescent="0.3">
      <c r="C4945" t="s">
        <v>70</v>
      </c>
      <c r="D4945" t="s">
        <v>67</v>
      </c>
      <c r="E4945" t="s">
        <v>68</v>
      </c>
      <c r="F4945" t="s">
        <v>26</v>
      </c>
      <c r="G4945" s="4">
        <v>3</v>
      </c>
      <c r="H4945" s="4" t="s">
        <v>17</v>
      </c>
      <c r="I4945" s="4" t="s">
        <v>69</v>
      </c>
      <c r="J4945" s="4" t="s">
        <v>73</v>
      </c>
      <c r="K4945" s="4">
        <v>1</v>
      </c>
      <c r="L4945" s="94">
        <v>1324594</v>
      </c>
      <c r="M4945" s="94">
        <v>3973782</v>
      </c>
    </row>
    <row r="4946" spans="3:13" x14ac:dyDescent="0.3">
      <c r="C4946" t="s">
        <v>61</v>
      </c>
      <c r="D4946" t="s">
        <v>67</v>
      </c>
      <c r="E4946" t="s">
        <v>68</v>
      </c>
      <c r="F4946" t="s">
        <v>25</v>
      </c>
      <c r="G4946" s="4">
        <v>-1</v>
      </c>
      <c r="H4946" s="4" t="s">
        <v>83</v>
      </c>
      <c r="I4946" s="4" t="s">
        <v>69</v>
      </c>
      <c r="J4946" s="4" t="s">
        <v>66</v>
      </c>
      <c r="K4946" s="4">
        <v>0</v>
      </c>
      <c r="L4946" s="94">
        <v>856853</v>
      </c>
      <c r="M4946" s="94">
        <v>0</v>
      </c>
    </row>
    <row r="4947" spans="3:13" x14ac:dyDescent="0.3">
      <c r="C4947" t="s">
        <v>61</v>
      </c>
      <c r="D4947" t="s">
        <v>67</v>
      </c>
      <c r="E4947" t="s">
        <v>63</v>
      </c>
      <c r="F4947" t="s">
        <v>26</v>
      </c>
      <c r="G4947" s="4">
        <v>-1</v>
      </c>
      <c r="H4947" s="4" t="s">
        <v>12</v>
      </c>
      <c r="I4947" s="4" t="s">
        <v>69</v>
      </c>
      <c r="J4947" s="4" t="s">
        <v>66</v>
      </c>
      <c r="K4947" s="4">
        <v>0</v>
      </c>
      <c r="L4947" s="94">
        <v>-70395</v>
      </c>
      <c r="M4947" s="94">
        <v>0</v>
      </c>
    </row>
    <row r="4948" spans="3:13" x14ac:dyDescent="0.3">
      <c r="C4948" t="s">
        <v>61</v>
      </c>
      <c r="D4948" t="s">
        <v>62</v>
      </c>
      <c r="E4948" t="s">
        <v>68</v>
      </c>
      <c r="F4948" t="s">
        <v>25</v>
      </c>
      <c r="G4948" s="4">
        <v>8</v>
      </c>
      <c r="I4948" s="4" t="s">
        <v>69</v>
      </c>
      <c r="J4948" s="4" t="s">
        <v>66</v>
      </c>
      <c r="K4948" s="4">
        <v>0</v>
      </c>
      <c r="L4948" s="94">
        <v>8062837</v>
      </c>
      <c r="M4948" s="94">
        <v>64502696</v>
      </c>
    </row>
    <row r="4949" spans="3:13" x14ac:dyDescent="0.3">
      <c r="C4949" t="s">
        <v>61</v>
      </c>
      <c r="D4949" t="s">
        <v>67</v>
      </c>
      <c r="E4949" t="s">
        <v>63</v>
      </c>
      <c r="F4949" t="s">
        <v>26</v>
      </c>
      <c r="G4949" s="4">
        <v>1</v>
      </c>
      <c r="H4949" s="4" t="s">
        <v>16</v>
      </c>
      <c r="I4949" s="4" t="s">
        <v>69</v>
      </c>
      <c r="J4949" s="4" t="s">
        <v>66</v>
      </c>
      <c r="K4949" s="4">
        <v>0</v>
      </c>
      <c r="L4949" s="94">
        <v>-10448</v>
      </c>
      <c r="M4949" s="94">
        <v>0</v>
      </c>
    </row>
    <row r="4950" spans="3:13" x14ac:dyDescent="0.3">
      <c r="C4950" t="s">
        <v>61</v>
      </c>
      <c r="D4950" t="s">
        <v>67</v>
      </c>
      <c r="E4950" t="s">
        <v>68</v>
      </c>
      <c r="F4950" t="s">
        <v>26</v>
      </c>
      <c r="G4950" s="4">
        <v>2</v>
      </c>
      <c r="H4950" s="4" t="s">
        <v>80</v>
      </c>
      <c r="I4950" s="4" t="s">
        <v>69</v>
      </c>
      <c r="J4950" s="4" t="s">
        <v>66</v>
      </c>
      <c r="K4950" s="4">
        <v>0</v>
      </c>
      <c r="L4950" s="94">
        <v>3637635</v>
      </c>
      <c r="M4950" s="94">
        <v>7275270</v>
      </c>
    </row>
    <row r="4951" spans="3:13" x14ac:dyDescent="0.3">
      <c r="C4951" t="s">
        <v>61</v>
      </c>
      <c r="D4951" t="s">
        <v>62</v>
      </c>
      <c r="E4951" t="s">
        <v>63</v>
      </c>
      <c r="F4951" t="s">
        <v>25</v>
      </c>
      <c r="G4951" s="4">
        <v>27</v>
      </c>
      <c r="I4951" s="4" t="s">
        <v>69</v>
      </c>
      <c r="J4951" s="4" t="s">
        <v>66</v>
      </c>
      <c r="K4951" s="4">
        <v>0</v>
      </c>
      <c r="L4951" s="94">
        <v>-736</v>
      </c>
      <c r="M4951" s="94">
        <v>0</v>
      </c>
    </row>
    <row r="4952" spans="3:13" x14ac:dyDescent="0.3">
      <c r="C4952" t="s">
        <v>70</v>
      </c>
      <c r="D4952" t="s">
        <v>67</v>
      </c>
      <c r="E4952" t="s">
        <v>63</v>
      </c>
      <c r="F4952" t="s">
        <v>26</v>
      </c>
      <c r="G4952" s="4">
        <v>3</v>
      </c>
      <c r="H4952" s="4" t="s">
        <v>75</v>
      </c>
      <c r="I4952" s="4" t="s">
        <v>69</v>
      </c>
      <c r="J4952" s="4" t="s">
        <v>66</v>
      </c>
      <c r="K4952" s="4">
        <v>0</v>
      </c>
      <c r="L4952" s="94">
        <v>-273134</v>
      </c>
      <c r="M4952" s="94">
        <v>0</v>
      </c>
    </row>
    <row r="4953" spans="3:13" x14ac:dyDescent="0.3">
      <c r="C4953" t="s">
        <v>70</v>
      </c>
      <c r="D4953" t="s">
        <v>67</v>
      </c>
      <c r="E4953" t="s">
        <v>68</v>
      </c>
      <c r="F4953" t="s">
        <v>25</v>
      </c>
      <c r="G4953" s="4">
        <v>11</v>
      </c>
      <c r="H4953" s="4" t="s">
        <v>77</v>
      </c>
      <c r="I4953" s="4" t="s">
        <v>69</v>
      </c>
      <c r="J4953" s="4" t="s">
        <v>66</v>
      </c>
      <c r="K4953" s="4">
        <v>0</v>
      </c>
      <c r="L4953" s="94">
        <v>540503</v>
      </c>
      <c r="M4953" s="94">
        <v>5945533</v>
      </c>
    </row>
    <row r="4954" spans="3:13" x14ac:dyDescent="0.3">
      <c r="C4954" t="s">
        <v>61</v>
      </c>
      <c r="D4954" t="s">
        <v>67</v>
      </c>
      <c r="E4954" t="s">
        <v>68</v>
      </c>
      <c r="F4954" t="s">
        <v>26</v>
      </c>
      <c r="G4954" s="4">
        <v>0</v>
      </c>
      <c r="H4954" s="4" t="s">
        <v>64</v>
      </c>
      <c r="I4954" s="4" t="s">
        <v>69</v>
      </c>
      <c r="J4954" s="4" t="s">
        <v>66</v>
      </c>
      <c r="K4954" s="4">
        <v>0</v>
      </c>
      <c r="L4954" s="94">
        <v>37723352</v>
      </c>
      <c r="M4954" s="94">
        <v>0</v>
      </c>
    </row>
    <row r="4955" spans="3:13" x14ac:dyDescent="0.3">
      <c r="C4955" t="s">
        <v>70</v>
      </c>
      <c r="D4955" t="s">
        <v>67</v>
      </c>
      <c r="E4955" t="s">
        <v>68</v>
      </c>
      <c r="F4955" t="s">
        <v>25</v>
      </c>
      <c r="G4955" s="4">
        <v>10</v>
      </c>
      <c r="H4955" s="4" t="s">
        <v>14</v>
      </c>
      <c r="I4955" s="4" t="s">
        <v>69</v>
      </c>
      <c r="J4955" s="4" t="s">
        <v>66</v>
      </c>
      <c r="K4955" s="4">
        <v>1</v>
      </c>
      <c r="L4955" s="94">
        <v>543804</v>
      </c>
      <c r="M4955" s="94">
        <v>5438040</v>
      </c>
    </row>
    <row r="4956" spans="3:13" x14ac:dyDescent="0.3">
      <c r="C4956" t="s">
        <v>61</v>
      </c>
      <c r="D4956" t="s">
        <v>67</v>
      </c>
      <c r="E4956" t="s">
        <v>63</v>
      </c>
      <c r="F4956" t="s">
        <v>26</v>
      </c>
      <c r="G4956" s="4">
        <v>5</v>
      </c>
      <c r="H4956" s="4" t="s">
        <v>82</v>
      </c>
      <c r="I4956" s="4" t="s">
        <v>65</v>
      </c>
      <c r="J4956" s="4" t="s">
        <v>66</v>
      </c>
      <c r="K4956" s="4">
        <v>1</v>
      </c>
      <c r="L4956" s="94">
        <v>-5421</v>
      </c>
      <c r="M4956" s="94">
        <v>0</v>
      </c>
    </row>
    <row r="4957" spans="3:13" x14ac:dyDescent="0.3">
      <c r="C4957" t="s">
        <v>61</v>
      </c>
      <c r="D4957" t="s">
        <v>67</v>
      </c>
      <c r="E4957" t="s">
        <v>63</v>
      </c>
      <c r="F4957" t="s">
        <v>25</v>
      </c>
      <c r="G4957" s="4">
        <v>13</v>
      </c>
      <c r="H4957" s="4" t="s">
        <v>18</v>
      </c>
      <c r="I4957" s="4" t="s">
        <v>69</v>
      </c>
      <c r="J4957" s="4" t="s">
        <v>66</v>
      </c>
      <c r="K4957" s="4">
        <v>1</v>
      </c>
      <c r="L4957" s="94">
        <v>-131</v>
      </c>
      <c r="M4957" s="94">
        <v>0</v>
      </c>
    </row>
    <row r="4958" spans="3:13" x14ac:dyDescent="0.3">
      <c r="C4958" t="s">
        <v>70</v>
      </c>
      <c r="D4958" t="s">
        <v>62</v>
      </c>
      <c r="E4958" t="s">
        <v>68</v>
      </c>
      <c r="F4958" t="s">
        <v>24</v>
      </c>
      <c r="G4958" s="4">
        <v>2</v>
      </c>
      <c r="I4958" s="4" t="s">
        <v>65</v>
      </c>
      <c r="J4958" s="4" t="s">
        <v>66</v>
      </c>
      <c r="K4958" s="4">
        <v>1</v>
      </c>
      <c r="L4958" s="94">
        <v>74113</v>
      </c>
      <c r="M4958" s="94">
        <v>148226</v>
      </c>
    </row>
    <row r="4959" spans="3:13" x14ac:dyDescent="0.3">
      <c r="C4959" t="s">
        <v>70</v>
      </c>
      <c r="D4959" t="s">
        <v>62</v>
      </c>
      <c r="E4959" t="s">
        <v>68</v>
      </c>
      <c r="F4959" t="s">
        <v>25</v>
      </c>
      <c r="G4959" s="4">
        <v>20</v>
      </c>
      <c r="I4959" s="4" t="s">
        <v>69</v>
      </c>
      <c r="J4959" s="4" t="s">
        <v>66</v>
      </c>
      <c r="K4959" s="4">
        <v>0</v>
      </c>
      <c r="L4959" s="94">
        <v>65453</v>
      </c>
      <c r="M4959" s="94">
        <v>1309060</v>
      </c>
    </row>
    <row r="4960" spans="3:13" x14ac:dyDescent="0.3">
      <c r="C4960" t="s">
        <v>70</v>
      </c>
      <c r="D4960" t="s">
        <v>67</v>
      </c>
      <c r="E4960" t="s">
        <v>68</v>
      </c>
      <c r="F4960" t="s">
        <v>26</v>
      </c>
      <c r="G4960" s="4">
        <v>5</v>
      </c>
      <c r="H4960" s="4" t="s">
        <v>17</v>
      </c>
      <c r="I4960" s="4" t="s">
        <v>69</v>
      </c>
      <c r="J4960" s="4" t="s">
        <v>73</v>
      </c>
      <c r="K4960" s="4">
        <v>1</v>
      </c>
      <c r="L4960" s="94">
        <v>7653</v>
      </c>
      <c r="M4960" s="94">
        <v>38265</v>
      </c>
    </row>
    <row r="4961" spans="3:13" x14ac:dyDescent="0.3">
      <c r="C4961" t="s">
        <v>61</v>
      </c>
      <c r="D4961" t="s">
        <v>84</v>
      </c>
      <c r="E4961" t="s">
        <v>63</v>
      </c>
      <c r="F4961" t="s">
        <v>25</v>
      </c>
      <c r="G4961" s="4">
        <v>2</v>
      </c>
      <c r="H4961" s="4" t="s">
        <v>81</v>
      </c>
      <c r="I4961" s="4" t="s">
        <v>69</v>
      </c>
      <c r="J4961" s="4" t="s">
        <v>66</v>
      </c>
      <c r="K4961" s="4">
        <v>0</v>
      </c>
      <c r="L4961" s="94">
        <v>-12782</v>
      </c>
      <c r="M4961" s="94">
        <v>0</v>
      </c>
    </row>
    <row r="4962" spans="3:13" x14ac:dyDescent="0.3">
      <c r="C4962" t="s">
        <v>71</v>
      </c>
      <c r="D4962" t="s">
        <v>67</v>
      </c>
      <c r="E4962" t="s">
        <v>63</v>
      </c>
      <c r="F4962" t="s">
        <v>26</v>
      </c>
      <c r="G4962" s="4">
        <v>-1</v>
      </c>
      <c r="H4962" s="4" t="s">
        <v>74</v>
      </c>
      <c r="I4962" s="4" t="s">
        <v>69</v>
      </c>
      <c r="J4962" s="4" t="s">
        <v>66</v>
      </c>
      <c r="K4962" s="4">
        <v>0</v>
      </c>
      <c r="L4962" s="94">
        <v>-1767559</v>
      </c>
      <c r="M4962" s="94">
        <v>0</v>
      </c>
    </row>
    <row r="4963" spans="3:13" x14ac:dyDescent="0.3">
      <c r="C4963" t="s">
        <v>71</v>
      </c>
      <c r="D4963" t="s">
        <v>62</v>
      </c>
      <c r="E4963" t="s">
        <v>63</v>
      </c>
      <c r="F4963" t="s">
        <v>24</v>
      </c>
      <c r="G4963" s="4">
        <v>43</v>
      </c>
      <c r="I4963" s="4" t="s">
        <v>69</v>
      </c>
      <c r="J4963" s="4" t="s">
        <v>66</v>
      </c>
      <c r="K4963" s="4">
        <v>0</v>
      </c>
      <c r="L4963" s="94">
        <v>-94685</v>
      </c>
      <c r="M4963" s="94">
        <v>0</v>
      </c>
    </row>
    <row r="4964" spans="3:13" x14ac:dyDescent="0.3">
      <c r="C4964" t="s">
        <v>70</v>
      </c>
      <c r="D4964" t="s">
        <v>67</v>
      </c>
      <c r="E4964" t="s">
        <v>63</v>
      </c>
      <c r="F4964" t="s">
        <v>25</v>
      </c>
      <c r="G4964" s="4">
        <v>1</v>
      </c>
      <c r="H4964" s="4" t="s">
        <v>18</v>
      </c>
      <c r="I4964" s="4" t="s">
        <v>69</v>
      </c>
      <c r="J4964" s="4" t="s">
        <v>66</v>
      </c>
      <c r="K4964" s="4">
        <v>0</v>
      </c>
      <c r="L4964" s="94">
        <v>-10921</v>
      </c>
      <c r="M4964" s="94">
        <v>0</v>
      </c>
    </row>
    <row r="4965" spans="3:13" x14ac:dyDescent="0.3">
      <c r="C4965" t="s">
        <v>61</v>
      </c>
      <c r="D4965" t="s">
        <v>62</v>
      </c>
      <c r="E4965" t="s">
        <v>68</v>
      </c>
      <c r="F4965" t="s">
        <v>25</v>
      </c>
      <c r="G4965" s="4">
        <v>4</v>
      </c>
      <c r="I4965" s="4" t="s">
        <v>65</v>
      </c>
      <c r="J4965" s="4" t="s">
        <v>66</v>
      </c>
      <c r="K4965" s="4">
        <v>1</v>
      </c>
      <c r="L4965" s="94">
        <v>16985</v>
      </c>
      <c r="M4965" s="94">
        <v>67940</v>
      </c>
    </row>
    <row r="4966" spans="3:13" x14ac:dyDescent="0.3">
      <c r="C4966" t="s">
        <v>71</v>
      </c>
      <c r="D4966" t="s">
        <v>62</v>
      </c>
      <c r="E4966" t="s">
        <v>68</v>
      </c>
      <c r="F4966" t="s">
        <v>24</v>
      </c>
      <c r="G4966" s="4">
        <v>15</v>
      </c>
      <c r="I4966" s="4" t="s">
        <v>65</v>
      </c>
      <c r="J4966" s="4" t="s">
        <v>66</v>
      </c>
      <c r="K4966" s="4">
        <v>1</v>
      </c>
      <c r="L4966" s="94">
        <v>20724</v>
      </c>
      <c r="M4966" s="94">
        <v>310860</v>
      </c>
    </row>
    <row r="4967" spans="3:13" x14ac:dyDescent="0.3">
      <c r="C4967" t="s">
        <v>61</v>
      </c>
      <c r="D4967" t="s">
        <v>67</v>
      </c>
      <c r="E4967" t="s">
        <v>63</v>
      </c>
      <c r="F4967" t="s">
        <v>26</v>
      </c>
      <c r="G4967" s="4">
        <v>-1</v>
      </c>
      <c r="H4967" s="4" t="s">
        <v>86</v>
      </c>
      <c r="I4967" s="4" t="s">
        <v>69</v>
      </c>
      <c r="J4967" s="4" t="s">
        <v>66</v>
      </c>
      <c r="K4967" s="4">
        <v>0</v>
      </c>
      <c r="L4967" s="94">
        <v>-2</v>
      </c>
      <c r="M4967" s="94">
        <v>0</v>
      </c>
    </row>
    <row r="4968" spans="3:13" x14ac:dyDescent="0.3">
      <c r="C4968" t="s">
        <v>61</v>
      </c>
      <c r="D4968" t="s">
        <v>67</v>
      </c>
      <c r="E4968" t="s">
        <v>68</v>
      </c>
      <c r="F4968" t="s">
        <v>25</v>
      </c>
      <c r="G4968" s="4">
        <v>4</v>
      </c>
      <c r="H4968" s="4" t="s">
        <v>18</v>
      </c>
      <c r="I4968" s="4" t="s">
        <v>69</v>
      </c>
      <c r="J4968" s="4" t="s">
        <v>66</v>
      </c>
      <c r="K4968" s="4">
        <v>1</v>
      </c>
      <c r="L4968" s="94">
        <v>248284</v>
      </c>
      <c r="M4968" s="94">
        <v>993136</v>
      </c>
    </row>
    <row r="4969" spans="3:13" x14ac:dyDescent="0.3">
      <c r="C4969" t="s">
        <v>71</v>
      </c>
      <c r="D4969" t="s">
        <v>67</v>
      </c>
      <c r="E4969" t="s">
        <v>63</v>
      </c>
      <c r="F4969" t="s">
        <v>72</v>
      </c>
      <c r="G4969" s="4">
        <v>2</v>
      </c>
      <c r="H4969" s="4" t="s">
        <v>64</v>
      </c>
      <c r="I4969" s="4" t="s">
        <v>69</v>
      </c>
      <c r="J4969" s="4" t="s">
        <v>66</v>
      </c>
      <c r="K4969" s="4">
        <v>0</v>
      </c>
      <c r="L4969" s="94">
        <v>-52801</v>
      </c>
      <c r="M4969" s="94">
        <v>0</v>
      </c>
    </row>
    <row r="4970" spans="3:13" x14ac:dyDescent="0.3">
      <c r="C4970" t="s">
        <v>70</v>
      </c>
      <c r="D4970" t="s">
        <v>67</v>
      </c>
      <c r="E4970" t="s">
        <v>68</v>
      </c>
      <c r="F4970" t="s">
        <v>25</v>
      </c>
      <c r="G4970" s="4">
        <v>4</v>
      </c>
      <c r="H4970" s="4" t="s">
        <v>14</v>
      </c>
      <c r="I4970" s="4" t="s">
        <v>69</v>
      </c>
      <c r="J4970" s="4" t="s">
        <v>73</v>
      </c>
      <c r="K4970" s="4">
        <v>1</v>
      </c>
      <c r="L4970" s="94">
        <v>54211</v>
      </c>
      <c r="M4970" s="94">
        <v>216844</v>
      </c>
    </row>
    <row r="4971" spans="3:13" x14ac:dyDescent="0.3">
      <c r="C4971" t="s">
        <v>71</v>
      </c>
      <c r="D4971" t="s">
        <v>67</v>
      </c>
      <c r="E4971" t="s">
        <v>63</v>
      </c>
      <c r="F4971" t="s">
        <v>25</v>
      </c>
      <c r="G4971" s="4">
        <v>6</v>
      </c>
      <c r="H4971" s="4" t="s">
        <v>75</v>
      </c>
      <c r="I4971" s="4" t="s">
        <v>69</v>
      </c>
      <c r="J4971" s="4" t="s">
        <v>66</v>
      </c>
      <c r="K4971" s="4">
        <v>0</v>
      </c>
      <c r="L4971" s="94">
        <v>-166872</v>
      </c>
      <c r="M4971" s="94">
        <v>0</v>
      </c>
    </row>
    <row r="4972" spans="3:13" x14ac:dyDescent="0.3">
      <c r="C4972" t="s">
        <v>61</v>
      </c>
      <c r="D4972" t="s">
        <v>67</v>
      </c>
      <c r="E4972" t="s">
        <v>63</v>
      </c>
      <c r="F4972" t="s">
        <v>25</v>
      </c>
      <c r="G4972" s="4">
        <v>8</v>
      </c>
      <c r="H4972" s="4" t="s">
        <v>12</v>
      </c>
      <c r="I4972" s="4" t="s">
        <v>69</v>
      </c>
      <c r="J4972" s="4" t="s">
        <v>66</v>
      </c>
      <c r="K4972" s="4">
        <v>0</v>
      </c>
      <c r="L4972" s="94">
        <v>-1641</v>
      </c>
      <c r="M4972" s="94">
        <v>0</v>
      </c>
    </row>
    <row r="4973" spans="3:13" x14ac:dyDescent="0.3">
      <c r="C4973" t="s">
        <v>61</v>
      </c>
      <c r="D4973" t="s">
        <v>88</v>
      </c>
      <c r="E4973" t="s">
        <v>68</v>
      </c>
      <c r="F4973" t="s">
        <v>24</v>
      </c>
      <c r="G4973" s="4">
        <v>4</v>
      </c>
      <c r="H4973" s="4" t="s">
        <v>86</v>
      </c>
      <c r="I4973" s="4" t="s">
        <v>69</v>
      </c>
      <c r="J4973" s="4" t="s">
        <v>66</v>
      </c>
      <c r="K4973" s="4">
        <v>0</v>
      </c>
      <c r="L4973" s="94">
        <v>50211</v>
      </c>
      <c r="M4973" s="94">
        <v>200844</v>
      </c>
    </row>
    <row r="4974" spans="3:13" x14ac:dyDescent="0.3">
      <c r="C4974" t="s">
        <v>61</v>
      </c>
      <c r="D4974" t="s">
        <v>67</v>
      </c>
      <c r="E4974" t="s">
        <v>63</v>
      </c>
      <c r="F4974" t="s">
        <v>25</v>
      </c>
      <c r="G4974" s="4">
        <v>11</v>
      </c>
      <c r="H4974" s="4" t="s">
        <v>74</v>
      </c>
      <c r="I4974" s="4" t="s">
        <v>69</v>
      </c>
      <c r="J4974" s="4" t="s">
        <v>66</v>
      </c>
      <c r="K4974" s="4">
        <v>0</v>
      </c>
      <c r="L4974" s="94">
        <v>-11175</v>
      </c>
      <c r="M4974" s="94">
        <v>0</v>
      </c>
    </row>
    <row r="4975" spans="3:13" x14ac:dyDescent="0.3">
      <c r="C4975" t="s">
        <v>61</v>
      </c>
      <c r="D4975" t="s">
        <v>67</v>
      </c>
      <c r="E4975" t="s">
        <v>68</v>
      </c>
      <c r="F4975" t="s">
        <v>26</v>
      </c>
      <c r="G4975" s="4">
        <v>-1</v>
      </c>
      <c r="H4975" s="4" t="s">
        <v>18</v>
      </c>
      <c r="I4975" s="4" t="s">
        <v>69</v>
      </c>
      <c r="J4975" s="4" t="s">
        <v>66</v>
      </c>
      <c r="K4975" s="4">
        <v>0</v>
      </c>
      <c r="L4975" s="94">
        <v>166610065</v>
      </c>
      <c r="M4975" s="94">
        <v>0</v>
      </c>
    </row>
    <row r="4976" spans="3:13" x14ac:dyDescent="0.3">
      <c r="C4976" t="s">
        <v>71</v>
      </c>
      <c r="D4976" t="s">
        <v>62</v>
      </c>
      <c r="E4976" t="s">
        <v>63</v>
      </c>
      <c r="F4976" t="s">
        <v>24</v>
      </c>
      <c r="G4976" s="4">
        <v>-1</v>
      </c>
      <c r="I4976" s="4" t="s">
        <v>69</v>
      </c>
      <c r="J4976" s="4" t="s">
        <v>66</v>
      </c>
      <c r="K4976" s="4">
        <v>0</v>
      </c>
      <c r="L4976" s="94">
        <v>-243994</v>
      </c>
      <c r="M4976" s="94">
        <v>0</v>
      </c>
    </row>
    <row r="4977" spans="3:13" x14ac:dyDescent="0.3">
      <c r="C4977" t="s">
        <v>70</v>
      </c>
      <c r="D4977" t="s">
        <v>67</v>
      </c>
      <c r="E4977" t="s">
        <v>68</v>
      </c>
      <c r="F4977" t="s">
        <v>26</v>
      </c>
      <c r="G4977" s="4">
        <v>1</v>
      </c>
      <c r="H4977" s="4" t="s">
        <v>87</v>
      </c>
      <c r="I4977" s="4" t="s">
        <v>69</v>
      </c>
      <c r="J4977" s="4" t="s">
        <v>66</v>
      </c>
      <c r="K4977" s="4">
        <v>0</v>
      </c>
      <c r="L4977" s="94">
        <v>178921</v>
      </c>
      <c r="M4977" s="94">
        <v>178921</v>
      </c>
    </row>
    <row r="4978" spans="3:13" x14ac:dyDescent="0.3">
      <c r="C4978" t="s">
        <v>70</v>
      </c>
      <c r="D4978" t="s">
        <v>67</v>
      </c>
      <c r="E4978" t="s">
        <v>63</v>
      </c>
      <c r="F4978" t="s">
        <v>26</v>
      </c>
      <c r="G4978" s="4">
        <v>2</v>
      </c>
      <c r="H4978" s="4" t="s">
        <v>14</v>
      </c>
      <c r="I4978" s="4" t="s">
        <v>69</v>
      </c>
      <c r="J4978" s="4" t="s">
        <v>73</v>
      </c>
      <c r="K4978" s="4">
        <v>1</v>
      </c>
      <c r="L4978" s="94">
        <v>-856432</v>
      </c>
      <c r="M4978" s="94">
        <v>0</v>
      </c>
    </row>
    <row r="4979" spans="3:13" x14ac:dyDescent="0.3">
      <c r="C4979" t="s">
        <v>61</v>
      </c>
      <c r="D4979" t="s">
        <v>62</v>
      </c>
      <c r="E4979" t="s">
        <v>68</v>
      </c>
      <c r="F4979" t="s">
        <v>24</v>
      </c>
      <c r="G4979" s="4">
        <v>38</v>
      </c>
      <c r="I4979" s="4" t="s">
        <v>69</v>
      </c>
      <c r="J4979" s="4" t="s">
        <v>66</v>
      </c>
      <c r="K4979" s="4">
        <v>1</v>
      </c>
      <c r="L4979" s="94">
        <v>654546</v>
      </c>
      <c r="M4979" s="94">
        <v>24872748</v>
      </c>
    </row>
    <row r="4980" spans="3:13" x14ac:dyDescent="0.3">
      <c r="C4980" t="s">
        <v>70</v>
      </c>
      <c r="D4980" t="s">
        <v>62</v>
      </c>
      <c r="E4980" t="s">
        <v>63</v>
      </c>
      <c r="F4980" t="s">
        <v>24</v>
      </c>
      <c r="G4980" s="4">
        <v>43</v>
      </c>
      <c r="I4980" s="4" t="s">
        <v>69</v>
      </c>
      <c r="J4980" s="4" t="s">
        <v>66</v>
      </c>
      <c r="K4980" s="4">
        <v>0</v>
      </c>
      <c r="L4980" s="94">
        <v>-68287</v>
      </c>
      <c r="M4980" s="94">
        <v>0</v>
      </c>
    </row>
    <row r="4981" spans="3:13" x14ac:dyDescent="0.3">
      <c r="C4981" t="s">
        <v>61</v>
      </c>
      <c r="D4981" t="s">
        <v>62</v>
      </c>
      <c r="E4981" t="s">
        <v>68</v>
      </c>
      <c r="F4981" t="s">
        <v>25</v>
      </c>
      <c r="G4981" s="4">
        <v>2</v>
      </c>
      <c r="I4981" s="4" t="s">
        <v>69</v>
      </c>
      <c r="J4981" s="4" t="s">
        <v>66</v>
      </c>
      <c r="K4981" s="4">
        <v>0</v>
      </c>
      <c r="L4981" s="94">
        <v>1631566</v>
      </c>
      <c r="M4981" s="94">
        <v>3263132</v>
      </c>
    </row>
    <row r="4982" spans="3:13" x14ac:dyDescent="0.3">
      <c r="C4982" t="s">
        <v>61</v>
      </c>
      <c r="D4982" t="s">
        <v>67</v>
      </c>
      <c r="E4982" t="s">
        <v>63</v>
      </c>
      <c r="F4982" t="s">
        <v>25</v>
      </c>
      <c r="G4982" s="4">
        <v>12</v>
      </c>
      <c r="H4982" s="4" t="s">
        <v>83</v>
      </c>
      <c r="I4982" s="4" t="s">
        <v>69</v>
      </c>
      <c r="J4982" s="4" t="s">
        <v>66</v>
      </c>
      <c r="K4982" s="4">
        <v>0</v>
      </c>
      <c r="L4982" s="94">
        <v>-353</v>
      </c>
      <c r="M4982" s="94">
        <v>0</v>
      </c>
    </row>
    <row r="4983" spans="3:13" x14ac:dyDescent="0.3">
      <c r="C4983" t="s">
        <v>71</v>
      </c>
      <c r="D4983" t="s">
        <v>67</v>
      </c>
      <c r="E4983" t="s">
        <v>63</v>
      </c>
      <c r="F4983" t="s">
        <v>26</v>
      </c>
      <c r="G4983" s="4">
        <v>1</v>
      </c>
      <c r="H4983" s="4" t="s">
        <v>18</v>
      </c>
      <c r="I4983" s="4" t="s">
        <v>69</v>
      </c>
      <c r="J4983" s="4" t="s">
        <v>66</v>
      </c>
      <c r="K4983" s="4">
        <v>0</v>
      </c>
      <c r="L4983" s="94">
        <v>-2425249</v>
      </c>
      <c r="M4983" s="94">
        <v>0</v>
      </c>
    </row>
    <row r="4984" spans="3:13" x14ac:dyDescent="0.3">
      <c r="C4984" t="s">
        <v>71</v>
      </c>
      <c r="D4984" t="s">
        <v>67</v>
      </c>
      <c r="E4984" t="s">
        <v>63</v>
      </c>
      <c r="F4984" t="s">
        <v>25</v>
      </c>
      <c r="G4984" s="4">
        <v>-4</v>
      </c>
      <c r="H4984" s="4" t="s">
        <v>74</v>
      </c>
      <c r="I4984" s="4" t="s">
        <v>69</v>
      </c>
      <c r="J4984" s="4" t="s">
        <v>66</v>
      </c>
      <c r="K4984" s="4">
        <v>0</v>
      </c>
      <c r="L4984" s="94">
        <v>-11105</v>
      </c>
      <c r="M4984" s="94">
        <v>0</v>
      </c>
    </row>
    <row r="4985" spans="3:13" x14ac:dyDescent="0.3">
      <c r="C4985" t="s">
        <v>71</v>
      </c>
      <c r="D4985" t="s">
        <v>67</v>
      </c>
      <c r="E4985" t="s">
        <v>63</v>
      </c>
      <c r="F4985" t="s">
        <v>26</v>
      </c>
      <c r="G4985" s="4">
        <v>-4</v>
      </c>
      <c r="H4985" s="4" t="s">
        <v>78</v>
      </c>
      <c r="I4985" s="4" t="s">
        <v>69</v>
      </c>
      <c r="J4985" s="4" t="s">
        <v>66</v>
      </c>
      <c r="K4985" s="4">
        <v>0</v>
      </c>
      <c r="L4985" s="94">
        <v>-45138</v>
      </c>
      <c r="M4985" s="94">
        <v>0</v>
      </c>
    </row>
    <row r="4986" spans="3:13" x14ac:dyDescent="0.3">
      <c r="C4986" t="s">
        <v>61</v>
      </c>
      <c r="D4986" t="s">
        <v>62</v>
      </c>
      <c r="E4986" t="s">
        <v>68</v>
      </c>
      <c r="F4986" t="s">
        <v>24</v>
      </c>
      <c r="G4986" s="4">
        <v>21</v>
      </c>
      <c r="I4986" s="4" t="s">
        <v>69</v>
      </c>
      <c r="J4986" s="4" t="s">
        <v>66</v>
      </c>
      <c r="K4986" s="4">
        <v>0</v>
      </c>
      <c r="L4986" s="94">
        <v>671259254</v>
      </c>
      <c r="M4986" s="94">
        <v>14096444334</v>
      </c>
    </row>
    <row r="4987" spans="3:13" x14ac:dyDescent="0.3">
      <c r="C4987" t="s">
        <v>71</v>
      </c>
      <c r="D4987" t="s">
        <v>67</v>
      </c>
      <c r="E4987" t="s">
        <v>68</v>
      </c>
      <c r="F4987" t="s">
        <v>26</v>
      </c>
      <c r="G4987" s="4">
        <v>2</v>
      </c>
      <c r="H4987" s="4" t="s">
        <v>18</v>
      </c>
      <c r="I4987" s="4" t="s">
        <v>69</v>
      </c>
      <c r="J4987" s="4" t="s">
        <v>66</v>
      </c>
      <c r="K4987" s="4">
        <v>0</v>
      </c>
      <c r="L4987" s="94">
        <v>3530679</v>
      </c>
      <c r="M4987" s="94">
        <v>7061358</v>
      </c>
    </row>
    <row r="4988" spans="3:13" x14ac:dyDescent="0.3">
      <c r="C4988" t="s">
        <v>71</v>
      </c>
      <c r="D4988" t="s">
        <v>67</v>
      </c>
      <c r="E4988" t="s">
        <v>63</v>
      </c>
      <c r="F4988" t="s">
        <v>26</v>
      </c>
      <c r="G4988" s="4">
        <v>-1</v>
      </c>
      <c r="H4988" s="4" t="s">
        <v>80</v>
      </c>
      <c r="I4988" s="4" t="s">
        <v>69</v>
      </c>
      <c r="J4988" s="4" t="s">
        <v>66</v>
      </c>
      <c r="K4988" s="4">
        <v>0</v>
      </c>
      <c r="L4988" s="94">
        <v>-416802</v>
      </c>
      <c r="M4988" s="94">
        <v>0</v>
      </c>
    </row>
    <row r="4989" spans="3:13" x14ac:dyDescent="0.3">
      <c r="C4989" t="s">
        <v>61</v>
      </c>
      <c r="D4989" t="s">
        <v>67</v>
      </c>
      <c r="E4989" t="s">
        <v>63</v>
      </c>
      <c r="F4989" t="s">
        <v>25</v>
      </c>
      <c r="G4989" s="4">
        <v>10</v>
      </c>
      <c r="H4989" s="4" t="s">
        <v>17</v>
      </c>
      <c r="I4989" s="4" t="s">
        <v>69</v>
      </c>
      <c r="J4989" s="4" t="s">
        <v>66</v>
      </c>
      <c r="K4989" s="4">
        <v>1</v>
      </c>
      <c r="L4989" s="94">
        <v>-256</v>
      </c>
      <c r="M4989" s="94">
        <v>0</v>
      </c>
    </row>
    <row r="4990" spans="3:13" x14ac:dyDescent="0.3">
      <c r="C4990" t="s">
        <v>71</v>
      </c>
      <c r="D4990" t="s">
        <v>67</v>
      </c>
      <c r="E4990" t="s">
        <v>63</v>
      </c>
      <c r="F4990" t="s">
        <v>25</v>
      </c>
      <c r="G4990" s="4">
        <v>17</v>
      </c>
      <c r="H4990" s="4" t="s">
        <v>83</v>
      </c>
      <c r="I4990" s="4" t="s">
        <v>69</v>
      </c>
      <c r="J4990" s="4" t="s">
        <v>66</v>
      </c>
      <c r="K4990" s="4">
        <v>0</v>
      </c>
      <c r="L4990" s="94">
        <v>-285437</v>
      </c>
      <c r="M4990" s="94">
        <v>0</v>
      </c>
    </row>
    <row r="4991" spans="3:13" x14ac:dyDescent="0.3">
      <c r="C4991" t="s">
        <v>61</v>
      </c>
      <c r="D4991" t="s">
        <v>67</v>
      </c>
      <c r="E4991" t="s">
        <v>68</v>
      </c>
      <c r="F4991" t="s">
        <v>26</v>
      </c>
      <c r="G4991" s="4">
        <v>9</v>
      </c>
      <c r="H4991" s="4" t="s">
        <v>76</v>
      </c>
      <c r="I4991" s="4" t="s">
        <v>69</v>
      </c>
      <c r="J4991" s="4" t="s">
        <v>66</v>
      </c>
      <c r="K4991" s="4">
        <v>0</v>
      </c>
      <c r="L4991" s="94">
        <v>8340443</v>
      </c>
      <c r="M4991" s="94">
        <v>75063987</v>
      </c>
    </row>
    <row r="4992" spans="3:13" x14ac:dyDescent="0.3">
      <c r="C4992" t="s">
        <v>71</v>
      </c>
      <c r="D4992" t="s">
        <v>67</v>
      </c>
      <c r="E4992" t="s">
        <v>68</v>
      </c>
      <c r="F4992" t="s">
        <v>26</v>
      </c>
      <c r="G4992" s="4">
        <v>-4</v>
      </c>
      <c r="H4992" s="4" t="s">
        <v>14</v>
      </c>
      <c r="I4992" s="4" t="s">
        <v>69</v>
      </c>
      <c r="J4992" s="4" t="s">
        <v>73</v>
      </c>
      <c r="K4992" s="4">
        <v>1</v>
      </c>
      <c r="L4992" s="94">
        <v>6447563</v>
      </c>
      <c r="M4992" s="94">
        <v>0</v>
      </c>
    </row>
    <row r="4993" spans="3:13" x14ac:dyDescent="0.3">
      <c r="C4993" t="s">
        <v>70</v>
      </c>
      <c r="D4993" t="s">
        <v>67</v>
      </c>
      <c r="E4993" t="s">
        <v>68</v>
      </c>
      <c r="F4993" t="s">
        <v>25</v>
      </c>
      <c r="G4993" s="4">
        <v>5</v>
      </c>
      <c r="H4993" s="4" t="s">
        <v>14</v>
      </c>
      <c r="I4993" s="4" t="s">
        <v>69</v>
      </c>
      <c r="J4993" s="4" t="s">
        <v>66</v>
      </c>
      <c r="K4993" s="4">
        <v>0</v>
      </c>
      <c r="L4993" s="94">
        <v>3249405</v>
      </c>
      <c r="M4993" s="94">
        <v>16247025</v>
      </c>
    </row>
    <row r="4994" spans="3:13" x14ac:dyDescent="0.3">
      <c r="C4994" t="s">
        <v>71</v>
      </c>
      <c r="D4994" t="s">
        <v>67</v>
      </c>
      <c r="E4994" t="s">
        <v>63</v>
      </c>
      <c r="F4994" t="s">
        <v>25</v>
      </c>
      <c r="G4994" s="4">
        <v>-1</v>
      </c>
      <c r="H4994" s="4" t="s">
        <v>64</v>
      </c>
      <c r="I4994" s="4" t="s">
        <v>69</v>
      </c>
      <c r="J4994" s="4" t="s">
        <v>66</v>
      </c>
      <c r="K4994" s="4">
        <v>0</v>
      </c>
      <c r="L4994" s="94">
        <v>-15828</v>
      </c>
      <c r="M4994" s="94">
        <v>0</v>
      </c>
    </row>
    <row r="4995" spans="3:13" x14ac:dyDescent="0.3">
      <c r="C4995" t="s">
        <v>61</v>
      </c>
      <c r="D4995" t="s">
        <v>84</v>
      </c>
      <c r="E4995" t="s">
        <v>63</v>
      </c>
      <c r="F4995" t="s">
        <v>25</v>
      </c>
      <c r="G4995" s="4">
        <v>3</v>
      </c>
      <c r="H4995" s="4" t="s">
        <v>17</v>
      </c>
      <c r="I4995" s="4" t="s">
        <v>69</v>
      </c>
      <c r="J4995" s="4" t="s">
        <v>66</v>
      </c>
      <c r="K4995" s="4">
        <v>0</v>
      </c>
      <c r="L4995" s="94">
        <v>-55124</v>
      </c>
      <c r="M4995" s="94">
        <v>0</v>
      </c>
    </row>
    <row r="4996" spans="3:13" x14ac:dyDescent="0.3">
      <c r="C4996" t="s">
        <v>61</v>
      </c>
      <c r="D4996" t="s">
        <v>67</v>
      </c>
      <c r="E4996" t="s">
        <v>63</v>
      </c>
      <c r="F4996" t="s">
        <v>26</v>
      </c>
      <c r="G4996" s="4">
        <v>8</v>
      </c>
      <c r="H4996" s="4" t="s">
        <v>14</v>
      </c>
      <c r="I4996" s="4" t="s">
        <v>69</v>
      </c>
      <c r="J4996" s="4" t="s">
        <v>66</v>
      </c>
      <c r="K4996" s="4">
        <v>0</v>
      </c>
      <c r="L4996" s="94">
        <v>-18057</v>
      </c>
      <c r="M4996" s="94">
        <v>0</v>
      </c>
    </row>
    <row r="4997" spans="3:13" x14ac:dyDescent="0.3">
      <c r="C4997" t="s">
        <v>61</v>
      </c>
      <c r="D4997" t="s">
        <v>67</v>
      </c>
      <c r="E4997" t="s">
        <v>68</v>
      </c>
      <c r="F4997" t="s">
        <v>72</v>
      </c>
      <c r="G4997" s="4">
        <v>-4</v>
      </c>
      <c r="H4997" s="4" t="s">
        <v>76</v>
      </c>
      <c r="I4997" s="4" t="s">
        <v>69</v>
      </c>
      <c r="J4997" s="4" t="s">
        <v>66</v>
      </c>
      <c r="K4997" s="4">
        <v>0</v>
      </c>
      <c r="L4997" s="94">
        <v>31</v>
      </c>
      <c r="M4997" s="94">
        <v>0</v>
      </c>
    </row>
    <row r="4998" spans="3:13" x14ac:dyDescent="0.3">
      <c r="C4998" t="s">
        <v>70</v>
      </c>
      <c r="D4998" t="s">
        <v>67</v>
      </c>
      <c r="E4998" t="s">
        <v>63</v>
      </c>
      <c r="F4998" t="s">
        <v>26</v>
      </c>
      <c r="G4998" s="4">
        <v>1</v>
      </c>
      <c r="H4998" s="4" t="s">
        <v>82</v>
      </c>
      <c r="I4998" s="4" t="s">
        <v>65</v>
      </c>
      <c r="J4998" s="4" t="s">
        <v>66</v>
      </c>
      <c r="K4998" s="4">
        <v>1</v>
      </c>
      <c r="L4998" s="94">
        <v>-3082</v>
      </c>
      <c r="M4998" s="94">
        <v>0</v>
      </c>
    </row>
    <row r="4999" spans="3:13" x14ac:dyDescent="0.3">
      <c r="C4999" t="s">
        <v>70</v>
      </c>
      <c r="D4999" t="s">
        <v>62</v>
      </c>
      <c r="E4999" t="s">
        <v>68</v>
      </c>
      <c r="F4999" t="s">
        <v>24</v>
      </c>
      <c r="G4999" s="4">
        <v>21</v>
      </c>
      <c r="I4999" s="4" t="s">
        <v>65</v>
      </c>
      <c r="J4999" s="4" t="s">
        <v>66</v>
      </c>
      <c r="K4999" s="4">
        <v>1</v>
      </c>
      <c r="L4999" s="94">
        <v>473994</v>
      </c>
      <c r="M4999" s="94">
        <v>9953874</v>
      </c>
    </row>
    <row r="5000" spans="3:13" x14ac:dyDescent="0.3">
      <c r="C5000" t="s">
        <v>71</v>
      </c>
      <c r="D5000" t="s">
        <v>67</v>
      </c>
      <c r="E5000" t="s">
        <v>63</v>
      </c>
      <c r="F5000" t="s">
        <v>72</v>
      </c>
      <c r="G5000" s="4">
        <v>5</v>
      </c>
      <c r="H5000" s="4" t="s">
        <v>17</v>
      </c>
      <c r="I5000" s="4" t="s">
        <v>69</v>
      </c>
      <c r="J5000" s="4" t="s">
        <v>66</v>
      </c>
      <c r="K5000" s="4">
        <v>0</v>
      </c>
      <c r="L5000" s="94">
        <v>-18624</v>
      </c>
      <c r="M5000" s="94">
        <v>0</v>
      </c>
    </row>
    <row r="5001" spans="3:13" x14ac:dyDescent="0.3">
      <c r="C5001" t="s">
        <v>71</v>
      </c>
      <c r="D5001" t="s">
        <v>67</v>
      </c>
      <c r="E5001" t="s">
        <v>68</v>
      </c>
      <c r="F5001" t="s">
        <v>26</v>
      </c>
      <c r="G5001" s="4">
        <v>9</v>
      </c>
      <c r="H5001" s="4" t="s">
        <v>14</v>
      </c>
      <c r="I5001" s="4" t="s">
        <v>69</v>
      </c>
      <c r="J5001" s="4" t="s">
        <v>66</v>
      </c>
      <c r="K5001" s="4">
        <v>0</v>
      </c>
      <c r="L5001" s="94">
        <v>294770</v>
      </c>
      <c r="M5001" s="94">
        <v>2652930</v>
      </c>
    </row>
    <row r="5002" spans="3:13" x14ac:dyDescent="0.3">
      <c r="C5002" t="s">
        <v>61</v>
      </c>
      <c r="D5002" t="s">
        <v>67</v>
      </c>
      <c r="E5002" t="s">
        <v>68</v>
      </c>
      <c r="F5002" t="s">
        <v>72</v>
      </c>
      <c r="G5002" s="4">
        <v>1</v>
      </c>
      <c r="H5002" s="4" t="s">
        <v>77</v>
      </c>
      <c r="I5002" s="4" t="s">
        <v>69</v>
      </c>
      <c r="J5002" s="4" t="s">
        <v>66</v>
      </c>
      <c r="K5002" s="4">
        <v>0</v>
      </c>
      <c r="L5002" s="94">
        <v>678006</v>
      </c>
      <c r="M5002" s="94">
        <v>678006</v>
      </c>
    </row>
    <row r="5003" spans="3:13" x14ac:dyDescent="0.3">
      <c r="C5003" t="s">
        <v>61</v>
      </c>
      <c r="D5003" t="s">
        <v>67</v>
      </c>
      <c r="E5003" t="s">
        <v>68</v>
      </c>
      <c r="F5003" t="s">
        <v>26</v>
      </c>
      <c r="G5003" s="4">
        <v>0</v>
      </c>
      <c r="H5003" s="4" t="s">
        <v>78</v>
      </c>
      <c r="I5003" s="4" t="s">
        <v>69</v>
      </c>
      <c r="J5003" s="4" t="s">
        <v>66</v>
      </c>
      <c r="K5003" s="4">
        <v>0</v>
      </c>
      <c r="L5003" s="94">
        <v>553694</v>
      </c>
      <c r="M5003" s="94">
        <v>0</v>
      </c>
    </row>
    <row r="5004" spans="3:13" x14ac:dyDescent="0.3">
      <c r="C5004" t="s">
        <v>61</v>
      </c>
      <c r="D5004" t="s">
        <v>67</v>
      </c>
      <c r="E5004" t="s">
        <v>68</v>
      </c>
      <c r="F5004" t="s">
        <v>25</v>
      </c>
      <c r="G5004" s="4">
        <v>2</v>
      </c>
      <c r="H5004" s="4" t="s">
        <v>14</v>
      </c>
      <c r="I5004" s="4" t="s">
        <v>69</v>
      </c>
      <c r="J5004" s="4" t="s">
        <v>66</v>
      </c>
      <c r="K5004" s="4">
        <v>1</v>
      </c>
      <c r="L5004" s="94">
        <v>2807854</v>
      </c>
      <c r="M5004" s="94">
        <v>5615708</v>
      </c>
    </row>
    <row r="5005" spans="3:13" x14ac:dyDescent="0.3">
      <c r="C5005" t="s">
        <v>71</v>
      </c>
      <c r="D5005" t="s">
        <v>67</v>
      </c>
      <c r="E5005" t="s">
        <v>63</v>
      </c>
      <c r="F5005" t="s">
        <v>26</v>
      </c>
      <c r="G5005" s="4">
        <v>0</v>
      </c>
      <c r="H5005" s="4" t="s">
        <v>83</v>
      </c>
      <c r="I5005" s="4" t="s">
        <v>69</v>
      </c>
      <c r="J5005" s="4" t="s">
        <v>66</v>
      </c>
      <c r="K5005" s="4">
        <v>0</v>
      </c>
      <c r="L5005" s="94">
        <v>-25462</v>
      </c>
      <c r="M5005" s="94">
        <v>0</v>
      </c>
    </row>
    <row r="5006" spans="3:13" x14ac:dyDescent="0.3">
      <c r="C5006" t="s">
        <v>70</v>
      </c>
      <c r="D5006" t="s">
        <v>67</v>
      </c>
      <c r="E5006" t="s">
        <v>68</v>
      </c>
      <c r="F5006" t="s">
        <v>72</v>
      </c>
      <c r="G5006" s="4">
        <v>7</v>
      </c>
      <c r="H5006" s="4" t="s">
        <v>75</v>
      </c>
      <c r="I5006" s="4" t="s">
        <v>69</v>
      </c>
      <c r="J5006" s="4" t="s">
        <v>66</v>
      </c>
      <c r="K5006" s="4">
        <v>0</v>
      </c>
      <c r="L5006" s="94">
        <v>127287</v>
      </c>
      <c r="M5006" s="94">
        <v>891009</v>
      </c>
    </row>
    <row r="5007" spans="3:13" x14ac:dyDescent="0.3">
      <c r="C5007" t="s">
        <v>70</v>
      </c>
      <c r="D5007" t="s">
        <v>67</v>
      </c>
      <c r="E5007" t="s">
        <v>63</v>
      </c>
      <c r="F5007" t="s">
        <v>26</v>
      </c>
      <c r="G5007" s="4">
        <v>0</v>
      </c>
      <c r="H5007" s="4" t="s">
        <v>15</v>
      </c>
      <c r="I5007" s="4" t="s">
        <v>69</v>
      </c>
      <c r="J5007" s="4" t="s">
        <v>73</v>
      </c>
      <c r="K5007" s="4">
        <v>1</v>
      </c>
      <c r="L5007" s="94">
        <v>-15607</v>
      </c>
      <c r="M5007" s="94">
        <v>0</v>
      </c>
    </row>
    <row r="5008" spans="3:13" x14ac:dyDescent="0.3">
      <c r="C5008" t="s">
        <v>61</v>
      </c>
      <c r="D5008" t="s">
        <v>67</v>
      </c>
      <c r="E5008" t="s">
        <v>68</v>
      </c>
      <c r="F5008" t="s">
        <v>72</v>
      </c>
      <c r="G5008" s="4">
        <v>3</v>
      </c>
      <c r="H5008" s="4" t="s">
        <v>12</v>
      </c>
      <c r="I5008" s="4" t="s">
        <v>69</v>
      </c>
      <c r="J5008" s="4" t="s">
        <v>66</v>
      </c>
      <c r="K5008" s="4">
        <v>0</v>
      </c>
      <c r="L5008" s="94">
        <v>727495</v>
      </c>
      <c r="M5008" s="94">
        <v>2182485</v>
      </c>
    </row>
    <row r="5009" spans="3:13" x14ac:dyDescent="0.3">
      <c r="C5009" t="s">
        <v>61</v>
      </c>
      <c r="D5009" t="s">
        <v>67</v>
      </c>
      <c r="E5009" t="s">
        <v>63</v>
      </c>
      <c r="F5009" t="s">
        <v>26</v>
      </c>
      <c r="G5009" s="4">
        <v>0</v>
      </c>
      <c r="H5009" s="4" t="s">
        <v>78</v>
      </c>
      <c r="I5009" s="4" t="s">
        <v>69</v>
      </c>
      <c r="J5009" s="4" t="s">
        <v>66</v>
      </c>
      <c r="K5009" s="4">
        <v>0</v>
      </c>
      <c r="L5009" s="94">
        <v>-4363</v>
      </c>
      <c r="M5009" s="94">
        <v>0</v>
      </c>
    </row>
    <row r="5010" spans="3:13" x14ac:dyDescent="0.3">
      <c r="C5010" t="s">
        <v>71</v>
      </c>
      <c r="D5010" t="s">
        <v>67</v>
      </c>
      <c r="E5010" t="s">
        <v>68</v>
      </c>
      <c r="F5010" t="s">
        <v>26</v>
      </c>
      <c r="G5010" s="4">
        <v>8</v>
      </c>
      <c r="H5010" s="4" t="s">
        <v>18</v>
      </c>
      <c r="I5010" s="4" t="s">
        <v>69</v>
      </c>
      <c r="J5010" s="4" t="s">
        <v>66</v>
      </c>
      <c r="K5010" s="4">
        <v>0</v>
      </c>
      <c r="L5010" s="94">
        <v>845214</v>
      </c>
      <c r="M5010" s="94">
        <v>6761712</v>
      </c>
    </row>
    <row r="5011" spans="3:13" x14ac:dyDescent="0.3">
      <c r="C5011" t="s">
        <v>71</v>
      </c>
      <c r="D5011" t="s">
        <v>67</v>
      </c>
      <c r="E5011" t="s">
        <v>63</v>
      </c>
      <c r="F5011" t="s">
        <v>26</v>
      </c>
      <c r="G5011" s="4">
        <v>3</v>
      </c>
      <c r="H5011" s="4" t="s">
        <v>14</v>
      </c>
      <c r="I5011" s="4" t="s">
        <v>65</v>
      </c>
      <c r="J5011" s="4" t="s">
        <v>66</v>
      </c>
      <c r="K5011" s="4">
        <v>1</v>
      </c>
      <c r="L5011" s="94">
        <v>-88487</v>
      </c>
      <c r="M5011" s="94">
        <v>0</v>
      </c>
    </row>
    <row r="5012" spans="3:13" x14ac:dyDescent="0.3">
      <c r="C5012" t="s">
        <v>61</v>
      </c>
      <c r="D5012" t="s">
        <v>67</v>
      </c>
      <c r="E5012" t="s">
        <v>63</v>
      </c>
      <c r="F5012" t="s">
        <v>25</v>
      </c>
      <c r="G5012" s="4">
        <v>12</v>
      </c>
      <c r="H5012" s="4" t="s">
        <v>75</v>
      </c>
      <c r="I5012" s="4" t="s">
        <v>69</v>
      </c>
      <c r="J5012" s="4" t="s">
        <v>66</v>
      </c>
      <c r="K5012" s="4">
        <v>0</v>
      </c>
      <c r="L5012" s="94">
        <v>-68057</v>
      </c>
      <c r="M5012" s="94">
        <v>0</v>
      </c>
    </row>
    <row r="5013" spans="3:13" x14ac:dyDescent="0.3">
      <c r="C5013" t="s">
        <v>71</v>
      </c>
      <c r="D5013" t="s">
        <v>67</v>
      </c>
      <c r="E5013" t="s">
        <v>63</v>
      </c>
      <c r="F5013" t="s">
        <v>25</v>
      </c>
      <c r="G5013" s="4">
        <v>-4</v>
      </c>
      <c r="H5013" s="4" t="s">
        <v>80</v>
      </c>
      <c r="I5013" s="4" t="s">
        <v>69</v>
      </c>
      <c r="J5013" s="4" t="s">
        <v>66</v>
      </c>
      <c r="K5013" s="4">
        <v>0</v>
      </c>
      <c r="L5013" s="94">
        <v>-84411</v>
      </c>
      <c r="M5013" s="94">
        <v>0</v>
      </c>
    </row>
    <row r="5014" spans="3:13" x14ac:dyDescent="0.3">
      <c r="C5014" t="s">
        <v>70</v>
      </c>
      <c r="D5014" t="s">
        <v>67</v>
      </c>
      <c r="E5014" t="s">
        <v>68</v>
      </c>
      <c r="F5014" t="s">
        <v>72</v>
      </c>
      <c r="G5014" s="4">
        <v>4</v>
      </c>
      <c r="H5014" s="4" t="s">
        <v>15</v>
      </c>
      <c r="I5014" s="4" t="s">
        <v>69</v>
      </c>
      <c r="J5014" s="4" t="s">
        <v>66</v>
      </c>
      <c r="K5014" s="4">
        <v>0</v>
      </c>
      <c r="L5014" s="94">
        <v>55490</v>
      </c>
      <c r="M5014" s="94">
        <v>221960</v>
      </c>
    </row>
    <row r="5015" spans="3:13" x14ac:dyDescent="0.3">
      <c r="C5015" t="s">
        <v>61</v>
      </c>
      <c r="D5015" t="s">
        <v>67</v>
      </c>
      <c r="E5015" t="s">
        <v>63</v>
      </c>
      <c r="F5015" t="s">
        <v>25</v>
      </c>
      <c r="G5015" s="4">
        <v>-1</v>
      </c>
      <c r="H5015" s="4" t="s">
        <v>77</v>
      </c>
      <c r="I5015" s="4" t="s">
        <v>69</v>
      </c>
      <c r="J5015" s="4" t="s">
        <v>66</v>
      </c>
      <c r="K5015" s="4">
        <v>0</v>
      </c>
      <c r="L5015" s="94">
        <v>-2219</v>
      </c>
      <c r="M5015" s="94">
        <v>0</v>
      </c>
    </row>
    <row r="5016" spans="3:13" x14ac:dyDescent="0.3">
      <c r="C5016" t="s">
        <v>70</v>
      </c>
      <c r="D5016" t="s">
        <v>67</v>
      </c>
      <c r="E5016" t="s">
        <v>68</v>
      </c>
      <c r="F5016" t="s">
        <v>25</v>
      </c>
      <c r="G5016" s="4">
        <v>9</v>
      </c>
      <c r="H5016" s="4" t="s">
        <v>77</v>
      </c>
      <c r="I5016" s="4" t="s">
        <v>69</v>
      </c>
      <c r="J5016" s="4" t="s">
        <v>66</v>
      </c>
      <c r="K5016" s="4">
        <v>0</v>
      </c>
      <c r="L5016" s="94">
        <v>830224</v>
      </c>
      <c r="M5016" s="94">
        <v>7472016</v>
      </c>
    </row>
    <row r="5017" spans="3:13" x14ac:dyDescent="0.3">
      <c r="C5017" t="s">
        <v>61</v>
      </c>
      <c r="D5017" t="s">
        <v>67</v>
      </c>
      <c r="E5017" t="s">
        <v>68</v>
      </c>
      <c r="F5017" t="s">
        <v>72</v>
      </c>
      <c r="G5017" s="4">
        <v>6</v>
      </c>
      <c r="H5017" s="4" t="s">
        <v>83</v>
      </c>
      <c r="I5017" s="4" t="s">
        <v>69</v>
      </c>
      <c r="J5017" s="4" t="s">
        <v>66</v>
      </c>
      <c r="K5017" s="4">
        <v>0</v>
      </c>
      <c r="L5017" s="94">
        <v>733622</v>
      </c>
      <c r="M5017" s="94">
        <v>4401732</v>
      </c>
    </row>
    <row r="5018" spans="3:13" x14ac:dyDescent="0.3">
      <c r="C5018" t="s">
        <v>70</v>
      </c>
      <c r="D5018" t="s">
        <v>67</v>
      </c>
      <c r="E5018" t="s">
        <v>68</v>
      </c>
      <c r="F5018" t="s">
        <v>25</v>
      </c>
      <c r="G5018" s="4">
        <v>8</v>
      </c>
      <c r="H5018" s="4" t="s">
        <v>14</v>
      </c>
      <c r="I5018" s="4" t="s">
        <v>69</v>
      </c>
      <c r="J5018" s="4" t="s">
        <v>66</v>
      </c>
      <c r="K5018" s="4">
        <v>1</v>
      </c>
      <c r="L5018" s="94">
        <v>1529333</v>
      </c>
      <c r="M5018" s="94">
        <v>12234664</v>
      </c>
    </row>
    <row r="5019" spans="3:13" x14ac:dyDescent="0.3">
      <c r="C5019" t="s">
        <v>61</v>
      </c>
      <c r="D5019" t="s">
        <v>67</v>
      </c>
      <c r="E5019" t="s">
        <v>68</v>
      </c>
      <c r="F5019" t="s">
        <v>25</v>
      </c>
      <c r="G5019" s="4">
        <v>8</v>
      </c>
      <c r="H5019" s="4" t="s">
        <v>18</v>
      </c>
      <c r="I5019" s="4" t="s">
        <v>69</v>
      </c>
      <c r="J5019" s="4" t="s">
        <v>66</v>
      </c>
      <c r="K5019" s="4">
        <v>0</v>
      </c>
      <c r="L5019" s="94">
        <v>20619259</v>
      </c>
      <c r="M5019" s="94">
        <v>164954072</v>
      </c>
    </row>
    <row r="5020" spans="3:13" x14ac:dyDescent="0.3">
      <c r="C5020" t="s">
        <v>70</v>
      </c>
      <c r="D5020" t="s">
        <v>67</v>
      </c>
      <c r="E5020" t="s">
        <v>68</v>
      </c>
      <c r="F5020" t="s">
        <v>25</v>
      </c>
      <c r="G5020" s="4">
        <v>-1</v>
      </c>
      <c r="H5020" s="4" t="s">
        <v>17</v>
      </c>
      <c r="I5020" s="4" t="s">
        <v>69</v>
      </c>
      <c r="J5020" s="4" t="s">
        <v>66</v>
      </c>
      <c r="K5020" s="4">
        <v>1</v>
      </c>
      <c r="L5020" s="94">
        <v>0</v>
      </c>
      <c r="M5020" s="94">
        <v>0</v>
      </c>
    </row>
    <row r="5021" spans="3:13" x14ac:dyDescent="0.3">
      <c r="C5021" t="s">
        <v>61</v>
      </c>
      <c r="D5021" t="s">
        <v>67</v>
      </c>
      <c r="E5021" t="s">
        <v>63</v>
      </c>
      <c r="F5021" t="s">
        <v>26</v>
      </c>
      <c r="G5021" s="4">
        <v>-1</v>
      </c>
      <c r="H5021" s="4" t="s">
        <v>79</v>
      </c>
      <c r="I5021" s="4" t="s">
        <v>69</v>
      </c>
      <c r="J5021" s="4" t="s">
        <v>66</v>
      </c>
      <c r="K5021" s="4">
        <v>0</v>
      </c>
      <c r="L5021" s="94">
        <v>-98164</v>
      </c>
      <c r="M5021" s="94">
        <v>0</v>
      </c>
    </row>
    <row r="5022" spans="3:13" x14ac:dyDescent="0.3">
      <c r="C5022" t="s">
        <v>61</v>
      </c>
      <c r="D5022" t="s">
        <v>67</v>
      </c>
      <c r="E5022" t="s">
        <v>68</v>
      </c>
      <c r="F5022" t="s">
        <v>25</v>
      </c>
      <c r="G5022" s="4">
        <v>1</v>
      </c>
      <c r="H5022" s="4" t="s">
        <v>14</v>
      </c>
      <c r="I5022" s="4" t="s">
        <v>69</v>
      </c>
      <c r="J5022" s="4" t="s">
        <v>66</v>
      </c>
      <c r="K5022" s="4">
        <v>0</v>
      </c>
      <c r="L5022" s="94">
        <v>663436</v>
      </c>
      <c r="M5022" s="94">
        <v>663436</v>
      </c>
    </row>
    <row r="5023" spans="3:13" x14ac:dyDescent="0.3">
      <c r="C5023" t="s">
        <v>71</v>
      </c>
      <c r="D5023" t="s">
        <v>67</v>
      </c>
      <c r="E5023" t="s">
        <v>63</v>
      </c>
      <c r="F5023" t="s">
        <v>72</v>
      </c>
      <c r="G5023" s="4">
        <v>3</v>
      </c>
      <c r="H5023" s="4" t="s">
        <v>82</v>
      </c>
      <c r="I5023" s="4" t="s">
        <v>69</v>
      </c>
      <c r="J5023" s="4" t="s">
        <v>66</v>
      </c>
      <c r="K5023" s="4">
        <v>0</v>
      </c>
      <c r="L5023" s="94">
        <v>-105183</v>
      </c>
      <c r="M5023" s="94">
        <v>0</v>
      </c>
    </row>
    <row r="5024" spans="3:13" x14ac:dyDescent="0.3">
      <c r="C5024" t="s">
        <v>61</v>
      </c>
      <c r="D5024" t="s">
        <v>67</v>
      </c>
      <c r="E5024" t="s">
        <v>68</v>
      </c>
      <c r="F5024" t="s">
        <v>26</v>
      </c>
      <c r="G5024" s="4">
        <v>8</v>
      </c>
      <c r="H5024" s="4" t="s">
        <v>74</v>
      </c>
      <c r="I5024" s="4" t="s">
        <v>69</v>
      </c>
      <c r="J5024" s="4" t="s">
        <v>66</v>
      </c>
      <c r="K5024" s="4">
        <v>0</v>
      </c>
      <c r="L5024" s="94">
        <v>2405234</v>
      </c>
      <c r="M5024" s="94">
        <v>19241872</v>
      </c>
    </row>
    <row r="5025" spans="3:13" x14ac:dyDescent="0.3">
      <c r="C5025" t="s">
        <v>61</v>
      </c>
      <c r="D5025" t="s">
        <v>67</v>
      </c>
      <c r="E5025" t="s">
        <v>63</v>
      </c>
      <c r="F5025" t="s">
        <v>25</v>
      </c>
      <c r="G5025" s="4">
        <v>11</v>
      </c>
      <c r="H5025" s="4" t="s">
        <v>18</v>
      </c>
      <c r="I5025" s="4" t="s">
        <v>65</v>
      </c>
      <c r="J5025" s="4" t="s">
        <v>66</v>
      </c>
      <c r="K5025" s="4">
        <v>1</v>
      </c>
      <c r="L5025" s="94">
        <v>-41</v>
      </c>
      <c r="M5025" s="94">
        <v>0</v>
      </c>
    </row>
    <row r="5026" spans="3:13" x14ac:dyDescent="0.3">
      <c r="C5026" t="s">
        <v>71</v>
      </c>
      <c r="D5026" t="s">
        <v>67</v>
      </c>
      <c r="E5026" t="s">
        <v>63</v>
      </c>
      <c r="F5026" t="s">
        <v>26</v>
      </c>
      <c r="G5026" s="4">
        <v>8</v>
      </c>
      <c r="H5026" s="4" t="s">
        <v>14</v>
      </c>
      <c r="I5026" s="4" t="s">
        <v>69</v>
      </c>
      <c r="J5026" s="4" t="s">
        <v>66</v>
      </c>
      <c r="K5026" s="4">
        <v>0</v>
      </c>
      <c r="L5026" s="94">
        <v>-693006</v>
      </c>
      <c r="M5026" s="94">
        <v>0</v>
      </c>
    </row>
    <row r="5027" spans="3:13" x14ac:dyDescent="0.3">
      <c r="C5027" t="s">
        <v>70</v>
      </c>
      <c r="D5027" t="s">
        <v>67</v>
      </c>
      <c r="E5027" t="s">
        <v>63</v>
      </c>
      <c r="F5027" t="s">
        <v>26</v>
      </c>
      <c r="G5027" s="4">
        <v>6</v>
      </c>
      <c r="H5027" s="4" t="s">
        <v>12</v>
      </c>
      <c r="I5027" s="4" t="s">
        <v>69</v>
      </c>
      <c r="J5027" s="4" t="s">
        <v>66</v>
      </c>
      <c r="K5027" s="4">
        <v>0</v>
      </c>
      <c r="L5027" s="94">
        <v>-5154</v>
      </c>
      <c r="M5027" s="94">
        <v>0</v>
      </c>
    </row>
    <row r="5028" spans="3:13" x14ac:dyDescent="0.3">
      <c r="C5028" t="s">
        <v>70</v>
      </c>
      <c r="D5028" t="s">
        <v>67</v>
      </c>
      <c r="E5028" t="s">
        <v>63</v>
      </c>
      <c r="F5028" t="s">
        <v>72</v>
      </c>
      <c r="G5028" s="4">
        <v>5</v>
      </c>
      <c r="H5028" s="4" t="s">
        <v>15</v>
      </c>
      <c r="I5028" s="4" t="s">
        <v>69</v>
      </c>
      <c r="J5028" s="4" t="s">
        <v>73</v>
      </c>
      <c r="K5028" s="4">
        <v>1</v>
      </c>
      <c r="L5028" s="94">
        <v>-6874</v>
      </c>
      <c r="M5028" s="94">
        <v>0</v>
      </c>
    </row>
    <row r="5029" spans="3:13" x14ac:dyDescent="0.3">
      <c r="C5029" t="s">
        <v>61</v>
      </c>
      <c r="D5029" t="s">
        <v>67</v>
      </c>
      <c r="E5029" t="s">
        <v>63</v>
      </c>
      <c r="F5029" t="s">
        <v>26</v>
      </c>
      <c r="G5029" s="4">
        <v>2</v>
      </c>
      <c r="H5029" s="4" t="s">
        <v>81</v>
      </c>
      <c r="I5029" s="4" t="s">
        <v>69</v>
      </c>
      <c r="J5029" s="4" t="s">
        <v>66</v>
      </c>
      <c r="K5029" s="4">
        <v>0</v>
      </c>
      <c r="L5029" s="94">
        <v>-986</v>
      </c>
      <c r="M5029" s="94">
        <v>0</v>
      </c>
    </row>
    <row r="5030" spans="3:13" x14ac:dyDescent="0.3">
      <c r="C5030" t="s">
        <v>70</v>
      </c>
      <c r="D5030" t="s">
        <v>67</v>
      </c>
      <c r="E5030" t="s">
        <v>68</v>
      </c>
      <c r="F5030" t="s">
        <v>72</v>
      </c>
      <c r="G5030" s="4">
        <v>4</v>
      </c>
      <c r="H5030" s="4" t="s">
        <v>17</v>
      </c>
      <c r="I5030" s="4" t="s">
        <v>69</v>
      </c>
      <c r="J5030" s="4" t="s">
        <v>66</v>
      </c>
      <c r="K5030" s="4">
        <v>0</v>
      </c>
      <c r="L5030" s="94">
        <v>1806179</v>
      </c>
      <c r="M5030" s="94">
        <v>7224716</v>
      </c>
    </row>
    <row r="5031" spans="3:13" x14ac:dyDescent="0.3">
      <c r="C5031" t="s">
        <v>61</v>
      </c>
      <c r="D5031" t="s">
        <v>67</v>
      </c>
      <c r="E5031" t="s">
        <v>63</v>
      </c>
      <c r="F5031" t="s">
        <v>25</v>
      </c>
      <c r="G5031" s="4">
        <v>12</v>
      </c>
      <c r="H5031" s="4" t="s">
        <v>64</v>
      </c>
      <c r="I5031" s="4" t="s">
        <v>69</v>
      </c>
      <c r="J5031" s="4" t="s">
        <v>66</v>
      </c>
      <c r="K5031" s="4">
        <v>0</v>
      </c>
      <c r="L5031" s="94">
        <v>-4245</v>
      </c>
      <c r="M5031" s="94">
        <v>0</v>
      </c>
    </row>
    <row r="5032" spans="3:13" x14ac:dyDescent="0.3">
      <c r="C5032" t="s">
        <v>61</v>
      </c>
      <c r="D5032" t="s">
        <v>67</v>
      </c>
      <c r="E5032" t="s">
        <v>68</v>
      </c>
      <c r="F5032" t="s">
        <v>26</v>
      </c>
      <c r="G5032" s="4">
        <v>7</v>
      </c>
      <c r="H5032" s="4" t="s">
        <v>12</v>
      </c>
      <c r="I5032" s="4" t="s">
        <v>69</v>
      </c>
      <c r="J5032" s="4" t="s">
        <v>66</v>
      </c>
      <c r="K5032" s="4">
        <v>0</v>
      </c>
      <c r="L5032" s="94">
        <v>411499</v>
      </c>
      <c r="M5032" s="94">
        <v>2880493</v>
      </c>
    </row>
    <row r="5033" spans="3:13" x14ac:dyDescent="0.3">
      <c r="C5033" t="s">
        <v>61</v>
      </c>
      <c r="D5033" t="s">
        <v>67</v>
      </c>
      <c r="E5033" t="s">
        <v>68</v>
      </c>
      <c r="F5033" t="s">
        <v>72</v>
      </c>
      <c r="G5033" s="4">
        <v>3</v>
      </c>
      <c r="H5033" s="4" t="s">
        <v>14</v>
      </c>
      <c r="I5033" s="4" t="s">
        <v>69</v>
      </c>
      <c r="J5033" s="4" t="s">
        <v>66</v>
      </c>
      <c r="K5033" s="4">
        <v>0</v>
      </c>
      <c r="L5033" s="94">
        <v>5929541</v>
      </c>
      <c r="M5033" s="94">
        <v>17788623</v>
      </c>
    </row>
    <row r="5034" spans="3:13" x14ac:dyDescent="0.3">
      <c r="C5034" t="s">
        <v>70</v>
      </c>
      <c r="D5034" t="s">
        <v>67</v>
      </c>
      <c r="E5034" t="s">
        <v>63</v>
      </c>
      <c r="F5034" t="s">
        <v>26</v>
      </c>
      <c r="G5034" s="4">
        <v>0</v>
      </c>
      <c r="H5034" s="4" t="s">
        <v>17</v>
      </c>
      <c r="I5034" s="4" t="s">
        <v>69</v>
      </c>
      <c r="J5034" s="4" t="s">
        <v>73</v>
      </c>
      <c r="K5034" s="4">
        <v>1</v>
      </c>
      <c r="L5034" s="94">
        <v>-3098</v>
      </c>
      <c r="M5034" s="94">
        <v>0</v>
      </c>
    </row>
    <row r="5035" spans="3:13" x14ac:dyDescent="0.3">
      <c r="C5035" t="s">
        <v>71</v>
      </c>
      <c r="D5035" t="s">
        <v>67</v>
      </c>
      <c r="E5035" t="s">
        <v>63</v>
      </c>
      <c r="F5035" t="s">
        <v>26</v>
      </c>
      <c r="G5035" s="4">
        <v>3</v>
      </c>
      <c r="H5035" s="4" t="s">
        <v>17</v>
      </c>
      <c r="I5035" s="4" t="s">
        <v>69</v>
      </c>
      <c r="J5035" s="4" t="s">
        <v>73</v>
      </c>
      <c r="K5035" s="4">
        <v>1</v>
      </c>
      <c r="L5035" s="94">
        <v>-475577</v>
      </c>
      <c r="M5035" s="94">
        <v>0</v>
      </c>
    </row>
    <row r="5036" spans="3:13" x14ac:dyDescent="0.3">
      <c r="C5036" t="s">
        <v>71</v>
      </c>
      <c r="D5036" t="s">
        <v>67</v>
      </c>
      <c r="E5036" t="s">
        <v>68</v>
      </c>
      <c r="F5036" t="s">
        <v>25</v>
      </c>
      <c r="G5036" s="4">
        <v>13</v>
      </c>
      <c r="H5036" s="4" t="s">
        <v>76</v>
      </c>
      <c r="I5036" s="4" t="s">
        <v>69</v>
      </c>
      <c r="J5036" s="4" t="s">
        <v>66</v>
      </c>
      <c r="K5036" s="4">
        <v>0</v>
      </c>
      <c r="L5036" s="94">
        <v>13386438</v>
      </c>
      <c r="M5036" s="94">
        <v>174023694</v>
      </c>
    </row>
    <row r="5037" spans="3:13" x14ac:dyDescent="0.3">
      <c r="C5037" t="s">
        <v>61</v>
      </c>
      <c r="D5037" t="s">
        <v>67</v>
      </c>
      <c r="E5037" t="s">
        <v>68</v>
      </c>
      <c r="F5037" t="s">
        <v>25</v>
      </c>
      <c r="G5037" s="4">
        <v>1</v>
      </c>
      <c r="H5037" s="4" t="s">
        <v>12</v>
      </c>
      <c r="I5037" s="4" t="s">
        <v>69</v>
      </c>
      <c r="J5037" s="4" t="s">
        <v>66</v>
      </c>
      <c r="K5037" s="4">
        <v>0</v>
      </c>
      <c r="L5037" s="94">
        <v>64380</v>
      </c>
      <c r="M5037" s="94">
        <v>64380</v>
      </c>
    </row>
    <row r="5038" spans="3:13" x14ac:dyDescent="0.3">
      <c r="C5038" t="s">
        <v>71</v>
      </c>
      <c r="D5038" t="s">
        <v>62</v>
      </c>
      <c r="E5038" t="s">
        <v>68</v>
      </c>
      <c r="F5038" t="s">
        <v>25</v>
      </c>
      <c r="G5038" s="4">
        <v>26</v>
      </c>
      <c r="I5038" s="4" t="s">
        <v>69</v>
      </c>
      <c r="J5038" s="4" t="s">
        <v>66</v>
      </c>
      <c r="K5038" s="4">
        <v>0</v>
      </c>
      <c r="L5038" s="94">
        <v>87027</v>
      </c>
      <c r="M5038" s="94">
        <v>2262702</v>
      </c>
    </row>
    <row r="5039" spans="3:13" x14ac:dyDescent="0.3">
      <c r="C5039" t="s">
        <v>71</v>
      </c>
      <c r="D5039" t="s">
        <v>67</v>
      </c>
      <c r="E5039" t="s">
        <v>68</v>
      </c>
      <c r="F5039" t="s">
        <v>72</v>
      </c>
      <c r="G5039" s="4">
        <v>1</v>
      </c>
      <c r="H5039" s="4" t="s">
        <v>12</v>
      </c>
      <c r="I5039" s="4" t="s">
        <v>65</v>
      </c>
      <c r="J5039" s="4" t="s">
        <v>73</v>
      </c>
      <c r="K5039" s="4">
        <v>1</v>
      </c>
      <c r="L5039" s="94">
        <v>15191</v>
      </c>
      <c r="M5039" s="94">
        <v>15191</v>
      </c>
    </row>
    <row r="5040" spans="3:13" x14ac:dyDescent="0.3">
      <c r="C5040" t="s">
        <v>61</v>
      </c>
      <c r="D5040" t="s">
        <v>67</v>
      </c>
      <c r="E5040" t="s">
        <v>68</v>
      </c>
      <c r="F5040" t="s">
        <v>25</v>
      </c>
      <c r="G5040" s="4">
        <v>1</v>
      </c>
      <c r="H5040" s="4" t="s">
        <v>17</v>
      </c>
      <c r="I5040" s="4" t="s">
        <v>65</v>
      </c>
      <c r="J5040" s="4" t="s">
        <v>66</v>
      </c>
      <c r="K5040" s="4">
        <v>1</v>
      </c>
      <c r="L5040" s="94">
        <v>404282</v>
      </c>
      <c r="M5040" s="94">
        <v>404282</v>
      </c>
    </row>
    <row r="5041" spans="3:13" x14ac:dyDescent="0.3">
      <c r="C5041" t="s">
        <v>70</v>
      </c>
      <c r="D5041" t="s">
        <v>67</v>
      </c>
      <c r="E5041" t="s">
        <v>68</v>
      </c>
      <c r="F5041" t="s">
        <v>25</v>
      </c>
      <c r="G5041" s="4">
        <v>8</v>
      </c>
      <c r="H5041" s="4" t="s">
        <v>12</v>
      </c>
      <c r="I5041" s="4" t="s">
        <v>69</v>
      </c>
      <c r="J5041" s="4" t="s">
        <v>66</v>
      </c>
      <c r="K5041" s="4">
        <v>1</v>
      </c>
      <c r="L5041" s="94">
        <v>272023</v>
      </c>
      <c r="M5041" s="94">
        <v>2176184</v>
      </c>
    </row>
    <row r="5042" spans="3:13" x14ac:dyDescent="0.3">
      <c r="C5042" t="s">
        <v>70</v>
      </c>
      <c r="D5042" t="s">
        <v>67</v>
      </c>
      <c r="E5042" t="s">
        <v>63</v>
      </c>
      <c r="F5042" t="s">
        <v>25</v>
      </c>
      <c r="G5042" s="4">
        <v>15</v>
      </c>
      <c r="H5042" s="4" t="s">
        <v>14</v>
      </c>
      <c r="I5042" s="4" t="s">
        <v>69</v>
      </c>
      <c r="J5042" s="4" t="s">
        <v>66</v>
      </c>
      <c r="K5042" s="4">
        <v>0</v>
      </c>
      <c r="L5042" s="94">
        <v>-6278</v>
      </c>
      <c r="M5042" s="94">
        <v>0</v>
      </c>
    </row>
    <row r="5043" spans="3:13" x14ac:dyDescent="0.3">
      <c r="C5043" t="s">
        <v>61</v>
      </c>
      <c r="D5043" t="s">
        <v>67</v>
      </c>
      <c r="E5043" t="s">
        <v>63</v>
      </c>
      <c r="F5043" t="s">
        <v>26</v>
      </c>
      <c r="G5043" s="4">
        <v>-1</v>
      </c>
      <c r="H5043" s="4" t="s">
        <v>80</v>
      </c>
      <c r="I5043" s="4" t="s">
        <v>69</v>
      </c>
      <c r="J5043" s="4" t="s">
        <v>66</v>
      </c>
      <c r="K5043" s="4">
        <v>0</v>
      </c>
      <c r="L5043" s="94">
        <v>-30205</v>
      </c>
      <c r="M5043" s="94">
        <v>0</v>
      </c>
    </row>
    <row r="5044" spans="3:13" x14ac:dyDescent="0.3">
      <c r="C5044" t="s">
        <v>70</v>
      </c>
      <c r="D5044" t="s">
        <v>67</v>
      </c>
      <c r="E5044" t="s">
        <v>63</v>
      </c>
      <c r="F5044" t="s">
        <v>26</v>
      </c>
      <c r="G5044" s="4">
        <v>-1</v>
      </c>
      <c r="H5044" s="4" t="s">
        <v>18</v>
      </c>
      <c r="I5044" s="4" t="s">
        <v>69</v>
      </c>
      <c r="J5044" s="4" t="s">
        <v>73</v>
      </c>
      <c r="K5044" s="4">
        <v>1</v>
      </c>
      <c r="L5044" s="94">
        <v>-341048</v>
      </c>
      <c r="M5044" s="94">
        <v>0</v>
      </c>
    </row>
    <row r="5045" spans="3:13" x14ac:dyDescent="0.3">
      <c r="C5045" t="s">
        <v>61</v>
      </c>
      <c r="D5045" t="s">
        <v>67</v>
      </c>
      <c r="E5045" t="s">
        <v>68</v>
      </c>
      <c r="F5045" t="s">
        <v>25</v>
      </c>
      <c r="G5045" s="4">
        <v>8</v>
      </c>
      <c r="H5045" s="4" t="s">
        <v>16</v>
      </c>
      <c r="I5045" s="4" t="s">
        <v>69</v>
      </c>
      <c r="J5045" s="4" t="s">
        <v>66</v>
      </c>
      <c r="K5045" s="4">
        <v>0</v>
      </c>
      <c r="L5045" s="94">
        <v>715942</v>
      </c>
      <c r="M5045" s="94">
        <v>5727536</v>
      </c>
    </row>
    <row r="5046" spans="3:13" x14ac:dyDescent="0.3">
      <c r="C5046" t="s">
        <v>70</v>
      </c>
      <c r="D5046" t="s">
        <v>67</v>
      </c>
      <c r="E5046" t="s">
        <v>68</v>
      </c>
      <c r="F5046" t="s">
        <v>25</v>
      </c>
      <c r="G5046" s="4">
        <v>9</v>
      </c>
      <c r="H5046" s="4" t="s">
        <v>82</v>
      </c>
      <c r="I5046" s="4" t="s">
        <v>69</v>
      </c>
      <c r="J5046" s="4" t="s">
        <v>66</v>
      </c>
      <c r="K5046" s="4">
        <v>0</v>
      </c>
      <c r="L5046" s="94">
        <v>1591914</v>
      </c>
      <c r="M5046" s="94">
        <v>14327226</v>
      </c>
    </row>
    <row r="5047" spans="3:13" x14ac:dyDescent="0.3">
      <c r="C5047" t="s">
        <v>61</v>
      </c>
      <c r="D5047" t="s">
        <v>67</v>
      </c>
      <c r="E5047" t="s">
        <v>63</v>
      </c>
      <c r="F5047" t="s">
        <v>25</v>
      </c>
      <c r="G5047" s="4">
        <v>4</v>
      </c>
      <c r="H5047" s="4" t="s">
        <v>18</v>
      </c>
      <c r="I5047" s="4" t="s">
        <v>69</v>
      </c>
      <c r="J5047" s="4" t="s">
        <v>66</v>
      </c>
      <c r="K5047" s="4">
        <v>0</v>
      </c>
      <c r="L5047" s="94">
        <v>-10291</v>
      </c>
      <c r="M5047" s="94">
        <v>0</v>
      </c>
    </row>
    <row r="5048" spans="3:13" x14ac:dyDescent="0.3">
      <c r="C5048" t="s">
        <v>71</v>
      </c>
      <c r="D5048" t="s">
        <v>67</v>
      </c>
      <c r="E5048" t="s">
        <v>63</v>
      </c>
      <c r="F5048" t="s">
        <v>26</v>
      </c>
      <c r="G5048" s="4">
        <v>-1</v>
      </c>
      <c r="H5048" s="4" t="s">
        <v>79</v>
      </c>
      <c r="I5048" s="4" t="s">
        <v>69</v>
      </c>
      <c r="J5048" s="4" t="s">
        <v>66</v>
      </c>
      <c r="K5048" s="4">
        <v>0</v>
      </c>
      <c r="L5048" s="94">
        <v>-666363</v>
      </c>
      <c r="M5048" s="94">
        <v>0</v>
      </c>
    </row>
    <row r="5049" spans="3:13" x14ac:dyDescent="0.3">
      <c r="C5049" t="s">
        <v>70</v>
      </c>
      <c r="D5049" t="s">
        <v>67</v>
      </c>
      <c r="E5049" t="s">
        <v>63</v>
      </c>
      <c r="F5049" t="s">
        <v>26</v>
      </c>
      <c r="G5049" s="4">
        <v>5</v>
      </c>
      <c r="H5049" s="4" t="s">
        <v>18</v>
      </c>
      <c r="I5049" s="4" t="s">
        <v>69</v>
      </c>
      <c r="J5049" s="4" t="s">
        <v>66</v>
      </c>
      <c r="K5049" s="4">
        <v>0</v>
      </c>
      <c r="L5049" s="94">
        <v>-291609</v>
      </c>
      <c r="M5049" s="94">
        <v>0</v>
      </c>
    </row>
    <row r="5050" spans="3:13" x14ac:dyDescent="0.3">
      <c r="C5050" t="s">
        <v>71</v>
      </c>
      <c r="D5050" t="s">
        <v>67</v>
      </c>
      <c r="E5050" t="s">
        <v>68</v>
      </c>
      <c r="F5050" t="s">
        <v>26</v>
      </c>
      <c r="G5050" s="4">
        <v>-4</v>
      </c>
      <c r="H5050" s="4" t="s">
        <v>12</v>
      </c>
      <c r="I5050" s="4" t="s">
        <v>69</v>
      </c>
      <c r="J5050" s="4" t="s">
        <v>73</v>
      </c>
      <c r="K5050" s="4">
        <v>1</v>
      </c>
      <c r="L5050" s="94">
        <v>293329</v>
      </c>
      <c r="M5050" s="94">
        <v>0</v>
      </c>
    </row>
    <row r="5051" spans="3:13" x14ac:dyDescent="0.3">
      <c r="C5051" t="s">
        <v>61</v>
      </c>
      <c r="D5051" t="s">
        <v>67</v>
      </c>
      <c r="E5051" t="s">
        <v>68</v>
      </c>
      <c r="F5051" t="s">
        <v>25</v>
      </c>
      <c r="G5051" s="4">
        <v>6</v>
      </c>
      <c r="H5051" s="4" t="s">
        <v>17</v>
      </c>
      <c r="I5051" s="4" t="s">
        <v>69</v>
      </c>
      <c r="J5051" s="4" t="s">
        <v>66</v>
      </c>
      <c r="K5051" s="4">
        <v>0</v>
      </c>
      <c r="L5051" s="94">
        <v>4230771</v>
      </c>
      <c r="M5051" s="94">
        <v>25384626</v>
      </c>
    </row>
    <row r="5052" spans="3:13" x14ac:dyDescent="0.3">
      <c r="C5052" t="s">
        <v>61</v>
      </c>
      <c r="D5052" t="s">
        <v>67</v>
      </c>
      <c r="E5052" t="s">
        <v>63</v>
      </c>
      <c r="F5052" t="s">
        <v>72</v>
      </c>
      <c r="G5052" s="4">
        <v>5</v>
      </c>
      <c r="H5052" s="4" t="s">
        <v>15</v>
      </c>
      <c r="I5052" s="4" t="s">
        <v>69</v>
      </c>
      <c r="J5052" s="4" t="s">
        <v>73</v>
      </c>
      <c r="K5052" s="4">
        <v>1</v>
      </c>
      <c r="L5052" s="94">
        <v>-781</v>
      </c>
      <c r="M5052" s="94">
        <v>0</v>
      </c>
    </row>
    <row r="5053" spans="3:13" x14ac:dyDescent="0.3">
      <c r="C5053" t="s">
        <v>61</v>
      </c>
      <c r="D5053" t="s">
        <v>67</v>
      </c>
      <c r="E5053" t="s">
        <v>68</v>
      </c>
      <c r="F5053" t="s">
        <v>26</v>
      </c>
      <c r="G5053" s="4">
        <v>4</v>
      </c>
      <c r="H5053" s="4" t="s">
        <v>14</v>
      </c>
      <c r="I5053" s="4" t="s">
        <v>65</v>
      </c>
      <c r="J5053" s="4" t="s">
        <v>73</v>
      </c>
      <c r="K5053" s="4">
        <v>1</v>
      </c>
      <c r="L5053" s="94">
        <v>314298</v>
      </c>
      <c r="M5053" s="94">
        <v>1257192</v>
      </c>
    </row>
    <row r="5054" spans="3:13" x14ac:dyDescent="0.3">
      <c r="C5054" t="s">
        <v>70</v>
      </c>
      <c r="D5054" t="s">
        <v>67</v>
      </c>
      <c r="E5054" t="s">
        <v>63</v>
      </c>
      <c r="F5054" t="s">
        <v>72</v>
      </c>
      <c r="G5054" s="4">
        <v>10</v>
      </c>
      <c r="H5054" s="4" t="s">
        <v>74</v>
      </c>
      <c r="I5054" s="4" t="s">
        <v>69</v>
      </c>
      <c r="J5054" s="4" t="s">
        <v>66</v>
      </c>
      <c r="K5054" s="4">
        <v>0</v>
      </c>
      <c r="L5054" s="94">
        <v>-487</v>
      </c>
      <c r="M5054" s="94">
        <v>0</v>
      </c>
    </row>
    <row r="5055" spans="3:13" x14ac:dyDescent="0.3">
      <c r="C5055" t="s">
        <v>61</v>
      </c>
      <c r="D5055" t="s">
        <v>84</v>
      </c>
      <c r="E5055" t="s">
        <v>68</v>
      </c>
      <c r="F5055" t="s">
        <v>25</v>
      </c>
      <c r="G5055" s="4">
        <v>4</v>
      </c>
      <c r="H5055" s="4" t="s">
        <v>81</v>
      </c>
      <c r="I5055" s="4" t="s">
        <v>69</v>
      </c>
      <c r="J5055" s="4" t="s">
        <v>66</v>
      </c>
      <c r="K5055" s="4">
        <v>0</v>
      </c>
      <c r="L5055" s="94">
        <v>36988037</v>
      </c>
      <c r="M5055" s="94">
        <v>147952148</v>
      </c>
    </row>
    <row r="5056" spans="3:13" x14ac:dyDescent="0.3">
      <c r="C5056" t="s">
        <v>71</v>
      </c>
      <c r="D5056" t="s">
        <v>67</v>
      </c>
      <c r="E5056" t="s">
        <v>63</v>
      </c>
      <c r="F5056" t="s">
        <v>72</v>
      </c>
      <c r="G5056" s="4">
        <v>9</v>
      </c>
      <c r="H5056" s="4" t="s">
        <v>13</v>
      </c>
      <c r="I5056" s="4" t="s">
        <v>69</v>
      </c>
      <c r="J5056" s="4" t="s">
        <v>73</v>
      </c>
      <c r="K5056" s="4">
        <v>1</v>
      </c>
      <c r="L5056" s="94">
        <v>-194934</v>
      </c>
      <c r="M5056" s="94">
        <v>0</v>
      </c>
    </row>
    <row r="5057" spans="3:13" x14ac:dyDescent="0.3">
      <c r="C5057" t="s">
        <v>61</v>
      </c>
      <c r="D5057" t="s">
        <v>67</v>
      </c>
      <c r="E5057" t="s">
        <v>63</v>
      </c>
      <c r="F5057" t="s">
        <v>25</v>
      </c>
      <c r="G5057" s="4">
        <v>6</v>
      </c>
      <c r="H5057" s="4" t="s">
        <v>89</v>
      </c>
      <c r="I5057" s="4" t="s">
        <v>69</v>
      </c>
      <c r="J5057" s="4" t="s">
        <v>66</v>
      </c>
      <c r="K5057" s="4">
        <v>0</v>
      </c>
      <c r="L5057" s="94">
        <v>-283</v>
      </c>
      <c r="M5057" s="94">
        <v>0</v>
      </c>
    </row>
    <row r="5058" spans="3:13" x14ac:dyDescent="0.3">
      <c r="C5058" t="s">
        <v>71</v>
      </c>
      <c r="D5058" t="s">
        <v>67</v>
      </c>
      <c r="E5058" t="s">
        <v>68</v>
      </c>
      <c r="F5058" t="s">
        <v>26</v>
      </c>
      <c r="G5058" s="4">
        <v>3</v>
      </c>
      <c r="H5058" s="4" t="s">
        <v>80</v>
      </c>
      <c r="I5058" s="4" t="s">
        <v>69</v>
      </c>
      <c r="J5058" s="4" t="s">
        <v>66</v>
      </c>
      <c r="K5058" s="4">
        <v>0</v>
      </c>
      <c r="L5058" s="94">
        <v>82260</v>
      </c>
      <c r="M5058" s="94">
        <v>246780</v>
      </c>
    </row>
    <row r="5059" spans="3:13" x14ac:dyDescent="0.3">
      <c r="C5059" t="s">
        <v>71</v>
      </c>
      <c r="D5059" t="s">
        <v>67</v>
      </c>
      <c r="E5059" t="s">
        <v>63</v>
      </c>
      <c r="F5059" t="s">
        <v>26</v>
      </c>
      <c r="G5059" s="4">
        <v>0</v>
      </c>
      <c r="H5059" s="4" t="s">
        <v>78</v>
      </c>
      <c r="I5059" s="4" t="s">
        <v>69</v>
      </c>
      <c r="J5059" s="4" t="s">
        <v>66</v>
      </c>
      <c r="K5059" s="4">
        <v>0</v>
      </c>
      <c r="L5059" s="94">
        <v>-3101</v>
      </c>
      <c r="M5059" s="94">
        <v>0</v>
      </c>
    </row>
    <row r="5060" spans="3:13" x14ac:dyDescent="0.3">
      <c r="C5060" t="s">
        <v>70</v>
      </c>
      <c r="D5060" t="s">
        <v>67</v>
      </c>
      <c r="E5060" t="s">
        <v>68</v>
      </c>
      <c r="F5060" t="s">
        <v>72</v>
      </c>
      <c r="G5060" s="4">
        <v>7</v>
      </c>
      <c r="H5060" s="4" t="s">
        <v>64</v>
      </c>
      <c r="I5060" s="4" t="s">
        <v>69</v>
      </c>
      <c r="J5060" s="4" t="s">
        <v>66</v>
      </c>
      <c r="K5060" s="4">
        <v>0</v>
      </c>
      <c r="L5060" s="94">
        <v>168035</v>
      </c>
      <c r="M5060" s="94">
        <v>1176245</v>
      </c>
    </row>
    <row r="5061" spans="3:13" x14ac:dyDescent="0.3">
      <c r="C5061" t="s">
        <v>61</v>
      </c>
      <c r="D5061" t="s">
        <v>62</v>
      </c>
      <c r="E5061" t="s">
        <v>68</v>
      </c>
      <c r="F5061" t="s">
        <v>24</v>
      </c>
      <c r="G5061" s="4">
        <v>27</v>
      </c>
      <c r="I5061" s="4" t="s">
        <v>69</v>
      </c>
      <c r="J5061" s="4" t="s">
        <v>66</v>
      </c>
      <c r="K5061" s="4">
        <v>0</v>
      </c>
      <c r="L5061" s="94">
        <v>769534228</v>
      </c>
      <c r="M5061" s="94">
        <v>20777424156</v>
      </c>
    </row>
    <row r="5062" spans="3:13" x14ac:dyDescent="0.3">
      <c r="C5062" t="s">
        <v>71</v>
      </c>
      <c r="D5062" t="s">
        <v>67</v>
      </c>
      <c r="E5062" t="s">
        <v>68</v>
      </c>
      <c r="F5062" t="s">
        <v>26</v>
      </c>
      <c r="G5062" s="4">
        <v>-1</v>
      </c>
      <c r="H5062" s="4" t="s">
        <v>17</v>
      </c>
      <c r="I5062" s="4" t="s">
        <v>65</v>
      </c>
      <c r="J5062" s="4" t="s">
        <v>73</v>
      </c>
      <c r="K5062" s="4">
        <v>1</v>
      </c>
      <c r="L5062" s="94">
        <v>147733</v>
      </c>
      <c r="M5062" s="94">
        <v>0</v>
      </c>
    </row>
    <row r="5063" spans="3:13" x14ac:dyDescent="0.3">
      <c r="C5063" t="s">
        <v>61</v>
      </c>
      <c r="D5063" t="s">
        <v>62</v>
      </c>
      <c r="E5063" t="s">
        <v>63</v>
      </c>
      <c r="F5063" t="s">
        <v>25</v>
      </c>
      <c r="G5063" s="4">
        <v>24</v>
      </c>
      <c r="I5063" s="4" t="s">
        <v>69</v>
      </c>
      <c r="J5063" s="4" t="s">
        <v>66</v>
      </c>
      <c r="K5063" s="4">
        <v>0</v>
      </c>
      <c r="L5063" s="94">
        <v>-2992</v>
      </c>
      <c r="M5063" s="94">
        <v>0</v>
      </c>
    </row>
    <row r="5064" spans="3:13" x14ac:dyDescent="0.3">
      <c r="C5064" t="s">
        <v>70</v>
      </c>
      <c r="D5064" t="s">
        <v>67</v>
      </c>
      <c r="E5064" t="s">
        <v>68</v>
      </c>
      <c r="F5064" t="s">
        <v>25</v>
      </c>
      <c r="G5064" s="4">
        <v>2</v>
      </c>
      <c r="H5064" s="4" t="s">
        <v>16</v>
      </c>
      <c r="I5064" s="4" t="s">
        <v>69</v>
      </c>
      <c r="J5064" s="4" t="s">
        <v>66</v>
      </c>
      <c r="K5064" s="4">
        <v>0</v>
      </c>
      <c r="L5064" s="94">
        <v>5040</v>
      </c>
      <c r="M5064" s="94">
        <v>10080</v>
      </c>
    </row>
    <row r="5065" spans="3:13" x14ac:dyDescent="0.3">
      <c r="C5065" t="s">
        <v>61</v>
      </c>
      <c r="D5065" t="s">
        <v>67</v>
      </c>
      <c r="E5065" t="s">
        <v>68</v>
      </c>
      <c r="F5065" t="s">
        <v>26</v>
      </c>
      <c r="G5065" s="4">
        <v>11</v>
      </c>
      <c r="H5065" s="4" t="s">
        <v>82</v>
      </c>
      <c r="I5065" s="4" t="s">
        <v>69</v>
      </c>
      <c r="J5065" s="4" t="s">
        <v>66</v>
      </c>
      <c r="K5065" s="4">
        <v>0</v>
      </c>
      <c r="L5065" s="94">
        <v>10506020</v>
      </c>
      <c r="M5065" s="94">
        <v>115566220</v>
      </c>
    </row>
    <row r="5066" spans="3:13" x14ac:dyDescent="0.3">
      <c r="C5066" t="s">
        <v>71</v>
      </c>
      <c r="D5066" t="s">
        <v>67</v>
      </c>
      <c r="E5066" t="s">
        <v>68</v>
      </c>
      <c r="F5066" t="s">
        <v>25</v>
      </c>
      <c r="G5066" s="4">
        <v>-4</v>
      </c>
      <c r="H5066" s="4" t="s">
        <v>13</v>
      </c>
      <c r="I5066" s="4" t="s">
        <v>69</v>
      </c>
      <c r="J5066" s="4" t="s">
        <v>66</v>
      </c>
      <c r="K5066" s="4">
        <v>1</v>
      </c>
      <c r="L5066" s="94">
        <v>30666</v>
      </c>
      <c r="M5066" s="94">
        <v>0</v>
      </c>
    </row>
    <row r="5067" spans="3:13" x14ac:dyDescent="0.3">
      <c r="C5067" t="s">
        <v>61</v>
      </c>
      <c r="D5067" t="s">
        <v>67</v>
      </c>
      <c r="E5067" t="s">
        <v>68</v>
      </c>
      <c r="F5067" t="s">
        <v>26</v>
      </c>
      <c r="G5067" s="4">
        <v>2</v>
      </c>
      <c r="H5067" s="4" t="s">
        <v>86</v>
      </c>
      <c r="I5067" s="4" t="s">
        <v>69</v>
      </c>
      <c r="J5067" s="4" t="s">
        <v>66</v>
      </c>
      <c r="K5067" s="4">
        <v>0</v>
      </c>
      <c r="L5067" s="94">
        <v>13874</v>
      </c>
      <c r="M5067" s="94">
        <v>27748</v>
      </c>
    </row>
    <row r="5068" spans="3:13" x14ac:dyDescent="0.3">
      <c r="C5068" t="s">
        <v>71</v>
      </c>
      <c r="D5068" t="s">
        <v>67</v>
      </c>
      <c r="E5068" t="s">
        <v>63</v>
      </c>
      <c r="F5068" t="s">
        <v>26</v>
      </c>
      <c r="G5068" s="4">
        <v>2</v>
      </c>
      <c r="H5068" s="4" t="s">
        <v>76</v>
      </c>
      <c r="I5068" s="4" t="s">
        <v>69</v>
      </c>
      <c r="J5068" s="4" t="s">
        <v>66</v>
      </c>
      <c r="K5068" s="4">
        <v>0</v>
      </c>
      <c r="L5068" s="94">
        <v>-310906</v>
      </c>
      <c r="M5068" s="94">
        <v>0</v>
      </c>
    </row>
    <row r="5069" spans="3:13" x14ac:dyDescent="0.3">
      <c r="C5069" t="s">
        <v>71</v>
      </c>
      <c r="D5069" t="s">
        <v>67</v>
      </c>
      <c r="E5069" t="s">
        <v>68</v>
      </c>
      <c r="F5069" t="s">
        <v>72</v>
      </c>
      <c r="G5069" s="4">
        <v>0</v>
      </c>
      <c r="H5069" s="4" t="s">
        <v>76</v>
      </c>
      <c r="I5069" s="4" t="s">
        <v>69</v>
      </c>
      <c r="J5069" s="4" t="s">
        <v>66</v>
      </c>
      <c r="K5069" s="4">
        <v>0</v>
      </c>
      <c r="L5069" s="94">
        <v>148281</v>
      </c>
      <c r="M5069" s="94">
        <v>0</v>
      </c>
    </row>
    <row r="5070" spans="3:13" x14ac:dyDescent="0.3">
      <c r="C5070" t="s">
        <v>71</v>
      </c>
      <c r="D5070" t="s">
        <v>67</v>
      </c>
      <c r="E5070" t="s">
        <v>68</v>
      </c>
      <c r="F5070" t="s">
        <v>72</v>
      </c>
      <c r="G5070" s="4">
        <v>3</v>
      </c>
      <c r="H5070" s="4" t="s">
        <v>82</v>
      </c>
      <c r="I5070" s="4" t="s">
        <v>69</v>
      </c>
      <c r="J5070" s="4" t="s">
        <v>66</v>
      </c>
      <c r="K5070" s="4">
        <v>0</v>
      </c>
      <c r="L5070" s="94">
        <v>159205</v>
      </c>
      <c r="M5070" s="94">
        <v>477615</v>
      </c>
    </row>
    <row r="5071" spans="3:13" x14ac:dyDescent="0.3">
      <c r="C5071" t="s">
        <v>70</v>
      </c>
      <c r="D5071" t="s">
        <v>67</v>
      </c>
      <c r="E5071" t="s">
        <v>63</v>
      </c>
      <c r="F5071" t="s">
        <v>25</v>
      </c>
      <c r="G5071" s="4">
        <v>5</v>
      </c>
      <c r="H5071" s="4" t="s">
        <v>12</v>
      </c>
      <c r="I5071" s="4" t="s">
        <v>69</v>
      </c>
      <c r="J5071" s="4" t="s">
        <v>66</v>
      </c>
      <c r="K5071" s="4">
        <v>1</v>
      </c>
      <c r="L5071" s="94">
        <v>-21866</v>
      </c>
      <c r="M5071" s="94">
        <v>0</v>
      </c>
    </row>
    <row r="5072" spans="3:13" x14ac:dyDescent="0.3">
      <c r="C5072" t="s">
        <v>61</v>
      </c>
      <c r="D5072" t="s">
        <v>67</v>
      </c>
      <c r="E5072" t="s">
        <v>68</v>
      </c>
      <c r="F5072" t="s">
        <v>26</v>
      </c>
      <c r="G5072" s="4">
        <v>5</v>
      </c>
      <c r="H5072" s="4" t="s">
        <v>76</v>
      </c>
      <c r="I5072" s="4" t="s">
        <v>69</v>
      </c>
      <c r="J5072" s="4" t="s">
        <v>66</v>
      </c>
      <c r="K5072" s="4">
        <v>0</v>
      </c>
      <c r="L5072" s="94">
        <v>17654384</v>
      </c>
      <c r="M5072" s="94">
        <v>88271920</v>
      </c>
    </row>
    <row r="5073" spans="3:13" x14ac:dyDescent="0.3">
      <c r="C5073" t="s">
        <v>61</v>
      </c>
      <c r="D5073" t="s">
        <v>62</v>
      </c>
      <c r="E5073" t="s">
        <v>63</v>
      </c>
      <c r="F5073" t="s">
        <v>24</v>
      </c>
      <c r="G5073" s="4">
        <v>43</v>
      </c>
      <c r="I5073" s="4" t="s">
        <v>69</v>
      </c>
      <c r="J5073" s="4" t="s">
        <v>66</v>
      </c>
      <c r="K5073" s="4">
        <v>0</v>
      </c>
      <c r="L5073" s="94">
        <v>-11594</v>
      </c>
      <c r="M5073" s="94">
        <v>0</v>
      </c>
    </row>
    <row r="5074" spans="3:13" x14ac:dyDescent="0.3">
      <c r="C5074" t="s">
        <v>70</v>
      </c>
      <c r="D5074" t="s">
        <v>62</v>
      </c>
      <c r="E5074" t="s">
        <v>68</v>
      </c>
      <c r="F5074" t="s">
        <v>25</v>
      </c>
      <c r="G5074" s="4">
        <v>-4</v>
      </c>
      <c r="I5074" s="4" t="s">
        <v>69</v>
      </c>
      <c r="J5074" s="4" t="s">
        <v>66</v>
      </c>
      <c r="K5074" s="4">
        <v>0</v>
      </c>
      <c r="L5074" s="94">
        <v>107551</v>
      </c>
      <c r="M5074" s="94">
        <v>0</v>
      </c>
    </row>
    <row r="5075" spans="3:13" x14ac:dyDescent="0.3">
      <c r="C5075" t="s">
        <v>61</v>
      </c>
      <c r="D5075" t="s">
        <v>67</v>
      </c>
      <c r="E5075" t="s">
        <v>63</v>
      </c>
      <c r="F5075" t="s">
        <v>26</v>
      </c>
      <c r="G5075" s="4">
        <v>-1</v>
      </c>
      <c r="H5075" s="4" t="s">
        <v>74</v>
      </c>
      <c r="I5075" s="4" t="s">
        <v>69</v>
      </c>
      <c r="J5075" s="4" t="s">
        <v>66</v>
      </c>
      <c r="K5075" s="4">
        <v>0</v>
      </c>
      <c r="L5075" s="94">
        <v>-360962</v>
      </c>
      <c r="M5075" s="94">
        <v>0</v>
      </c>
    </row>
    <row r="5076" spans="3:13" x14ac:dyDescent="0.3">
      <c r="C5076" t="s">
        <v>71</v>
      </c>
      <c r="D5076" t="s">
        <v>67</v>
      </c>
      <c r="E5076" t="s">
        <v>63</v>
      </c>
      <c r="F5076" t="s">
        <v>25</v>
      </c>
      <c r="G5076" s="4">
        <v>4</v>
      </c>
      <c r="H5076" s="4" t="s">
        <v>76</v>
      </c>
      <c r="I5076" s="4" t="s">
        <v>65</v>
      </c>
      <c r="J5076" s="4" t="s">
        <v>66</v>
      </c>
      <c r="K5076" s="4">
        <v>1</v>
      </c>
      <c r="L5076" s="94">
        <v>-2840</v>
      </c>
      <c r="M5076" s="94">
        <v>0</v>
      </c>
    </row>
    <row r="5077" spans="3:13" x14ac:dyDescent="0.3">
      <c r="C5077" t="s">
        <v>70</v>
      </c>
      <c r="D5077" t="s">
        <v>67</v>
      </c>
      <c r="E5077" t="s">
        <v>68</v>
      </c>
      <c r="F5077" t="s">
        <v>72</v>
      </c>
      <c r="G5077" s="4">
        <v>1</v>
      </c>
      <c r="H5077" s="4" t="s">
        <v>12</v>
      </c>
      <c r="I5077" s="4" t="s">
        <v>69</v>
      </c>
      <c r="J5077" s="4" t="s">
        <v>73</v>
      </c>
      <c r="K5077" s="4">
        <v>1</v>
      </c>
      <c r="L5077" s="94">
        <v>1112753</v>
      </c>
      <c r="M5077" s="94">
        <v>1112753</v>
      </c>
    </row>
    <row r="5078" spans="3:13" x14ac:dyDescent="0.3">
      <c r="C5078" t="s">
        <v>71</v>
      </c>
      <c r="D5078" t="s">
        <v>67</v>
      </c>
      <c r="E5078" t="s">
        <v>68</v>
      </c>
      <c r="F5078" t="s">
        <v>26</v>
      </c>
      <c r="G5078" s="4">
        <v>5</v>
      </c>
      <c r="H5078" s="4" t="s">
        <v>14</v>
      </c>
      <c r="I5078" s="4" t="s">
        <v>69</v>
      </c>
      <c r="J5078" s="4" t="s">
        <v>66</v>
      </c>
      <c r="K5078" s="4">
        <v>0</v>
      </c>
      <c r="L5078" s="94">
        <v>2235854</v>
      </c>
      <c r="M5078" s="94">
        <v>11179270</v>
      </c>
    </row>
    <row r="5079" spans="3:13" x14ac:dyDescent="0.3">
      <c r="C5079" t="s">
        <v>70</v>
      </c>
      <c r="D5079" t="s">
        <v>67</v>
      </c>
      <c r="E5079" t="s">
        <v>63</v>
      </c>
      <c r="F5079" t="s">
        <v>26</v>
      </c>
      <c r="G5079" s="4">
        <v>2</v>
      </c>
      <c r="H5079" s="4" t="s">
        <v>12</v>
      </c>
      <c r="I5079" s="4" t="s">
        <v>69</v>
      </c>
      <c r="J5079" s="4" t="s">
        <v>73</v>
      </c>
      <c r="K5079" s="4">
        <v>1</v>
      </c>
      <c r="L5079" s="94">
        <v>-63651</v>
      </c>
      <c r="M5079" s="94">
        <v>0</v>
      </c>
    </row>
    <row r="5080" spans="3:13" x14ac:dyDescent="0.3">
      <c r="C5080" t="s">
        <v>70</v>
      </c>
      <c r="D5080" t="s">
        <v>67</v>
      </c>
      <c r="E5080" t="s">
        <v>63</v>
      </c>
      <c r="F5080" t="s">
        <v>72</v>
      </c>
      <c r="G5080" s="4">
        <v>0</v>
      </c>
      <c r="H5080" s="4" t="s">
        <v>17</v>
      </c>
      <c r="I5080" s="4" t="s">
        <v>69</v>
      </c>
      <c r="J5080" s="4" t="s">
        <v>73</v>
      </c>
      <c r="K5080" s="4">
        <v>1</v>
      </c>
      <c r="L5080" s="94">
        <v>-68</v>
      </c>
      <c r="M5080" s="94">
        <v>0</v>
      </c>
    </row>
    <row r="5081" spans="3:13" x14ac:dyDescent="0.3">
      <c r="C5081" t="s">
        <v>70</v>
      </c>
      <c r="D5081" t="s">
        <v>67</v>
      </c>
      <c r="E5081" t="s">
        <v>63</v>
      </c>
      <c r="F5081" t="s">
        <v>25</v>
      </c>
      <c r="G5081" s="4">
        <v>12</v>
      </c>
      <c r="H5081" s="4" t="s">
        <v>79</v>
      </c>
      <c r="I5081" s="4" t="s">
        <v>69</v>
      </c>
      <c r="J5081" s="4" t="s">
        <v>66</v>
      </c>
      <c r="K5081" s="4">
        <v>0</v>
      </c>
      <c r="L5081" s="94">
        <v>-70560</v>
      </c>
      <c r="M5081" s="94">
        <v>0</v>
      </c>
    </row>
    <row r="5082" spans="3:13" x14ac:dyDescent="0.3">
      <c r="C5082" t="s">
        <v>71</v>
      </c>
      <c r="D5082" t="s">
        <v>67</v>
      </c>
      <c r="E5082" t="s">
        <v>63</v>
      </c>
      <c r="F5082" t="s">
        <v>26</v>
      </c>
      <c r="G5082" s="4">
        <v>1</v>
      </c>
      <c r="H5082" s="4" t="s">
        <v>16</v>
      </c>
      <c r="I5082" s="4" t="s">
        <v>69</v>
      </c>
      <c r="J5082" s="4" t="s">
        <v>66</v>
      </c>
      <c r="K5082" s="4">
        <v>0</v>
      </c>
      <c r="L5082" s="94">
        <v>-2817</v>
      </c>
      <c r="M5082" s="94">
        <v>0</v>
      </c>
    </row>
    <row r="5083" spans="3:13" x14ac:dyDescent="0.3">
      <c r="C5083" t="s">
        <v>61</v>
      </c>
      <c r="D5083" t="s">
        <v>67</v>
      </c>
      <c r="E5083" t="s">
        <v>63</v>
      </c>
      <c r="F5083" t="s">
        <v>25</v>
      </c>
      <c r="G5083" s="4">
        <v>12</v>
      </c>
      <c r="H5083" s="4" t="s">
        <v>78</v>
      </c>
      <c r="I5083" s="4" t="s">
        <v>69</v>
      </c>
      <c r="J5083" s="4" t="s">
        <v>66</v>
      </c>
      <c r="K5083" s="4">
        <v>0</v>
      </c>
      <c r="L5083" s="94">
        <v>-5875</v>
      </c>
      <c r="M5083" s="94">
        <v>0</v>
      </c>
    </row>
    <row r="5084" spans="3:13" x14ac:dyDescent="0.3">
      <c r="C5084" t="s">
        <v>61</v>
      </c>
      <c r="D5084" t="s">
        <v>67</v>
      </c>
      <c r="E5084" t="s">
        <v>68</v>
      </c>
      <c r="F5084" t="s">
        <v>26</v>
      </c>
      <c r="G5084" s="4">
        <v>10</v>
      </c>
      <c r="H5084" s="4" t="s">
        <v>83</v>
      </c>
      <c r="I5084" s="4" t="s">
        <v>69</v>
      </c>
      <c r="J5084" s="4" t="s">
        <v>66</v>
      </c>
      <c r="K5084" s="4">
        <v>0</v>
      </c>
      <c r="L5084" s="94">
        <v>7336701</v>
      </c>
      <c r="M5084" s="94">
        <v>73367010</v>
      </c>
    </row>
    <row r="5085" spans="3:13" x14ac:dyDescent="0.3">
      <c r="C5085" t="s">
        <v>70</v>
      </c>
      <c r="D5085" t="s">
        <v>67</v>
      </c>
      <c r="E5085" t="s">
        <v>63</v>
      </c>
      <c r="F5085" t="s">
        <v>26</v>
      </c>
      <c r="G5085" s="4">
        <v>2</v>
      </c>
      <c r="H5085" s="4" t="s">
        <v>17</v>
      </c>
      <c r="I5085" s="4" t="s">
        <v>65</v>
      </c>
      <c r="J5085" s="4" t="s">
        <v>66</v>
      </c>
      <c r="K5085" s="4">
        <v>1</v>
      </c>
      <c r="L5085" s="94">
        <v>-6675</v>
      </c>
      <c r="M5085" s="94">
        <v>0</v>
      </c>
    </row>
    <row r="5086" spans="3:13" x14ac:dyDescent="0.3">
      <c r="C5086" t="s">
        <v>61</v>
      </c>
      <c r="D5086" t="s">
        <v>67</v>
      </c>
      <c r="E5086" t="s">
        <v>63</v>
      </c>
      <c r="F5086" t="s">
        <v>26</v>
      </c>
      <c r="G5086" s="4">
        <v>0</v>
      </c>
      <c r="H5086" s="4" t="s">
        <v>75</v>
      </c>
      <c r="I5086" s="4" t="s">
        <v>69</v>
      </c>
      <c r="J5086" s="4" t="s">
        <v>66</v>
      </c>
      <c r="K5086" s="4">
        <v>0</v>
      </c>
      <c r="L5086" s="94">
        <v>-90422</v>
      </c>
      <c r="M5086" s="94">
        <v>0</v>
      </c>
    </row>
    <row r="5087" spans="3:13" x14ac:dyDescent="0.3">
      <c r="C5087" t="s">
        <v>61</v>
      </c>
      <c r="D5087" t="s">
        <v>67</v>
      </c>
      <c r="E5087" t="s">
        <v>68</v>
      </c>
      <c r="F5087" t="s">
        <v>25</v>
      </c>
      <c r="G5087" s="4">
        <v>7</v>
      </c>
      <c r="H5087" s="4" t="s">
        <v>17</v>
      </c>
      <c r="I5087" s="4" t="s">
        <v>69</v>
      </c>
      <c r="J5087" s="4" t="s">
        <v>66</v>
      </c>
      <c r="K5087" s="4">
        <v>0</v>
      </c>
      <c r="L5087" s="94">
        <v>1359485</v>
      </c>
      <c r="M5087" s="94">
        <v>9516395</v>
      </c>
    </row>
    <row r="5088" spans="3:13" x14ac:dyDescent="0.3">
      <c r="C5088" t="s">
        <v>70</v>
      </c>
      <c r="D5088" t="s">
        <v>67</v>
      </c>
      <c r="E5088" t="s">
        <v>63</v>
      </c>
      <c r="F5088" t="s">
        <v>25</v>
      </c>
      <c r="G5088" s="4">
        <v>11</v>
      </c>
      <c r="H5088" s="4" t="s">
        <v>64</v>
      </c>
      <c r="I5088" s="4" t="s">
        <v>69</v>
      </c>
      <c r="J5088" s="4" t="s">
        <v>66</v>
      </c>
      <c r="K5088" s="4">
        <v>0</v>
      </c>
      <c r="L5088" s="94">
        <v>-7831284</v>
      </c>
      <c r="M5088" s="94">
        <v>0</v>
      </c>
    </row>
    <row r="5089" spans="3:13" x14ac:dyDescent="0.3">
      <c r="C5089" t="s">
        <v>70</v>
      </c>
      <c r="D5089" t="s">
        <v>67</v>
      </c>
      <c r="E5089" t="s">
        <v>68</v>
      </c>
      <c r="F5089" t="s">
        <v>26</v>
      </c>
      <c r="G5089" s="4">
        <v>0</v>
      </c>
      <c r="H5089" s="4" t="s">
        <v>12</v>
      </c>
      <c r="I5089" s="4" t="s">
        <v>69</v>
      </c>
      <c r="J5089" s="4" t="s">
        <v>73</v>
      </c>
      <c r="K5089" s="4">
        <v>1</v>
      </c>
      <c r="L5089" s="94">
        <v>352516</v>
      </c>
      <c r="M5089" s="94">
        <v>0</v>
      </c>
    </row>
    <row r="5090" spans="3:13" x14ac:dyDescent="0.3">
      <c r="C5090" t="s">
        <v>71</v>
      </c>
      <c r="D5090" t="s">
        <v>67</v>
      </c>
      <c r="E5090" t="s">
        <v>63</v>
      </c>
      <c r="F5090" t="s">
        <v>26</v>
      </c>
      <c r="G5090" s="4">
        <v>4</v>
      </c>
      <c r="H5090" s="4" t="s">
        <v>17</v>
      </c>
      <c r="I5090" s="4" t="s">
        <v>69</v>
      </c>
      <c r="J5090" s="4" t="s">
        <v>66</v>
      </c>
      <c r="K5090" s="4">
        <v>0</v>
      </c>
      <c r="L5090" s="94">
        <v>-611049</v>
      </c>
      <c r="M5090" s="94">
        <v>0</v>
      </c>
    </row>
    <row r="5091" spans="3:13" x14ac:dyDescent="0.3">
      <c r="C5091" t="s">
        <v>61</v>
      </c>
      <c r="D5091" t="s">
        <v>67</v>
      </c>
      <c r="E5091" t="s">
        <v>68</v>
      </c>
      <c r="F5091" t="s">
        <v>25</v>
      </c>
      <c r="G5091" s="4">
        <v>19</v>
      </c>
      <c r="H5091" s="4" t="s">
        <v>17</v>
      </c>
      <c r="I5091" s="4" t="s">
        <v>69</v>
      </c>
      <c r="J5091" s="4" t="s">
        <v>66</v>
      </c>
      <c r="K5091" s="4">
        <v>0</v>
      </c>
      <c r="L5091" s="94">
        <v>229308</v>
      </c>
      <c r="M5091" s="94">
        <v>4356852</v>
      </c>
    </row>
    <row r="5092" spans="3:13" x14ac:dyDescent="0.3">
      <c r="C5092" t="s">
        <v>71</v>
      </c>
      <c r="D5092" t="s">
        <v>67</v>
      </c>
      <c r="E5092" t="s">
        <v>63</v>
      </c>
      <c r="F5092" t="s">
        <v>72</v>
      </c>
      <c r="G5092" s="4">
        <v>0</v>
      </c>
      <c r="H5092" s="4" t="s">
        <v>17</v>
      </c>
      <c r="I5092" s="4" t="s">
        <v>69</v>
      </c>
      <c r="J5092" s="4" t="s">
        <v>66</v>
      </c>
      <c r="K5092" s="4">
        <v>0</v>
      </c>
      <c r="L5092" s="94">
        <v>-89991</v>
      </c>
      <c r="M5092" s="94">
        <v>0</v>
      </c>
    </row>
    <row r="5093" spans="3:13" x14ac:dyDescent="0.3">
      <c r="C5093" t="s">
        <v>70</v>
      </c>
      <c r="D5093" t="s">
        <v>62</v>
      </c>
      <c r="E5093" t="s">
        <v>68</v>
      </c>
      <c r="F5093" t="s">
        <v>24</v>
      </c>
      <c r="G5093" s="4">
        <v>34</v>
      </c>
      <c r="I5093" s="4" t="s">
        <v>69</v>
      </c>
      <c r="J5093" s="4" t="s">
        <v>66</v>
      </c>
      <c r="K5093" s="4">
        <v>0</v>
      </c>
      <c r="L5093" s="94">
        <v>64275704</v>
      </c>
      <c r="M5093" s="94">
        <v>2185373936</v>
      </c>
    </row>
    <row r="5094" spans="3:13" x14ac:dyDescent="0.3">
      <c r="C5094" t="s">
        <v>71</v>
      </c>
      <c r="D5094" t="s">
        <v>67</v>
      </c>
      <c r="E5094" t="s">
        <v>68</v>
      </c>
      <c r="F5094" t="s">
        <v>26</v>
      </c>
      <c r="G5094" s="4">
        <v>3</v>
      </c>
      <c r="H5094" s="4" t="s">
        <v>74</v>
      </c>
      <c r="I5094" s="4" t="s">
        <v>69</v>
      </c>
      <c r="J5094" s="4" t="s">
        <v>66</v>
      </c>
      <c r="K5094" s="4">
        <v>0</v>
      </c>
      <c r="L5094" s="94">
        <v>1251464</v>
      </c>
      <c r="M5094" s="94">
        <v>3754392</v>
      </c>
    </row>
    <row r="5095" spans="3:13" x14ac:dyDescent="0.3">
      <c r="C5095" t="s">
        <v>61</v>
      </c>
      <c r="D5095" t="s">
        <v>67</v>
      </c>
      <c r="E5095" t="s">
        <v>68</v>
      </c>
      <c r="F5095" t="s">
        <v>26</v>
      </c>
      <c r="G5095" s="4">
        <v>0</v>
      </c>
      <c r="H5095" s="4" t="s">
        <v>75</v>
      </c>
      <c r="I5095" s="4" t="s">
        <v>69</v>
      </c>
      <c r="J5095" s="4" t="s">
        <v>66</v>
      </c>
      <c r="K5095" s="4">
        <v>0</v>
      </c>
      <c r="L5095" s="94">
        <v>41038025</v>
      </c>
      <c r="M5095" s="94">
        <v>0</v>
      </c>
    </row>
    <row r="5096" spans="3:13" x14ac:dyDescent="0.3">
      <c r="C5096" t="s">
        <v>70</v>
      </c>
      <c r="D5096" t="s">
        <v>67</v>
      </c>
      <c r="E5096" t="s">
        <v>68</v>
      </c>
      <c r="F5096" t="s">
        <v>25</v>
      </c>
      <c r="G5096" s="4">
        <v>11</v>
      </c>
      <c r="H5096" s="4" t="s">
        <v>82</v>
      </c>
      <c r="I5096" s="4" t="s">
        <v>69</v>
      </c>
      <c r="J5096" s="4" t="s">
        <v>66</v>
      </c>
      <c r="K5096" s="4">
        <v>0</v>
      </c>
      <c r="L5096" s="94">
        <v>236854</v>
      </c>
      <c r="M5096" s="94">
        <v>2605394</v>
      </c>
    </row>
    <row r="5097" spans="3:13" x14ac:dyDescent="0.3">
      <c r="C5097" t="s">
        <v>71</v>
      </c>
      <c r="D5097" t="s">
        <v>67</v>
      </c>
      <c r="E5097" t="s">
        <v>68</v>
      </c>
      <c r="F5097" t="s">
        <v>25</v>
      </c>
      <c r="G5097" s="4">
        <v>-1</v>
      </c>
      <c r="H5097" s="4" t="s">
        <v>17</v>
      </c>
      <c r="I5097" s="4" t="s">
        <v>69</v>
      </c>
      <c r="J5097" s="4" t="s">
        <v>66</v>
      </c>
      <c r="K5097" s="4">
        <v>0</v>
      </c>
      <c r="L5097" s="94">
        <v>4507</v>
      </c>
      <c r="M5097" s="94">
        <v>0</v>
      </c>
    </row>
    <row r="5098" spans="3:13" x14ac:dyDescent="0.3">
      <c r="C5098" t="s">
        <v>61</v>
      </c>
      <c r="D5098" t="s">
        <v>62</v>
      </c>
      <c r="E5098" t="s">
        <v>63</v>
      </c>
      <c r="F5098" t="s">
        <v>25</v>
      </c>
      <c r="G5098" s="4">
        <v>9</v>
      </c>
      <c r="I5098" s="4" t="s">
        <v>69</v>
      </c>
      <c r="J5098" s="4" t="s">
        <v>66</v>
      </c>
      <c r="K5098" s="4">
        <v>0</v>
      </c>
      <c r="L5098" s="94">
        <v>-15583</v>
      </c>
      <c r="M5098" s="94">
        <v>0</v>
      </c>
    </row>
    <row r="5099" spans="3:13" x14ac:dyDescent="0.3">
      <c r="C5099" t="s">
        <v>70</v>
      </c>
      <c r="D5099" t="s">
        <v>67</v>
      </c>
      <c r="E5099" t="s">
        <v>63</v>
      </c>
      <c r="F5099" t="s">
        <v>72</v>
      </c>
      <c r="G5099" s="4">
        <v>-4</v>
      </c>
      <c r="H5099" s="4" t="s">
        <v>13</v>
      </c>
      <c r="I5099" s="4" t="s">
        <v>69</v>
      </c>
      <c r="J5099" s="4" t="s">
        <v>73</v>
      </c>
      <c r="K5099" s="4">
        <v>1</v>
      </c>
      <c r="L5099" s="94">
        <v>-167</v>
      </c>
      <c r="M5099" s="94">
        <v>0</v>
      </c>
    </row>
    <row r="5100" spans="3:13" x14ac:dyDescent="0.3">
      <c r="C5100" t="s">
        <v>71</v>
      </c>
      <c r="D5100" t="s">
        <v>67</v>
      </c>
      <c r="E5100" t="s">
        <v>68</v>
      </c>
      <c r="F5100" t="s">
        <v>25</v>
      </c>
      <c r="G5100" s="4">
        <v>8</v>
      </c>
      <c r="H5100" s="4" t="s">
        <v>14</v>
      </c>
      <c r="I5100" s="4" t="s">
        <v>69</v>
      </c>
      <c r="J5100" s="4" t="s">
        <v>66</v>
      </c>
      <c r="K5100" s="4">
        <v>0</v>
      </c>
      <c r="L5100" s="94">
        <v>561933</v>
      </c>
      <c r="M5100" s="94">
        <v>4495464</v>
      </c>
    </row>
    <row r="5101" spans="3:13" x14ac:dyDescent="0.3">
      <c r="C5101" t="s">
        <v>61</v>
      </c>
      <c r="D5101" t="s">
        <v>67</v>
      </c>
      <c r="E5101" t="s">
        <v>63</v>
      </c>
      <c r="F5101" t="s">
        <v>26</v>
      </c>
      <c r="G5101" s="4">
        <v>1</v>
      </c>
      <c r="H5101" s="4" t="s">
        <v>18</v>
      </c>
      <c r="I5101" s="4" t="s">
        <v>69</v>
      </c>
      <c r="J5101" s="4" t="s">
        <v>66</v>
      </c>
      <c r="K5101" s="4">
        <v>0</v>
      </c>
      <c r="L5101" s="94">
        <v>-553266</v>
      </c>
      <c r="M5101" s="94">
        <v>0</v>
      </c>
    </row>
    <row r="5102" spans="3:13" x14ac:dyDescent="0.3">
      <c r="C5102" t="s">
        <v>61</v>
      </c>
      <c r="D5102" t="s">
        <v>67</v>
      </c>
      <c r="E5102" t="s">
        <v>68</v>
      </c>
      <c r="F5102" t="s">
        <v>26</v>
      </c>
      <c r="G5102" s="4">
        <v>2</v>
      </c>
      <c r="H5102" s="4" t="s">
        <v>79</v>
      </c>
      <c r="I5102" s="4" t="s">
        <v>69</v>
      </c>
      <c r="J5102" s="4" t="s">
        <v>66</v>
      </c>
      <c r="K5102" s="4">
        <v>0</v>
      </c>
      <c r="L5102" s="94">
        <v>13100273</v>
      </c>
      <c r="M5102" s="94">
        <v>26200546</v>
      </c>
    </row>
    <row r="5103" spans="3:13" x14ac:dyDescent="0.3">
      <c r="C5103" t="s">
        <v>61</v>
      </c>
      <c r="D5103" t="s">
        <v>62</v>
      </c>
      <c r="E5103" t="s">
        <v>63</v>
      </c>
      <c r="F5103" t="s">
        <v>24</v>
      </c>
      <c r="G5103" s="4">
        <v>-1</v>
      </c>
      <c r="I5103" s="4" t="s">
        <v>69</v>
      </c>
      <c r="J5103" s="4" t="s">
        <v>66</v>
      </c>
      <c r="K5103" s="4">
        <v>0</v>
      </c>
      <c r="L5103" s="94">
        <v>-843</v>
      </c>
      <c r="M5103" s="94">
        <v>0</v>
      </c>
    </row>
    <row r="5104" spans="3:13" x14ac:dyDescent="0.3">
      <c r="C5104" t="s">
        <v>61</v>
      </c>
      <c r="D5104" t="s">
        <v>67</v>
      </c>
      <c r="E5104" t="s">
        <v>68</v>
      </c>
      <c r="F5104" t="s">
        <v>72</v>
      </c>
      <c r="G5104" s="4">
        <v>4</v>
      </c>
      <c r="H5104" s="4" t="s">
        <v>82</v>
      </c>
      <c r="I5104" s="4" t="s">
        <v>65</v>
      </c>
      <c r="J5104" s="4" t="s">
        <v>66</v>
      </c>
      <c r="K5104" s="4">
        <v>1</v>
      </c>
      <c r="L5104" s="94">
        <v>5461726</v>
      </c>
      <c r="M5104" s="94">
        <v>21846904</v>
      </c>
    </row>
    <row r="5105" spans="3:13" x14ac:dyDescent="0.3">
      <c r="C5105" t="s">
        <v>61</v>
      </c>
      <c r="D5105" t="s">
        <v>67</v>
      </c>
      <c r="E5105" t="s">
        <v>68</v>
      </c>
      <c r="F5105" t="s">
        <v>26</v>
      </c>
      <c r="G5105" s="4">
        <v>3</v>
      </c>
      <c r="H5105" s="4" t="s">
        <v>18</v>
      </c>
      <c r="I5105" s="4" t="s">
        <v>69</v>
      </c>
      <c r="J5105" s="4" t="s">
        <v>66</v>
      </c>
      <c r="K5105" s="4">
        <v>0</v>
      </c>
      <c r="L5105" s="94">
        <v>109931988</v>
      </c>
      <c r="M5105" s="94">
        <v>329795964</v>
      </c>
    </row>
    <row r="5106" spans="3:13" x14ac:dyDescent="0.3">
      <c r="C5106" t="s">
        <v>71</v>
      </c>
      <c r="D5106" t="s">
        <v>67</v>
      </c>
      <c r="E5106" t="s">
        <v>68</v>
      </c>
      <c r="F5106" t="s">
        <v>26</v>
      </c>
      <c r="G5106" s="4">
        <v>0</v>
      </c>
      <c r="H5106" s="4" t="s">
        <v>17</v>
      </c>
      <c r="I5106" s="4" t="s">
        <v>69</v>
      </c>
      <c r="J5106" s="4" t="s">
        <v>66</v>
      </c>
      <c r="K5106" s="4">
        <v>0</v>
      </c>
      <c r="L5106" s="94">
        <v>676502</v>
      </c>
      <c r="M5106" s="94">
        <v>0</v>
      </c>
    </row>
    <row r="5107" spans="3:13" x14ac:dyDescent="0.3">
      <c r="C5107" t="s">
        <v>71</v>
      </c>
      <c r="D5107" t="s">
        <v>67</v>
      </c>
      <c r="E5107" t="s">
        <v>68</v>
      </c>
      <c r="F5107" t="s">
        <v>72</v>
      </c>
      <c r="G5107" s="4">
        <v>1</v>
      </c>
      <c r="H5107" s="4" t="s">
        <v>14</v>
      </c>
      <c r="I5107" s="4" t="s">
        <v>69</v>
      </c>
      <c r="J5107" s="4" t="s">
        <v>66</v>
      </c>
      <c r="K5107" s="4">
        <v>0</v>
      </c>
      <c r="L5107" s="94">
        <v>139410</v>
      </c>
      <c r="M5107" s="94">
        <v>139410</v>
      </c>
    </row>
    <row r="5108" spans="3:13" x14ac:dyDescent="0.3">
      <c r="C5108" t="s">
        <v>61</v>
      </c>
      <c r="D5108" t="s">
        <v>84</v>
      </c>
      <c r="E5108" t="s">
        <v>63</v>
      </c>
      <c r="F5108" t="s">
        <v>25</v>
      </c>
      <c r="G5108" s="4">
        <v>2</v>
      </c>
      <c r="H5108" s="4" t="s">
        <v>76</v>
      </c>
      <c r="I5108" s="4" t="s">
        <v>69</v>
      </c>
      <c r="J5108" s="4" t="s">
        <v>66</v>
      </c>
      <c r="K5108" s="4">
        <v>0</v>
      </c>
      <c r="L5108" s="94">
        <v>-8934</v>
      </c>
      <c r="M5108" s="94">
        <v>0</v>
      </c>
    </row>
    <row r="5109" spans="3:13" x14ac:dyDescent="0.3">
      <c r="C5109" t="s">
        <v>70</v>
      </c>
      <c r="D5109" t="s">
        <v>67</v>
      </c>
      <c r="E5109" t="s">
        <v>63</v>
      </c>
      <c r="F5109" t="s">
        <v>72</v>
      </c>
      <c r="G5109" s="4">
        <v>4</v>
      </c>
      <c r="H5109" s="4" t="s">
        <v>14</v>
      </c>
      <c r="I5109" s="4" t="s">
        <v>65</v>
      </c>
      <c r="J5109" s="4" t="s">
        <v>66</v>
      </c>
      <c r="K5109" s="4">
        <v>1</v>
      </c>
      <c r="L5109" s="94">
        <v>-2776</v>
      </c>
      <c r="M5109" s="94">
        <v>0</v>
      </c>
    </row>
    <row r="5110" spans="3:13" x14ac:dyDescent="0.3">
      <c r="C5110" t="s">
        <v>71</v>
      </c>
      <c r="D5110" t="s">
        <v>67</v>
      </c>
      <c r="E5110" t="s">
        <v>63</v>
      </c>
      <c r="F5110" t="s">
        <v>72</v>
      </c>
      <c r="G5110" s="4">
        <v>-4</v>
      </c>
      <c r="H5110" s="4" t="s">
        <v>75</v>
      </c>
      <c r="I5110" s="4" t="s">
        <v>69</v>
      </c>
      <c r="J5110" s="4" t="s">
        <v>66</v>
      </c>
      <c r="K5110" s="4">
        <v>0</v>
      </c>
      <c r="L5110" s="94">
        <v>-1848</v>
      </c>
      <c r="M5110" s="94">
        <v>0</v>
      </c>
    </row>
    <row r="5111" spans="3:13" x14ac:dyDescent="0.3">
      <c r="C5111" t="s">
        <v>70</v>
      </c>
      <c r="D5111" t="s">
        <v>67</v>
      </c>
      <c r="E5111" t="s">
        <v>63</v>
      </c>
      <c r="F5111" t="s">
        <v>26</v>
      </c>
      <c r="G5111" s="4">
        <v>2</v>
      </c>
      <c r="H5111" s="4" t="s">
        <v>82</v>
      </c>
      <c r="I5111" s="4" t="s">
        <v>65</v>
      </c>
      <c r="J5111" s="4" t="s">
        <v>66</v>
      </c>
      <c r="K5111" s="4">
        <v>1</v>
      </c>
      <c r="L5111" s="94">
        <v>-21975</v>
      </c>
      <c r="M5111" s="94">
        <v>0</v>
      </c>
    </row>
    <row r="5112" spans="3:13" x14ac:dyDescent="0.3">
      <c r="C5112" t="s">
        <v>71</v>
      </c>
      <c r="D5112" t="s">
        <v>67</v>
      </c>
      <c r="E5112" t="s">
        <v>63</v>
      </c>
      <c r="F5112" t="s">
        <v>26</v>
      </c>
      <c r="G5112" s="4">
        <v>4</v>
      </c>
      <c r="H5112" s="4" t="s">
        <v>82</v>
      </c>
      <c r="I5112" s="4" t="s">
        <v>69</v>
      </c>
      <c r="J5112" s="4" t="s">
        <v>66</v>
      </c>
      <c r="K5112" s="4">
        <v>0</v>
      </c>
      <c r="L5112" s="94">
        <v>-198251</v>
      </c>
      <c r="M5112" s="94">
        <v>0</v>
      </c>
    </row>
    <row r="5113" spans="3:13" x14ac:dyDescent="0.3">
      <c r="C5113" t="s">
        <v>71</v>
      </c>
      <c r="D5113" t="s">
        <v>67</v>
      </c>
      <c r="E5113" t="s">
        <v>63</v>
      </c>
      <c r="F5113" t="s">
        <v>72</v>
      </c>
      <c r="G5113" s="4">
        <v>-1</v>
      </c>
      <c r="H5113" s="4" t="s">
        <v>17</v>
      </c>
      <c r="I5113" s="4" t="s">
        <v>69</v>
      </c>
      <c r="J5113" s="4" t="s">
        <v>73</v>
      </c>
      <c r="K5113" s="4">
        <v>1</v>
      </c>
      <c r="L5113" s="94">
        <v>-1502</v>
      </c>
      <c r="M5113" s="94">
        <v>0</v>
      </c>
    </row>
    <row r="5114" spans="3:13" x14ac:dyDescent="0.3">
      <c r="C5114" t="s">
        <v>70</v>
      </c>
      <c r="D5114" t="s">
        <v>67</v>
      </c>
      <c r="E5114" t="s">
        <v>63</v>
      </c>
      <c r="F5114" t="s">
        <v>26</v>
      </c>
      <c r="G5114" s="4">
        <v>6</v>
      </c>
      <c r="H5114" s="4" t="s">
        <v>79</v>
      </c>
      <c r="I5114" s="4" t="s">
        <v>69</v>
      </c>
      <c r="J5114" s="4" t="s">
        <v>66</v>
      </c>
      <c r="K5114" s="4">
        <v>0</v>
      </c>
      <c r="L5114" s="94">
        <v>-310690</v>
      </c>
      <c r="M5114" s="94">
        <v>0</v>
      </c>
    </row>
    <row r="5115" spans="3:13" x14ac:dyDescent="0.3">
      <c r="C5115" t="s">
        <v>71</v>
      </c>
      <c r="D5115" t="s">
        <v>67</v>
      </c>
      <c r="E5115" t="s">
        <v>68</v>
      </c>
      <c r="F5115" t="s">
        <v>26</v>
      </c>
      <c r="G5115" s="4">
        <v>5</v>
      </c>
      <c r="H5115" s="4" t="s">
        <v>74</v>
      </c>
      <c r="I5115" s="4" t="s">
        <v>69</v>
      </c>
      <c r="J5115" s="4" t="s">
        <v>66</v>
      </c>
      <c r="K5115" s="4">
        <v>0</v>
      </c>
      <c r="L5115" s="94">
        <v>362370</v>
      </c>
      <c r="M5115" s="94">
        <v>1811850</v>
      </c>
    </row>
    <row r="5116" spans="3:13" x14ac:dyDescent="0.3">
      <c r="C5116" t="s">
        <v>70</v>
      </c>
      <c r="D5116" t="s">
        <v>67</v>
      </c>
      <c r="E5116" t="s">
        <v>63</v>
      </c>
      <c r="F5116" t="s">
        <v>72</v>
      </c>
      <c r="G5116" s="4">
        <v>1</v>
      </c>
      <c r="H5116" s="4" t="s">
        <v>64</v>
      </c>
      <c r="I5116" s="4" t="s">
        <v>69</v>
      </c>
      <c r="J5116" s="4" t="s">
        <v>66</v>
      </c>
      <c r="K5116" s="4">
        <v>0</v>
      </c>
      <c r="L5116" s="94">
        <v>-25557</v>
      </c>
      <c r="M5116" s="94">
        <v>0</v>
      </c>
    </row>
    <row r="5117" spans="3:13" x14ac:dyDescent="0.3">
      <c r="C5117" t="s">
        <v>70</v>
      </c>
      <c r="D5117" t="s">
        <v>67</v>
      </c>
      <c r="E5117" t="s">
        <v>68</v>
      </c>
      <c r="F5117" t="s">
        <v>26</v>
      </c>
      <c r="G5117" s="4">
        <v>0</v>
      </c>
      <c r="H5117" s="4" t="s">
        <v>82</v>
      </c>
      <c r="I5117" s="4" t="s">
        <v>65</v>
      </c>
      <c r="J5117" s="4" t="s">
        <v>66</v>
      </c>
      <c r="K5117" s="4">
        <v>1</v>
      </c>
      <c r="L5117" s="94">
        <v>3413584</v>
      </c>
      <c r="M5117" s="94">
        <v>0</v>
      </c>
    </row>
    <row r="5118" spans="3:13" x14ac:dyDescent="0.3">
      <c r="C5118" t="s">
        <v>71</v>
      </c>
      <c r="D5118" t="s">
        <v>67</v>
      </c>
      <c r="E5118" t="s">
        <v>63</v>
      </c>
      <c r="F5118" t="s">
        <v>26</v>
      </c>
      <c r="G5118" s="4">
        <v>1</v>
      </c>
      <c r="H5118" s="4" t="s">
        <v>81</v>
      </c>
      <c r="I5118" s="4" t="s">
        <v>69</v>
      </c>
      <c r="J5118" s="4" t="s">
        <v>66</v>
      </c>
      <c r="K5118" s="4">
        <v>0</v>
      </c>
      <c r="L5118" s="94">
        <v>-10538</v>
      </c>
      <c r="M5118" s="94">
        <v>0</v>
      </c>
    </row>
    <row r="5119" spans="3:13" x14ac:dyDescent="0.3">
      <c r="C5119" t="s">
        <v>71</v>
      </c>
      <c r="D5119" t="s">
        <v>62</v>
      </c>
      <c r="E5119" t="s">
        <v>63</v>
      </c>
      <c r="F5119" t="s">
        <v>24</v>
      </c>
      <c r="G5119" s="4">
        <v>8</v>
      </c>
      <c r="I5119" s="4" t="s">
        <v>69</v>
      </c>
      <c r="J5119" s="4" t="s">
        <v>66</v>
      </c>
      <c r="K5119" s="4">
        <v>1</v>
      </c>
      <c r="L5119" s="94">
        <v>-12274</v>
      </c>
      <c r="M5119" s="94">
        <v>0</v>
      </c>
    </row>
    <row r="5120" spans="3:13" x14ac:dyDescent="0.3">
      <c r="C5120" t="s">
        <v>61</v>
      </c>
      <c r="D5120" t="s">
        <v>67</v>
      </c>
      <c r="E5120" t="s">
        <v>68</v>
      </c>
      <c r="F5120" t="s">
        <v>72</v>
      </c>
      <c r="G5120" s="4">
        <v>8</v>
      </c>
      <c r="H5120" s="4" t="s">
        <v>82</v>
      </c>
      <c r="I5120" s="4" t="s">
        <v>69</v>
      </c>
      <c r="J5120" s="4" t="s">
        <v>66</v>
      </c>
      <c r="K5120" s="4">
        <v>0</v>
      </c>
      <c r="L5120" s="94">
        <v>9560733</v>
      </c>
      <c r="M5120" s="94">
        <v>76485864</v>
      </c>
    </row>
    <row r="5121" spans="3:13" x14ac:dyDescent="0.3">
      <c r="C5121" t="s">
        <v>70</v>
      </c>
      <c r="D5121" t="s">
        <v>67</v>
      </c>
      <c r="E5121" t="s">
        <v>63</v>
      </c>
      <c r="F5121" t="s">
        <v>25</v>
      </c>
      <c r="G5121" s="4">
        <v>15</v>
      </c>
      <c r="H5121" s="4" t="s">
        <v>80</v>
      </c>
      <c r="I5121" s="4" t="s">
        <v>69</v>
      </c>
      <c r="J5121" s="4" t="s">
        <v>66</v>
      </c>
      <c r="K5121" s="4">
        <v>0</v>
      </c>
      <c r="L5121" s="94">
        <v>-27725</v>
      </c>
      <c r="M5121" s="94">
        <v>0</v>
      </c>
    </row>
    <row r="5122" spans="3:13" x14ac:dyDescent="0.3">
      <c r="C5122" t="s">
        <v>61</v>
      </c>
      <c r="D5122" t="s">
        <v>67</v>
      </c>
      <c r="E5122" t="s">
        <v>63</v>
      </c>
      <c r="F5122" t="s">
        <v>26</v>
      </c>
      <c r="G5122" s="4">
        <v>-1</v>
      </c>
      <c r="H5122" s="4" t="s">
        <v>14</v>
      </c>
      <c r="I5122" s="4" t="s">
        <v>69</v>
      </c>
      <c r="J5122" s="4" t="s">
        <v>66</v>
      </c>
      <c r="K5122" s="4">
        <v>0</v>
      </c>
      <c r="L5122" s="94">
        <v>-328688</v>
      </c>
      <c r="M5122" s="94">
        <v>0</v>
      </c>
    </row>
    <row r="5123" spans="3:13" x14ac:dyDescent="0.3">
      <c r="C5123" t="s">
        <v>70</v>
      </c>
      <c r="D5123" t="s">
        <v>62</v>
      </c>
      <c r="E5123" t="s">
        <v>63</v>
      </c>
      <c r="F5123" t="s">
        <v>24</v>
      </c>
      <c r="G5123" s="4">
        <v>19</v>
      </c>
      <c r="I5123" s="4" t="s">
        <v>69</v>
      </c>
      <c r="J5123" s="4" t="s">
        <v>66</v>
      </c>
      <c r="K5123" s="4">
        <v>0</v>
      </c>
      <c r="L5123" s="94">
        <v>-966723</v>
      </c>
      <c r="M5123" s="94">
        <v>0</v>
      </c>
    </row>
    <row r="5124" spans="3:13" x14ac:dyDescent="0.3">
      <c r="C5124" t="s">
        <v>71</v>
      </c>
      <c r="D5124" t="s">
        <v>62</v>
      </c>
      <c r="E5124" t="s">
        <v>68</v>
      </c>
      <c r="F5124" t="s">
        <v>24</v>
      </c>
      <c r="G5124" s="4">
        <v>2</v>
      </c>
      <c r="I5124" s="4" t="s">
        <v>69</v>
      </c>
      <c r="J5124" s="4" t="s">
        <v>73</v>
      </c>
      <c r="K5124" s="4">
        <v>1</v>
      </c>
      <c r="L5124" s="94">
        <v>5716</v>
      </c>
      <c r="M5124" s="94">
        <v>11432</v>
      </c>
    </row>
    <row r="5125" spans="3:13" x14ac:dyDescent="0.3">
      <c r="C5125" t="s">
        <v>61</v>
      </c>
      <c r="D5125" t="s">
        <v>62</v>
      </c>
      <c r="E5125" t="s">
        <v>63</v>
      </c>
      <c r="F5125" t="s">
        <v>24</v>
      </c>
      <c r="G5125" s="4">
        <v>36</v>
      </c>
      <c r="I5125" s="4" t="s">
        <v>65</v>
      </c>
      <c r="J5125" s="4" t="s">
        <v>66</v>
      </c>
      <c r="K5125" s="4">
        <v>1</v>
      </c>
      <c r="L5125" s="94">
        <v>-8777</v>
      </c>
      <c r="M5125" s="94">
        <v>0</v>
      </c>
    </row>
    <row r="5126" spans="3:13" x14ac:dyDescent="0.3">
      <c r="C5126" t="s">
        <v>70</v>
      </c>
      <c r="D5126" t="s">
        <v>67</v>
      </c>
      <c r="E5126" t="s">
        <v>68</v>
      </c>
      <c r="F5126" t="s">
        <v>72</v>
      </c>
      <c r="G5126" s="4">
        <v>1</v>
      </c>
      <c r="H5126" s="4" t="s">
        <v>82</v>
      </c>
      <c r="I5126" s="4" t="s">
        <v>65</v>
      </c>
      <c r="J5126" s="4" t="s">
        <v>66</v>
      </c>
      <c r="K5126" s="4">
        <v>1</v>
      </c>
      <c r="L5126" s="94">
        <v>483362</v>
      </c>
      <c r="M5126" s="94">
        <v>483362</v>
      </c>
    </row>
    <row r="5127" spans="3:13" x14ac:dyDescent="0.3">
      <c r="C5127" t="s">
        <v>61</v>
      </c>
      <c r="D5127" t="s">
        <v>67</v>
      </c>
      <c r="E5127" t="s">
        <v>63</v>
      </c>
      <c r="F5127" t="s">
        <v>25</v>
      </c>
      <c r="G5127" s="4">
        <v>18</v>
      </c>
      <c r="H5127" s="4" t="s">
        <v>76</v>
      </c>
      <c r="I5127" s="4" t="s">
        <v>69</v>
      </c>
      <c r="J5127" s="4" t="s">
        <v>66</v>
      </c>
      <c r="K5127" s="4">
        <v>0</v>
      </c>
      <c r="L5127" s="94">
        <v>-171</v>
      </c>
      <c r="M5127" s="94">
        <v>0</v>
      </c>
    </row>
    <row r="5128" spans="3:13" x14ac:dyDescent="0.3">
      <c r="C5128" t="s">
        <v>61</v>
      </c>
      <c r="D5128" t="s">
        <v>67</v>
      </c>
      <c r="E5128" t="s">
        <v>63</v>
      </c>
      <c r="F5128" t="s">
        <v>25</v>
      </c>
      <c r="G5128" s="4">
        <v>8</v>
      </c>
      <c r="H5128" s="4" t="s">
        <v>74</v>
      </c>
      <c r="I5128" s="4" t="s">
        <v>69</v>
      </c>
      <c r="J5128" s="4" t="s">
        <v>66</v>
      </c>
      <c r="K5128" s="4">
        <v>0</v>
      </c>
      <c r="L5128" s="94">
        <v>-5888</v>
      </c>
      <c r="M5128" s="94">
        <v>0</v>
      </c>
    </row>
    <row r="5129" spans="3:13" x14ac:dyDescent="0.3">
      <c r="C5129" t="s">
        <v>70</v>
      </c>
      <c r="D5129" t="s">
        <v>67</v>
      </c>
      <c r="E5129" t="s">
        <v>68</v>
      </c>
      <c r="F5129" t="s">
        <v>25</v>
      </c>
      <c r="G5129" s="4">
        <v>12</v>
      </c>
      <c r="H5129" s="4" t="s">
        <v>75</v>
      </c>
      <c r="I5129" s="4" t="s">
        <v>69</v>
      </c>
      <c r="J5129" s="4" t="s">
        <v>66</v>
      </c>
      <c r="K5129" s="4">
        <v>0</v>
      </c>
      <c r="L5129" s="94">
        <v>2370109</v>
      </c>
      <c r="M5129" s="94">
        <v>28441308</v>
      </c>
    </row>
    <row r="5130" spans="3:13" x14ac:dyDescent="0.3">
      <c r="C5130" t="s">
        <v>61</v>
      </c>
      <c r="D5130" t="s">
        <v>67</v>
      </c>
      <c r="E5130" t="s">
        <v>68</v>
      </c>
      <c r="F5130" t="s">
        <v>72</v>
      </c>
      <c r="G5130" s="4">
        <v>4</v>
      </c>
      <c r="H5130" s="4" t="s">
        <v>12</v>
      </c>
      <c r="I5130" s="4" t="s">
        <v>69</v>
      </c>
      <c r="J5130" s="4" t="s">
        <v>73</v>
      </c>
      <c r="K5130" s="4">
        <v>1</v>
      </c>
      <c r="L5130" s="94">
        <v>1629440</v>
      </c>
      <c r="M5130" s="94">
        <v>6517760</v>
      </c>
    </row>
    <row r="5131" spans="3:13" x14ac:dyDescent="0.3">
      <c r="C5131" t="s">
        <v>71</v>
      </c>
      <c r="D5131" t="s">
        <v>67</v>
      </c>
      <c r="E5131" t="s">
        <v>63</v>
      </c>
      <c r="F5131" t="s">
        <v>25</v>
      </c>
      <c r="G5131" s="4">
        <v>2</v>
      </c>
      <c r="H5131" s="4" t="s">
        <v>13</v>
      </c>
      <c r="I5131" s="4" t="s">
        <v>69</v>
      </c>
      <c r="J5131" s="4" t="s">
        <v>66</v>
      </c>
      <c r="K5131" s="4">
        <v>1</v>
      </c>
      <c r="L5131" s="94">
        <v>-167570</v>
      </c>
      <c r="M5131" s="94">
        <v>0</v>
      </c>
    </row>
    <row r="5132" spans="3:13" x14ac:dyDescent="0.3">
      <c r="C5132" t="s">
        <v>71</v>
      </c>
      <c r="D5132" t="s">
        <v>67</v>
      </c>
      <c r="E5132" t="s">
        <v>63</v>
      </c>
      <c r="F5132" t="s">
        <v>26</v>
      </c>
      <c r="G5132" s="4">
        <v>-1</v>
      </c>
      <c r="H5132" s="4" t="s">
        <v>12</v>
      </c>
      <c r="I5132" s="4" t="s">
        <v>69</v>
      </c>
      <c r="J5132" s="4" t="s">
        <v>66</v>
      </c>
      <c r="K5132" s="4">
        <v>0</v>
      </c>
      <c r="L5132" s="94">
        <v>-304678</v>
      </c>
      <c r="M5132" s="94">
        <v>0</v>
      </c>
    </row>
    <row r="5133" spans="3:13" x14ac:dyDescent="0.3">
      <c r="C5133" t="s">
        <v>70</v>
      </c>
      <c r="D5133" t="s">
        <v>62</v>
      </c>
      <c r="E5133" t="s">
        <v>63</v>
      </c>
      <c r="F5133" t="s">
        <v>24</v>
      </c>
      <c r="G5133" s="4">
        <v>8</v>
      </c>
      <c r="I5133" s="4" t="s">
        <v>69</v>
      </c>
      <c r="J5133" s="4" t="s">
        <v>66</v>
      </c>
      <c r="K5133" s="4">
        <v>1</v>
      </c>
      <c r="L5133" s="94">
        <v>-4434</v>
      </c>
      <c r="M5133" s="94">
        <v>0</v>
      </c>
    </row>
    <row r="5134" spans="3:13" x14ac:dyDescent="0.3">
      <c r="C5134" t="s">
        <v>70</v>
      </c>
      <c r="D5134" t="s">
        <v>67</v>
      </c>
      <c r="E5134" t="s">
        <v>63</v>
      </c>
      <c r="F5134" t="s">
        <v>72</v>
      </c>
      <c r="G5134" s="4">
        <v>2</v>
      </c>
      <c r="H5134" s="4" t="s">
        <v>13</v>
      </c>
      <c r="I5134" s="4" t="s">
        <v>69</v>
      </c>
      <c r="J5134" s="4" t="s">
        <v>73</v>
      </c>
      <c r="K5134" s="4">
        <v>1</v>
      </c>
      <c r="L5134" s="94">
        <v>-1782</v>
      </c>
      <c r="M5134" s="94">
        <v>0</v>
      </c>
    </row>
    <row r="5135" spans="3:13" x14ac:dyDescent="0.3">
      <c r="C5135" t="s">
        <v>61</v>
      </c>
      <c r="D5135" t="s">
        <v>62</v>
      </c>
      <c r="E5135" t="s">
        <v>63</v>
      </c>
      <c r="F5135" t="s">
        <v>25</v>
      </c>
      <c r="G5135" s="4">
        <v>5</v>
      </c>
      <c r="I5135" s="4" t="s">
        <v>69</v>
      </c>
      <c r="J5135" s="4" t="s">
        <v>66</v>
      </c>
      <c r="K5135" s="4">
        <v>0</v>
      </c>
      <c r="L5135" s="94">
        <v>-27593</v>
      </c>
      <c r="M5135" s="94">
        <v>0</v>
      </c>
    </row>
    <row r="5136" spans="3:13" x14ac:dyDescent="0.3">
      <c r="C5136" t="s">
        <v>61</v>
      </c>
      <c r="D5136" t="s">
        <v>67</v>
      </c>
      <c r="E5136" t="s">
        <v>68</v>
      </c>
      <c r="F5136" t="s">
        <v>72</v>
      </c>
      <c r="G5136" s="4">
        <v>-1</v>
      </c>
      <c r="H5136" s="4" t="s">
        <v>13</v>
      </c>
      <c r="I5136" s="4" t="s">
        <v>69</v>
      </c>
      <c r="J5136" s="4" t="s">
        <v>73</v>
      </c>
      <c r="K5136" s="4">
        <v>1</v>
      </c>
      <c r="L5136" s="94">
        <v>232206</v>
      </c>
      <c r="M5136" s="94">
        <v>0</v>
      </c>
    </row>
    <row r="5137" spans="3:13" x14ac:dyDescent="0.3">
      <c r="C5137" t="s">
        <v>61</v>
      </c>
      <c r="D5137" t="s">
        <v>67</v>
      </c>
      <c r="E5137" t="s">
        <v>63</v>
      </c>
      <c r="F5137" t="s">
        <v>26</v>
      </c>
      <c r="G5137" s="4">
        <v>1</v>
      </c>
      <c r="H5137" s="4" t="s">
        <v>76</v>
      </c>
      <c r="I5137" s="4" t="s">
        <v>69</v>
      </c>
      <c r="J5137" s="4" t="s">
        <v>66</v>
      </c>
      <c r="K5137" s="4">
        <v>0</v>
      </c>
      <c r="L5137" s="94">
        <v>-89111</v>
      </c>
      <c r="M5137" s="94">
        <v>0</v>
      </c>
    </row>
    <row r="5138" spans="3:13" x14ac:dyDescent="0.3">
      <c r="C5138" t="s">
        <v>71</v>
      </c>
      <c r="D5138" t="s">
        <v>67</v>
      </c>
      <c r="E5138" t="s">
        <v>68</v>
      </c>
      <c r="F5138" t="s">
        <v>25</v>
      </c>
      <c r="G5138" s="4">
        <v>8</v>
      </c>
      <c r="H5138" s="4" t="s">
        <v>74</v>
      </c>
      <c r="I5138" s="4" t="s">
        <v>69</v>
      </c>
      <c r="J5138" s="4" t="s">
        <v>66</v>
      </c>
      <c r="K5138" s="4">
        <v>0</v>
      </c>
      <c r="L5138" s="94">
        <v>97474</v>
      </c>
      <c r="M5138" s="94">
        <v>779792</v>
      </c>
    </row>
    <row r="5139" spans="3:13" x14ac:dyDescent="0.3">
      <c r="C5139" t="s">
        <v>71</v>
      </c>
      <c r="D5139" t="s">
        <v>67</v>
      </c>
      <c r="E5139" t="s">
        <v>68</v>
      </c>
      <c r="F5139" t="s">
        <v>25</v>
      </c>
      <c r="G5139" s="4">
        <v>-1</v>
      </c>
      <c r="H5139" s="4" t="s">
        <v>82</v>
      </c>
      <c r="I5139" s="4" t="s">
        <v>69</v>
      </c>
      <c r="J5139" s="4" t="s">
        <v>66</v>
      </c>
      <c r="K5139" s="4">
        <v>0</v>
      </c>
      <c r="L5139" s="94">
        <v>853</v>
      </c>
      <c r="M5139" s="94">
        <v>0</v>
      </c>
    </row>
    <row r="5140" spans="3:13" x14ac:dyDescent="0.3">
      <c r="C5140" t="s">
        <v>70</v>
      </c>
      <c r="D5140" t="s">
        <v>67</v>
      </c>
      <c r="E5140" t="s">
        <v>68</v>
      </c>
      <c r="F5140" t="s">
        <v>25</v>
      </c>
      <c r="G5140" s="4">
        <v>5</v>
      </c>
      <c r="H5140" s="4" t="s">
        <v>79</v>
      </c>
      <c r="I5140" s="4" t="s">
        <v>69</v>
      </c>
      <c r="J5140" s="4" t="s">
        <v>66</v>
      </c>
      <c r="K5140" s="4">
        <v>0</v>
      </c>
      <c r="L5140" s="94">
        <v>135678</v>
      </c>
      <c r="M5140" s="94">
        <v>678390</v>
      </c>
    </row>
    <row r="5141" spans="3:13" x14ac:dyDescent="0.3">
      <c r="C5141" t="s">
        <v>71</v>
      </c>
      <c r="D5141" t="s">
        <v>67</v>
      </c>
      <c r="E5141" t="s">
        <v>63</v>
      </c>
      <c r="F5141" t="s">
        <v>26</v>
      </c>
      <c r="G5141" s="4">
        <v>6</v>
      </c>
      <c r="H5141" s="4" t="s">
        <v>18</v>
      </c>
      <c r="I5141" s="4" t="s">
        <v>69</v>
      </c>
      <c r="J5141" s="4" t="s">
        <v>73</v>
      </c>
      <c r="K5141" s="4">
        <v>1</v>
      </c>
      <c r="L5141" s="94">
        <v>-55849</v>
      </c>
      <c r="M5141" s="94">
        <v>0</v>
      </c>
    </row>
    <row r="5142" spans="3:13" x14ac:dyDescent="0.3">
      <c r="C5142" t="s">
        <v>61</v>
      </c>
      <c r="D5142" t="s">
        <v>67</v>
      </c>
      <c r="E5142" t="s">
        <v>63</v>
      </c>
      <c r="F5142" t="s">
        <v>25</v>
      </c>
      <c r="G5142" s="4">
        <v>14</v>
      </c>
      <c r="H5142" s="4" t="s">
        <v>18</v>
      </c>
      <c r="I5142" s="4" t="s">
        <v>69</v>
      </c>
      <c r="J5142" s="4" t="s">
        <v>66</v>
      </c>
      <c r="K5142" s="4">
        <v>1</v>
      </c>
      <c r="L5142" s="94">
        <v>-855</v>
      </c>
      <c r="M5142" s="94">
        <v>0</v>
      </c>
    </row>
    <row r="5143" spans="3:13" x14ac:dyDescent="0.3">
      <c r="C5143" t="s">
        <v>70</v>
      </c>
      <c r="D5143" t="s">
        <v>67</v>
      </c>
      <c r="E5143" t="s">
        <v>68</v>
      </c>
      <c r="F5143" t="s">
        <v>26</v>
      </c>
      <c r="G5143" s="4">
        <v>-1</v>
      </c>
      <c r="H5143" s="4" t="s">
        <v>17</v>
      </c>
      <c r="I5143" s="4" t="s">
        <v>69</v>
      </c>
      <c r="J5143" s="4" t="s">
        <v>73</v>
      </c>
      <c r="K5143" s="4">
        <v>1</v>
      </c>
      <c r="L5143" s="94">
        <v>948124</v>
      </c>
      <c r="M5143" s="94">
        <v>0</v>
      </c>
    </row>
    <row r="5144" spans="3:13" x14ac:dyDescent="0.3">
      <c r="C5144" t="s">
        <v>70</v>
      </c>
      <c r="D5144" t="s">
        <v>67</v>
      </c>
      <c r="E5144" t="s">
        <v>68</v>
      </c>
      <c r="F5144" t="s">
        <v>25</v>
      </c>
      <c r="G5144" s="4">
        <v>11</v>
      </c>
      <c r="H5144" s="4" t="s">
        <v>17</v>
      </c>
      <c r="I5144" s="4" t="s">
        <v>69</v>
      </c>
      <c r="J5144" s="4" t="s">
        <v>66</v>
      </c>
      <c r="K5144" s="4">
        <v>0</v>
      </c>
      <c r="L5144" s="94">
        <v>1071175</v>
      </c>
      <c r="M5144" s="94">
        <v>11782925</v>
      </c>
    </row>
    <row r="5145" spans="3:13" x14ac:dyDescent="0.3">
      <c r="C5145" t="s">
        <v>61</v>
      </c>
      <c r="D5145" t="s">
        <v>62</v>
      </c>
      <c r="E5145" t="s">
        <v>68</v>
      </c>
      <c r="F5145" t="s">
        <v>24</v>
      </c>
      <c r="G5145" s="4">
        <v>31</v>
      </c>
      <c r="I5145" s="4" t="s">
        <v>65</v>
      </c>
      <c r="J5145" s="4" t="s">
        <v>66</v>
      </c>
      <c r="K5145" s="4">
        <v>1</v>
      </c>
      <c r="L5145" s="94">
        <v>10111629</v>
      </c>
      <c r="M5145" s="94">
        <v>313460499</v>
      </c>
    </row>
    <row r="5146" spans="3:13" x14ac:dyDescent="0.3">
      <c r="C5146" t="s">
        <v>71</v>
      </c>
      <c r="D5146" t="s">
        <v>62</v>
      </c>
      <c r="E5146" t="s">
        <v>63</v>
      </c>
      <c r="F5146" t="s">
        <v>24</v>
      </c>
      <c r="G5146" s="4">
        <v>-4</v>
      </c>
      <c r="I5146" s="4" t="s">
        <v>69</v>
      </c>
      <c r="J5146" s="4" t="s">
        <v>66</v>
      </c>
      <c r="K5146" s="4">
        <v>0</v>
      </c>
      <c r="L5146" s="94">
        <v>-538309</v>
      </c>
      <c r="M5146" s="94">
        <v>0</v>
      </c>
    </row>
    <row r="5147" spans="3:13" x14ac:dyDescent="0.3">
      <c r="C5147" t="s">
        <v>61</v>
      </c>
      <c r="D5147" t="s">
        <v>67</v>
      </c>
      <c r="E5147" t="s">
        <v>63</v>
      </c>
      <c r="F5147" t="s">
        <v>25</v>
      </c>
      <c r="G5147" s="4">
        <v>-1</v>
      </c>
      <c r="H5147" s="4" t="s">
        <v>17</v>
      </c>
      <c r="I5147" s="4" t="s">
        <v>69</v>
      </c>
      <c r="J5147" s="4" t="s">
        <v>66</v>
      </c>
      <c r="K5147" s="4">
        <v>0</v>
      </c>
      <c r="L5147" s="94">
        <v>-12927</v>
      </c>
      <c r="M5147" s="94">
        <v>0</v>
      </c>
    </row>
    <row r="5148" spans="3:13" x14ac:dyDescent="0.3">
      <c r="C5148" t="s">
        <v>61</v>
      </c>
      <c r="D5148" t="s">
        <v>67</v>
      </c>
      <c r="E5148" t="s">
        <v>68</v>
      </c>
      <c r="F5148" t="s">
        <v>26</v>
      </c>
      <c r="G5148" s="4">
        <v>6</v>
      </c>
      <c r="H5148" s="4" t="s">
        <v>75</v>
      </c>
      <c r="I5148" s="4" t="s">
        <v>69</v>
      </c>
      <c r="J5148" s="4" t="s">
        <v>66</v>
      </c>
      <c r="K5148" s="4">
        <v>0</v>
      </c>
      <c r="L5148" s="94">
        <v>19606944</v>
      </c>
      <c r="M5148" s="94">
        <v>117641664</v>
      </c>
    </row>
    <row r="5149" spans="3:13" x14ac:dyDescent="0.3">
      <c r="C5149" t="s">
        <v>61</v>
      </c>
      <c r="D5149" t="s">
        <v>67</v>
      </c>
      <c r="E5149" t="s">
        <v>68</v>
      </c>
      <c r="F5149" t="s">
        <v>25</v>
      </c>
      <c r="G5149" s="4">
        <v>8</v>
      </c>
      <c r="H5149" s="4" t="s">
        <v>81</v>
      </c>
      <c r="I5149" s="4" t="s">
        <v>69</v>
      </c>
      <c r="J5149" s="4" t="s">
        <v>66</v>
      </c>
      <c r="K5149" s="4">
        <v>0</v>
      </c>
      <c r="L5149" s="94">
        <v>133463</v>
      </c>
      <c r="M5149" s="94">
        <v>1067704</v>
      </c>
    </row>
    <row r="5150" spans="3:13" x14ac:dyDescent="0.3">
      <c r="C5150" t="s">
        <v>61</v>
      </c>
      <c r="D5150" t="s">
        <v>67</v>
      </c>
      <c r="E5150" t="s">
        <v>63</v>
      </c>
      <c r="F5150" t="s">
        <v>26</v>
      </c>
      <c r="G5150" s="4">
        <v>14</v>
      </c>
      <c r="H5150" s="4" t="s">
        <v>76</v>
      </c>
      <c r="I5150" s="4" t="s">
        <v>69</v>
      </c>
      <c r="J5150" s="4" t="s">
        <v>66</v>
      </c>
      <c r="K5150" s="4">
        <v>0</v>
      </c>
      <c r="L5150" s="94">
        <v>-1659</v>
      </c>
      <c r="M5150" s="94">
        <v>0</v>
      </c>
    </row>
    <row r="5151" spans="3:13" x14ac:dyDescent="0.3">
      <c r="C5151" t="s">
        <v>61</v>
      </c>
      <c r="D5151" t="s">
        <v>67</v>
      </c>
      <c r="E5151" t="s">
        <v>68</v>
      </c>
      <c r="F5151" t="s">
        <v>25</v>
      </c>
      <c r="G5151" s="4">
        <v>-1</v>
      </c>
      <c r="H5151" s="4" t="s">
        <v>64</v>
      </c>
      <c r="I5151" s="4" t="s">
        <v>69</v>
      </c>
      <c r="J5151" s="4" t="s">
        <v>66</v>
      </c>
      <c r="K5151" s="4">
        <v>0</v>
      </c>
      <c r="L5151" s="94">
        <v>1</v>
      </c>
      <c r="M5151" s="94">
        <v>0</v>
      </c>
    </row>
    <row r="5152" spans="3:13" x14ac:dyDescent="0.3">
      <c r="C5152" t="s">
        <v>61</v>
      </c>
      <c r="D5152" t="s">
        <v>67</v>
      </c>
      <c r="E5152" t="s">
        <v>63</v>
      </c>
      <c r="F5152" t="s">
        <v>25</v>
      </c>
      <c r="G5152" s="4">
        <v>15</v>
      </c>
      <c r="H5152" s="4" t="s">
        <v>75</v>
      </c>
      <c r="I5152" s="4" t="s">
        <v>69</v>
      </c>
      <c r="J5152" s="4" t="s">
        <v>66</v>
      </c>
      <c r="K5152" s="4">
        <v>0</v>
      </c>
      <c r="L5152" s="94">
        <v>-63041</v>
      </c>
      <c r="M5152" s="94">
        <v>0</v>
      </c>
    </row>
    <row r="5153" spans="3:13" x14ac:dyDescent="0.3">
      <c r="C5153" t="s">
        <v>71</v>
      </c>
      <c r="D5153" t="s">
        <v>67</v>
      </c>
      <c r="E5153" t="s">
        <v>68</v>
      </c>
      <c r="F5153" t="s">
        <v>26</v>
      </c>
      <c r="G5153" s="4">
        <v>4</v>
      </c>
      <c r="H5153" s="4" t="s">
        <v>78</v>
      </c>
      <c r="I5153" s="4" t="s">
        <v>69</v>
      </c>
      <c r="J5153" s="4" t="s">
        <v>66</v>
      </c>
      <c r="K5153" s="4">
        <v>0</v>
      </c>
      <c r="L5153" s="94">
        <v>237001</v>
      </c>
      <c r="M5153" s="94">
        <v>948004</v>
      </c>
    </row>
    <row r="5154" spans="3:13" x14ac:dyDescent="0.3">
      <c r="C5154" t="s">
        <v>61</v>
      </c>
      <c r="D5154" t="s">
        <v>67</v>
      </c>
      <c r="E5154" t="s">
        <v>68</v>
      </c>
      <c r="F5154" t="s">
        <v>25</v>
      </c>
      <c r="G5154" s="4">
        <v>8</v>
      </c>
      <c r="H5154" s="4" t="s">
        <v>75</v>
      </c>
      <c r="I5154" s="4" t="s">
        <v>65</v>
      </c>
      <c r="J5154" s="4" t="s">
        <v>66</v>
      </c>
      <c r="K5154" s="4">
        <v>1</v>
      </c>
      <c r="L5154" s="94">
        <v>720644</v>
      </c>
      <c r="M5154" s="94">
        <v>5765152</v>
      </c>
    </row>
    <row r="5155" spans="3:13" x14ac:dyDescent="0.3">
      <c r="C5155" t="s">
        <v>61</v>
      </c>
      <c r="D5155" t="s">
        <v>67</v>
      </c>
      <c r="E5155" t="s">
        <v>68</v>
      </c>
      <c r="F5155" t="s">
        <v>26</v>
      </c>
      <c r="G5155" s="4">
        <v>8</v>
      </c>
      <c r="H5155" s="4" t="s">
        <v>12</v>
      </c>
      <c r="I5155" s="4" t="s">
        <v>69</v>
      </c>
      <c r="J5155" s="4" t="s">
        <v>66</v>
      </c>
      <c r="K5155" s="4">
        <v>0</v>
      </c>
      <c r="L5155" s="94">
        <v>586385</v>
      </c>
      <c r="M5155" s="94">
        <v>4691080</v>
      </c>
    </row>
    <row r="5156" spans="3:13" x14ac:dyDescent="0.3">
      <c r="C5156" t="s">
        <v>70</v>
      </c>
      <c r="D5156" t="s">
        <v>62</v>
      </c>
      <c r="E5156" t="s">
        <v>63</v>
      </c>
      <c r="F5156" t="s">
        <v>24</v>
      </c>
      <c r="G5156" s="4">
        <v>9</v>
      </c>
      <c r="I5156" s="4" t="s">
        <v>69</v>
      </c>
      <c r="J5156" s="4" t="s">
        <v>66</v>
      </c>
      <c r="K5156" s="4">
        <v>1</v>
      </c>
      <c r="L5156" s="94">
        <v>-1891</v>
      </c>
      <c r="M5156" s="94">
        <v>0</v>
      </c>
    </row>
    <row r="5157" spans="3:13" x14ac:dyDescent="0.3">
      <c r="C5157" t="s">
        <v>61</v>
      </c>
      <c r="D5157" t="s">
        <v>84</v>
      </c>
      <c r="E5157" t="s">
        <v>63</v>
      </c>
      <c r="F5157" t="s">
        <v>25</v>
      </c>
      <c r="G5157" s="4">
        <v>0</v>
      </c>
      <c r="H5157" s="4" t="s">
        <v>82</v>
      </c>
      <c r="I5157" s="4" t="s">
        <v>69</v>
      </c>
      <c r="J5157" s="4" t="s">
        <v>66</v>
      </c>
      <c r="K5157" s="4">
        <v>0</v>
      </c>
      <c r="L5157" s="94">
        <v>-49</v>
      </c>
      <c r="M5157" s="94">
        <v>0</v>
      </c>
    </row>
    <row r="5158" spans="3:13" x14ac:dyDescent="0.3">
      <c r="C5158" t="s">
        <v>61</v>
      </c>
      <c r="D5158" t="s">
        <v>67</v>
      </c>
      <c r="E5158" t="s">
        <v>63</v>
      </c>
      <c r="F5158" t="s">
        <v>25</v>
      </c>
      <c r="G5158" s="4">
        <v>8</v>
      </c>
      <c r="H5158" s="4" t="s">
        <v>80</v>
      </c>
      <c r="I5158" s="4" t="s">
        <v>69</v>
      </c>
      <c r="J5158" s="4" t="s">
        <v>66</v>
      </c>
      <c r="K5158" s="4">
        <v>0</v>
      </c>
      <c r="L5158" s="94">
        <v>-943</v>
      </c>
      <c r="M5158" s="94">
        <v>0</v>
      </c>
    </row>
    <row r="5159" spans="3:13" x14ac:dyDescent="0.3">
      <c r="C5159" t="s">
        <v>61</v>
      </c>
      <c r="D5159" t="s">
        <v>67</v>
      </c>
      <c r="E5159" t="s">
        <v>68</v>
      </c>
      <c r="F5159" t="s">
        <v>72</v>
      </c>
      <c r="G5159" s="4">
        <v>3</v>
      </c>
      <c r="H5159" s="4" t="s">
        <v>74</v>
      </c>
      <c r="I5159" s="4" t="s">
        <v>69</v>
      </c>
      <c r="J5159" s="4" t="s">
        <v>66</v>
      </c>
      <c r="K5159" s="4">
        <v>0</v>
      </c>
      <c r="L5159" s="94">
        <v>4866748</v>
      </c>
      <c r="M5159" s="94">
        <v>14600244</v>
      </c>
    </row>
    <row r="5160" spans="3:13" x14ac:dyDescent="0.3">
      <c r="C5160" t="s">
        <v>71</v>
      </c>
      <c r="D5160" t="s">
        <v>67</v>
      </c>
      <c r="E5160" t="s">
        <v>63</v>
      </c>
      <c r="F5160" t="s">
        <v>72</v>
      </c>
      <c r="G5160" s="4">
        <v>-4</v>
      </c>
      <c r="H5160" s="4" t="s">
        <v>83</v>
      </c>
      <c r="I5160" s="4" t="s">
        <v>69</v>
      </c>
      <c r="J5160" s="4" t="s">
        <v>66</v>
      </c>
      <c r="K5160" s="4">
        <v>0</v>
      </c>
      <c r="L5160" s="94">
        <v>-25449</v>
      </c>
      <c r="M5160" s="94">
        <v>0</v>
      </c>
    </row>
    <row r="5161" spans="3:13" x14ac:dyDescent="0.3">
      <c r="C5161" t="s">
        <v>70</v>
      </c>
      <c r="D5161" t="s">
        <v>67</v>
      </c>
      <c r="E5161" t="s">
        <v>68</v>
      </c>
      <c r="F5161" t="s">
        <v>72</v>
      </c>
      <c r="G5161" s="4">
        <v>5</v>
      </c>
      <c r="H5161" s="4" t="s">
        <v>17</v>
      </c>
      <c r="I5161" s="4" t="s">
        <v>65</v>
      </c>
      <c r="J5161" s="4" t="s">
        <v>66</v>
      </c>
      <c r="K5161" s="4">
        <v>1</v>
      </c>
      <c r="L5161" s="94">
        <v>13369</v>
      </c>
      <c r="M5161" s="94">
        <v>66845</v>
      </c>
    </row>
    <row r="5162" spans="3:13" x14ac:dyDescent="0.3">
      <c r="C5162" t="s">
        <v>71</v>
      </c>
      <c r="D5162" t="s">
        <v>62</v>
      </c>
      <c r="E5162" t="s">
        <v>63</v>
      </c>
      <c r="F5162" t="s">
        <v>24</v>
      </c>
      <c r="G5162" s="4">
        <v>17</v>
      </c>
      <c r="I5162" s="4" t="s">
        <v>69</v>
      </c>
      <c r="J5162" s="4" t="s">
        <v>66</v>
      </c>
      <c r="K5162" s="4">
        <v>0</v>
      </c>
      <c r="L5162" s="94">
        <v>-1787488</v>
      </c>
      <c r="M5162" s="94">
        <v>0</v>
      </c>
    </row>
    <row r="5163" spans="3:13" x14ac:dyDescent="0.3">
      <c r="C5163" t="s">
        <v>70</v>
      </c>
      <c r="D5163" t="s">
        <v>62</v>
      </c>
      <c r="E5163" t="s">
        <v>68</v>
      </c>
      <c r="F5163" t="s">
        <v>24</v>
      </c>
      <c r="G5163" s="4">
        <v>30</v>
      </c>
      <c r="I5163" s="4" t="s">
        <v>65</v>
      </c>
      <c r="J5163" s="4" t="s">
        <v>66</v>
      </c>
      <c r="K5163" s="4">
        <v>1</v>
      </c>
      <c r="L5163" s="94">
        <v>512376</v>
      </c>
      <c r="M5163" s="94">
        <v>15371280</v>
      </c>
    </row>
    <row r="5164" spans="3:13" x14ac:dyDescent="0.3">
      <c r="C5164" t="s">
        <v>61</v>
      </c>
      <c r="D5164" t="s">
        <v>67</v>
      </c>
      <c r="E5164" t="s">
        <v>68</v>
      </c>
      <c r="F5164" t="s">
        <v>25</v>
      </c>
      <c r="G5164" s="4">
        <v>3</v>
      </c>
      <c r="H5164" s="4" t="s">
        <v>83</v>
      </c>
      <c r="I5164" s="4" t="s">
        <v>69</v>
      </c>
      <c r="J5164" s="4" t="s">
        <v>66</v>
      </c>
      <c r="K5164" s="4">
        <v>0</v>
      </c>
      <c r="L5164" s="94">
        <v>256218</v>
      </c>
      <c r="M5164" s="94">
        <v>768654</v>
      </c>
    </row>
    <row r="5165" spans="3:13" x14ac:dyDescent="0.3">
      <c r="C5165" t="s">
        <v>71</v>
      </c>
      <c r="D5165" t="s">
        <v>67</v>
      </c>
      <c r="E5165" t="s">
        <v>63</v>
      </c>
      <c r="F5165" t="s">
        <v>26</v>
      </c>
      <c r="G5165" s="4">
        <v>9</v>
      </c>
      <c r="H5165" s="4" t="s">
        <v>80</v>
      </c>
      <c r="I5165" s="4" t="s">
        <v>69</v>
      </c>
      <c r="J5165" s="4" t="s">
        <v>66</v>
      </c>
      <c r="K5165" s="4">
        <v>0</v>
      </c>
      <c r="L5165" s="94">
        <v>-96342</v>
      </c>
      <c r="M5165" s="94">
        <v>0</v>
      </c>
    </row>
    <row r="5166" spans="3:13" x14ac:dyDescent="0.3">
      <c r="C5166" t="s">
        <v>71</v>
      </c>
      <c r="D5166" t="s">
        <v>67</v>
      </c>
      <c r="E5166" t="s">
        <v>63</v>
      </c>
      <c r="F5166" t="s">
        <v>26</v>
      </c>
      <c r="G5166" s="4">
        <v>17</v>
      </c>
      <c r="H5166" s="4" t="s">
        <v>82</v>
      </c>
      <c r="I5166" s="4" t="s">
        <v>69</v>
      </c>
      <c r="J5166" s="4" t="s">
        <v>66</v>
      </c>
      <c r="K5166" s="4">
        <v>0</v>
      </c>
      <c r="L5166" s="94">
        <v>-52151</v>
      </c>
      <c r="M5166" s="94">
        <v>0</v>
      </c>
    </row>
    <row r="5167" spans="3:13" x14ac:dyDescent="0.3">
      <c r="C5167" t="s">
        <v>70</v>
      </c>
      <c r="D5167" t="s">
        <v>67</v>
      </c>
      <c r="E5167" t="s">
        <v>68</v>
      </c>
      <c r="F5167" t="s">
        <v>72</v>
      </c>
      <c r="G5167" s="4">
        <v>4</v>
      </c>
      <c r="H5167" s="4" t="s">
        <v>82</v>
      </c>
      <c r="I5167" s="4" t="s">
        <v>69</v>
      </c>
      <c r="J5167" s="4" t="s">
        <v>66</v>
      </c>
      <c r="K5167" s="4">
        <v>0</v>
      </c>
      <c r="L5167" s="94">
        <v>3302918</v>
      </c>
      <c r="M5167" s="94">
        <v>13211672</v>
      </c>
    </row>
    <row r="5168" spans="3:13" x14ac:dyDescent="0.3">
      <c r="C5168" t="s">
        <v>61</v>
      </c>
      <c r="D5168" t="s">
        <v>67</v>
      </c>
      <c r="E5168" t="s">
        <v>68</v>
      </c>
      <c r="F5168" t="s">
        <v>25</v>
      </c>
      <c r="G5168" s="4">
        <v>16</v>
      </c>
      <c r="H5168" s="4" t="s">
        <v>79</v>
      </c>
      <c r="I5168" s="4" t="s">
        <v>69</v>
      </c>
      <c r="J5168" s="4" t="s">
        <v>66</v>
      </c>
      <c r="K5168" s="4">
        <v>0</v>
      </c>
      <c r="L5168" s="94">
        <v>7442331</v>
      </c>
      <c r="M5168" s="94">
        <v>119077296</v>
      </c>
    </row>
    <row r="5169" spans="3:13" x14ac:dyDescent="0.3">
      <c r="C5169" t="s">
        <v>70</v>
      </c>
      <c r="D5169" t="s">
        <v>67</v>
      </c>
      <c r="E5169" t="s">
        <v>63</v>
      </c>
      <c r="F5169" t="s">
        <v>25</v>
      </c>
      <c r="G5169" s="4">
        <v>16</v>
      </c>
      <c r="H5169" s="4" t="s">
        <v>14</v>
      </c>
      <c r="I5169" s="4" t="s">
        <v>69</v>
      </c>
      <c r="J5169" s="4" t="s">
        <v>66</v>
      </c>
      <c r="K5169" s="4">
        <v>1</v>
      </c>
      <c r="L5169" s="94">
        <v>-8685</v>
      </c>
      <c r="M5169" s="94">
        <v>0</v>
      </c>
    </row>
    <row r="5170" spans="3:13" x14ac:dyDescent="0.3">
      <c r="C5170" t="s">
        <v>70</v>
      </c>
      <c r="D5170" t="s">
        <v>67</v>
      </c>
      <c r="E5170" t="s">
        <v>63</v>
      </c>
      <c r="F5170" t="s">
        <v>26</v>
      </c>
      <c r="G5170" s="4">
        <v>4</v>
      </c>
      <c r="H5170" s="4" t="s">
        <v>18</v>
      </c>
      <c r="I5170" s="4" t="s">
        <v>65</v>
      </c>
      <c r="J5170" s="4" t="s">
        <v>66</v>
      </c>
      <c r="K5170" s="4">
        <v>1</v>
      </c>
      <c r="L5170" s="94">
        <v>-1976</v>
      </c>
      <c r="M5170" s="94">
        <v>0</v>
      </c>
    </row>
    <row r="5171" spans="3:13" x14ac:dyDescent="0.3">
      <c r="C5171" t="s">
        <v>70</v>
      </c>
      <c r="D5171" t="s">
        <v>67</v>
      </c>
      <c r="E5171" t="s">
        <v>63</v>
      </c>
      <c r="F5171" t="s">
        <v>26</v>
      </c>
      <c r="G5171" s="4">
        <v>1</v>
      </c>
      <c r="H5171" s="4" t="s">
        <v>14</v>
      </c>
      <c r="I5171" s="4" t="s">
        <v>69</v>
      </c>
      <c r="J5171" s="4" t="s">
        <v>73</v>
      </c>
      <c r="K5171" s="4">
        <v>1</v>
      </c>
      <c r="L5171" s="94">
        <v>-627865</v>
      </c>
      <c r="M5171" s="94">
        <v>0</v>
      </c>
    </row>
    <row r="5172" spans="3:13" x14ac:dyDescent="0.3">
      <c r="C5172" t="s">
        <v>70</v>
      </c>
      <c r="D5172" t="s">
        <v>67</v>
      </c>
      <c r="E5172" t="s">
        <v>63</v>
      </c>
      <c r="F5172" t="s">
        <v>25</v>
      </c>
      <c r="G5172" s="4">
        <v>9</v>
      </c>
      <c r="H5172" s="4" t="s">
        <v>18</v>
      </c>
      <c r="I5172" s="4" t="s">
        <v>69</v>
      </c>
      <c r="J5172" s="4" t="s">
        <v>66</v>
      </c>
      <c r="K5172" s="4">
        <v>1</v>
      </c>
      <c r="L5172" s="94">
        <v>-1036</v>
      </c>
      <c r="M5172" s="94">
        <v>0</v>
      </c>
    </row>
    <row r="5173" spans="3:13" x14ac:dyDescent="0.3">
      <c r="C5173" t="s">
        <v>61</v>
      </c>
      <c r="D5173" t="s">
        <v>67</v>
      </c>
      <c r="E5173" t="s">
        <v>63</v>
      </c>
      <c r="F5173" t="s">
        <v>26</v>
      </c>
      <c r="G5173" s="4">
        <v>9</v>
      </c>
      <c r="H5173" s="4" t="s">
        <v>79</v>
      </c>
      <c r="I5173" s="4" t="s">
        <v>69</v>
      </c>
      <c r="J5173" s="4" t="s">
        <v>66</v>
      </c>
      <c r="K5173" s="4">
        <v>0</v>
      </c>
      <c r="L5173" s="94">
        <v>-1147</v>
      </c>
      <c r="M5173" s="94">
        <v>0</v>
      </c>
    </row>
    <row r="5174" spans="3:13" x14ac:dyDescent="0.3">
      <c r="C5174" t="s">
        <v>71</v>
      </c>
      <c r="D5174" t="s">
        <v>62</v>
      </c>
      <c r="E5174" t="s">
        <v>68</v>
      </c>
      <c r="F5174" t="s">
        <v>24</v>
      </c>
      <c r="G5174" s="4">
        <v>4</v>
      </c>
      <c r="I5174" s="4" t="s">
        <v>65</v>
      </c>
      <c r="J5174" s="4" t="s">
        <v>66</v>
      </c>
      <c r="K5174" s="4">
        <v>1</v>
      </c>
      <c r="L5174" s="94">
        <v>33115</v>
      </c>
      <c r="M5174" s="94">
        <v>132460</v>
      </c>
    </row>
    <row r="5175" spans="3:13" x14ac:dyDescent="0.3">
      <c r="C5175" t="s">
        <v>71</v>
      </c>
      <c r="D5175" t="s">
        <v>67</v>
      </c>
      <c r="E5175" t="s">
        <v>63</v>
      </c>
      <c r="F5175" t="s">
        <v>72</v>
      </c>
      <c r="G5175" s="4">
        <v>5</v>
      </c>
      <c r="H5175" s="4" t="s">
        <v>77</v>
      </c>
      <c r="I5175" s="4" t="s">
        <v>69</v>
      </c>
      <c r="J5175" s="4" t="s">
        <v>66</v>
      </c>
      <c r="K5175" s="4">
        <v>0</v>
      </c>
      <c r="L5175" s="94">
        <v>-13661</v>
      </c>
      <c r="M5175" s="94">
        <v>0</v>
      </c>
    </row>
    <row r="5176" spans="3:13" x14ac:dyDescent="0.3">
      <c r="C5176" t="s">
        <v>71</v>
      </c>
      <c r="D5176" t="s">
        <v>67</v>
      </c>
      <c r="E5176" t="s">
        <v>68</v>
      </c>
      <c r="F5176" t="s">
        <v>72</v>
      </c>
      <c r="G5176" s="4">
        <v>5</v>
      </c>
      <c r="H5176" s="4" t="s">
        <v>14</v>
      </c>
      <c r="I5176" s="4" t="s">
        <v>69</v>
      </c>
      <c r="J5176" s="4" t="s">
        <v>66</v>
      </c>
      <c r="K5176" s="4">
        <v>0</v>
      </c>
      <c r="L5176" s="94">
        <v>101288</v>
      </c>
      <c r="M5176" s="94">
        <v>506440</v>
      </c>
    </row>
    <row r="5177" spans="3:13" x14ac:dyDescent="0.3">
      <c r="C5177" t="s">
        <v>70</v>
      </c>
      <c r="D5177" t="s">
        <v>67</v>
      </c>
      <c r="E5177" t="s">
        <v>68</v>
      </c>
      <c r="F5177" t="s">
        <v>26</v>
      </c>
      <c r="G5177" s="4">
        <v>6</v>
      </c>
      <c r="H5177" s="4" t="s">
        <v>17</v>
      </c>
      <c r="I5177" s="4" t="s">
        <v>65</v>
      </c>
      <c r="J5177" s="4" t="s">
        <v>66</v>
      </c>
      <c r="K5177" s="4">
        <v>1</v>
      </c>
      <c r="L5177" s="94">
        <v>108737</v>
      </c>
      <c r="M5177" s="94">
        <v>652422</v>
      </c>
    </row>
    <row r="5178" spans="3:13" x14ac:dyDescent="0.3">
      <c r="C5178" t="s">
        <v>70</v>
      </c>
      <c r="D5178" t="s">
        <v>67</v>
      </c>
      <c r="E5178" t="s">
        <v>68</v>
      </c>
      <c r="F5178" t="s">
        <v>25</v>
      </c>
      <c r="G5178" s="4">
        <v>12</v>
      </c>
      <c r="H5178" s="4" t="s">
        <v>83</v>
      </c>
      <c r="I5178" s="4" t="s">
        <v>69</v>
      </c>
      <c r="J5178" s="4" t="s">
        <v>66</v>
      </c>
      <c r="K5178" s="4">
        <v>0</v>
      </c>
      <c r="L5178" s="94">
        <v>420614</v>
      </c>
      <c r="M5178" s="94">
        <v>5047368</v>
      </c>
    </row>
    <row r="5179" spans="3:13" x14ac:dyDescent="0.3">
      <c r="C5179" t="s">
        <v>71</v>
      </c>
      <c r="D5179" t="s">
        <v>67</v>
      </c>
      <c r="E5179" t="s">
        <v>63</v>
      </c>
      <c r="F5179" t="s">
        <v>25</v>
      </c>
      <c r="G5179" s="4">
        <v>1</v>
      </c>
      <c r="H5179" s="4" t="s">
        <v>14</v>
      </c>
      <c r="I5179" s="4" t="s">
        <v>69</v>
      </c>
      <c r="J5179" s="4" t="s">
        <v>73</v>
      </c>
      <c r="K5179" s="4">
        <v>1</v>
      </c>
      <c r="L5179" s="94">
        <v>-339154</v>
      </c>
      <c r="M5179" s="94">
        <v>0</v>
      </c>
    </row>
    <row r="5180" spans="3:13" x14ac:dyDescent="0.3">
      <c r="C5180" t="s">
        <v>61</v>
      </c>
      <c r="D5180" t="s">
        <v>62</v>
      </c>
      <c r="E5180" t="s">
        <v>63</v>
      </c>
      <c r="F5180" t="s">
        <v>24</v>
      </c>
      <c r="G5180" s="4">
        <v>25</v>
      </c>
      <c r="I5180" s="4" t="s">
        <v>69</v>
      </c>
      <c r="J5180" s="4" t="s">
        <v>66</v>
      </c>
      <c r="K5180" s="4">
        <v>0</v>
      </c>
      <c r="L5180" s="94">
        <v>-331167</v>
      </c>
      <c r="M5180" s="94">
        <v>0</v>
      </c>
    </row>
    <row r="5181" spans="3:13" x14ac:dyDescent="0.3">
      <c r="C5181" t="s">
        <v>61</v>
      </c>
      <c r="D5181" t="s">
        <v>67</v>
      </c>
      <c r="E5181" t="s">
        <v>63</v>
      </c>
      <c r="F5181" t="s">
        <v>72</v>
      </c>
      <c r="G5181" s="4">
        <v>1</v>
      </c>
      <c r="H5181" s="4" t="s">
        <v>78</v>
      </c>
      <c r="I5181" s="4" t="s">
        <v>69</v>
      </c>
      <c r="J5181" s="4" t="s">
        <v>66</v>
      </c>
      <c r="K5181" s="4">
        <v>0</v>
      </c>
      <c r="L5181" s="94">
        <v>-272</v>
      </c>
      <c r="M5181" s="94">
        <v>0</v>
      </c>
    </row>
    <row r="5182" spans="3:13" x14ac:dyDescent="0.3">
      <c r="C5182" t="s">
        <v>71</v>
      </c>
      <c r="D5182" t="s">
        <v>84</v>
      </c>
      <c r="E5182" t="s">
        <v>68</v>
      </c>
      <c r="F5182" t="s">
        <v>25</v>
      </c>
      <c r="G5182" s="4">
        <v>2</v>
      </c>
      <c r="H5182" s="4" t="s">
        <v>18</v>
      </c>
      <c r="I5182" s="4" t="s">
        <v>69</v>
      </c>
      <c r="J5182" s="4" t="s">
        <v>66</v>
      </c>
      <c r="K5182" s="4">
        <v>0</v>
      </c>
      <c r="L5182" s="94">
        <v>552436</v>
      </c>
      <c r="M5182" s="94">
        <v>1104872</v>
      </c>
    </row>
    <row r="5183" spans="3:13" x14ac:dyDescent="0.3">
      <c r="C5183" t="s">
        <v>70</v>
      </c>
      <c r="D5183" t="s">
        <v>67</v>
      </c>
      <c r="E5183" t="s">
        <v>63</v>
      </c>
      <c r="F5183" t="s">
        <v>26</v>
      </c>
      <c r="G5183" s="4">
        <v>10</v>
      </c>
      <c r="H5183" s="4" t="s">
        <v>83</v>
      </c>
      <c r="I5183" s="4" t="s">
        <v>69</v>
      </c>
      <c r="J5183" s="4" t="s">
        <v>66</v>
      </c>
      <c r="K5183" s="4">
        <v>0</v>
      </c>
      <c r="L5183" s="94">
        <v>-236833</v>
      </c>
      <c r="M5183" s="94">
        <v>0</v>
      </c>
    </row>
    <row r="5184" spans="3:13" x14ac:dyDescent="0.3">
      <c r="C5184" t="s">
        <v>61</v>
      </c>
      <c r="D5184" t="s">
        <v>67</v>
      </c>
      <c r="E5184" t="s">
        <v>68</v>
      </c>
      <c r="F5184" t="s">
        <v>25</v>
      </c>
      <c r="G5184" s="4">
        <v>6</v>
      </c>
      <c r="H5184" s="4" t="s">
        <v>82</v>
      </c>
      <c r="I5184" s="4" t="s">
        <v>69</v>
      </c>
      <c r="J5184" s="4" t="s">
        <v>66</v>
      </c>
      <c r="K5184" s="4">
        <v>0</v>
      </c>
      <c r="L5184" s="94">
        <v>349859</v>
      </c>
      <c r="M5184" s="94">
        <v>2099154</v>
      </c>
    </row>
    <row r="5185" spans="3:13" x14ac:dyDescent="0.3">
      <c r="C5185" t="s">
        <v>61</v>
      </c>
      <c r="D5185" t="s">
        <v>62</v>
      </c>
      <c r="E5185" t="s">
        <v>63</v>
      </c>
      <c r="F5185" t="s">
        <v>24</v>
      </c>
      <c r="G5185" s="4">
        <v>32</v>
      </c>
      <c r="I5185" s="4" t="s">
        <v>65</v>
      </c>
      <c r="J5185" s="4" t="s">
        <v>66</v>
      </c>
      <c r="K5185" s="4">
        <v>1</v>
      </c>
      <c r="L5185" s="94">
        <v>-4143</v>
      </c>
      <c r="M5185" s="94">
        <v>0</v>
      </c>
    </row>
    <row r="5186" spans="3:13" x14ac:dyDescent="0.3">
      <c r="C5186" t="s">
        <v>71</v>
      </c>
      <c r="D5186" t="s">
        <v>67</v>
      </c>
      <c r="E5186" t="s">
        <v>68</v>
      </c>
      <c r="F5186" t="s">
        <v>72</v>
      </c>
      <c r="G5186" s="4">
        <v>-4</v>
      </c>
      <c r="H5186" s="4" t="s">
        <v>78</v>
      </c>
      <c r="I5186" s="4" t="s">
        <v>69</v>
      </c>
      <c r="J5186" s="4" t="s">
        <v>66</v>
      </c>
      <c r="K5186" s="4">
        <v>0</v>
      </c>
      <c r="L5186" s="94">
        <v>8073</v>
      </c>
      <c r="M5186" s="94">
        <v>0</v>
      </c>
    </row>
    <row r="5187" spans="3:13" x14ac:dyDescent="0.3">
      <c r="C5187" t="s">
        <v>71</v>
      </c>
      <c r="D5187" t="s">
        <v>67</v>
      </c>
      <c r="E5187" t="s">
        <v>68</v>
      </c>
      <c r="F5187" t="s">
        <v>26</v>
      </c>
      <c r="G5187" s="4">
        <v>-1</v>
      </c>
      <c r="H5187" s="4" t="s">
        <v>75</v>
      </c>
      <c r="I5187" s="4" t="s">
        <v>65</v>
      </c>
      <c r="J5187" s="4" t="s">
        <v>66</v>
      </c>
      <c r="K5187" s="4">
        <v>1</v>
      </c>
      <c r="L5187" s="94">
        <v>30154</v>
      </c>
      <c r="M5187" s="94">
        <v>0</v>
      </c>
    </row>
    <row r="5188" spans="3:13" x14ac:dyDescent="0.3">
      <c r="C5188" t="s">
        <v>61</v>
      </c>
      <c r="D5188" t="s">
        <v>62</v>
      </c>
      <c r="E5188" t="s">
        <v>68</v>
      </c>
      <c r="F5188" t="s">
        <v>24</v>
      </c>
      <c r="G5188" s="4">
        <v>16</v>
      </c>
      <c r="I5188" s="4" t="s">
        <v>69</v>
      </c>
      <c r="J5188" s="4" t="s">
        <v>66</v>
      </c>
      <c r="K5188" s="4">
        <v>1</v>
      </c>
      <c r="L5188" s="94">
        <v>1194785</v>
      </c>
      <c r="M5188" s="94">
        <v>19116560</v>
      </c>
    </row>
    <row r="5189" spans="3:13" x14ac:dyDescent="0.3">
      <c r="C5189" t="s">
        <v>71</v>
      </c>
      <c r="D5189" t="s">
        <v>67</v>
      </c>
      <c r="E5189" t="s">
        <v>68</v>
      </c>
      <c r="F5189" t="s">
        <v>25</v>
      </c>
      <c r="G5189" s="4">
        <v>4</v>
      </c>
      <c r="H5189" s="4" t="s">
        <v>76</v>
      </c>
      <c r="I5189" s="4" t="s">
        <v>69</v>
      </c>
      <c r="J5189" s="4" t="s">
        <v>66</v>
      </c>
      <c r="K5189" s="4">
        <v>0</v>
      </c>
      <c r="L5189" s="94">
        <v>289874</v>
      </c>
      <c r="M5189" s="94">
        <v>1159496</v>
      </c>
    </row>
    <row r="5190" spans="3:13" x14ac:dyDescent="0.3">
      <c r="C5190" t="s">
        <v>61</v>
      </c>
      <c r="D5190" t="s">
        <v>67</v>
      </c>
      <c r="E5190" t="s">
        <v>63</v>
      </c>
      <c r="F5190" t="s">
        <v>72</v>
      </c>
      <c r="G5190" s="4">
        <v>4</v>
      </c>
      <c r="H5190" s="4" t="s">
        <v>83</v>
      </c>
      <c r="I5190" s="4" t="s">
        <v>69</v>
      </c>
      <c r="J5190" s="4" t="s">
        <v>66</v>
      </c>
      <c r="K5190" s="4">
        <v>0</v>
      </c>
      <c r="L5190" s="94">
        <v>-4797</v>
      </c>
      <c r="M5190" s="94">
        <v>0</v>
      </c>
    </row>
    <row r="5191" spans="3:13" x14ac:dyDescent="0.3">
      <c r="C5191" t="s">
        <v>61</v>
      </c>
      <c r="D5191" t="s">
        <v>67</v>
      </c>
      <c r="E5191" t="s">
        <v>63</v>
      </c>
      <c r="F5191" t="s">
        <v>72</v>
      </c>
      <c r="G5191" s="4">
        <v>6</v>
      </c>
      <c r="H5191" s="4" t="s">
        <v>77</v>
      </c>
      <c r="I5191" s="4" t="s">
        <v>69</v>
      </c>
      <c r="J5191" s="4" t="s">
        <v>66</v>
      </c>
      <c r="K5191" s="4">
        <v>0</v>
      </c>
      <c r="L5191" s="94">
        <v>-250</v>
      </c>
      <c r="M5191" s="94">
        <v>0</v>
      </c>
    </row>
    <row r="5192" spans="3:13" x14ac:dyDescent="0.3">
      <c r="C5192" t="s">
        <v>70</v>
      </c>
      <c r="D5192" t="s">
        <v>67</v>
      </c>
      <c r="E5192" t="s">
        <v>63</v>
      </c>
      <c r="F5192" t="s">
        <v>26</v>
      </c>
      <c r="G5192" s="4">
        <v>7</v>
      </c>
      <c r="H5192" s="4" t="s">
        <v>78</v>
      </c>
      <c r="I5192" s="4" t="s">
        <v>69</v>
      </c>
      <c r="J5192" s="4" t="s">
        <v>66</v>
      </c>
      <c r="K5192" s="4">
        <v>0</v>
      </c>
      <c r="L5192" s="94">
        <v>-91198</v>
      </c>
      <c r="M5192" s="94">
        <v>0</v>
      </c>
    </row>
    <row r="5193" spans="3:13" x14ac:dyDescent="0.3">
      <c r="C5193" t="s">
        <v>61</v>
      </c>
      <c r="D5193" t="s">
        <v>62</v>
      </c>
      <c r="E5193" t="s">
        <v>68</v>
      </c>
      <c r="F5193" t="s">
        <v>25</v>
      </c>
      <c r="G5193" s="4">
        <v>16</v>
      </c>
      <c r="I5193" s="4" t="s">
        <v>69</v>
      </c>
      <c r="J5193" s="4" t="s">
        <v>66</v>
      </c>
      <c r="K5193" s="4">
        <v>0</v>
      </c>
      <c r="L5193" s="94">
        <v>636160</v>
      </c>
      <c r="M5193" s="94">
        <v>10178560</v>
      </c>
    </row>
    <row r="5194" spans="3:13" x14ac:dyDescent="0.3">
      <c r="C5194" t="s">
        <v>61</v>
      </c>
      <c r="D5194" t="s">
        <v>84</v>
      </c>
      <c r="E5194" t="s">
        <v>68</v>
      </c>
      <c r="F5194" t="s">
        <v>25</v>
      </c>
      <c r="G5194" s="4">
        <v>3</v>
      </c>
      <c r="H5194" s="4" t="s">
        <v>17</v>
      </c>
      <c r="I5194" s="4" t="s">
        <v>69</v>
      </c>
      <c r="J5194" s="4" t="s">
        <v>66</v>
      </c>
      <c r="K5194" s="4">
        <v>0</v>
      </c>
      <c r="L5194" s="94">
        <v>46973926</v>
      </c>
      <c r="M5194" s="94">
        <v>140921778</v>
      </c>
    </row>
    <row r="5195" spans="3:13" x14ac:dyDescent="0.3">
      <c r="C5195" t="s">
        <v>70</v>
      </c>
      <c r="D5195" t="s">
        <v>62</v>
      </c>
      <c r="E5195" t="s">
        <v>63</v>
      </c>
      <c r="F5195" t="s">
        <v>24</v>
      </c>
      <c r="G5195" s="4">
        <v>27</v>
      </c>
      <c r="I5195" s="4" t="s">
        <v>69</v>
      </c>
      <c r="J5195" s="4" t="s">
        <v>66</v>
      </c>
      <c r="K5195" s="4">
        <v>1</v>
      </c>
      <c r="L5195" s="94">
        <v>-9510</v>
      </c>
      <c r="M5195" s="94">
        <v>0</v>
      </c>
    </row>
    <row r="5196" spans="3:13" x14ac:dyDescent="0.3">
      <c r="C5196" t="s">
        <v>61</v>
      </c>
      <c r="D5196" t="s">
        <v>67</v>
      </c>
      <c r="E5196" t="s">
        <v>63</v>
      </c>
      <c r="F5196" t="s">
        <v>26</v>
      </c>
      <c r="G5196" s="4">
        <v>-1</v>
      </c>
      <c r="H5196" s="4" t="s">
        <v>75</v>
      </c>
      <c r="I5196" s="4" t="s">
        <v>65</v>
      </c>
      <c r="J5196" s="4" t="s">
        <v>66</v>
      </c>
      <c r="K5196" s="4">
        <v>1</v>
      </c>
      <c r="L5196" s="94">
        <v>-944</v>
      </c>
      <c r="M5196" s="94">
        <v>0</v>
      </c>
    </row>
    <row r="5197" spans="3:13" x14ac:dyDescent="0.3">
      <c r="C5197" t="s">
        <v>71</v>
      </c>
      <c r="D5197" t="s">
        <v>67</v>
      </c>
      <c r="E5197" t="s">
        <v>68</v>
      </c>
      <c r="F5197" t="s">
        <v>26</v>
      </c>
      <c r="G5197" s="4">
        <v>5</v>
      </c>
      <c r="H5197" s="4" t="s">
        <v>18</v>
      </c>
      <c r="I5197" s="4" t="s">
        <v>69</v>
      </c>
      <c r="J5197" s="4" t="s">
        <v>73</v>
      </c>
      <c r="K5197" s="4">
        <v>1</v>
      </c>
      <c r="L5197" s="94">
        <v>37930</v>
      </c>
      <c r="M5197" s="94">
        <v>189650</v>
      </c>
    </row>
    <row r="5198" spans="3:13" x14ac:dyDescent="0.3">
      <c r="C5198" t="s">
        <v>70</v>
      </c>
      <c r="D5198" t="s">
        <v>62</v>
      </c>
      <c r="E5198" t="s">
        <v>63</v>
      </c>
      <c r="F5198" t="s">
        <v>25</v>
      </c>
      <c r="G5198" s="4">
        <v>1</v>
      </c>
      <c r="I5198" s="4" t="s">
        <v>69</v>
      </c>
      <c r="J5198" s="4" t="s">
        <v>66</v>
      </c>
      <c r="K5198" s="4">
        <v>1</v>
      </c>
      <c r="L5198" s="94">
        <v>0</v>
      </c>
      <c r="M5198" s="94">
        <v>0</v>
      </c>
    </row>
    <row r="5199" spans="3:13" x14ac:dyDescent="0.3">
      <c r="C5199" t="s">
        <v>70</v>
      </c>
      <c r="D5199" t="s">
        <v>67</v>
      </c>
      <c r="E5199" t="s">
        <v>68</v>
      </c>
      <c r="F5199" t="s">
        <v>72</v>
      </c>
      <c r="G5199" s="4">
        <v>2</v>
      </c>
      <c r="H5199" s="4" t="s">
        <v>15</v>
      </c>
      <c r="I5199" s="4" t="s">
        <v>69</v>
      </c>
      <c r="J5199" s="4" t="s">
        <v>73</v>
      </c>
      <c r="K5199" s="4">
        <v>1</v>
      </c>
      <c r="L5199" s="94">
        <v>61100</v>
      </c>
      <c r="M5199" s="94">
        <v>122200</v>
      </c>
    </row>
    <row r="5200" spans="3:13" x14ac:dyDescent="0.3">
      <c r="C5200" t="s">
        <v>70</v>
      </c>
      <c r="D5200" t="s">
        <v>67</v>
      </c>
      <c r="E5200" t="s">
        <v>63</v>
      </c>
      <c r="F5200" t="s">
        <v>25</v>
      </c>
      <c r="G5200" s="4">
        <v>6</v>
      </c>
      <c r="H5200" s="4" t="s">
        <v>75</v>
      </c>
      <c r="I5200" s="4" t="s">
        <v>69</v>
      </c>
      <c r="J5200" s="4" t="s">
        <v>66</v>
      </c>
      <c r="K5200" s="4">
        <v>1</v>
      </c>
      <c r="L5200" s="94">
        <v>-8592</v>
      </c>
      <c r="M5200" s="94">
        <v>0</v>
      </c>
    </row>
    <row r="5201" spans="3:13" x14ac:dyDescent="0.3">
      <c r="C5201" t="s">
        <v>71</v>
      </c>
      <c r="D5201" t="s">
        <v>62</v>
      </c>
      <c r="E5201" t="s">
        <v>63</v>
      </c>
      <c r="F5201" t="s">
        <v>24</v>
      </c>
      <c r="G5201" s="4">
        <v>12</v>
      </c>
      <c r="I5201" s="4" t="s">
        <v>69</v>
      </c>
      <c r="J5201" s="4" t="s">
        <v>66</v>
      </c>
      <c r="K5201" s="4">
        <v>0</v>
      </c>
      <c r="L5201" s="94">
        <v>-1415751</v>
      </c>
      <c r="M5201" s="94">
        <v>0</v>
      </c>
    </row>
    <row r="5202" spans="3:13" x14ac:dyDescent="0.3">
      <c r="C5202" t="s">
        <v>71</v>
      </c>
      <c r="D5202" t="s">
        <v>62</v>
      </c>
      <c r="E5202" t="s">
        <v>68</v>
      </c>
      <c r="F5202" t="s">
        <v>24</v>
      </c>
      <c r="G5202" s="4">
        <v>13</v>
      </c>
      <c r="I5202" s="4" t="s">
        <v>69</v>
      </c>
      <c r="J5202" s="4" t="s">
        <v>66</v>
      </c>
      <c r="K5202" s="4">
        <v>1</v>
      </c>
      <c r="L5202" s="94">
        <v>12598</v>
      </c>
      <c r="M5202" s="94">
        <v>163774</v>
      </c>
    </row>
    <row r="5203" spans="3:13" x14ac:dyDescent="0.3">
      <c r="C5203" t="s">
        <v>61</v>
      </c>
      <c r="D5203" t="s">
        <v>67</v>
      </c>
      <c r="E5203" t="s">
        <v>63</v>
      </c>
      <c r="F5203" t="s">
        <v>25</v>
      </c>
      <c r="G5203" s="4">
        <v>14</v>
      </c>
      <c r="H5203" s="4" t="s">
        <v>64</v>
      </c>
      <c r="I5203" s="4" t="s">
        <v>69</v>
      </c>
      <c r="J5203" s="4" t="s">
        <v>66</v>
      </c>
      <c r="K5203" s="4">
        <v>0</v>
      </c>
      <c r="L5203" s="94">
        <v>-202</v>
      </c>
      <c r="M5203" s="94">
        <v>0</v>
      </c>
    </row>
    <row r="5204" spans="3:13" x14ac:dyDescent="0.3">
      <c r="C5204" t="s">
        <v>70</v>
      </c>
      <c r="D5204" t="s">
        <v>67</v>
      </c>
      <c r="E5204" t="s">
        <v>63</v>
      </c>
      <c r="F5204" t="s">
        <v>26</v>
      </c>
      <c r="G5204" s="4">
        <v>2</v>
      </c>
      <c r="H5204" s="4" t="s">
        <v>18</v>
      </c>
      <c r="I5204" s="4" t="s">
        <v>69</v>
      </c>
      <c r="J5204" s="4" t="s">
        <v>66</v>
      </c>
      <c r="K5204" s="4">
        <v>0</v>
      </c>
      <c r="L5204" s="94">
        <v>-1193251</v>
      </c>
      <c r="M5204" s="94">
        <v>0</v>
      </c>
    </row>
    <row r="5205" spans="3:13" x14ac:dyDescent="0.3">
      <c r="C5205" t="s">
        <v>61</v>
      </c>
      <c r="D5205" t="s">
        <v>67</v>
      </c>
      <c r="E5205" t="s">
        <v>63</v>
      </c>
      <c r="F5205" t="s">
        <v>26</v>
      </c>
      <c r="G5205" s="4">
        <v>6</v>
      </c>
      <c r="H5205" s="4" t="s">
        <v>74</v>
      </c>
      <c r="I5205" s="4" t="s">
        <v>69</v>
      </c>
      <c r="J5205" s="4" t="s">
        <v>66</v>
      </c>
      <c r="K5205" s="4">
        <v>0</v>
      </c>
      <c r="L5205" s="94">
        <v>-52854</v>
      </c>
      <c r="M5205" s="94">
        <v>0</v>
      </c>
    </row>
    <row r="5206" spans="3:13" x14ac:dyDescent="0.3">
      <c r="C5206" t="s">
        <v>61</v>
      </c>
      <c r="D5206" t="s">
        <v>67</v>
      </c>
      <c r="E5206" t="s">
        <v>68</v>
      </c>
      <c r="F5206" t="s">
        <v>72</v>
      </c>
      <c r="G5206" s="4">
        <v>7</v>
      </c>
      <c r="H5206" s="4" t="s">
        <v>82</v>
      </c>
      <c r="I5206" s="4" t="s">
        <v>69</v>
      </c>
      <c r="J5206" s="4" t="s">
        <v>66</v>
      </c>
      <c r="K5206" s="4">
        <v>0</v>
      </c>
      <c r="L5206" s="94">
        <v>2298173</v>
      </c>
      <c r="M5206" s="94">
        <v>16087211</v>
      </c>
    </row>
    <row r="5207" spans="3:13" x14ac:dyDescent="0.3">
      <c r="C5207" t="s">
        <v>70</v>
      </c>
      <c r="D5207" t="s">
        <v>67</v>
      </c>
      <c r="E5207" t="s">
        <v>68</v>
      </c>
      <c r="F5207" t="s">
        <v>26</v>
      </c>
      <c r="G5207" s="4">
        <v>0</v>
      </c>
      <c r="H5207" s="4" t="s">
        <v>16</v>
      </c>
      <c r="I5207" s="4" t="s">
        <v>69</v>
      </c>
      <c r="J5207" s="4" t="s">
        <v>66</v>
      </c>
      <c r="K5207" s="4">
        <v>0</v>
      </c>
      <c r="L5207" s="94">
        <v>32970</v>
      </c>
      <c r="M5207" s="94">
        <v>0</v>
      </c>
    </row>
    <row r="5208" spans="3:13" x14ac:dyDescent="0.3">
      <c r="C5208" t="s">
        <v>61</v>
      </c>
      <c r="D5208" t="s">
        <v>67</v>
      </c>
      <c r="E5208" t="s">
        <v>68</v>
      </c>
      <c r="F5208" t="s">
        <v>25</v>
      </c>
      <c r="G5208" s="4">
        <v>12</v>
      </c>
      <c r="H5208" s="4" t="s">
        <v>83</v>
      </c>
      <c r="I5208" s="4" t="s">
        <v>69</v>
      </c>
      <c r="J5208" s="4" t="s">
        <v>66</v>
      </c>
      <c r="K5208" s="4">
        <v>0</v>
      </c>
      <c r="L5208" s="94">
        <v>411506</v>
      </c>
      <c r="M5208" s="94">
        <v>4938072</v>
      </c>
    </row>
    <row r="5209" spans="3:13" x14ac:dyDescent="0.3">
      <c r="C5209" t="s">
        <v>70</v>
      </c>
      <c r="D5209" t="s">
        <v>67</v>
      </c>
      <c r="E5209" t="s">
        <v>68</v>
      </c>
      <c r="F5209" t="s">
        <v>72</v>
      </c>
      <c r="G5209" s="4">
        <v>1</v>
      </c>
      <c r="H5209" s="4" t="s">
        <v>64</v>
      </c>
      <c r="I5209" s="4" t="s">
        <v>69</v>
      </c>
      <c r="J5209" s="4" t="s">
        <v>66</v>
      </c>
      <c r="K5209" s="4">
        <v>0</v>
      </c>
      <c r="L5209" s="94">
        <v>422529</v>
      </c>
      <c r="M5209" s="94">
        <v>422529</v>
      </c>
    </row>
    <row r="5210" spans="3:13" x14ac:dyDescent="0.3">
      <c r="C5210" t="s">
        <v>61</v>
      </c>
      <c r="D5210" t="s">
        <v>67</v>
      </c>
      <c r="E5210" t="s">
        <v>63</v>
      </c>
      <c r="F5210" t="s">
        <v>25</v>
      </c>
      <c r="G5210" s="4">
        <v>9</v>
      </c>
      <c r="H5210" s="4" t="s">
        <v>79</v>
      </c>
      <c r="I5210" s="4" t="s">
        <v>69</v>
      </c>
      <c r="J5210" s="4" t="s">
        <v>66</v>
      </c>
      <c r="K5210" s="4">
        <v>0</v>
      </c>
      <c r="L5210" s="94">
        <v>-18408</v>
      </c>
      <c r="M5210" s="94">
        <v>0</v>
      </c>
    </row>
    <row r="5211" spans="3:13" x14ac:dyDescent="0.3">
      <c r="C5211" t="s">
        <v>61</v>
      </c>
      <c r="D5211" t="s">
        <v>67</v>
      </c>
      <c r="E5211" t="s">
        <v>68</v>
      </c>
      <c r="F5211" t="s">
        <v>72</v>
      </c>
      <c r="G5211" s="4">
        <v>6</v>
      </c>
      <c r="H5211" s="4" t="s">
        <v>12</v>
      </c>
      <c r="I5211" s="4" t="s">
        <v>69</v>
      </c>
      <c r="J5211" s="4" t="s">
        <v>73</v>
      </c>
      <c r="K5211" s="4">
        <v>1</v>
      </c>
      <c r="L5211" s="94">
        <v>311211</v>
      </c>
      <c r="M5211" s="94">
        <v>1867266</v>
      </c>
    </row>
    <row r="5212" spans="3:13" x14ac:dyDescent="0.3">
      <c r="C5212" t="s">
        <v>71</v>
      </c>
      <c r="D5212" t="s">
        <v>62</v>
      </c>
      <c r="E5212" t="s">
        <v>63</v>
      </c>
      <c r="F5212" t="s">
        <v>24</v>
      </c>
      <c r="G5212" s="4">
        <v>2</v>
      </c>
      <c r="I5212" s="4" t="s">
        <v>69</v>
      </c>
      <c r="J5212" s="4" t="s">
        <v>73</v>
      </c>
      <c r="K5212" s="4">
        <v>1</v>
      </c>
      <c r="L5212" s="94">
        <v>-1111</v>
      </c>
      <c r="M5212" s="94">
        <v>0</v>
      </c>
    </row>
    <row r="5213" spans="3:13" x14ac:dyDescent="0.3">
      <c r="C5213" t="s">
        <v>71</v>
      </c>
      <c r="D5213" t="s">
        <v>62</v>
      </c>
      <c r="E5213" t="s">
        <v>68</v>
      </c>
      <c r="F5213" t="s">
        <v>24</v>
      </c>
      <c r="G5213" s="4">
        <v>11</v>
      </c>
      <c r="I5213" s="4" t="s">
        <v>65</v>
      </c>
      <c r="J5213" s="4" t="s">
        <v>66</v>
      </c>
      <c r="K5213" s="4">
        <v>1</v>
      </c>
      <c r="L5213" s="94">
        <v>47774</v>
      </c>
      <c r="M5213" s="94">
        <v>525514</v>
      </c>
    </row>
    <row r="5214" spans="3:13" x14ac:dyDescent="0.3">
      <c r="C5214" t="s">
        <v>61</v>
      </c>
      <c r="D5214" t="s">
        <v>67</v>
      </c>
      <c r="E5214" t="s">
        <v>63</v>
      </c>
      <c r="F5214" t="s">
        <v>26</v>
      </c>
      <c r="G5214" s="4">
        <v>1</v>
      </c>
      <c r="H5214" s="4" t="s">
        <v>12</v>
      </c>
      <c r="I5214" s="4" t="s">
        <v>69</v>
      </c>
      <c r="J5214" s="4" t="s">
        <v>73</v>
      </c>
      <c r="K5214" s="4">
        <v>1</v>
      </c>
      <c r="L5214" s="94">
        <v>-18918</v>
      </c>
      <c r="M5214" s="94">
        <v>0</v>
      </c>
    </row>
    <row r="5215" spans="3:13" x14ac:dyDescent="0.3">
      <c r="C5215" t="s">
        <v>70</v>
      </c>
      <c r="D5215" t="s">
        <v>67</v>
      </c>
      <c r="E5215" t="s">
        <v>68</v>
      </c>
      <c r="F5215" t="s">
        <v>26</v>
      </c>
      <c r="G5215" s="4">
        <v>-1</v>
      </c>
      <c r="H5215" s="4" t="s">
        <v>75</v>
      </c>
      <c r="I5215" s="4" t="s">
        <v>69</v>
      </c>
      <c r="J5215" s="4" t="s">
        <v>66</v>
      </c>
      <c r="K5215" s="4">
        <v>0</v>
      </c>
      <c r="L5215" s="94">
        <v>7404891</v>
      </c>
      <c r="M5215" s="94">
        <v>0</v>
      </c>
    </row>
    <row r="5216" spans="3:13" x14ac:dyDescent="0.3">
      <c r="C5216" t="s">
        <v>61</v>
      </c>
      <c r="D5216" t="s">
        <v>67</v>
      </c>
      <c r="E5216" t="s">
        <v>68</v>
      </c>
      <c r="F5216" t="s">
        <v>25</v>
      </c>
      <c r="G5216" s="4">
        <v>4</v>
      </c>
      <c r="H5216" s="4" t="s">
        <v>79</v>
      </c>
      <c r="I5216" s="4" t="s">
        <v>69</v>
      </c>
      <c r="J5216" s="4" t="s">
        <v>66</v>
      </c>
      <c r="K5216" s="4">
        <v>0</v>
      </c>
      <c r="L5216" s="94">
        <v>1402995</v>
      </c>
      <c r="M5216" s="94">
        <v>5611980</v>
      </c>
    </row>
    <row r="5217" spans="3:13" x14ac:dyDescent="0.3">
      <c r="C5217" t="s">
        <v>61</v>
      </c>
      <c r="D5217" t="s">
        <v>67</v>
      </c>
      <c r="E5217" t="s">
        <v>68</v>
      </c>
      <c r="F5217" t="s">
        <v>72</v>
      </c>
      <c r="G5217" s="4">
        <v>-1</v>
      </c>
      <c r="H5217" s="4" t="s">
        <v>14</v>
      </c>
      <c r="I5217" s="4" t="s">
        <v>69</v>
      </c>
      <c r="J5217" s="4" t="s">
        <v>66</v>
      </c>
      <c r="K5217" s="4">
        <v>0</v>
      </c>
      <c r="L5217" s="94">
        <v>5518238</v>
      </c>
      <c r="M5217" s="94">
        <v>0</v>
      </c>
    </row>
    <row r="5218" spans="3:13" x14ac:dyDescent="0.3">
      <c r="C5218" t="s">
        <v>61</v>
      </c>
      <c r="D5218" t="s">
        <v>67</v>
      </c>
      <c r="E5218" t="s">
        <v>63</v>
      </c>
      <c r="F5218" t="s">
        <v>26</v>
      </c>
      <c r="G5218" s="4">
        <v>1</v>
      </c>
      <c r="H5218" s="4" t="s">
        <v>17</v>
      </c>
      <c r="I5218" s="4" t="s">
        <v>65</v>
      </c>
      <c r="J5218" s="4" t="s">
        <v>66</v>
      </c>
      <c r="K5218" s="4">
        <v>1</v>
      </c>
      <c r="L5218" s="94">
        <v>-265</v>
      </c>
      <c r="M5218" s="94">
        <v>0</v>
      </c>
    </row>
    <row r="5219" spans="3:13" x14ac:dyDescent="0.3">
      <c r="C5219" t="s">
        <v>70</v>
      </c>
      <c r="D5219" t="s">
        <v>67</v>
      </c>
      <c r="E5219" t="s">
        <v>63</v>
      </c>
      <c r="F5219" t="s">
        <v>25</v>
      </c>
      <c r="G5219" s="4">
        <v>2</v>
      </c>
      <c r="H5219" s="4" t="s">
        <v>64</v>
      </c>
      <c r="I5219" s="4" t="s">
        <v>69</v>
      </c>
      <c r="J5219" s="4" t="s">
        <v>66</v>
      </c>
      <c r="K5219" s="4">
        <v>0</v>
      </c>
      <c r="L5219" s="94">
        <v>-6227</v>
      </c>
      <c r="M5219" s="94">
        <v>0</v>
      </c>
    </row>
    <row r="5220" spans="3:13" x14ac:dyDescent="0.3">
      <c r="C5220" t="s">
        <v>61</v>
      </c>
      <c r="D5220" t="s">
        <v>67</v>
      </c>
      <c r="E5220" t="s">
        <v>63</v>
      </c>
      <c r="F5220" t="s">
        <v>26</v>
      </c>
      <c r="G5220" s="4">
        <v>4</v>
      </c>
      <c r="H5220" s="4" t="s">
        <v>13</v>
      </c>
      <c r="I5220" s="4" t="s">
        <v>69</v>
      </c>
      <c r="J5220" s="4" t="s">
        <v>73</v>
      </c>
      <c r="K5220" s="4">
        <v>1</v>
      </c>
      <c r="L5220" s="94">
        <v>-2431</v>
      </c>
      <c r="M5220" s="94">
        <v>0</v>
      </c>
    </row>
    <row r="5221" spans="3:13" x14ac:dyDescent="0.3">
      <c r="C5221" t="s">
        <v>70</v>
      </c>
      <c r="D5221" t="s">
        <v>67</v>
      </c>
      <c r="E5221" t="s">
        <v>68</v>
      </c>
      <c r="F5221" t="s">
        <v>25</v>
      </c>
      <c r="G5221" s="4">
        <v>8</v>
      </c>
      <c r="H5221" s="4" t="s">
        <v>81</v>
      </c>
      <c r="I5221" s="4" t="s">
        <v>69</v>
      </c>
      <c r="J5221" s="4" t="s">
        <v>66</v>
      </c>
      <c r="K5221" s="4">
        <v>0</v>
      </c>
      <c r="L5221" s="94">
        <v>80803</v>
      </c>
      <c r="M5221" s="94">
        <v>646424</v>
      </c>
    </row>
    <row r="5222" spans="3:13" x14ac:dyDescent="0.3">
      <c r="C5222" t="s">
        <v>70</v>
      </c>
      <c r="D5222" t="s">
        <v>62</v>
      </c>
      <c r="E5222" t="s">
        <v>63</v>
      </c>
      <c r="F5222" t="s">
        <v>24</v>
      </c>
      <c r="G5222" s="4">
        <v>0</v>
      </c>
      <c r="I5222" s="4" t="s">
        <v>65</v>
      </c>
      <c r="J5222" s="4" t="s">
        <v>66</v>
      </c>
      <c r="K5222" s="4">
        <v>1</v>
      </c>
      <c r="L5222" s="94">
        <v>-106</v>
      </c>
      <c r="M5222" s="94">
        <v>0</v>
      </c>
    </row>
    <row r="5223" spans="3:13" x14ac:dyDescent="0.3">
      <c r="C5223" t="s">
        <v>70</v>
      </c>
      <c r="D5223" t="s">
        <v>67</v>
      </c>
      <c r="E5223" t="s">
        <v>63</v>
      </c>
      <c r="F5223" t="s">
        <v>72</v>
      </c>
      <c r="G5223" s="4">
        <v>6</v>
      </c>
      <c r="H5223" s="4" t="s">
        <v>77</v>
      </c>
      <c r="I5223" s="4" t="s">
        <v>69</v>
      </c>
      <c r="J5223" s="4" t="s">
        <v>66</v>
      </c>
      <c r="K5223" s="4">
        <v>0</v>
      </c>
      <c r="L5223" s="94">
        <v>-814</v>
      </c>
      <c r="M5223" s="94">
        <v>0</v>
      </c>
    </row>
    <row r="5224" spans="3:13" x14ac:dyDescent="0.3">
      <c r="C5224" t="s">
        <v>70</v>
      </c>
      <c r="D5224" t="s">
        <v>62</v>
      </c>
      <c r="E5224" t="s">
        <v>68</v>
      </c>
      <c r="F5224" t="s">
        <v>24</v>
      </c>
      <c r="G5224" s="4">
        <v>28</v>
      </c>
      <c r="I5224" s="4" t="s">
        <v>69</v>
      </c>
      <c r="J5224" s="4" t="s">
        <v>66</v>
      </c>
      <c r="K5224" s="4">
        <v>0</v>
      </c>
      <c r="L5224" s="94">
        <v>49497195</v>
      </c>
      <c r="M5224" s="94">
        <v>1385921460</v>
      </c>
    </row>
    <row r="5225" spans="3:13" x14ac:dyDescent="0.3">
      <c r="C5225" t="s">
        <v>61</v>
      </c>
      <c r="D5225" t="s">
        <v>67</v>
      </c>
      <c r="E5225" t="s">
        <v>63</v>
      </c>
      <c r="F5225" t="s">
        <v>26</v>
      </c>
      <c r="G5225" s="4">
        <v>10</v>
      </c>
      <c r="H5225" s="4" t="s">
        <v>78</v>
      </c>
      <c r="I5225" s="4" t="s">
        <v>69</v>
      </c>
      <c r="J5225" s="4" t="s">
        <v>66</v>
      </c>
      <c r="K5225" s="4">
        <v>0</v>
      </c>
      <c r="L5225" s="94">
        <v>-9278</v>
      </c>
      <c r="M5225" s="94">
        <v>0</v>
      </c>
    </row>
    <row r="5226" spans="3:13" x14ac:dyDescent="0.3">
      <c r="C5226" t="s">
        <v>61</v>
      </c>
      <c r="D5226" t="s">
        <v>67</v>
      </c>
      <c r="E5226" t="s">
        <v>63</v>
      </c>
      <c r="F5226" t="s">
        <v>26</v>
      </c>
      <c r="G5226" s="4">
        <v>11</v>
      </c>
      <c r="H5226" s="4" t="s">
        <v>64</v>
      </c>
      <c r="I5226" s="4" t="s">
        <v>69</v>
      </c>
      <c r="J5226" s="4" t="s">
        <v>66</v>
      </c>
      <c r="K5226" s="4">
        <v>0</v>
      </c>
      <c r="L5226" s="94">
        <v>-773</v>
      </c>
      <c r="M5226" s="94">
        <v>0</v>
      </c>
    </row>
    <row r="5227" spans="3:13" x14ac:dyDescent="0.3">
      <c r="C5227" t="s">
        <v>61</v>
      </c>
      <c r="D5227" t="s">
        <v>84</v>
      </c>
      <c r="E5227" t="s">
        <v>63</v>
      </c>
      <c r="F5227" t="s">
        <v>25</v>
      </c>
      <c r="G5227" s="4">
        <v>6</v>
      </c>
      <c r="H5227" s="4" t="s">
        <v>75</v>
      </c>
      <c r="I5227" s="4" t="s">
        <v>69</v>
      </c>
      <c r="J5227" s="4" t="s">
        <v>66</v>
      </c>
      <c r="K5227" s="4">
        <v>0</v>
      </c>
      <c r="L5227" s="94">
        <v>-1328</v>
      </c>
      <c r="M5227" s="94">
        <v>0</v>
      </c>
    </row>
    <row r="5228" spans="3:13" x14ac:dyDescent="0.3">
      <c r="C5228" t="s">
        <v>61</v>
      </c>
      <c r="D5228" t="s">
        <v>67</v>
      </c>
      <c r="E5228" t="s">
        <v>68</v>
      </c>
      <c r="F5228" t="s">
        <v>25</v>
      </c>
      <c r="G5228" s="4">
        <v>14</v>
      </c>
      <c r="H5228" s="4" t="s">
        <v>75</v>
      </c>
      <c r="I5228" s="4" t="s">
        <v>69</v>
      </c>
      <c r="J5228" s="4" t="s">
        <v>66</v>
      </c>
      <c r="K5228" s="4">
        <v>0</v>
      </c>
      <c r="L5228" s="94">
        <v>40229184</v>
      </c>
      <c r="M5228" s="94">
        <v>563208576</v>
      </c>
    </row>
    <row r="5229" spans="3:13" x14ac:dyDescent="0.3">
      <c r="C5229" t="s">
        <v>61</v>
      </c>
      <c r="D5229" t="s">
        <v>62</v>
      </c>
      <c r="E5229" t="s">
        <v>63</v>
      </c>
      <c r="F5229" t="s">
        <v>24</v>
      </c>
      <c r="G5229" s="4">
        <v>30</v>
      </c>
      <c r="I5229" s="4" t="s">
        <v>65</v>
      </c>
      <c r="J5229" s="4" t="s">
        <v>66</v>
      </c>
      <c r="K5229" s="4">
        <v>1</v>
      </c>
      <c r="L5229" s="94">
        <v>-5321</v>
      </c>
      <c r="M5229" s="94">
        <v>0</v>
      </c>
    </row>
    <row r="5230" spans="3:13" x14ac:dyDescent="0.3">
      <c r="C5230" t="s">
        <v>61</v>
      </c>
      <c r="D5230" t="s">
        <v>67</v>
      </c>
      <c r="E5230" t="s">
        <v>63</v>
      </c>
      <c r="F5230" t="s">
        <v>26</v>
      </c>
      <c r="G5230" s="4">
        <v>5</v>
      </c>
      <c r="H5230" s="4" t="s">
        <v>81</v>
      </c>
      <c r="I5230" s="4" t="s">
        <v>69</v>
      </c>
      <c r="J5230" s="4" t="s">
        <v>66</v>
      </c>
      <c r="K5230" s="4">
        <v>0</v>
      </c>
      <c r="L5230" s="94">
        <v>-2420</v>
      </c>
      <c r="M5230" s="94">
        <v>0</v>
      </c>
    </row>
    <row r="5231" spans="3:13" x14ac:dyDescent="0.3">
      <c r="C5231" t="s">
        <v>61</v>
      </c>
      <c r="D5231" t="s">
        <v>67</v>
      </c>
      <c r="E5231" t="s">
        <v>63</v>
      </c>
      <c r="F5231" t="s">
        <v>25</v>
      </c>
      <c r="G5231" s="4">
        <v>1</v>
      </c>
      <c r="H5231" s="4" t="s">
        <v>14</v>
      </c>
      <c r="I5231" s="4" t="s">
        <v>69</v>
      </c>
      <c r="J5231" s="4" t="s">
        <v>66</v>
      </c>
      <c r="K5231" s="4">
        <v>1</v>
      </c>
      <c r="L5231" s="94">
        <v>-718</v>
      </c>
      <c r="M5231" s="94">
        <v>0</v>
      </c>
    </row>
    <row r="5232" spans="3:13" x14ac:dyDescent="0.3">
      <c r="C5232" t="s">
        <v>70</v>
      </c>
      <c r="D5232" t="s">
        <v>62</v>
      </c>
      <c r="E5232" t="s">
        <v>63</v>
      </c>
      <c r="F5232" t="s">
        <v>24</v>
      </c>
      <c r="G5232" s="4">
        <v>22</v>
      </c>
      <c r="I5232" s="4" t="s">
        <v>65</v>
      </c>
      <c r="J5232" s="4" t="s">
        <v>66</v>
      </c>
      <c r="K5232" s="4">
        <v>1</v>
      </c>
      <c r="L5232" s="94">
        <v>-5132</v>
      </c>
      <c r="M5232" s="94">
        <v>0</v>
      </c>
    </row>
    <row r="5233" spans="3:13" x14ac:dyDescent="0.3">
      <c r="C5233" t="s">
        <v>71</v>
      </c>
      <c r="D5233" t="s">
        <v>67</v>
      </c>
      <c r="E5233" t="s">
        <v>68</v>
      </c>
      <c r="F5233" t="s">
        <v>26</v>
      </c>
      <c r="G5233" s="4">
        <v>8</v>
      </c>
      <c r="H5233" s="4" t="s">
        <v>12</v>
      </c>
      <c r="I5233" s="4" t="s">
        <v>69</v>
      </c>
      <c r="J5233" s="4" t="s">
        <v>73</v>
      </c>
      <c r="K5233" s="4">
        <v>1</v>
      </c>
      <c r="L5233" s="94">
        <v>103289</v>
      </c>
      <c r="M5233" s="94">
        <v>826312</v>
      </c>
    </row>
    <row r="5234" spans="3:13" x14ac:dyDescent="0.3">
      <c r="C5234" t="s">
        <v>61</v>
      </c>
      <c r="D5234" t="s">
        <v>62</v>
      </c>
      <c r="E5234" t="s">
        <v>63</v>
      </c>
      <c r="F5234" t="s">
        <v>24</v>
      </c>
      <c r="G5234" s="4">
        <v>15</v>
      </c>
      <c r="I5234" s="4" t="s">
        <v>69</v>
      </c>
      <c r="J5234" s="4" t="s">
        <v>73</v>
      </c>
      <c r="K5234" s="4">
        <v>1</v>
      </c>
      <c r="L5234" s="94">
        <v>0</v>
      </c>
      <c r="M5234" s="94">
        <v>0</v>
      </c>
    </row>
    <row r="5235" spans="3:13" x14ac:dyDescent="0.3">
      <c r="C5235" t="s">
        <v>70</v>
      </c>
      <c r="D5235" t="s">
        <v>67</v>
      </c>
      <c r="E5235" t="s">
        <v>68</v>
      </c>
      <c r="F5235" t="s">
        <v>26</v>
      </c>
      <c r="G5235" s="4">
        <v>2</v>
      </c>
      <c r="H5235" s="4" t="s">
        <v>17</v>
      </c>
      <c r="I5235" s="4" t="s">
        <v>69</v>
      </c>
      <c r="J5235" s="4" t="s">
        <v>66</v>
      </c>
      <c r="K5235" s="4">
        <v>0</v>
      </c>
      <c r="L5235" s="94">
        <v>7842286</v>
      </c>
      <c r="M5235" s="94">
        <v>15684572</v>
      </c>
    </row>
    <row r="5236" spans="3:13" x14ac:dyDescent="0.3">
      <c r="C5236" t="s">
        <v>70</v>
      </c>
      <c r="D5236" t="s">
        <v>67</v>
      </c>
      <c r="E5236" t="s">
        <v>63</v>
      </c>
      <c r="F5236" t="s">
        <v>25</v>
      </c>
      <c r="G5236" s="4">
        <v>14</v>
      </c>
      <c r="H5236" s="4" t="s">
        <v>79</v>
      </c>
      <c r="I5236" s="4" t="s">
        <v>69</v>
      </c>
      <c r="J5236" s="4" t="s">
        <v>66</v>
      </c>
      <c r="K5236" s="4">
        <v>0</v>
      </c>
      <c r="L5236" s="94">
        <v>-20361</v>
      </c>
      <c r="M5236" s="94">
        <v>0</v>
      </c>
    </row>
    <row r="5237" spans="3:13" x14ac:dyDescent="0.3">
      <c r="C5237" t="s">
        <v>70</v>
      </c>
      <c r="D5237" t="s">
        <v>67</v>
      </c>
      <c r="E5237" t="s">
        <v>63</v>
      </c>
      <c r="F5237" t="s">
        <v>26</v>
      </c>
      <c r="G5237" s="4">
        <v>6</v>
      </c>
      <c r="H5237" s="4" t="s">
        <v>18</v>
      </c>
      <c r="I5237" s="4" t="s">
        <v>69</v>
      </c>
      <c r="J5237" s="4" t="s">
        <v>73</v>
      </c>
      <c r="K5237" s="4">
        <v>1</v>
      </c>
      <c r="L5237" s="94">
        <v>-95587</v>
      </c>
      <c r="M5237" s="94">
        <v>0</v>
      </c>
    </row>
    <row r="5238" spans="3:13" x14ac:dyDescent="0.3">
      <c r="C5238" t="s">
        <v>71</v>
      </c>
      <c r="D5238" t="s">
        <v>67</v>
      </c>
      <c r="E5238" t="s">
        <v>63</v>
      </c>
      <c r="F5238" t="s">
        <v>72</v>
      </c>
      <c r="G5238" s="4">
        <v>1</v>
      </c>
      <c r="H5238" s="4" t="s">
        <v>17</v>
      </c>
      <c r="I5238" s="4" t="s">
        <v>69</v>
      </c>
      <c r="J5238" s="4" t="s">
        <v>66</v>
      </c>
      <c r="K5238" s="4">
        <v>0</v>
      </c>
      <c r="L5238" s="94">
        <v>-116900</v>
      </c>
      <c r="M5238" s="94">
        <v>0</v>
      </c>
    </row>
    <row r="5239" spans="3:13" x14ac:dyDescent="0.3">
      <c r="C5239" t="s">
        <v>61</v>
      </c>
      <c r="D5239" t="s">
        <v>67</v>
      </c>
      <c r="E5239" t="s">
        <v>68</v>
      </c>
      <c r="F5239" t="s">
        <v>25</v>
      </c>
      <c r="G5239" s="4">
        <v>12</v>
      </c>
      <c r="H5239" s="4" t="s">
        <v>75</v>
      </c>
      <c r="I5239" s="4" t="s">
        <v>69</v>
      </c>
      <c r="J5239" s="4" t="s">
        <v>66</v>
      </c>
      <c r="K5239" s="4">
        <v>0</v>
      </c>
      <c r="L5239" s="94">
        <v>38239159</v>
      </c>
      <c r="M5239" s="94">
        <v>458869908</v>
      </c>
    </row>
    <row r="5240" spans="3:13" x14ac:dyDescent="0.3">
      <c r="C5240" t="s">
        <v>70</v>
      </c>
      <c r="D5240" t="s">
        <v>67</v>
      </c>
      <c r="E5240" t="s">
        <v>63</v>
      </c>
      <c r="F5240" t="s">
        <v>72</v>
      </c>
      <c r="G5240" s="4">
        <v>2</v>
      </c>
      <c r="H5240" s="4" t="s">
        <v>12</v>
      </c>
      <c r="I5240" s="4" t="s">
        <v>65</v>
      </c>
      <c r="J5240" s="4" t="s">
        <v>73</v>
      </c>
      <c r="K5240" s="4">
        <v>1</v>
      </c>
      <c r="L5240" s="94">
        <v>-2125</v>
      </c>
      <c r="M5240" s="94">
        <v>0</v>
      </c>
    </row>
    <row r="5241" spans="3:13" x14ac:dyDescent="0.3">
      <c r="C5241" t="s">
        <v>61</v>
      </c>
      <c r="D5241" t="s">
        <v>67</v>
      </c>
      <c r="E5241" t="s">
        <v>63</v>
      </c>
      <c r="F5241" t="s">
        <v>72</v>
      </c>
      <c r="G5241" s="4">
        <v>4</v>
      </c>
      <c r="H5241" s="4" t="s">
        <v>75</v>
      </c>
      <c r="I5241" s="4" t="s">
        <v>69</v>
      </c>
      <c r="J5241" s="4" t="s">
        <v>66</v>
      </c>
      <c r="K5241" s="4">
        <v>0</v>
      </c>
      <c r="L5241" s="94">
        <v>-5288</v>
      </c>
      <c r="M5241" s="94">
        <v>0</v>
      </c>
    </row>
    <row r="5242" spans="3:13" x14ac:dyDescent="0.3">
      <c r="C5242" t="s">
        <v>61</v>
      </c>
      <c r="D5242" t="s">
        <v>67</v>
      </c>
      <c r="E5242" t="s">
        <v>68</v>
      </c>
      <c r="F5242" t="s">
        <v>25</v>
      </c>
      <c r="G5242" s="4">
        <v>11</v>
      </c>
      <c r="H5242" s="4" t="s">
        <v>17</v>
      </c>
      <c r="I5242" s="4" t="s">
        <v>69</v>
      </c>
      <c r="J5242" s="4" t="s">
        <v>66</v>
      </c>
      <c r="K5242" s="4">
        <v>0</v>
      </c>
      <c r="L5242" s="94">
        <v>8308313</v>
      </c>
      <c r="M5242" s="94">
        <v>91391443</v>
      </c>
    </row>
    <row r="5243" spans="3:13" x14ac:dyDescent="0.3">
      <c r="C5243" t="s">
        <v>61</v>
      </c>
      <c r="D5243" t="s">
        <v>62</v>
      </c>
      <c r="E5243" t="s">
        <v>63</v>
      </c>
      <c r="F5243" t="s">
        <v>24</v>
      </c>
      <c r="G5243" s="4">
        <v>9</v>
      </c>
      <c r="I5243" s="4" t="s">
        <v>69</v>
      </c>
      <c r="J5243" s="4" t="s">
        <v>66</v>
      </c>
      <c r="K5243" s="4">
        <v>0</v>
      </c>
      <c r="L5243" s="94">
        <v>-64997</v>
      </c>
      <c r="M5243" s="94">
        <v>0</v>
      </c>
    </row>
    <row r="5244" spans="3:13" x14ac:dyDescent="0.3">
      <c r="C5244" t="s">
        <v>70</v>
      </c>
      <c r="D5244" t="s">
        <v>62</v>
      </c>
      <c r="E5244" t="s">
        <v>63</v>
      </c>
      <c r="F5244" t="s">
        <v>25</v>
      </c>
      <c r="G5244" s="4">
        <v>20</v>
      </c>
      <c r="I5244" s="4" t="s">
        <v>69</v>
      </c>
      <c r="J5244" s="4" t="s">
        <v>66</v>
      </c>
      <c r="K5244" s="4">
        <v>0</v>
      </c>
      <c r="L5244" s="94">
        <v>-1638</v>
      </c>
      <c r="M5244" s="94">
        <v>0</v>
      </c>
    </row>
    <row r="5245" spans="3:13" x14ac:dyDescent="0.3">
      <c r="C5245" t="s">
        <v>61</v>
      </c>
      <c r="D5245" t="s">
        <v>67</v>
      </c>
      <c r="E5245" t="s">
        <v>63</v>
      </c>
      <c r="F5245" t="s">
        <v>72</v>
      </c>
      <c r="G5245" s="4">
        <v>1</v>
      </c>
      <c r="H5245" s="4" t="s">
        <v>17</v>
      </c>
      <c r="I5245" s="4" t="s">
        <v>69</v>
      </c>
      <c r="J5245" s="4" t="s">
        <v>73</v>
      </c>
      <c r="K5245" s="4">
        <v>1</v>
      </c>
      <c r="L5245" s="94">
        <v>-305</v>
      </c>
      <c r="M5245" s="94">
        <v>0</v>
      </c>
    </row>
    <row r="5246" spans="3:13" x14ac:dyDescent="0.3">
      <c r="C5246" t="s">
        <v>70</v>
      </c>
      <c r="D5246" t="s">
        <v>67</v>
      </c>
      <c r="E5246" t="s">
        <v>63</v>
      </c>
      <c r="F5246" t="s">
        <v>26</v>
      </c>
      <c r="G5246" s="4">
        <v>-1</v>
      </c>
      <c r="H5246" s="4" t="s">
        <v>12</v>
      </c>
      <c r="I5246" s="4" t="s">
        <v>69</v>
      </c>
      <c r="J5246" s="4" t="s">
        <v>66</v>
      </c>
      <c r="K5246" s="4">
        <v>0</v>
      </c>
      <c r="L5246" s="94">
        <v>-151007</v>
      </c>
      <c r="M5246" s="94">
        <v>0</v>
      </c>
    </row>
    <row r="5247" spans="3:13" x14ac:dyDescent="0.3">
      <c r="C5247" t="s">
        <v>61</v>
      </c>
      <c r="D5247" t="s">
        <v>62</v>
      </c>
      <c r="E5247" t="s">
        <v>63</v>
      </c>
      <c r="F5247" t="s">
        <v>24</v>
      </c>
      <c r="G5247" s="4">
        <v>42</v>
      </c>
      <c r="I5247" s="4" t="s">
        <v>69</v>
      </c>
      <c r="J5247" s="4" t="s">
        <v>66</v>
      </c>
      <c r="K5247" s="4">
        <v>0</v>
      </c>
      <c r="L5247" s="94">
        <v>-15518</v>
      </c>
      <c r="M5247" s="94">
        <v>0</v>
      </c>
    </row>
    <row r="5248" spans="3:13" x14ac:dyDescent="0.3">
      <c r="C5248" t="s">
        <v>70</v>
      </c>
      <c r="D5248" t="s">
        <v>67</v>
      </c>
      <c r="E5248" t="s">
        <v>63</v>
      </c>
      <c r="F5248" t="s">
        <v>26</v>
      </c>
      <c r="G5248" s="4">
        <v>7</v>
      </c>
      <c r="H5248" s="4" t="s">
        <v>64</v>
      </c>
      <c r="I5248" s="4" t="s">
        <v>69</v>
      </c>
      <c r="J5248" s="4" t="s">
        <v>66</v>
      </c>
      <c r="K5248" s="4">
        <v>0</v>
      </c>
      <c r="L5248" s="94">
        <v>-15666</v>
      </c>
      <c r="M5248" s="94">
        <v>0</v>
      </c>
    </row>
    <row r="5249" spans="3:13" x14ac:dyDescent="0.3">
      <c r="C5249" t="s">
        <v>71</v>
      </c>
      <c r="D5249" t="s">
        <v>62</v>
      </c>
      <c r="E5249" t="s">
        <v>63</v>
      </c>
      <c r="F5249" t="s">
        <v>24</v>
      </c>
      <c r="G5249" s="4">
        <v>4</v>
      </c>
      <c r="I5249" s="4" t="s">
        <v>65</v>
      </c>
      <c r="J5249" s="4" t="s">
        <v>66</v>
      </c>
      <c r="K5249" s="4">
        <v>1</v>
      </c>
      <c r="L5249" s="94">
        <v>-10213</v>
      </c>
      <c r="M5249" s="94">
        <v>0</v>
      </c>
    </row>
    <row r="5250" spans="3:13" x14ac:dyDescent="0.3">
      <c r="C5250" t="s">
        <v>70</v>
      </c>
      <c r="D5250" t="s">
        <v>62</v>
      </c>
      <c r="E5250" t="s">
        <v>68</v>
      </c>
      <c r="F5250" t="s">
        <v>24</v>
      </c>
      <c r="G5250" s="4">
        <v>29</v>
      </c>
      <c r="I5250" s="4" t="s">
        <v>65</v>
      </c>
      <c r="J5250" s="4" t="s">
        <v>66</v>
      </c>
      <c r="K5250" s="4">
        <v>1</v>
      </c>
      <c r="L5250" s="94">
        <v>1604526</v>
      </c>
      <c r="M5250" s="94">
        <v>46531254</v>
      </c>
    </row>
    <row r="5251" spans="3:13" x14ac:dyDescent="0.3">
      <c r="C5251" t="s">
        <v>61</v>
      </c>
      <c r="D5251" t="s">
        <v>67</v>
      </c>
      <c r="E5251" t="s">
        <v>68</v>
      </c>
      <c r="F5251" t="s">
        <v>25</v>
      </c>
      <c r="G5251" s="4">
        <v>5</v>
      </c>
      <c r="H5251" s="4" t="s">
        <v>79</v>
      </c>
      <c r="I5251" s="4" t="s">
        <v>69</v>
      </c>
      <c r="J5251" s="4" t="s">
        <v>66</v>
      </c>
      <c r="K5251" s="4">
        <v>0</v>
      </c>
      <c r="L5251" s="94">
        <v>2076158</v>
      </c>
      <c r="M5251" s="94">
        <v>10380790</v>
      </c>
    </row>
    <row r="5252" spans="3:13" x14ac:dyDescent="0.3">
      <c r="C5252" t="s">
        <v>61</v>
      </c>
      <c r="D5252" t="s">
        <v>67</v>
      </c>
      <c r="E5252" t="s">
        <v>68</v>
      </c>
      <c r="F5252" t="s">
        <v>72</v>
      </c>
      <c r="G5252" s="4">
        <v>1</v>
      </c>
      <c r="H5252" s="4" t="s">
        <v>18</v>
      </c>
      <c r="I5252" s="4" t="s">
        <v>69</v>
      </c>
      <c r="J5252" s="4" t="s">
        <v>73</v>
      </c>
      <c r="K5252" s="4">
        <v>1</v>
      </c>
      <c r="L5252" s="94">
        <v>579109</v>
      </c>
      <c r="M5252" s="94">
        <v>579109</v>
      </c>
    </row>
    <row r="5253" spans="3:13" x14ac:dyDescent="0.3">
      <c r="C5253" t="s">
        <v>70</v>
      </c>
      <c r="D5253" t="s">
        <v>67</v>
      </c>
      <c r="E5253" t="s">
        <v>63</v>
      </c>
      <c r="F5253" t="s">
        <v>26</v>
      </c>
      <c r="G5253" s="4">
        <v>5</v>
      </c>
      <c r="H5253" s="4" t="s">
        <v>17</v>
      </c>
      <c r="I5253" s="4" t="s">
        <v>65</v>
      </c>
      <c r="J5253" s="4" t="s">
        <v>66</v>
      </c>
      <c r="K5253" s="4">
        <v>1</v>
      </c>
      <c r="L5253" s="94">
        <v>-4134</v>
      </c>
      <c r="M5253" s="94">
        <v>0</v>
      </c>
    </row>
    <row r="5254" spans="3:13" x14ac:dyDescent="0.3">
      <c r="C5254" t="s">
        <v>70</v>
      </c>
      <c r="D5254" t="s">
        <v>67</v>
      </c>
      <c r="E5254" t="s">
        <v>68</v>
      </c>
      <c r="F5254" t="s">
        <v>72</v>
      </c>
      <c r="G5254" s="4">
        <v>6</v>
      </c>
      <c r="H5254" s="4" t="s">
        <v>82</v>
      </c>
      <c r="I5254" s="4" t="s">
        <v>69</v>
      </c>
      <c r="J5254" s="4" t="s">
        <v>66</v>
      </c>
      <c r="K5254" s="4">
        <v>0</v>
      </c>
      <c r="L5254" s="94">
        <v>1328534</v>
      </c>
      <c r="M5254" s="94">
        <v>7971204</v>
      </c>
    </row>
    <row r="5255" spans="3:13" x14ac:dyDescent="0.3">
      <c r="C5255" t="s">
        <v>70</v>
      </c>
      <c r="D5255" t="s">
        <v>62</v>
      </c>
      <c r="E5255" t="s">
        <v>68</v>
      </c>
      <c r="F5255" t="s">
        <v>24</v>
      </c>
      <c r="G5255" s="4">
        <v>44</v>
      </c>
      <c r="I5255" s="4" t="s">
        <v>65</v>
      </c>
      <c r="J5255" s="4" t="s">
        <v>66</v>
      </c>
      <c r="K5255" s="4">
        <v>1</v>
      </c>
      <c r="L5255" s="94">
        <v>147933</v>
      </c>
      <c r="M5255" s="94">
        <v>6509052</v>
      </c>
    </row>
    <row r="5256" spans="3:13" x14ac:dyDescent="0.3">
      <c r="C5256" t="s">
        <v>71</v>
      </c>
      <c r="D5256" t="s">
        <v>67</v>
      </c>
      <c r="E5256" t="s">
        <v>68</v>
      </c>
      <c r="F5256" t="s">
        <v>26</v>
      </c>
      <c r="G5256" s="4">
        <v>-4</v>
      </c>
      <c r="H5256" s="4" t="s">
        <v>16</v>
      </c>
      <c r="I5256" s="4" t="s">
        <v>69</v>
      </c>
      <c r="J5256" s="4" t="s">
        <v>66</v>
      </c>
      <c r="K5256" s="4">
        <v>0</v>
      </c>
      <c r="L5256" s="94">
        <v>61340</v>
      </c>
      <c r="M5256" s="94">
        <v>0</v>
      </c>
    </row>
    <row r="5257" spans="3:13" x14ac:dyDescent="0.3">
      <c r="C5257" t="s">
        <v>61</v>
      </c>
      <c r="D5257" t="s">
        <v>67</v>
      </c>
      <c r="E5257" t="s">
        <v>68</v>
      </c>
      <c r="F5257" t="s">
        <v>25</v>
      </c>
      <c r="G5257" s="4">
        <v>3</v>
      </c>
      <c r="H5257" s="4" t="s">
        <v>82</v>
      </c>
      <c r="I5257" s="4" t="s">
        <v>69</v>
      </c>
      <c r="J5257" s="4" t="s">
        <v>66</v>
      </c>
      <c r="K5257" s="4">
        <v>1</v>
      </c>
      <c r="L5257" s="94">
        <v>19414</v>
      </c>
      <c r="M5257" s="94">
        <v>58242</v>
      </c>
    </row>
    <row r="5258" spans="3:13" x14ac:dyDescent="0.3">
      <c r="C5258" t="s">
        <v>61</v>
      </c>
      <c r="D5258" t="s">
        <v>67</v>
      </c>
      <c r="E5258" t="s">
        <v>63</v>
      </c>
      <c r="F5258" t="s">
        <v>72</v>
      </c>
      <c r="G5258" s="4">
        <v>2</v>
      </c>
      <c r="H5258" s="4" t="s">
        <v>12</v>
      </c>
      <c r="I5258" s="4" t="s">
        <v>65</v>
      </c>
      <c r="J5258" s="4" t="s">
        <v>73</v>
      </c>
      <c r="K5258" s="4">
        <v>1</v>
      </c>
      <c r="L5258" s="94">
        <v>-248</v>
      </c>
      <c r="M5258" s="94">
        <v>0</v>
      </c>
    </row>
    <row r="5259" spans="3:13" x14ac:dyDescent="0.3">
      <c r="C5259" t="s">
        <v>70</v>
      </c>
      <c r="D5259" t="s">
        <v>67</v>
      </c>
      <c r="E5259" t="s">
        <v>63</v>
      </c>
      <c r="F5259" t="s">
        <v>25</v>
      </c>
      <c r="G5259" s="4">
        <v>3</v>
      </c>
      <c r="H5259" s="4" t="s">
        <v>14</v>
      </c>
      <c r="I5259" s="4" t="s">
        <v>69</v>
      </c>
      <c r="J5259" s="4" t="s">
        <v>66</v>
      </c>
      <c r="K5259" s="4">
        <v>0</v>
      </c>
      <c r="L5259" s="94">
        <v>-3395</v>
      </c>
      <c r="M5259" s="94">
        <v>0</v>
      </c>
    </row>
    <row r="5260" spans="3:13" x14ac:dyDescent="0.3">
      <c r="C5260" t="s">
        <v>70</v>
      </c>
      <c r="D5260" t="s">
        <v>62</v>
      </c>
      <c r="E5260" t="s">
        <v>68</v>
      </c>
      <c r="F5260" t="s">
        <v>24</v>
      </c>
      <c r="G5260" s="4">
        <v>17</v>
      </c>
      <c r="I5260" s="4" t="s">
        <v>69</v>
      </c>
      <c r="J5260" s="4" t="s">
        <v>66</v>
      </c>
      <c r="K5260" s="4">
        <v>1</v>
      </c>
      <c r="L5260" s="94">
        <v>213877</v>
      </c>
      <c r="M5260" s="94">
        <v>3635909</v>
      </c>
    </row>
    <row r="5261" spans="3:13" x14ac:dyDescent="0.3">
      <c r="C5261" t="s">
        <v>61</v>
      </c>
      <c r="D5261" t="s">
        <v>67</v>
      </c>
      <c r="E5261" t="s">
        <v>68</v>
      </c>
      <c r="F5261" t="s">
        <v>72</v>
      </c>
      <c r="G5261" s="4">
        <v>2</v>
      </c>
      <c r="H5261" s="4" t="s">
        <v>74</v>
      </c>
      <c r="I5261" s="4" t="s">
        <v>69</v>
      </c>
      <c r="J5261" s="4" t="s">
        <v>66</v>
      </c>
      <c r="K5261" s="4">
        <v>0</v>
      </c>
      <c r="L5261" s="94">
        <v>2437828</v>
      </c>
      <c r="M5261" s="94">
        <v>4875656</v>
      </c>
    </row>
    <row r="5262" spans="3:13" x14ac:dyDescent="0.3">
      <c r="C5262" t="s">
        <v>71</v>
      </c>
      <c r="D5262" t="s">
        <v>67</v>
      </c>
      <c r="E5262" t="s">
        <v>68</v>
      </c>
      <c r="F5262" t="s">
        <v>26</v>
      </c>
      <c r="G5262" s="4">
        <v>1</v>
      </c>
      <c r="H5262" s="4" t="s">
        <v>77</v>
      </c>
      <c r="I5262" s="4" t="s">
        <v>69</v>
      </c>
      <c r="J5262" s="4" t="s">
        <v>66</v>
      </c>
      <c r="K5262" s="4">
        <v>0</v>
      </c>
      <c r="L5262" s="94">
        <v>713459</v>
      </c>
      <c r="M5262" s="94">
        <v>713459</v>
      </c>
    </row>
    <row r="5263" spans="3:13" x14ac:dyDescent="0.3">
      <c r="C5263" t="s">
        <v>61</v>
      </c>
      <c r="D5263" t="s">
        <v>62</v>
      </c>
      <c r="E5263" t="s">
        <v>63</v>
      </c>
      <c r="F5263" t="s">
        <v>24</v>
      </c>
      <c r="G5263" s="4">
        <v>17</v>
      </c>
      <c r="I5263" s="4" t="s">
        <v>69</v>
      </c>
      <c r="J5263" s="4" t="s">
        <v>66</v>
      </c>
      <c r="K5263" s="4">
        <v>1</v>
      </c>
      <c r="L5263" s="94">
        <v>-2144</v>
      </c>
      <c r="M5263" s="94">
        <v>0</v>
      </c>
    </row>
    <row r="5264" spans="3:13" x14ac:dyDescent="0.3">
      <c r="C5264" t="s">
        <v>61</v>
      </c>
      <c r="D5264" t="s">
        <v>67</v>
      </c>
      <c r="E5264" t="s">
        <v>63</v>
      </c>
      <c r="F5264" t="s">
        <v>72</v>
      </c>
      <c r="G5264" s="4">
        <v>2</v>
      </c>
      <c r="H5264" s="4" t="s">
        <v>77</v>
      </c>
      <c r="I5264" s="4" t="s">
        <v>69</v>
      </c>
      <c r="J5264" s="4" t="s">
        <v>66</v>
      </c>
      <c r="K5264" s="4">
        <v>0</v>
      </c>
      <c r="L5264" s="94">
        <v>-7676</v>
      </c>
      <c r="M5264" s="94">
        <v>0</v>
      </c>
    </row>
    <row r="5265" spans="3:13" x14ac:dyDescent="0.3">
      <c r="C5265" t="s">
        <v>71</v>
      </c>
      <c r="D5265" t="s">
        <v>62</v>
      </c>
      <c r="E5265" t="s">
        <v>63</v>
      </c>
      <c r="F5265" t="s">
        <v>24</v>
      </c>
      <c r="G5265" s="4">
        <v>13</v>
      </c>
      <c r="I5265" s="4" t="s">
        <v>69</v>
      </c>
      <c r="J5265" s="4" t="s">
        <v>66</v>
      </c>
      <c r="K5265" s="4">
        <v>0</v>
      </c>
      <c r="L5265" s="94">
        <v>-1054711</v>
      </c>
      <c r="M5265" s="94">
        <v>0</v>
      </c>
    </row>
    <row r="5266" spans="3:13" x14ac:dyDescent="0.3">
      <c r="C5266" t="s">
        <v>70</v>
      </c>
      <c r="D5266" t="s">
        <v>67</v>
      </c>
      <c r="E5266" t="s">
        <v>68</v>
      </c>
      <c r="F5266" t="s">
        <v>26</v>
      </c>
      <c r="G5266" s="4">
        <v>-1</v>
      </c>
      <c r="H5266" s="4" t="s">
        <v>83</v>
      </c>
      <c r="I5266" s="4" t="s">
        <v>69</v>
      </c>
      <c r="J5266" s="4" t="s">
        <v>66</v>
      </c>
      <c r="K5266" s="4">
        <v>0</v>
      </c>
      <c r="L5266" s="94">
        <v>5833707</v>
      </c>
      <c r="M5266" s="94">
        <v>0</v>
      </c>
    </row>
    <row r="5267" spans="3:13" x14ac:dyDescent="0.3">
      <c r="C5267" t="s">
        <v>61</v>
      </c>
      <c r="D5267" t="s">
        <v>67</v>
      </c>
      <c r="E5267" t="s">
        <v>63</v>
      </c>
      <c r="F5267" t="s">
        <v>26</v>
      </c>
      <c r="G5267" s="4">
        <v>8</v>
      </c>
      <c r="H5267" s="4" t="s">
        <v>18</v>
      </c>
      <c r="I5267" s="4" t="s">
        <v>69</v>
      </c>
      <c r="J5267" s="4" t="s">
        <v>73</v>
      </c>
      <c r="K5267" s="4">
        <v>1</v>
      </c>
      <c r="L5267" s="94">
        <v>-1197</v>
      </c>
      <c r="M5267" s="94">
        <v>0</v>
      </c>
    </row>
    <row r="5268" spans="3:13" x14ac:dyDescent="0.3">
      <c r="C5268" t="s">
        <v>61</v>
      </c>
      <c r="D5268" t="s">
        <v>67</v>
      </c>
      <c r="E5268" t="s">
        <v>68</v>
      </c>
      <c r="F5268" t="s">
        <v>26</v>
      </c>
      <c r="G5268" s="4">
        <v>2</v>
      </c>
      <c r="H5268" s="4" t="s">
        <v>75</v>
      </c>
      <c r="I5268" s="4" t="s">
        <v>65</v>
      </c>
      <c r="J5268" s="4" t="s">
        <v>66</v>
      </c>
      <c r="K5268" s="4">
        <v>1</v>
      </c>
      <c r="L5268" s="94">
        <v>125241</v>
      </c>
      <c r="M5268" s="94">
        <v>250482</v>
      </c>
    </row>
    <row r="5269" spans="3:13" x14ac:dyDescent="0.3">
      <c r="C5269" t="s">
        <v>70</v>
      </c>
      <c r="D5269" t="s">
        <v>67</v>
      </c>
      <c r="E5269" t="s">
        <v>63</v>
      </c>
      <c r="F5269" t="s">
        <v>26</v>
      </c>
      <c r="G5269" s="4">
        <v>4</v>
      </c>
      <c r="H5269" s="4" t="s">
        <v>82</v>
      </c>
      <c r="I5269" s="4" t="s">
        <v>69</v>
      </c>
      <c r="J5269" s="4" t="s">
        <v>66</v>
      </c>
      <c r="K5269" s="4">
        <v>0</v>
      </c>
      <c r="L5269" s="94">
        <v>-143937</v>
      </c>
      <c r="M5269" s="94">
        <v>0</v>
      </c>
    </row>
    <row r="5270" spans="3:13" x14ac:dyDescent="0.3">
      <c r="C5270" t="s">
        <v>70</v>
      </c>
      <c r="D5270" t="s">
        <v>67</v>
      </c>
      <c r="E5270" t="s">
        <v>63</v>
      </c>
      <c r="F5270" t="s">
        <v>25</v>
      </c>
      <c r="G5270" s="4">
        <v>2</v>
      </c>
      <c r="H5270" s="4" t="s">
        <v>78</v>
      </c>
      <c r="I5270" s="4" t="s">
        <v>69</v>
      </c>
      <c r="J5270" s="4" t="s">
        <v>66</v>
      </c>
      <c r="K5270" s="4">
        <v>0</v>
      </c>
      <c r="L5270" s="94">
        <v>-3313</v>
      </c>
      <c r="M5270" s="94">
        <v>0</v>
      </c>
    </row>
    <row r="5271" spans="3:13" x14ac:dyDescent="0.3">
      <c r="C5271" t="s">
        <v>61</v>
      </c>
      <c r="D5271" t="s">
        <v>62</v>
      </c>
      <c r="E5271" t="s">
        <v>63</v>
      </c>
      <c r="F5271" t="s">
        <v>24</v>
      </c>
      <c r="G5271" s="4">
        <v>6</v>
      </c>
      <c r="I5271" s="4" t="s">
        <v>65</v>
      </c>
      <c r="J5271" s="4" t="s">
        <v>66</v>
      </c>
      <c r="K5271" s="4">
        <v>1</v>
      </c>
      <c r="L5271" s="94">
        <v>-605</v>
      </c>
      <c r="M5271" s="94">
        <v>0</v>
      </c>
    </row>
    <row r="5272" spans="3:13" x14ac:dyDescent="0.3">
      <c r="C5272" t="s">
        <v>71</v>
      </c>
      <c r="D5272" t="s">
        <v>67</v>
      </c>
      <c r="E5272" t="s">
        <v>68</v>
      </c>
      <c r="F5272" t="s">
        <v>25</v>
      </c>
      <c r="G5272" s="4">
        <v>5</v>
      </c>
      <c r="H5272" s="4" t="s">
        <v>76</v>
      </c>
      <c r="I5272" s="4" t="s">
        <v>69</v>
      </c>
      <c r="J5272" s="4" t="s">
        <v>66</v>
      </c>
      <c r="K5272" s="4">
        <v>0</v>
      </c>
      <c r="L5272" s="94">
        <v>2492963</v>
      </c>
      <c r="M5272" s="94">
        <v>12464815</v>
      </c>
    </row>
    <row r="5273" spans="3:13" x14ac:dyDescent="0.3">
      <c r="C5273" t="s">
        <v>70</v>
      </c>
      <c r="D5273" t="s">
        <v>62</v>
      </c>
      <c r="E5273" t="s">
        <v>63</v>
      </c>
      <c r="F5273" t="s">
        <v>24</v>
      </c>
      <c r="G5273" s="4">
        <v>4</v>
      </c>
      <c r="I5273" s="4" t="s">
        <v>65</v>
      </c>
      <c r="J5273" s="4" t="s">
        <v>66</v>
      </c>
      <c r="K5273" s="4">
        <v>1</v>
      </c>
      <c r="L5273" s="94">
        <v>-1283</v>
      </c>
      <c r="M5273" s="94">
        <v>0</v>
      </c>
    </row>
    <row r="5274" spans="3:13" x14ac:dyDescent="0.3">
      <c r="C5274" t="s">
        <v>71</v>
      </c>
      <c r="D5274" t="s">
        <v>62</v>
      </c>
      <c r="E5274" t="s">
        <v>63</v>
      </c>
      <c r="F5274" t="s">
        <v>24</v>
      </c>
      <c r="G5274" s="4">
        <v>20</v>
      </c>
      <c r="I5274" s="4" t="s">
        <v>65</v>
      </c>
      <c r="J5274" s="4" t="s">
        <v>66</v>
      </c>
      <c r="K5274" s="4">
        <v>1</v>
      </c>
      <c r="L5274" s="94">
        <v>-12330</v>
      </c>
      <c r="M5274" s="94">
        <v>0</v>
      </c>
    </row>
    <row r="5275" spans="3:13" x14ac:dyDescent="0.3">
      <c r="C5275" t="s">
        <v>71</v>
      </c>
      <c r="D5275" t="s">
        <v>67</v>
      </c>
      <c r="E5275" t="s">
        <v>63</v>
      </c>
      <c r="F5275" t="s">
        <v>26</v>
      </c>
      <c r="G5275" s="4">
        <v>2</v>
      </c>
      <c r="H5275" s="4" t="s">
        <v>82</v>
      </c>
      <c r="I5275" s="4" t="s">
        <v>65</v>
      </c>
      <c r="J5275" s="4" t="s">
        <v>66</v>
      </c>
      <c r="K5275" s="4">
        <v>1</v>
      </c>
      <c r="L5275" s="94">
        <v>-80748</v>
      </c>
      <c r="M5275" s="94">
        <v>0</v>
      </c>
    </row>
    <row r="5276" spans="3:13" x14ac:dyDescent="0.3">
      <c r="C5276" t="s">
        <v>61</v>
      </c>
      <c r="D5276" t="s">
        <v>67</v>
      </c>
      <c r="E5276" t="s">
        <v>68</v>
      </c>
      <c r="F5276" t="s">
        <v>72</v>
      </c>
      <c r="G5276" s="4">
        <v>0</v>
      </c>
      <c r="H5276" s="4" t="s">
        <v>14</v>
      </c>
      <c r="I5276" s="4" t="s">
        <v>69</v>
      </c>
      <c r="J5276" s="4" t="s">
        <v>73</v>
      </c>
      <c r="K5276" s="4">
        <v>1</v>
      </c>
      <c r="L5276" s="94">
        <v>1078469</v>
      </c>
      <c r="M5276" s="94">
        <v>0</v>
      </c>
    </row>
    <row r="5277" spans="3:13" x14ac:dyDescent="0.3">
      <c r="C5277" t="s">
        <v>70</v>
      </c>
      <c r="D5277" t="s">
        <v>67</v>
      </c>
      <c r="E5277" t="s">
        <v>63</v>
      </c>
      <c r="F5277" t="s">
        <v>25</v>
      </c>
      <c r="G5277" s="4">
        <v>19</v>
      </c>
      <c r="H5277" s="4" t="s">
        <v>76</v>
      </c>
      <c r="I5277" s="4" t="s">
        <v>69</v>
      </c>
      <c r="J5277" s="4" t="s">
        <v>66</v>
      </c>
      <c r="K5277" s="4">
        <v>0</v>
      </c>
      <c r="L5277" s="94">
        <v>-2371</v>
      </c>
      <c r="M5277" s="94">
        <v>0</v>
      </c>
    </row>
    <row r="5278" spans="3:13" x14ac:dyDescent="0.3">
      <c r="C5278" t="s">
        <v>70</v>
      </c>
      <c r="D5278" t="s">
        <v>67</v>
      </c>
      <c r="E5278" t="s">
        <v>68</v>
      </c>
      <c r="F5278" t="s">
        <v>26</v>
      </c>
      <c r="G5278" s="4">
        <v>9</v>
      </c>
      <c r="H5278" s="4" t="s">
        <v>75</v>
      </c>
      <c r="I5278" s="4" t="s">
        <v>69</v>
      </c>
      <c r="J5278" s="4" t="s">
        <v>66</v>
      </c>
      <c r="K5278" s="4">
        <v>0</v>
      </c>
      <c r="L5278" s="94">
        <v>220668</v>
      </c>
      <c r="M5278" s="94">
        <v>1986012</v>
      </c>
    </row>
    <row r="5279" spans="3:13" x14ac:dyDescent="0.3">
      <c r="C5279" t="s">
        <v>70</v>
      </c>
      <c r="D5279" t="s">
        <v>67</v>
      </c>
      <c r="E5279" t="s">
        <v>63</v>
      </c>
      <c r="F5279" t="s">
        <v>26</v>
      </c>
      <c r="G5279" s="4">
        <v>-4</v>
      </c>
      <c r="H5279" s="4" t="s">
        <v>75</v>
      </c>
      <c r="I5279" s="4" t="s">
        <v>69</v>
      </c>
      <c r="J5279" s="4" t="s">
        <v>66</v>
      </c>
      <c r="K5279" s="4">
        <v>0</v>
      </c>
      <c r="L5279" s="94">
        <v>-11610</v>
      </c>
      <c r="M5279" s="94">
        <v>0</v>
      </c>
    </row>
    <row r="5280" spans="3:13" x14ac:dyDescent="0.3">
      <c r="C5280" t="s">
        <v>71</v>
      </c>
      <c r="D5280" t="s">
        <v>67</v>
      </c>
      <c r="E5280" t="s">
        <v>68</v>
      </c>
      <c r="F5280" t="s">
        <v>25</v>
      </c>
      <c r="G5280" s="4">
        <v>8</v>
      </c>
      <c r="H5280" s="4" t="s">
        <v>18</v>
      </c>
      <c r="I5280" s="4" t="s">
        <v>69</v>
      </c>
      <c r="J5280" s="4" t="s">
        <v>66</v>
      </c>
      <c r="K5280" s="4">
        <v>1</v>
      </c>
      <c r="L5280" s="94">
        <v>405480</v>
      </c>
      <c r="M5280" s="94">
        <v>3243840</v>
      </c>
    </row>
    <row r="5281" spans="3:13" x14ac:dyDescent="0.3">
      <c r="C5281" t="s">
        <v>61</v>
      </c>
      <c r="D5281" t="s">
        <v>67</v>
      </c>
      <c r="E5281" t="s">
        <v>68</v>
      </c>
      <c r="F5281" t="s">
        <v>25</v>
      </c>
      <c r="G5281" s="4">
        <v>18</v>
      </c>
      <c r="H5281" s="4" t="s">
        <v>75</v>
      </c>
      <c r="I5281" s="4" t="s">
        <v>69</v>
      </c>
      <c r="J5281" s="4" t="s">
        <v>66</v>
      </c>
      <c r="K5281" s="4">
        <v>0</v>
      </c>
      <c r="L5281" s="94">
        <v>767176</v>
      </c>
      <c r="M5281" s="94">
        <v>13809168</v>
      </c>
    </row>
    <row r="5282" spans="3:13" x14ac:dyDescent="0.3">
      <c r="C5282" t="s">
        <v>61</v>
      </c>
      <c r="D5282" t="s">
        <v>62</v>
      </c>
      <c r="E5282" t="s">
        <v>63</v>
      </c>
      <c r="F5282" t="s">
        <v>24</v>
      </c>
      <c r="G5282" s="4">
        <v>37</v>
      </c>
      <c r="I5282" s="4" t="s">
        <v>65</v>
      </c>
      <c r="J5282" s="4" t="s">
        <v>66</v>
      </c>
      <c r="K5282" s="4">
        <v>1</v>
      </c>
      <c r="L5282" s="94">
        <v>-12767</v>
      </c>
      <c r="M5282" s="94">
        <v>0</v>
      </c>
    </row>
    <row r="5283" spans="3:13" x14ac:dyDescent="0.3">
      <c r="C5283" t="s">
        <v>61</v>
      </c>
      <c r="D5283" t="s">
        <v>67</v>
      </c>
      <c r="E5283" t="s">
        <v>68</v>
      </c>
      <c r="F5283" t="s">
        <v>25</v>
      </c>
      <c r="G5283" s="4">
        <v>11</v>
      </c>
      <c r="H5283" s="4" t="s">
        <v>82</v>
      </c>
      <c r="I5283" s="4" t="s">
        <v>69</v>
      </c>
      <c r="J5283" s="4" t="s">
        <v>66</v>
      </c>
      <c r="K5283" s="4">
        <v>0</v>
      </c>
      <c r="L5283" s="94">
        <v>638854</v>
      </c>
      <c r="M5283" s="94">
        <v>7027394</v>
      </c>
    </row>
    <row r="5284" spans="3:13" x14ac:dyDescent="0.3">
      <c r="C5284" t="s">
        <v>61</v>
      </c>
      <c r="D5284" t="s">
        <v>67</v>
      </c>
      <c r="E5284" t="s">
        <v>63</v>
      </c>
      <c r="F5284" t="s">
        <v>72</v>
      </c>
      <c r="G5284" s="4">
        <v>5</v>
      </c>
      <c r="H5284" s="4" t="s">
        <v>83</v>
      </c>
      <c r="I5284" s="4" t="s">
        <v>69</v>
      </c>
      <c r="J5284" s="4" t="s">
        <v>66</v>
      </c>
      <c r="K5284" s="4">
        <v>0</v>
      </c>
      <c r="L5284" s="94">
        <v>-2100</v>
      </c>
      <c r="M5284" s="94">
        <v>0</v>
      </c>
    </row>
    <row r="5285" spans="3:13" x14ac:dyDescent="0.3">
      <c r="C5285" t="s">
        <v>61</v>
      </c>
      <c r="D5285" t="s">
        <v>67</v>
      </c>
      <c r="E5285" t="s">
        <v>63</v>
      </c>
      <c r="F5285" t="s">
        <v>72</v>
      </c>
      <c r="G5285" s="4">
        <v>4</v>
      </c>
      <c r="H5285" s="4" t="s">
        <v>13</v>
      </c>
      <c r="I5285" s="4" t="s">
        <v>69</v>
      </c>
      <c r="J5285" s="4" t="s">
        <v>66</v>
      </c>
      <c r="K5285" s="4">
        <v>0</v>
      </c>
      <c r="L5285" s="94">
        <v>-778</v>
      </c>
      <c r="M5285" s="94">
        <v>0</v>
      </c>
    </row>
    <row r="5286" spans="3:13" x14ac:dyDescent="0.3">
      <c r="C5286" t="s">
        <v>61</v>
      </c>
      <c r="D5286" t="s">
        <v>67</v>
      </c>
      <c r="E5286" t="s">
        <v>63</v>
      </c>
      <c r="F5286" t="s">
        <v>25</v>
      </c>
      <c r="G5286" s="4">
        <v>10</v>
      </c>
      <c r="H5286" s="4" t="s">
        <v>74</v>
      </c>
      <c r="I5286" s="4" t="s">
        <v>69</v>
      </c>
      <c r="J5286" s="4" t="s">
        <v>66</v>
      </c>
      <c r="K5286" s="4">
        <v>0</v>
      </c>
      <c r="L5286" s="94">
        <v>-7041</v>
      </c>
      <c r="M5286" s="94">
        <v>0</v>
      </c>
    </row>
    <row r="5287" spans="3:13" x14ac:dyDescent="0.3">
      <c r="C5287" t="s">
        <v>70</v>
      </c>
      <c r="D5287" t="s">
        <v>67</v>
      </c>
      <c r="E5287" t="s">
        <v>63</v>
      </c>
      <c r="F5287" t="s">
        <v>26</v>
      </c>
      <c r="G5287" s="4">
        <v>-1</v>
      </c>
      <c r="H5287" s="4" t="s">
        <v>86</v>
      </c>
      <c r="I5287" s="4" t="s">
        <v>69</v>
      </c>
      <c r="J5287" s="4" t="s">
        <v>66</v>
      </c>
      <c r="K5287" s="4">
        <v>0</v>
      </c>
      <c r="L5287" s="94">
        <v>-209</v>
      </c>
      <c r="M5287" s="94">
        <v>0</v>
      </c>
    </row>
    <row r="5288" spans="3:13" x14ac:dyDescent="0.3">
      <c r="C5288" t="s">
        <v>70</v>
      </c>
      <c r="D5288" t="s">
        <v>62</v>
      </c>
      <c r="E5288" t="s">
        <v>68</v>
      </c>
      <c r="F5288" t="s">
        <v>24</v>
      </c>
      <c r="G5288" s="4">
        <v>20</v>
      </c>
      <c r="I5288" s="4" t="s">
        <v>69</v>
      </c>
      <c r="J5288" s="4" t="s">
        <v>66</v>
      </c>
      <c r="K5288" s="4">
        <v>1</v>
      </c>
      <c r="L5288" s="94">
        <v>338586</v>
      </c>
      <c r="M5288" s="94">
        <v>6771720</v>
      </c>
    </row>
    <row r="5289" spans="3:13" x14ac:dyDescent="0.3">
      <c r="C5289" t="s">
        <v>70</v>
      </c>
      <c r="D5289" t="s">
        <v>67</v>
      </c>
      <c r="E5289" t="s">
        <v>68</v>
      </c>
      <c r="F5289" t="s">
        <v>26</v>
      </c>
      <c r="G5289" s="4">
        <v>0</v>
      </c>
      <c r="H5289" s="4" t="s">
        <v>87</v>
      </c>
      <c r="I5289" s="4" t="s">
        <v>69</v>
      </c>
      <c r="J5289" s="4" t="s">
        <v>66</v>
      </c>
      <c r="K5289" s="4">
        <v>0</v>
      </c>
      <c r="L5289" s="94">
        <v>129408</v>
      </c>
      <c r="M5289" s="94">
        <v>0</v>
      </c>
    </row>
    <row r="5290" spans="3:13" x14ac:dyDescent="0.3">
      <c r="C5290" t="s">
        <v>70</v>
      </c>
      <c r="D5290" t="s">
        <v>67</v>
      </c>
      <c r="E5290" t="s">
        <v>68</v>
      </c>
      <c r="F5290" t="s">
        <v>25</v>
      </c>
      <c r="G5290" s="4">
        <v>12</v>
      </c>
      <c r="H5290" s="4" t="s">
        <v>17</v>
      </c>
      <c r="I5290" s="4" t="s">
        <v>69</v>
      </c>
      <c r="J5290" s="4" t="s">
        <v>66</v>
      </c>
      <c r="K5290" s="4">
        <v>1</v>
      </c>
      <c r="L5290" s="94">
        <v>34427</v>
      </c>
      <c r="M5290" s="94">
        <v>413124</v>
      </c>
    </row>
    <row r="5291" spans="3:13" x14ac:dyDescent="0.3">
      <c r="C5291" t="s">
        <v>70</v>
      </c>
      <c r="D5291" t="s">
        <v>67</v>
      </c>
      <c r="E5291" t="s">
        <v>68</v>
      </c>
      <c r="F5291" t="s">
        <v>26</v>
      </c>
      <c r="G5291" s="4">
        <v>1</v>
      </c>
      <c r="H5291" s="4" t="s">
        <v>14</v>
      </c>
      <c r="I5291" s="4" t="s">
        <v>69</v>
      </c>
      <c r="J5291" s="4" t="s">
        <v>73</v>
      </c>
      <c r="K5291" s="4">
        <v>1</v>
      </c>
      <c r="L5291" s="94">
        <v>11624616</v>
      </c>
      <c r="M5291" s="94">
        <v>11624616</v>
      </c>
    </row>
    <row r="5292" spans="3:13" x14ac:dyDescent="0.3">
      <c r="C5292" t="s">
        <v>71</v>
      </c>
      <c r="D5292" t="s">
        <v>62</v>
      </c>
      <c r="E5292" t="s">
        <v>68</v>
      </c>
      <c r="F5292" t="s">
        <v>25</v>
      </c>
      <c r="G5292" s="4">
        <v>8</v>
      </c>
      <c r="I5292" s="4" t="s">
        <v>69</v>
      </c>
      <c r="J5292" s="4" t="s">
        <v>66</v>
      </c>
      <c r="K5292" s="4">
        <v>0</v>
      </c>
      <c r="L5292" s="94">
        <v>126770</v>
      </c>
      <c r="M5292" s="94">
        <v>1014160</v>
      </c>
    </row>
    <row r="5293" spans="3:13" x14ac:dyDescent="0.3">
      <c r="C5293" t="s">
        <v>61</v>
      </c>
      <c r="D5293" t="s">
        <v>62</v>
      </c>
      <c r="E5293" t="s">
        <v>68</v>
      </c>
      <c r="F5293" t="s">
        <v>25</v>
      </c>
      <c r="G5293" s="4">
        <v>5</v>
      </c>
      <c r="I5293" s="4" t="s">
        <v>69</v>
      </c>
      <c r="J5293" s="4" t="s">
        <v>66</v>
      </c>
      <c r="K5293" s="4">
        <v>1</v>
      </c>
      <c r="L5293" s="94">
        <v>1130721</v>
      </c>
      <c r="M5293" s="94">
        <v>5653605</v>
      </c>
    </row>
    <row r="5294" spans="3:13" x14ac:dyDescent="0.3">
      <c r="C5294" t="s">
        <v>70</v>
      </c>
      <c r="D5294" t="s">
        <v>67</v>
      </c>
      <c r="E5294" t="s">
        <v>68</v>
      </c>
      <c r="F5294" t="s">
        <v>26</v>
      </c>
      <c r="G5294" s="4">
        <v>2</v>
      </c>
      <c r="H5294" s="4" t="s">
        <v>82</v>
      </c>
      <c r="I5294" s="4" t="s">
        <v>69</v>
      </c>
      <c r="J5294" s="4" t="s">
        <v>66</v>
      </c>
      <c r="K5294" s="4">
        <v>0</v>
      </c>
      <c r="L5294" s="94">
        <v>7489824</v>
      </c>
      <c r="M5294" s="94">
        <v>14979648</v>
      </c>
    </row>
    <row r="5295" spans="3:13" x14ac:dyDescent="0.3">
      <c r="C5295" t="s">
        <v>70</v>
      </c>
      <c r="D5295" t="s">
        <v>67</v>
      </c>
      <c r="E5295" t="s">
        <v>63</v>
      </c>
      <c r="F5295" t="s">
        <v>72</v>
      </c>
      <c r="G5295" s="4">
        <v>0</v>
      </c>
      <c r="H5295" s="4" t="s">
        <v>64</v>
      </c>
      <c r="I5295" s="4" t="s">
        <v>69</v>
      </c>
      <c r="J5295" s="4" t="s">
        <v>66</v>
      </c>
      <c r="K5295" s="4">
        <v>0</v>
      </c>
      <c r="L5295" s="94">
        <v>-3973</v>
      </c>
      <c r="M5295" s="94">
        <v>0</v>
      </c>
    </row>
    <row r="5296" spans="3:13" x14ac:dyDescent="0.3">
      <c r="C5296" t="s">
        <v>61</v>
      </c>
      <c r="D5296" t="s">
        <v>67</v>
      </c>
      <c r="E5296" t="s">
        <v>68</v>
      </c>
      <c r="F5296" t="s">
        <v>72</v>
      </c>
      <c r="G5296" s="4">
        <v>4</v>
      </c>
      <c r="H5296" s="4" t="s">
        <v>78</v>
      </c>
      <c r="I5296" s="4" t="s">
        <v>69</v>
      </c>
      <c r="J5296" s="4" t="s">
        <v>66</v>
      </c>
      <c r="K5296" s="4">
        <v>0</v>
      </c>
      <c r="L5296" s="94">
        <v>445534</v>
      </c>
      <c r="M5296" s="94">
        <v>1782136</v>
      </c>
    </row>
    <row r="5297" spans="3:13" x14ac:dyDescent="0.3">
      <c r="C5297" t="s">
        <v>71</v>
      </c>
      <c r="D5297" t="s">
        <v>67</v>
      </c>
      <c r="E5297" t="s">
        <v>68</v>
      </c>
      <c r="F5297" t="s">
        <v>25</v>
      </c>
      <c r="G5297" s="4">
        <v>5</v>
      </c>
      <c r="H5297" s="4" t="s">
        <v>18</v>
      </c>
      <c r="I5297" s="4" t="s">
        <v>69</v>
      </c>
      <c r="J5297" s="4" t="s">
        <v>66</v>
      </c>
      <c r="K5297" s="4">
        <v>0</v>
      </c>
      <c r="L5297" s="94">
        <v>405683</v>
      </c>
      <c r="M5297" s="94">
        <v>2028415</v>
      </c>
    </row>
    <row r="5298" spans="3:13" x14ac:dyDescent="0.3">
      <c r="C5298" t="s">
        <v>61</v>
      </c>
      <c r="D5298" t="s">
        <v>67</v>
      </c>
      <c r="E5298" t="s">
        <v>68</v>
      </c>
      <c r="F5298" t="s">
        <v>26</v>
      </c>
      <c r="G5298" s="4">
        <v>1</v>
      </c>
      <c r="H5298" s="4" t="s">
        <v>64</v>
      </c>
      <c r="I5298" s="4" t="s">
        <v>69</v>
      </c>
      <c r="J5298" s="4" t="s">
        <v>66</v>
      </c>
      <c r="K5298" s="4">
        <v>0</v>
      </c>
      <c r="L5298" s="94">
        <v>11043408</v>
      </c>
      <c r="M5298" s="94">
        <v>11043408</v>
      </c>
    </row>
    <row r="5299" spans="3:13" x14ac:dyDescent="0.3">
      <c r="C5299" t="s">
        <v>70</v>
      </c>
      <c r="D5299" t="s">
        <v>62</v>
      </c>
      <c r="E5299" t="s">
        <v>68</v>
      </c>
      <c r="F5299" t="s">
        <v>24</v>
      </c>
      <c r="G5299" s="4">
        <v>24</v>
      </c>
      <c r="I5299" s="4" t="s">
        <v>65</v>
      </c>
      <c r="J5299" s="4" t="s">
        <v>66</v>
      </c>
      <c r="K5299" s="4">
        <v>1</v>
      </c>
      <c r="L5299" s="94">
        <v>454777</v>
      </c>
      <c r="M5299" s="94">
        <v>10914648</v>
      </c>
    </row>
    <row r="5300" spans="3:13" x14ac:dyDescent="0.3">
      <c r="C5300" t="s">
        <v>70</v>
      </c>
      <c r="D5300" t="s">
        <v>67</v>
      </c>
      <c r="E5300" t="s">
        <v>63</v>
      </c>
      <c r="F5300" t="s">
        <v>72</v>
      </c>
      <c r="G5300" s="4">
        <v>7</v>
      </c>
      <c r="H5300" s="4" t="s">
        <v>77</v>
      </c>
      <c r="I5300" s="4" t="s">
        <v>69</v>
      </c>
      <c r="J5300" s="4" t="s">
        <v>66</v>
      </c>
      <c r="K5300" s="4">
        <v>0</v>
      </c>
      <c r="L5300" s="94">
        <v>-6696</v>
      </c>
      <c r="M5300" s="94">
        <v>0</v>
      </c>
    </row>
    <row r="5301" spans="3:13" x14ac:dyDescent="0.3">
      <c r="C5301" t="s">
        <v>71</v>
      </c>
      <c r="D5301" t="s">
        <v>67</v>
      </c>
      <c r="E5301" t="s">
        <v>63</v>
      </c>
      <c r="F5301" t="s">
        <v>26</v>
      </c>
      <c r="G5301" s="4">
        <v>2</v>
      </c>
      <c r="H5301" s="4" t="s">
        <v>17</v>
      </c>
      <c r="I5301" s="4" t="s">
        <v>65</v>
      </c>
      <c r="J5301" s="4" t="s">
        <v>66</v>
      </c>
      <c r="K5301" s="4">
        <v>1</v>
      </c>
      <c r="L5301" s="94">
        <v>-17138</v>
      </c>
      <c r="M5301" s="94">
        <v>0</v>
      </c>
    </row>
    <row r="5302" spans="3:13" x14ac:dyDescent="0.3">
      <c r="C5302" t="s">
        <v>71</v>
      </c>
      <c r="D5302" t="s">
        <v>62</v>
      </c>
      <c r="E5302" t="s">
        <v>68</v>
      </c>
      <c r="F5302" t="s">
        <v>24</v>
      </c>
      <c r="G5302" s="4">
        <v>9</v>
      </c>
      <c r="I5302" s="4" t="s">
        <v>69</v>
      </c>
      <c r="J5302" s="4" t="s">
        <v>66</v>
      </c>
      <c r="K5302" s="4">
        <v>0</v>
      </c>
      <c r="L5302" s="94">
        <v>3465669</v>
      </c>
      <c r="M5302" s="94">
        <v>31191021</v>
      </c>
    </row>
    <row r="5303" spans="3:13" x14ac:dyDescent="0.3">
      <c r="C5303" t="s">
        <v>61</v>
      </c>
      <c r="D5303" t="s">
        <v>67</v>
      </c>
      <c r="E5303" t="s">
        <v>63</v>
      </c>
      <c r="F5303" t="s">
        <v>25</v>
      </c>
      <c r="G5303" s="4">
        <v>7</v>
      </c>
      <c r="H5303" s="4" t="s">
        <v>15</v>
      </c>
      <c r="I5303" s="4" t="s">
        <v>69</v>
      </c>
      <c r="J5303" s="4" t="s">
        <v>66</v>
      </c>
      <c r="K5303" s="4">
        <v>0</v>
      </c>
      <c r="L5303" s="94">
        <v>-2262</v>
      </c>
      <c r="M5303" s="94">
        <v>0</v>
      </c>
    </row>
    <row r="5304" spans="3:13" x14ac:dyDescent="0.3">
      <c r="C5304" t="s">
        <v>70</v>
      </c>
      <c r="D5304" t="s">
        <v>67</v>
      </c>
      <c r="E5304" t="s">
        <v>63</v>
      </c>
      <c r="F5304" t="s">
        <v>25</v>
      </c>
      <c r="G5304" s="4">
        <v>7</v>
      </c>
      <c r="H5304" s="4" t="s">
        <v>16</v>
      </c>
      <c r="I5304" s="4" t="s">
        <v>69</v>
      </c>
      <c r="J5304" s="4" t="s">
        <v>66</v>
      </c>
      <c r="K5304" s="4">
        <v>0</v>
      </c>
      <c r="L5304" s="94">
        <v>-22147</v>
      </c>
      <c r="M5304" s="94">
        <v>0</v>
      </c>
    </row>
    <row r="5305" spans="3:13" x14ac:dyDescent="0.3">
      <c r="C5305" t="s">
        <v>71</v>
      </c>
      <c r="D5305" t="s">
        <v>67</v>
      </c>
      <c r="E5305" t="s">
        <v>68</v>
      </c>
      <c r="F5305" t="s">
        <v>25</v>
      </c>
      <c r="G5305" s="4">
        <v>2</v>
      </c>
      <c r="H5305" s="4" t="s">
        <v>14</v>
      </c>
      <c r="I5305" s="4" t="s">
        <v>69</v>
      </c>
      <c r="J5305" s="4" t="s">
        <v>66</v>
      </c>
      <c r="K5305" s="4">
        <v>0</v>
      </c>
      <c r="L5305" s="94">
        <v>3072340</v>
      </c>
      <c r="M5305" s="94">
        <v>6144680</v>
      </c>
    </row>
    <row r="5306" spans="3:13" x14ac:dyDescent="0.3">
      <c r="C5306" t="s">
        <v>70</v>
      </c>
      <c r="D5306" t="s">
        <v>67</v>
      </c>
      <c r="E5306" t="s">
        <v>68</v>
      </c>
      <c r="F5306" t="s">
        <v>25</v>
      </c>
      <c r="G5306" s="4">
        <v>7</v>
      </c>
      <c r="H5306" s="4" t="s">
        <v>17</v>
      </c>
      <c r="I5306" s="4" t="s">
        <v>69</v>
      </c>
      <c r="J5306" s="4" t="s">
        <v>66</v>
      </c>
      <c r="K5306" s="4">
        <v>0</v>
      </c>
      <c r="L5306" s="94">
        <v>117315</v>
      </c>
      <c r="M5306" s="94">
        <v>821205</v>
      </c>
    </row>
    <row r="5307" spans="3:13" x14ac:dyDescent="0.3">
      <c r="C5307" t="s">
        <v>70</v>
      </c>
      <c r="D5307" t="s">
        <v>67</v>
      </c>
      <c r="E5307" t="s">
        <v>63</v>
      </c>
      <c r="F5307" t="s">
        <v>25</v>
      </c>
      <c r="G5307" s="4">
        <v>3</v>
      </c>
      <c r="H5307" s="4" t="s">
        <v>74</v>
      </c>
      <c r="I5307" s="4" t="s">
        <v>69</v>
      </c>
      <c r="J5307" s="4" t="s">
        <v>66</v>
      </c>
      <c r="K5307" s="4">
        <v>0</v>
      </c>
      <c r="L5307" s="94">
        <v>-5489</v>
      </c>
      <c r="M5307" s="94">
        <v>0</v>
      </c>
    </row>
    <row r="5308" spans="3:13" x14ac:dyDescent="0.3">
      <c r="C5308" t="s">
        <v>61</v>
      </c>
      <c r="D5308" t="s">
        <v>67</v>
      </c>
      <c r="E5308" t="s">
        <v>68</v>
      </c>
      <c r="F5308" t="s">
        <v>72</v>
      </c>
      <c r="G5308" s="4">
        <v>2</v>
      </c>
      <c r="H5308" s="4" t="s">
        <v>14</v>
      </c>
      <c r="I5308" s="4" t="s">
        <v>69</v>
      </c>
      <c r="J5308" s="4" t="s">
        <v>66</v>
      </c>
      <c r="K5308" s="4">
        <v>0</v>
      </c>
      <c r="L5308" s="94">
        <v>3428763</v>
      </c>
      <c r="M5308" s="94">
        <v>6857526</v>
      </c>
    </row>
    <row r="5309" spans="3:13" x14ac:dyDescent="0.3">
      <c r="C5309" t="s">
        <v>61</v>
      </c>
      <c r="D5309" t="s">
        <v>67</v>
      </c>
      <c r="E5309" t="s">
        <v>63</v>
      </c>
      <c r="F5309" t="s">
        <v>25</v>
      </c>
      <c r="G5309" s="4">
        <v>-1</v>
      </c>
      <c r="H5309" s="4" t="s">
        <v>12</v>
      </c>
      <c r="I5309" s="4" t="s">
        <v>69</v>
      </c>
      <c r="J5309" s="4" t="s">
        <v>66</v>
      </c>
      <c r="K5309" s="4">
        <v>1</v>
      </c>
      <c r="L5309" s="94">
        <v>-3436</v>
      </c>
      <c r="M5309" s="94">
        <v>0</v>
      </c>
    </row>
    <row r="5310" spans="3:13" x14ac:dyDescent="0.3">
      <c r="C5310" t="s">
        <v>70</v>
      </c>
      <c r="D5310" t="s">
        <v>67</v>
      </c>
      <c r="E5310" t="s">
        <v>68</v>
      </c>
      <c r="F5310" t="s">
        <v>72</v>
      </c>
      <c r="G5310" s="4">
        <v>7</v>
      </c>
      <c r="H5310" s="4" t="s">
        <v>82</v>
      </c>
      <c r="I5310" s="4" t="s">
        <v>65</v>
      </c>
      <c r="J5310" s="4" t="s">
        <v>66</v>
      </c>
      <c r="K5310" s="4">
        <v>1</v>
      </c>
      <c r="L5310" s="94">
        <v>10499</v>
      </c>
      <c r="M5310" s="94">
        <v>73493</v>
      </c>
    </row>
    <row r="5311" spans="3:13" x14ac:dyDescent="0.3">
      <c r="C5311" t="s">
        <v>70</v>
      </c>
      <c r="D5311" t="s">
        <v>67</v>
      </c>
      <c r="E5311" t="s">
        <v>68</v>
      </c>
      <c r="F5311" t="s">
        <v>72</v>
      </c>
      <c r="G5311" s="4">
        <v>6</v>
      </c>
      <c r="H5311" s="4" t="s">
        <v>17</v>
      </c>
      <c r="I5311" s="4" t="s">
        <v>69</v>
      </c>
      <c r="J5311" s="4" t="s">
        <v>66</v>
      </c>
      <c r="K5311" s="4">
        <v>0</v>
      </c>
      <c r="L5311" s="94">
        <v>449173</v>
      </c>
      <c r="M5311" s="94">
        <v>2695038</v>
      </c>
    </row>
    <row r="5312" spans="3:13" x14ac:dyDescent="0.3">
      <c r="C5312" t="s">
        <v>61</v>
      </c>
      <c r="D5312" t="s">
        <v>67</v>
      </c>
      <c r="E5312" t="s">
        <v>68</v>
      </c>
      <c r="F5312" t="s">
        <v>25</v>
      </c>
      <c r="G5312" s="4">
        <v>3</v>
      </c>
      <c r="H5312" s="4" t="s">
        <v>17</v>
      </c>
      <c r="I5312" s="4" t="s">
        <v>69</v>
      </c>
      <c r="J5312" s="4" t="s">
        <v>66</v>
      </c>
      <c r="K5312" s="4">
        <v>1</v>
      </c>
      <c r="L5312" s="94">
        <v>107914</v>
      </c>
      <c r="M5312" s="94">
        <v>323742</v>
      </c>
    </row>
    <row r="5313" spans="3:13" x14ac:dyDescent="0.3">
      <c r="C5313" t="s">
        <v>61</v>
      </c>
      <c r="D5313" t="s">
        <v>67</v>
      </c>
      <c r="E5313" t="s">
        <v>68</v>
      </c>
      <c r="F5313" t="s">
        <v>26</v>
      </c>
      <c r="G5313" s="4">
        <v>9</v>
      </c>
      <c r="H5313" s="4" t="s">
        <v>12</v>
      </c>
      <c r="I5313" s="4" t="s">
        <v>69</v>
      </c>
      <c r="J5313" s="4" t="s">
        <v>73</v>
      </c>
      <c r="K5313" s="4">
        <v>1</v>
      </c>
      <c r="L5313" s="94">
        <v>344771</v>
      </c>
      <c r="M5313" s="94">
        <v>3102939</v>
      </c>
    </row>
    <row r="5314" spans="3:13" x14ac:dyDescent="0.3">
      <c r="C5314" t="s">
        <v>70</v>
      </c>
      <c r="D5314" t="s">
        <v>62</v>
      </c>
      <c r="E5314" t="s">
        <v>63</v>
      </c>
      <c r="F5314" t="s">
        <v>25</v>
      </c>
      <c r="G5314" s="4">
        <v>12</v>
      </c>
      <c r="I5314" s="4" t="s">
        <v>65</v>
      </c>
      <c r="J5314" s="4" t="s">
        <v>66</v>
      </c>
      <c r="K5314" s="4">
        <v>1</v>
      </c>
      <c r="L5314" s="94">
        <v>-2173</v>
      </c>
      <c r="M5314" s="94">
        <v>0</v>
      </c>
    </row>
    <row r="5315" spans="3:13" x14ac:dyDescent="0.3">
      <c r="C5315" t="s">
        <v>61</v>
      </c>
      <c r="D5315" t="s">
        <v>67</v>
      </c>
      <c r="E5315" t="s">
        <v>63</v>
      </c>
      <c r="F5315" t="s">
        <v>26</v>
      </c>
      <c r="G5315" s="4">
        <v>0</v>
      </c>
      <c r="H5315" s="4" t="s">
        <v>14</v>
      </c>
      <c r="I5315" s="4" t="s">
        <v>65</v>
      </c>
      <c r="J5315" s="4" t="s">
        <v>66</v>
      </c>
      <c r="K5315" s="4">
        <v>1</v>
      </c>
      <c r="L5315" s="94">
        <v>-356</v>
      </c>
      <c r="M5315" s="94">
        <v>0</v>
      </c>
    </row>
    <row r="5316" spans="3:13" x14ac:dyDescent="0.3">
      <c r="C5316" t="s">
        <v>61</v>
      </c>
      <c r="D5316" t="s">
        <v>67</v>
      </c>
      <c r="E5316" t="s">
        <v>68</v>
      </c>
      <c r="F5316" t="s">
        <v>72</v>
      </c>
      <c r="G5316" s="4">
        <v>7</v>
      </c>
      <c r="H5316" s="4" t="s">
        <v>17</v>
      </c>
      <c r="I5316" s="4" t="s">
        <v>69</v>
      </c>
      <c r="J5316" s="4" t="s">
        <v>66</v>
      </c>
      <c r="K5316" s="4">
        <v>0</v>
      </c>
      <c r="L5316" s="94">
        <v>123144</v>
      </c>
      <c r="M5316" s="94">
        <v>862008</v>
      </c>
    </row>
    <row r="5317" spans="3:13" x14ac:dyDescent="0.3">
      <c r="C5317" t="s">
        <v>61</v>
      </c>
      <c r="D5317" t="s">
        <v>67</v>
      </c>
      <c r="E5317" t="s">
        <v>63</v>
      </c>
      <c r="F5317" t="s">
        <v>26</v>
      </c>
      <c r="G5317" s="4">
        <v>6</v>
      </c>
      <c r="H5317" s="4" t="s">
        <v>14</v>
      </c>
      <c r="I5317" s="4" t="s">
        <v>69</v>
      </c>
      <c r="J5317" s="4" t="s">
        <v>66</v>
      </c>
      <c r="K5317" s="4">
        <v>0</v>
      </c>
      <c r="L5317" s="94">
        <v>-28587</v>
      </c>
      <c r="M5317" s="94">
        <v>0</v>
      </c>
    </row>
    <row r="5318" spans="3:13" x14ac:dyDescent="0.3">
      <c r="C5318" t="s">
        <v>61</v>
      </c>
      <c r="D5318" t="s">
        <v>67</v>
      </c>
      <c r="E5318" t="s">
        <v>63</v>
      </c>
      <c r="F5318" t="s">
        <v>25</v>
      </c>
      <c r="G5318" s="4">
        <v>0</v>
      </c>
      <c r="H5318" s="4" t="s">
        <v>78</v>
      </c>
      <c r="I5318" s="4" t="s">
        <v>69</v>
      </c>
      <c r="J5318" s="4" t="s">
        <v>66</v>
      </c>
      <c r="K5318" s="4">
        <v>0</v>
      </c>
      <c r="L5318" s="94">
        <v>-16</v>
      </c>
      <c r="M5318" s="94">
        <v>0</v>
      </c>
    </row>
    <row r="5319" spans="3:13" x14ac:dyDescent="0.3">
      <c r="C5319" t="s">
        <v>70</v>
      </c>
      <c r="D5319" t="s">
        <v>67</v>
      </c>
      <c r="E5319" t="s">
        <v>68</v>
      </c>
      <c r="F5319" t="s">
        <v>25</v>
      </c>
      <c r="G5319" s="4">
        <v>6</v>
      </c>
      <c r="H5319" s="4" t="s">
        <v>17</v>
      </c>
      <c r="I5319" s="4" t="s">
        <v>69</v>
      </c>
      <c r="J5319" s="4" t="s">
        <v>66</v>
      </c>
      <c r="K5319" s="4">
        <v>0</v>
      </c>
      <c r="L5319" s="94">
        <v>1423852</v>
      </c>
      <c r="M5319" s="94">
        <v>8543112</v>
      </c>
    </row>
    <row r="5320" spans="3:13" x14ac:dyDescent="0.3">
      <c r="C5320" t="s">
        <v>61</v>
      </c>
      <c r="D5320" t="s">
        <v>67</v>
      </c>
      <c r="E5320" t="s">
        <v>68</v>
      </c>
      <c r="F5320" t="s">
        <v>25</v>
      </c>
      <c r="G5320" s="4">
        <v>6</v>
      </c>
      <c r="H5320" s="4" t="s">
        <v>13</v>
      </c>
      <c r="I5320" s="4" t="s">
        <v>69</v>
      </c>
      <c r="J5320" s="4" t="s">
        <v>66</v>
      </c>
      <c r="K5320" s="4">
        <v>1</v>
      </c>
      <c r="L5320" s="94">
        <v>41713</v>
      </c>
      <c r="M5320" s="94">
        <v>250278</v>
      </c>
    </row>
    <row r="5321" spans="3:13" x14ac:dyDescent="0.3">
      <c r="C5321" t="s">
        <v>61</v>
      </c>
      <c r="D5321" t="s">
        <v>67</v>
      </c>
      <c r="E5321" t="s">
        <v>63</v>
      </c>
      <c r="F5321" t="s">
        <v>26</v>
      </c>
      <c r="G5321" s="4">
        <v>0</v>
      </c>
      <c r="H5321" s="4" t="s">
        <v>15</v>
      </c>
      <c r="I5321" s="4" t="s">
        <v>69</v>
      </c>
      <c r="J5321" s="4" t="s">
        <v>73</v>
      </c>
      <c r="K5321" s="4">
        <v>1</v>
      </c>
      <c r="L5321" s="94">
        <v>-10093</v>
      </c>
      <c r="M5321" s="94">
        <v>0</v>
      </c>
    </row>
    <row r="5322" spans="3:13" x14ac:dyDescent="0.3">
      <c r="C5322" t="s">
        <v>70</v>
      </c>
      <c r="D5322" t="s">
        <v>67</v>
      </c>
      <c r="E5322" t="s">
        <v>68</v>
      </c>
      <c r="F5322" t="s">
        <v>72</v>
      </c>
      <c r="G5322" s="4">
        <v>-4</v>
      </c>
      <c r="H5322" s="4" t="s">
        <v>14</v>
      </c>
      <c r="I5322" s="4" t="s">
        <v>69</v>
      </c>
      <c r="J5322" s="4" t="s">
        <v>66</v>
      </c>
      <c r="K5322" s="4">
        <v>0</v>
      </c>
      <c r="L5322" s="94">
        <v>3945</v>
      </c>
      <c r="M5322" s="94">
        <v>0</v>
      </c>
    </row>
    <row r="5323" spans="3:13" x14ac:dyDescent="0.3">
      <c r="C5323" t="s">
        <v>61</v>
      </c>
      <c r="D5323" t="s">
        <v>67</v>
      </c>
      <c r="E5323" t="s">
        <v>63</v>
      </c>
      <c r="F5323" t="s">
        <v>26</v>
      </c>
      <c r="G5323" s="4">
        <v>13</v>
      </c>
      <c r="H5323" s="4" t="s">
        <v>17</v>
      </c>
      <c r="I5323" s="4" t="s">
        <v>69</v>
      </c>
      <c r="J5323" s="4" t="s">
        <v>66</v>
      </c>
      <c r="K5323" s="4">
        <v>0</v>
      </c>
      <c r="L5323" s="94">
        <v>-68</v>
      </c>
      <c r="M5323" s="94">
        <v>0</v>
      </c>
    </row>
    <row r="5324" spans="3:13" x14ac:dyDescent="0.3">
      <c r="C5324" t="s">
        <v>71</v>
      </c>
      <c r="D5324" t="s">
        <v>67</v>
      </c>
      <c r="E5324" t="s">
        <v>63</v>
      </c>
      <c r="F5324" t="s">
        <v>26</v>
      </c>
      <c r="G5324" s="4">
        <v>3</v>
      </c>
      <c r="H5324" s="4" t="s">
        <v>78</v>
      </c>
      <c r="I5324" s="4" t="s">
        <v>69</v>
      </c>
      <c r="J5324" s="4" t="s">
        <v>66</v>
      </c>
      <c r="K5324" s="4">
        <v>0</v>
      </c>
      <c r="L5324" s="94">
        <v>-31216</v>
      </c>
      <c r="M5324" s="94">
        <v>0</v>
      </c>
    </row>
    <row r="5325" spans="3:13" x14ac:dyDescent="0.3">
      <c r="C5325" t="s">
        <v>61</v>
      </c>
      <c r="D5325" t="s">
        <v>67</v>
      </c>
      <c r="E5325" t="s">
        <v>63</v>
      </c>
      <c r="F5325" t="s">
        <v>25</v>
      </c>
      <c r="G5325" s="4">
        <v>6</v>
      </c>
      <c r="H5325" s="4" t="s">
        <v>14</v>
      </c>
      <c r="I5325" s="4" t="s">
        <v>69</v>
      </c>
      <c r="J5325" s="4" t="s">
        <v>66</v>
      </c>
      <c r="K5325" s="4">
        <v>1</v>
      </c>
      <c r="L5325" s="94">
        <v>-14381</v>
      </c>
      <c r="M5325" s="94">
        <v>0</v>
      </c>
    </row>
    <row r="5326" spans="3:13" x14ac:dyDescent="0.3">
      <c r="C5326" t="s">
        <v>61</v>
      </c>
      <c r="D5326" t="s">
        <v>67</v>
      </c>
      <c r="E5326" t="s">
        <v>68</v>
      </c>
      <c r="F5326" t="s">
        <v>25</v>
      </c>
      <c r="G5326" s="4">
        <v>11</v>
      </c>
      <c r="H5326" s="4" t="s">
        <v>79</v>
      </c>
      <c r="I5326" s="4" t="s">
        <v>65</v>
      </c>
      <c r="J5326" s="4" t="s">
        <v>66</v>
      </c>
      <c r="K5326" s="4">
        <v>1</v>
      </c>
      <c r="L5326" s="94">
        <v>56139</v>
      </c>
      <c r="M5326" s="94">
        <v>617529</v>
      </c>
    </row>
    <row r="5327" spans="3:13" x14ac:dyDescent="0.3">
      <c r="C5327" t="s">
        <v>70</v>
      </c>
      <c r="D5327" t="s">
        <v>67</v>
      </c>
      <c r="E5327" t="s">
        <v>63</v>
      </c>
      <c r="F5327" t="s">
        <v>25</v>
      </c>
      <c r="G5327" s="4">
        <v>13</v>
      </c>
      <c r="H5327" s="4" t="s">
        <v>74</v>
      </c>
      <c r="I5327" s="4" t="s">
        <v>69</v>
      </c>
      <c r="J5327" s="4" t="s">
        <v>66</v>
      </c>
      <c r="K5327" s="4">
        <v>0</v>
      </c>
      <c r="L5327" s="94">
        <v>-13079</v>
      </c>
      <c r="M5327" s="94">
        <v>0</v>
      </c>
    </row>
    <row r="5328" spans="3:13" x14ac:dyDescent="0.3">
      <c r="C5328" t="s">
        <v>61</v>
      </c>
      <c r="D5328" t="s">
        <v>67</v>
      </c>
      <c r="E5328" t="s">
        <v>63</v>
      </c>
      <c r="F5328" t="s">
        <v>26</v>
      </c>
      <c r="G5328" s="4">
        <v>15</v>
      </c>
      <c r="H5328" s="4" t="s">
        <v>82</v>
      </c>
      <c r="I5328" s="4" t="s">
        <v>65</v>
      </c>
      <c r="J5328" s="4" t="s">
        <v>66</v>
      </c>
      <c r="K5328" s="4">
        <v>1</v>
      </c>
      <c r="L5328" s="94">
        <v>-12959</v>
      </c>
      <c r="M5328" s="94">
        <v>0</v>
      </c>
    </row>
    <row r="5329" spans="3:13" x14ac:dyDescent="0.3">
      <c r="C5329" t="s">
        <v>61</v>
      </c>
      <c r="D5329" t="s">
        <v>67</v>
      </c>
      <c r="E5329" t="s">
        <v>63</v>
      </c>
      <c r="F5329" t="s">
        <v>25</v>
      </c>
      <c r="G5329" s="4">
        <v>13</v>
      </c>
      <c r="H5329" s="4" t="s">
        <v>75</v>
      </c>
      <c r="I5329" s="4" t="s">
        <v>69</v>
      </c>
      <c r="J5329" s="4" t="s">
        <v>66</v>
      </c>
      <c r="K5329" s="4">
        <v>0</v>
      </c>
      <c r="L5329" s="94">
        <v>-26770</v>
      </c>
      <c r="M5329" s="94">
        <v>0</v>
      </c>
    </row>
    <row r="5330" spans="3:13" x14ac:dyDescent="0.3">
      <c r="C5330" t="s">
        <v>61</v>
      </c>
      <c r="D5330" t="s">
        <v>67</v>
      </c>
      <c r="E5330" t="s">
        <v>68</v>
      </c>
      <c r="F5330" t="s">
        <v>72</v>
      </c>
      <c r="G5330" s="4">
        <v>2</v>
      </c>
      <c r="H5330" s="4" t="s">
        <v>12</v>
      </c>
      <c r="I5330" s="4" t="s">
        <v>65</v>
      </c>
      <c r="J5330" s="4" t="s">
        <v>73</v>
      </c>
      <c r="K5330" s="4">
        <v>1</v>
      </c>
      <c r="L5330" s="94">
        <v>10885</v>
      </c>
      <c r="M5330" s="94">
        <v>21770</v>
      </c>
    </row>
    <row r="5331" spans="3:13" x14ac:dyDescent="0.3">
      <c r="C5331" t="s">
        <v>70</v>
      </c>
      <c r="D5331" t="s">
        <v>67</v>
      </c>
      <c r="E5331" t="s">
        <v>68</v>
      </c>
      <c r="F5331" t="s">
        <v>72</v>
      </c>
      <c r="G5331" s="4">
        <v>5</v>
      </c>
      <c r="H5331" s="4" t="s">
        <v>78</v>
      </c>
      <c r="I5331" s="4" t="s">
        <v>69</v>
      </c>
      <c r="J5331" s="4" t="s">
        <v>66</v>
      </c>
      <c r="K5331" s="4">
        <v>0</v>
      </c>
      <c r="L5331" s="94">
        <v>98950</v>
      </c>
      <c r="M5331" s="94">
        <v>494750</v>
      </c>
    </row>
    <row r="5332" spans="3:13" x14ac:dyDescent="0.3">
      <c r="C5332" t="s">
        <v>71</v>
      </c>
      <c r="D5332" t="s">
        <v>67</v>
      </c>
      <c r="E5332" t="s">
        <v>68</v>
      </c>
      <c r="F5332" t="s">
        <v>25</v>
      </c>
      <c r="G5332" s="4">
        <v>4</v>
      </c>
      <c r="H5332" s="4" t="s">
        <v>18</v>
      </c>
      <c r="I5332" s="4" t="s">
        <v>69</v>
      </c>
      <c r="J5332" s="4" t="s">
        <v>66</v>
      </c>
      <c r="K5332" s="4">
        <v>0</v>
      </c>
      <c r="L5332" s="94">
        <v>16660627</v>
      </c>
      <c r="M5332" s="94">
        <v>66642508</v>
      </c>
    </row>
    <row r="5333" spans="3:13" x14ac:dyDescent="0.3">
      <c r="C5333" t="s">
        <v>61</v>
      </c>
      <c r="D5333" t="s">
        <v>67</v>
      </c>
      <c r="E5333" t="s">
        <v>68</v>
      </c>
      <c r="F5333" t="s">
        <v>25</v>
      </c>
      <c r="G5333" s="4">
        <v>2</v>
      </c>
      <c r="H5333" s="4" t="s">
        <v>16</v>
      </c>
      <c r="I5333" s="4" t="s">
        <v>69</v>
      </c>
      <c r="J5333" s="4" t="s">
        <v>66</v>
      </c>
      <c r="K5333" s="4">
        <v>0</v>
      </c>
      <c r="L5333" s="94">
        <v>635165</v>
      </c>
      <c r="M5333" s="94">
        <v>1270330</v>
      </c>
    </row>
    <row r="5334" spans="3:13" x14ac:dyDescent="0.3">
      <c r="C5334" t="s">
        <v>61</v>
      </c>
      <c r="D5334" t="s">
        <v>67</v>
      </c>
      <c r="E5334" t="s">
        <v>68</v>
      </c>
      <c r="F5334" t="s">
        <v>26</v>
      </c>
      <c r="G5334" s="4">
        <v>5</v>
      </c>
      <c r="H5334" s="4" t="s">
        <v>14</v>
      </c>
      <c r="I5334" s="4" t="s">
        <v>69</v>
      </c>
      <c r="J5334" s="4" t="s">
        <v>73</v>
      </c>
      <c r="K5334" s="4">
        <v>1</v>
      </c>
      <c r="L5334" s="94">
        <v>17866875</v>
      </c>
      <c r="M5334" s="94">
        <v>89334375</v>
      </c>
    </row>
    <row r="5335" spans="3:13" x14ac:dyDescent="0.3">
      <c r="C5335" t="s">
        <v>70</v>
      </c>
      <c r="D5335" t="s">
        <v>67</v>
      </c>
      <c r="E5335" t="s">
        <v>63</v>
      </c>
      <c r="F5335" t="s">
        <v>25</v>
      </c>
      <c r="G5335" s="4">
        <v>-4</v>
      </c>
      <c r="H5335" s="4" t="s">
        <v>14</v>
      </c>
      <c r="I5335" s="4" t="s">
        <v>69</v>
      </c>
      <c r="J5335" s="4" t="s">
        <v>66</v>
      </c>
      <c r="K5335" s="4">
        <v>1</v>
      </c>
      <c r="L5335" s="94">
        <v>-25</v>
      </c>
      <c r="M5335" s="94">
        <v>0</v>
      </c>
    </row>
    <row r="5336" spans="3:13" x14ac:dyDescent="0.3">
      <c r="C5336" t="s">
        <v>70</v>
      </c>
      <c r="D5336" t="s">
        <v>67</v>
      </c>
      <c r="E5336" t="s">
        <v>63</v>
      </c>
      <c r="F5336" t="s">
        <v>26</v>
      </c>
      <c r="G5336" s="4">
        <v>-1</v>
      </c>
      <c r="H5336" s="4" t="s">
        <v>79</v>
      </c>
      <c r="I5336" s="4" t="s">
        <v>69</v>
      </c>
      <c r="J5336" s="4" t="s">
        <v>66</v>
      </c>
      <c r="K5336" s="4">
        <v>0</v>
      </c>
      <c r="L5336" s="94">
        <v>-227689</v>
      </c>
      <c r="M5336" s="94">
        <v>0</v>
      </c>
    </row>
    <row r="5337" spans="3:13" x14ac:dyDescent="0.3">
      <c r="C5337" t="s">
        <v>61</v>
      </c>
      <c r="D5337" t="s">
        <v>84</v>
      </c>
      <c r="E5337" t="s">
        <v>68</v>
      </c>
      <c r="F5337" t="s">
        <v>25</v>
      </c>
      <c r="G5337" s="4">
        <v>7</v>
      </c>
      <c r="H5337" s="4" t="s">
        <v>75</v>
      </c>
      <c r="I5337" s="4" t="s">
        <v>69</v>
      </c>
      <c r="J5337" s="4" t="s">
        <v>66</v>
      </c>
      <c r="K5337" s="4">
        <v>0</v>
      </c>
      <c r="L5337" s="94">
        <v>4965594</v>
      </c>
      <c r="M5337" s="94">
        <v>34759158</v>
      </c>
    </row>
    <row r="5338" spans="3:13" x14ac:dyDescent="0.3">
      <c r="C5338" t="s">
        <v>61</v>
      </c>
      <c r="D5338" t="s">
        <v>67</v>
      </c>
      <c r="E5338" t="s">
        <v>68</v>
      </c>
      <c r="F5338" t="s">
        <v>25</v>
      </c>
      <c r="G5338" s="4">
        <v>5</v>
      </c>
      <c r="H5338" s="4" t="s">
        <v>17</v>
      </c>
      <c r="I5338" s="4" t="s">
        <v>65</v>
      </c>
      <c r="J5338" s="4" t="s">
        <v>66</v>
      </c>
      <c r="K5338" s="4">
        <v>1</v>
      </c>
      <c r="L5338" s="94">
        <v>9237</v>
      </c>
      <c r="M5338" s="94">
        <v>46185</v>
      </c>
    </row>
    <row r="5339" spans="3:13" x14ac:dyDescent="0.3">
      <c r="C5339" t="s">
        <v>61</v>
      </c>
      <c r="D5339" t="s">
        <v>67</v>
      </c>
      <c r="E5339" t="s">
        <v>63</v>
      </c>
      <c r="F5339" t="s">
        <v>25</v>
      </c>
      <c r="G5339" s="4">
        <v>10</v>
      </c>
      <c r="H5339" s="4" t="s">
        <v>80</v>
      </c>
      <c r="I5339" s="4" t="s">
        <v>69</v>
      </c>
      <c r="J5339" s="4" t="s">
        <v>66</v>
      </c>
      <c r="K5339" s="4">
        <v>0</v>
      </c>
      <c r="L5339" s="94">
        <v>-4393</v>
      </c>
      <c r="M5339" s="94">
        <v>0</v>
      </c>
    </row>
    <row r="5340" spans="3:13" x14ac:dyDescent="0.3">
      <c r="C5340" t="s">
        <v>71</v>
      </c>
      <c r="D5340" t="s">
        <v>67</v>
      </c>
      <c r="E5340" t="s">
        <v>63</v>
      </c>
      <c r="F5340" t="s">
        <v>26</v>
      </c>
      <c r="G5340" s="4">
        <v>5</v>
      </c>
      <c r="H5340" s="4" t="s">
        <v>18</v>
      </c>
      <c r="I5340" s="4" t="s">
        <v>69</v>
      </c>
      <c r="J5340" s="4" t="s">
        <v>66</v>
      </c>
      <c r="K5340" s="4">
        <v>0</v>
      </c>
      <c r="L5340" s="94">
        <v>-1256568</v>
      </c>
      <c r="M5340" s="94">
        <v>0</v>
      </c>
    </row>
    <row r="5341" spans="3:13" x14ac:dyDescent="0.3">
      <c r="C5341" t="s">
        <v>61</v>
      </c>
      <c r="D5341" t="s">
        <v>67</v>
      </c>
      <c r="E5341" t="s">
        <v>63</v>
      </c>
      <c r="F5341" t="s">
        <v>26</v>
      </c>
      <c r="G5341" s="4">
        <v>5</v>
      </c>
      <c r="H5341" s="4" t="s">
        <v>16</v>
      </c>
      <c r="I5341" s="4" t="s">
        <v>69</v>
      </c>
      <c r="J5341" s="4" t="s">
        <v>66</v>
      </c>
      <c r="K5341" s="4">
        <v>0</v>
      </c>
      <c r="L5341" s="94">
        <v>-1992</v>
      </c>
      <c r="M5341" s="94">
        <v>0</v>
      </c>
    </row>
    <row r="5342" spans="3:13" x14ac:dyDescent="0.3">
      <c r="C5342" t="s">
        <v>70</v>
      </c>
      <c r="D5342" t="s">
        <v>67</v>
      </c>
      <c r="E5342" t="s">
        <v>68</v>
      </c>
      <c r="F5342" t="s">
        <v>26</v>
      </c>
      <c r="G5342" s="4">
        <v>5</v>
      </c>
      <c r="H5342" s="4" t="s">
        <v>64</v>
      </c>
      <c r="I5342" s="4" t="s">
        <v>69</v>
      </c>
      <c r="J5342" s="4" t="s">
        <v>66</v>
      </c>
      <c r="K5342" s="4">
        <v>0</v>
      </c>
      <c r="L5342" s="94">
        <v>690355</v>
      </c>
      <c r="M5342" s="94">
        <v>3451775</v>
      </c>
    </row>
    <row r="5343" spans="3:13" x14ac:dyDescent="0.3">
      <c r="C5343" t="s">
        <v>61</v>
      </c>
      <c r="D5343" t="s">
        <v>67</v>
      </c>
      <c r="E5343" t="s">
        <v>68</v>
      </c>
      <c r="F5343" t="s">
        <v>25</v>
      </c>
      <c r="G5343" s="4">
        <v>0</v>
      </c>
      <c r="H5343" s="4" t="s">
        <v>83</v>
      </c>
      <c r="I5343" s="4" t="s">
        <v>69</v>
      </c>
      <c r="J5343" s="4" t="s">
        <v>66</v>
      </c>
      <c r="K5343" s="4">
        <v>0</v>
      </c>
      <c r="L5343" s="94">
        <v>2499</v>
      </c>
      <c r="M5343" s="94">
        <v>0</v>
      </c>
    </row>
    <row r="5344" spans="3:13" x14ac:dyDescent="0.3">
      <c r="C5344" t="s">
        <v>61</v>
      </c>
      <c r="D5344" t="s">
        <v>84</v>
      </c>
      <c r="E5344" t="s">
        <v>68</v>
      </c>
      <c r="F5344" t="s">
        <v>25</v>
      </c>
      <c r="G5344" s="4">
        <v>16</v>
      </c>
      <c r="H5344" s="4" t="s">
        <v>81</v>
      </c>
      <c r="I5344" s="4" t="s">
        <v>69</v>
      </c>
      <c r="J5344" s="4" t="s">
        <v>66</v>
      </c>
      <c r="K5344" s="4">
        <v>0</v>
      </c>
      <c r="L5344" s="94">
        <v>10846753</v>
      </c>
      <c r="M5344" s="94">
        <v>173548048</v>
      </c>
    </row>
    <row r="5345" spans="3:13" x14ac:dyDescent="0.3">
      <c r="C5345" t="s">
        <v>61</v>
      </c>
      <c r="D5345" t="s">
        <v>62</v>
      </c>
      <c r="E5345" t="s">
        <v>63</v>
      </c>
      <c r="F5345" t="s">
        <v>24</v>
      </c>
      <c r="G5345" s="4">
        <v>33</v>
      </c>
      <c r="I5345" s="4" t="s">
        <v>65</v>
      </c>
      <c r="J5345" s="4" t="s">
        <v>66</v>
      </c>
      <c r="K5345" s="4">
        <v>1</v>
      </c>
      <c r="L5345" s="94">
        <v>-8342</v>
      </c>
      <c r="M5345" s="94">
        <v>0</v>
      </c>
    </row>
    <row r="5346" spans="3:13" x14ac:dyDescent="0.3">
      <c r="C5346" t="s">
        <v>61</v>
      </c>
      <c r="D5346" t="s">
        <v>67</v>
      </c>
      <c r="E5346" t="s">
        <v>68</v>
      </c>
      <c r="F5346" t="s">
        <v>25</v>
      </c>
      <c r="G5346" s="4">
        <v>8</v>
      </c>
      <c r="H5346" s="4" t="s">
        <v>12</v>
      </c>
      <c r="I5346" s="4" t="s">
        <v>69</v>
      </c>
      <c r="J5346" s="4" t="s">
        <v>66</v>
      </c>
      <c r="K5346" s="4">
        <v>1</v>
      </c>
      <c r="L5346" s="94">
        <v>7425716</v>
      </c>
      <c r="M5346" s="94">
        <v>59405728</v>
      </c>
    </row>
    <row r="5347" spans="3:13" x14ac:dyDescent="0.3">
      <c r="C5347" t="s">
        <v>61</v>
      </c>
      <c r="D5347" t="s">
        <v>67</v>
      </c>
      <c r="E5347" t="s">
        <v>68</v>
      </c>
      <c r="F5347" t="s">
        <v>25</v>
      </c>
      <c r="G5347" s="4">
        <v>9</v>
      </c>
      <c r="H5347" s="4" t="s">
        <v>82</v>
      </c>
      <c r="I5347" s="4" t="s">
        <v>69</v>
      </c>
      <c r="J5347" s="4" t="s">
        <v>66</v>
      </c>
      <c r="K5347" s="4">
        <v>0</v>
      </c>
      <c r="L5347" s="94">
        <v>384973</v>
      </c>
      <c r="M5347" s="94">
        <v>3464757</v>
      </c>
    </row>
    <row r="5348" spans="3:13" x14ac:dyDescent="0.3">
      <c r="C5348" t="s">
        <v>70</v>
      </c>
      <c r="D5348" t="s">
        <v>67</v>
      </c>
      <c r="E5348" t="s">
        <v>63</v>
      </c>
      <c r="F5348" t="s">
        <v>72</v>
      </c>
      <c r="G5348" s="4">
        <v>5</v>
      </c>
      <c r="H5348" s="4" t="s">
        <v>75</v>
      </c>
      <c r="I5348" s="4" t="s">
        <v>69</v>
      </c>
      <c r="J5348" s="4" t="s">
        <v>66</v>
      </c>
      <c r="K5348" s="4">
        <v>0</v>
      </c>
      <c r="L5348" s="94">
        <v>-25844</v>
      </c>
      <c r="M5348" s="94">
        <v>0</v>
      </c>
    </row>
    <row r="5349" spans="3:13" x14ac:dyDescent="0.3">
      <c r="C5349" t="s">
        <v>71</v>
      </c>
      <c r="D5349" t="s">
        <v>62</v>
      </c>
      <c r="E5349" t="s">
        <v>63</v>
      </c>
      <c r="F5349" t="s">
        <v>25</v>
      </c>
      <c r="G5349" s="4">
        <v>4</v>
      </c>
      <c r="I5349" s="4" t="s">
        <v>69</v>
      </c>
      <c r="J5349" s="4" t="s">
        <v>66</v>
      </c>
      <c r="K5349" s="4">
        <v>0</v>
      </c>
      <c r="L5349" s="94">
        <v>-5282447</v>
      </c>
      <c r="M5349" s="94">
        <v>0</v>
      </c>
    </row>
    <row r="5350" spans="3:13" x14ac:dyDescent="0.3">
      <c r="C5350" t="s">
        <v>61</v>
      </c>
      <c r="D5350" t="s">
        <v>62</v>
      </c>
      <c r="E5350" t="s">
        <v>63</v>
      </c>
      <c r="F5350" t="s">
        <v>24</v>
      </c>
      <c r="G5350" s="4">
        <v>1</v>
      </c>
      <c r="I5350" s="4" t="s">
        <v>65</v>
      </c>
      <c r="J5350" s="4" t="s">
        <v>66</v>
      </c>
      <c r="K5350" s="4">
        <v>1</v>
      </c>
      <c r="L5350" s="94">
        <v>-42</v>
      </c>
      <c r="M5350" s="94">
        <v>0</v>
      </c>
    </row>
    <row r="5351" spans="3:13" x14ac:dyDescent="0.3">
      <c r="C5351" t="s">
        <v>61</v>
      </c>
      <c r="D5351" t="s">
        <v>67</v>
      </c>
      <c r="E5351" t="s">
        <v>68</v>
      </c>
      <c r="F5351" t="s">
        <v>72</v>
      </c>
      <c r="G5351" s="4">
        <v>5</v>
      </c>
      <c r="H5351" s="4" t="s">
        <v>18</v>
      </c>
      <c r="I5351" s="4" t="s">
        <v>69</v>
      </c>
      <c r="J5351" s="4" t="s">
        <v>73</v>
      </c>
      <c r="K5351" s="4">
        <v>1</v>
      </c>
      <c r="L5351" s="94">
        <v>467310</v>
      </c>
      <c r="M5351" s="94">
        <v>2336550</v>
      </c>
    </row>
    <row r="5352" spans="3:13" x14ac:dyDescent="0.3">
      <c r="C5352" t="s">
        <v>71</v>
      </c>
      <c r="D5352" t="s">
        <v>67</v>
      </c>
      <c r="E5352" t="s">
        <v>63</v>
      </c>
      <c r="F5352" t="s">
        <v>25</v>
      </c>
      <c r="G5352" s="4">
        <v>-4</v>
      </c>
      <c r="H5352" s="4" t="s">
        <v>17</v>
      </c>
      <c r="I5352" s="4" t="s">
        <v>69</v>
      </c>
      <c r="J5352" s="4" t="s">
        <v>66</v>
      </c>
      <c r="K5352" s="4">
        <v>1</v>
      </c>
      <c r="L5352" s="94">
        <v>-2440218</v>
      </c>
      <c r="M5352" s="94">
        <v>0</v>
      </c>
    </row>
    <row r="5353" spans="3:13" x14ac:dyDescent="0.3">
      <c r="C5353" t="s">
        <v>71</v>
      </c>
      <c r="D5353" t="s">
        <v>67</v>
      </c>
      <c r="E5353" t="s">
        <v>68</v>
      </c>
      <c r="F5353" t="s">
        <v>26</v>
      </c>
      <c r="G5353" s="4">
        <v>3</v>
      </c>
      <c r="H5353" s="4" t="s">
        <v>18</v>
      </c>
      <c r="I5353" s="4" t="s">
        <v>69</v>
      </c>
      <c r="J5353" s="4" t="s">
        <v>73</v>
      </c>
      <c r="K5353" s="4">
        <v>1</v>
      </c>
      <c r="L5353" s="94">
        <v>461082</v>
      </c>
      <c r="M5353" s="94">
        <v>1383246</v>
      </c>
    </row>
    <row r="5354" spans="3:13" x14ac:dyDescent="0.3">
      <c r="C5354" t="s">
        <v>70</v>
      </c>
      <c r="D5354" t="s">
        <v>67</v>
      </c>
      <c r="E5354" t="s">
        <v>63</v>
      </c>
      <c r="F5354" t="s">
        <v>26</v>
      </c>
      <c r="G5354" s="4">
        <v>8</v>
      </c>
      <c r="H5354" s="4" t="s">
        <v>14</v>
      </c>
      <c r="I5354" s="4" t="s">
        <v>69</v>
      </c>
      <c r="J5354" s="4" t="s">
        <v>66</v>
      </c>
      <c r="K5354" s="4">
        <v>0</v>
      </c>
      <c r="L5354" s="94">
        <v>-68280</v>
      </c>
      <c r="M5354" s="94">
        <v>0</v>
      </c>
    </row>
    <row r="5355" spans="3:13" x14ac:dyDescent="0.3">
      <c r="C5355" t="s">
        <v>61</v>
      </c>
      <c r="D5355" t="s">
        <v>67</v>
      </c>
      <c r="E5355" t="s">
        <v>68</v>
      </c>
      <c r="F5355" t="s">
        <v>25</v>
      </c>
      <c r="G5355" s="4">
        <v>0</v>
      </c>
      <c r="H5355" s="4" t="s">
        <v>78</v>
      </c>
      <c r="I5355" s="4" t="s">
        <v>69</v>
      </c>
      <c r="J5355" s="4" t="s">
        <v>66</v>
      </c>
      <c r="K5355" s="4">
        <v>0</v>
      </c>
      <c r="L5355" s="94">
        <v>18765</v>
      </c>
      <c r="M5355" s="94">
        <v>0</v>
      </c>
    </row>
    <row r="5356" spans="3:13" x14ac:dyDescent="0.3">
      <c r="C5356" t="s">
        <v>61</v>
      </c>
      <c r="D5356" t="s">
        <v>67</v>
      </c>
      <c r="E5356" t="s">
        <v>63</v>
      </c>
      <c r="F5356" t="s">
        <v>25</v>
      </c>
      <c r="G5356" s="4">
        <v>8</v>
      </c>
      <c r="H5356" s="4" t="s">
        <v>82</v>
      </c>
      <c r="I5356" s="4" t="s">
        <v>69</v>
      </c>
      <c r="J5356" s="4" t="s">
        <v>66</v>
      </c>
      <c r="K5356" s="4">
        <v>1</v>
      </c>
      <c r="L5356" s="94">
        <v>-64</v>
      </c>
      <c r="M5356" s="94">
        <v>0</v>
      </c>
    </row>
    <row r="5357" spans="3:13" x14ac:dyDescent="0.3">
      <c r="C5357" t="s">
        <v>70</v>
      </c>
      <c r="D5357" t="s">
        <v>62</v>
      </c>
      <c r="E5357" t="s">
        <v>63</v>
      </c>
      <c r="F5357" t="s">
        <v>24</v>
      </c>
      <c r="G5357" s="4">
        <v>1</v>
      </c>
      <c r="I5357" s="4" t="s">
        <v>65</v>
      </c>
      <c r="J5357" s="4" t="s">
        <v>66</v>
      </c>
      <c r="K5357" s="4">
        <v>1</v>
      </c>
      <c r="L5357" s="94">
        <v>-152</v>
      </c>
      <c r="M5357" s="94">
        <v>0</v>
      </c>
    </row>
    <row r="5358" spans="3:13" x14ac:dyDescent="0.3">
      <c r="C5358" t="s">
        <v>61</v>
      </c>
      <c r="D5358" t="s">
        <v>62</v>
      </c>
      <c r="E5358" t="s">
        <v>68</v>
      </c>
      <c r="F5358" t="s">
        <v>24</v>
      </c>
      <c r="G5358" s="4">
        <v>27</v>
      </c>
      <c r="I5358" s="4" t="s">
        <v>69</v>
      </c>
      <c r="J5358" s="4" t="s">
        <v>66</v>
      </c>
      <c r="K5358" s="4">
        <v>1</v>
      </c>
      <c r="L5358" s="94">
        <v>1613111</v>
      </c>
      <c r="M5358" s="94">
        <v>43553997</v>
      </c>
    </row>
    <row r="5359" spans="3:13" x14ac:dyDescent="0.3">
      <c r="C5359" t="s">
        <v>70</v>
      </c>
      <c r="D5359" t="s">
        <v>67</v>
      </c>
      <c r="E5359" t="s">
        <v>68</v>
      </c>
      <c r="F5359" t="s">
        <v>26</v>
      </c>
      <c r="G5359" s="4">
        <v>5</v>
      </c>
      <c r="H5359" s="4" t="s">
        <v>75</v>
      </c>
      <c r="I5359" s="4" t="s">
        <v>69</v>
      </c>
      <c r="J5359" s="4" t="s">
        <v>66</v>
      </c>
      <c r="K5359" s="4">
        <v>0</v>
      </c>
      <c r="L5359" s="94">
        <v>269296</v>
      </c>
      <c r="M5359" s="94">
        <v>1346480</v>
      </c>
    </row>
    <row r="5360" spans="3:13" x14ac:dyDescent="0.3">
      <c r="C5360" t="s">
        <v>70</v>
      </c>
      <c r="D5360" t="s">
        <v>67</v>
      </c>
      <c r="E5360" t="s">
        <v>63</v>
      </c>
      <c r="F5360" t="s">
        <v>26</v>
      </c>
      <c r="G5360" s="4">
        <v>-1</v>
      </c>
      <c r="H5360" s="4" t="s">
        <v>17</v>
      </c>
      <c r="I5360" s="4" t="s">
        <v>65</v>
      </c>
      <c r="J5360" s="4" t="s">
        <v>73</v>
      </c>
      <c r="K5360" s="4">
        <v>1</v>
      </c>
      <c r="L5360" s="94">
        <v>-60238</v>
      </c>
      <c r="M5360" s="94">
        <v>0</v>
      </c>
    </row>
    <row r="5361" spans="3:13" x14ac:dyDescent="0.3">
      <c r="C5361" t="s">
        <v>70</v>
      </c>
      <c r="D5361" t="s">
        <v>62</v>
      </c>
      <c r="E5361" t="s">
        <v>63</v>
      </c>
      <c r="F5361" t="s">
        <v>24</v>
      </c>
      <c r="G5361" s="4">
        <v>33</v>
      </c>
      <c r="I5361" s="4" t="s">
        <v>65</v>
      </c>
      <c r="J5361" s="4" t="s">
        <v>66</v>
      </c>
      <c r="K5361" s="4">
        <v>1</v>
      </c>
      <c r="L5361" s="94">
        <v>-67796</v>
      </c>
      <c r="M5361" s="94">
        <v>0</v>
      </c>
    </row>
    <row r="5362" spans="3:13" x14ac:dyDescent="0.3">
      <c r="C5362" t="s">
        <v>71</v>
      </c>
      <c r="D5362" t="s">
        <v>67</v>
      </c>
      <c r="E5362" t="s">
        <v>68</v>
      </c>
      <c r="F5362" t="s">
        <v>25</v>
      </c>
      <c r="G5362" s="4">
        <v>11</v>
      </c>
      <c r="H5362" s="4" t="s">
        <v>75</v>
      </c>
      <c r="I5362" s="4" t="s">
        <v>69</v>
      </c>
      <c r="J5362" s="4" t="s">
        <v>66</v>
      </c>
      <c r="K5362" s="4">
        <v>0</v>
      </c>
      <c r="L5362" s="94">
        <v>1402509</v>
      </c>
      <c r="M5362" s="94">
        <v>15427599</v>
      </c>
    </row>
    <row r="5363" spans="3:13" x14ac:dyDescent="0.3">
      <c r="C5363" t="s">
        <v>70</v>
      </c>
      <c r="D5363" t="s">
        <v>67</v>
      </c>
      <c r="E5363" t="s">
        <v>63</v>
      </c>
      <c r="F5363" t="s">
        <v>26</v>
      </c>
      <c r="G5363" s="4">
        <v>8</v>
      </c>
      <c r="H5363" s="4" t="s">
        <v>12</v>
      </c>
      <c r="I5363" s="4" t="s">
        <v>69</v>
      </c>
      <c r="J5363" s="4" t="s">
        <v>66</v>
      </c>
      <c r="K5363" s="4">
        <v>0</v>
      </c>
      <c r="L5363" s="94">
        <v>-13217</v>
      </c>
      <c r="M5363" s="94">
        <v>0</v>
      </c>
    </row>
    <row r="5364" spans="3:13" x14ac:dyDescent="0.3">
      <c r="C5364" t="s">
        <v>71</v>
      </c>
      <c r="D5364" t="s">
        <v>67</v>
      </c>
      <c r="E5364" t="s">
        <v>63</v>
      </c>
      <c r="F5364" t="s">
        <v>26</v>
      </c>
      <c r="G5364" s="4">
        <v>6</v>
      </c>
      <c r="H5364" s="4" t="s">
        <v>14</v>
      </c>
      <c r="I5364" s="4" t="s">
        <v>69</v>
      </c>
      <c r="J5364" s="4" t="s">
        <v>66</v>
      </c>
      <c r="K5364" s="4">
        <v>0</v>
      </c>
      <c r="L5364" s="94">
        <v>-43295</v>
      </c>
      <c r="M5364" s="94">
        <v>0</v>
      </c>
    </row>
    <row r="5365" spans="3:13" x14ac:dyDescent="0.3">
      <c r="C5365" t="s">
        <v>70</v>
      </c>
      <c r="D5365" t="s">
        <v>67</v>
      </c>
      <c r="E5365" t="s">
        <v>68</v>
      </c>
      <c r="F5365" t="s">
        <v>25</v>
      </c>
      <c r="G5365" s="4">
        <v>1</v>
      </c>
      <c r="H5365" s="4" t="s">
        <v>14</v>
      </c>
      <c r="I5365" s="4" t="s">
        <v>69</v>
      </c>
      <c r="J5365" s="4" t="s">
        <v>66</v>
      </c>
      <c r="K5365" s="4">
        <v>0</v>
      </c>
      <c r="L5365" s="94">
        <v>669887</v>
      </c>
      <c r="M5365" s="94">
        <v>669887</v>
      </c>
    </row>
    <row r="5366" spans="3:13" x14ac:dyDescent="0.3">
      <c r="C5366" t="s">
        <v>70</v>
      </c>
      <c r="D5366" t="s">
        <v>62</v>
      </c>
      <c r="E5366" t="s">
        <v>68</v>
      </c>
      <c r="F5366" t="s">
        <v>25</v>
      </c>
      <c r="G5366" s="4">
        <v>15</v>
      </c>
      <c r="I5366" s="4" t="s">
        <v>69</v>
      </c>
      <c r="J5366" s="4" t="s">
        <v>66</v>
      </c>
      <c r="K5366" s="4">
        <v>0</v>
      </c>
      <c r="L5366" s="94">
        <v>259097</v>
      </c>
      <c r="M5366" s="94">
        <v>3886455</v>
      </c>
    </row>
    <row r="5367" spans="3:13" x14ac:dyDescent="0.3">
      <c r="C5367" t="s">
        <v>61</v>
      </c>
      <c r="D5367" t="s">
        <v>67</v>
      </c>
      <c r="E5367" t="s">
        <v>68</v>
      </c>
      <c r="F5367" t="s">
        <v>26</v>
      </c>
      <c r="G5367" s="4">
        <v>1</v>
      </c>
      <c r="H5367" s="4" t="s">
        <v>83</v>
      </c>
      <c r="I5367" s="4" t="s">
        <v>69</v>
      </c>
      <c r="J5367" s="4" t="s">
        <v>66</v>
      </c>
      <c r="K5367" s="4">
        <v>0</v>
      </c>
      <c r="L5367" s="94">
        <v>2948568</v>
      </c>
      <c r="M5367" s="94">
        <v>2948568</v>
      </c>
    </row>
    <row r="5368" spans="3:13" x14ac:dyDescent="0.3">
      <c r="C5368" t="s">
        <v>61</v>
      </c>
      <c r="D5368" t="s">
        <v>67</v>
      </c>
      <c r="E5368" t="s">
        <v>68</v>
      </c>
      <c r="F5368" t="s">
        <v>72</v>
      </c>
      <c r="G5368" s="4">
        <v>4</v>
      </c>
      <c r="H5368" s="4" t="s">
        <v>75</v>
      </c>
      <c r="I5368" s="4" t="s">
        <v>69</v>
      </c>
      <c r="J5368" s="4" t="s">
        <v>66</v>
      </c>
      <c r="K5368" s="4">
        <v>0</v>
      </c>
      <c r="L5368" s="94">
        <v>8032851</v>
      </c>
      <c r="M5368" s="94">
        <v>32131404</v>
      </c>
    </row>
    <row r="5369" spans="3:13" x14ac:dyDescent="0.3">
      <c r="C5369" t="s">
        <v>70</v>
      </c>
      <c r="D5369" t="s">
        <v>67</v>
      </c>
      <c r="E5369" t="s">
        <v>63</v>
      </c>
      <c r="F5369" t="s">
        <v>72</v>
      </c>
      <c r="G5369" s="4">
        <v>5</v>
      </c>
      <c r="H5369" s="4" t="s">
        <v>64</v>
      </c>
      <c r="I5369" s="4" t="s">
        <v>69</v>
      </c>
      <c r="J5369" s="4" t="s">
        <v>66</v>
      </c>
      <c r="K5369" s="4">
        <v>0</v>
      </c>
      <c r="L5369" s="94">
        <v>-21388</v>
      </c>
      <c r="M5369" s="94">
        <v>0</v>
      </c>
    </row>
    <row r="5370" spans="3:13" x14ac:dyDescent="0.3">
      <c r="C5370" t="s">
        <v>70</v>
      </c>
      <c r="D5370" t="s">
        <v>67</v>
      </c>
      <c r="E5370" t="s">
        <v>68</v>
      </c>
      <c r="F5370" t="s">
        <v>25</v>
      </c>
      <c r="G5370" s="4">
        <v>8</v>
      </c>
      <c r="H5370" s="4" t="s">
        <v>18</v>
      </c>
      <c r="I5370" s="4" t="s">
        <v>69</v>
      </c>
      <c r="J5370" s="4" t="s">
        <v>66</v>
      </c>
      <c r="K5370" s="4">
        <v>0</v>
      </c>
      <c r="L5370" s="94">
        <v>1775629</v>
      </c>
      <c r="M5370" s="94">
        <v>14205032</v>
      </c>
    </row>
    <row r="5371" spans="3:13" x14ac:dyDescent="0.3">
      <c r="C5371" t="s">
        <v>70</v>
      </c>
      <c r="D5371" t="s">
        <v>67</v>
      </c>
      <c r="E5371" t="s">
        <v>63</v>
      </c>
      <c r="F5371" t="s">
        <v>72</v>
      </c>
      <c r="G5371" s="4">
        <v>6</v>
      </c>
      <c r="H5371" s="4" t="s">
        <v>17</v>
      </c>
      <c r="I5371" s="4" t="s">
        <v>69</v>
      </c>
      <c r="J5371" s="4" t="s">
        <v>66</v>
      </c>
      <c r="K5371" s="4">
        <v>0</v>
      </c>
      <c r="L5371" s="94">
        <v>-27102</v>
      </c>
      <c r="M5371" s="94">
        <v>0</v>
      </c>
    </row>
    <row r="5372" spans="3:13" x14ac:dyDescent="0.3">
      <c r="C5372" t="s">
        <v>61</v>
      </c>
      <c r="D5372" t="s">
        <v>67</v>
      </c>
      <c r="E5372" t="s">
        <v>68</v>
      </c>
      <c r="F5372" t="s">
        <v>26</v>
      </c>
      <c r="G5372" s="4">
        <v>0</v>
      </c>
      <c r="H5372" s="4" t="s">
        <v>14</v>
      </c>
      <c r="I5372" s="4" t="s">
        <v>65</v>
      </c>
      <c r="J5372" s="4" t="s">
        <v>66</v>
      </c>
      <c r="K5372" s="4">
        <v>1</v>
      </c>
      <c r="L5372" s="94">
        <v>81209</v>
      </c>
      <c r="M5372" s="94">
        <v>0</v>
      </c>
    </row>
    <row r="5373" spans="3:13" x14ac:dyDescent="0.3">
      <c r="C5373" t="s">
        <v>70</v>
      </c>
      <c r="D5373" t="s">
        <v>62</v>
      </c>
      <c r="E5373" t="s">
        <v>63</v>
      </c>
      <c r="F5373" t="s">
        <v>25</v>
      </c>
      <c r="G5373" s="4">
        <v>5</v>
      </c>
      <c r="I5373" s="4" t="s">
        <v>69</v>
      </c>
      <c r="J5373" s="4" t="s">
        <v>66</v>
      </c>
      <c r="K5373" s="4">
        <v>1</v>
      </c>
      <c r="L5373" s="94">
        <v>-52</v>
      </c>
      <c r="M5373" s="94">
        <v>0</v>
      </c>
    </row>
    <row r="5374" spans="3:13" x14ac:dyDescent="0.3">
      <c r="C5374" t="s">
        <v>61</v>
      </c>
      <c r="D5374" t="s">
        <v>67</v>
      </c>
      <c r="E5374" t="s">
        <v>63</v>
      </c>
      <c r="F5374" t="s">
        <v>26</v>
      </c>
      <c r="G5374" s="4">
        <v>0</v>
      </c>
      <c r="H5374" s="4" t="s">
        <v>17</v>
      </c>
      <c r="I5374" s="4" t="s">
        <v>69</v>
      </c>
      <c r="J5374" s="4" t="s">
        <v>73</v>
      </c>
      <c r="K5374" s="4">
        <v>1</v>
      </c>
      <c r="L5374" s="94">
        <v>-13427</v>
      </c>
      <c r="M5374" s="94">
        <v>0</v>
      </c>
    </row>
    <row r="5375" spans="3:13" x14ac:dyDescent="0.3">
      <c r="C5375" t="s">
        <v>70</v>
      </c>
      <c r="D5375" t="s">
        <v>67</v>
      </c>
      <c r="E5375" t="s">
        <v>68</v>
      </c>
      <c r="F5375" t="s">
        <v>72</v>
      </c>
      <c r="G5375" s="4">
        <v>-4</v>
      </c>
      <c r="H5375" s="4" t="s">
        <v>12</v>
      </c>
      <c r="I5375" s="4" t="s">
        <v>69</v>
      </c>
      <c r="J5375" s="4" t="s">
        <v>66</v>
      </c>
      <c r="K5375" s="4">
        <v>0</v>
      </c>
      <c r="L5375" s="94">
        <v>633</v>
      </c>
      <c r="M5375" s="94">
        <v>0</v>
      </c>
    </row>
    <row r="5376" spans="3:13" x14ac:dyDescent="0.3">
      <c r="C5376" t="s">
        <v>61</v>
      </c>
      <c r="D5376" t="s">
        <v>67</v>
      </c>
      <c r="E5376" t="s">
        <v>63</v>
      </c>
      <c r="F5376" t="s">
        <v>25</v>
      </c>
      <c r="G5376" s="4">
        <v>6</v>
      </c>
      <c r="H5376" s="4" t="s">
        <v>12</v>
      </c>
      <c r="I5376" s="4" t="s">
        <v>69</v>
      </c>
      <c r="J5376" s="4" t="s">
        <v>66</v>
      </c>
      <c r="K5376" s="4">
        <v>1</v>
      </c>
      <c r="L5376" s="94">
        <v>-4732</v>
      </c>
      <c r="M5376" s="94">
        <v>0</v>
      </c>
    </row>
    <row r="5377" spans="3:13" x14ac:dyDescent="0.3">
      <c r="C5377" t="s">
        <v>61</v>
      </c>
      <c r="D5377" t="s">
        <v>67</v>
      </c>
      <c r="E5377" t="s">
        <v>68</v>
      </c>
      <c r="F5377" t="s">
        <v>26</v>
      </c>
      <c r="G5377" s="4">
        <v>4</v>
      </c>
      <c r="H5377" s="4" t="s">
        <v>13</v>
      </c>
      <c r="I5377" s="4" t="s">
        <v>69</v>
      </c>
      <c r="J5377" s="4" t="s">
        <v>73</v>
      </c>
      <c r="K5377" s="4">
        <v>1</v>
      </c>
      <c r="L5377" s="94">
        <v>1085520</v>
      </c>
      <c r="M5377" s="94">
        <v>4342080</v>
      </c>
    </row>
    <row r="5378" spans="3:13" x14ac:dyDescent="0.3">
      <c r="C5378" t="s">
        <v>71</v>
      </c>
      <c r="D5378" t="s">
        <v>67</v>
      </c>
      <c r="E5378" t="s">
        <v>63</v>
      </c>
      <c r="F5378" t="s">
        <v>26</v>
      </c>
      <c r="G5378" s="4">
        <v>1</v>
      </c>
      <c r="H5378" s="4" t="s">
        <v>82</v>
      </c>
      <c r="I5378" s="4" t="s">
        <v>65</v>
      </c>
      <c r="J5378" s="4" t="s">
        <v>66</v>
      </c>
      <c r="K5378" s="4">
        <v>1</v>
      </c>
      <c r="L5378" s="94">
        <v>-10578</v>
      </c>
      <c r="M5378" s="94">
        <v>0</v>
      </c>
    </row>
    <row r="5379" spans="3:13" x14ac:dyDescent="0.3">
      <c r="C5379" t="s">
        <v>61</v>
      </c>
      <c r="D5379" t="s">
        <v>62</v>
      </c>
      <c r="E5379" t="s">
        <v>63</v>
      </c>
      <c r="F5379" t="s">
        <v>24</v>
      </c>
      <c r="G5379" s="4">
        <v>43</v>
      </c>
      <c r="I5379" s="4" t="s">
        <v>69</v>
      </c>
      <c r="J5379" s="4" t="s">
        <v>66</v>
      </c>
      <c r="K5379" s="4">
        <v>1</v>
      </c>
      <c r="L5379" s="94">
        <v>-14</v>
      </c>
      <c r="M5379" s="94">
        <v>0</v>
      </c>
    </row>
    <row r="5380" spans="3:13" x14ac:dyDescent="0.3">
      <c r="C5380" t="s">
        <v>70</v>
      </c>
      <c r="D5380" t="s">
        <v>67</v>
      </c>
      <c r="E5380" t="s">
        <v>63</v>
      </c>
      <c r="F5380" t="s">
        <v>26</v>
      </c>
      <c r="G5380" s="4">
        <v>2</v>
      </c>
      <c r="H5380" s="4" t="s">
        <v>81</v>
      </c>
      <c r="I5380" s="4" t="s">
        <v>69</v>
      </c>
      <c r="J5380" s="4" t="s">
        <v>66</v>
      </c>
      <c r="K5380" s="4">
        <v>0</v>
      </c>
      <c r="L5380" s="94">
        <v>-1382</v>
      </c>
      <c r="M5380" s="94">
        <v>0</v>
      </c>
    </row>
    <row r="5381" spans="3:13" x14ac:dyDescent="0.3">
      <c r="C5381" t="s">
        <v>70</v>
      </c>
      <c r="D5381" t="s">
        <v>62</v>
      </c>
      <c r="E5381" t="s">
        <v>68</v>
      </c>
      <c r="F5381" t="s">
        <v>25</v>
      </c>
      <c r="G5381" s="4">
        <v>34</v>
      </c>
      <c r="I5381" s="4" t="s">
        <v>69</v>
      </c>
      <c r="J5381" s="4" t="s">
        <v>66</v>
      </c>
      <c r="K5381" s="4">
        <v>0</v>
      </c>
      <c r="L5381" s="94">
        <v>77759</v>
      </c>
      <c r="M5381" s="94">
        <v>2643806</v>
      </c>
    </row>
    <row r="5382" spans="3:13" x14ac:dyDescent="0.3">
      <c r="C5382" t="s">
        <v>70</v>
      </c>
      <c r="D5382" t="s">
        <v>67</v>
      </c>
      <c r="E5382" t="s">
        <v>68</v>
      </c>
      <c r="F5382" t="s">
        <v>26</v>
      </c>
      <c r="G5382" s="4">
        <v>0</v>
      </c>
      <c r="H5382" s="4" t="s">
        <v>76</v>
      </c>
      <c r="I5382" s="4" t="s">
        <v>69</v>
      </c>
      <c r="J5382" s="4" t="s">
        <v>66</v>
      </c>
      <c r="K5382" s="4">
        <v>0</v>
      </c>
      <c r="L5382" s="94">
        <v>793813</v>
      </c>
      <c r="M5382" s="94">
        <v>0</v>
      </c>
    </row>
    <row r="5383" spans="3:13" x14ac:dyDescent="0.3">
      <c r="C5383" t="s">
        <v>71</v>
      </c>
      <c r="D5383" t="s">
        <v>62</v>
      </c>
      <c r="E5383" t="s">
        <v>63</v>
      </c>
      <c r="F5383" t="s">
        <v>24</v>
      </c>
      <c r="G5383" s="4">
        <v>1</v>
      </c>
      <c r="I5383" s="4" t="s">
        <v>65</v>
      </c>
      <c r="J5383" s="4" t="s">
        <v>66</v>
      </c>
      <c r="K5383" s="4">
        <v>1</v>
      </c>
      <c r="L5383" s="94">
        <v>-855</v>
      </c>
      <c r="M5383" s="94">
        <v>0</v>
      </c>
    </row>
    <row r="5384" spans="3:13" x14ac:dyDescent="0.3">
      <c r="C5384" t="s">
        <v>70</v>
      </c>
      <c r="D5384" t="s">
        <v>67</v>
      </c>
      <c r="E5384" t="s">
        <v>68</v>
      </c>
      <c r="F5384" t="s">
        <v>25</v>
      </c>
      <c r="G5384" s="4">
        <v>2</v>
      </c>
      <c r="H5384" s="4" t="s">
        <v>14</v>
      </c>
      <c r="I5384" s="4" t="s">
        <v>69</v>
      </c>
      <c r="J5384" s="4" t="s">
        <v>66</v>
      </c>
      <c r="K5384" s="4">
        <v>1</v>
      </c>
      <c r="L5384" s="94">
        <v>134472</v>
      </c>
      <c r="M5384" s="94">
        <v>268944</v>
      </c>
    </row>
    <row r="5385" spans="3:13" x14ac:dyDescent="0.3">
      <c r="C5385" t="s">
        <v>61</v>
      </c>
      <c r="D5385" t="s">
        <v>67</v>
      </c>
      <c r="E5385" t="s">
        <v>63</v>
      </c>
      <c r="F5385" t="s">
        <v>72</v>
      </c>
      <c r="G5385" s="4">
        <v>0</v>
      </c>
      <c r="H5385" s="4" t="s">
        <v>83</v>
      </c>
      <c r="I5385" s="4" t="s">
        <v>69</v>
      </c>
      <c r="J5385" s="4" t="s">
        <v>66</v>
      </c>
      <c r="K5385" s="4">
        <v>0</v>
      </c>
      <c r="L5385" s="94">
        <v>-12</v>
      </c>
      <c r="M5385" s="94">
        <v>0</v>
      </c>
    </row>
    <row r="5386" spans="3:13" x14ac:dyDescent="0.3">
      <c r="C5386" t="s">
        <v>61</v>
      </c>
      <c r="D5386" t="s">
        <v>67</v>
      </c>
      <c r="E5386" t="s">
        <v>63</v>
      </c>
      <c r="F5386" t="s">
        <v>72</v>
      </c>
      <c r="G5386" s="4">
        <v>5</v>
      </c>
      <c r="H5386" s="4" t="s">
        <v>64</v>
      </c>
      <c r="I5386" s="4" t="s">
        <v>69</v>
      </c>
      <c r="J5386" s="4" t="s">
        <v>66</v>
      </c>
      <c r="K5386" s="4">
        <v>0</v>
      </c>
      <c r="L5386" s="94">
        <v>-16238</v>
      </c>
      <c r="M5386" s="94">
        <v>0</v>
      </c>
    </row>
    <row r="5387" spans="3:13" x14ac:dyDescent="0.3">
      <c r="C5387" t="s">
        <v>61</v>
      </c>
      <c r="D5387" t="s">
        <v>67</v>
      </c>
      <c r="E5387" t="s">
        <v>68</v>
      </c>
      <c r="F5387" t="s">
        <v>25</v>
      </c>
      <c r="G5387" s="4">
        <v>2</v>
      </c>
      <c r="H5387" s="4" t="s">
        <v>18</v>
      </c>
      <c r="I5387" s="4" t="s">
        <v>69</v>
      </c>
      <c r="J5387" s="4" t="s">
        <v>66</v>
      </c>
      <c r="K5387" s="4">
        <v>0</v>
      </c>
      <c r="L5387" s="94">
        <v>3707646</v>
      </c>
      <c r="M5387" s="94">
        <v>7415292</v>
      </c>
    </row>
    <row r="5388" spans="3:13" x14ac:dyDescent="0.3">
      <c r="C5388" t="s">
        <v>61</v>
      </c>
      <c r="D5388" t="s">
        <v>62</v>
      </c>
      <c r="E5388" t="s">
        <v>68</v>
      </c>
      <c r="F5388" t="s">
        <v>24</v>
      </c>
      <c r="G5388" s="4">
        <v>32</v>
      </c>
      <c r="I5388" s="4" t="s">
        <v>69</v>
      </c>
      <c r="J5388" s="4" t="s">
        <v>66</v>
      </c>
      <c r="K5388" s="4">
        <v>1</v>
      </c>
      <c r="L5388" s="94">
        <v>1708504</v>
      </c>
      <c r="M5388" s="94">
        <v>54672128</v>
      </c>
    </row>
    <row r="5389" spans="3:13" x14ac:dyDescent="0.3">
      <c r="C5389" t="s">
        <v>61</v>
      </c>
      <c r="D5389" t="s">
        <v>67</v>
      </c>
      <c r="E5389" t="s">
        <v>63</v>
      </c>
      <c r="F5389" t="s">
        <v>72</v>
      </c>
      <c r="G5389" s="4">
        <v>6</v>
      </c>
      <c r="H5389" s="4" t="s">
        <v>17</v>
      </c>
      <c r="I5389" s="4" t="s">
        <v>69</v>
      </c>
      <c r="J5389" s="4" t="s">
        <v>66</v>
      </c>
      <c r="K5389" s="4">
        <v>0</v>
      </c>
      <c r="L5389" s="94">
        <v>-2324</v>
      </c>
      <c r="M5389" s="94">
        <v>0</v>
      </c>
    </row>
    <row r="5390" spans="3:13" x14ac:dyDescent="0.3">
      <c r="C5390" t="s">
        <v>70</v>
      </c>
      <c r="D5390" t="s">
        <v>67</v>
      </c>
      <c r="E5390" t="s">
        <v>63</v>
      </c>
      <c r="F5390" t="s">
        <v>26</v>
      </c>
      <c r="G5390" s="4">
        <v>-1</v>
      </c>
      <c r="H5390" s="4" t="s">
        <v>80</v>
      </c>
      <c r="I5390" s="4" t="s">
        <v>69</v>
      </c>
      <c r="J5390" s="4" t="s">
        <v>66</v>
      </c>
      <c r="K5390" s="4">
        <v>0</v>
      </c>
      <c r="L5390" s="94">
        <v>-100550</v>
      </c>
      <c r="M5390" s="94">
        <v>0</v>
      </c>
    </row>
    <row r="5391" spans="3:13" x14ac:dyDescent="0.3">
      <c r="C5391" t="s">
        <v>61</v>
      </c>
      <c r="D5391" t="s">
        <v>67</v>
      </c>
      <c r="E5391" t="s">
        <v>63</v>
      </c>
      <c r="F5391" t="s">
        <v>25</v>
      </c>
      <c r="G5391" s="4">
        <v>10</v>
      </c>
      <c r="H5391" s="4" t="s">
        <v>79</v>
      </c>
      <c r="I5391" s="4" t="s">
        <v>69</v>
      </c>
      <c r="J5391" s="4" t="s">
        <v>66</v>
      </c>
      <c r="K5391" s="4">
        <v>0</v>
      </c>
      <c r="L5391" s="94">
        <v>-21467</v>
      </c>
      <c r="M5391" s="94">
        <v>0</v>
      </c>
    </row>
    <row r="5392" spans="3:13" x14ac:dyDescent="0.3">
      <c r="C5392" t="s">
        <v>71</v>
      </c>
      <c r="D5392" t="s">
        <v>67</v>
      </c>
      <c r="E5392" t="s">
        <v>63</v>
      </c>
      <c r="F5392" t="s">
        <v>26</v>
      </c>
      <c r="G5392" s="4">
        <v>5</v>
      </c>
      <c r="H5392" s="4" t="s">
        <v>16</v>
      </c>
      <c r="I5392" s="4" t="s">
        <v>69</v>
      </c>
      <c r="J5392" s="4" t="s">
        <v>66</v>
      </c>
      <c r="K5392" s="4">
        <v>0</v>
      </c>
      <c r="L5392" s="94">
        <v>-11390</v>
      </c>
      <c r="M5392" s="94">
        <v>0</v>
      </c>
    </row>
    <row r="5393" spans="3:13" x14ac:dyDescent="0.3">
      <c r="C5393" t="s">
        <v>61</v>
      </c>
      <c r="D5393" t="s">
        <v>67</v>
      </c>
      <c r="E5393" t="s">
        <v>63</v>
      </c>
      <c r="F5393" t="s">
        <v>25</v>
      </c>
      <c r="G5393" s="4">
        <v>9</v>
      </c>
      <c r="H5393" s="4" t="s">
        <v>76</v>
      </c>
      <c r="I5393" s="4" t="s">
        <v>65</v>
      </c>
      <c r="J5393" s="4" t="s">
        <v>66</v>
      </c>
      <c r="K5393" s="4">
        <v>1</v>
      </c>
      <c r="L5393" s="94">
        <v>-483</v>
      </c>
      <c r="M5393" s="94">
        <v>0</v>
      </c>
    </row>
    <row r="5394" spans="3:13" x14ac:dyDescent="0.3">
      <c r="C5394" t="s">
        <v>61</v>
      </c>
      <c r="D5394" t="s">
        <v>67</v>
      </c>
      <c r="E5394" t="s">
        <v>63</v>
      </c>
      <c r="F5394" t="s">
        <v>25</v>
      </c>
      <c r="G5394" s="4">
        <v>0</v>
      </c>
      <c r="H5394" s="4" t="s">
        <v>17</v>
      </c>
      <c r="I5394" s="4" t="s">
        <v>65</v>
      </c>
      <c r="J5394" s="4" t="s">
        <v>66</v>
      </c>
      <c r="K5394" s="4">
        <v>1</v>
      </c>
      <c r="L5394" s="94">
        <v>-52</v>
      </c>
      <c r="M5394" s="94">
        <v>0</v>
      </c>
    </row>
    <row r="5395" spans="3:13" x14ac:dyDescent="0.3">
      <c r="C5395" t="s">
        <v>71</v>
      </c>
      <c r="D5395" t="s">
        <v>67</v>
      </c>
      <c r="E5395" t="s">
        <v>68</v>
      </c>
      <c r="F5395" t="s">
        <v>26</v>
      </c>
      <c r="G5395" s="4">
        <v>-1</v>
      </c>
      <c r="H5395" s="4" t="s">
        <v>18</v>
      </c>
      <c r="I5395" s="4" t="s">
        <v>69</v>
      </c>
      <c r="J5395" s="4" t="s">
        <v>73</v>
      </c>
      <c r="K5395" s="4">
        <v>1</v>
      </c>
      <c r="L5395" s="94">
        <v>788936</v>
      </c>
      <c r="M5395" s="94">
        <v>0</v>
      </c>
    </row>
    <row r="5396" spans="3:13" x14ac:dyDescent="0.3">
      <c r="C5396" t="s">
        <v>61</v>
      </c>
      <c r="D5396" t="s">
        <v>67</v>
      </c>
      <c r="E5396" t="s">
        <v>63</v>
      </c>
      <c r="F5396" t="s">
        <v>25</v>
      </c>
      <c r="G5396" s="4">
        <v>13</v>
      </c>
      <c r="H5396" s="4" t="s">
        <v>64</v>
      </c>
      <c r="I5396" s="4" t="s">
        <v>69</v>
      </c>
      <c r="J5396" s="4" t="s">
        <v>66</v>
      </c>
      <c r="K5396" s="4">
        <v>0</v>
      </c>
      <c r="L5396" s="94">
        <v>-3923</v>
      </c>
      <c r="M5396" s="94">
        <v>0</v>
      </c>
    </row>
    <row r="5397" spans="3:13" x14ac:dyDescent="0.3">
      <c r="C5397" t="s">
        <v>61</v>
      </c>
      <c r="D5397" t="s">
        <v>67</v>
      </c>
      <c r="E5397" t="s">
        <v>68</v>
      </c>
      <c r="F5397" t="s">
        <v>25</v>
      </c>
      <c r="G5397" s="4">
        <v>5</v>
      </c>
      <c r="H5397" s="4" t="s">
        <v>14</v>
      </c>
      <c r="I5397" s="4" t="s">
        <v>69</v>
      </c>
      <c r="J5397" s="4" t="s">
        <v>73</v>
      </c>
      <c r="K5397" s="4">
        <v>1</v>
      </c>
      <c r="L5397" s="94">
        <v>88365</v>
      </c>
      <c r="M5397" s="94">
        <v>441825</v>
      </c>
    </row>
    <row r="5398" spans="3:13" x14ac:dyDescent="0.3">
      <c r="C5398" t="s">
        <v>70</v>
      </c>
      <c r="D5398" t="s">
        <v>67</v>
      </c>
      <c r="E5398" t="s">
        <v>63</v>
      </c>
      <c r="F5398" t="s">
        <v>26</v>
      </c>
      <c r="G5398" s="4">
        <v>1</v>
      </c>
      <c r="H5398" s="4" t="s">
        <v>18</v>
      </c>
      <c r="I5398" s="4" t="s">
        <v>69</v>
      </c>
      <c r="J5398" s="4" t="s">
        <v>66</v>
      </c>
      <c r="K5398" s="4">
        <v>0</v>
      </c>
      <c r="L5398" s="94">
        <v>-638518</v>
      </c>
      <c r="M5398" s="94">
        <v>0</v>
      </c>
    </row>
    <row r="5399" spans="3:13" x14ac:dyDescent="0.3">
      <c r="C5399" t="s">
        <v>70</v>
      </c>
      <c r="D5399" t="s">
        <v>67</v>
      </c>
      <c r="E5399" t="s">
        <v>63</v>
      </c>
      <c r="F5399" t="s">
        <v>25</v>
      </c>
      <c r="G5399" s="4">
        <v>7</v>
      </c>
      <c r="H5399" s="4" t="s">
        <v>18</v>
      </c>
      <c r="I5399" s="4" t="s">
        <v>69</v>
      </c>
      <c r="J5399" s="4" t="s">
        <v>66</v>
      </c>
      <c r="K5399" s="4">
        <v>0</v>
      </c>
      <c r="L5399" s="94">
        <v>-118215</v>
      </c>
      <c r="M5399" s="94">
        <v>0</v>
      </c>
    </row>
    <row r="5400" spans="3:13" x14ac:dyDescent="0.3">
      <c r="C5400" t="s">
        <v>61</v>
      </c>
      <c r="D5400" t="s">
        <v>67</v>
      </c>
      <c r="E5400" t="s">
        <v>68</v>
      </c>
      <c r="F5400" t="s">
        <v>26</v>
      </c>
      <c r="G5400" s="4">
        <v>-4</v>
      </c>
      <c r="H5400" s="4" t="s">
        <v>14</v>
      </c>
      <c r="I5400" s="4" t="s">
        <v>69</v>
      </c>
      <c r="J5400" s="4" t="s">
        <v>66</v>
      </c>
      <c r="K5400" s="4">
        <v>0</v>
      </c>
      <c r="L5400" s="94">
        <v>346829</v>
      </c>
      <c r="M5400" s="94">
        <v>0</v>
      </c>
    </row>
    <row r="5401" spans="3:13" x14ac:dyDescent="0.3">
      <c r="C5401" t="s">
        <v>61</v>
      </c>
      <c r="D5401" t="s">
        <v>67</v>
      </c>
      <c r="E5401" t="s">
        <v>68</v>
      </c>
      <c r="F5401" t="s">
        <v>72</v>
      </c>
      <c r="G5401" s="4">
        <v>-1</v>
      </c>
      <c r="H5401" s="4" t="s">
        <v>79</v>
      </c>
      <c r="I5401" s="4" t="s">
        <v>69</v>
      </c>
      <c r="J5401" s="4" t="s">
        <v>66</v>
      </c>
      <c r="K5401" s="4">
        <v>0</v>
      </c>
      <c r="L5401" s="94">
        <v>446508</v>
      </c>
      <c r="M5401" s="94">
        <v>0</v>
      </c>
    </row>
    <row r="5402" spans="3:13" x14ac:dyDescent="0.3">
      <c r="C5402" t="s">
        <v>61</v>
      </c>
      <c r="D5402" t="s">
        <v>67</v>
      </c>
      <c r="E5402" t="s">
        <v>68</v>
      </c>
      <c r="F5402" t="s">
        <v>25</v>
      </c>
      <c r="G5402" s="4">
        <v>4</v>
      </c>
      <c r="H5402" s="4" t="s">
        <v>14</v>
      </c>
      <c r="I5402" s="4" t="s">
        <v>69</v>
      </c>
      <c r="J5402" s="4" t="s">
        <v>66</v>
      </c>
      <c r="K5402" s="4">
        <v>0</v>
      </c>
      <c r="L5402" s="94">
        <v>2545313</v>
      </c>
      <c r="M5402" s="94">
        <v>10181252</v>
      </c>
    </row>
    <row r="5403" spans="3:13" x14ac:dyDescent="0.3">
      <c r="C5403" t="s">
        <v>61</v>
      </c>
      <c r="D5403" t="s">
        <v>62</v>
      </c>
      <c r="E5403" t="s">
        <v>68</v>
      </c>
      <c r="F5403" t="s">
        <v>24</v>
      </c>
      <c r="G5403" s="4">
        <v>22</v>
      </c>
      <c r="I5403" s="4" t="s">
        <v>69</v>
      </c>
      <c r="J5403" s="4" t="s">
        <v>66</v>
      </c>
      <c r="K5403" s="4">
        <v>0</v>
      </c>
      <c r="L5403" s="94">
        <v>750343761</v>
      </c>
      <c r="M5403" s="94">
        <v>16507562742</v>
      </c>
    </row>
    <row r="5404" spans="3:13" x14ac:dyDescent="0.3">
      <c r="C5404" t="s">
        <v>70</v>
      </c>
      <c r="D5404" t="s">
        <v>67</v>
      </c>
      <c r="E5404" t="s">
        <v>63</v>
      </c>
      <c r="F5404" t="s">
        <v>72</v>
      </c>
      <c r="G5404" s="4">
        <v>5</v>
      </c>
      <c r="H5404" s="4" t="s">
        <v>78</v>
      </c>
      <c r="I5404" s="4" t="s">
        <v>69</v>
      </c>
      <c r="J5404" s="4" t="s">
        <v>66</v>
      </c>
      <c r="K5404" s="4">
        <v>0</v>
      </c>
      <c r="L5404" s="94">
        <v>-4748</v>
      </c>
      <c r="M5404" s="94">
        <v>0</v>
      </c>
    </row>
    <row r="5405" spans="3:13" x14ac:dyDescent="0.3">
      <c r="C5405" t="s">
        <v>61</v>
      </c>
      <c r="D5405" t="s">
        <v>67</v>
      </c>
      <c r="E5405" t="s">
        <v>68</v>
      </c>
      <c r="F5405" t="s">
        <v>26</v>
      </c>
      <c r="G5405" s="4">
        <v>1</v>
      </c>
      <c r="H5405" s="4" t="s">
        <v>75</v>
      </c>
      <c r="I5405" s="4" t="s">
        <v>69</v>
      </c>
      <c r="J5405" s="4" t="s">
        <v>66</v>
      </c>
      <c r="K5405" s="4">
        <v>0</v>
      </c>
      <c r="L5405" s="94">
        <v>10931536</v>
      </c>
      <c r="M5405" s="94">
        <v>10931536</v>
      </c>
    </row>
    <row r="5406" spans="3:13" x14ac:dyDescent="0.3">
      <c r="C5406" t="s">
        <v>70</v>
      </c>
      <c r="D5406" t="s">
        <v>67</v>
      </c>
      <c r="E5406" t="s">
        <v>68</v>
      </c>
      <c r="F5406" t="s">
        <v>25</v>
      </c>
      <c r="G5406" s="4">
        <v>-4</v>
      </c>
      <c r="H5406" s="4" t="s">
        <v>17</v>
      </c>
      <c r="I5406" s="4" t="s">
        <v>69</v>
      </c>
      <c r="J5406" s="4" t="s">
        <v>66</v>
      </c>
      <c r="K5406" s="4">
        <v>1</v>
      </c>
      <c r="L5406" s="94">
        <v>88</v>
      </c>
      <c r="M5406" s="94">
        <v>0</v>
      </c>
    </row>
    <row r="5407" spans="3:13" x14ac:dyDescent="0.3">
      <c r="C5407" t="s">
        <v>70</v>
      </c>
      <c r="D5407" t="s">
        <v>67</v>
      </c>
      <c r="E5407" t="s">
        <v>63</v>
      </c>
      <c r="F5407" t="s">
        <v>72</v>
      </c>
      <c r="G5407" s="4">
        <v>7</v>
      </c>
      <c r="H5407" s="4" t="s">
        <v>82</v>
      </c>
      <c r="I5407" s="4" t="s">
        <v>69</v>
      </c>
      <c r="J5407" s="4" t="s">
        <v>66</v>
      </c>
      <c r="K5407" s="4">
        <v>0</v>
      </c>
      <c r="L5407" s="94">
        <v>-53290</v>
      </c>
      <c r="M5407" s="94">
        <v>0</v>
      </c>
    </row>
    <row r="5408" spans="3:13" x14ac:dyDescent="0.3">
      <c r="C5408" t="s">
        <v>70</v>
      </c>
      <c r="D5408" t="s">
        <v>67</v>
      </c>
      <c r="E5408" t="s">
        <v>68</v>
      </c>
      <c r="F5408" t="s">
        <v>26</v>
      </c>
      <c r="G5408" s="4">
        <v>4</v>
      </c>
      <c r="H5408" s="4" t="s">
        <v>79</v>
      </c>
      <c r="I5408" s="4" t="s">
        <v>69</v>
      </c>
      <c r="J5408" s="4" t="s">
        <v>66</v>
      </c>
      <c r="K5408" s="4">
        <v>0</v>
      </c>
      <c r="L5408" s="94">
        <v>1181353</v>
      </c>
      <c r="M5408" s="94">
        <v>4725412</v>
      </c>
    </row>
    <row r="5409" spans="3:13" x14ac:dyDescent="0.3">
      <c r="C5409" t="s">
        <v>71</v>
      </c>
      <c r="D5409" t="s">
        <v>62</v>
      </c>
      <c r="E5409" t="s">
        <v>68</v>
      </c>
      <c r="F5409" t="s">
        <v>25</v>
      </c>
      <c r="G5409" s="4">
        <v>19</v>
      </c>
      <c r="I5409" s="4" t="s">
        <v>69</v>
      </c>
      <c r="J5409" s="4" t="s">
        <v>66</v>
      </c>
      <c r="K5409" s="4">
        <v>0</v>
      </c>
      <c r="L5409" s="94">
        <v>178976</v>
      </c>
      <c r="M5409" s="94">
        <v>3400544</v>
      </c>
    </row>
    <row r="5410" spans="3:13" x14ac:dyDescent="0.3">
      <c r="C5410" t="s">
        <v>61</v>
      </c>
      <c r="D5410" t="s">
        <v>67</v>
      </c>
      <c r="E5410" t="s">
        <v>68</v>
      </c>
      <c r="F5410" t="s">
        <v>26</v>
      </c>
      <c r="G5410" s="4">
        <v>2</v>
      </c>
      <c r="H5410" s="4" t="s">
        <v>18</v>
      </c>
      <c r="I5410" s="4" t="s">
        <v>69</v>
      </c>
      <c r="J5410" s="4" t="s">
        <v>73</v>
      </c>
      <c r="K5410" s="4">
        <v>1</v>
      </c>
      <c r="L5410" s="94">
        <v>5558200</v>
      </c>
      <c r="M5410" s="94">
        <v>11116400</v>
      </c>
    </row>
    <row r="5411" spans="3:13" x14ac:dyDescent="0.3">
      <c r="C5411" t="s">
        <v>70</v>
      </c>
      <c r="D5411" t="s">
        <v>67</v>
      </c>
      <c r="E5411" t="s">
        <v>68</v>
      </c>
      <c r="F5411" t="s">
        <v>26</v>
      </c>
      <c r="G5411" s="4">
        <v>6</v>
      </c>
      <c r="H5411" s="4" t="s">
        <v>18</v>
      </c>
      <c r="I5411" s="4" t="s">
        <v>69</v>
      </c>
      <c r="J5411" s="4" t="s">
        <v>66</v>
      </c>
      <c r="K5411" s="4">
        <v>0</v>
      </c>
      <c r="L5411" s="94">
        <v>3674592</v>
      </c>
      <c r="M5411" s="94">
        <v>22047552</v>
      </c>
    </row>
    <row r="5412" spans="3:13" x14ac:dyDescent="0.3">
      <c r="C5412" t="s">
        <v>71</v>
      </c>
      <c r="D5412" t="s">
        <v>62</v>
      </c>
      <c r="E5412" t="s">
        <v>63</v>
      </c>
      <c r="F5412" t="s">
        <v>24</v>
      </c>
      <c r="G5412" s="4">
        <v>37</v>
      </c>
      <c r="I5412" s="4" t="s">
        <v>65</v>
      </c>
      <c r="J5412" s="4" t="s">
        <v>66</v>
      </c>
      <c r="K5412" s="4">
        <v>1</v>
      </c>
      <c r="L5412" s="94">
        <v>-108020</v>
      </c>
      <c r="M5412" s="94">
        <v>0</v>
      </c>
    </row>
    <row r="5413" spans="3:13" x14ac:dyDescent="0.3">
      <c r="C5413" t="s">
        <v>61</v>
      </c>
      <c r="D5413" t="s">
        <v>67</v>
      </c>
      <c r="E5413" t="s">
        <v>68</v>
      </c>
      <c r="F5413" t="s">
        <v>25</v>
      </c>
      <c r="G5413" s="4">
        <v>0</v>
      </c>
      <c r="H5413" s="4" t="s">
        <v>64</v>
      </c>
      <c r="I5413" s="4" t="s">
        <v>69</v>
      </c>
      <c r="J5413" s="4" t="s">
        <v>66</v>
      </c>
      <c r="K5413" s="4">
        <v>0</v>
      </c>
      <c r="L5413" s="94">
        <v>89755</v>
      </c>
      <c r="M5413" s="94">
        <v>0</v>
      </c>
    </row>
    <row r="5414" spans="3:13" x14ac:dyDescent="0.3">
      <c r="C5414" t="s">
        <v>70</v>
      </c>
      <c r="D5414" t="s">
        <v>67</v>
      </c>
      <c r="E5414" t="s">
        <v>68</v>
      </c>
      <c r="F5414" t="s">
        <v>25</v>
      </c>
      <c r="G5414" s="4">
        <v>15</v>
      </c>
      <c r="H5414" s="4" t="s">
        <v>80</v>
      </c>
      <c r="I5414" s="4" t="s">
        <v>69</v>
      </c>
      <c r="J5414" s="4" t="s">
        <v>66</v>
      </c>
      <c r="K5414" s="4">
        <v>0</v>
      </c>
      <c r="L5414" s="94">
        <v>836149</v>
      </c>
      <c r="M5414" s="94">
        <v>12542235</v>
      </c>
    </row>
    <row r="5415" spans="3:13" x14ac:dyDescent="0.3">
      <c r="C5415" t="s">
        <v>71</v>
      </c>
      <c r="D5415" t="s">
        <v>67</v>
      </c>
      <c r="E5415" t="s">
        <v>68</v>
      </c>
      <c r="F5415" t="s">
        <v>26</v>
      </c>
      <c r="G5415" s="4">
        <v>-4</v>
      </c>
      <c r="H5415" s="4" t="s">
        <v>76</v>
      </c>
      <c r="I5415" s="4" t="s">
        <v>69</v>
      </c>
      <c r="J5415" s="4" t="s">
        <v>66</v>
      </c>
      <c r="K5415" s="4">
        <v>0</v>
      </c>
      <c r="L5415" s="94">
        <v>492637</v>
      </c>
      <c r="M5415" s="94">
        <v>0</v>
      </c>
    </row>
    <row r="5416" spans="3:13" x14ac:dyDescent="0.3">
      <c r="C5416" t="s">
        <v>61</v>
      </c>
      <c r="D5416" t="s">
        <v>62</v>
      </c>
      <c r="E5416" t="s">
        <v>63</v>
      </c>
      <c r="F5416" t="s">
        <v>25</v>
      </c>
      <c r="G5416" s="4">
        <v>14</v>
      </c>
      <c r="I5416" s="4" t="s">
        <v>69</v>
      </c>
      <c r="J5416" s="4" t="s">
        <v>66</v>
      </c>
      <c r="K5416" s="4">
        <v>0</v>
      </c>
      <c r="L5416" s="94">
        <v>-2512</v>
      </c>
      <c r="M5416" s="94">
        <v>0</v>
      </c>
    </row>
    <row r="5417" spans="3:13" x14ac:dyDescent="0.3">
      <c r="C5417" t="s">
        <v>71</v>
      </c>
      <c r="D5417" t="s">
        <v>67</v>
      </c>
      <c r="E5417" t="s">
        <v>63</v>
      </c>
      <c r="F5417" t="s">
        <v>25</v>
      </c>
      <c r="G5417" s="4">
        <v>9</v>
      </c>
      <c r="H5417" s="4" t="s">
        <v>18</v>
      </c>
      <c r="I5417" s="4" t="s">
        <v>69</v>
      </c>
      <c r="J5417" s="4" t="s">
        <v>66</v>
      </c>
      <c r="K5417" s="4">
        <v>0</v>
      </c>
      <c r="L5417" s="94">
        <v>-696272</v>
      </c>
      <c r="M5417" s="94">
        <v>0</v>
      </c>
    </row>
    <row r="5418" spans="3:13" x14ac:dyDescent="0.3">
      <c r="C5418" t="s">
        <v>70</v>
      </c>
      <c r="D5418" t="s">
        <v>62</v>
      </c>
      <c r="E5418" t="s">
        <v>68</v>
      </c>
      <c r="F5418" t="s">
        <v>24</v>
      </c>
      <c r="G5418" s="4">
        <v>34</v>
      </c>
      <c r="I5418" s="4" t="s">
        <v>69</v>
      </c>
      <c r="J5418" s="4" t="s">
        <v>66</v>
      </c>
      <c r="K5418" s="4">
        <v>1</v>
      </c>
      <c r="L5418" s="94">
        <v>238948</v>
      </c>
      <c r="M5418" s="94">
        <v>8124232</v>
      </c>
    </row>
    <row r="5419" spans="3:13" x14ac:dyDescent="0.3">
      <c r="C5419" t="s">
        <v>61</v>
      </c>
      <c r="D5419" t="s">
        <v>67</v>
      </c>
      <c r="E5419" t="s">
        <v>63</v>
      </c>
      <c r="F5419" t="s">
        <v>25</v>
      </c>
      <c r="G5419" s="4">
        <v>-1</v>
      </c>
      <c r="H5419" s="4" t="s">
        <v>14</v>
      </c>
      <c r="I5419" s="4" t="s">
        <v>69</v>
      </c>
      <c r="J5419" s="4" t="s">
        <v>66</v>
      </c>
      <c r="K5419" s="4">
        <v>1</v>
      </c>
      <c r="L5419" s="94">
        <v>-10376</v>
      </c>
      <c r="M5419" s="94">
        <v>0</v>
      </c>
    </row>
    <row r="5420" spans="3:13" x14ac:dyDescent="0.3">
      <c r="C5420" t="s">
        <v>61</v>
      </c>
      <c r="D5420" t="s">
        <v>67</v>
      </c>
      <c r="E5420" t="s">
        <v>63</v>
      </c>
      <c r="F5420" t="s">
        <v>72</v>
      </c>
      <c r="G5420" s="4">
        <v>-1</v>
      </c>
      <c r="H5420" s="4" t="s">
        <v>13</v>
      </c>
      <c r="I5420" s="4" t="s">
        <v>69</v>
      </c>
      <c r="J5420" s="4" t="s">
        <v>73</v>
      </c>
      <c r="K5420" s="4">
        <v>1</v>
      </c>
      <c r="L5420" s="94">
        <v>-1</v>
      </c>
      <c r="M5420" s="94">
        <v>0</v>
      </c>
    </row>
    <row r="5421" spans="3:13" x14ac:dyDescent="0.3">
      <c r="C5421" t="s">
        <v>70</v>
      </c>
      <c r="D5421" t="s">
        <v>67</v>
      </c>
      <c r="E5421" t="s">
        <v>68</v>
      </c>
      <c r="F5421" t="s">
        <v>26</v>
      </c>
      <c r="G5421" s="4">
        <v>8</v>
      </c>
      <c r="H5421" s="4" t="s">
        <v>77</v>
      </c>
      <c r="I5421" s="4" t="s">
        <v>69</v>
      </c>
      <c r="J5421" s="4" t="s">
        <v>66</v>
      </c>
      <c r="K5421" s="4">
        <v>0</v>
      </c>
      <c r="L5421" s="94">
        <v>32865</v>
      </c>
      <c r="M5421" s="94">
        <v>262920</v>
      </c>
    </row>
    <row r="5422" spans="3:13" x14ac:dyDescent="0.3">
      <c r="C5422" t="s">
        <v>70</v>
      </c>
      <c r="D5422" t="s">
        <v>67</v>
      </c>
      <c r="E5422" t="s">
        <v>68</v>
      </c>
      <c r="F5422" t="s">
        <v>26</v>
      </c>
      <c r="G5422" s="4">
        <v>5</v>
      </c>
      <c r="H5422" s="4" t="s">
        <v>83</v>
      </c>
      <c r="I5422" s="4" t="s">
        <v>69</v>
      </c>
      <c r="J5422" s="4" t="s">
        <v>66</v>
      </c>
      <c r="K5422" s="4">
        <v>0</v>
      </c>
      <c r="L5422" s="94">
        <v>112431</v>
      </c>
      <c r="M5422" s="94">
        <v>562155</v>
      </c>
    </row>
    <row r="5423" spans="3:13" x14ac:dyDescent="0.3">
      <c r="C5423" t="s">
        <v>61</v>
      </c>
      <c r="D5423" t="s">
        <v>67</v>
      </c>
      <c r="E5423" t="s">
        <v>68</v>
      </c>
      <c r="F5423" t="s">
        <v>25</v>
      </c>
      <c r="G5423" s="4">
        <v>11</v>
      </c>
      <c r="H5423" s="4" t="s">
        <v>77</v>
      </c>
      <c r="I5423" s="4" t="s">
        <v>69</v>
      </c>
      <c r="J5423" s="4" t="s">
        <v>66</v>
      </c>
      <c r="K5423" s="4">
        <v>0</v>
      </c>
      <c r="L5423" s="94">
        <v>581053</v>
      </c>
      <c r="M5423" s="94">
        <v>6391583</v>
      </c>
    </row>
    <row r="5424" spans="3:13" x14ac:dyDescent="0.3">
      <c r="C5424" t="s">
        <v>61</v>
      </c>
      <c r="D5424" t="s">
        <v>67</v>
      </c>
      <c r="E5424" t="s">
        <v>68</v>
      </c>
      <c r="F5424" t="s">
        <v>72</v>
      </c>
      <c r="G5424" s="4">
        <v>3</v>
      </c>
      <c r="H5424" s="4" t="s">
        <v>18</v>
      </c>
      <c r="I5424" s="4" t="s">
        <v>65</v>
      </c>
      <c r="J5424" s="4" t="s">
        <v>66</v>
      </c>
      <c r="K5424" s="4">
        <v>1</v>
      </c>
      <c r="L5424" s="94">
        <v>48072</v>
      </c>
      <c r="M5424" s="94">
        <v>144216</v>
      </c>
    </row>
    <row r="5425" spans="3:13" x14ac:dyDescent="0.3">
      <c r="C5425" t="s">
        <v>71</v>
      </c>
      <c r="D5425" t="s">
        <v>62</v>
      </c>
      <c r="E5425" t="s">
        <v>68</v>
      </c>
      <c r="F5425" t="s">
        <v>24</v>
      </c>
      <c r="G5425" s="4">
        <v>6</v>
      </c>
      <c r="I5425" s="4" t="s">
        <v>65</v>
      </c>
      <c r="J5425" s="4" t="s">
        <v>66</v>
      </c>
      <c r="K5425" s="4">
        <v>1</v>
      </c>
      <c r="L5425" s="94">
        <v>68312</v>
      </c>
      <c r="M5425" s="94">
        <v>409872</v>
      </c>
    </row>
    <row r="5426" spans="3:13" x14ac:dyDescent="0.3">
      <c r="C5426" t="s">
        <v>70</v>
      </c>
      <c r="D5426" t="s">
        <v>67</v>
      </c>
      <c r="E5426" t="s">
        <v>68</v>
      </c>
      <c r="F5426" t="s">
        <v>72</v>
      </c>
      <c r="G5426" s="4">
        <v>5</v>
      </c>
      <c r="H5426" s="4" t="s">
        <v>75</v>
      </c>
      <c r="I5426" s="4" t="s">
        <v>69</v>
      </c>
      <c r="J5426" s="4" t="s">
        <v>66</v>
      </c>
      <c r="K5426" s="4">
        <v>0</v>
      </c>
      <c r="L5426" s="94">
        <v>428472</v>
      </c>
      <c r="M5426" s="94">
        <v>2142360</v>
      </c>
    </row>
    <row r="5427" spans="3:13" x14ac:dyDescent="0.3">
      <c r="C5427" t="s">
        <v>70</v>
      </c>
      <c r="D5427" t="s">
        <v>67</v>
      </c>
      <c r="E5427" t="s">
        <v>68</v>
      </c>
      <c r="F5427" t="s">
        <v>25</v>
      </c>
      <c r="G5427" s="4">
        <v>10</v>
      </c>
      <c r="H5427" s="4" t="s">
        <v>18</v>
      </c>
      <c r="I5427" s="4" t="s">
        <v>69</v>
      </c>
      <c r="J5427" s="4" t="s">
        <v>66</v>
      </c>
      <c r="K5427" s="4">
        <v>0</v>
      </c>
      <c r="L5427" s="94">
        <v>1262531</v>
      </c>
      <c r="M5427" s="94">
        <v>12625310</v>
      </c>
    </row>
    <row r="5428" spans="3:13" x14ac:dyDescent="0.3">
      <c r="C5428" t="s">
        <v>61</v>
      </c>
      <c r="D5428" t="s">
        <v>67</v>
      </c>
      <c r="E5428" t="s">
        <v>68</v>
      </c>
      <c r="F5428" t="s">
        <v>25</v>
      </c>
      <c r="G5428" s="4">
        <v>10</v>
      </c>
      <c r="H5428" s="4" t="s">
        <v>14</v>
      </c>
      <c r="I5428" s="4" t="s">
        <v>69</v>
      </c>
      <c r="J5428" s="4" t="s">
        <v>66</v>
      </c>
      <c r="K5428" s="4">
        <v>1</v>
      </c>
      <c r="L5428" s="94">
        <v>5035839</v>
      </c>
      <c r="M5428" s="94">
        <v>50358390</v>
      </c>
    </row>
    <row r="5429" spans="3:13" x14ac:dyDescent="0.3">
      <c r="C5429" t="s">
        <v>61</v>
      </c>
      <c r="D5429" t="s">
        <v>67</v>
      </c>
      <c r="E5429" t="s">
        <v>68</v>
      </c>
      <c r="F5429" t="s">
        <v>25</v>
      </c>
      <c r="G5429" s="4">
        <v>17</v>
      </c>
      <c r="H5429" s="4" t="s">
        <v>76</v>
      </c>
      <c r="I5429" s="4" t="s">
        <v>69</v>
      </c>
      <c r="J5429" s="4" t="s">
        <v>66</v>
      </c>
      <c r="K5429" s="4">
        <v>0</v>
      </c>
      <c r="L5429" s="94">
        <v>8381732</v>
      </c>
      <c r="M5429" s="94">
        <v>142489444</v>
      </c>
    </row>
    <row r="5430" spans="3:13" x14ac:dyDescent="0.3">
      <c r="C5430" t="s">
        <v>61</v>
      </c>
      <c r="D5430" t="s">
        <v>67</v>
      </c>
      <c r="E5430" t="s">
        <v>68</v>
      </c>
      <c r="F5430" t="s">
        <v>72</v>
      </c>
      <c r="G5430" s="4">
        <v>0</v>
      </c>
      <c r="H5430" s="4" t="s">
        <v>12</v>
      </c>
      <c r="I5430" s="4" t="s">
        <v>69</v>
      </c>
      <c r="J5430" s="4" t="s">
        <v>73</v>
      </c>
      <c r="K5430" s="4">
        <v>1</v>
      </c>
      <c r="L5430" s="94">
        <v>58093</v>
      </c>
      <c r="M5430" s="94">
        <v>0</v>
      </c>
    </row>
    <row r="5431" spans="3:13" x14ac:dyDescent="0.3">
      <c r="C5431" t="s">
        <v>71</v>
      </c>
      <c r="D5431" t="s">
        <v>67</v>
      </c>
      <c r="E5431" t="s">
        <v>63</v>
      </c>
      <c r="F5431" t="s">
        <v>72</v>
      </c>
      <c r="G5431" s="4">
        <v>1</v>
      </c>
      <c r="H5431" s="4" t="s">
        <v>12</v>
      </c>
      <c r="I5431" s="4" t="s">
        <v>65</v>
      </c>
      <c r="J5431" s="4" t="s">
        <v>73</v>
      </c>
      <c r="K5431" s="4">
        <v>1</v>
      </c>
      <c r="L5431" s="94">
        <v>-11428</v>
      </c>
      <c r="M5431" s="94">
        <v>0</v>
      </c>
    </row>
    <row r="5432" spans="3:13" x14ac:dyDescent="0.3">
      <c r="C5432" t="s">
        <v>61</v>
      </c>
      <c r="D5432" t="s">
        <v>67</v>
      </c>
      <c r="E5432" t="s">
        <v>68</v>
      </c>
      <c r="F5432" t="s">
        <v>25</v>
      </c>
      <c r="G5432" s="4">
        <v>18</v>
      </c>
      <c r="H5432" s="4" t="s">
        <v>64</v>
      </c>
      <c r="I5432" s="4" t="s">
        <v>69</v>
      </c>
      <c r="J5432" s="4" t="s">
        <v>66</v>
      </c>
      <c r="K5432" s="4">
        <v>0</v>
      </c>
      <c r="L5432" s="94">
        <v>311485</v>
      </c>
      <c r="M5432" s="94">
        <v>5606730</v>
      </c>
    </row>
    <row r="5433" spans="3:13" x14ac:dyDescent="0.3">
      <c r="C5433" t="s">
        <v>71</v>
      </c>
      <c r="D5433" t="s">
        <v>62</v>
      </c>
      <c r="E5433" t="s">
        <v>68</v>
      </c>
      <c r="F5433" t="s">
        <v>24</v>
      </c>
      <c r="G5433" s="4">
        <v>43</v>
      </c>
      <c r="I5433" s="4" t="s">
        <v>69</v>
      </c>
      <c r="J5433" s="4" t="s">
        <v>66</v>
      </c>
      <c r="K5433" s="4">
        <v>0</v>
      </c>
      <c r="L5433" s="94">
        <v>389575</v>
      </c>
      <c r="M5433" s="94">
        <v>16751725</v>
      </c>
    </row>
    <row r="5434" spans="3:13" x14ac:dyDescent="0.3">
      <c r="C5434" t="s">
        <v>70</v>
      </c>
      <c r="D5434" t="s">
        <v>67</v>
      </c>
      <c r="E5434" t="s">
        <v>63</v>
      </c>
      <c r="F5434" t="s">
        <v>26</v>
      </c>
      <c r="G5434" s="4">
        <v>-4</v>
      </c>
      <c r="H5434" s="4" t="s">
        <v>64</v>
      </c>
      <c r="I5434" s="4" t="s">
        <v>69</v>
      </c>
      <c r="J5434" s="4" t="s">
        <v>66</v>
      </c>
      <c r="K5434" s="4">
        <v>0</v>
      </c>
      <c r="L5434" s="94">
        <v>-1030</v>
      </c>
      <c r="M5434" s="94">
        <v>0</v>
      </c>
    </row>
    <row r="5435" spans="3:13" x14ac:dyDescent="0.3">
      <c r="C5435" t="s">
        <v>70</v>
      </c>
      <c r="D5435" t="s">
        <v>67</v>
      </c>
      <c r="E5435" t="s">
        <v>63</v>
      </c>
      <c r="F5435" t="s">
        <v>25</v>
      </c>
      <c r="G5435" s="4">
        <v>13</v>
      </c>
      <c r="H5435" s="4" t="s">
        <v>79</v>
      </c>
      <c r="I5435" s="4" t="s">
        <v>69</v>
      </c>
      <c r="J5435" s="4" t="s">
        <v>66</v>
      </c>
      <c r="K5435" s="4">
        <v>0</v>
      </c>
      <c r="L5435" s="94">
        <v>-9985</v>
      </c>
      <c r="M5435" s="94">
        <v>0</v>
      </c>
    </row>
    <row r="5436" spans="3:13" x14ac:dyDescent="0.3">
      <c r="C5436" t="s">
        <v>61</v>
      </c>
      <c r="D5436" t="s">
        <v>67</v>
      </c>
      <c r="E5436" t="s">
        <v>63</v>
      </c>
      <c r="F5436" t="s">
        <v>26</v>
      </c>
      <c r="G5436" s="4">
        <v>2</v>
      </c>
      <c r="H5436" s="4" t="s">
        <v>17</v>
      </c>
      <c r="I5436" s="4" t="s">
        <v>65</v>
      </c>
      <c r="J5436" s="4" t="s">
        <v>66</v>
      </c>
      <c r="K5436" s="4">
        <v>1</v>
      </c>
      <c r="L5436" s="94">
        <v>-336</v>
      </c>
      <c r="M5436" s="94">
        <v>0</v>
      </c>
    </row>
    <row r="5437" spans="3:13" x14ac:dyDescent="0.3">
      <c r="C5437" t="s">
        <v>70</v>
      </c>
      <c r="D5437" t="s">
        <v>67</v>
      </c>
      <c r="E5437" t="s">
        <v>63</v>
      </c>
      <c r="F5437" t="s">
        <v>72</v>
      </c>
      <c r="G5437" s="4">
        <v>-4</v>
      </c>
      <c r="H5437" s="4" t="s">
        <v>82</v>
      </c>
      <c r="I5437" s="4" t="s">
        <v>69</v>
      </c>
      <c r="J5437" s="4" t="s">
        <v>66</v>
      </c>
      <c r="K5437" s="4">
        <v>0</v>
      </c>
      <c r="L5437" s="94">
        <v>-2258</v>
      </c>
      <c r="M5437" s="94">
        <v>0</v>
      </c>
    </row>
    <row r="5438" spans="3:13" x14ac:dyDescent="0.3">
      <c r="C5438" t="s">
        <v>61</v>
      </c>
      <c r="D5438" t="s">
        <v>67</v>
      </c>
      <c r="E5438" t="s">
        <v>63</v>
      </c>
      <c r="F5438" t="s">
        <v>25</v>
      </c>
      <c r="G5438" s="4">
        <v>0</v>
      </c>
      <c r="H5438" s="4" t="s">
        <v>75</v>
      </c>
      <c r="I5438" s="4" t="s">
        <v>69</v>
      </c>
      <c r="J5438" s="4" t="s">
        <v>66</v>
      </c>
      <c r="K5438" s="4">
        <v>0</v>
      </c>
      <c r="L5438" s="94">
        <v>-13080</v>
      </c>
      <c r="M5438" s="94">
        <v>0</v>
      </c>
    </row>
    <row r="5439" spans="3:13" x14ac:dyDescent="0.3">
      <c r="C5439" t="s">
        <v>71</v>
      </c>
      <c r="D5439" t="s">
        <v>67</v>
      </c>
      <c r="E5439" t="s">
        <v>63</v>
      </c>
      <c r="F5439" t="s">
        <v>25</v>
      </c>
      <c r="G5439" s="4">
        <v>5</v>
      </c>
      <c r="H5439" s="4" t="s">
        <v>79</v>
      </c>
      <c r="I5439" s="4" t="s">
        <v>69</v>
      </c>
      <c r="J5439" s="4" t="s">
        <v>66</v>
      </c>
      <c r="K5439" s="4">
        <v>0</v>
      </c>
      <c r="L5439" s="94">
        <v>-87209</v>
      </c>
      <c r="M5439" s="94">
        <v>0</v>
      </c>
    </row>
    <row r="5440" spans="3:13" x14ac:dyDescent="0.3">
      <c r="C5440" t="s">
        <v>70</v>
      </c>
      <c r="D5440" t="s">
        <v>62</v>
      </c>
      <c r="E5440" t="s">
        <v>63</v>
      </c>
      <c r="F5440" t="s">
        <v>24</v>
      </c>
      <c r="G5440" s="4">
        <v>37</v>
      </c>
      <c r="I5440" s="4" t="s">
        <v>65</v>
      </c>
      <c r="J5440" s="4" t="s">
        <v>66</v>
      </c>
      <c r="K5440" s="4">
        <v>1</v>
      </c>
      <c r="L5440" s="94">
        <v>-44486</v>
      </c>
      <c r="M5440" s="94">
        <v>0</v>
      </c>
    </row>
    <row r="5441" spans="3:13" x14ac:dyDescent="0.3">
      <c r="C5441" t="s">
        <v>71</v>
      </c>
      <c r="D5441" t="s">
        <v>67</v>
      </c>
      <c r="E5441" t="s">
        <v>63</v>
      </c>
      <c r="F5441" t="s">
        <v>26</v>
      </c>
      <c r="G5441" s="4">
        <v>3</v>
      </c>
      <c r="H5441" s="4" t="s">
        <v>75</v>
      </c>
      <c r="I5441" s="4" t="s">
        <v>69</v>
      </c>
      <c r="J5441" s="4" t="s">
        <v>66</v>
      </c>
      <c r="K5441" s="4">
        <v>0</v>
      </c>
      <c r="L5441" s="94">
        <v>-220701</v>
      </c>
      <c r="M5441" s="94">
        <v>0</v>
      </c>
    </row>
    <row r="5442" spans="3:13" x14ac:dyDescent="0.3">
      <c r="C5442" t="s">
        <v>61</v>
      </c>
      <c r="D5442" t="s">
        <v>67</v>
      </c>
      <c r="E5442" t="s">
        <v>63</v>
      </c>
      <c r="F5442" t="s">
        <v>26</v>
      </c>
      <c r="G5442" s="4">
        <v>12</v>
      </c>
      <c r="H5442" s="4" t="s">
        <v>15</v>
      </c>
      <c r="I5442" s="4" t="s">
        <v>69</v>
      </c>
      <c r="J5442" s="4" t="s">
        <v>66</v>
      </c>
      <c r="K5442" s="4">
        <v>0</v>
      </c>
      <c r="L5442" s="94">
        <v>-139706</v>
      </c>
      <c r="M5442" s="94">
        <v>0</v>
      </c>
    </row>
    <row r="5443" spans="3:13" x14ac:dyDescent="0.3">
      <c r="C5443" t="s">
        <v>70</v>
      </c>
      <c r="D5443" t="s">
        <v>67</v>
      </c>
      <c r="E5443" t="s">
        <v>63</v>
      </c>
      <c r="F5443" t="s">
        <v>25</v>
      </c>
      <c r="G5443" s="4">
        <v>16</v>
      </c>
      <c r="H5443" s="4" t="s">
        <v>17</v>
      </c>
      <c r="I5443" s="4" t="s">
        <v>69</v>
      </c>
      <c r="J5443" s="4" t="s">
        <v>66</v>
      </c>
      <c r="K5443" s="4">
        <v>0</v>
      </c>
      <c r="L5443" s="94">
        <v>-13443</v>
      </c>
      <c r="M5443" s="94">
        <v>0</v>
      </c>
    </row>
    <row r="5444" spans="3:13" x14ac:dyDescent="0.3">
      <c r="C5444" t="s">
        <v>61</v>
      </c>
      <c r="D5444" t="s">
        <v>67</v>
      </c>
      <c r="E5444" t="s">
        <v>63</v>
      </c>
      <c r="F5444" t="s">
        <v>25</v>
      </c>
      <c r="G5444" s="4">
        <v>9</v>
      </c>
      <c r="H5444" s="4" t="s">
        <v>14</v>
      </c>
      <c r="I5444" s="4" t="s">
        <v>69</v>
      </c>
      <c r="J5444" s="4" t="s">
        <v>66</v>
      </c>
      <c r="K5444" s="4">
        <v>0</v>
      </c>
      <c r="L5444" s="94">
        <v>-7940</v>
      </c>
      <c r="M5444" s="94">
        <v>0</v>
      </c>
    </row>
    <row r="5445" spans="3:13" x14ac:dyDescent="0.3">
      <c r="C5445" t="s">
        <v>70</v>
      </c>
      <c r="D5445" t="s">
        <v>67</v>
      </c>
      <c r="E5445" t="s">
        <v>68</v>
      </c>
      <c r="F5445" t="s">
        <v>25</v>
      </c>
      <c r="G5445" s="4">
        <v>13</v>
      </c>
      <c r="H5445" s="4" t="s">
        <v>74</v>
      </c>
      <c r="I5445" s="4" t="s">
        <v>69</v>
      </c>
      <c r="J5445" s="4" t="s">
        <v>66</v>
      </c>
      <c r="K5445" s="4">
        <v>0</v>
      </c>
      <c r="L5445" s="94">
        <v>212165</v>
      </c>
      <c r="M5445" s="94">
        <v>2758145</v>
      </c>
    </row>
    <row r="5446" spans="3:13" x14ac:dyDescent="0.3">
      <c r="C5446" t="s">
        <v>61</v>
      </c>
      <c r="D5446" t="s">
        <v>67</v>
      </c>
      <c r="E5446" t="s">
        <v>63</v>
      </c>
      <c r="F5446" t="s">
        <v>25</v>
      </c>
      <c r="G5446" s="4">
        <v>16</v>
      </c>
      <c r="H5446" s="4" t="s">
        <v>18</v>
      </c>
      <c r="I5446" s="4" t="s">
        <v>69</v>
      </c>
      <c r="J5446" s="4" t="s">
        <v>66</v>
      </c>
      <c r="K5446" s="4">
        <v>0</v>
      </c>
      <c r="L5446" s="94">
        <v>-2369</v>
      </c>
      <c r="M5446" s="94">
        <v>0</v>
      </c>
    </row>
    <row r="5447" spans="3:13" x14ac:dyDescent="0.3">
      <c r="C5447" t="s">
        <v>61</v>
      </c>
      <c r="D5447" t="s">
        <v>67</v>
      </c>
      <c r="E5447" t="s">
        <v>68</v>
      </c>
      <c r="F5447" t="s">
        <v>25</v>
      </c>
      <c r="G5447" s="4">
        <v>0</v>
      </c>
      <c r="H5447" s="4" t="s">
        <v>18</v>
      </c>
      <c r="I5447" s="4" t="s">
        <v>65</v>
      </c>
      <c r="J5447" s="4" t="s">
        <v>66</v>
      </c>
      <c r="K5447" s="4">
        <v>1</v>
      </c>
      <c r="L5447" s="94">
        <v>7485</v>
      </c>
      <c r="M5447" s="94">
        <v>0</v>
      </c>
    </row>
    <row r="5448" spans="3:13" x14ac:dyDescent="0.3">
      <c r="C5448" t="s">
        <v>61</v>
      </c>
      <c r="D5448" t="s">
        <v>67</v>
      </c>
      <c r="E5448" t="s">
        <v>63</v>
      </c>
      <c r="F5448" t="s">
        <v>25</v>
      </c>
      <c r="G5448" s="4">
        <v>15</v>
      </c>
      <c r="H5448" s="4" t="s">
        <v>18</v>
      </c>
      <c r="I5448" s="4" t="s">
        <v>69</v>
      </c>
      <c r="J5448" s="4" t="s">
        <v>66</v>
      </c>
      <c r="K5448" s="4">
        <v>1</v>
      </c>
      <c r="L5448" s="94">
        <v>-1419</v>
      </c>
      <c r="M5448" s="94">
        <v>0</v>
      </c>
    </row>
    <row r="5449" spans="3:13" x14ac:dyDescent="0.3">
      <c r="C5449" t="s">
        <v>71</v>
      </c>
      <c r="D5449" t="s">
        <v>67</v>
      </c>
      <c r="E5449" t="s">
        <v>68</v>
      </c>
      <c r="F5449" t="s">
        <v>26</v>
      </c>
      <c r="G5449" s="4">
        <v>2</v>
      </c>
      <c r="H5449" s="4" t="s">
        <v>14</v>
      </c>
      <c r="I5449" s="4" t="s">
        <v>69</v>
      </c>
      <c r="J5449" s="4" t="s">
        <v>73</v>
      </c>
      <c r="K5449" s="4">
        <v>1</v>
      </c>
      <c r="L5449" s="94">
        <v>2871059</v>
      </c>
      <c r="M5449" s="94">
        <v>5742118</v>
      </c>
    </row>
    <row r="5450" spans="3:13" x14ac:dyDescent="0.3">
      <c r="C5450" t="s">
        <v>71</v>
      </c>
      <c r="D5450" t="s">
        <v>67</v>
      </c>
      <c r="E5450" t="s">
        <v>63</v>
      </c>
      <c r="F5450" t="s">
        <v>25</v>
      </c>
      <c r="G5450" s="4">
        <v>9</v>
      </c>
      <c r="H5450" s="4" t="s">
        <v>76</v>
      </c>
      <c r="I5450" s="4" t="s">
        <v>69</v>
      </c>
      <c r="J5450" s="4" t="s">
        <v>66</v>
      </c>
      <c r="K5450" s="4">
        <v>0</v>
      </c>
      <c r="L5450" s="94">
        <v>-599063</v>
      </c>
      <c r="M5450" s="94">
        <v>0</v>
      </c>
    </row>
    <row r="5451" spans="3:13" x14ac:dyDescent="0.3">
      <c r="C5451" t="s">
        <v>70</v>
      </c>
      <c r="D5451" t="s">
        <v>67</v>
      </c>
      <c r="E5451" t="s">
        <v>63</v>
      </c>
      <c r="F5451" t="s">
        <v>25</v>
      </c>
      <c r="G5451" s="4">
        <v>3</v>
      </c>
      <c r="H5451" s="4" t="s">
        <v>12</v>
      </c>
      <c r="I5451" s="4" t="s">
        <v>69</v>
      </c>
      <c r="J5451" s="4" t="s">
        <v>66</v>
      </c>
      <c r="K5451" s="4">
        <v>0</v>
      </c>
      <c r="L5451" s="94">
        <v>-2969</v>
      </c>
      <c r="M5451" s="94">
        <v>0</v>
      </c>
    </row>
    <row r="5452" spans="3:13" x14ac:dyDescent="0.3">
      <c r="C5452" t="s">
        <v>70</v>
      </c>
      <c r="D5452" t="s">
        <v>62</v>
      </c>
      <c r="E5452" t="s">
        <v>63</v>
      </c>
      <c r="F5452" t="s">
        <v>25</v>
      </c>
      <c r="G5452" s="4">
        <v>33</v>
      </c>
      <c r="I5452" s="4" t="s">
        <v>69</v>
      </c>
      <c r="J5452" s="4" t="s">
        <v>66</v>
      </c>
      <c r="K5452" s="4">
        <v>0</v>
      </c>
      <c r="L5452" s="94">
        <v>-8370</v>
      </c>
      <c r="M5452" s="94">
        <v>0</v>
      </c>
    </row>
    <row r="5453" spans="3:13" x14ac:dyDescent="0.3">
      <c r="C5453" t="s">
        <v>70</v>
      </c>
      <c r="D5453" t="s">
        <v>62</v>
      </c>
      <c r="E5453" t="s">
        <v>63</v>
      </c>
      <c r="F5453" t="s">
        <v>24</v>
      </c>
      <c r="G5453" s="4">
        <v>6</v>
      </c>
      <c r="I5453" s="4" t="s">
        <v>65</v>
      </c>
      <c r="J5453" s="4" t="s">
        <v>66</v>
      </c>
      <c r="K5453" s="4">
        <v>1</v>
      </c>
      <c r="L5453" s="94">
        <v>-1948</v>
      </c>
      <c r="M5453" s="94">
        <v>0</v>
      </c>
    </row>
    <row r="5454" spans="3:13" x14ac:dyDescent="0.3">
      <c r="C5454" t="s">
        <v>61</v>
      </c>
      <c r="D5454" t="s">
        <v>67</v>
      </c>
      <c r="E5454" t="s">
        <v>68</v>
      </c>
      <c r="F5454" t="s">
        <v>72</v>
      </c>
      <c r="G5454" s="4">
        <v>2</v>
      </c>
      <c r="H5454" s="4" t="s">
        <v>86</v>
      </c>
      <c r="I5454" s="4" t="s">
        <v>69</v>
      </c>
      <c r="J5454" s="4" t="s">
        <v>66</v>
      </c>
      <c r="K5454" s="4">
        <v>0</v>
      </c>
      <c r="L5454" s="94">
        <v>13185</v>
      </c>
      <c r="M5454" s="94">
        <v>26370</v>
      </c>
    </row>
    <row r="5455" spans="3:13" x14ac:dyDescent="0.3">
      <c r="C5455" t="s">
        <v>70</v>
      </c>
      <c r="D5455" t="s">
        <v>67</v>
      </c>
      <c r="E5455" t="s">
        <v>68</v>
      </c>
      <c r="F5455" t="s">
        <v>26</v>
      </c>
      <c r="G5455" s="4">
        <v>6</v>
      </c>
      <c r="H5455" s="4" t="s">
        <v>76</v>
      </c>
      <c r="I5455" s="4" t="s">
        <v>69</v>
      </c>
      <c r="J5455" s="4" t="s">
        <v>66</v>
      </c>
      <c r="K5455" s="4">
        <v>0</v>
      </c>
      <c r="L5455" s="94">
        <v>783108</v>
      </c>
      <c r="M5455" s="94">
        <v>4698648</v>
      </c>
    </row>
    <row r="5456" spans="3:13" x14ac:dyDescent="0.3">
      <c r="C5456" t="s">
        <v>71</v>
      </c>
      <c r="D5456" t="s">
        <v>67</v>
      </c>
      <c r="E5456" t="s">
        <v>68</v>
      </c>
      <c r="F5456" t="s">
        <v>72</v>
      </c>
      <c r="G5456" s="4">
        <v>4</v>
      </c>
      <c r="H5456" s="4" t="s">
        <v>76</v>
      </c>
      <c r="I5456" s="4" t="s">
        <v>69</v>
      </c>
      <c r="J5456" s="4" t="s">
        <v>66</v>
      </c>
      <c r="K5456" s="4">
        <v>0</v>
      </c>
      <c r="L5456" s="94">
        <v>104935</v>
      </c>
      <c r="M5456" s="94">
        <v>419740</v>
      </c>
    </row>
    <row r="5457" spans="3:13" x14ac:dyDescent="0.3">
      <c r="C5457" t="s">
        <v>71</v>
      </c>
      <c r="D5457" t="s">
        <v>62</v>
      </c>
      <c r="E5457" t="s">
        <v>63</v>
      </c>
      <c r="F5457" t="s">
        <v>24</v>
      </c>
      <c r="G5457" s="4">
        <v>9</v>
      </c>
      <c r="I5457" s="4" t="s">
        <v>69</v>
      </c>
      <c r="J5457" s="4" t="s">
        <v>66</v>
      </c>
      <c r="K5457" s="4">
        <v>0</v>
      </c>
      <c r="L5457" s="94">
        <v>-909061</v>
      </c>
      <c r="M5457" s="94">
        <v>0</v>
      </c>
    </row>
    <row r="5458" spans="3:13" x14ac:dyDescent="0.3">
      <c r="C5458" t="s">
        <v>61</v>
      </c>
      <c r="D5458" t="s">
        <v>67</v>
      </c>
      <c r="E5458" t="s">
        <v>63</v>
      </c>
      <c r="F5458" t="s">
        <v>72</v>
      </c>
      <c r="G5458" s="4">
        <v>2</v>
      </c>
      <c r="H5458" s="4" t="s">
        <v>14</v>
      </c>
      <c r="I5458" s="4" t="s">
        <v>65</v>
      </c>
      <c r="J5458" s="4" t="s">
        <v>73</v>
      </c>
      <c r="K5458" s="4">
        <v>1</v>
      </c>
      <c r="L5458" s="94">
        <v>-38</v>
      </c>
      <c r="M5458" s="94">
        <v>0</v>
      </c>
    </row>
    <row r="5459" spans="3:13" x14ac:dyDescent="0.3">
      <c r="C5459" t="s">
        <v>61</v>
      </c>
      <c r="D5459" t="s">
        <v>67</v>
      </c>
      <c r="E5459" t="s">
        <v>63</v>
      </c>
      <c r="F5459" t="s">
        <v>26</v>
      </c>
      <c r="G5459" s="4">
        <v>10</v>
      </c>
      <c r="H5459" s="4" t="s">
        <v>75</v>
      </c>
      <c r="I5459" s="4" t="s">
        <v>69</v>
      </c>
      <c r="J5459" s="4" t="s">
        <v>66</v>
      </c>
      <c r="K5459" s="4">
        <v>0</v>
      </c>
      <c r="L5459" s="94">
        <v>-4384</v>
      </c>
      <c r="M5459" s="94">
        <v>0</v>
      </c>
    </row>
    <row r="5460" spans="3:13" x14ac:dyDescent="0.3">
      <c r="C5460" t="s">
        <v>70</v>
      </c>
      <c r="D5460" t="s">
        <v>67</v>
      </c>
      <c r="E5460" t="s">
        <v>63</v>
      </c>
      <c r="F5460" t="s">
        <v>72</v>
      </c>
      <c r="G5460" s="4">
        <v>4</v>
      </c>
      <c r="H5460" s="4" t="s">
        <v>64</v>
      </c>
      <c r="I5460" s="4" t="s">
        <v>69</v>
      </c>
      <c r="J5460" s="4" t="s">
        <v>66</v>
      </c>
      <c r="K5460" s="4">
        <v>0</v>
      </c>
      <c r="L5460" s="94">
        <v>-35258</v>
      </c>
      <c r="M5460" s="94">
        <v>0</v>
      </c>
    </row>
    <row r="5461" spans="3:13" x14ac:dyDescent="0.3">
      <c r="C5461" t="s">
        <v>61</v>
      </c>
      <c r="D5461" t="s">
        <v>67</v>
      </c>
      <c r="E5461" t="s">
        <v>63</v>
      </c>
      <c r="F5461" t="s">
        <v>25</v>
      </c>
      <c r="G5461" s="4">
        <v>2</v>
      </c>
      <c r="H5461" s="4" t="s">
        <v>80</v>
      </c>
      <c r="I5461" s="4" t="s">
        <v>69</v>
      </c>
      <c r="J5461" s="4" t="s">
        <v>66</v>
      </c>
      <c r="K5461" s="4">
        <v>0</v>
      </c>
      <c r="L5461" s="94">
        <v>-28</v>
      </c>
      <c r="M5461" s="94">
        <v>0</v>
      </c>
    </row>
    <row r="5462" spans="3:13" x14ac:dyDescent="0.3">
      <c r="C5462" t="s">
        <v>70</v>
      </c>
      <c r="D5462" t="s">
        <v>67</v>
      </c>
      <c r="E5462" t="s">
        <v>63</v>
      </c>
      <c r="F5462" t="s">
        <v>72</v>
      </c>
      <c r="G5462" s="4">
        <v>0</v>
      </c>
      <c r="H5462" s="4" t="s">
        <v>13</v>
      </c>
      <c r="I5462" s="4" t="s">
        <v>69</v>
      </c>
      <c r="J5462" s="4" t="s">
        <v>66</v>
      </c>
      <c r="K5462" s="4">
        <v>0</v>
      </c>
      <c r="L5462" s="94">
        <v>-41</v>
      </c>
      <c r="M5462" s="94">
        <v>0</v>
      </c>
    </row>
    <row r="5463" spans="3:13" x14ac:dyDescent="0.3">
      <c r="C5463" t="s">
        <v>70</v>
      </c>
      <c r="D5463" t="s">
        <v>67</v>
      </c>
      <c r="E5463" t="s">
        <v>63</v>
      </c>
      <c r="F5463" t="s">
        <v>26</v>
      </c>
      <c r="G5463" s="4">
        <v>4</v>
      </c>
      <c r="H5463" s="4" t="s">
        <v>77</v>
      </c>
      <c r="I5463" s="4" t="s">
        <v>69</v>
      </c>
      <c r="J5463" s="4" t="s">
        <v>66</v>
      </c>
      <c r="K5463" s="4">
        <v>0</v>
      </c>
      <c r="L5463" s="94">
        <v>-49391</v>
      </c>
      <c r="M5463" s="94">
        <v>0</v>
      </c>
    </row>
    <row r="5464" spans="3:13" x14ac:dyDescent="0.3">
      <c r="C5464" t="s">
        <v>71</v>
      </c>
      <c r="D5464" t="s">
        <v>62</v>
      </c>
      <c r="E5464" t="s">
        <v>68</v>
      </c>
      <c r="F5464" t="s">
        <v>24</v>
      </c>
      <c r="G5464" s="4">
        <v>33</v>
      </c>
      <c r="I5464" s="4" t="s">
        <v>69</v>
      </c>
      <c r="J5464" s="4" t="s">
        <v>66</v>
      </c>
      <c r="K5464" s="4">
        <v>0</v>
      </c>
      <c r="L5464" s="94">
        <v>7070727</v>
      </c>
      <c r="M5464" s="94">
        <v>233333991</v>
      </c>
    </row>
    <row r="5465" spans="3:13" x14ac:dyDescent="0.3">
      <c r="C5465" t="s">
        <v>70</v>
      </c>
      <c r="D5465" t="s">
        <v>67</v>
      </c>
      <c r="E5465" t="s">
        <v>63</v>
      </c>
      <c r="F5465" t="s">
        <v>72</v>
      </c>
      <c r="G5465" s="4">
        <v>7</v>
      </c>
      <c r="H5465" s="4" t="s">
        <v>17</v>
      </c>
      <c r="I5465" s="4" t="s">
        <v>69</v>
      </c>
      <c r="J5465" s="4" t="s">
        <v>66</v>
      </c>
      <c r="K5465" s="4">
        <v>0</v>
      </c>
      <c r="L5465" s="94">
        <v>-12756</v>
      </c>
      <c r="M5465" s="94">
        <v>0</v>
      </c>
    </row>
    <row r="5466" spans="3:13" x14ac:dyDescent="0.3">
      <c r="C5466" t="s">
        <v>70</v>
      </c>
      <c r="D5466" t="s">
        <v>67</v>
      </c>
      <c r="E5466" t="s">
        <v>63</v>
      </c>
      <c r="F5466" t="s">
        <v>72</v>
      </c>
      <c r="G5466" s="4">
        <v>1</v>
      </c>
      <c r="H5466" s="4" t="s">
        <v>15</v>
      </c>
      <c r="I5466" s="4" t="s">
        <v>69</v>
      </c>
      <c r="J5466" s="4" t="s">
        <v>73</v>
      </c>
      <c r="K5466" s="4">
        <v>1</v>
      </c>
      <c r="L5466" s="94">
        <v>-1274</v>
      </c>
      <c r="M5466" s="94">
        <v>0</v>
      </c>
    </row>
    <row r="5467" spans="3:13" x14ac:dyDescent="0.3">
      <c r="C5467" t="s">
        <v>61</v>
      </c>
      <c r="D5467" t="s">
        <v>67</v>
      </c>
      <c r="E5467" t="s">
        <v>63</v>
      </c>
      <c r="F5467" t="s">
        <v>72</v>
      </c>
      <c r="G5467" s="4">
        <v>2</v>
      </c>
      <c r="H5467" s="4" t="s">
        <v>82</v>
      </c>
      <c r="I5467" s="4" t="s">
        <v>69</v>
      </c>
      <c r="J5467" s="4" t="s">
        <v>66</v>
      </c>
      <c r="K5467" s="4">
        <v>0</v>
      </c>
      <c r="L5467" s="94">
        <v>-25053</v>
      </c>
      <c r="M5467" s="94">
        <v>0</v>
      </c>
    </row>
    <row r="5468" spans="3:13" x14ac:dyDescent="0.3">
      <c r="C5468" t="s">
        <v>70</v>
      </c>
      <c r="D5468" t="s">
        <v>67</v>
      </c>
      <c r="E5468" t="s">
        <v>63</v>
      </c>
      <c r="F5468" t="s">
        <v>26</v>
      </c>
      <c r="G5468" s="4">
        <v>1</v>
      </c>
      <c r="H5468" s="4" t="s">
        <v>76</v>
      </c>
      <c r="I5468" s="4" t="s">
        <v>69</v>
      </c>
      <c r="J5468" s="4" t="s">
        <v>66</v>
      </c>
      <c r="K5468" s="4">
        <v>0</v>
      </c>
      <c r="L5468" s="94">
        <v>-236147</v>
      </c>
      <c r="M5468" s="94">
        <v>0</v>
      </c>
    </row>
    <row r="5469" spans="3:13" x14ac:dyDescent="0.3">
      <c r="C5469" t="s">
        <v>71</v>
      </c>
      <c r="D5469" t="s">
        <v>67</v>
      </c>
      <c r="E5469" t="s">
        <v>63</v>
      </c>
      <c r="F5469" t="s">
        <v>72</v>
      </c>
      <c r="G5469" s="4">
        <v>-4</v>
      </c>
      <c r="H5469" s="4" t="s">
        <v>17</v>
      </c>
      <c r="I5469" s="4" t="s">
        <v>69</v>
      </c>
      <c r="J5469" s="4" t="s">
        <v>73</v>
      </c>
      <c r="K5469" s="4">
        <v>1</v>
      </c>
      <c r="L5469" s="94">
        <v>-1139</v>
      </c>
      <c r="M5469" s="94">
        <v>0</v>
      </c>
    </row>
    <row r="5470" spans="3:13" x14ac:dyDescent="0.3">
      <c r="C5470" t="s">
        <v>70</v>
      </c>
      <c r="D5470" t="s">
        <v>67</v>
      </c>
      <c r="E5470" t="s">
        <v>68</v>
      </c>
      <c r="F5470" t="s">
        <v>26</v>
      </c>
      <c r="G5470" s="4">
        <v>7</v>
      </c>
      <c r="H5470" s="4" t="s">
        <v>77</v>
      </c>
      <c r="I5470" s="4" t="s">
        <v>69</v>
      </c>
      <c r="J5470" s="4" t="s">
        <v>66</v>
      </c>
      <c r="K5470" s="4">
        <v>0</v>
      </c>
      <c r="L5470" s="94">
        <v>158714</v>
      </c>
      <c r="M5470" s="94">
        <v>1110998</v>
      </c>
    </row>
    <row r="5471" spans="3:13" x14ac:dyDescent="0.3">
      <c r="C5471" t="s">
        <v>70</v>
      </c>
      <c r="D5471" t="s">
        <v>67</v>
      </c>
      <c r="E5471" t="s">
        <v>63</v>
      </c>
      <c r="F5471" t="s">
        <v>26</v>
      </c>
      <c r="G5471" s="4">
        <v>8</v>
      </c>
      <c r="H5471" s="4" t="s">
        <v>79</v>
      </c>
      <c r="I5471" s="4" t="s">
        <v>69</v>
      </c>
      <c r="J5471" s="4" t="s">
        <v>66</v>
      </c>
      <c r="K5471" s="4">
        <v>0</v>
      </c>
      <c r="L5471" s="94">
        <v>-143400</v>
      </c>
      <c r="M5471" s="94">
        <v>0</v>
      </c>
    </row>
    <row r="5472" spans="3:13" x14ac:dyDescent="0.3">
      <c r="C5472" t="s">
        <v>71</v>
      </c>
      <c r="D5472" t="s">
        <v>67</v>
      </c>
      <c r="E5472" t="s">
        <v>63</v>
      </c>
      <c r="F5472" t="s">
        <v>26</v>
      </c>
      <c r="G5472" s="4">
        <v>6</v>
      </c>
      <c r="H5472" s="4" t="s">
        <v>80</v>
      </c>
      <c r="I5472" s="4" t="s">
        <v>69</v>
      </c>
      <c r="J5472" s="4" t="s">
        <v>66</v>
      </c>
      <c r="K5472" s="4">
        <v>0</v>
      </c>
      <c r="L5472" s="94">
        <v>-23594</v>
      </c>
      <c r="M5472" s="94">
        <v>0</v>
      </c>
    </row>
    <row r="5473" spans="3:13" x14ac:dyDescent="0.3">
      <c r="C5473" t="s">
        <v>61</v>
      </c>
      <c r="D5473" t="s">
        <v>67</v>
      </c>
      <c r="E5473" t="s">
        <v>68</v>
      </c>
      <c r="F5473" t="s">
        <v>25</v>
      </c>
      <c r="G5473" s="4">
        <v>4</v>
      </c>
      <c r="H5473" s="4" t="s">
        <v>74</v>
      </c>
      <c r="I5473" s="4" t="s">
        <v>69</v>
      </c>
      <c r="J5473" s="4" t="s">
        <v>66</v>
      </c>
      <c r="K5473" s="4">
        <v>0</v>
      </c>
      <c r="L5473" s="94">
        <v>6237640</v>
      </c>
      <c r="M5473" s="94">
        <v>24950560</v>
      </c>
    </row>
    <row r="5474" spans="3:13" x14ac:dyDescent="0.3">
      <c r="C5474" t="s">
        <v>71</v>
      </c>
      <c r="D5474" t="s">
        <v>67</v>
      </c>
      <c r="E5474" t="s">
        <v>68</v>
      </c>
      <c r="F5474" t="s">
        <v>72</v>
      </c>
      <c r="G5474" s="4">
        <v>2</v>
      </c>
      <c r="H5474" s="4" t="s">
        <v>17</v>
      </c>
      <c r="I5474" s="4" t="s">
        <v>65</v>
      </c>
      <c r="J5474" s="4" t="s">
        <v>73</v>
      </c>
      <c r="K5474" s="4">
        <v>1</v>
      </c>
      <c r="L5474" s="94">
        <v>58703</v>
      </c>
      <c r="M5474" s="94">
        <v>117406</v>
      </c>
    </row>
    <row r="5475" spans="3:13" x14ac:dyDescent="0.3">
      <c r="C5475" t="s">
        <v>71</v>
      </c>
      <c r="D5475" t="s">
        <v>62</v>
      </c>
      <c r="E5475" t="s">
        <v>63</v>
      </c>
      <c r="F5475" t="s">
        <v>24</v>
      </c>
      <c r="G5475" s="4">
        <v>-4</v>
      </c>
      <c r="I5475" s="4" t="s">
        <v>69</v>
      </c>
      <c r="J5475" s="4" t="s">
        <v>66</v>
      </c>
      <c r="K5475" s="4">
        <v>1</v>
      </c>
      <c r="L5475" s="94">
        <v>-472</v>
      </c>
      <c r="M5475" s="94">
        <v>0</v>
      </c>
    </row>
    <row r="5476" spans="3:13" x14ac:dyDescent="0.3">
      <c r="C5476" t="s">
        <v>61</v>
      </c>
      <c r="D5476" t="s">
        <v>67</v>
      </c>
      <c r="E5476" t="s">
        <v>68</v>
      </c>
      <c r="F5476" t="s">
        <v>25</v>
      </c>
      <c r="G5476" s="4">
        <v>12</v>
      </c>
      <c r="H5476" s="4" t="s">
        <v>64</v>
      </c>
      <c r="I5476" s="4" t="s">
        <v>69</v>
      </c>
      <c r="J5476" s="4" t="s">
        <v>66</v>
      </c>
      <c r="K5476" s="4">
        <v>0</v>
      </c>
      <c r="L5476" s="94">
        <v>2359718</v>
      </c>
      <c r="M5476" s="94">
        <v>28316616</v>
      </c>
    </row>
    <row r="5477" spans="3:13" x14ac:dyDescent="0.3">
      <c r="C5477" t="s">
        <v>61</v>
      </c>
      <c r="D5477" t="s">
        <v>67</v>
      </c>
      <c r="E5477" t="s">
        <v>63</v>
      </c>
      <c r="F5477" t="s">
        <v>25</v>
      </c>
      <c r="G5477" s="4">
        <v>16</v>
      </c>
      <c r="H5477" s="4" t="s">
        <v>76</v>
      </c>
      <c r="I5477" s="4" t="s">
        <v>69</v>
      </c>
      <c r="J5477" s="4" t="s">
        <v>66</v>
      </c>
      <c r="K5477" s="4">
        <v>0</v>
      </c>
      <c r="L5477" s="94">
        <v>-14815</v>
      </c>
      <c r="M5477" s="94">
        <v>0</v>
      </c>
    </row>
    <row r="5478" spans="3:13" x14ac:dyDescent="0.3">
      <c r="C5478" t="s">
        <v>70</v>
      </c>
      <c r="D5478" t="s">
        <v>67</v>
      </c>
      <c r="E5478" t="s">
        <v>63</v>
      </c>
      <c r="F5478" t="s">
        <v>25</v>
      </c>
      <c r="G5478" s="4">
        <v>9</v>
      </c>
      <c r="H5478" s="4" t="s">
        <v>75</v>
      </c>
      <c r="I5478" s="4" t="s">
        <v>69</v>
      </c>
      <c r="J5478" s="4" t="s">
        <v>66</v>
      </c>
      <c r="K5478" s="4">
        <v>0</v>
      </c>
      <c r="L5478" s="94">
        <v>-288226</v>
      </c>
      <c r="M5478" s="94">
        <v>0</v>
      </c>
    </row>
    <row r="5479" spans="3:13" x14ac:dyDescent="0.3">
      <c r="C5479" t="s">
        <v>61</v>
      </c>
      <c r="D5479" t="s">
        <v>62</v>
      </c>
      <c r="E5479" t="s">
        <v>63</v>
      </c>
      <c r="F5479" t="s">
        <v>24</v>
      </c>
      <c r="G5479" s="4">
        <v>20</v>
      </c>
      <c r="I5479" s="4" t="s">
        <v>65</v>
      </c>
      <c r="J5479" s="4" t="s">
        <v>66</v>
      </c>
      <c r="K5479" s="4">
        <v>1</v>
      </c>
      <c r="L5479" s="94">
        <v>-3607</v>
      </c>
      <c r="M5479" s="94">
        <v>0</v>
      </c>
    </row>
    <row r="5480" spans="3:13" x14ac:dyDescent="0.3">
      <c r="C5480" t="s">
        <v>70</v>
      </c>
      <c r="D5480" t="s">
        <v>67</v>
      </c>
      <c r="E5480" t="s">
        <v>63</v>
      </c>
      <c r="F5480" t="s">
        <v>25</v>
      </c>
      <c r="G5480" s="4">
        <v>0</v>
      </c>
      <c r="H5480" s="4" t="s">
        <v>14</v>
      </c>
      <c r="I5480" s="4" t="s">
        <v>69</v>
      </c>
      <c r="J5480" s="4" t="s">
        <v>66</v>
      </c>
      <c r="K5480" s="4">
        <v>0</v>
      </c>
      <c r="L5480" s="94">
        <v>-24114</v>
      </c>
      <c r="M5480" s="94">
        <v>0</v>
      </c>
    </row>
    <row r="5481" spans="3:13" x14ac:dyDescent="0.3">
      <c r="C5481" t="s">
        <v>61</v>
      </c>
      <c r="D5481" t="s">
        <v>67</v>
      </c>
      <c r="E5481" t="s">
        <v>63</v>
      </c>
      <c r="F5481" t="s">
        <v>26</v>
      </c>
      <c r="G5481" s="4">
        <v>2</v>
      </c>
      <c r="H5481" s="4" t="s">
        <v>82</v>
      </c>
      <c r="I5481" s="4" t="s">
        <v>65</v>
      </c>
      <c r="J5481" s="4" t="s">
        <v>66</v>
      </c>
      <c r="K5481" s="4">
        <v>1</v>
      </c>
      <c r="L5481" s="94">
        <v>-2459</v>
      </c>
      <c r="M5481" s="94">
        <v>0</v>
      </c>
    </row>
    <row r="5482" spans="3:13" x14ac:dyDescent="0.3">
      <c r="C5482" t="s">
        <v>70</v>
      </c>
      <c r="D5482" t="s">
        <v>62</v>
      </c>
      <c r="E5482" t="s">
        <v>68</v>
      </c>
      <c r="F5482" t="s">
        <v>24</v>
      </c>
      <c r="G5482" s="4">
        <v>19</v>
      </c>
      <c r="I5482" s="4" t="s">
        <v>65</v>
      </c>
      <c r="J5482" s="4" t="s">
        <v>66</v>
      </c>
      <c r="K5482" s="4">
        <v>1</v>
      </c>
      <c r="L5482" s="94">
        <v>469812</v>
      </c>
      <c r="M5482" s="94">
        <v>8926428</v>
      </c>
    </row>
    <row r="5483" spans="3:13" x14ac:dyDescent="0.3">
      <c r="C5483" t="s">
        <v>61</v>
      </c>
      <c r="D5483" t="s">
        <v>62</v>
      </c>
      <c r="E5483" t="s">
        <v>63</v>
      </c>
      <c r="F5483" t="s">
        <v>24</v>
      </c>
      <c r="G5483" s="4">
        <v>13</v>
      </c>
      <c r="I5483" s="4" t="s">
        <v>69</v>
      </c>
      <c r="J5483" s="4" t="s">
        <v>66</v>
      </c>
      <c r="K5483" s="4">
        <v>0</v>
      </c>
      <c r="L5483" s="94">
        <v>-77223</v>
      </c>
      <c r="M5483" s="94">
        <v>0</v>
      </c>
    </row>
    <row r="5484" spans="3:13" x14ac:dyDescent="0.3">
      <c r="C5484" t="s">
        <v>61</v>
      </c>
      <c r="D5484" t="s">
        <v>67</v>
      </c>
      <c r="E5484" t="s">
        <v>63</v>
      </c>
      <c r="F5484" t="s">
        <v>25</v>
      </c>
      <c r="G5484" s="4">
        <v>14</v>
      </c>
      <c r="H5484" s="4" t="s">
        <v>83</v>
      </c>
      <c r="I5484" s="4" t="s">
        <v>69</v>
      </c>
      <c r="J5484" s="4" t="s">
        <v>66</v>
      </c>
      <c r="K5484" s="4">
        <v>0</v>
      </c>
      <c r="L5484" s="94">
        <v>-497</v>
      </c>
      <c r="M5484" s="94">
        <v>0</v>
      </c>
    </row>
    <row r="5485" spans="3:13" x14ac:dyDescent="0.3">
      <c r="C5485" t="s">
        <v>70</v>
      </c>
      <c r="D5485" t="s">
        <v>67</v>
      </c>
      <c r="E5485" t="s">
        <v>63</v>
      </c>
      <c r="F5485" t="s">
        <v>72</v>
      </c>
      <c r="G5485" s="4">
        <v>2</v>
      </c>
      <c r="H5485" s="4" t="s">
        <v>82</v>
      </c>
      <c r="I5485" s="4" t="s">
        <v>69</v>
      </c>
      <c r="J5485" s="4" t="s">
        <v>66</v>
      </c>
      <c r="K5485" s="4">
        <v>0</v>
      </c>
      <c r="L5485" s="94">
        <v>-94514</v>
      </c>
      <c r="M5485" s="94">
        <v>0</v>
      </c>
    </row>
    <row r="5486" spans="3:13" x14ac:dyDescent="0.3">
      <c r="C5486" t="s">
        <v>61</v>
      </c>
      <c r="D5486" t="s">
        <v>67</v>
      </c>
      <c r="E5486" t="s">
        <v>68</v>
      </c>
      <c r="F5486" t="s">
        <v>25</v>
      </c>
      <c r="G5486" s="4">
        <v>11</v>
      </c>
      <c r="H5486" s="4" t="s">
        <v>14</v>
      </c>
      <c r="I5486" s="4" t="s">
        <v>65</v>
      </c>
      <c r="J5486" s="4" t="s">
        <v>66</v>
      </c>
      <c r="K5486" s="4">
        <v>1</v>
      </c>
      <c r="L5486" s="94">
        <v>1558350</v>
      </c>
      <c r="M5486" s="94">
        <v>17141850</v>
      </c>
    </row>
    <row r="5487" spans="3:13" x14ac:dyDescent="0.3">
      <c r="C5487" t="s">
        <v>61</v>
      </c>
      <c r="D5487" t="s">
        <v>62</v>
      </c>
      <c r="E5487" t="s">
        <v>68</v>
      </c>
      <c r="F5487" t="s">
        <v>24</v>
      </c>
      <c r="G5487" s="4">
        <v>19</v>
      </c>
      <c r="I5487" s="4" t="s">
        <v>69</v>
      </c>
      <c r="J5487" s="4" t="s">
        <v>66</v>
      </c>
      <c r="K5487" s="4">
        <v>0</v>
      </c>
      <c r="L5487" s="94">
        <v>448628048</v>
      </c>
      <c r="M5487" s="94">
        <v>8523932912</v>
      </c>
    </row>
    <row r="5488" spans="3:13" x14ac:dyDescent="0.3">
      <c r="C5488" t="s">
        <v>70</v>
      </c>
      <c r="D5488" t="s">
        <v>67</v>
      </c>
      <c r="E5488" t="s">
        <v>63</v>
      </c>
      <c r="F5488" t="s">
        <v>26</v>
      </c>
      <c r="G5488" s="4">
        <v>7</v>
      </c>
      <c r="H5488" s="4" t="s">
        <v>75</v>
      </c>
      <c r="I5488" s="4" t="s">
        <v>69</v>
      </c>
      <c r="J5488" s="4" t="s">
        <v>66</v>
      </c>
      <c r="K5488" s="4">
        <v>0</v>
      </c>
      <c r="L5488" s="94">
        <v>-101466</v>
      </c>
      <c r="M5488" s="94">
        <v>0</v>
      </c>
    </row>
    <row r="5489" spans="3:13" x14ac:dyDescent="0.3">
      <c r="C5489" t="s">
        <v>70</v>
      </c>
      <c r="D5489" t="s">
        <v>67</v>
      </c>
      <c r="E5489" t="s">
        <v>63</v>
      </c>
      <c r="F5489" t="s">
        <v>72</v>
      </c>
      <c r="G5489" s="4">
        <v>3</v>
      </c>
      <c r="H5489" s="4" t="s">
        <v>78</v>
      </c>
      <c r="I5489" s="4" t="s">
        <v>69</v>
      </c>
      <c r="J5489" s="4" t="s">
        <v>66</v>
      </c>
      <c r="K5489" s="4">
        <v>0</v>
      </c>
      <c r="L5489" s="94">
        <v>-4495</v>
      </c>
      <c r="M5489" s="94">
        <v>0</v>
      </c>
    </row>
    <row r="5490" spans="3:13" x14ac:dyDescent="0.3">
      <c r="C5490" t="s">
        <v>61</v>
      </c>
      <c r="D5490" t="s">
        <v>67</v>
      </c>
      <c r="E5490" t="s">
        <v>63</v>
      </c>
      <c r="F5490" t="s">
        <v>72</v>
      </c>
      <c r="G5490" s="4">
        <v>1</v>
      </c>
      <c r="H5490" s="4" t="s">
        <v>14</v>
      </c>
      <c r="I5490" s="4" t="s">
        <v>65</v>
      </c>
      <c r="J5490" s="4" t="s">
        <v>66</v>
      </c>
      <c r="K5490" s="4">
        <v>1</v>
      </c>
      <c r="L5490" s="94">
        <v>-15</v>
      </c>
      <c r="M5490" s="94">
        <v>0</v>
      </c>
    </row>
    <row r="5491" spans="3:13" x14ac:dyDescent="0.3">
      <c r="C5491" t="s">
        <v>61</v>
      </c>
      <c r="D5491" t="s">
        <v>67</v>
      </c>
      <c r="E5491" t="s">
        <v>63</v>
      </c>
      <c r="F5491" t="s">
        <v>72</v>
      </c>
      <c r="G5491" s="4">
        <v>4</v>
      </c>
      <c r="H5491" s="4" t="s">
        <v>64</v>
      </c>
      <c r="I5491" s="4" t="s">
        <v>69</v>
      </c>
      <c r="J5491" s="4" t="s">
        <v>66</v>
      </c>
      <c r="K5491" s="4">
        <v>0</v>
      </c>
      <c r="L5491" s="94">
        <v>-22096</v>
      </c>
      <c r="M5491" s="94">
        <v>0</v>
      </c>
    </row>
    <row r="5492" spans="3:13" x14ac:dyDescent="0.3">
      <c r="C5492" t="s">
        <v>70</v>
      </c>
      <c r="D5492" t="s">
        <v>67</v>
      </c>
      <c r="E5492" t="s">
        <v>63</v>
      </c>
      <c r="F5492" t="s">
        <v>26</v>
      </c>
      <c r="G5492" s="4">
        <v>-1</v>
      </c>
      <c r="H5492" s="4" t="s">
        <v>14</v>
      </c>
      <c r="I5492" s="4" t="s">
        <v>69</v>
      </c>
      <c r="J5492" s="4" t="s">
        <v>66</v>
      </c>
      <c r="K5492" s="4">
        <v>0</v>
      </c>
      <c r="L5492" s="94">
        <v>-890239</v>
      </c>
      <c r="M5492" s="94">
        <v>0</v>
      </c>
    </row>
    <row r="5493" spans="3:13" x14ac:dyDescent="0.3">
      <c r="C5493" t="s">
        <v>61</v>
      </c>
      <c r="D5493" t="s">
        <v>67</v>
      </c>
      <c r="E5493" t="s">
        <v>63</v>
      </c>
      <c r="F5493" t="s">
        <v>72</v>
      </c>
      <c r="G5493" s="4">
        <v>7</v>
      </c>
      <c r="H5493" s="4" t="s">
        <v>17</v>
      </c>
      <c r="I5493" s="4" t="s">
        <v>69</v>
      </c>
      <c r="J5493" s="4" t="s">
        <v>66</v>
      </c>
      <c r="K5493" s="4">
        <v>0</v>
      </c>
      <c r="L5493" s="94">
        <v>-1210</v>
      </c>
      <c r="M5493" s="94">
        <v>0</v>
      </c>
    </row>
    <row r="5494" spans="3:13" x14ac:dyDescent="0.3">
      <c r="C5494" t="s">
        <v>61</v>
      </c>
      <c r="D5494" t="s">
        <v>67</v>
      </c>
      <c r="E5494" t="s">
        <v>63</v>
      </c>
      <c r="F5494" t="s">
        <v>72</v>
      </c>
      <c r="G5494" s="4">
        <v>1</v>
      </c>
      <c r="H5494" s="4" t="s">
        <v>15</v>
      </c>
      <c r="I5494" s="4" t="s">
        <v>69</v>
      </c>
      <c r="J5494" s="4" t="s">
        <v>73</v>
      </c>
      <c r="K5494" s="4">
        <v>1</v>
      </c>
      <c r="L5494" s="94">
        <v>-469</v>
      </c>
      <c r="M5494" s="94">
        <v>0</v>
      </c>
    </row>
    <row r="5495" spans="3:13" x14ac:dyDescent="0.3">
      <c r="C5495" t="s">
        <v>70</v>
      </c>
      <c r="D5495" t="s">
        <v>67</v>
      </c>
      <c r="E5495" t="s">
        <v>63</v>
      </c>
      <c r="F5495" t="s">
        <v>25</v>
      </c>
      <c r="G5495" s="4">
        <v>4</v>
      </c>
      <c r="H5495" s="4" t="s">
        <v>14</v>
      </c>
      <c r="I5495" s="4" t="s">
        <v>69</v>
      </c>
      <c r="J5495" s="4" t="s">
        <v>66</v>
      </c>
      <c r="K5495" s="4">
        <v>1</v>
      </c>
      <c r="L5495" s="94">
        <v>-25988</v>
      </c>
      <c r="M5495" s="94">
        <v>0</v>
      </c>
    </row>
    <row r="5496" spans="3:13" x14ac:dyDescent="0.3">
      <c r="C5496" t="s">
        <v>61</v>
      </c>
      <c r="D5496" t="s">
        <v>67</v>
      </c>
      <c r="E5496" t="s">
        <v>63</v>
      </c>
      <c r="F5496" t="s">
        <v>25</v>
      </c>
      <c r="G5496" s="4">
        <v>5</v>
      </c>
      <c r="H5496" s="4" t="s">
        <v>79</v>
      </c>
      <c r="I5496" s="4" t="s">
        <v>65</v>
      </c>
      <c r="J5496" s="4" t="s">
        <v>66</v>
      </c>
      <c r="K5496" s="4">
        <v>1</v>
      </c>
      <c r="L5496" s="94">
        <v>-36</v>
      </c>
      <c r="M5496" s="94">
        <v>0</v>
      </c>
    </row>
    <row r="5497" spans="3:13" x14ac:dyDescent="0.3">
      <c r="C5497" t="s">
        <v>61</v>
      </c>
      <c r="D5497" t="s">
        <v>67</v>
      </c>
      <c r="E5497" t="s">
        <v>68</v>
      </c>
      <c r="F5497" t="s">
        <v>72</v>
      </c>
      <c r="G5497" s="4">
        <v>4</v>
      </c>
      <c r="H5497" s="4" t="s">
        <v>13</v>
      </c>
      <c r="I5497" s="4" t="s">
        <v>69</v>
      </c>
      <c r="J5497" s="4" t="s">
        <v>66</v>
      </c>
      <c r="K5497" s="4">
        <v>0</v>
      </c>
      <c r="L5497" s="94">
        <v>814067</v>
      </c>
      <c r="M5497" s="94">
        <v>3256268</v>
      </c>
    </row>
    <row r="5498" spans="3:13" x14ac:dyDescent="0.3">
      <c r="C5498" t="s">
        <v>70</v>
      </c>
      <c r="D5498" t="s">
        <v>67</v>
      </c>
      <c r="E5498" t="s">
        <v>68</v>
      </c>
      <c r="F5498" t="s">
        <v>25</v>
      </c>
      <c r="G5498" s="4">
        <v>8</v>
      </c>
      <c r="H5498" s="4" t="s">
        <v>76</v>
      </c>
      <c r="I5498" s="4" t="s">
        <v>69</v>
      </c>
      <c r="J5498" s="4" t="s">
        <v>66</v>
      </c>
      <c r="K5498" s="4">
        <v>0</v>
      </c>
      <c r="L5498" s="94">
        <v>921107</v>
      </c>
      <c r="M5498" s="94">
        <v>7368856</v>
      </c>
    </row>
    <row r="5499" spans="3:13" x14ac:dyDescent="0.3">
      <c r="C5499" t="s">
        <v>70</v>
      </c>
      <c r="D5499" t="s">
        <v>62</v>
      </c>
      <c r="E5499" t="s">
        <v>63</v>
      </c>
      <c r="F5499" t="s">
        <v>24</v>
      </c>
      <c r="G5499" s="4">
        <v>30</v>
      </c>
      <c r="I5499" s="4" t="s">
        <v>65</v>
      </c>
      <c r="J5499" s="4" t="s">
        <v>66</v>
      </c>
      <c r="K5499" s="4">
        <v>1</v>
      </c>
      <c r="L5499" s="94">
        <v>-33576</v>
      </c>
      <c r="M5499" s="94">
        <v>0</v>
      </c>
    </row>
    <row r="5500" spans="3:13" x14ac:dyDescent="0.3">
      <c r="C5500" t="s">
        <v>70</v>
      </c>
      <c r="D5500" t="s">
        <v>67</v>
      </c>
      <c r="E5500" t="s">
        <v>63</v>
      </c>
      <c r="F5500" t="s">
        <v>72</v>
      </c>
      <c r="G5500" s="4">
        <v>6</v>
      </c>
      <c r="H5500" s="4" t="s">
        <v>82</v>
      </c>
      <c r="I5500" s="4" t="s">
        <v>69</v>
      </c>
      <c r="J5500" s="4" t="s">
        <v>66</v>
      </c>
      <c r="K5500" s="4">
        <v>0</v>
      </c>
      <c r="L5500" s="94">
        <v>-84139</v>
      </c>
      <c r="M5500" s="94">
        <v>0</v>
      </c>
    </row>
    <row r="5501" spans="3:13" x14ac:dyDescent="0.3">
      <c r="C5501" t="s">
        <v>70</v>
      </c>
      <c r="D5501" t="s">
        <v>62</v>
      </c>
      <c r="E5501" t="s">
        <v>63</v>
      </c>
      <c r="F5501" t="s">
        <v>24</v>
      </c>
      <c r="G5501" s="4">
        <v>8</v>
      </c>
      <c r="I5501" s="4" t="s">
        <v>69</v>
      </c>
      <c r="J5501" s="4" t="s">
        <v>66</v>
      </c>
      <c r="K5501" s="4">
        <v>0</v>
      </c>
      <c r="L5501" s="94">
        <v>-380932</v>
      </c>
      <c r="M5501" s="94">
        <v>0</v>
      </c>
    </row>
    <row r="5502" spans="3:13" x14ac:dyDescent="0.3">
      <c r="C5502" t="s">
        <v>70</v>
      </c>
      <c r="D5502" t="s">
        <v>62</v>
      </c>
      <c r="E5502" t="s">
        <v>68</v>
      </c>
      <c r="F5502" t="s">
        <v>25</v>
      </c>
      <c r="G5502" s="4">
        <v>23</v>
      </c>
      <c r="I5502" s="4" t="s">
        <v>69</v>
      </c>
      <c r="J5502" s="4" t="s">
        <v>66</v>
      </c>
      <c r="K5502" s="4">
        <v>0</v>
      </c>
      <c r="L5502" s="94">
        <v>129328</v>
      </c>
      <c r="M5502" s="94">
        <v>2974544</v>
      </c>
    </row>
    <row r="5503" spans="3:13" x14ac:dyDescent="0.3">
      <c r="C5503" t="s">
        <v>61</v>
      </c>
      <c r="D5503" t="s">
        <v>67</v>
      </c>
      <c r="E5503" t="s">
        <v>63</v>
      </c>
      <c r="F5503" t="s">
        <v>26</v>
      </c>
      <c r="G5503" s="4">
        <v>1</v>
      </c>
      <c r="H5503" s="4" t="s">
        <v>14</v>
      </c>
      <c r="I5503" s="4" t="s">
        <v>69</v>
      </c>
      <c r="J5503" s="4" t="s">
        <v>73</v>
      </c>
      <c r="K5503" s="4">
        <v>1</v>
      </c>
      <c r="L5503" s="94">
        <v>-184428</v>
      </c>
      <c r="M5503" s="94">
        <v>0</v>
      </c>
    </row>
    <row r="5504" spans="3:13" x14ac:dyDescent="0.3">
      <c r="C5504" t="s">
        <v>70</v>
      </c>
      <c r="D5504" t="s">
        <v>67</v>
      </c>
      <c r="E5504" t="s">
        <v>68</v>
      </c>
      <c r="F5504" t="s">
        <v>72</v>
      </c>
      <c r="G5504" s="4">
        <v>0</v>
      </c>
      <c r="H5504" s="4" t="s">
        <v>17</v>
      </c>
      <c r="I5504" s="4" t="s">
        <v>69</v>
      </c>
      <c r="J5504" s="4" t="s">
        <v>66</v>
      </c>
      <c r="K5504" s="4">
        <v>0</v>
      </c>
      <c r="L5504" s="94">
        <v>1154777</v>
      </c>
      <c r="M5504" s="94">
        <v>0</v>
      </c>
    </row>
    <row r="5505" spans="3:13" x14ac:dyDescent="0.3">
      <c r="C5505" t="s">
        <v>70</v>
      </c>
      <c r="D5505" t="s">
        <v>67</v>
      </c>
      <c r="E5505" t="s">
        <v>68</v>
      </c>
      <c r="F5505" t="s">
        <v>25</v>
      </c>
      <c r="G5505" s="4">
        <v>1</v>
      </c>
      <c r="H5505" s="4" t="s">
        <v>74</v>
      </c>
      <c r="I5505" s="4" t="s">
        <v>69</v>
      </c>
      <c r="J5505" s="4" t="s">
        <v>66</v>
      </c>
      <c r="K5505" s="4">
        <v>0</v>
      </c>
      <c r="L5505" s="94">
        <v>577253</v>
      </c>
      <c r="M5505" s="94">
        <v>577253</v>
      </c>
    </row>
    <row r="5506" spans="3:13" x14ac:dyDescent="0.3">
      <c r="C5506" t="s">
        <v>70</v>
      </c>
      <c r="D5506" t="s">
        <v>67</v>
      </c>
      <c r="E5506" t="s">
        <v>68</v>
      </c>
      <c r="F5506" t="s">
        <v>26</v>
      </c>
      <c r="G5506" s="4">
        <v>-1</v>
      </c>
      <c r="H5506" s="4" t="s">
        <v>64</v>
      </c>
      <c r="I5506" s="4" t="s">
        <v>69</v>
      </c>
      <c r="J5506" s="4" t="s">
        <v>66</v>
      </c>
      <c r="K5506" s="4">
        <v>0</v>
      </c>
      <c r="L5506" s="94">
        <v>7210881</v>
      </c>
      <c r="M5506" s="94">
        <v>0</v>
      </c>
    </row>
    <row r="5507" spans="3:13" x14ac:dyDescent="0.3">
      <c r="C5507" t="s">
        <v>61</v>
      </c>
      <c r="D5507" t="s">
        <v>67</v>
      </c>
      <c r="E5507" t="s">
        <v>68</v>
      </c>
      <c r="F5507" t="s">
        <v>26</v>
      </c>
      <c r="G5507" s="4">
        <v>3</v>
      </c>
      <c r="H5507" s="4" t="s">
        <v>17</v>
      </c>
      <c r="I5507" s="4" t="s">
        <v>65</v>
      </c>
      <c r="J5507" s="4" t="s">
        <v>66</v>
      </c>
      <c r="K5507" s="4">
        <v>1</v>
      </c>
      <c r="L5507" s="94">
        <v>212038</v>
      </c>
      <c r="M5507" s="94">
        <v>636114</v>
      </c>
    </row>
    <row r="5508" spans="3:13" x14ac:dyDescent="0.3">
      <c r="C5508" t="s">
        <v>61</v>
      </c>
      <c r="D5508" t="s">
        <v>67</v>
      </c>
      <c r="E5508" t="s">
        <v>63</v>
      </c>
      <c r="F5508" t="s">
        <v>26</v>
      </c>
      <c r="G5508" s="4">
        <v>5</v>
      </c>
      <c r="H5508" s="4" t="s">
        <v>76</v>
      </c>
      <c r="I5508" s="4" t="s">
        <v>69</v>
      </c>
      <c r="J5508" s="4" t="s">
        <v>66</v>
      </c>
      <c r="K5508" s="4">
        <v>0</v>
      </c>
      <c r="L5508" s="94">
        <v>-39276</v>
      </c>
      <c r="M5508" s="94">
        <v>0</v>
      </c>
    </row>
    <row r="5509" spans="3:13" x14ac:dyDescent="0.3">
      <c r="C5509" t="s">
        <v>71</v>
      </c>
      <c r="D5509" t="s">
        <v>67</v>
      </c>
      <c r="E5509" t="s">
        <v>63</v>
      </c>
      <c r="F5509" t="s">
        <v>26</v>
      </c>
      <c r="G5509" s="4">
        <v>-1</v>
      </c>
      <c r="H5509" s="4" t="s">
        <v>75</v>
      </c>
      <c r="I5509" s="4" t="s">
        <v>65</v>
      </c>
      <c r="J5509" s="4" t="s">
        <v>66</v>
      </c>
      <c r="K5509" s="4">
        <v>1</v>
      </c>
      <c r="L5509" s="94">
        <v>-22226</v>
      </c>
      <c r="M5509" s="94">
        <v>0</v>
      </c>
    </row>
    <row r="5510" spans="3:13" x14ac:dyDescent="0.3">
      <c r="C5510" t="s">
        <v>61</v>
      </c>
      <c r="D5510" t="s">
        <v>67</v>
      </c>
      <c r="E5510" t="s">
        <v>68</v>
      </c>
      <c r="F5510" t="s">
        <v>26</v>
      </c>
      <c r="G5510" s="4">
        <v>3</v>
      </c>
      <c r="H5510" s="4" t="s">
        <v>12</v>
      </c>
      <c r="I5510" s="4" t="s">
        <v>69</v>
      </c>
      <c r="J5510" s="4" t="s">
        <v>73</v>
      </c>
      <c r="K5510" s="4">
        <v>1</v>
      </c>
      <c r="L5510" s="94">
        <v>7952479</v>
      </c>
      <c r="M5510" s="94">
        <v>23857437</v>
      </c>
    </row>
    <row r="5511" spans="3:13" x14ac:dyDescent="0.3">
      <c r="C5511" t="s">
        <v>61</v>
      </c>
      <c r="D5511" t="s">
        <v>67</v>
      </c>
      <c r="E5511" t="s">
        <v>63</v>
      </c>
      <c r="F5511" t="s">
        <v>25</v>
      </c>
      <c r="G5511" s="4">
        <v>5</v>
      </c>
      <c r="H5511" s="4" t="s">
        <v>16</v>
      </c>
      <c r="I5511" s="4" t="s">
        <v>69</v>
      </c>
      <c r="J5511" s="4" t="s">
        <v>66</v>
      </c>
      <c r="K5511" s="4">
        <v>0</v>
      </c>
      <c r="L5511" s="94">
        <v>-729</v>
      </c>
      <c r="M5511" s="94">
        <v>0</v>
      </c>
    </row>
    <row r="5512" spans="3:13" x14ac:dyDescent="0.3">
      <c r="C5512" t="s">
        <v>61</v>
      </c>
      <c r="D5512" t="s">
        <v>67</v>
      </c>
      <c r="E5512" t="s">
        <v>68</v>
      </c>
      <c r="F5512" t="s">
        <v>25</v>
      </c>
      <c r="G5512" s="4">
        <v>14</v>
      </c>
      <c r="H5512" s="4" t="s">
        <v>64</v>
      </c>
      <c r="I5512" s="4" t="s">
        <v>69</v>
      </c>
      <c r="J5512" s="4" t="s">
        <v>66</v>
      </c>
      <c r="K5512" s="4">
        <v>0</v>
      </c>
      <c r="L5512" s="94">
        <v>295739</v>
      </c>
      <c r="M5512" s="94">
        <v>4140346</v>
      </c>
    </row>
    <row r="5513" spans="3:13" x14ac:dyDescent="0.3">
      <c r="C5513" t="s">
        <v>70</v>
      </c>
      <c r="D5513" t="s">
        <v>67</v>
      </c>
      <c r="E5513" t="s">
        <v>68</v>
      </c>
      <c r="F5513" t="s">
        <v>25</v>
      </c>
      <c r="G5513" s="4">
        <v>15</v>
      </c>
      <c r="H5513" s="4" t="s">
        <v>14</v>
      </c>
      <c r="I5513" s="4" t="s">
        <v>69</v>
      </c>
      <c r="J5513" s="4" t="s">
        <v>66</v>
      </c>
      <c r="K5513" s="4">
        <v>0</v>
      </c>
      <c r="L5513" s="94">
        <v>178307</v>
      </c>
      <c r="M5513" s="94">
        <v>2674605</v>
      </c>
    </row>
    <row r="5514" spans="3:13" x14ac:dyDescent="0.3">
      <c r="C5514" t="s">
        <v>71</v>
      </c>
      <c r="D5514" t="s">
        <v>62</v>
      </c>
      <c r="E5514" t="s">
        <v>63</v>
      </c>
      <c r="F5514" t="s">
        <v>24</v>
      </c>
      <c r="G5514" s="4">
        <v>30</v>
      </c>
      <c r="I5514" s="4" t="s">
        <v>65</v>
      </c>
      <c r="J5514" s="4" t="s">
        <v>66</v>
      </c>
      <c r="K5514" s="4">
        <v>1</v>
      </c>
      <c r="L5514" s="94">
        <v>-92921</v>
      </c>
      <c r="M5514" s="94">
        <v>0</v>
      </c>
    </row>
    <row r="5515" spans="3:13" x14ac:dyDescent="0.3">
      <c r="C5515" t="s">
        <v>61</v>
      </c>
      <c r="D5515" t="s">
        <v>62</v>
      </c>
      <c r="E5515" t="s">
        <v>63</v>
      </c>
      <c r="F5515" t="s">
        <v>25</v>
      </c>
      <c r="G5515" s="4">
        <v>13</v>
      </c>
      <c r="I5515" s="4" t="s">
        <v>65</v>
      </c>
      <c r="J5515" s="4" t="s">
        <v>66</v>
      </c>
      <c r="K5515" s="4">
        <v>1</v>
      </c>
      <c r="L5515" s="94">
        <v>-169</v>
      </c>
      <c r="M5515" s="94">
        <v>0</v>
      </c>
    </row>
    <row r="5516" spans="3:13" x14ac:dyDescent="0.3">
      <c r="C5516" t="s">
        <v>61</v>
      </c>
      <c r="D5516" t="s">
        <v>84</v>
      </c>
      <c r="E5516" t="s">
        <v>63</v>
      </c>
      <c r="F5516" t="s">
        <v>25</v>
      </c>
      <c r="G5516" s="4">
        <v>11</v>
      </c>
      <c r="H5516" s="4" t="s">
        <v>81</v>
      </c>
      <c r="I5516" s="4" t="s">
        <v>69</v>
      </c>
      <c r="J5516" s="4" t="s">
        <v>66</v>
      </c>
      <c r="K5516" s="4">
        <v>0</v>
      </c>
      <c r="L5516" s="94">
        <v>-125</v>
      </c>
      <c r="M5516" s="94">
        <v>0</v>
      </c>
    </row>
    <row r="5517" spans="3:13" x14ac:dyDescent="0.3">
      <c r="C5517" t="s">
        <v>71</v>
      </c>
      <c r="D5517" t="s">
        <v>67</v>
      </c>
      <c r="E5517" t="s">
        <v>63</v>
      </c>
      <c r="F5517" t="s">
        <v>26</v>
      </c>
      <c r="G5517" s="4">
        <v>11</v>
      </c>
      <c r="H5517" s="4" t="s">
        <v>64</v>
      </c>
      <c r="I5517" s="4" t="s">
        <v>69</v>
      </c>
      <c r="J5517" s="4" t="s">
        <v>66</v>
      </c>
      <c r="K5517" s="4">
        <v>0</v>
      </c>
      <c r="L5517" s="94">
        <v>-4361741</v>
      </c>
      <c r="M5517" s="94">
        <v>0</v>
      </c>
    </row>
    <row r="5518" spans="3:13" x14ac:dyDescent="0.3">
      <c r="C5518" t="s">
        <v>71</v>
      </c>
      <c r="D5518" t="s">
        <v>62</v>
      </c>
      <c r="E5518" t="s">
        <v>68</v>
      </c>
      <c r="F5518" t="s">
        <v>24</v>
      </c>
      <c r="G5518" s="4">
        <v>10</v>
      </c>
      <c r="I5518" s="4" t="s">
        <v>69</v>
      </c>
      <c r="J5518" s="4" t="s">
        <v>66</v>
      </c>
      <c r="K5518" s="4">
        <v>1</v>
      </c>
      <c r="L5518" s="94">
        <v>92351</v>
      </c>
      <c r="M5518" s="94">
        <v>923510</v>
      </c>
    </row>
    <row r="5519" spans="3:13" x14ac:dyDescent="0.3">
      <c r="C5519" t="s">
        <v>70</v>
      </c>
      <c r="D5519" t="s">
        <v>67</v>
      </c>
      <c r="E5519" t="s">
        <v>63</v>
      </c>
      <c r="F5519" t="s">
        <v>26</v>
      </c>
      <c r="G5519" s="4">
        <v>7</v>
      </c>
      <c r="H5519" s="4" t="s">
        <v>83</v>
      </c>
      <c r="I5519" s="4" t="s">
        <v>69</v>
      </c>
      <c r="J5519" s="4" t="s">
        <v>66</v>
      </c>
      <c r="K5519" s="4">
        <v>0</v>
      </c>
      <c r="L5519" s="94">
        <v>-756</v>
      </c>
      <c r="M5519" s="94">
        <v>0</v>
      </c>
    </row>
    <row r="5520" spans="3:13" x14ac:dyDescent="0.3">
      <c r="C5520" t="s">
        <v>61</v>
      </c>
      <c r="D5520" t="s">
        <v>67</v>
      </c>
      <c r="E5520" t="s">
        <v>68</v>
      </c>
      <c r="F5520" t="s">
        <v>26</v>
      </c>
      <c r="G5520" s="4">
        <v>5</v>
      </c>
      <c r="H5520" s="4" t="s">
        <v>82</v>
      </c>
      <c r="I5520" s="4" t="s">
        <v>65</v>
      </c>
      <c r="J5520" s="4" t="s">
        <v>66</v>
      </c>
      <c r="K5520" s="4">
        <v>1</v>
      </c>
      <c r="L5520" s="94">
        <v>1910976</v>
      </c>
      <c r="M5520" s="94">
        <v>9554880</v>
      </c>
    </row>
    <row r="5521" spans="3:13" x14ac:dyDescent="0.3">
      <c r="C5521" t="s">
        <v>61</v>
      </c>
      <c r="D5521" t="s">
        <v>67</v>
      </c>
      <c r="E5521" t="s">
        <v>68</v>
      </c>
      <c r="F5521" t="s">
        <v>25</v>
      </c>
      <c r="G5521" s="4">
        <v>5</v>
      </c>
      <c r="H5521" s="4" t="s">
        <v>74</v>
      </c>
      <c r="I5521" s="4" t="s">
        <v>69</v>
      </c>
      <c r="J5521" s="4" t="s">
        <v>66</v>
      </c>
      <c r="K5521" s="4">
        <v>0</v>
      </c>
      <c r="L5521" s="94">
        <v>10008720</v>
      </c>
      <c r="M5521" s="94">
        <v>50043600</v>
      </c>
    </row>
    <row r="5522" spans="3:13" x14ac:dyDescent="0.3">
      <c r="C5522" t="s">
        <v>71</v>
      </c>
      <c r="D5522" t="s">
        <v>67</v>
      </c>
      <c r="E5522" t="s">
        <v>63</v>
      </c>
      <c r="F5522" t="s">
        <v>25</v>
      </c>
      <c r="G5522" s="4">
        <v>2</v>
      </c>
      <c r="H5522" s="4" t="s">
        <v>76</v>
      </c>
      <c r="I5522" s="4" t="s">
        <v>69</v>
      </c>
      <c r="J5522" s="4" t="s">
        <v>66</v>
      </c>
      <c r="K5522" s="4">
        <v>0</v>
      </c>
      <c r="L5522" s="94">
        <v>-186081</v>
      </c>
      <c r="M5522" s="94">
        <v>0</v>
      </c>
    </row>
    <row r="5523" spans="3:13" x14ac:dyDescent="0.3">
      <c r="C5523" t="s">
        <v>71</v>
      </c>
      <c r="D5523" t="s">
        <v>62</v>
      </c>
      <c r="E5523" t="s">
        <v>68</v>
      </c>
      <c r="F5523" t="s">
        <v>24</v>
      </c>
      <c r="G5523" s="4">
        <v>7</v>
      </c>
      <c r="I5523" s="4" t="s">
        <v>69</v>
      </c>
      <c r="J5523" s="4" t="s">
        <v>66</v>
      </c>
      <c r="K5523" s="4">
        <v>0</v>
      </c>
      <c r="L5523" s="94">
        <v>2394159</v>
      </c>
      <c r="M5523" s="94">
        <v>16759113</v>
      </c>
    </row>
    <row r="5524" spans="3:13" x14ac:dyDescent="0.3">
      <c r="C5524" t="s">
        <v>71</v>
      </c>
      <c r="D5524" t="s">
        <v>62</v>
      </c>
      <c r="E5524" t="s">
        <v>63</v>
      </c>
      <c r="F5524" t="s">
        <v>24</v>
      </c>
      <c r="G5524" s="4">
        <v>8</v>
      </c>
      <c r="I5524" s="4" t="s">
        <v>69</v>
      </c>
      <c r="J5524" s="4" t="s">
        <v>66</v>
      </c>
      <c r="K5524" s="4">
        <v>0</v>
      </c>
      <c r="L5524" s="94">
        <v>-719456</v>
      </c>
      <c r="M5524" s="94">
        <v>0</v>
      </c>
    </row>
    <row r="5525" spans="3:13" x14ac:dyDescent="0.3">
      <c r="C5525" t="s">
        <v>61</v>
      </c>
      <c r="D5525" t="s">
        <v>67</v>
      </c>
      <c r="E5525" t="s">
        <v>63</v>
      </c>
      <c r="F5525" t="s">
        <v>72</v>
      </c>
      <c r="G5525" s="4">
        <v>6</v>
      </c>
      <c r="H5525" s="4" t="s">
        <v>82</v>
      </c>
      <c r="I5525" s="4" t="s">
        <v>69</v>
      </c>
      <c r="J5525" s="4" t="s">
        <v>66</v>
      </c>
      <c r="K5525" s="4">
        <v>0</v>
      </c>
      <c r="L5525" s="94">
        <v>-5831</v>
      </c>
      <c r="M5525" s="94">
        <v>0</v>
      </c>
    </row>
    <row r="5526" spans="3:13" x14ac:dyDescent="0.3">
      <c r="C5526" t="s">
        <v>61</v>
      </c>
      <c r="D5526" t="s">
        <v>67</v>
      </c>
      <c r="E5526" t="s">
        <v>63</v>
      </c>
      <c r="F5526" t="s">
        <v>25</v>
      </c>
      <c r="G5526" s="4">
        <v>9</v>
      </c>
      <c r="H5526" s="4" t="s">
        <v>18</v>
      </c>
      <c r="I5526" s="4" t="s">
        <v>65</v>
      </c>
      <c r="J5526" s="4" t="s">
        <v>66</v>
      </c>
      <c r="K5526" s="4">
        <v>1</v>
      </c>
      <c r="L5526" s="94">
        <v>-392</v>
      </c>
      <c r="M5526" s="94">
        <v>0</v>
      </c>
    </row>
    <row r="5527" spans="3:13" x14ac:dyDescent="0.3">
      <c r="C5527" t="s">
        <v>61</v>
      </c>
      <c r="D5527" t="s">
        <v>67</v>
      </c>
      <c r="E5527" t="s">
        <v>68</v>
      </c>
      <c r="F5527" t="s">
        <v>72</v>
      </c>
      <c r="G5527" s="4">
        <v>7</v>
      </c>
      <c r="H5527" s="4" t="s">
        <v>77</v>
      </c>
      <c r="I5527" s="4" t="s">
        <v>69</v>
      </c>
      <c r="J5527" s="4" t="s">
        <v>66</v>
      </c>
      <c r="K5527" s="4">
        <v>0</v>
      </c>
      <c r="L5527" s="94">
        <v>73537</v>
      </c>
      <c r="M5527" s="94">
        <v>514759</v>
      </c>
    </row>
    <row r="5528" spans="3:13" x14ac:dyDescent="0.3">
      <c r="C5528" t="s">
        <v>61</v>
      </c>
      <c r="D5528" t="s">
        <v>67</v>
      </c>
      <c r="E5528" t="s">
        <v>68</v>
      </c>
      <c r="F5528" t="s">
        <v>26</v>
      </c>
      <c r="G5528" s="4">
        <v>12</v>
      </c>
      <c r="H5528" s="4" t="s">
        <v>12</v>
      </c>
      <c r="I5528" s="4" t="s">
        <v>69</v>
      </c>
      <c r="J5528" s="4" t="s">
        <v>73</v>
      </c>
      <c r="K5528" s="4">
        <v>1</v>
      </c>
      <c r="L5528" s="94">
        <v>2752582</v>
      </c>
      <c r="M5528" s="94">
        <v>33030984</v>
      </c>
    </row>
    <row r="5529" spans="3:13" x14ac:dyDescent="0.3">
      <c r="C5529" t="s">
        <v>70</v>
      </c>
      <c r="D5529" t="s">
        <v>67</v>
      </c>
      <c r="E5529" t="s">
        <v>68</v>
      </c>
      <c r="F5529" t="s">
        <v>26</v>
      </c>
      <c r="G5529" s="4">
        <v>0</v>
      </c>
      <c r="H5529" s="4" t="s">
        <v>18</v>
      </c>
      <c r="I5529" s="4" t="s">
        <v>69</v>
      </c>
      <c r="J5529" s="4" t="s">
        <v>66</v>
      </c>
      <c r="K5529" s="4">
        <v>0</v>
      </c>
      <c r="L5529" s="94">
        <v>15849013</v>
      </c>
      <c r="M5529" s="94">
        <v>0</v>
      </c>
    </row>
    <row r="5530" spans="3:13" x14ac:dyDescent="0.3">
      <c r="C5530" t="s">
        <v>61</v>
      </c>
      <c r="D5530" t="s">
        <v>67</v>
      </c>
      <c r="E5530" t="s">
        <v>68</v>
      </c>
      <c r="F5530" t="s">
        <v>25</v>
      </c>
      <c r="G5530" s="4">
        <v>12</v>
      </c>
      <c r="H5530" s="4" t="s">
        <v>78</v>
      </c>
      <c r="I5530" s="4" t="s">
        <v>69</v>
      </c>
      <c r="J5530" s="4" t="s">
        <v>66</v>
      </c>
      <c r="K5530" s="4">
        <v>0</v>
      </c>
      <c r="L5530" s="94">
        <v>2426403</v>
      </c>
      <c r="M5530" s="94">
        <v>29116836</v>
      </c>
    </row>
    <row r="5531" spans="3:13" x14ac:dyDescent="0.3">
      <c r="C5531" t="s">
        <v>70</v>
      </c>
      <c r="D5531" t="s">
        <v>62</v>
      </c>
      <c r="E5531" t="s">
        <v>63</v>
      </c>
      <c r="F5531" t="s">
        <v>24</v>
      </c>
      <c r="G5531" s="4">
        <v>19</v>
      </c>
      <c r="I5531" s="4" t="s">
        <v>69</v>
      </c>
      <c r="J5531" s="4" t="s">
        <v>66</v>
      </c>
      <c r="K5531" s="4">
        <v>1</v>
      </c>
      <c r="L5531" s="94">
        <v>-4206</v>
      </c>
      <c r="M5531" s="94">
        <v>0</v>
      </c>
    </row>
    <row r="5532" spans="3:13" x14ac:dyDescent="0.3">
      <c r="C5532" t="s">
        <v>61</v>
      </c>
      <c r="D5532" t="s">
        <v>67</v>
      </c>
      <c r="E5532" t="s">
        <v>68</v>
      </c>
      <c r="F5532" t="s">
        <v>26</v>
      </c>
      <c r="G5532" s="4">
        <v>-1</v>
      </c>
      <c r="H5532" s="4" t="s">
        <v>14</v>
      </c>
      <c r="I5532" s="4" t="s">
        <v>69</v>
      </c>
      <c r="J5532" s="4" t="s">
        <v>73</v>
      </c>
      <c r="K5532" s="4">
        <v>1</v>
      </c>
      <c r="L5532" s="94">
        <v>87929546</v>
      </c>
      <c r="M5532" s="94">
        <v>0</v>
      </c>
    </row>
    <row r="5533" spans="3:13" x14ac:dyDescent="0.3">
      <c r="C5533" t="s">
        <v>61</v>
      </c>
      <c r="D5533" t="s">
        <v>67</v>
      </c>
      <c r="E5533" t="s">
        <v>68</v>
      </c>
      <c r="F5533" t="s">
        <v>26</v>
      </c>
      <c r="G5533" s="4">
        <v>-1</v>
      </c>
      <c r="H5533" s="4" t="s">
        <v>15</v>
      </c>
      <c r="I5533" s="4" t="s">
        <v>65</v>
      </c>
      <c r="J5533" s="4" t="s">
        <v>66</v>
      </c>
      <c r="K5533" s="4">
        <v>1</v>
      </c>
      <c r="L5533" s="94">
        <v>552</v>
      </c>
      <c r="M5533" s="94">
        <v>0</v>
      </c>
    </row>
    <row r="5534" spans="3:13" x14ac:dyDescent="0.3">
      <c r="C5534" t="s">
        <v>61</v>
      </c>
      <c r="D5534" t="s">
        <v>67</v>
      </c>
      <c r="E5534" t="s">
        <v>63</v>
      </c>
      <c r="F5534" t="s">
        <v>25</v>
      </c>
      <c r="G5534" s="4">
        <v>14</v>
      </c>
      <c r="H5534" s="4" t="s">
        <v>75</v>
      </c>
      <c r="I5534" s="4" t="s">
        <v>69</v>
      </c>
      <c r="J5534" s="4" t="s">
        <v>66</v>
      </c>
      <c r="K5534" s="4">
        <v>0</v>
      </c>
      <c r="L5534" s="94">
        <v>-32055</v>
      </c>
      <c r="M5534" s="94">
        <v>0</v>
      </c>
    </row>
    <row r="5535" spans="3:13" x14ac:dyDescent="0.3">
      <c r="C5535" t="s">
        <v>71</v>
      </c>
      <c r="D5535" t="s">
        <v>67</v>
      </c>
      <c r="E5535" t="s">
        <v>63</v>
      </c>
      <c r="F5535" t="s">
        <v>26</v>
      </c>
      <c r="G5535" s="4">
        <v>4</v>
      </c>
      <c r="H5535" s="4" t="s">
        <v>13</v>
      </c>
      <c r="I5535" s="4" t="s">
        <v>69</v>
      </c>
      <c r="J5535" s="4" t="s">
        <v>73</v>
      </c>
      <c r="K5535" s="4">
        <v>1</v>
      </c>
      <c r="L5535" s="94">
        <v>-128901</v>
      </c>
      <c r="M5535" s="94">
        <v>0</v>
      </c>
    </row>
    <row r="5536" spans="3:13" x14ac:dyDescent="0.3"/>
    <row r="5537" hidden="1" x14ac:dyDescent="0.3"/>
    <row r="5538" hidden="1" x14ac:dyDescent="0.3"/>
    <row r="5539" hidden="1" x14ac:dyDescent="0.3"/>
    <row r="5540" hidden="1" x14ac:dyDescent="0.3"/>
    <row r="5541" hidden="1" x14ac:dyDescent="0.3"/>
    <row r="5542" hidden="1" x14ac:dyDescent="0.3"/>
    <row r="5543" hidden="1" x14ac:dyDescent="0.3"/>
    <row r="5544" hidden="1" x14ac:dyDescent="0.3"/>
    <row r="5545" hidden="1" x14ac:dyDescent="0.3"/>
    <row r="5546" hidden="1" x14ac:dyDescent="0.3"/>
    <row r="5547" hidden="1" x14ac:dyDescent="0.3"/>
    <row r="5548" hidden="1" x14ac:dyDescent="0.3"/>
    <row r="5549" hidden="1" x14ac:dyDescent="0.3"/>
    <row r="5550" hidden="1" x14ac:dyDescent="0.3"/>
    <row r="5551" hidden="1" x14ac:dyDescent="0.3"/>
    <row r="5552" hidden="1" x14ac:dyDescent="0.3"/>
    <row r="5553" hidden="1" x14ac:dyDescent="0.3"/>
    <row r="5554" hidden="1" x14ac:dyDescent="0.3"/>
    <row r="5555" hidden="1" x14ac:dyDescent="0.3"/>
    <row r="5556" hidden="1" x14ac:dyDescent="0.3"/>
    <row r="5557" hidden="1" x14ac:dyDescent="0.3"/>
    <row r="5558" hidden="1" x14ac:dyDescent="0.3"/>
    <row r="5559" hidden="1" x14ac:dyDescent="0.3"/>
    <row r="5560" hidden="1" x14ac:dyDescent="0.3"/>
    <row r="5561" hidden="1" x14ac:dyDescent="0.3"/>
    <row r="5562" hidden="1" x14ac:dyDescent="0.3"/>
    <row r="5563" hidden="1" x14ac:dyDescent="0.3"/>
    <row r="5564" hidden="1" x14ac:dyDescent="0.3"/>
    <row r="5565" hidden="1" x14ac:dyDescent="0.3"/>
    <row r="5566" hidden="1" x14ac:dyDescent="0.3"/>
    <row r="5567" hidden="1" x14ac:dyDescent="0.3"/>
    <row r="5568" hidden="1" x14ac:dyDescent="0.3"/>
    <row r="5569" hidden="1" x14ac:dyDescent="0.3"/>
    <row r="5570" hidden="1" x14ac:dyDescent="0.3"/>
    <row r="5571" hidden="1" x14ac:dyDescent="0.3"/>
    <row r="5572" hidden="1" x14ac:dyDescent="0.3"/>
    <row r="5573" hidden="1" x14ac:dyDescent="0.3"/>
    <row r="5574" hidden="1" x14ac:dyDescent="0.3"/>
    <row r="5575" hidden="1" x14ac:dyDescent="0.3"/>
    <row r="5576" hidden="1" x14ac:dyDescent="0.3"/>
    <row r="5577" hidden="1" x14ac:dyDescent="0.3"/>
    <row r="5578" hidden="1" x14ac:dyDescent="0.3"/>
    <row r="5579" hidden="1" x14ac:dyDescent="0.3"/>
    <row r="5580" hidden="1" x14ac:dyDescent="0.3"/>
    <row r="5581" hidden="1" x14ac:dyDescent="0.3"/>
    <row r="5582" hidden="1" x14ac:dyDescent="0.3"/>
    <row r="5583" hidden="1" x14ac:dyDescent="0.3"/>
    <row r="5584" hidden="1" x14ac:dyDescent="0.3"/>
    <row r="5585" hidden="1" x14ac:dyDescent="0.3"/>
    <row r="5586" hidden="1" x14ac:dyDescent="0.3"/>
    <row r="5587" hidden="1" x14ac:dyDescent="0.3"/>
    <row r="5588" hidden="1" x14ac:dyDescent="0.3"/>
    <row r="5589" hidden="1" x14ac:dyDescent="0.3"/>
    <row r="5590" hidden="1" x14ac:dyDescent="0.3"/>
    <row r="5591" hidden="1" x14ac:dyDescent="0.3"/>
    <row r="5592" hidden="1" x14ac:dyDescent="0.3"/>
    <row r="5593" hidden="1" x14ac:dyDescent="0.3"/>
    <row r="5594" hidden="1" x14ac:dyDescent="0.3"/>
    <row r="5595" hidden="1" x14ac:dyDescent="0.3"/>
    <row r="5596" hidden="1" x14ac:dyDescent="0.3"/>
    <row r="5597" hidden="1" x14ac:dyDescent="0.3"/>
    <row r="5598" hidden="1" x14ac:dyDescent="0.3"/>
    <row r="5599" hidden="1" x14ac:dyDescent="0.3"/>
    <row r="5600" hidden="1" x14ac:dyDescent="0.3"/>
    <row r="5601" hidden="1" x14ac:dyDescent="0.3"/>
    <row r="5602" hidden="1" x14ac:dyDescent="0.3"/>
    <row r="5603" hidden="1" x14ac:dyDescent="0.3"/>
    <row r="5604" hidden="1" x14ac:dyDescent="0.3"/>
    <row r="5605" hidden="1" x14ac:dyDescent="0.3"/>
    <row r="5606" hidden="1" x14ac:dyDescent="0.3"/>
    <row r="5607" hidden="1" x14ac:dyDescent="0.3"/>
    <row r="5608" hidden="1" x14ac:dyDescent="0.3"/>
    <row r="5609" hidden="1" x14ac:dyDescent="0.3"/>
    <row r="5610" hidden="1" x14ac:dyDescent="0.3"/>
    <row r="5611" hidden="1" x14ac:dyDescent="0.3"/>
    <row r="5612" hidden="1" x14ac:dyDescent="0.3"/>
    <row r="5613" hidden="1" x14ac:dyDescent="0.3"/>
    <row r="5614" hidden="1" x14ac:dyDescent="0.3"/>
    <row r="5615" hidden="1" x14ac:dyDescent="0.3"/>
    <row r="5616" hidden="1" x14ac:dyDescent="0.3"/>
    <row r="5617" hidden="1" x14ac:dyDescent="0.3"/>
    <row r="5618" hidden="1" x14ac:dyDescent="0.3"/>
    <row r="5619" hidden="1" x14ac:dyDescent="0.3"/>
    <row r="5620" hidden="1" x14ac:dyDescent="0.3"/>
    <row r="5621" hidden="1" x14ac:dyDescent="0.3"/>
    <row r="5622" hidden="1" x14ac:dyDescent="0.3"/>
    <row r="5623" hidden="1" x14ac:dyDescent="0.3"/>
    <row r="5624" hidden="1" x14ac:dyDescent="0.3"/>
    <row r="5625" hidden="1" x14ac:dyDescent="0.3"/>
    <row r="5626" hidden="1" x14ac:dyDescent="0.3"/>
    <row r="5627" hidden="1" x14ac:dyDescent="0.3"/>
    <row r="5628" hidden="1" x14ac:dyDescent="0.3"/>
    <row r="5629" hidden="1" x14ac:dyDescent="0.3"/>
    <row r="5630" hidden="1" x14ac:dyDescent="0.3"/>
    <row r="5631" hidden="1" x14ac:dyDescent="0.3"/>
    <row r="5632" hidden="1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:S54"/>
  <sheetViews>
    <sheetView showGridLines="0" zoomScale="90" zoomScaleNormal="90" workbookViewId="0"/>
  </sheetViews>
  <sheetFormatPr defaultColWidth="8.88671875" defaultRowHeight="13.8" x14ac:dyDescent="0.3"/>
  <cols>
    <col min="1" max="1" width="3.88671875" style="60" customWidth="1"/>
    <col min="2" max="2" width="3.44140625" style="60" customWidth="1"/>
    <col min="3" max="3" width="75.5546875" style="60" customWidth="1"/>
    <col min="4" max="4" width="17" style="60" customWidth="1"/>
    <col min="5" max="5" width="16.44140625" style="60" bestFit="1" customWidth="1"/>
    <col min="6" max="11" width="16" style="60" customWidth="1"/>
    <col min="12" max="12" width="17.5546875" style="60" customWidth="1"/>
    <col min="13" max="13" width="14.109375" style="60" bestFit="1" customWidth="1"/>
    <col min="14" max="14" width="14.88671875" style="60" customWidth="1"/>
    <col min="15" max="17" width="13.5546875" style="60" bestFit="1" customWidth="1"/>
    <col min="18" max="16384" width="8.88671875" style="60"/>
  </cols>
  <sheetData>
    <row r="1" spans="1:19" ht="14.4" x14ac:dyDescent="0.3">
      <c r="C1" s="2" t="s">
        <v>90</v>
      </c>
    </row>
    <row r="4" spans="1:19" x14ac:dyDescent="0.3">
      <c r="C4" s="61" t="s">
        <v>0</v>
      </c>
      <c r="D4" s="62" t="s">
        <v>1</v>
      </c>
      <c r="E4" s="62" t="s">
        <v>2</v>
      </c>
      <c r="F4" s="62" t="s">
        <v>3</v>
      </c>
      <c r="G4" s="62" t="s">
        <v>4</v>
      </c>
      <c r="H4" s="62" t="s">
        <v>5</v>
      </c>
      <c r="I4" s="62" t="s">
        <v>6</v>
      </c>
      <c r="J4" s="62" t="s">
        <v>7</v>
      </c>
      <c r="K4" s="62" t="s">
        <v>8</v>
      </c>
      <c r="L4" s="62" t="s">
        <v>9</v>
      </c>
      <c r="M4" s="62" t="s">
        <v>10</v>
      </c>
      <c r="N4" s="63" t="s">
        <v>11</v>
      </c>
      <c r="O4" s="63" t="s">
        <v>19</v>
      </c>
      <c r="P4" s="63" t="s">
        <v>20</v>
      </c>
      <c r="Q4" s="63" t="s">
        <v>91</v>
      </c>
    </row>
    <row r="5" spans="1:19" x14ac:dyDescent="0.3">
      <c r="C5" s="105" t="s">
        <v>92</v>
      </c>
      <c r="D5" s="108" t="s">
        <v>93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10"/>
    </row>
    <row r="6" spans="1:19" ht="32.25" customHeight="1" x14ac:dyDescent="0.3">
      <c r="C6" s="106"/>
      <c r="D6" s="64"/>
      <c r="E6" s="111" t="s">
        <v>94</v>
      </c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3"/>
    </row>
    <row r="7" spans="1:19" ht="52.5" customHeight="1" x14ac:dyDescent="0.3">
      <c r="C7" s="106"/>
      <c r="D7" s="64"/>
      <c r="E7" s="111" t="s">
        <v>95</v>
      </c>
      <c r="F7" s="112"/>
      <c r="G7" s="112"/>
      <c r="H7" s="112"/>
      <c r="I7" s="113"/>
      <c r="J7" s="114" t="s">
        <v>96</v>
      </c>
      <c r="K7" s="114" t="s">
        <v>97</v>
      </c>
      <c r="L7" s="116" t="s">
        <v>98</v>
      </c>
      <c r="M7" s="105" t="s">
        <v>99</v>
      </c>
      <c r="N7" s="105" t="s">
        <v>100</v>
      </c>
      <c r="O7" s="118" t="s">
        <v>101</v>
      </c>
      <c r="P7" s="119"/>
      <c r="Q7" s="120"/>
    </row>
    <row r="8" spans="1:19" ht="41.4" x14ac:dyDescent="0.3">
      <c r="A8" s="65"/>
      <c r="C8" s="107"/>
      <c r="D8" s="64"/>
      <c r="E8" s="66" t="s">
        <v>102</v>
      </c>
      <c r="F8" s="66" t="s">
        <v>103</v>
      </c>
      <c r="G8" s="66" t="s">
        <v>104</v>
      </c>
      <c r="H8" s="66" t="s">
        <v>105</v>
      </c>
      <c r="I8" s="3" t="s">
        <v>106</v>
      </c>
      <c r="J8" s="115"/>
      <c r="K8" s="115"/>
      <c r="L8" s="117"/>
      <c r="M8" s="107"/>
      <c r="N8" s="107"/>
      <c r="O8" s="67"/>
      <c r="P8" s="68" t="s">
        <v>107</v>
      </c>
      <c r="Q8" s="68" t="s">
        <v>100</v>
      </c>
      <c r="S8" s="69"/>
    </row>
    <row r="9" spans="1:19" x14ac:dyDescent="0.3">
      <c r="A9" s="70" t="s">
        <v>12</v>
      </c>
      <c r="B9" s="71">
        <v>1</v>
      </c>
      <c r="C9" s="72" t="s">
        <v>108</v>
      </c>
      <c r="D9" s="93">
        <f>(SUMIFS(Input!$L:$L,Input!$E:$E,'5.CC Physical risk'!$D$24,Input!$H:$H,'5.CC Physical risk'!$A9&amp;"*",Input!$D:$D,"outras empresas nao financeiras"))/1000000</f>
        <v>331.599605</v>
      </c>
      <c r="E9" s="99">
        <f>(SUMIFS(Input!$L:$L,Input!$K:$K,"1",Input!$E:$E,'5.CC Physical risk'!$D$24,Input!$H:$H,'5.CC Physical risk'!$A9&amp;"*",Input!$D:$D,"outras empresas nao financeiras",Input!$G:$G,"&gt;=0",Input!$G:$G,"&lt;=5")
+ SUMIFS(Input!$L:$L,Input!$K:$K,"1",Input!$E:$E,'5.CC Physical risk'!$D$24,Input!$H:$H,'5.CC Physical risk'!$A9&amp;"*",Input!$D:$D,"outras empresas nao financeiras",Input!$G:$G,"-4")
+ SUMIFS(Input!$L:$L,Input!$K:$K,"1",Input!$E:$E,'5.CC Physical risk'!$D$24,Input!$H:$H,'5.CC Physical risk'!$A9&amp;"*",Input!$D:$D,"outras empresas nao financeiras",Input!$G:$G,"-1"))/1000000</f>
        <v>170.16738000000001</v>
      </c>
      <c r="F9" s="99">
        <f>(SUMIFS(Input!$L:$L,Input!$K:$K,"1",Input!$E:$E,'5.CC Physical risk'!$D$24,Input!$H:$H,'5.CC Physical risk'!$A9&amp;"*",Input!$D:$D,"outras empresas nao financeiras",Input!$G:$G,"&gt;5",Input!$G:$G,"&lt;=10"))/1000000</f>
        <v>54.185248999999999</v>
      </c>
      <c r="G9" s="99">
        <f>(SUMIFS(Input!$L:$L,Input!$K:$K,"1",Input!$E:$E,'5.CC Physical risk'!$D$24,Input!$H:$H,'5.CC Physical risk'!$A9&amp;"*",Input!$D:$D,"outras empresas nao financeiras",Input!$G:$G,"&gt;10",Input!$G:$G,"&lt;=20"))/1000000</f>
        <v>56.237119999999997</v>
      </c>
      <c r="H9" s="99">
        <f>(SUMIFS(Input!$L:$L,Input!$K:$K,"1",Input!$E:$E,'5.CC Physical risk'!$D$24,Input!$H:$H,'5.CC Physical risk'!$A9&amp;"*",Input!$D:$D,"outras empresas nao financeiras",Input!$G:$G,"&gt;20")
+ SUMIFS(Input!$L:$L,Input!$K:$K,"1",Input!$E:$E,'5.CC Physical risk'!$D$24,Input!$H:$H,'5.CC Physical risk'!$A9&amp;"*",Input!$D:$D,"outras empresas nao financeiras",Input!$G:$G,"-2")
+ SUMIFS(Input!$L:$L,Input!$K:$K,"1",Input!$E:$E,'5.CC Physical risk'!$D$24,Input!$H:$H,'5.CC Physical risk'!$A9&amp;"*",Input!$D:$D,"outras empresas nao financeiras",Input!$G:$G,"-3")
+ SUMIFS(Input!$L:$L,Input!$K:$K,"1",Input!$E:$E,'5.CC Physical risk'!$D$24,Input!$H:$H,'5.CC Physical risk'!$A9&amp;"*",Input!$D:$D,"outras empresas nao financeiras",Input!$G:$G,"-5"))/1000000</f>
        <v>0</v>
      </c>
      <c r="I9" s="93">
        <f>IFERROR(ROUND(SUMIFS(Input!$M:$M,Input!$K:$K,"1",Input!$E:$E,'5.CC Physical risk'!$D$24,Input!$H:$H,'5.CC Physical risk'!$A9&amp;"*",Input!$D:$D,"outras empresas nao financeiras",Input!$G:$G,"&gt;0")
/
SUMIFS(Input!$L:$L,Input!$K:$K,"1",Input!$E:$E,'5.CC Physical risk'!$D$24,Input!$H:$H,'5.CC Physical risk'!$A9&amp;"*",Input!$D:$D,"outras empresas nao financeiras",Input!$G:$G,"&gt;0"),0),0)</f>
        <v>7</v>
      </c>
      <c r="J9" s="93">
        <f>(SUMIFS(Input!$L:$L,Input!$K:$K,"1",Input!$E:$E,'5.CC Physical risk'!$D$24,Input!$H:$H,'5.CC Physical risk'!$A9&amp;"*",Input!$D:$D,"outras empresas nao financeiras",Input!$I:$I,"&lt;&gt;"&amp;$K$24,Input!$J:$J,'5.CC Physical risk'!$J$24))/1000000</f>
        <v>173.753849</v>
      </c>
      <c r="K9" s="93">
        <f>(SUMIFS(Input!$L:$L,Input!$K:$K,"1",Input!$E:$E,'5.CC Physical risk'!$D$24,Input!$H:$H,'5.CC Physical risk'!$A9&amp;"*",Input!$D:$D,"outras empresas nao financeiras",Input!$J:$J,"&lt;&gt;"&amp;$J$24,Input!$I:$I,'5.CC Physical risk'!$K$24))/1000000</f>
        <v>0.102603</v>
      </c>
      <c r="L9" s="93">
        <f>(SUMIFS(Input!$L:$L,
Input!$K:$K,"1",
Input!$E:$E,'5.CC Physical risk'!$D$24,
Input!$H:$H,'5.CC Physical risk'!$A9&amp;"*",
Input!$D:$D,"outras empresas nao financeiras",
Input!$J:$J,'5.CC Physical risk'!$J$24,
Input!$I:$I,'5.CC Physical risk'!$K$24))/1000000</f>
        <v>6.4175449999999996</v>
      </c>
      <c r="M9" s="93">
        <f>(SUMIFS(Input!$L:$L,
Input!$K:$K,"1",
Input!$E:$E,'5.CC Physical risk'!$D$24,
Input!$D:$D,"outras empresas nao financeiras",
Input!$H:$H,'5.CC Physical risk'!$A9&amp;"*",
Input!$C:$C,'5.CC Physical risk'!$M$24))/1000000</f>
        <v>29.344605000000001</v>
      </c>
      <c r="N9" s="93">
        <f>(SUMIFS(Input!$L:$L,
Input!$K:$K,"1",
Input!$E:$E,'5.CC Physical risk'!$D$24,
Input!$D:$D,"outras empresas nao financeiras",
Input!$H:$H,'5.CC Physical risk'!$A9&amp;"*",
Input!$C:$C,'5.CC Physical risk'!$N$24))/1000000</f>
        <v>23.653092000000001</v>
      </c>
      <c r="O9" s="93">
        <f>(SUMIFS(Input!$L:$L,
Input!$K:$K,"1",
Input!$E:$E,'5.CC Physical risk'!$O$24,
Input!$D:$D,"outras empresas nao financeiras",
Input!$H:$H,'5.CC Physical risk'!$A9&amp;"*"))/1000000</f>
        <v>-5.4615520000000002</v>
      </c>
      <c r="P9" s="93">
        <f>(SUMIFS(Input!$L:$L,
Input!$K:$K,"1",
Input!$E:$E,'5.CC Physical risk'!$O$24,
Input!$D:$D,"outras empresas nao financeiras",
Input!$H:$H,'5.CC Physical risk'!$A9&amp;"*",
Input!$C:$C,'5.CC Physical risk'!$M$24))/1000000</f>
        <v>-1.4739930000000001</v>
      </c>
      <c r="Q9" s="93">
        <f>(SUMIFS(Input!$L:$L,
Input!$K:$K,"1",
Input!$E:$E,'5.CC Physical risk'!$O$24,
Input!$D:$D,"outras empresas nao financeiras",
Input!$H:$H,'5.CC Physical risk'!$A9&amp;"*",
Input!$C:$C,'5.CC Physical risk'!$N$24))/1000000</f>
        <v>-3.3363100000000001</v>
      </c>
      <c r="S9" s="73"/>
    </row>
    <row r="10" spans="1:19" x14ac:dyDescent="0.3">
      <c r="A10" s="70" t="s">
        <v>13</v>
      </c>
      <c r="B10" s="71">
        <v>2</v>
      </c>
      <c r="C10" s="72" t="s">
        <v>109</v>
      </c>
      <c r="D10" s="93">
        <f>(SUMIFS(Input!$L:$L,Input!$E:$E,'5.CC Physical risk'!$D$24,Input!$H:$H,'5.CC Physical risk'!$A10&amp;"*",Input!$D:$D,"outras empresas nao financeiras"))/1000000</f>
        <v>14.172374</v>
      </c>
      <c r="E10" s="93">
        <f>(SUMIFS(Input!$L:$L,Input!$K:$K,"1",Input!$E:$E,'5.CC Physical risk'!$D$24,Input!$H:$H,'5.CC Physical risk'!$A10&amp;"*",Input!$D:$D,"outras empresas nao financeiras",Input!$G:$G,"&gt;=0",Input!$G:$G,"&lt;=5")
+ SUMIFS(Input!$L:$L,Input!$K:$K,"1",Input!$E:$E,'5.CC Physical risk'!$D$24,Input!$H:$H,'5.CC Physical risk'!$A10&amp;"*",Input!$D:$D,"outras empresas nao financeiras",Input!$G:$G,"-4")
+ SUMIFS(Input!$L:$L,Input!$K:$K,"1",Input!$E:$E,'5.CC Physical risk'!$D$24,Input!$H:$H,'5.CC Physical risk'!$A10&amp;"*",Input!$D:$D,"outras empresas nao financeiras",Input!$G:$G,"-1"))/1000000</f>
        <v>11.024570000000001</v>
      </c>
      <c r="F10" s="93">
        <f>(SUMIFS(Input!$L:$L,Input!$K:$K,"1",Input!$E:$E,'5.CC Physical risk'!$D$24,Input!$H:$H,'5.CC Physical risk'!$A10&amp;"*",Input!$D:$D,"outras empresas nao financeiras",Input!$G:$G,"&gt;5",Input!$G:$G,"&lt;=10"))/1000000</f>
        <v>1.099701</v>
      </c>
      <c r="G10" s="93">
        <f>(SUMIFS(Input!$L:$L,Input!$K:$K,"1",Input!$E:$E,'5.CC Physical risk'!$D$24,Input!$H:$H,'5.CC Physical risk'!$A10&amp;"*",Input!$D:$D,"outras empresas nao financeiras",Input!$G:$G,"&gt;10",Input!$G:$G,"&lt;=20"))/1000000</f>
        <v>0</v>
      </c>
      <c r="H10" s="93">
        <f>(SUMIFS(Input!$L:$L,Input!$K:$K,"1",Input!$E:$E,'5.CC Physical risk'!$D$24,Input!$H:$H,'5.CC Physical risk'!$A10&amp;"*",Input!$D:$D,"outras empresas nao financeiras",Input!$G:$G,"&gt;20")
+ SUMIFS(Input!$L:$L,Input!$K:$K,"1",Input!$E:$E,'5.CC Physical risk'!$D$24,Input!$H:$H,'5.CC Physical risk'!$A10&amp;"*",Input!$D:$D,"outras empresas nao financeiras",Input!$G:$G,"-2")
+ SUMIFS(Input!$L:$L,Input!$K:$K,"1",Input!$E:$E,'5.CC Physical risk'!$D$24,Input!$H:$H,'5.CC Physical risk'!$A10&amp;"*",Input!$D:$D,"outras empresas nao financeiras",Input!$G:$G,"-3")
+ SUMIFS(Input!$L:$L,Input!$K:$K,"1",Input!$E:$E,'5.CC Physical risk'!$D$24,Input!$H:$H,'5.CC Physical risk'!$A10&amp;"*",Input!$D:$D,"outras empresas nao financeiras",Input!$G:$G,"-5"))/1000000</f>
        <v>0</v>
      </c>
      <c r="I10" s="93">
        <f>IFERROR(ROUND(SUMIFS(Input!$M:$M,Input!$K:$K,"1",Input!$E:$E,'5.CC Physical risk'!$D$24,Input!$H:$H,'5.CC Physical risk'!$A10&amp;"*",Input!$D:$D,"outras empresas nao financeiras",Input!$G:$G,"&gt;0")
/
SUMIFS(Input!$L:$L,Input!$K:$K,"1",Input!$E:$E,'5.CC Physical risk'!$D$24,Input!$H:$H,'5.CC Physical risk'!$A10&amp;"*",Input!$D:$D,"outras empresas nao financeiras",Input!$G:$G,"&gt;0"),0),0)</f>
        <v>3</v>
      </c>
      <c r="J10" s="93">
        <f>(SUMIFS(Input!$L:$L,Input!$K:$K,"1",Input!$E:$E,'5.CC Physical risk'!$D$24,Input!$H:$H,'5.CC Physical risk'!$A10&amp;"*",Input!$D:$D,"outras empresas nao financeiras",Input!$I:$I,"&lt;&gt;"&amp;$K$24,Input!$J:$J,'5.CC Physical risk'!$J$24))/1000000</f>
        <v>10.768507</v>
      </c>
      <c r="K10" s="93">
        <f>(SUMIFS(Input!$L:$L,Input!$K:$K,"1",Input!$E:$E,'5.CC Physical risk'!$D$24,Input!$H:$H,'5.CC Physical risk'!$A10&amp;"*",Input!$D:$D,"outras empresas nao financeiras",Input!$J:$J,"&lt;&gt;"&amp;$J$24,Input!$I:$I,'5.CC Physical risk'!$K$24))/1000000</f>
        <v>0</v>
      </c>
      <c r="L10" s="93">
        <f>(SUMIFS(Input!$L:$L,
Input!$K:$K,"1",
Input!$E:$E,'5.CC Physical risk'!$D$24,
Input!$H:$H,'5.CC Physical risk'!$A10&amp;"*",
Input!$D:$D,"outras empresas nao financeiras",
Input!$J:$J,'5.CC Physical risk'!$J$24,
Input!$I:$I,'5.CC Physical risk'!$K$24))/1000000</f>
        <v>0</v>
      </c>
      <c r="M10" s="93">
        <f>(SUMIFS(Input!$L:$L,
Input!$K:$K,"1",
Input!$E:$E,'5.CC Physical risk'!$D$24,
Input!$D:$D,"outras empresas nao financeiras",
Input!$H:$H,'5.CC Physical risk'!$A10&amp;"*",
Input!$C:$C,'5.CC Physical risk'!$M$24))/1000000</f>
        <v>1.5316939999999999</v>
      </c>
      <c r="N10" s="93">
        <f>(SUMIFS(Input!$L:$L,
Input!$K:$K,"1",
Input!$E:$E,'5.CC Physical risk'!$D$24,
Input!$D:$D,"outras empresas nao financeiras",
Input!$H:$H,'5.CC Physical risk'!$A10&amp;"*",
Input!$C:$C,'5.CC Physical risk'!$N$24))/1000000</f>
        <v>2.3624239999999999</v>
      </c>
      <c r="O10" s="93">
        <f>(SUMIFS(Input!$L:$L,
Input!$K:$K,"1",
Input!$E:$E,'5.CC Physical risk'!$O$24,
Input!$D:$D,"outras empresas nao financeiras",
Input!$H:$H,'5.CC Physical risk'!$A10&amp;"*"))/1000000</f>
        <v>-1.3866970000000001</v>
      </c>
      <c r="P10" s="93">
        <f>(SUMIFS(Input!$L:$L,
Input!$K:$K,"1",
Input!$E:$E,'5.CC Physical risk'!$O$24,
Input!$D:$D,"outras empresas nao financeiras",
Input!$H:$H,'5.CC Physical risk'!$A10&amp;"*",
Input!$C:$C,'5.CC Physical risk'!$M$24))/1000000</f>
        <v>-8.9892E-2</v>
      </c>
      <c r="Q10" s="93">
        <f>(SUMIFS(Input!$L:$L,
Input!$K:$K,"1",
Input!$E:$E,'5.CC Physical risk'!$O$24,
Input!$D:$D,"outras empresas nao financeiras",
Input!$H:$H,'5.CC Physical risk'!$A10&amp;"*",
Input!$C:$C,'5.CC Physical risk'!$N$24))/1000000</f>
        <v>-1.2662180000000001</v>
      </c>
      <c r="S10" s="73"/>
    </row>
    <row r="11" spans="1:19" x14ac:dyDescent="0.3">
      <c r="A11" s="70" t="s">
        <v>14</v>
      </c>
      <c r="B11" s="71">
        <v>3</v>
      </c>
      <c r="C11" s="72" t="s">
        <v>110</v>
      </c>
      <c r="D11" s="93">
        <f>(SUMIFS(Input!$L:$L,Input!$E:$E,'5.CC Physical risk'!$D$24,Input!$H:$H,'5.CC Physical risk'!$A11&amp;"*",Input!$D:$D,"outras empresas nao financeiras"))/1000000</f>
        <v>2168.5503920000001</v>
      </c>
      <c r="E11" s="93">
        <f>(SUMIFS(Input!$L:$L,Input!$K:$K,"1",Input!$E:$E,'5.CC Physical risk'!$D$24,Input!$H:$H,'5.CC Physical risk'!$A11&amp;"*",Input!$D:$D,"outras empresas nao financeiras",Input!$G:$G,"&gt;=0",Input!$G:$G,"&lt;=5")
+ SUMIFS(Input!$L:$L,Input!$K:$K,"1",Input!$E:$E,'5.CC Physical risk'!$D$24,Input!$H:$H,'5.CC Physical risk'!$A11&amp;"*",Input!$D:$D,"outras empresas nao financeiras",Input!$G:$G,"-4")
+ SUMIFS(Input!$L:$L,Input!$K:$K,"1",Input!$E:$E,'5.CC Physical risk'!$D$24,Input!$H:$H,'5.CC Physical risk'!$A11&amp;"*",Input!$D:$D,"outras empresas nao financeiras",Input!$G:$G,"-1"))/1000000</f>
        <v>910.48430299999995</v>
      </c>
      <c r="F11" s="93">
        <f>(SUMIFS(Input!$L:$L,Input!$K:$K,"1",Input!$E:$E,'5.CC Physical risk'!$D$24,Input!$H:$H,'5.CC Physical risk'!$A11&amp;"*",Input!$D:$D,"outras empresas nao financeiras",Input!$G:$G,"&gt;5",Input!$G:$G,"&lt;=10"))/1000000</f>
        <v>80.043717999999998</v>
      </c>
      <c r="G11" s="93">
        <f>(SUMIFS(Input!$L:$L,Input!$K:$K,"1",Input!$E:$E,'5.CC Physical risk'!$D$24,Input!$H:$H,'5.CC Physical risk'!$A11&amp;"*",Input!$D:$D,"outras empresas nao financeiras",Input!$G:$G,"&gt;10",Input!$G:$G,"&lt;=20"))/1000000</f>
        <v>20.001139999999999</v>
      </c>
      <c r="H11" s="93">
        <f>(SUMIFS(Input!$L:$L,Input!$K:$K,"1",Input!$E:$E,'5.CC Physical risk'!$D$24,Input!$H:$H,'5.CC Physical risk'!$A11&amp;"*",Input!$D:$D,"outras empresas nao financeiras",Input!$G:$G,"&gt;20")
+ SUMIFS(Input!$L:$L,Input!$K:$K,"1",Input!$E:$E,'5.CC Physical risk'!$D$24,Input!$H:$H,'5.CC Physical risk'!$A11&amp;"*",Input!$D:$D,"outras empresas nao financeiras",Input!$G:$G,"-2")
+ SUMIFS(Input!$L:$L,Input!$K:$K,"1",Input!$E:$E,'5.CC Physical risk'!$D$24,Input!$H:$H,'5.CC Physical risk'!$A11&amp;"*",Input!$D:$D,"outras empresas nao financeiras",Input!$G:$G,"-3")
+ SUMIFS(Input!$L:$L,Input!$K:$K,"1",Input!$E:$E,'5.CC Physical risk'!$D$24,Input!$H:$H,'5.CC Physical risk'!$A11&amp;"*",Input!$D:$D,"outras empresas nao financeiras",Input!$G:$G,"-5"))/1000000</f>
        <v>0</v>
      </c>
      <c r="I11" s="93">
        <f>IFERROR(ROUND(SUMIFS(Input!$M:$M,Input!$K:$K,"1",Input!$E:$E,'5.CC Physical risk'!$D$24,Input!$H:$H,'5.CC Physical risk'!$A11&amp;"*",Input!$D:$D,"outras empresas nao financeiras",Input!$G:$G,"&gt;0")
/
SUMIFS(Input!$L:$L,Input!$K:$K,"1",Input!$E:$E,'5.CC Physical risk'!$D$24,Input!$H:$H,'5.CC Physical risk'!$A11&amp;"*",Input!$D:$D,"outras empresas nao financeiras",Input!$G:$G,"&gt;0"),0),0)</f>
        <v>4</v>
      </c>
      <c r="J11" s="93">
        <f>(SUMIFS(Input!$L:$L,Input!$K:$K,"1",Input!$E:$E,'5.CC Physical risk'!$D$24,Input!$H:$H,'5.CC Physical risk'!$A11&amp;"*",Input!$D:$D,"outras empresas nao financeiras",Input!$I:$I,"&lt;&gt;"&amp;$K$24,Input!$J:$J,'5.CC Physical risk'!$J$24))/1000000</f>
        <v>914.28030200000001</v>
      </c>
      <c r="K11" s="93">
        <f>(SUMIFS(Input!$L:$L,Input!$K:$K,"1",Input!$E:$E,'5.CC Physical risk'!$D$24,Input!$H:$H,'5.CC Physical risk'!$A11&amp;"*",Input!$D:$D,"outras empresas nao financeiras",Input!$J:$J,"&lt;&gt;"&amp;$J$24,Input!$I:$I,'5.CC Physical risk'!$K$24))/1000000</f>
        <v>5.7688670000000002</v>
      </c>
      <c r="L11" s="93">
        <f>(SUMIFS(Input!$L:$L,
Input!$K:$K,"1",
Input!$E:$E,'5.CC Physical risk'!$D$24,
Input!$H:$H,'5.CC Physical risk'!$A11&amp;"*",
Input!$D:$D,"outras empresas nao financeiras",
Input!$J:$J,'5.CC Physical risk'!$J$24,
Input!$I:$I,'5.CC Physical risk'!$K$24))/1000000</f>
        <v>15.78035</v>
      </c>
      <c r="M11" s="93">
        <f>(SUMIFS(Input!$L:$L,
Input!$K:$K,"1",
Input!$E:$E,'5.CC Physical risk'!$D$24,
Input!$D:$D,"outras empresas nao financeiras",
Input!$H:$H,'5.CC Physical risk'!$A11&amp;"*",
Input!$C:$C,'5.CC Physical risk'!$M$24))/1000000</f>
        <v>123.32843800000001</v>
      </c>
      <c r="N11" s="93">
        <f>(SUMIFS(Input!$L:$L,
Input!$K:$K,"1",
Input!$E:$E,'5.CC Physical risk'!$D$24,
Input!$D:$D,"outras empresas nao financeiras",
Input!$H:$H,'5.CC Physical risk'!$A11&amp;"*",
Input!$C:$C,'5.CC Physical risk'!$N$24))/1000000</f>
        <v>37.396585000000002</v>
      </c>
      <c r="O11" s="93">
        <f>(SUMIFS(Input!$L:$L,
Input!$K:$K,"1",
Input!$E:$E,'5.CC Physical risk'!$O$24,
Input!$D:$D,"outras empresas nao financeiras",
Input!$H:$H,'5.CC Physical risk'!$A11&amp;"*"))/1000000</f>
        <v>-34.055529</v>
      </c>
      <c r="P11" s="93">
        <f>(SUMIFS(Input!$L:$L,
Input!$K:$K,"1",
Input!$E:$E,'5.CC Physical risk'!$O$24,
Input!$D:$D,"outras empresas nao financeiras",
Input!$H:$H,'5.CC Physical risk'!$A11&amp;"*",
Input!$C:$C,'5.CC Physical risk'!$M$24))/1000000</f>
        <v>-6.6068949999999997</v>
      </c>
      <c r="Q11" s="93">
        <f>(SUMIFS(Input!$L:$L,
Input!$K:$K,"1",
Input!$E:$E,'5.CC Physical risk'!$O$24,
Input!$D:$D,"outras empresas nao financeiras",
Input!$H:$H,'5.CC Physical risk'!$A11&amp;"*",
Input!$C:$C,'5.CC Physical risk'!$N$24))/1000000</f>
        <v>-24.7121</v>
      </c>
      <c r="S11" s="73"/>
    </row>
    <row r="12" spans="1:19" x14ac:dyDescent="0.3">
      <c r="A12" s="70" t="s">
        <v>15</v>
      </c>
      <c r="B12" s="71">
        <v>4</v>
      </c>
      <c r="C12" s="72" t="s">
        <v>111</v>
      </c>
      <c r="D12" s="93">
        <f>(SUMIFS(Input!$L:$L,Input!$E:$E,'5.CC Physical risk'!$D$24,Input!$H:$H,'5.CC Physical risk'!$A12&amp;"*",Input!$D:$D,"outras empresas nao financeiras"))/1000000</f>
        <v>671.415616</v>
      </c>
      <c r="E12" s="93">
        <f>(SUMIFS(Input!$L:$L,Input!$K:$K,"1",Input!$E:$E,'5.CC Physical risk'!$D$24,Input!$H:$H,'5.CC Physical risk'!$A12&amp;"*",Input!$D:$D,"outras empresas nao financeiras",Input!$G:$G,"&gt;=0",Input!$G:$G,"&lt;=5")
+ SUMIFS(Input!$L:$L,Input!$K:$K,"1",Input!$E:$E,'5.CC Physical risk'!$D$24,Input!$H:$H,'5.CC Physical risk'!$A12&amp;"*",Input!$D:$D,"outras empresas nao financeiras",Input!$G:$G,"-4")
+ SUMIFS(Input!$L:$L,Input!$K:$K,"1",Input!$E:$E,'5.CC Physical risk'!$D$24,Input!$H:$H,'5.CC Physical risk'!$A12&amp;"*",Input!$D:$D,"outras empresas nao financeiras",Input!$G:$G,"-1"))/1000000</f>
        <v>276.74951399999998</v>
      </c>
      <c r="F12" s="93">
        <f>(SUMIFS(Input!$L:$L,Input!$K:$K,"1",Input!$E:$E,'5.CC Physical risk'!$D$24,Input!$H:$H,'5.CC Physical risk'!$A12&amp;"*",Input!$D:$D,"outras empresas nao financeiras",Input!$G:$G,"&gt;5",Input!$G:$G,"&lt;=10"))/1000000</f>
        <v>139.37534400000001</v>
      </c>
      <c r="G12" s="93">
        <f>(SUMIFS(Input!$L:$L,Input!$K:$K,"1",Input!$E:$E,'5.CC Physical risk'!$D$24,Input!$H:$H,'5.CC Physical risk'!$A12&amp;"*",Input!$D:$D,"outras empresas nao financeiras",Input!$G:$G,"&gt;10",Input!$G:$G,"&lt;=20"))/1000000</f>
        <v>34.989387000000001</v>
      </c>
      <c r="H12" s="93">
        <f>(SUMIFS(Input!$L:$L,Input!$K:$K,"1",Input!$E:$E,'5.CC Physical risk'!$D$24,Input!$H:$H,'5.CC Physical risk'!$A12&amp;"*",Input!$D:$D,"outras empresas nao financeiras",Input!$G:$G,"&gt;20")
+ SUMIFS(Input!$L:$L,Input!$K:$K,"1",Input!$E:$E,'5.CC Physical risk'!$D$24,Input!$H:$H,'5.CC Physical risk'!$A12&amp;"*",Input!$D:$D,"outras empresas nao financeiras",Input!$G:$G,"-2")
+ SUMIFS(Input!$L:$L,Input!$K:$K,"1",Input!$E:$E,'5.CC Physical risk'!$D$24,Input!$H:$H,'5.CC Physical risk'!$A12&amp;"*",Input!$D:$D,"outras empresas nao financeiras",Input!$G:$G,"-3")
+ SUMIFS(Input!$L:$L,Input!$K:$K,"1",Input!$E:$E,'5.CC Physical risk'!$D$24,Input!$H:$H,'5.CC Physical risk'!$A12&amp;"*",Input!$D:$D,"outras empresas nao financeiras",Input!$G:$G,"-5"))/1000000</f>
        <v>0</v>
      </c>
      <c r="I12" s="93">
        <f>IFERROR(ROUND(SUMIFS(Input!$M:$M,Input!$K:$K,"1",Input!$E:$E,'5.CC Physical risk'!$D$24,Input!$H:$H,'5.CC Physical risk'!$A12&amp;"*",Input!$D:$D,"outras empresas nao financeiras",Input!$G:$G,"&gt;0")
/
SUMIFS(Input!$L:$L,Input!$K:$K,"1",Input!$E:$E,'5.CC Physical risk'!$D$24,Input!$H:$H,'5.CC Physical risk'!$A12&amp;"*",Input!$D:$D,"outras empresas nao financeiras",Input!$G:$G,"&gt;0"),0),0)</f>
        <v>4</v>
      </c>
      <c r="J12" s="93">
        <f>(SUMIFS(Input!$L:$L,Input!$K:$K,"1",Input!$E:$E,'5.CC Physical risk'!$D$24,Input!$H:$H,'5.CC Physical risk'!$A12&amp;"*",Input!$D:$D,"outras empresas nao financeiras",Input!$I:$I,"&lt;&gt;"&amp;$K$24,Input!$J:$J,'5.CC Physical risk'!$J$24))/1000000</f>
        <v>405.18078200000002</v>
      </c>
      <c r="K12" s="93">
        <f>(SUMIFS(Input!$L:$L,Input!$K:$K,"1",Input!$E:$E,'5.CC Physical risk'!$D$24,Input!$H:$H,'5.CC Physical risk'!$A12&amp;"*",Input!$D:$D,"outras empresas nao financeiras",Input!$J:$J,"&lt;&gt;"&amp;$J$24,Input!$I:$I,'5.CC Physical risk'!$K$24))/1000000</f>
        <v>45.010469000000001</v>
      </c>
      <c r="L12" s="93">
        <f>(SUMIFS(Input!$L:$L,
Input!$K:$K,"1",
Input!$E:$E,'5.CC Physical risk'!$D$24,
Input!$H:$H,'5.CC Physical risk'!$A12&amp;"*",
Input!$D:$D,"outras empresas nao financeiras",
Input!$J:$J,'5.CC Physical risk'!$J$24,
Input!$I:$I,'5.CC Physical risk'!$K$24))/1000000</f>
        <v>8.0496999999999999E-2</v>
      </c>
      <c r="M12" s="93">
        <f>(SUMIFS(Input!$L:$L,
Input!$K:$K,"1",
Input!$E:$E,'5.CC Physical risk'!$D$24,
Input!$D:$D,"outras empresas nao financeiras",
Input!$H:$H,'5.CC Physical risk'!$A12&amp;"*",
Input!$C:$C,'5.CC Physical risk'!$M$24))/1000000</f>
        <v>0.52984200000000004</v>
      </c>
      <c r="N12" s="93">
        <f>(SUMIFS(Input!$L:$L,
Input!$K:$K,"1",
Input!$E:$E,'5.CC Physical risk'!$D$24,
Input!$D:$D,"outras empresas nao financeiras",
Input!$H:$H,'5.CC Physical risk'!$A12&amp;"*",
Input!$C:$C,'5.CC Physical risk'!$N$24))/1000000</f>
        <v>4.548E-3</v>
      </c>
      <c r="O12" s="93">
        <f>(SUMIFS(Input!$L:$L,
Input!$K:$K,"1",
Input!$E:$E,'5.CC Physical risk'!$O$24,
Input!$D:$D,"outras empresas nao financeiras",
Input!$H:$H,'5.CC Physical risk'!$A12&amp;"*"))/1000000</f>
        <v>-0.34236100000000003</v>
      </c>
      <c r="P12" s="93">
        <f>(SUMIFS(Input!$L:$L,
Input!$K:$K,"1",
Input!$E:$E,'5.CC Physical risk'!$O$24,
Input!$D:$D,"outras empresas nao financeiras",
Input!$H:$H,'5.CC Physical risk'!$A12&amp;"*",
Input!$C:$C,'5.CC Physical risk'!$M$24))/1000000</f>
        <v>-4.2562000000000003E-2</v>
      </c>
      <c r="Q12" s="93">
        <f>(SUMIFS(Input!$L:$L,
Input!$K:$K,"1",
Input!$E:$E,'5.CC Physical risk'!$O$24,
Input!$D:$D,"outras empresas nao financeiras",
Input!$H:$H,'5.CC Physical risk'!$A12&amp;"*",
Input!$C:$C,'5.CC Physical risk'!$N$24))/1000000</f>
        <v>-3.565E-3</v>
      </c>
      <c r="S12" s="73"/>
    </row>
    <row r="13" spans="1:19" x14ac:dyDescent="0.3">
      <c r="A13" s="70" t="s">
        <v>16</v>
      </c>
      <c r="B13" s="71">
        <v>5</v>
      </c>
      <c r="C13" s="72" t="s">
        <v>112</v>
      </c>
      <c r="D13" s="93">
        <f>(SUMIFS(Input!$L:$L,Input!$E:$E,'5.CC Physical risk'!$D$24,Input!$H:$H,'5.CC Physical risk'!$A13&amp;"*",Input!$D:$D,"outras empresas nao financeiras"))/1000000</f>
        <v>33.931316000000002</v>
      </c>
      <c r="E13" s="93">
        <f>(SUMIFS(Input!$L:$L,Input!$K:$K,"1",Input!$E:$E,'5.CC Physical risk'!$D$24,Input!$H:$H,'5.CC Physical risk'!$A13&amp;"*",Input!$D:$D,"outras empresas nao financeiras",Input!$G:$G,"&gt;=0",Input!$G:$G,"&lt;=5")
+ SUMIFS(Input!$L:$L,Input!$K:$K,"1",Input!$E:$E,'5.CC Physical risk'!$D$24,Input!$H:$H,'5.CC Physical risk'!$A13&amp;"*",Input!$D:$D,"outras empresas nao financeiras",Input!$G:$G,"-4")
+ SUMIFS(Input!$L:$L,Input!$K:$K,"1",Input!$E:$E,'5.CC Physical risk'!$D$24,Input!$H:$H,'5.CC Physical risk'!$A13&amp;"*",Input!$D:$D,"outras empresas nao financeiras",Input!$G:$G,"-1"))/1000000</f>
        <v>0.50970000000000004</v>
      </c>
      <c r="F13" s="93">
        <f>(SUMIFS(Input!$L:$L,Input!$K:$K,"1",Input!$E:$E,'5.CC Physical risk'!$D$24,Input!$H:$H,'5.CC Physical risk'!$A13&amp;"*",Input!$D:$D,"outras empresas nao financeiras",Input!$G:$G,"&gt;5",Input!$G:$G,"&lt;=10"))/1000000</f>
        <v>0</v>
      </c>
      <c r="G13" s="93">
        <f>(SUMIFS(Input!$L:$L,Input!$K:$K,"1",Input!$E:$E,'5.CC Physical risk'!$D$24,Input!$H:$H,'5.CC Physical risk'!$A13&amp;"*",Input!$D:$D,"outras empresas nao financeiras",Input!$G:$G,"&gt;10",Input!$G:$G,"&lt;=20"))/1000000</f>
        <v>0</v>
      </c>
      <c r="H13" s="93">
        <f>(SUMIFS(Input!$L:$L,Input!$K:$K,"1",Input!$E:$E,'5.CC Physical risk'!$D$24,Input!$H:$H,'5.CC Physical risk'!$A13&amp;"*",Input!$D:$D,"outras empresas nao financeiras",Input!$G:$G,"&gt;20")
+ SUMIFS(Input!$L:$L,Input!$K:$K,"1",Input!$E:$E,'5.CC Physical risk'!$D$24,Input!$H:$H,'5.CC Physical risk'!$A13&amp;"*",Input!$D:$D,"outras empresas nao financeiras",Input!$G:$G,"-2")
+ SUMIFS(Input!$L:$L,Input!$K:$K,"1",Input!$E:$E,'5.CC Physical risk'!$D$24,Input!$H:$H,'5.CC Physical risk'!$A13&amp;"*",Input!$D:$D,"outras empresas nao financeiras",Input!$G:$G,"-3")
+ SUMIFS(Input!$L:$L,Input!$K:$K,"1",Input!$E:$E,'5.CC Physical risk'!$D$24,Input!$H:$H,'5.CC Physical risk'!$A13&amp;"*",Input!$D:$D,"outras empresas nao financeiras",Input!$G:$G,"-5"))/1000000</f>
        <v>0</v>
      </c>
      <c r="I13" s="93">
        <f>IFERROR(ROUND(SUMIFS(Input!$M:$M,Input!$K:$K,"1",Input!$E:$E,'5.CC Physical risk'!$D$24,Input!$H:$H,'5.CC Physical risk'!$A13&amp;"*",Input!$D:$D,"outras empresas nao financeiras",Input!$G:$G,"&gt;0")
/
SUMIFS(Input!$L:$L,Input!$K:$K,"1",Input!$E:$E,'5.CC Physical risk'!$D$24,Input!$H:$H,'5.CC Physical risk'!$A13&amp;"*",Input!$D:$D,"outras empresas nao financeiras",Input!$G:$G,"&gt;0"),0),0)</f>
        <v>4</v>
      </c>
      <c r="J13" s="93">
        <f>(SUMIFS(Input!$L:$L,Input!$K:$K,"1",Input!$E:$E,'5.CC Physical risk'!$D$24,Input!$H:$H,'5.CC Physical risk'!$A13&amp;"*",Input!$D:$D,"outras empresas nao financeiras",Input!$I:$I,"&lt;&gt;"&amp;$K$24,Input!$J:$J,'5.CC Physical risk'!$J$24))/1000000</f>
        <v>0</v>
      </c>
      <c r="K13" s="93">
        <f>(SUMIFS(Input!$L:$L,Input!$K:$K,"1",Input!$E:$E,'5.CC Physical risk'!$D$24,Input!$H:$H,'5.CC Physical risk'!$A13&amp;"*",Input!$D:$D,"outras empresas nao financeiras",Input!$J:$J,"&lt;&gt;"&amp;$J$24,Input!$I:$I,'5.CC Physical risk'!$K$24))/1000000</f>
        <v>0.50970000000000004</v>
      </c>
      <c r="L13" s="93">
        <f>(SUMIFS(Input!$L:$L,
Input!$K:$K,"1",
Input!$E:$E,'5.CC Physical risk'!$D$24,
Input!$H:$H,'5.CC Physical risk'!$A13&amp;"*",
Input!$D:$D,"outras empresas nao financeiras",
Input!$J:$J,'5.CC Physical risk'!$J$24,
Input!$I:$I,'5.CC Physical risk'!$K$24))/1000000</f>
        <v>0</v>
      </c>
      <c r="M13" s="93">
        <f>(SUMIFS(Input!$L:$L,
Input!$K:$K,"1",
Input!$E:$E,'5.CC Physical risk'!$D$24,
Input!$D:$D,"outras empresas nao financeiras",
Input!$H:$H,'5.CC Physical risk'!$A13&amp;"*",
Input!$C:$C,'5.CC Physical risk'!$M$24))/1000000</f>
        <v>0.25844499999999998</v>
      </c>
      <c r="N13" s="93">
        <f>(SUMIFS(Input!$L:$L,
Input!$K:$K,"1",
Input!$E:$E,'5.CC Physical risk'!$D$24,
Input!$D:$D,"outras empresas nao financeiras",
Input!$H:$H,'5.CC Physical risk'!$A13&amp;"*",
Input!$C:$C,'5.CC Physical risk'!$N$24))/1000000</f>
        <v>0</v>
      </c>
      <c r="O13" s="93">
        <f>(SUMIFS(Input!$L:$L,
Input!$K:$K,"1",
Input!$E:$E,'5.CC Physical risk'!$O$24,
Input!$D:$D,"outras empresas nao financeiras",
Input!$H:$H,'5.CC Physical risk'!$A13&amp;"*"))/1000000</f>
        <v>-1.2884E-2</v>
      </c>
      <c r="P13" s="93">
        <f>(SUMIFS(Input!$L:$L,
Input!$K:$K,"1",
Input!$E:$E,'5.CC Physical risk'!$O$24,
Input!$D:$D,"outras empresas nao financeiras",
Input!$H:$H,'5.CC Physical risk'!$A13&amp;"*",
Input!$C:$C,'5.CC Physical risk'!$M$24))/1000000</f>
        <v>-1.1192000000000001E-2</v>
      </c>
      <c r="Q13" s="93">
        <f>(SUMIFS(Input!$L:$L,
Input!$K:$K,"1",
Input!$E:$E,'5.CC Physical risk'!$O$24,
Input!$D:$D,"outras empresas nao financeiras",
Input!$H:$H,'5.CC Physical risk'!$A13&amp;"*",
Input!$C:$C,'5.CC Physical risk'!$N$24))/1000000</f>
        <v>0</v>
      </c>
      <c r="S13" s="73"/>
    </row>
    <row r="14" spans="1:19" x14ac:dyDescent="0.3">
      <c r="A14" s="70" t="s">
        <v>17</v>
      </c>
      <c r="B14" s="71">
        <v>6</v>
      </c>
      <c r="C14" s="72" t="s">
        <v>113</v>
      </c>
      <c r="D14" s="93">
        <f>(SUMIFS(Input!$L:$L,Input!$E:$E,'5.CC Physical risk'!$D$24,Input!$H:$H,'5.CC Physical risk'!$A14&amp;"*",Input!$D:$D,"outras empresas nao financeiras"))/1000000</f>
        <v>1068.5213960000001</v>
      </c>
      <c r="E14" s="93">
        <f>(SUMIFS(Input!$L:$L,Input!$K:$K,"1",Input!$E:$E,'5.CC Physical risk'!$D$24,Input!$H:$H,'5.CC Physical risk'!$A14&amp;"*",Input!$D:$D,"outras empresas nao financeiras",Input!$G:$G,"&gt;=0",Input!$G:$G,"&lt;=5")
+ SUMIFS(Input!$L:$L,Input!$K:$K,"1",Input!$E:$E,'5.CC Physical risk'!$D$24,Input!$H:$H,'5.CC Physical risk'!$A14&amp;"*",Input!$D:$D,"outras empresas nao financeiras",Input!$G:$G,"-4")
+ SUMIFS(Input!$L:$L,Input!$K:$K,"1",Input!$E:$E,'5.CC Physical risk'!$D$24,Input!$H:$H,'5.CC Physical risk'!$A14&amp;"*",Input!$D:$D,"outras empresas nao financeiras",Input!$G:$G,"-1"))/1000000</f>
        <v>42.649811999999997</v>
      </c>
      <c r="F14" s="93">
        <f>(SUMIFS(Input!$L:$L,Input!$K:$K,"1",Input!$E:$E,'5.CC Physical risk'!$D$24,Input!$H:$H,'5.CC Physical risk'!$A14&amp;"*",Input!$D:$D,"outras empresas nao financeiras",Input!$G:$G,"&gt;5",Input!$G:$G,"&lt;=10"))/1000000</f>
        <v>2.18499</v>
      </c>
      <c r="G14" s="93">
        <f>(SUMIFS(Input!$L:$L,Input!$K:$K,"1",Input!$E:$E,'5.CC Physical risk'!$D$24,Input!$H:$H,'5.CC Physical risk'!$A14&amp;"*",Input!$D:$D,"outras empresas nao financeiras",Input!$G:$G,"&gt;10",Input!$G:$G,"&lt;=20"))/1000000</f>
        <v>0.64816499999999999</v>
      </c>
      <c r="H14" s="93">
        <f>(SUMIFS(Input!$L:$L,Input!$K:$K,"1",Input!$E:$E,'5.CC Physical risk'!$D$24,Input!$H:$H,'5.CC Physical risk'!$A14&amp;"*",Input!$D:$D,"outras empresas nao financeiras",Input!$G:$G,"&gt;20")
+ SUMIFS(Input!$L:$L,Input!$K:$K,"1",Input!$E:$E,'5.CC Physical risk'!$D$24,Input!$H:$H,'5.CC Physical risk'!$A14&amp;"*",Input!$D:$D,"outras empresas nao financeiras",Input!$G:$G,"-2")
+ SUMIFS(Input!$L:$L,Input!$K:$K,"1",Input!$E:$E,'5.CC Physical risk'!$D$24,Input!$H:$H,'5.CC Physical risk'!$A14&amp;"*",Input!$D:$D,"outras empresas nao financeiras",Input!$G:$G,"-3")
+ SUMIFS(Input!$L:$L,Input!$K:$K,"1",Input!$E:$E,'5.CC Physical risk'!$D$24,Input!$H:$H,'5.CC Physical risk'!$A14&amp;"*",Input!$D:$D,"outras empresas nao financeiras",Input!$G:$G,"-5"))/1000000</f>
        <v>0</v>
      </c>
      <c r="I14" s="93">
        <f>IFERROR(ROUND(SUMIFS(Input!$M:$M,Input!$K:$K,"1",Input!$E:$E,'5.CC Physical risk'!$D$24,Input!$H:$H,'5.CC Physical risk'!$A14&amp;"*",Input!$D:$D,"outras empresas nao financeiras",Input!$G:$G,"&gt;0")
/
SUMIFS(Input!$L:$L,Input!$K:$K,"1",Input!$E:$E,'5.CC Physical risk'!$D$24,Input!$H:$H,'5.CC Physical risk'!$A14&amp;"*",Input!$D:$D,"outras empresas nao financeiras",Input!$G:$G,"&gt;0"),0),0)</f>
        <v>4</v>
      </c>
      <c r="J14" s="93">
        <f>(SUMIFS(Input!$L:$L,Input!$K:$K,"1",Input!$E:$E,'5.CC Physical risk'!$D$24,Input!$H:$H,'5.CC Physical risk'!$A14&amp;"*",Input!$D:$D,"outras empresas nao financeiras",Input!$I:$I,"&lt;&gt;"&amp;$K$24,Input!$J:$J,'5.CC Physical risk'!$J$24))/1000000</f>
        <v>14.805013000000001</v>
      </c>
      <c r="K14" s="93">
        <f>(SUMIFS(Input!$L:$L,Input!$K:$K,"1",Input!$E:$E,'5.CC Physical risk'!$D$24,Input!$H:$H,'5.CC Physical risk'!$A14&amp;"*",Input!$D:$D,"outras empresas nao financeiras",Input!$J:$J,"&lt;&gt;"&amp;$J$24,Input!$I:$I,'5.CC Physical risk'!$K$24))/1000000</f>
        <v>6.6006020000000003</v>
      </c>
      <c r="L14" s="93">
        <f>(SUMIFS(Input!$L:$L,
Input!$K:$K,"1",
Input!$E:$E,'5.CC Physical risk'!$D$24,
Input!$H:$H,'5.CC Physical risk'!$A14&amp;"*",
Input!$D:$D,"outras empresas nao financeiras",
Input!$J:$J,'5.CC Physical risk'!$J$24,
Input!$I:$I,'5.CC Physical risk'!$K$24))/1000000</f>
        <v>18.546925999999999</v>
      </c>
      <c r="M14" s="93">
        <f>(SUMIFS(Input!$L:$L,
Input!$K:$K,"1",
Input!$E:$E,'5.CC Physical risk'!$D$24,
Input!$D:$D,"outras empresas nao financeiras",
Input!$H:$H,'5.CC Physical risk'!$A14&amp;"*",
Input!$C:$C,'5.CC Physical risk'!$M$24))/1000000</f>
        <v>8.0378209999999992</v>
      </c>
      <c r="N14" s="93">
        <f>(SUMIFS(Input!$L:$L,
Input!$K:$K,"1",
Input!$E:$E,'5.CC Physical risk'!$D$24,
Input!$D:$D,"outras empresas nao financeiras",
Input!$H:$H,'5.CC Physical risk'!$A14&amp;"*",
Input!$C:$C,'5.CC Physical risk'!$N$24))/1000000</f>
        <v>8.9174059999999997</v>
      </c>
      <c r="O14" s="93">
        <f>(SUMIFS(Input!$L:$L,
Input!$K:$K,"1",
Input!$E:$E,'5.CC Physical risk'!$O$24,
Input!$D:$D,"outras empresas nao financeiras",
Input!$H:$H,'5.CC Physical risk'!$A14&amp;"*"))/1000000</f>
        <v>-5.4539200000000001</v>
      </c>
      <c r="P14" s="93">
        <f>(SUMIFS(Input!$L:$L,
Input!$K:$K,"1",
Input!$E:$E,'5.CC Physical risk'!$O$24,
Input!$D:$D,"outras empresas nao financeiras",
Input!$H:$H,'5.CC Physical risk'!$A14&amp;"*",
Input!$C:$C,'5.CC Physical risk'!$M$24))/1000000</f>
        <v>-0.56874800000000003</v>
      </c>
      <c r="Q14" s="93">
        <f>(SUMIFS(Input!$L:$L,
Input!$K:$K,"1",
Input!$E:$E,'5.CC Physical risk'!$O$24,
Input!$D:$D,"outras empresas nao financeiras",
Input!$H:$H,'5.CC Physical risk'!$A14&amp;"*",
Input!$C:$C,'5.CC Physical risk'!$N$24))/1000000</f>
        <v>-4.7665319999999998</v>
      </c>
      <c r="S14" s="73"/>
    </row>
    <row r="15" spans="1:19" x14ac:dyDescent="0.3">
      <c r="A15" s="70" t="s">
        <v>18</v>
      </c>
      <c r="B15" s="71">
        <v>7</v>
      </c>
      <c r="C15" s="72" t="s">
        <v>114</v>
      </c>
      <c r="D15" s="93">
        <f>(SUMIFS(Input!$L:$L,Input!$E:$E,'5.CC Physical risk'!$D$24,Input!$H:$H,'5.CC Physical risk'!$A15&amp;"*",Input!$D:$D,"outras empresas nao financeiras"))/1000000</f>
        <v>2070.1134310000002</v>
      </c>
      <c r="E15" s="93">
        <f>(SUMIFS(Input!$L:$L,Input!$K:$K,"1",Input!$E:$E,'5.CC Physical risk'!$D$24,Input!$H:$H,'5.CC Physical risk'!$A15&amp;"*",Input!$D:$D,"outras empresas nao financeiras",Input!$G:$G,"&gt;=0",Input!$G:$G,"&lt;=5")
+ SUMIFS(Input!$L:$L,Input!$K:$K,"1",Input!$E:$E,'5.CC Physical risk'!$D$24,Input!$H:$H,'5.CC Physical risk'!$A15&amp;"*",Input!$D:$D,"outras empresas nao financeiras",Input!$G:$G,"-4")
+ SUMIFS(Input!$L:$L,Input!$K:$K,"1",Input!$E:$E,'5.CC Physical risk'!$D$24,Input!$H:$H,'5.CC Physical risk'!$A15&amp;"*",Input!$D:$D,"outras empresas nao financeiras",Input!$G:$G,"-1"))/1000000</f>
        <v>223.269488</v>
      </c>
      <c r="F15" s="93">
        <f>(SUMIFS(Input!$L:$L,Input!$K:$K,"1",Input!$E:$E,'5.CC Physical risk'!$D$24,Input!$H:$H,'5.CC Physical risk'!$A15&amp;"*",Input!$D:$D,"outras empresas nao financeiras",Input!$G:$G,"&gt;5",Input!$G:$G,"&lt;=10"))/1000000</f>
        <v>13.657583000000001</v>
      </c>
      <c r="G15" s="93">
        <f>(SUMIFS(Input!$L:$L,Input!$K:$K,"1",Input!$E:$E,'5.CC Physical risk'!$D$24,Input!$H:$H,'5.CC Physical risk'!$A15&amp;"*",Input!$D:$D,"outras empresas nao financeiras",Input!$G:$G,"&gt;10",Input!$G:$G,"&lt;=20"))/1000000</f>
        <v>3.4101780000000002</v>
      </c>
      <c r="H15" s="93">
        <f>(SUMIFS(Input!$L:$L,Input!$K:$K,"1",Input!$E:$E,'5.CC Physical risk'!$D$24,Input!$H:$H,'5.CC Physical risk'!$A15&amp;"*",Input!$D:$D,"outras empresas nao financeiras",Input!$G:$G,"&gt;20")
+ SUMIFS(Input!$L:$L,Input!$K:$K,"1",Input!$E:$E,'5.CC Physical risk'!$D$24,Input!$H:$H,'5.CC Physical risk'!$A15&amp;"*",Input!$D:$D,"outras empresas nao financeiras",Input!$G:$G,"-2")
+ SUMIFS(Input!$L:$L,Input!$K:$K,"1",Input!$E:$E,'5.CC Physical risk'!$D$24,Input!$H:$H,'5.CC Physical risk'!$A15&amp;"*",Input!$D:$D,"outras empresas nao financeiras",Input!$G:$G,"-3")
+ SUMIFS(Input!$L:$L,Input!$K:$K,"1",Input!$E:$E,'5.CC Physical risk'!$D$24,Input!$H:$H,'5.CC Physical risk'!$A15&amp;"*",Input!$D:$D,"outras empresas nao financeiras",Input!$G:$G,"-5"))/1000000</f>
        <v>0</v>
      </c>
      <c r="I15" s="93">
        <f>IFERROR(ROUND(SUMIFS(Input!$M:$M,Input!$K:$K,"1",Input!$E:$E,'5.CC Physical risk'!$D$24,Input!$H:$H,'5.CC Physical risk'!$A15&amp;"*",Input!$D:$D,"outras empresas nao financeiras",Input!$G:$G,"&gt;0")
/
SUMIFS(Input!$L:$L,Input!$K:$K,"1",Input!$E:$E,'5.CC Physical risk'!$D$24,Input!$H:$H,'5.CC Physical risk'!$A15&amp;"*",Input!$D:$D,"outras empresas nao financeiras",Input!$G:$G,"&gt;0"),0),0)</f>
        <v>4</v>
      </c>
      <c r="J15" s="93">
        <f>(SUMIFS(Input!$L:$L,Input!$K:$K,"1",Input!$E:$E,'5.CC Physical risk'!$D$24,Input!$H:$H,'5.CC Physical risk'!$A15&amp;"*",Input!$D:$D,"outras empresas nao financeiras",Input!$I:$I,"&lt;&gt;"&amp;$K$24,Input!$J:$J,'5.CC Physical risk'!$J$24))/1000000</f>
        <v>223.86176399999999</v>
      </c>
      <c r="K15" s="93">
        <f>(SUMIFS(Input!$L:$L,Input!$K:$K,"1",Input!$E:$E,'5.CC Physical risk'!$D$24,Input!$H:$H,'5.CC Physical risk'!$A15&amp;"*",Input!$D:$D,"outras empresas nao financeiras",Input!$J:$J,"&lt;&gt;"&amp;$J$24,Input!$I:$I,'5.CC Physical risk'!$K$24))/1000000</f>
        <v>3.6897350000000002</v>
      </c>
      <c r="L15" s="93">
        <f>(SUMIFS(Input!$L:$L,
Input!$K:$K,"1",
Input!$E:$E,'5.CC Physical risk'!$D$24,
Input!$H:$H,'5.CC Physical risk'!$A15&amp;"*",
Input!$D:$D,"outras empresas nao financeiras",
Input!$J:$J,'5.CC Physical risk'!$J$24,
Input!$I:$I,'5.CC Physical risk'!$K$24))/1000000</f>
        <v>0</v>
      </c>
      <c r="M15" s="93">
        <f>(SUMIFS(Input!$L:$L,
Input!$K:$K,"1",
Input!$E:$E,'5.CC Physical risk'!$D$24,
Input!$D:$D,"outras empresas nao financeiras",
Input!$H:$H,'5.CC Physical risk'!$A15&amp;"*",
Input!$C:$C,'5.CC Physical risk'!$M$24))/1000000</f>
        <v>20.756485000000001</v>
      </c>
      <c r="N15" s="93">
        <f>(SUMIFS(Input!$L:$L,
Input!$K:$K,"1",
Input!$E:$E,'5.CC Physical risk'!$D$24,
Input!$D:$D,"outras empresas nao financeiras",
Input!$H:$H,'5.CC Physical risk'!$A15&amp;"*",
Input!$C:$C,'5.CC Physical risk'!$N$24))/1000000</f>
        <v>2.6153219999999999</v>
      </c>
      <c r="O15" s="93">
        <f>(SUMIFS(Input!$L:$L,
Input!$K:$K,"1",
Input!$E:$E,'5.CC Physical risk'!$O$24,
Input!$D:$D,"outras empresas nao financeiras",
Input!$H:$H,'5.CC Physical risk'!$A15&amp;"*"))/1000000</f>
        <v>-3.4143439999999998</v>
      </c>
      <c r="P15" s="93">
        <f>(SUMIFS(Input!$L:$L,
Input!$K:$K,"1",
Input!$E:$E,'5.CC Physical risk'!$O$24,
Input!$D:$D,"outras empresas nao financeiras",
Input!$H:$H,'5.CC Physical risk'!$A15&amp;"*",
Input!$C:$C,'5.CC Physical risk'!$M$24))/1000000</f>
        <v>-1.1264160000000001</v>
      </c>
      <c r="Q15" s="93">
        <f>(SUMIFS(Input!$L:$L,
Input!$K:$K,"1",
Input!$E:$E,'5.CC Physical risk'!$O$24,
Input!$D:$D,"outras empresas nao financeiras",
Input!$H:$H,'5.CC Physical risk'!$A15&amp;"*",
Input!$C:$C,'5.CC Physical risk'!$N$24))/1000000</f>
        <v>-1.921017</v>
      </c>
      <c r="S15" s="73"/>
    </row>
    <row r="16" spans="1:19" x14ac:dyDescent="0.3">
      <c r="A16" s="70" t="s">
        <v>82</v>
      </c>
      <c r="B16" s="71">
        <v>8</v>
      </c>
      <c r="C16" s="72" t="s">
        <v>115</v>
      </c>
      <c r="D16" s="93">
        <f>(SUMIFS(Input!$L:$L,Input!$E:$E,'5.CC Physical risk'!$D$24,Input!$H:$H,'5.CC Physical risk'!$A16&amp;"*",Input!$D:$D,"outras empresas nao financeiras"))/1000000</f>
        <v>786.91127600000004</v>
      </c>
      <c r="E16" s="93">
        <f>(SUMIFS(Input!$L:$L,Input!$K:$K,"1",Input!$E:$E,'5.CC Physical risk'!$D$24,Input!$H:$H,'5.CC Physical risk'!$A16&amp;"*",Input!$D:$D,"outras empresas nao financeiras",Input!$G:$G,"&gt;=0",Input!$G:$G,"&lt;=5")
+ SUMIFS(Input!$L:$L,Input!$K:$K,"1",Input!$E:$E,'5.CC Physical risk'!$D$24,Input!$H:$H,'5.CC Physical risk'!$A16&amp;"*",Input!$D:$D,"outras empresas nao financeiras",Input!$G:$G,"-4")
+ SUMIFS(Input!$L:$L,Input!$K:$K,"1",Input!$E:$E,'5.CC Physical risk'!$D$24,Input!$H:$H,'5.CC Physical risk'!$A16&amp;"*",Input!$D:$D,"outras empresas nao financeiras",Input!$G:$G,"-1"))/1000000</f>
        <v>44.210984000000003</v>
      </c>
      <c r="F16" s="93">
        <f>(SUMIFS(Input!$L:$L,Input!$K:$K,"1",Input!$E:$E,'5.CC Physical risk'!$D$24,Input!$H:$H,'5.CC Physical risk'!$A16&amp;"*",Input!$D:$D,"outras empresas nao financeiras",Input!$G:$G,"&gt;5",Input!$G:$G,"&lt;=10"))/1000000</f>
        <v>44.886743000000003</v>
      </c>
      <c r="G16" s="93">
        <f>(SUMIFS(Input!$L:$L,Input!$K:$K,"1",Input!$E:$E,'5.CC Physical risk'!$D$24,Input!$H:$H,'5.CC Physical risk'!$A16&amp;"*",Input!$D:$D,"outras empresas nao financeiras",Input!$G:$G,"&gt;10",Input!$G:$G,"&lt;=20"))/1000000</f>
        <v>4.5513079999999997</v>
      </c>
      <c r="H16" s="93">
        <f>(SUMIFS(Input!$L:$L,Input!$K:$K,"1",Input!$E:$E,'5.CC Physical risk'!$D$24,Input!$H:$H,'5.CC Physical risk'!$A16&amp;"*",Input!$D:$D,"outras empresas nao financeiras",Input!$G:$G,"&gt;20")
+ SUMIFS(Input!$L:$L,Input!$K:$K,"1",Input!$E:$E,'5.CC Physical risk'!$D$24,Input!$H:$H,'5.CC Physical risk'!$A16&amp;"*",Input!$D:$D,"outras empresas nao financeiras",Input!$G:$G,"-2")
+ SUMIFS(Input!$L:$L,Input!$K:$K,"1",Input!$E:$E,'5.CC Physical risk'!$D$24,Input!$H:$H,'5.CC Physical risk'!$A16&amp;"*",Input!$D:$D,"outras empresas nao financeiras",Input!$G:$G,"-3")
+ SUMIFS(Input!$L:$L,Input!$K:$K,"1",Input!$E:$E,'5.CC Physical risk'!$D$24,Input!$H:$H,'5.CC Physical risk'!$A16&amp;"*",Input!$D:$D,"outras empresas nao financeiras",Input!$G:$G,"-5"))/1000000</f>
        <v>0</v>
      </c>
      <c r="I16" s="93">
        <f>IFERROR(ROUND(SUMIFS(Input!$M:$M,Input!$K:$K,"1",Input!$E:$E,'5.CC Physical risk'!$D$24,Input!$H:$H,'5.CC Physical risk'!$A16&amp;"*",Input!$D:$D,"outras empresas nao financeiras",Input!$G:$G,"&gt;0")
/
SUMIFS(Input!$L:$L,Input!$K:$K,"1",Input!$E:$E,'5.CC Physical risk'!$D$24,Input!$H:$H,'5.CC Physical risk'!$A16&amp;"*",Input!$D:$D,"outras empresas nao financeiras",Input!$G:$G,"&gt;0"),0),0)</f>
        <v>6</v>
      </c>
      <c r="J16" s="93">
        <f>(SUMIFS(Input!$L:$L,Input!$K:$K,"1",Input!$E:$E,'5.CC Physical risk'!$D$24,Input!$H:$H,'5.CC Physical risk'!$A16&amp;"*",Input!$D:$D,"outras empresas nao financeiras",Input!$I:$I,"&lt;&gt;"&amp;$K$24,Input!$J:$J,'5.CC Physical risk'!$J$24))/1000000</f>
        <v>2.6096020000000002</v>
      </c>
      <c r="K16" s="93">
        <f>(SUMIFS(Input!$L:$L,Input!$K:$K,"1",Input!$E:$E,'5.CC Physical risk'!$D$24,Input!$H:$H,'5.CC Physical risk'!$A16&amp;"*",Input!$D:$D,"outras empresas nao financeiras",Input!$J:$J,"&lt;&gt;"&amp;$J$24,Input!$I:$I,'5.CC Physical risk'!$K$24))/1000000</f>
        <v>90.936010999999993</v>
      </c>
      <c r="L16" s="93">
        <f>(SUMIFS(Input!$L:$L,
Input!$K:$K,"1",
Input!$E:$E,'5.CC Physical risk'!$D$24,
Input!$H:$H,'5.CC Physical risk'!$A16&amp;"*",
Input!$D:$D,"outras empresas nao financeiras",
Input!$J:$J,'5.CC Physical risk'!$J$24,
Input!$I:$I,'5.CC Physical risk'!$K$24))/1000000</f>
        <v>0</v>
      </c>
      <c r="M16" s="93">
        <f>(SUMIFS(Input!$L:$L,
Input!$K:$K,"1",
Input!$E:$E,'5.CC Physical risk'!$D$24,
Input!$D:$D,"outras empresas nao financeiras",
Input!$H:$H,'5.CC Physical risk'!$A16&amp;"*",
Input!$C:$C,'5.CC Physical risk'!$M$24))/1000000</f>
        <v>4.8612789999999997</v>
      </c>
      <c r="N16" s="93">
        <f>(SUMIFS(Input!$L:$L,
Input!$K:$K,"1",
Input!$E:$E,'5.CC Physical risk'!$D$24,
Input!$D:$D,"outras empresas nao financeiras",
Input!$H:$H,'5.CC Physical risk'!$A16&amp;"*",
Input!$C:$C,'5.CC Physical risk'!$N$24))/1000000</f>
        <v>0.44950299999999999</v>
      </c>
      <c r="O16" s="93">
        <f>(SUMIFS(Input!$L:$L,
Input!$K:$K,"1",
Input!$E:$E,'5.CC Physical risk'!$O$24,
Input!$D:$D,"outras empresas nao financeiras",
Input!$H:$H,'5.CC Physical risk'!$A16&amp;"*"))/1000000</f>
        <v>-1.358762</v>
      </c>
      <c r="P16" s="93">
        <f>(SUMIFS(Input!$L:$L,
Input!$K:$K,"1",
Input!$E:$E,'5.CC Physical risk'!$O$24,
Input!$D:$D,"outras empresas nao financeiras",
Input!$H:$H,'5.CC Physical risk'!$A16&amp;"*",
Input!$C:$C,'5.CC Physical risk'!$M$24))/1000000</f>
        <v>-0.68985700000000005</v>
      </c>
      <c r="Q16" s="93">
        <f>(SUMIFS(Input!$L:$L,
Input!$K:$K,"1",
Input!$E:$E,'5.CC Physical risk'!$O$24,
Input!$D:$D,"outras empresas nao financeiras",
Input!$H:$H,'5.CC Physical risk'!$A16&amp;"*",
Input!$C:$C,'5.CC Physical risk'!$N$24))/1000000</f>
        <v>-0.26210600000000001</v>
      </c>
      <c r="S16" s="73"/>
    </row>
    <row r="17" spans="1:19" x14ac:dyDescent="0.3">
      <c r="A17" s="70" t="s">
        <v>75</v>
      </c>
      <c r="B17" s="71">
        <v>9</v>
      </c>
      <c r="C17" s="72" t="s">
        <v>116</v>
      </c>
      <c r="D17" s="93">
        <f>(SUMIFS(Input!$L:$L,Input!$E:$E,'5.CC Physical risk'!$D$24,Input!$H:$H,'5.CC Physical risk'!$A17&amp;"*",Input!$D:$D,"outras empresas nao financeiras"))/1000000</f>
        <v>1166.2965469999999</v>
      </c>
      <c r="E17" s="93">
        <f>(SUMIFS(Input!$L:$L,Input!$K:$K,"1",Input!$E:$E,'5.CC Physical risk'!$D$24,Input!$H:$H,'5.CC Physical risk'!$A17&amp;"*",Input!$D:$D,"outras empresas nao financeiras",Input!$G:$G,"&gt;=0",Input!$G:$G,"&lt;=5")
+ SUMIFS(Input!$L:$L,Input!$K:$K,"1",Input!$E:$E,'5.CC Physical risk'!$D$24,Input!$H:$H,'5.CC Physical risk'!$A17&amp;"*",Input!$D:$D,"outras empresas nao financeiras",Input!$G:$G,"-4")
+ SUMIFS(Input!$L:$L,Input!$K:$K,"1",Input!$E:$E,'5.CC Physical risk'!$D$24,Input!$H:$H,'5.CC Physical risk'!$A17&amp;"*",Input!$D:$D,"outras empresas nao financeiras",Input!$G:$G,"-1"))/1000000</f>
        <v>16.357664</v>
      </c>
      <c r="F17" s="93">
        <f>(SUMIFS(Input!$L:$L,Input!$K:$K,"1",Input!$E:$E,'5.CC Physical risk'!$D$24,Input!$H:$H,'5.CC Physical risk'!$A17&amp;"*",Input!$D:$D,"outras empresas nao financeiras",Input!$G:$G,"&gt;5",Input!$G:$G,"&lt;=10"))/1000000</f>
        <v>2.1466280000000002</v>
      </c>
      <c r="G17" s="93">
        <f>(SUMIFS(Input!$L:$L,Input!$K:$K,"1",Input!$E:$E,'5.CC Physical risk'!$D$24,Input!$H:$H,'5.CC Physical risk'!$A17&amp;"*",Input!$D:$D,"outras empresas nao financeiras",Input!$G:$G,"&gt;10",Input!$G:$G,"&lt;=20"))/1000000</f>
        <v>0.14338400000000001</v>
      </c>
      <c r="H17" s="93">
        <f>(SUMIFS(Input!$L:$L,Input!$K:$K,"1",Input!$E:$E,'5.CC Physical risk'!$D$24,Input!$H:$H,'5.CC Physical risk'!$A17&amp;"*",Input!$D:$D,"outras empresas nao financeiras",Input!$G:$G,"&gt;20")
+ SUMIFS(Input!$L:$L,Input!$K:$K,"1",Input!$E:$E,'5.CC Physical risk'!$D$24,Input!$H:$H,'5.CC Physical risk'!$A17&amp;"*",Input!$D:$D,"outras empresas nao financeiras",Input!$G:$G,"-2")
+ SUMIFS(Input!$L:$L,Input!$K:$K,"1",Input!$E:$E,'5.CC Physical risk'!$D$24,Input!$H:$H,'5.CC Physical risk'!$A17&amp;"*",Input!$D:$D,"outras empresas nao financeiras",Input!$G:$G,"-3")
+ SUMIFS(Input!$L:$L,Input!$K:$K,"1",Input!$E:$E,'5.CC Physical risk'!$D$24,Input!$H:$H,'5.CC Physical risk'!$A17&amp;"*",Input!$D:$D,"outras empresas nao financeiras",Input!$G:$G,"-5"))/1000000</f>
        <v>0</v>
      </c>
      <c r="I17" s="93">
        <f>IFERROR(ROUND(SUMIFS(Input!$M:$M,Input!$K:$K,"1",Input!$E:$E,'5.CC Physical risk'!$D$24,Input!$H:$H,'5.CC Physical risk'!$A17&amp;"*",Input!$D:$D,"outras empresas nao financeiras",Input!$G:$G,"&gt;0")
/
SUMIFS(Input!$L:$L,Input!$K:$K,"1",Input!$E:$E,'5.CC Physical risk'!$D$24,Input!$H:$H,'5.CC Physical risk'!$A17&amp;"*",Input!$D:$D,"outras empresas nao financeiras",Input!$G:$G,"&gt;0"),0),0)</f>
        <v>5</v>
      </c>
      <c r="J17" s="93">
        <f>(SUMIFS(Input!$L:$L,Input!$K:$K,"1",Input!$E:$E,'5.CC Physical risk'!$D$24,Input!$H:$H,'5.CC Physical risk'!$A17&amp;"*",Input!$D:$D,"outras empresas nao financeiras",Input!$I:$I,"&lt;&gt;"&amp;$K$24,Input!$J:$J,'5.CC Physical risk'!$J$24))/1000000</f>
        <v>0</v>
      </c>
      <c r="K17" s="93">
        <f>(SUMIFS(Input!$L:$L,Input!$K:$K,"1",Input!$E:$E,'5.CC Physical risk'!$D$24,Input!$H:$H,'5.CC Physical risk'!$A17&amp;"*",Input!$D:$D,"outras empresas nao financeiras",Input!$J:$J,"&lt;&gt;"&amp;$J$24,Input!$I:$I,'5.CC Physical risk'!$K$24))/1000000</f>
        <v>4.2248270000000003</v>
      </c>
      <c r="L17" s="93">
        <f>(SUMIFS(Input!$L:$L,
Input!$K:$K,"1",
Input!$E:$E,'5.CC Physical risk'!$D$24,
Input!$H:$H,'5.CC Physical risk'!$A17&amp;"*",
Input!$D:$D,"outras empresas nao financeiras",
Input!$J:$J,'5.CC Physical risk'!$J$24,
Input!$I:$I,'5.CC Physical risk'!$K$24))/1000000</f>
        <v>0</v>
      </c>
      <c r="M17" s="93">
        <f>(SUMIFS(Input!$L:$L,
Input!$K:$K,"1",
Input!$E:$E,'5.CC Physical risk'!$D$24,
Input!$D:$D,"outras empresas nao financeiras",
Input!$H:$H,'5.CC Physical risk'!$A17&amp;"*",
Input!$C:$C,'5.CC Physical risk'!$M$24))/1000000</f>
        <v>0.47022399999999998</v>
      </c>
      <c r="N17" s="93">
        <f>(SUMIFS(Input!$L:$L,
Input!$K:$K,"1",
Input!$E:$E,'5.CC Physical risk'!$D$24,
Input!$D:$D,"outras empresas nao financeiras",
Input!$H:$H,'5.CC Physical risk'!$A17&amp;"*",
Input!$C:$C,'5.CC Physical risk'!$N$24))/1000000</f>
        <v>12.487506</v>
      </c>
      <c r="O17" s="93">
        <f>(SUMIFS(Input!$L:$L,
Input!$K:$K,"1",
Input!$E:$E,'5.CC Physical risk'!$O$24,
Input!$D:$D,"outras empresas nao financeiras",
Input!$H:$H,'5.CC Physical risk'!$A17&amp;"*"))/1000000</f>
        <v>-12.450239</v>
      </c>
      <c r="P17" s="93">
        <f>(SUMIFS(Input!$L:$L,
Input!$K:$K,"1",
Input!$E:$E,'5.CC Physical risk'!$O$24,
Input!$D:$D,"outras empresas nao financeiras",
Input!$H:$H,'5.CC Physical risk'!$A17&amp;"*",
Input!$C:$C,'5.CC Physical risk'!$M$24))/1000000</f>
        <v>-1.2669E-2</v>
      </c>
      <c r="Q17" s="93">
        <f>(SUMIFS(Input!$L:$L,
Input!$K:$K,"1",
Input!$E:$E,'5.CC Physical risk'!$O$24,
Input!$D:$D,"outras empresas nao financeiras",
Input!$H:$H,'5.CC Physical risk'!$A17&amp;"*",
Input!$C:$C,'5.CC Physical risk'!$N$24))/1000000</f>
        <v>-12.426698</v>
      </c>
      <c r="S17" s="73"/>
    </row>
    <row r="18" spans="1:19" x14ac:dyDescent="0.3">
      <c r="A18" s="70" t="s">
        <v>24</v>
      </c>
      <c r="B18" s="71">
        <v>10</v>
      </c>
      <c r="C18" s="72" t="s">
        <v>117</v>
      </c>
      <c r="D18" s="97">
        <f>(SUMIFS(Input!$L:$L,
Input!$E:$E,'5.CC Physical risk'!$D$24,
Input!$F:$F,'5.CC Physical risk'!$A18&amp;"*"))/1000000</f>
        <v>23291.746937</v>
      </c>
      <c r="E18" s="99">
        <f>(SUMIFS(Input!$L:$L,Input!$K:$K,"1",Input!$E:$E,'5.CC Physical risk'!$D$24,Input!$F:$F,'5.CC Physical risk'!$A18,Input!$G:$G,"&gt;=0",Input!$G:$G,"&lt;=5")
+ SUMIFS(Input!$L:$L,Input!$K:$K,"1",Input!$E:$E,'5.CC Physical risk'!$D$24,Input!$F:$F,'5.CC Physical risk'!$A18,Input!$G:$G,"-4")
+ SUMIFS(Input!$L:$L,Input!$K:$K,"1",Input!$E:$E,'5.CC Physical risk'!$D$24,Input!$F:$F,'5.CC Physical risk'!$A18,Input!$G:$G,"-1"))/1000000</f>
        <v>6.052975</v>
      </c>
      <c r="F18" s="99">
        <f>(SUMIFS(Input!$L:$L,Input!$K:$K,"1",Input!$E:$E,'5.CC Physical risk'!$D$24,Input!$F:$F,'5.CC Physical risk'!$A18,Input!$G:$G,"&gt;5",Input!$G:$G,"&lt;=10"))/1000000</f>
        <v>18.331364000000001</v>
      </c>
      <c r="G18" s="99">
        <f>(SUMIFS(Input!$L:$L,Input!$K:$K,"1",Input!$E:$E,'5.CC Physical risk'!$D$24,Input!$F:$F,'5.CC Physical risk'!$A18,Input!$G:$G,"&gt;10",Input!$G:$G,"&lt;=20"))/1000000</f>
        <v>61.481515999999999</v>
      </c>
      <c r="H18" s="99">
        <f>(SUMIFS(Input!$L:$L,Input!$K:$K,"1",Input!$E:$E,'5.CC Physical risk'!$D$24,Input!$F:$F,'5.CC Physical risk'!$A18,Input!$G:$G,"&gt;20")
+ SUMIFS(Input!$L:$L,Input!$K:$K,"1",Input!$E:$E,'5.CC Physical risk'!$D$24,Input!$F:$F,'5.CC Physical risk'!$A18,Input!$G:$G,"-2")
+ SUMIFS(Input!$L:$L,Input!$K:$K,"1",Input!$E:$E,'5.CC Physical risk'!$D$24,Input!$F:$F,'5.CC Physical risk'!$A18,Input!$G:$G,"-3")
+ SUMIFS(Input!$L:$L,Input!$K:$K,"1",Input!$E:$E,'5.CC Physical risk'!$D$24,Input!$F:$F,'5.CC Physical risk'!$A18,Input!$G:$G,"-5"))/1000000</f>
        <v>323.90603800000002</v>
      </c>
      <c r="I18" s="93">
        <f>IFERROR(ROUND(SUMIFS(Input!$M:$M,Input!$K:$K,"1",Input!$E:$E,'5.CC Physical risk'!$D$24,Input!$F:$F,'5.CC Physical risk'!$A18,Input!$G:$G,"&gt;0")
/
SUMIFS(Input!$L:$L,Input!$K:$K,"1",Input!$E:$E,'5.CC Physical risk'!$D$24,Input!$F:$F,'5.CC Physical risk'!$A18,Input!$G:$G,"&gt;0"),0),0)</f>
        <v>27</v>
      </c>
      <c r="J18" s="93">
        <f>(SUMIFS(Input!$L:$L,Input!$K:$K,"1",Input!$E:$E,'5.CC Physical risk'!$D$24,Input!$F:$F,'5.CC Physical risk'!$A18&amp;"*",Input!$J:$J,"CHRO1",Input!$I:$I,"ACUT2"))/1000000</f>
        <v>6.1156000000000002E-2</v>
      </c>
      <c r="K18" s="93">
        <f>(SUMIFS(Input!$L:$L,Input!$K:$K,"1",Input!$E:$E,'5.CC Physical risk'!$D$24,Input!$F:$F,'5.CC Physical risk'!$A18&amp;"*",Input!$J:$J,"CHRO2",Input!$I:$I,"ACUT1"))/1000000</f>
        <v>336.34974899999997</v>
      </c>
      <c r="L18" s="93">
        <f>(SUMIFS(Input!$L:$L,Input!$K:$K,"1",Input!$E:$E,'5.CC Physical risk'!$D$24,Input!$F:$F,'5.CC Physical risk'!$A18&amp;"*",Input!$J:$J,"CHRO1",Input!$I:$I,"ACUT1"))/1000000</f>
        <v>1.2799E-2</v>
      </c>
      <c r="M18" s="93">
        <f>SUM(SUMIFS(Input!$L:$L,
Input!$K:$K,"1",
Input!$E:$E,'5.CC Physical risk'!$D$24,
Input!$F:$F,'5.CC Physical risk'!$A18&amp;"*",
Input!$C:$C,'5.CC Physical risk'!$M$24))/1000000</f>
        <v>35.968049000000001</v>
      </c>
      <c r="N18" s="93">
        <f>SUM(SUMIFS(Input!$L:$L,
Input!$K:$K,"1",
Input!$E:$E,'5.CC Physical risk'!$D$24,
Input!$F:$F,'5.CC Physical risk'!$A18&amp;"*",
Input!$C:$C,'5.CC Physical risk'!$N$24))/1000000</f>
        <v>6.3520250000000003</v>
      </c>
      <c r="O18" s="93">
        <f>SUM(SUMIFS(Input!$L:$L,
Input!$K:$K,"1",
Input!$E:$E,'5.CC Physical risk'!$O$24,
Input!$F:$F,'5.CC Physical risk'!$A18))/1000000</f>
        <v>-3.295766</v>
      </c>
      <c r="P18" s="93">
        <f>SUM(SUMIFS(Input!$L:$L,
Input!$K:$K,"1",
Input!$E:$E,'5.CC Physical risk'!$O$24,
Input!$F:$F,'5.CC Physical risk'!$A18&amp;"*",
Input!$C:$C,'5.CC Physical risk'!$M$24))/1000000</f>
        <v>-1.073332</v>
      </c>
      <c r="Q18" s="93">
        <f>SUM(SUMIFS(Input!$L:$L,
Input!$K:$K,"1",
Input!$E:$E,'5.CC Physical risk'!$O$24,
Input!$F:$F,'5.CC Physical risk'!$A18&amp;"*",
Input!$C:$C,'5.CC Physical risk'!$N$24))/1000000</f>
        <v>-2.015361</v>
      </c>
      <c r="S18" s="73"/>
    </row>
    <row r="19" spans="1:19" x14ac:dyDescent="0.3">
      <c r="A19" s="70" t="s">
        <v>25</v>
      </c>
      <c r="B19" s="71">
        <v>11</v>
      </c>
      <c r="C19" s="72" t="s">
        <v>118</v>
      </c>
      <c r="D19" s="93">
        <f>(SUMIFS(Input!$L:$L,Input!$E:$E,'5.CC Physical risk'!$D$24,Input!$F:$F,'5.CC Physical risk'!$A19&amp;"*"))/1000000</f>
        <v>3579.2865459999998</v>
      </c>
      <c r="E19" s="93">
        <f>(SUMIFS(Input!$L:$L,Input!$K:$K,"1",Input!$E:$E,'5.CC Physical risk'!$D$24,Input!$F:$F,'5.CC Physical risk'!$A19,Input!$G:$G,"&gt;=0",Input!$G:$G,"&lt;=5")
+ SUMIFS(Input!$L:$L,Input!$K:$K,"1",Input!$E:$E,'5.CC Physical risk'!$D$24,Input!$F:$F,'5.CC Physical risk'!$A19,Input!$G:$G,"-4")
+ SUMIFS(Input!$L:$L,Input!$K:$K,"1",Input!$E:$E,'5.CC Physical risk'!$D$24,Input!$F:$F,'5.CC Physical risk'!$A19,Input!$G:$G,"-1"))/1000000</f>
        <v>77.027153999999996</v>
      </c>
      <c r="F19" s="93">
        <f>(SUMIFS(Input!$L:$L,Input!$K:$K,"1",Input!$E:$E,'5.CC Physical risk'!$D$24,Input!$F:$F,'5.CC Physical risk'!$A19,Input!$G:$G,"&gt;5",Input!$G:$G,"&lt;=10"))/1000000</f>
        <v>89.380049</v>
      </c>
      <c r="G19" s="93">
        <f>(SUMIFS(Input!$L:$L,Input!$K:$K,"1",Input!$E:$E,'5.CC Physical risk'!$D$24,Input!$F:$F,'5.CC Physical risk'!$A19,Input!$G:$G,"&gt;10",Input!$G:$G,"&lt;=20"))/1000000</f>
        <v>77.848314999999999</v>
      </c>
      <c r="H19" s="93">
        <f>(SUMIFS(Input!$L:$L,Input!$K:$K,"1",Input!$E:$E,'5.CC Physical risk'!$D$24,Input!$F:$F,'5.CC Physical risk'!$A19,Input!$G:$G,"&gt;20")
+SUMIFS(Input!$L:$L,Input!$K:$K,"1",Input!$E:$E,'5.CC Physical risk'!$D$24,Input!$F:$F,'5.CC Physical risk'!$A19,Input!$G:$G,"-2")
+SUMIFS(Input!$L:$L,Input!$K:$K,"1",Input!$E:$E,'5.CC Physical risk'!$D$24,Input!$F:$F,'5.CC Physical risk'!$A19,Input!$G:$G,"-3")
+SUMIFS(Input!$L:$L,Input!$K:$K,"1",Input!$E:$E,'5.CC Physical risk'!$D$24,Input!$F:$F,'5.CC Physical risk'!$A19,Input!$G:$G,"-5"))/1000000</f>
        <v>8.2302E-2</v>
      </c>
      <c r="I19" s="93">
        <f>IFERROR(ROUND(SUMIFS(Input!$M:$M,Input!$K:$K,"1",Input!$E:$E,'5.CC Physical risk'!$D$24,Input!$F:$F,'5.CC Physical risk'!$A19,Input!$G:$G,"&gt;0")
/
SUMIFS(Input!$L:$L,Input!$K:$K,"1",Input!$E:$E,'5.CC Physical risk'!$D$24,Input!$F:$F,'5.CC Physical risk'!$A19,Input!$G:$G,"&gt;0"),0),0)</f>
        <v>9</v>
      </c>
      <c r="J19" s="93">
        <f>(SUMIFS(Input!$L:$L,Input!$K:$K,"1",Input!$E:$E,'5.CC Physical risk'!$D$24,Input!$F:$F,'5.CC Physical risk'!$A19&amp;"*",Input!$J:$J,"CHRO1",Input!$I:$I,"ACUT2"))/1000000</f>
        <v>10.635138</v>
      </c>
      <c r="K19" s="93">
        <f>(SUMIFS(Input!$L:$L,Input!$K:$K,"1",Input!$E:$E,'5.CC Physical risk'!$D$24,Input!$F:$F,'5.CC Physical risk'!$A19&amp;"*",Input!$J:$J,"CHRO2",Input!$I:$I,"ACUT1"))/1000000</f>
        <v>18.668171999999998</v>
      </c>
      <c r="L19" s="93">
        <f>(SUMIFS(Input!$L:$L,Input!$K:$K,"1",Input!$E:$E,'5.CC Physical risk'!$D$24,Input!$F:$F,'5.CC Physical risk'!$A19&amp;"*",Input!$J:$J,"CHRO1",Input!$I:$I,"ACUT1"))/1000000</f>
        <v>0</v>
      </c>
      <c r="M19" s="93">
        <f>(SUMIFS(Input!$L:$L,Input!$K:$K,"1",Input!$E:$E,'5.CC Physical risk'!$D$24,Input!$F:$F,'5.CC Physical risk'!$A19&amp;"*",Input!$C:$C,'5.CC Physical risk'!$M$24))/1000000</f>
        <v>22.779485999999999</v>
      </c>
      <c r="N19" s="93">
        <f>(SUMIFS(Input!$L:$L,Input!$K:$K,"1",Input!$E:$E,'5.CC Physical risk'!$D$24,Input!$F:$F,'5.CC Physical risk'!$A19&amp;"*",Input!$C:$C,'5.CC Physical risk'!$N$24))/1000000</f>
        <v>22.656621000000001</v>
      </c>
      <c r="O19" s="93">
        <f>(SUMIFS(Input!$L:$L,Input!$K:$K,"1",Input!$E:$E,'5.CC Physical risk'!$O$24,Input!$F:$F,'5.CC Physical risk'!$A19))/1000000</f>
        <v>-20.166706000000001</v>
      </c>
      <c r="P19" s="93">
        <f>(SUMIFS(Input!$L:$L,Input!$K:$K,"1",Input!$E:$E,'5.CC Physical risk'!$O$24,Input!$F:$F,'5.CC Physical risk'!$A19&amp;"*",Input!$C:$C,'5.CC Physical risk'!$M$24))/1000000</f>
        <v>-1.1230249999999999</v>
      </c>
      <c r="Q19" s="93">
        <f>(SUMIFS(Input!$L:$L,Input!$K:$K,"1",Input!$E:$E,'5.CC Physical risk'!$O$24,Input!$F:$F,'5.CC Physical risk'!$A19&amp;"*",Input!$C:$C,'5.CC Physical risk'!$N$24))/1000000</f>
        <v>-18.671807000000001</v>
      </c>
      <c r="S19" s="73"/>
    </row>
    <row r="20" spans="1:19" x14ac:dyDescent="0.3">
      <c r="A20" s="70" t="s">
        <v>23</v>
      </c>
      <c r="B20" s="71">
        <v>12</v>
      </c>
      <c r="C20" s="72" t="s">
        <v>119</v>
      </c>
      <c r="D20" s="93">
        <f>(SUMIFS(Input!$L:$L,Input!$E:$E,'5.CC Physical risk'!$D$24,Input!$F:$F,'5.CC Physical risk'!$A20&amp;"*"))/1000000</f>
        <v>0</v>
      </c>
      <c r="E20" s="93">
        <f>(SUMIFS(Input!$L:$L,Input!$K:$K,"1",Input!$E:$E,'5.CC Physical risk'!$D$24,Input!$F:$F,'5.CC Physical risk'!$A20&amp;"*",Input!$G:$G,"&gt;=0",Input!$G:$G,"&lt;=5"))/1000000</f>
        <v>0</v>
      </c>
      <c r="F20" s="93">
        <f>(SUMIFS(Input!$L:$L,Input!$K:$K,"1",Input!$E:$E,'5.CC Physical risk'!$D$24,Input!$F:$F,'5.CC Physical risk'!$A20&amp;"*",Input!$G:$G,"&gt;5",Input!$G:$G,"&lt;=10"))/1000000</f>
        <v>0</v>
      </c>
      <c r="G20" s="93">
        <f>(SUMIFS(Input!$L:$L,Input!$K:$K,"1",Input!$E:$E,'5.CC Physical risk'!$D$24,Input!$F:$F,'5.CC Physical risk'!$A20&amp;"*",Input!$G:$G,"&gt;10",Input!$G:$G,"&lt;=20"))/1000000</f>
        <v>0</v>
      </c>
      <c r="H20" s="93">
        <f>(SUMIFS(Input!$L:$L,Input!$K:$K,"1",Input!$E:$E,'5.CC Physical risk'!$D$24,Input!$F:$F,'5.CC Physical risk'!$A20,Input!$G:$G,"&gt;20")
+SUMIFS(Input!$L:$L,Input!$K:$K,"1",Input!$E:$E,'5.CC Physical risk'!$D$24,Input!$F:$F,'5.CC Physical risk'!$A20,Input!$G:$G,"-2")
+SUMIFS(Input!$L:$L,Input!$K:$K,"1",Input!$E:$E,'5.CC Physical risk'!$D$24,Input!$F:$F,'5.CC Physical risk'!$A20,Input!$G:$G,"-3")
+SUMIFS(Input!$L:$L,Input!$K:$K,"1",Input!$E:$E,'5.CC Physical risk'!$D$24,Input!$F:$F,'5.CC Physical risk'!$A20,Input!$G:$G,"-5"))/1000000</f>
        <v>0</v>
      </c>
      <c r="I20" s="93">
        <f>IFERROR(ROUND(SUMIFS(Input!$M:$M,Input!$K:$K,"1",Input!$E:$E,'5.CC Physical risk'!$D$24,Input!$F:$F,'5.CC Physical risk'!$A20,Input!$G:$G,"&gt;0")
/
SUMIFS(Input!$L:$L,Input!$K:$K,"1",Input!$E:$E,'5.CC Physical risk'!$D$24,Input!$F:$F,'5.CC Physical risk'!$A20,Input!$G:$G,"&gt;0"),0),0)</f>
        <v>0</v>
      </c>
      <c r="J20" s="93">
        <f>(SUMIFS(Input!$L:$L,Input!$K:$K,"1",Input!$E:$E,'5.CC Physical risk'!$D$24,Input!$F:$F,'5.CC Physical risk'!$A20&amp;"*",Input!$J:$J,"CHRO1",Input!$I:$I,"ACUT2"))/1000000</f>
        <v>0</v>
      </c>
      <c r="K20" s="93">
        <f>(SUMIFS(Input!$L:$L,Input!$K:$K,"1",Input!$E:$E,'5.CC Physical risk'!$D$24,Input!$F:$F,'5.CC Physical risk'!$A20&amp;"*",Input!$J:$J,"CHRO2",Input!$I:$I,"ACUT1"))/1000000</f>
        <v>0</v>
      </c>
      <c r="L20" s="93">
        <f>(SUMIFS(Input!$L:$L,Input!$K:$K,"1",Input!$E:$E,'5.CC Physical risk'!$D$24,Input!$F:$F,'5.CC Physical risk'!$A20&amp;"*",Input!$J:$J,"CHRO1",Input!$I:$I,"ACUT1"))/1000000</f>
        <v>0</v>
      </c>
      <c r="M20" s="93">
        <f>(SUMIFS(Input!$L:$L,Input!$E:$E,'5.CC Physical risk'!$D$24,Input!$K:$K,"1",Input!$F:$F,'5.CC Physical risk'!$A20,Input!$C:$C,'5.CC Physical risk'!$M$24))/1000000</f>
        <v>0</v>
      </c>
      <c r="N20" s="93">
        <f>(SUMIFS(Input!$L:$L,Input!$E:$E,'5.CC Physical risk'!$D$24,Input!$K:$K,"1",Input!$K:$K,'5.CC Physical risk'!$A20,Input!$C:$C,'5.CC Physical risk'!$N$24))/1000000</f>
        <v>0</v>
      </c>
      <c r="O20" s="93">
        <f>(SUMIFS(Input!$L:$L,Input!$K:$K,"1",Input!$E:$E,'5.CC Physical risk'!$O$24,Input!$F:$F,'5.CC Physical risk'!$A20))/1000000</f>
        <v>0</v>
      </c>
      <c r="P20" s="93">
        <f>(SUMIFS(Input!$L:$L,Input!$E:$E,'5.CC Physical risk'!$O$24,Input!$K:$K,"1",Input!$F:$F,'5.CC Physical risk'!$A20,Input!$C:$C,'5.CC Physical risk'!$M$24))/1000000</f>
        <v>0</v>
      </c>
      <c r="Q20" s="93">
        <f>(SUMIFS(Input!$L:$L,Input!$E:$E,'5.CC Physical risk'!$O$24,Input!$K:$K,"1",Input!$F:$F,'5.CC Physical risk'!$A20,Input!$C:$C,'5.CC Physical risk'!$N$24))/1000000</f>
        <v>0</v>
      </c>
      <c r="S20" s="73"/>
    </row>
    <row r="21" spans="1:19" x14ac:dyDescent="0.3">
      <c r="A21" s="70" t="s">
        <v>76</v>
      </c>
      <c r="B21" s="71">
        <v>13</v>
      </c>
      <c r="C21" s="74" t="s">
        <v>120</v>
      </c>
      <c r="D21" s="93">
        <f>(SUMIFS(Input!$L:$L,Input!$E:$E,'5.CC Physical risk'!$D$24,Input!$H:$H,'5.CC Physical risk'!$A21&amp;"*",Input!$D:$D,"outras empresas nao financeiras"))/1000000</f>
        <v>1110.460141</v>
      </c>
      <c r="E21" s="93">
        <f>(SUMIFS(Input!$L:$L,Input!$K:$K,"1",Input!$E:$E,'5.CC Physical risk'!$D$24,Input!$H:$H,'5.CC Physical risk'!$A21&amp;"*",Input!$D:$D,"outras empresas nao financeiras",Input!$G:$G,"&gt;=0",Input!$G:$G,"&lt;=5")
+ SUMIFS(Input!$L:$L,Input!$K:$K,"1",Input!$E:$E,'5.CC Physical risk'!$D$24,Input!$H:$H,'5.CC Physical risk'!$A21&amp;"*",Input!$D:$D,"outras empresas nao financeiras",Input!$G:$G,"-4")
+ SUMIFS(Input!$L:$L,Input!$K:$K,"1",Input!$E:$E,'5.CC Physical risk'!$D$24,Input!$H:$H,'5.CC Physical risk'!$A21&amp;"*",Input!$D:$D,"outras empresas nao financeiras",Input!$G:$G,"-1"))/1000000</f>
        <v>0.22211700000000001</v>
      </c>
      <c r="F21" s="93">
        <f>(SUMIFS(Input!$L:$L,Input!$K:$K,"1",Input!$E:$E,'5.CC Physical risk'!$D$24,Input!$H:$H,'5.CC Physical risk'!$A21&amp;"*",Input!$D:$D,"outras empresas nao financeiras",Input!$G:$G,"&gt;5",Input!$G:$G,"&lt;=10"))/1000000</f>
        <v>6.5126179999999998</v>
      </c>
      <c r="G21" s="93">
        <f>(SUMIFS(Input!$L:$L,Input!$K:$K,"1",Input!$E:$E,'5.CC Physical risk'!$D$24,Input!$H:$H,'5.CC Physical risk'!$A21&amp;"*",Input!$D:$D,"outras empresas nao financeiras",Input!$G:$G,"&gt;10",Input!$G:$G,"&lt;=20"))/1000000</f>
        <v>0.70479800000000004</v>
      </c>
      <c r="H21" s="93">
        <f>(SUMIFS(Input!$L:$L,Input!$K:$K,"1",Input!$E:$E,'5.CC Physical risk'!$D$24,Input!$H:$H,'5.CC Physical risk'!$A21&amp;"*",Input!$D:$D,"outras empresas nao financeiras",Input!$G:$G,"&gt;20")
+ SUMIFS(Input!$L:$L,Input!$K:$K,"1",Input!$E:$E,'5.CC Physical risk'!$D$24,Input!$H:$H,'5.CC Physical risk'!$A21&amp;"*",Input!$D:$D,"outras empresas nao financeiras",Input!$G:$G,"-2")
+ SUMIFS(Input!$L:$L,Input!$K:$K,"1",Input!$E:$E,'5.CC Physical risk'!$D$24,Input!$H:$H,'5.CC Physical risk'!$A21&amp;"*",Input!$D:$D,"outras empresas nao financeiras",Input!$G:$G,"-3")
+ SUMIFS(Input!$L:$L,Input!$K:$K,"1",Input!$E:$E,'5.CC Physical risk'!$D$24,Input!$H:$H,'5.CC Physical risk'!$A21&amp;"*",Input!$D:$D,"outras empresas nao financeiras",Input!$G:$G,"-5"))/1000000</f>
        <v>0</v>
      </c>
      <c r="I21" s="93">
        <f>IFERROR(ROUND(SUMIFS(Input!$M:$M,Input!$K:$K,"1",Input!$E:$E,'5.CC Physical risk'!$D$24,Input!$H:$H,'5.CC Physical risk'!$A21&amp;"*",Input!$D:$D,"outras empresas nao financeiras",Input!$G:$G,"&gt;0")
/
SUMIFS(Input!$L:$L,Input!$K:$K,"1",Input!$E:$E,'5.CC Physical risk'!$D$24,Input!$H:$H,'5.CC Physical risk'!$A21&amp;"*",Input!$D:$D,"outras empresas nao financeiras",Input!$G:$G,"&gt;0"),0),0)</f>
        <v>10</v>
      </c>
      <c r="J21" s="93">
        <f>(SUMIFS(Input!$L:$L,Input!$K:$K,"1",Input!$E:$E,'5.CC Physical risk'!$D$24,Input!$H:$H,'5.CC Physical risk'!$A21&amp;"*",Input!$D:$D,"outras empresas nao financeiras",Input!$I:$I,"&lt;&gt;"&amp;$K$24,Input!$J:$J,'5.CC Physical risk'!$J$24))/1000000</f>
        <v>0</v>
      </c>
      <c r="K21" s="93">
        <f>(SUMIFS(Input!$L:$L,Input!$K:$K,"1",Input!$E:$E,'5.CC Physical risk'!$D$24,Input!$H:$H,'5.CC Physical risk'!$A21&amp;"*",Input!$D:$D,"outras empresas nao financeiras",Input!$J:$J,"&lt;&gt;"&amp;$J$24,Input!$I:$I,'5.CC Physical risk'!$K$24))/1000000</f>
        <v>7.439533</v>
      </c>
      <c r="L21" s="93">
        <f>(SUMIFS(Input!$L:$L,Input!$K:$K,"1",Input!$E:$E,'5.CC Physical risk'!$D$24,Input!$H:$H,'5.CC Physical risk'!$A21&amp;"*",Input!$D:$D,"outras empresas nao financeiras",Input!$J:$J,'5.CC Physical risk'!$J$24,Input!$I:$I,'5.CC Physical risk'!$K$24))/1000000</f>
        <v>0</v>
      </c>
      <c r="M21" s="93">
        <f>(SUMIFS(Input!$L:$L,
Input!$K:$K,"1",
Input!$E:$E,'5.CC Physical risk'!$D$24,
Input!$D:$D,"outras empresas nao financeiras",
Input!$H:$H,'5.CC Physical risk'!$A21&amp;"*",
Input!$C:$C,'5.CC Physical risk'!$M$24))/1000000</f>
        <v>0</v>
      </c>
      <c r="N21" s="93">
        <f>(SUMIFS(Input!$L:$L,
Input!$K:$K,"1",
Input!$E:$E,'5.CC Physical risk'!$D$24,
Input!$D:$D,"outras empresas nao financeiras",
Input!$H:$H,'5.CC Physical risk'!$A21&amp;"*",
Input!$C:$C,'5.CC Physical risk'!$N$24))/1000000</f>
        <v>3.0584E-2</v>
      </c>
      <c r="O21" s="93">
        <f>(SUMIFS(Input!$L:$L,
Input!$K:$K,"1",
Input!$E:$E,'5.CC Physical risk'!$O$24,
Input!$D:$D,"outras empresas nao financeiras",
Input!$H:$H,'5.CC Physical risk'!$A21&amp;"*"))/1000000</f>
        <v>-2.7449000000000001E-2</v>
      </c>
      <c r="P21" s="93">
        <f>(SUMIFS(Input!$L:$L,
Input!$K:$K,"1",
Input!$E:$E,'5.CC Physical risk'!$O$24,
Input!$D:$D,"outras empresas nao financeiras",
Input!$H:$H,'5.CC Physical risk'!$A21&amp;"*",
Input!$C:$C,'5.CC Physical risk'!$M$24))/1000000</f>
        <v>0</v>
      </c>
      <c r="Q21" s="93">
        <f>(SUMIFS(Input!$L:$L,
Input!$K:$K,"1",
Input!$E:$E,'5.CC Physical risk'!$O$24,
Input!$D:$D,"outras empresas nao financeiras",
Input!$H:$H,'5.CC Physical risk'!$A21&amp;"*",
Input!$C:$C,'5.CC Physical risk'!$N$24))/1000000</f>
        <v>-1.3414000000000001E-2</v>
      </c>
      <c r="S21" s="73"/>
    </row>
    <row r="22" spans="1:19" x14ac:dyDescent="0.3">
      <c r="A22" s="70" t="s">
        <v>81</v>
      </c>
      <c r="B22" s="71">
        <v>13</v>
      </c>
      <c r="C22" s="72" t="s">
        <v>121</v>
      </c>
      <c r="D22" s="93">
        <f>(SUMIFS(Input!$L:$L,Input!$E:$E,'5.CC Physical risk'!$D$24,Input!$H:$H,'5.CC Physical risk'!$A22&amp;"*",Input!$D:$D,"outras empresas nao financeiras"))/1000000</f>
        <v>8.7186570000000003</v>
      </c>
      <c r="E22" s="93">
        <f>(SUMIFS(Input!$L:$L,Input!$K:$K,"1",Input!$E:$E,'5.CC Physical risk'!$D$24,Input!$H:$H,'5.CC Physical risk'!$A22&amp;"*",Input!$D:$D,"outras empresas nao financeiras",Input!$G:$G,"&gt;=0",Input!$G:$G,"&lt;=5")
+ SUMIFS(Input!$L:$L,Input!$K:$K,"1",Input!$E:$E,'5.CC Physical risk'!$D$24,Input!$H:$H,'5.CC Physical risk'!$A22&amp;"*",Input!$D:$D,"outras empresas nao financeiras",Input!$G:$G,"-4")
+ SUMIFS(Input!$L:$L,Input!$K:$K,"1",Input!$E:$E,'5.CC Physical risk'!$D$24,Input!$H:$H,'5.CC Physical risk'!$A22&amp;"*",Input!$D:$D,"outras empresas nao financeiras",Input!$G:$G,"-1"))/1000000</f>
        <v>0</v>
      </c>
      <c r="F22" s="93">
        <f>(SUMIFS(Input!$L:$L,Input!$K:$K,"1",Input!$E:$E,'5.CC Physical risk'!$D$24,Input!$H:$H,'5.CC Physical risk'!$A22&amp;"*",Input!$D:$D,"outras empresas nao financeiras",Input!$G:$G,"&gt;5",Input!$G:$G,"&lt;=10"))/1000000</f>
        <v>0</v>
      </c>
      <c r="G22" s="93">
        <f>(SUMIFS(Input!$L:$L,Input!$K:$K,"1",Input!$E:$E,'5.CC Physical risk'!$D$24,Input!$H:$H,'5.CC Physical risk'!$A22&amp;"*",Input!$D:$D,"outras empresas nao financeiras",Input!$G:$G,"&gt;10",Input!$G:$G,"&lt;=20"))/1000000</f>
        <v>0</v>
      </c>
      <c r="H22" s="93">
        <f>(SUMIFS(Input!$L:$L,Input!$K:$K,"1",Input!$E:$E,'5.CC Physical risk'!$D$24,Input!$H:$H,'5.CC Physical risk'!$A22&amp;"*",Input!$D:$D,"outras empresas nao financeiras",Input!$G:$G,"&gt;20")
+ SUMIFS(Input!$L:$L,Input!$K:$K,"1",Input!$E:$E,'5.CC Physical risk'!$D$24,Input!$H:$H,'5.CC Physical risk'!$A22&amp;"*",Input!$D:$D,"outras empresas nao financeiras",Input!$G:$G,"-2")
+ SUMIFS(Input!$L:$L,Input!$K:$K,"1",Input!$E:$E,'5.CC Physical risk'!$D$24,Input!$H:$H,'5.CC Physical risk'!$A22&amp;"*",Input!$D:$D,"outras empresas nao financeiras",Input!$G:$G,"-3")
+ SUMIFS(Input!$L:$L,Input!$K:$K,"1",Input!$E:$E,'5.CC Physical risk'!$D$24,Input!$H:$H,'5.CC Physical risk'!$A22&amp;"*",Input!$D:$D,"outras empresas nao financeiras",Input!$G:$G,"-5"))/1000000</f>
        <v>0</v>
      </c>
      <c r="I22" s="93">
        <f>IFERROR(ROUND(SUMIFS(Input!$M:$M,Input!$K:$K,"1",Input!$E:$E,'5.CC Physical risk'!$D$24,Input!$H:$H,'5.CC Physical risk'!$A22&amp;"*",Input!$D:$D,"outras empresas nao financeiras",Input!$G:$G,"&gt;0")
/
SUMIFS(Input!$L:$L,Input!$K:$K,"1",Input!$E:$E,'5.CC Physical risk'!$D$24,Input!$H:$H,'5.CC Physical risk'!$A22&amp;"*",Input!$D:$D,"outras empresas nao financeiras",Input!$G:$G,"&gt;0"),0),0)</f>
        <v>0</v>
      </c>
      <c r="J22" s="93">
        <f>(SUMIFS(Input!$L:$L,Input!$K:$K,"1",Input!$E:$E,'5.CC Physical risk'!$D$24,Input!$H:$H,'5.CC Physical risk'!$A22&amp;"*",Input!$D:$D,"outras empresas nao financeiras",Input!$I:$I,"&lt;&gt;"&amp;$K$24,Input!$J:$J,'5.CC Physical risk'!$J$24))/1000000</f>
        <v>0</v>
      </c>
      <c r="K22" s="93">
        <f>(SUMIFS(Input!$L:$L,Input!$K:$K,"1",Input!$E:$E,'5.CC Physical risk'!$D$24,Input!$H:$H,'5.CC Physical risk'!$A22&amp;"*",Input!$D:$D,"outras empresas nao financeiras",Input!$J:$J,"&lt;&gt;"&amp;$J$24,Input!$I:$I,'5.CC Physical risk'!$K$24))/1000000</f>
        <v>0</v>
      </c>
      <c r="L22" s="93">
        <f>(SUMIFS(Input!$L:$L,Input!$K:$K,"1",Input!$E:$E,'5.CC Physical risk'!$D$24,Input!$H:$H,'5.CC Physical risk'!$A22&amp;"*",Input!$D:$D,"outras empresas nao financeiras",Input!$J:$J,'5.CC Physical risk'!$J$24,Input!$I:$I,'5.CC Physical risk'!$K$24))/1000000</f>
        <v>0</v>
      </c>
      <c r="M22" s="93">
        <f>(SUMIFS(Input!$L:$L,
Input!$K:$K,"1",
Input!$E:$E,'5.CC Physical risk'!$D$24,
Input!$D:$D,"outras empresas nao financeiras",
Input!$H:$H,'5.CC Physical risk'!$A22&amp;"*",
Input!$C:$C,'5.CC Physical risk'!$M$24))/1000000</f>
        <v>0</v>
      </c>
      <c r="N22" s="93">
        <f>(SUMIFS(Input!$L:$L,
Input!$K:$K,"1",
Input!$E:$E,'5.CC Physical risk'!$D$24,
Input!$D:$D,"outras empresas nao financeiras",
Input!$H:$H,'5.CC Physical risk'!$A22&amp;"*",
Input!$C:$C,'5.CC Physical risk'!$N$24))/1000000</f>
        <v>0</v>
      </c>
      <c r="O22" s="93">
        <f>(SUMIFS(Input!$L:$L,
Input!$K:$K,"1",
Input!$E:$E,'5.CC Physical risk'!$O$24,
Input!$D:$D,"outras empresas nao financeiras",
Input!$H:$H,'5.CC Physical risk'!$A22&amp;"*"))/1000000</f>
        <v>0</v>
      </c>
      <c r="P22" s="93">
        <f>(SUMIFS(Input!$L:$L,
Input!$K:$K,"1",
Input!$E:$E,'5.CC Physical risk'!$O$24,
Input!$D:$D,"outras empresas nao financeiras",
Input!$H:$H,'5.CC Physical risk'!$A22&amp;"*",
Input!$C:$C,'5.CC Physical risk'!$M$24))/1000000</f>
        <v>0</v>
      </c>
      <c r="Q22" s="93">
        <f>(SUMIFS(Input!$L:$L,
Input!$K:$K,"1",
Input!$E:$E,'5.CC Physical risk'!$O$24,
Input!$D:$D,"outras empresas nao financeiras",
Input!$H:$H,'5.CC Physical risk'!$A22&amp;"*",
Input!$C:$C,'5.CC Physical risk'!$N$24))/1000000</f>
        <v>0</v>
      </c>
      <c r="S22" s="73"/>
    </row>
    <row r="23" spans="1:19" x14ac:dyDescent="0.3">
      <c r="A23" s="70" t="s">
        <v>122</v>
      </c>
      <c r="B23" s="71">
        <v>13</v>
      </c>
      <c r="C23" s="72" t="s">
        <v>123</v>
      </c>
      <c r="D23" s="93">
        <f>(SUMIFS(Input!$L:$L,Input!$E:$E,'5.CC Physical risk'!$D$24,Input!$H:$H,"J*",Input!$D:$D,"outras empresas nao financeiras")
+SUMIFS(Input!$L:$L,Input!$E:$E,'5.CC Physical risk'!$D$24,Input!$H:$H,"M*",Input!$D:$D,"outras empresas nao financeiras")+
SUMIFS(Input!$L:$L,Input!$E:$E,'5.CC Physical risk'!$D$24,Input!$H:$H,"N*",Input!$D:$D,"outras empresas nao financeiras")+
SUMIFS(Input!$L:$L,Input!$E:$E,'5.CC Physical risk'!$D$24,Input!$H:$H,"O*",Input!$D:$D,"outras empresas nao financeiras")+
SUMIFS(Input!$L:$L,Input!$E:$E,'5.CC Physical risk'!$D$24,Input!$H:$H,"P*",Input!$D:$D,"outras empresas nao financeiras")+
SUMIFS(Input!$L:$L,Input!$E:$E,'5.CC Physical risk'!$D$24,Input!$H:$H,"Q*",Input!$D:$D,"outras empresas nao financeiras")+
SUMIFS(Input!$L:$L,Input!$E:$E,'5.CC Physical risk'!$D$24,Input!$H:$H,"R*",Input!$D:$D,"outras empresas nao financeiras")+
SUMIFS(Input!$L:$L,Input!$E:$E,'5.CC Physical risk'!$D$24,Input!$H:$H,"S*",Input!$D:$D,"outras empresas nao financeiras")+
SUMIFS(Input!$L:$L,Input!$E:$E,'5.CC Physical risk'!$D$24,Input!$H:$H,"T*",Input!$D:$D,"outras empresas nao financeiras")+
SUMIFS(Input!$L:$L,Input!$E:$E,'5.CC Physical risk'!$D$24,Input!$H:$H,"U*",Input!$D:$D,"outras empresas nao financeiras"))/1000000</f>
        <v>2889.0177330000001</v>
      </c>
      <c r="E23" s="93">
        <f>(SUMIFS(Input!$L:$L,Input!$D:$D,"outras empresas nao financeiras",Input!$K:$K,"1",Input!$E:$E,'5.CC Physical risk'!$D$24,Input!$H:$H,"J*",Input!$G:$G,"&gt;=0",Input!$G:$G,"&lt;=5")
+ SUMIFS(Input!$L:$L,Input!$D:$D,"outras empresas nao financeiras",Input!$K:$K,"1",Input!$E:$E,'5.CC Physical risk'!$D$24,Input!$H:$H,"J*",Input!$G:$G,"-4")
+ SUMIFS(Input!$L:$L,Input!$D:$D,"outras empresas nao financeiras",Input!$K:$K,"1",Input!$E:$E,'5.CC Physical risk'!$D$24,Input!$H:$H,"J*",Input!$G:$G,"-1")
+SUMIFS(Input!$L:$L,Input!$D:$D,"outras empresas nao financeiras",Input!$K:$K,"1",Input!$E:$E,'5.CC Physical risk'!$D$24,Input!$H:$H,"M*",Input!$G:$G,"&gt;=0",Input!$G:$G,"&lt;=5")
+ SUMIFS(Input!$L:$L,Input!$D:$D,"outras empresas nao financeiras",Input!$K:$K,"1",Input!$E:$E,'5.CC Physical risk'!$D$24,Input!$H:$H,"M*",Input!$G:$G,"-4")
+ SUMIFS(Input!$L:$L,Input!$D:$D,"outras empresas nao financeiras",Input!$K:$K,"1",Input!$E:$E,'5.CC Physical risk'!$D$24,Input!$H:$H,"M*",Input!$G:$G,"-1")
+SUMIFS(Input!$L:$L,Input!$D:$D,"outras empresas nao financeiras",Input!$K:$K,"1",Input!$E:$E,'5.CC Physical risk'!$D$24,Input!$H:$H,"N*",Input!$G:$G,"&gt;=0",Input!$G:$G,"&lt;=5")
+ SUMIFS(Input!$L:$L,Input!$D:$D,"outras empresas nao financeiras",Input!$K:$K,"1",Input!$E:$E,'5.CC Physical risk'!$D$24,Input!$H:$H,"N*",Input!$G:$G,"-4")
+ SUMIFS(Input!$L:$L,Input!$D:$D,"outras empresas nao financeiras",Input!$K:$K,"1",Input!$E:$E,'5.CC Physical risk'!$D$24,Input!$H:$H,"N*",Input!$G:$G,"-1")
+SUMIFS(Input!$L:$L,Input!$D:$D,"outras empresas nao financeiras",Input!$K:$K,"1",Input!$E:$E,'5.CC Physical risk'!$D$24,Input!$H:$H,"O*",Input!$G:$G,"&gt;=0",Input!$G:$G,"&lt;=5")
+ SUMIFS(Input!$L:$L,Input!$D:$D,"outras empresas nao financeiras",Input!$K:$K,"1",Input!$E:$E,'5.CC Physical risk'!$D$24,Input!$H:$H,"O*",Input!$G:$G,"-4")
+ SUMIFS(Input!$L:$L,Input!$D:$D,"outras empresas nao financeiras",Input!$K:$K,"1",Input!$E:$E,'5.CC Physical risk'!$D$24,Input!$H:$H,"O*",Input!$G:$G,"-1")
+SUMIFS(Input!$L:$L,Input!$D:$D,"outras empresas nao financeiras",Input!$K:$K,"1",Input!$E:$E,'5.CC Physical risk'!$D$24,Input!$H:$H,"P*",Input!$G:$G,"&gt;=0",Input!$G:$G,"&lt;=5")
+ SUMIFS(Input!$L:$L,Input!$D:$D,"outras empresas nao financeiras",Input!$K:$K,"1",Input!$E:$E,'5.CC Physical risk'!$D$24,Input!$H:$H,"P*",Input!$G:$G,"-4")
+ SUMIFS(Input!$L:$L,Input!$D:$D,"outras empresas nao financeiras",Input!$K:$K,"1",Input!$E:$E,'5.CC Physical risk'!$D$24,Input!$H:$H,"P*",Input!$G:$G,"-1")
+SUMIFS(Input!$L:$L,Input!$D:$D,"outras empresas nao financeiras",Input!$K:$K,"1",Input!$E:$E,'5.CC Physical risk'!$D$24,Input!$H:$H,"Q*",Input!$G:$G,"&gt;=0",Input!$G:$G,"&lt;=5")
+ SUMIFS(Input!$L:$L,Input!$D:$D,"outras empresas nao financeiras",Input!$K:$K,"1",Input!$E:$E,'5.CC Physical risk'!$D$24,Input!$H:$H,"Q*",Input!$G:$G,"-4")
+ SUMIFS(Input!$L:$L,Input!$D:$D,"outras empresas nao financeiras",Input!$K:$K,"1",Input!$E:$E,'5.CC Physical risk'!$D$24,Input!$H:$H,"Q*",Input!$G:$G,"-1")
+SUMIFS(Input!$L:$L,Input!$D:$D,"outras empresas nao financeiras",Input!$K:$K,"1",Input!$E:$E,'5.CC Physical risk'!$D$24,Input!$H:$H,"R*",Input!$G:$G,"&gt;=0",Input!$G:$G,"&lt;=5")
+ SUMIFS(Input!$L:$L,Input!$D:$D,"outras empresas nao financeiras",Input!$K:$K,"1",Input!$E:$E,'5.CC Physical risk'!$D$24,Input!$H:$H,"R*",Input!$G:$G,"-4")
+ SUMIFS(Input!$L:$L,Input!$D:$D,"outras empresas nao financeiras",Input!$K:$K,"1",Input!$E:$E,'5.CC Physical risk'!$D$24,Input!$H:$H,"R*",Input!$G:$G,"-1")
+SUMIFS(Input!$L:$L,Input!$D:$D,"outras empresas nao financeiras",Input!$K:$K,"1",Input!$E:$E,'5.CC Physical risk'!$D$24,Input!$H:$H,"S*",Input!$G:$G,"&gt;=0",Input!$G:$G,"&lt;=5")
+ SUMIFS(Input!$L:$L,Input!$D:$D,"outras empresas nao financeiras",Input!$K:$K,"1",Input!$E:$E,'5.CC Physical risk'!$D$24,Input!$H:$H,"S*",Input!$G:$G,"-4")
+ SUMIFS(Input!$L:$L,Input!$D:$D,"outras empresas nao financeiras",Input!$K:$K,"1",Input!$E:$E,'5.CC Physical risk'!$D$24,Input!$H:$H,"S*",Input!$G:$G,"-1")
+SUMIFS(Input!$L:$L,Input!$D:$D,"outras empresas nao financeiras",Input!$K:$K,"1",Input!$E:$E,'5.CC Physical risk'!$D$24,Input!$H:$H,"T*",Input!$G:$G,"&gt;=0",Input!$G:$G,"&lt;=5")
+ SUMIFS(Input!$L:$L,Input!$D:$D,"outras empresas nao financeiras",Input!$K:$K,"1",Input!$E:$E,'5.CC Physical risk'!$D$24,Input!$H:$H,"T*",Input!$G:$G,"-4")
+ SUMIFS(Input!$L:$L,Input!$D:$D,"outras empresas nao financeiras",Input!$K:$K,"1",Input!$E:$E,'5.CC Physical risk'!$D$24,Input!$H:$H,"T*",Input!$G:$G,"-1")
+SUMIFS(Input!$L:$L,Input!$D:$D,"outras empresas nao financeiras",Input!$K:$K,"1",Input!$E:$E,'5.CC Physical risk'!$D$24,Input!$H:$H,"U*",Input!$G:$G,"&gt;=0",Input!$G:$G,"&lt;=5")
+ SUMIFS(Input!$L:$L,Input!$D:$D,"outras empresas nao financeiras",Input!$K:$K,"1",Input!$E:$E,'5.CC Physical risk'!$D$24,Input!$H:$H,"U*",Input!$G:$G,"-4")
+ SUMIFS(Input!$L:$L,Input!$D:$D,"outras empresas nao financeiras",Input!$K:$K,"1",Input!$E:$E,'5.CC Physical risk'!$D$24,Input!$H:$H,"U*",Input!$G:$G,"-1"))/1000000</f>
        <v>8.1796999999999995E-2</v>
      </c>
      <c r="F23" s="93">
        <f>(SUMIFS(Input!$L:$L,Input!$K:$K,"1",Input!$E:$E,'5.CC Physical risk'!$D$24,Input!$H:$H,"J*",Input!$D:$D,"outras empresas nao financeiras",Input!$G:$G,"&gt;5",Input!$G:$G,"&lt;=10")
+SUMIFS(Input!$L:$L,Input!$K:$K,"1",Input!$E:$E,'5.CC Physical risk'!$D$24,Input!$H:$H,"M*",Input!$D:$D,"outras empresas nao financeiras",Input!$G:$G,"&gt;5",Input!$G:$G,"&lt;=10")
+SUMIFS(Input!$L:$L,Input!$K:$K,"1",Input!$E:$E,'5.CC Physical risk'!$D$24,Input!$H:$H,"N*",Input!$D:$D,"outras empresas nao financeiras",Input!$G:$G,"&gt;5",Input!$G:$G,"&lt;=10")
+SUMIFS(Input!$L:$L,Input!$K:$K,"1",Input!$E:$E,'5.CC Physical risk'!$D$24,Input!$H:$H,"O*",Input!$D:$D,"outras empresas nao financeiras",Input!$G:$G,"&gt;5",Input!$G:$G,"&lt;=10")
+SUMIFS(Input!$L:$L,Input!$K:$K,"1",Input!$E:$E,'5.CC Physical risk'!$D$24,Input!$H:$H,"P*",Input!$D:$D,"outras empresas nao financeiras",Input!$G:$G,"&gt;5",Input!$G:$G,"&lt;=10")
+SUMIFS(Input!$L:$L,Input!$K:$K,"1",Input!$E:$E,'5.CC Physical risk'!$D$24,Input!$H:$H,"Q*",Input!$D:$D,"outras empresas nao financeiras",Input!$G:$G,"&gt;5",Input!$G:$G,"&lt;=10")
+SUMIFS(Input!$L:$L,Input!$K:$K,"1",Input!$E:$E,'5.CC Physical risk'!$D$24,Input!$H:$H,"R*",Input!$D:$D,"outras empresas nao financeiras",Input!$G:$G,"&gt;5",Input!$G:$G,"&lt;=10")
+SUMIFS(Input!$L:$L,Input!$K:$K,"1",Input!$E:$E,'5.CC Physical risk'!$D$24,Input!$H:$H,"S*",Input!$D:$D,"outras empresas nao financeiras",Input!$G:$G,"&gt;5",Input!$G:$G,"&lt;=10")
+SUMIFS(Input!$L:$L,Input!$K:$K,"1",Input!$E:$E,'5.CC Physical risk'!$D$24,Input!$H:$H,"T*",Input!$D:$D,"outras empresas nao financeiras",Input!$G:$G,"&gt;5",Input!$G:$G,"&lt;=10")
+SUMIFS(Input!$L:$L,Input!$K:$K,"1",Input!$E:$E,'5.CC Physical risk'!$D$24,Input!$H:$H,"U*",Input!$D:$D,"outras empresas nao financeiras",Input!$G:$G,"&gt;5",Input!$G:$G,"&lt;=10"))/1000000</f>
        <v>0.26802100000000001</v>
      </c>
      <c r="G23" s="93">
        <f>(SUMIFS(Input!$L:$L,Input!$K:$K,"1",Input!$E:$E,'5.CC Physical risk'!$D$24,Input!$H:$H,"J*",Input!$D:$D,"outras empresas nao financeiras",Input!$G:$G,"&gt;10",Input!$G:$G,"&lt;=20")
+SUMIFS(Input!$L:$L,Input!$K:$K,"1",Input!$E:$E,'5.CC Physical risk'!$D$24,Input!$H:$H,"M*",Input!$D:$D,"outras empresas nao financeiras",Input!$G:$G,"&gt;10",Input!$G:$G,"&lt;=20")
+SUMIFS(Input!$L:$L,Input!$K:$K,"1",Input!$E:$E,'5.CC Physical risk'!$D$24,Input!$H:$H,"N*",Input!$D:$D,"outras empresas nao financeiras",Input!$G:$G,"&gt;10",Input!$G:$G,"&lt;=20")
+SUMIFS(Input!$L:$L,Input!$K:$K,"1",Input!$E:$E,'5.CC Physical risk'!$D$24,Input!$H:$H,"O*",Input!$D:$D,"outras empresas nao financeiras",Input!$G:$G,"&gt;10",Input!$G:$G,"&lt;=20")
+SUMIFS(Input!$L:$L,Input!$K:$K,"1",Input!$E:$E,'5.CC Physical risk'!$D$24,Input!$H:$H,"P*",Input!$D:$D,"outras empresas nao financeiras",Input!$G:$G,"&gt;10",Input!$G:$G,"&lt;=20")
+SUMIFS(Input!$L:$L,Input!$K:$K,"1",Input!$E:$E,'5.CC Physical risk'!$D$24,Input!$H:$H,"Q*",Input!$D:$D,"outras empresas nao financeiras",Input!$G:$G,"&gt;10",Input!$G:$G,"&lt;=20")
+SUMIFS(Input!$L:$L,Input!$K:$K,"1",Input!$E:$E,'5.CC Physical risk'!$D$24,Input!$H:$H,"R*",Input!$D:$D,"outras empresas nao financeiras",Input!$G:$G,"&gt;10",Input!$G:$G,"&lt;=20")
+SUMIFS(Input!$L:$L,Input!$K:$K,"1",Input!$E:$E,'5.CC Physical risk'!$D$24,Input!$H:$H,"S*",Input!$D:$D,"outras empresas nao financeiras",Input!$G:$G,"&gt;10",Input!$G:$G,"&lt;=20")
+SUMIFS(Input!$L:$L,Input!$K:$K,"1",Input!$E:$E,'5.CC Physical risk'!$D$24,Input!$H:$H,"T*",Input!$D:$D,"outras empresas nao financeiras",Input!$G:$G,"&gt;10",Input!$G:$G,"&lt;=20")
+SUMIFS(Input!$L:$L,Input!$K:$K,"1",Input!$E:$E,'5.CC Physical risk'!$D$24,Input!$H:$H,"U*",Input!$D:$D,"outras empresas nao financeiras",Input!$G:$G,"&gt;10",Input!$G:$G,"&lt;=20"))/1000000</f>
        <v>0.26789800000000003</v>
      </c>
      <c r="H23" s="93">
        <f>SUM(B26:B35)</f>
        <v>0</v>
      </c>
      <c r="I23" s="93">
        <f>IFERROR((SUMIFS(Input!$M:$M,Input!$K:$K,"1",Input!$E:$E,'5.CC Physical risk'!$D$24,Input!$D:$D,"outras empresas nao financeiras",Input!$H:$H,"J*",Input!$G:$G,"&gt;0")
+SUMIFS(Input!$M:$M,Input!$K:$K,"1",Input!$E:$E,'5.CC Physical risk'!$D$24,Input!$D:$D,"outras empresas nao financeiras",Input!$H:$H,"M*",Input!$G:$G,"&gt;0")
+SUMIFS(Input!$M:$M,Input!$K:$K,"1",Input!$E:$E,'5.CC Physical risk'!$D$24,Input!$D:$D,"outras empresas nao financeiras",Input!$H:$H,"N*",Input!$G:$G,"&gt;0")
+SUMIFS(Input!$M:$M,Input!$K:$K,"1",Input!$E:$E,'5.CC Physical risk'!$D$24,Input!$D:$D,"outras empresas nao financeiras",Input!$H:$H,"O*",Input!$G:$G,"&gt;0")
+SUMIFS(Input!$M:$M,Input!$K:$K,"1",Input!$E:$E,'5.CC Physical risk'!$D$24,Input!$D:$D,"outras empresas nao financeiras",Input!$H:$H,"P*",Input!$G:$G,"&gt;0")
+SUMIFS(Input!$M:$M,Input!$K:$K,"1",Input!$E:$E,'5.CC Physical risk'!$D$24,Input!$D:$D,"outras empresas nao financeiras",Input!$H:$H,"Q*",Input!$G:$G,"&gt;0")
+SUMIFS(Input!$M:$M,Input!$K:$K,"1",Input!$E:$E,'5.CC Physical risk'!$D$24,Input!$D:$D,"outras empresas nao financeiras",Input!$H:$H,"R*",Input!$G:$G,"&gt;0")
+SUMIFS(Input!$M:$M,Input!$K:$K,"1",Input!$E:$E,'5.CC Physical risk'!$D$24,Input!$D:$D,"outras empresas nao financeiras",Input!$H:$H,"S*",Input!$G:$G,"&gt;0")
+SUMIFS(Input!$M:$M,Input!$K:$K,"1",Input!$E:$E,'5.CC Physical risk'!$D$24,Input!$D:$D,"outras empresas nao financeiras",Input!$H:$H,"T*",Input!$G:$G,"&gt;0")
+SUMIFS(Input!$M:$M,Input!$K:$K,"1",Input!$E:$E,'5.CC Physical risk'!$D$24,Input!$D:$D,"outras empresas nao financeiras",Input!$H:$H,"U*",Input!$G:$G,"&gt;0"))
/
(SUMIFS(Input!$L:$L,Input!$K:$K,"1",Input!$E:$E,'5.CC Physical risk'!$D$24,Input!$D:$D,"outras empresas nao financeiras",Input!$H:$H,"J*",Input!$G:$G,"&gt;0")
+SUMIFS(Input!$L:$L,Input!$K:$K,"1",Input!$E:$E,'5.CC Physical risk'!$D$24,Input!$D:$D,"outras empresas nao financeiras",Input!$H:$H,"M*",Input!$G:$G,"&gt;0")
+SUMIFS(Input!$L:$L,Input!$K:$K,"1",Input!$E:$E,'5.CC Physical risk'!$D$24,Input!$D:$D,"outras empresas nao financeiras",Input!$H:$H,"N*",Input!$G:$G,"&gt;0")
+SUMIFS(Input!$L:$L,Input!$K:$K,"1",Input!$E:$E,'5.CC Physical risk'!$D$24,Input!$D:$D,"outras empresas nao financeiras",Input!$H:$H,"O*",Input!$G:$G,"&gt;0")
+SUMIFS(Input!$L:$L,Input!$K:$K,"1",Input!$E:$E,'5.CC Physical risk'!$D$24,Input!$D:$D,"outras empresas nao financeiras",Input!$H:$H,"P*",Input!$G:$G,"&gt;0")
+SUMIFS(Input!$L:$L,Input!$K:$K,"1",Input!$E:$E,'5.CC Physical risk'!$D$24,Input!$D:$D,"outras empresas nao financeiras",Input!$H:$H,"Q*",Input!$G:$G,"&gt;0")
+SUMIFS(Input!$L:$L,Input!$K:$K,"1",Input!$E:$E,'5.CC Physical risk'!$D$24,Input!$D:$D,"outras empresas nao financeiras",Input!$H:$H,"R*",Input!$G:$G,"&gt;0")
+SUMIFS(Input!$L:$L,Input!$K:$K,"1",Input!$E:$E,'5.CC Physical risk'!$D$24,Input!$D:$D,"outras empresas nao financeiras",Input!$H:$H,"S*",Input!$G:$G,"&gt;0")
+SUMIFS(Input!$L:$L,Input!$K:$K,"1",Input!$E:$E,'5.CC Physical risk'!$D$24,Input!$D:$D,"outras empresas nao financeiras",Input!$H:$H,"T*",Input!$G:$G,"&gt;0")
+SUMIFS(Input!$L:$L,Input!$K:$K,"1",Input!$E:$E,'5.CC Physical risk'!$D$24,Input!$D:$D,"outras empresas nao financeiras",Input!$H:$H,"U*",Input!$G:$G,"&gt;0")),0)</f>
        <v>9.2468708440581278</v>
      </c>
      <c r="J23" s="93">
        <f>(SUMIFS(Input!$L:$L,Input!$K:$K,"1",Input!$E:$E,'5.CC Physical risk'!$D$24,Input!$H:$H,"J*",Input!$D:$D,"outras empresas nao financeiras",Input!$I:$I,"&lt;&gt;"&amp;$K$24,Input!$J:$J,'5.CC Physical risk'!$J$24)+
SUMIFS(Input!$L:$L,Input!$K:$K,"1",Input!$E:$E,'5.CC Physical risk'!$D$24,Input!$H:$H,"M*",Input!$D:$D,"outras empresas nao financeiras",Input!$I:$I,"&lt;&gt;"&amp;$K$24,Input!$J:$J,'5.CC Physical risk'!$J$24)+
SUMIFS(Input!$L:$L,Input!$K:$K,"1",Input!$E:$E,'5.CC Physical risk'!$D$24,Input!$H:$H,"N*",Input!$D:$D,"outras empresas nao financeiras",Input!$I:$I,"&lt;&gt;"&amp;$K$24,Input!$J:$J,'5.CC Physical risk'!$J$24)+
SUMIFS(Input!$L:$L,Input!$K:$K,"1",Input!$E:$E,'5.CC Physical risk'!$D$24,Input!$H:$H,"O*",Input!$D:$D,"outras empresas nao financeiras",Input!$I:$I,"&lt;&gt;"&amp;$K$24,Input!$J:$J,'5.CC Physical risk'!$J$24)+
SUMIFS(Input!$L:$L,Input!$K:$K,"1",Input!$E:$E,'5.CC Physical risk'!$D$24,Input!$H:$H,"P*",Input!$D:$D,"outras empresas nao financeiras",Input!$I:$I,"&lt;&gt;"&amp;$K$24,Input!$J:$J,'5.CC Physical risk'!$J$24)+
SUMIFS(Input!$L:$L,Input!$K:$K,"1",Input!$E:$E,'5.CC Physical risk'!$D$24,Input!$H:$H,"Q*",Input!$D:$D,"outras empresas nao financeiras",Input!$I:$I,"&lt;&gt;"&amp;$K$24,Input!$J:$J,'5.CC Physical risk'!$J$24)+
SUMIFS(Input!$L:$L,Input!$K:$K,"1",Input!$E:$E,'5.CC Physical risk'!$D$24,Input!$H:$H,"R*",Input!$D:$D,"outras empresas nao financeiras",Input!$I:$I,"&lt;&gt;"&amp;$K$24,Input!$J:$J,'5.CC Physical risk'!$J$24)+
SUMIFS(Input!$L:$L,Input!$K:$K,"1",Input!$E:$E,'5.CC Physical risk'!$D$24,Input!$H:$H,"S*",Input!$D:$D,"outras empresas nao financeiras",Input!$I:$I,"&lt;&gt;"&amp;$K$24,Input!$J:$J,'5.CC Physical risk'!$J$24)+
SUMIFS(Input!$L:$L,Input!$K:$K,"1",Input!$E:$E,'5.CC Physical risk'!$D$24,Input!$H:$H,"T*",Input!$D:$D,"outras empresas nao financeiras",Input!$I:$I,"&lt;&gt;"&amp;$K$24,Input!$J:$J,'5.CC Physical risk'!$J$24)+
SUMIFS(Input!$L:$L,Input!$K:$K,"1",Input!$E:$E,'5.CC Physical risk'!$D$24,Input!$H:$H,"U*",Input!$D:$D,"outras empresas nao financeiras",Input!$I:$I,"&lt;&gt;"&amp;$K$24,Input!$J:$J,'5.CC Physical risk'!$J$24))/1000000</f>
        <v>0</v>
      </c>
      <c r="K23" s="93">
        <f>(SUMIFS(Input!$L:$L,Input!$K:$K,"1",Input!$E:$E,'5.CC Physical risk'!$D$24,Input!$H:$H,"J*",Input!$D:$D,"outras empresas nao financeiras",Input!$J:$J,"&lt;&gt;"&amp;$J$24,Input!$I:$I,'5.CC Physical risk'!$K$24)+
SUMIFS(Input!$L:$L,Input!$K:$K,"1",Input!$E:$E,'5.CC Physical risk'!$D$24,Input!$H:$H,"M*",Input!$D:$D,"outras empresas nao financeiras",Input!$J:$J,"&lt;&gt;"&amp;$J$24,Input!$I:$I,'5.CC Physical risk'!$K$24)+
SUMIFS(Input!$L:$L,Input!$K:$K,"1",Input!$E:$E,'5.CC Physical risk'!$D$24,Input!$H:$H,"N*",Input!$D:$D,"outras empresas nao financeiras",Input!$J:$J,"&lt;&gt;"&amp;$J$24,Input!$I:$I,'5.CC Physical risk'!$K$24)+
SUMIFS(Input!$L:$L,Input!$K:$K,"1",Input!$E:$E,'5.CC Physical risk'!$D$24,Input!$H:$H,"O*",Input!$D:$D,"outras empresas nao financeiras",Input!$J:$J,"&lt;&gt;"&amp;$J$24,Input!$I:$I,'5.CC Physical risk'!$K$24)+
SUMIFS(Input!$L:$L,Input!$K:$K,"1",Input!$E:$E,'5.CC Physical risk'!$D$24,Input!$H:$H,"P*",Input!$D:$D,"outras empresas nao financeiras",Input!$J:$J,"&lt;&gt;"&amp;$J$24,Input!$I:$I,'5.CC Physical risk'!$K$24)+
SUMIFS(Input!$L:$L,Input!$K:$K,"1",Input!$E:$E,'5.CC Physical risk'!$D$24,Input!$H:$H,"Q*",Input!$D:$D,"outras empresas nao financeiras",Input!$J:$J,"&lt;&gt;"&amp;$J$24,Input!$I:$I,'5.CC Physical risk'!$K$24)+
SUMIFS(Input!$L:$L,Input!$K:$K,"1",Input!$E:$E,'5.CC Physical risk'!$D$24,Input!$H:$H,"R*",Input!$D:$D,"outras empresas nao financeiras",Input!$J:$J,"&lt;&gt;"&amp;$J$24,Input!$I:$I,'5.CC Physical risk'!$K$24)+
SUMIFS(Input!$L:$L,Input!$K:$K,"1",Input!$E:$E,'5.CC Physical risk'!$D$24,Input!$H:$H,"S*",Input!$D:$D,"outras empresas nao financeiras",Input!$J:$J,"&lt;&gt;"&amp;$J$24,Input!$I:$I,'5.CC Physical risk'!$K$24)+
SUMIFS(Input!$L:$L,Input!$K:$K,"1",Input!$E:$E,'5.CC Physical risk'!$D$24,Input!$H:$H,"T*",Input!$D:$D,"outras empresas nao financeiras",Input!$J:$J,"&lt;&gt;"&amp;$J$24,Input!$I:$I,'5.CC Physical risk'!$K$24)+
SUMIFS(Input!$L:$L,Input!$K:$K,"1",Input!$E:$E,'5.CC Physical risk'!$D$24,Input!$H:$H,"U*",Input!$D:$D,"outras empresas nao financeiras",Input!$J:$J,"&lt;&gt;"&amp;$J$24,Input!$I:$I,'5.CC Physical risk'!$K$24))/1000000</f>
        <v>0.61771600000000004</v>
      </c>
      <c r="L23" s="93">
        <f>(SUMIFS(Input!$L:$L,Input!$K:$K,"1",Input!$E:$E,'5.CC Physical risk'!$D$24,Input!$H:$H,"J*",Input!$J:$J,'5.CC Physical risk'!$J$24,Input!$D:$D,"outras empresas nao financeiras",Input!$I:$I,'5.CC Physical risk'!$K$24)
+SUMIFS(Input!$L:$L,Input!$K:$K,"1",Input!$E:$E,'5.CC Physical risk'!$D$24,Input!$H:$H,"M*",Input!$J:$J,'5.CC Physical risk'!$J$24,Input!$D:$D,"outras empresas nao financeiras",Input!$I:$I,'5.CC Physical risk'!$K$24)
+SUMIFS(Input!$L:$L,Input!$K:$K,"1",Input!$E:$E,'5.CC Physical risk'!$D$24,Input!$H:$H,"N*",Input!$J:$J,'5.CC Physical risk'!$J$24,Input!$D:$D,"outras empresas nao financeiras",Input!$I:$I,'5.CC Physical risk'!$K$24)
+SUMIFS(Input!$L:$L,Input!$K:$K,"1",Input!$E:$E,'5.CC Physical risk'!$D$24,Input!$H:$H,"O*",Input!$J:$J,'5.CC Physical risk'!$J$24,Input!$D:$D,"outras empresas nao financeiras",Input!$I:$I,'5.CC Physical risk'!$K$24)
+SUMIFS(Input!$L:$L,Input!$K:$K,"1",Input!$E:$E,'5.CC Physical risk'!$D$24,Input!$H:$H,"P*",Input!$J:$J,'5.CC Physical risk'!$J$24,Input!$D:$D,"outras empresas nao financeiras",Input!$I:$I,'5.CC Physical risk'!$K$24)
+SUMIFS(Input!$L:$L,Input!$K:$K,"1",Input!$E:$E,'5.CC Physical risk'!$D$24,Input!$H:$H,"Q*",Input!$J:$J,'5.CC Physical risk'!$J$24,Input!$D:$D,"outras empresas nao financeiras",Input!$I:$I,'5.CC Physical risk'!$K$24)
+SUMIFS(Input!$L:$L,Input!$K:$K,"1",Input!$E:$E,'5.CC Physical risk'!$D$24,Input!$H:$H,"R*",Input!$J:$J,'5.CC Physical risk'!$J$24,Input!$D:$D,"outras empresas nao financeiras",Input!$I:$I,'5.CC Physical risk'!$K$24)
+SUMIFS(Input!$L:$L,Input!$K:$K,"1",Input!$E:$E,'5.CC Physical risk'!$D$24,Input!$H:$H,"S*",Input!$J:$J,'5.CC Physical risk'!$J$24,Input!$D:$D,"outras empresas nao financeiras",Input!$I:$I,'5.CC Physical risk'!$K$24)
+SUMIFS(Input!$L:$L,Input!$K:$K,"1",Input!$E:$E,'5.CC Physical risk'!$D$24,Input!$H:$H,"T*",Input!$J:$J,'5.CC Physical risk'!$J$24,Input!$D:$D,"outras empresas nao financeiras",Input!$I:$I,'5.CC Physical risk'!$K$24)
+SUMIFS(Input!$L:$L,Input!$K:$K,"1",Input!$E:$E,'5.CC Physical risk'!$D$24,Input!$H:$H,"U*",Input!$J:$J,'5.CC Physical risk'!$J$24,Input!$D:$D,"outras empresas nao financeiras",Input!$I:$I,'5.CC Physical risk'!$K$24))/1000000</f>
        <v>0</v>
      </c>
      <c r="M23" s="93">
        <f>(SUMIFS(Input!$L:$L,Input!$K:$K,"1",Input!$E:$E,'5.CC Physical risk'!$D$24,Input!$H:$H,"J*",Input!$D:$D,"outras empresas nao financeiras",Input!$C:$C,'5.CC Physical risk'!$M$24)
+SUMIFS(Input!$L:$L,Input!$K:$K,"1",Input!$E:$E,'5.CC Physical risk'!$D$24,Input!$H:$H,"M*",Input!$D:$D,"outras empresas nao financeiras",Input!$C:$C,'5.CC Physical risk'!$M$24)
+SUMIFS(Input!$L:$L,Input!$K:$K,"1",Input!$E:$E,'5.CC Physical risk'!$D$24,Input!$H:$H,"N*",Input!$D:$D,"outras empresas nao financeiras",Input!$C:$C,'5.CC Physical risk'!$M$24)
+SUMIFS(Input!$L:$L,Input!$K:$K,"1",Input!$E:$E,'5.CC Physical risk'!$D$24,Input!$H:$H,"O*",Input!$D:$D,"outras empresas nao financeiras",Input!$C:$C,'5.CC Physical risk'!$M$24)
+SUMIFS(Input!$L:$L,Input!$K:$K,"1",Input!$E:$E,'5.CC Physical risk'!$D$24,Input!$H:$H,"P*",Input!$D:$D,"outras empresas nao financeiras",Input!$C:$C,'5.CC Physical risk'!$M$24)
+SUMIFS(Input!$L:$L,Input!$K:$K,"1",Input!$E:$E,'5.CC Physical risk'!$D$24,Input!$H:$H,"Q*",Input!$D:$D,"outras empresas nao financeiras",Input!$C:$C,'5.CC Physical risk'!$M$24)
+SUMIFS(Input!$L:$L,Input!$K:$K,"1",Input!$E:$E,'5.CC Physical risk'!$D$24,Input!$H:$H,"R*",Input!$D:$D,"outras empresas nao financeiras",Input!$C:$C,'5.CC Physical risk'!$M$24)
+SUMIFS(Input!$L:$L,Input!$K:$K,"1",Input!$E:$E,'5.CC Physical risk'!$D$24,Input!$H:$H,"S*",Input!$D:$D,"outras empresas nao financeiras",Input!$C:$C,'5.CC Physical risk'!$M$24)
+SUMIFS(Input!$L:$L,Input!$K:$K,"1",Input!$E:$E,'5.CC Physical risk'!$D$24,Input!$H:$H,"T*",Input!$D:$D,"outras empresas nao financeiras",Input!$C:$C,'5.CC Physical risk'!$M$24)
+SUMIFS(Input!$L:$L,Input!$K:$K,"1",Input!$E:$E,'5.CC Physical risk'!$D$24,Input!$H:$H,"U*",Input!$D:$D,"outras empresas nao financeiras",Input!$C:$C,'5.CC Physical risk'!$M$24))/1000000</f>
        <v>6.8651000000000004E-2</v>
      </c>
      <c r="N23" s="93">
        <f>(SUMIFS(Input!$L:$L,Input!$K:$K,"1",Input!$E:$E,'5.CC Physical risk'!$D$24,Input!$D:$D,"outras empresas nao financeiras",Input!$H:$H,"J*",Input!$C:$C,'5.CC Physical risk'!$N$24)
+SUMIFS(Input!$L:$L,Input!$K:$K,"1",Input!$E:$E,'5.CC Physical risk'!$D$24,Input!$D:$D,"outras empresas nao financeiras",Input!$H:$H,"M*",Input!$C:$C,'5.CC Physical risk'!$N$24)
+SUMIFS(Input!$L:$L,Input!$K:$K,"1",Input!$E:$E,'5.CC Physical risk'!$D$24,Input!$D:$D,"outras empresas nao financeiras",Input!$H:$H,"N*",Input!$C:$C,'5.CC Physical risk'!$N$24)
+SUMIFS(Input!$L:$L,Input!$K:$K,"1",Input!$E:$E,'5.CC Physical risk'!$D$24,Input!$D:$D,"outras empresas nao financeiras",Input!$H:$H,"O*",Input!$C:$C,'5.CC Physical risk'!$N$24)
+SUMIFS(Input!$L:$L,Input!$K:$K,"1",Input!$E:$E,'5.CC Physical risk'!$D$24,Input!$D:$D,"outras empresas nao financeiras",Input!$H:$H,"P*",Input!$C:$C,'5.CC Physical risk'!$N$24)
+SUMIFS(Input!$L:$L,Input!$K:$K,"1",Input!$E:$E,'5.CC Physical risk'!$D$24,Input!$D:$D,"outras empresas nao financeiras",Input!$H:$H,"Q*",Input!$C:$C,'5.CC Physical risk'!$N$24)
+SUMIFS(Input!$L:$L,Input!$K:$K,"1",Input!$E:$E,'5.CC Physical risk'!$D$24,Input!$D:$D,"outras empresas nao financeiras",Input!$H:$H,"R*",Input!$C:$C,'5.CC Physical risk'!$N$24)
+SUMIFS(Input!$L:$L,Input!$K:$K,"1",Input!$E:$E,'5.CC Physical risk'!$D$24,Input!$D:$D,"outras empresas nao financeiras",Input!$H:$H,"S*",Input!$C:$C,'5.CC Physical risk'!$N$24)
+SUMIFS(Input!$L:$L,Input!$K:$K,"1",Input!$E:$E,'5.CC Physical risk'!$D$24,Input!$D:$D,"outras empresas nao financeiras",Input!$H:$H,"T*",Input!$C:$C,'5.CC Physical risk'!$N$24)
+SUMIFS(Input!$L:$L,Input!$K:$K,"1",Input!$E:$E,'5.CC Physical risk'!$D$24,Input!$D:$D,"outras empresas nao financeiras",Input!$H:$H,"U*",Input!$C:$C,'5.CC Physical risk'!$N$24))/1000000</f>
        <v>0</v>
      </c>
      <c r="O23" s="93">
        <f>(SUMIFS(Input!$L:$L,Input!$K:$K,"1",Input!$E:$E,'5.CC Physical risk'!$O$24,Input!$D:$D,"outras empresas nao financeiras",Input!$H:$H,"J*")
+SUMIFS(Input!$L:$L,Input!$K:$K,"1",Input!$E:$E,'5.CC Physical risk'!$O$24,Input!$D:$D,"outras empresas nao financeiras",Input!$H:$H,"M*")
+SUMIFS(Input!$L:$L,Input!$K:$K,"1",Input!$E:$E,'5.CC Physical risk'!$O$24,Input!$D:$D,"outras empresas nao financeiras",Input!$H:$H,"N*")
+SUMIFS(Input!$L:$L,Input!$K:$K,"1",Input!$E:$E,'5.CC Physical risk'!$O$24,Input!$D:$D,"outras empresas nao financeiras",Input!$H:$H,"O*")
+SUMIFS(Input!$L:$L,Input!$K:$K,"1",Input!$E:$E,'5.CC Physical risk'!$O$24,Input!$D:$D,"outras empresas nao financeiras",Input!$H:$H,"P*")
+SUMIFS(Input!$L:$L,Input!$K:$K,"1",Input!$E:$E,'5.CC Physical risk'!$O$24,Input!$D:$D,"outras empresas nao financeiras",Input!$H:$H,"Q*")
+SUMIFS(Input!$L:$L,Input!$K:$K,"1",Input!$E:$E,'5.CC Physical risk'!$O$24,Input!$D:$D,"outras empresas nao financeiras",Input!$H:$H,"R*")
+SUMIFS(Input!$L:$L,Input!$K:$K,"1",Input!$E:$E,'5.CC Physical risk'!$O$24,Input!$D:$D,"outras empresas nao financeiras",Input!$H:$H,"S*")
+SUMIFS(Input!$L:$L,Input!$K:$K,"1",Input!$E:$E,'5.CC Physical risk'!$O$24,Input!$D:$D,"outras empresas nao financeiras",Input!$H:$H,"T*")
+SUMIFS(Input!$L:$L,Input!$K:$K,"1",Input!$E:$E,'5.CC Physical risk'!$O$24,Input!$D:$D,"outras empresas nao financeiras",Input!$H:$H,"U*"))/1000000</f>
        <v>-2.8839999999999998E-3</v>
      </c>
      <c r="P23" s="93">
        <f>(SUMIFS(Input!$L:$L,Input!$K:$K,"1",Input!$E:$E,'5.CC Physical risk'!$O$24,Input!$D:$D,"outras empresas nao financeiras",Input!$H:$H,"J*",Input!$C:$C,'5.CC Physical risk'!$M$24)
+SUMIFS(Input!$L:$L,Input!$K:$K,"1",Input!$E:$E,'5.CC Physical risk'!$O$24,Input!$D:$D,"outras empresas nao financeiras",Input!$H:$H,"M*",Input!$C:$C,'5.CC Physical risk'!$M$24)
+SUMIFS(Input!$L:$L,Input!$K:$K,"1",Input!$E:$E,'5.CC Physical risk'!$O$24,Input!$D:$D,"outras empresas nao financeiras",Input!$H:$H,"N*",Input!$C:$C,'5.CC Physical risk'!$M$24)
+SUMIFS(Input!$L:$L,Input!$K:$K,"1",Input!$E:$E,'5.CC Physical risk'!$O$24,Input!$D:$D,"outras empresas nao financeiras",Input!$H:$H,"O*",Input!$C:$C,'5.CC Physical risk'!$M$24)
+SUMIFS(Input!$L:$L,Input!$K:$K,"1",Input!$E:$E,'5.CC Physical risk'!$O$24,Input!$D:$D,"outras empresas nao financeiras",Input!$H:$H,"P*",Input!$C:$C,'5.CC Physical risk'!$M$24)
+SUMIFS(Input!$L:$L,Input!$K:$K,"1",Input!$E:$E,'5.CC Physical risk'!$O$24,Input!$D:$D,"outras empresas nao financeiras",Input!$H:$H,"Q*",Input!$C:$C,'5.CC Physical risk'!$M$24)
+SUMIFS(Input!$L:$L,Input!$K:$K,"1",Input!$E:$E,'5.CC Physical risk'!$O$24,Input!$D:$D,"outras empresas nao financeiras",Input!$H:$H,"R*",Input!$C:$C,'5.CC Physical risk'!$M$24)
+SUMIFS(Input!$L:$L,Input!$K:$K,"1",Input!$E:$E,'5.CC Physical risk'!$O$24,Input!$D:$D,"outras empresas nao financeiras",Input!$H:$H,"S*",Input!$C:$C,'5.CC Physical risk'!$M$24)
+SUMIFS(Input!$L:$L,Input!$K:$K,"1",Input!$E:$E,'5.CC Physical risk'!$O$24,Input!$D:$D,"outras empresas nao financeiras",Input!$H:$H,"T*",Input!$C:$C,'5.CC Physical risk'!$M$24)
+SUMIFS(Input!$L:$L,Input!$K:$K,"1",Input!$E:$E,'5.CC Physical risk'!$O$24,Input!$D:$D,"outras empresas nao financeiras",Input!$H:$H,"U*",Input!$C:$C,'5.CC Physical risk'!$M$24))/1000000</f>
        <v>-2.2910000000000001E-3</v>
      </c>
      <c r="Q23" s="93">
        <f>(SUMIFS(Input!$L:$L,Input!$K:$K,"1",Input!$E:$E,'5.CC Physical risk'!$O$24,Input!$D:$D,"outras empresas nao financeiras",Input!$H:$H,"J*",Input!$C:$C,'5.CC Physical risk'!$N$24)
+SUMIFS(Input!$L:$L,Input!$K:$K,"1",Input!$E:$E,'5.CC Physical risk'!$O$24,Input!$D:$D,"outras empresas nao financeiras",Input!$H:$H,"M*",Input!$C:$C,'5.CC Physical risk'!$N$24)
+SUMIFS(Input!$L:$L,Input!$K:$K,"1",Input!$E:$E,'5.CC Physical risk'!$O$24,Input!$D:$D,"outras empresas nao financeiras",Input!$H:$H,"N*",Input!$C:$C,'5.CC Physical risk'!$N$24)
+SUMIFS(Input!$L:$L,Input!$K:$K,"1",Input!$E:$E,'5.CC Physical risk'!$O$24,Input!$D:$D,"outras empresas nao financeiras",Input!$H:$H,"O*",Input!$C:$C,'5.CC Physical risk'!$N$24)
+SUMIFS(Input!$L:$L,Input!$K:$K,"1",Input!$E:$E,'5.CC Physical risk'!$O$24,Input!$D:$D,"outras empresas nao financeiras",Input!$H:$H,"P*",Input!$C:$C,'5.CC Physical risk'!$N$24)
+SUMIFS(Input!$L:$L,Input!$K:$K,"1",Input!$E:$E,'5.CC Physical risk'!$O$24,Input!$D:$D,"outras empresas nao financeiras",Input!$H:$H,"Q*",Input!$C:$C,'5.CC Physical risk'!$N$24)
+SUMIFS(Input!$L:$L,Input!$K:$K,"1",Input!$E:$E,'5.CC Physical risk'!$O$24,Input!$D:$D,"outras empresas nao financeiras",Input!$H:$H,"R*",Input!$C:$C,'5.CC Physical risk'!$N$24)
+SUMIFS(Input!$L:$L,Input!$K:$K,"1",Input!$E:$E,'5.CC Physical risk'!$O$24,Input!$D:$D,"outras empresas nao financeiras",Input!$H:$H,"S*",Input!$C:$C,'5.CC Physical risk'!$N$24)
+SUMIFS(Input!$L:$L,Input!$K:$K,"1",Input!$E:$E,'5.CC Physical risk'!$O$24,Input!$D:$D,"outras empresas nao financeiras",Input!$H:$H,"T*",Input!$C:$C,'5.CC Physical risk'!$N$24)
+SUMIFS(Input!$L:$L,Input!$K:$K,"1",Input!$E:$E,'5.CC Physical risk'!$O$24,Input!$D:$D,"outras empresas nao financeiras",Input!$H:$H,"U*",Input!$C:$C,'5.CC Physical risk'!$N$24))/1000000</f>
        <v>0</v>
      </c>
      <c r="S23" s="73"/>
    </row>
    <row r="24" spans="1:19" s="77" customFormat="1" x14ac:dyDescent="0.3">
      <c r="A24" s="1"/>
      <c r="B24" s="60"/>
      <c r="C24" s="1"/>
      <c r="D24" s="70" t="s">
        <v>68</v>
      </c>
      <c r="E24" s="70">
        <v>1</v>
      </c>
      <c r="F24" s="70"/>
      <c r="G24" s="70"/>
      <c r="H24" s="75"/>
      <c r="I24" s="70"/>
      <c r="J24" s="70" t="s">
        <v>73</v>
      </c>
      <c r="K24" s="70" t="s">
        <v>65</v>
      </c>
      <c r="L24" s="70"/>
      <c r="M24" s="70" t="s">
        <v>70</v>
      </c>
      <c r="N24" s="70" t="s">
        <v>71</v>
      </c>
      <c r="O24" s="70" t="s">
        <v>63</v>
      </c>
      <c r="P24" s="76"/>
      <c r="Q24" s="76"/>
      <c r="S24" s="78"/>
    </row>
    <row r="25" spans="1:19" x14ac:dyDescent="0.3">
      <c r="C25" s="1"/>
      <c r="D25" s="96"/>
      <c r="E25" s="98"/>
      <c r="F25" s="79"/>
      <c r="G25" s="79"/>
      <c r="H25" s="79"/>
      <c r="I25" s="79"/>
      <c r="J25" s="95"/>
      <c r="K25" s="95"/>
      <c r="L25" s="95"/>
      <c r="M25" s="95"/>
      <c r="N25" s="95"/>
      <c r="O25" s="95"/>
      <c r="P25" s="100"/>
      <c r="Q25" s="95"/>
    </row>
    <row r="26" spans="1:19" x14ac:dyDescent="0.3">
      <c r="A26" s="81" t="s">
        <v>77</v>
      </c>
      <c r="B26" s="81">
        <f>SUMIFS(Input!$L:$L,Input!$K:$K,"1",Input!$E:$E,'5.CC Physical risk'!$D$24,Input!$H:$H,"J*",Input!$D:$D,"outras empresas nao financeiras",Input!$G:$G,"&gt;20")
+SUMIFS(Input!$L:$L,Input!$K:$K,"1",Input!$E:$E,'5.CC Physical risk'!$D$24,Input!$H:$H,"J*",Input!$D:$D,"outras empresas nao financeiras",Input!$G:$G,"-2")
+SUMIFS(Input!$L:$L,Input!$K:$K,"1",Input!$E:$E,'5.CC Physical risk'!$D$24,Input!$H:$H,"J*",Input!$D:$D,"outras empresas nao financeiras",Input!$G:$G,"-3")
+SUMIFS(Input!$L:$L,Input!$K:$K,"1",Input!$E:$E,'5.CC Physical risk'!$D$24,Input!$H:$H,"J*",Input!$D:$D,"outras empresas nao financeiras",Input!$G:$G,"-5")</f>
        <v>0</v>
      </c>
      <c r="C26" s="1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</row>
    <row r="27" spans="1:19" x14ac:dyDescent="0.3">
      <c r="A27" s="81" t="s">
        <v>64</v>
      </c>
      <c r="B27" s="81">
        <f>SUMIFS(Input!$L:$L,Input!$K:$K,"1",Input!$E:$E,'5.CC Physical risk'!$D$24,Input!$H:$H,"N*",Input!$D:$D,"outras empresas nao financeiras",Input!$G:$G,"&gt;20")
+SUMIFS(Input!$L:$L,Input!$K:$K,"1",Input!$E:$E,'5.CC Physical risk'!$D$24,Input!$H:$H,"N*",Input!$D:$D,"outras empresas nao financeiras",Input!$G:$G,"-2")
+SUMIFS(Input!$L:$L,Input!$K:$K,"1",Input!$E:$E,'5.CC Physical risk'!$D$24,Input!$H:$H,"N*",Input!$D:$D,"outras empresas nao financeiras",Input!$G:$G,"-3")
+SUMIFS(Input!$L:$L,Input!$K:$K,"1",Input!$E:$E,'5.CC Physical risk'!$D$24,Input!$H:$H,"N*",Input!$D:$D,"outras empresas nao financeiras",Input!$G:$G,"-5")</f>
        <v>0</v>
      </c>
      <c r="C27" s="82"/>
      <c r="D27" s="83"/>
      <c r="E27" s="84"/>
      <c r="F27" s="84"/>
      <c r="G27" s="84"/>
      <c r="H27" s="83"/>
      <c r="I27" s="83"/>
      <c r="J27" s="84"/>
      <c r="K27" s="84"/>
      <c r="L27" s="84"/>
      <c r="M27" s="83"/>
      <c r="N27" s="84"/>
      <c r="O27" s="83"/>
      <c r="P27" s="85"/>
      <c r="Q27" s="85"/>
    </row>
    <row r="28" spans="1:19" x14ac:dyDescent="0.3">
      <c r="A28" s="81" t="s">
        <v>86</v>
      </c>
      <c r="B28" s="81">
        <f>SUMIFS(Input!$L:$L,Input!$K:$K,"1",Input!$E:$E,'5.CC Physical risk'!$D$24,Input!$H:$H,"O*",Input!$D:$D,"outras empresas nao financeiras",Input!$G:$G,"&gt;20")
+SUMIFS(Input!$L:$L,Input!$K:$K,"1",Input!$E:$E,'5.CC Physical risk'!$D$24,Input!$H:$H,"O*",Input!$D:$D,"outras empresas nao financeiras",Input!$G:$G,"-2")
+SUMIFS(Input!$L:$L,Input!$K:$K,"1",Input!$E:$E,'5.CC Physical risk'!$D$24,Input!$H:$H,"O*",Input!$D:$D,"outras empresas nao financeiras",Input!$G:$G,"-3")
+SUMIFS(Input!$L:$L,Input!$K:$K,"1",Input!$E:$E,'5.CC Physical risk'!$D$24,Input!$H:$H,"O*",Input!$D:$D,"outras empresas nao financeiras",Input!$G:$G,"-5")</f>
        <v>0</v>
      </c>
      <c r="C28" s="82"/>
      <c r="D28" s="1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</row>
    <row r="29" spans="1:19" x14ac:dyDescent="0.3">
      <c r="A29" s="81" t="s">
        <v>78</v>
      </c>
      <c r="B29" s="81">
        <f>SUMIFS(Input!$L:$L,Input!$K:$K,"1",Input!$E:$E,'5.CC Physical risk'!$D$24,Input!$H:$H,"P*",Input!$D:$D,"outras empresas nao financeiras",Input!$G:$G,"&gt;20")
+SUMIFS(Input!$L:$L,Input!$K:$K,"1",Input!$E:$E,'5.CC Physical risk'!$D$24,Input!$H:$H,"P*",Input!$D:$D,"outras empresas nao financeiras",Input!$G:$G,"-2")
+SUMIFS(Input!$L:$L,Input!$K:$K,"1",Input!$E:$E,'5.CC Physical risk'!$D$24,Input!$H:$H,"P*",Input!$D:$D,"outras empresas nao financeiras",Input!$G:$G,"-3")
+SUMIFS(Input!$L:$L,Input!$K:$K,"1",Input!$E:$E,'5.CC Physical risk'!$D$24,Input!$H:$H,"P*",Input!$D:$D,"outras empresas nao financeiras",Input!$G:$G,"-5")</f>
        <v>0</v>
      </c>
      <c r="C29" s="82"/>
      <c r="D29" s="85"/>
      <c r="E29" s="85"/>
      <c r="F29" s="85"/>
      <c r="G29" s="85"/>
      <c r="H29" s="85"/>
      <c r="I29" s="85"/>
      <c r="J29" s="86"/>
      <c r="K29" s="85"/>
      <c r="L29" s="85"/>
      <c r="M29" s="85"/>
      <c r="N29" s="85"/>
      <c r="O29" s="85"/>
      <c r="P29" s="85"/>
      <c r="Q29" s="85"/>
    </row>
    <row r="30" spans="1:19" x14ac:dyDescent="0.3">
      <c r="A30" s="81" t="s">
        <v>79</v>
      </c>
      <c r="B30" s="81">
        <f>SUMIFS(Input!$L:$L,Input!$K:$K,"1",Input!$E:$E,'5.CC Physical risk'!$D$24,Input!$H:$H,"Q*",Input!$D:$D,"outras empresas nao financeiras",Input!$G:$G,"&gt;20")
+SUMIFS(Input!$L:$L,Input!$K:$K,"1",Input!$E:$E,'5.CC Physical risk'!$D$24,Input!$H:$H,"Q*",Input!$D:$D,"outras empresas nao financeiras",Input!$G:$G,"-2")
+SUMIFS(Input!$L:$L,Input!$K:$K,"1",Input!$E:$E,'5.CC Physical risk'!$D$24,Input!$H:$H,"Q*",Input!$D:$D,"outras empresas nao financeiras",Input!$G:$G,"-3")
+SUMIFS(Input!$L:$L,Input!$K:$K,"1",Input!$E:$E,'5.CC Physical risk'!$D$24,Input!$H:$H,"Q*",Input!$D:$D,"outras empresas nao financeiras",Input!$G:$G,"-5")</f>
        <v>0</v>
      </c>
      <c r="C30" s="82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</row>
    <row r="31" spans="1:19" x14ac:dyDescent="0.3">
      <c r="A31" s="81" t="s">
        <v>83</v>
      </c>
      <c r="B31" s="81">
        <f>SUMIFS(Input!$L:$L,Input!$K:$K,"1",Input!$E:$E,'5.CC Physical risk'!$D$24,Input!$H:$H,"R*",Input!$D:$D,"outras empresas nao financeiras",Input!$G:$G,"&gt;20")
+SUMIFS(Input!$L:$L,Input!$K:$K,"1",Input!$E:$E,'5.CC Physical risk'!$D$24,Input!$H:$H,"R*",Input!$D:$D,"outras empresas nao financeiras",Input!$G:$G,"-2")
+SUMIFS(Input!$L:$L,Input!$K:$K,"1",Input!$E:$E,'5.CC Physical risk'!$D$24,Input!$H:$H,"R*",Input!$D:$D,"outras empresas nao financeiras",Input!$G:$G,"-3")
+SUMIFS(Input!$L:$L,Input!$K:$K,"1",Input!$E:$E,'5.CC Physical risk'!$D$24,Input!$H:$H,"R*",Input!$D:$D,"outras empresas nao financeiras",Input!$G:$G,"-5")</f>
        <v>0</v>
      </c>
      <c r="C31" s="87"/>
      <c r="D31" s="88"/>
      <c r="E31" s="88"/>
      <c r="F31" s="88"/>
      <c r="G31" s="88"/>
      <c r="H31" s="89"/>
      <c r="I31" s="88"/>
      <c r="J31" s="88"/>
      <c r="K31" s="88"/>
      <c r="L31" s="88"/>
      <c r="M31" s="88"/>
      <c r="N31" s="88"/>
      <c r="O31" s="88"/>
      <c r="P31" s="88"/>
      <c r="Q31" s="88"/>
    </row>
    <row r="32" spans="1:19" x14ac:dyDescent="0.3">
      <c r="A32" s="81" t="s">
        <v>80</v>
      </c>
      <c r="B32" s="81">
        <f>SUMIFS(Input!$L:$L,Input!$K:$K,"1",Input!$E:$E,'5.CC Physical risk'!$D$24,Input!$H:$H,"S*",Input!$D:$D,"outras empresas nao financeiras",Input!$G:$G,"&gt;20")
+SUMIFS(Input!$L:$L,Input!$K:$K,"1",Input!$E:$E,'5.CC Physical risk'!$D$24,Input!$H:$H,"S*",Input!$D:$D,"outras empresas nao financeiras",Input!$G:$G,"-2")
+SUMIFS(Input!$L:$L,Input!$K:$K,"1",Input!$E:$E,'5.CC Physical risk'!$D$24,Input!$H:$H,"S*",Input!$D:$D,"outras empresas nao financeiras",Input!$G:$G,"-3")
+SUMIFS(Input!$L:$L,Input!$K:$K,"1",Input!$E:$E,'5.CC Physical risk'!$D$24,Input!$H:$H,"S*",Input!$D:$D,"outras empresas nao financeiras",Input!$G:$G,"-5")</f>
        <v>0</v>
      </c>
      <c r="D32" s="90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</row>
    <row r="33" spans="1:17" x14ac:dyDescent="0.3">
      <c r="A33" s="81" t="s">
        <v>89</v>
      </c>
      <c r="B33" s="81">
        <f>SUMIFS(Input!$L:$L,Input!$K:$K,"1",Input!$E:$E,'5.CC Physical risk'!$D$24,Input!$H:$H,"T*",Input!$D:$D,"outras empresas nao financeiras",Input!$G:$G,"&gt;20")
+SUMIFS(Input!$L:$L,Input!$K:$K,"1",Input!$E:$E,'5.CC Physical risk'!$D$24,Input!$H:$H,"T*",Input!$D:$D,"outras empresas nao financeiras",Input!$G:$G,"-2")
+SUMIFS(Input!$L:$L,Input!$K:$K,"1",Input!$E:$E,'5.CC Physical risk'!$D$24,Input!$H:$H,"T*",Input!$D:$D,"outras empresas nao financeiras",Input!$G:$G,"-3")
+SUMIFS(Input!$L:$L,Input!$K:$K,"1",Input!$E:$E,'5.CC Physical risk'!$D$24,Input!$H:$H,"T*",Input!$D:$D,"outras empresas nao financeiras",Input!$G:$G,"-5")</f>
        <v>0</v>
      </c>
      <c r="D33" s="88"/>
      <c r="E33" s="88"/>
      <c r="F33" s="88"/>
      <c r="G33" s="88"/>
      <c r="H33" s="91"/>
      <c r="I33" s="88"/>
      <c r="J33" s="88"/>
      <c r="K33" s="88"/>
      <c r="L33" s="88"/>
      <c r="M33" s="88"/>
      <c r="N33" s="88"/>
      <c r="O33" s="88"/>
      <c r="P33" s="88"/>
      <c r="Q33" s="88"/>
    </row>
    <row r="34" spans="1:17" x14ac:dyDescent="0.3">
      <c r="A34" s="81" t="s">
        <v>87</v>
      </c>
      <c r="B34" s="81">
        <f>SUMIFS(Input!$L:$L,Input!$K:$K,"1",Input!$E:$E,'5.CC Physical risk'!$D$24,Input!$H:$H,"U*",Input!$D:$D,"outras empresas nao financeiras",Input!$G:$G,"&gt;20")
+SUMIFS(Input!$L:$L,Input!$K:$K,"1",Input!$E:$E,'5.CC Physical risk'!$D$24,Input!$H:$H,"U*",Input!$D:$D,"outras empresas nao financeiras",Input!$G:$G,"-2")
+SUMIFS(Input!$L:$L,Input!$K:$K,"1",Input!$E:$E,'5.CC Physical risk'!$D$24,Input!$H:$H,"U*",Input!$D:$D,"outras empresas nao financeiras",Input!$G:$G,"-3")
+SUMIFS(Input!$L:$L,Input!$K:$K,"1",Input!$E:$E,'5.CC Physical risk'!$D$24,Input!$H:$H,"U*",Input!$D:$D,"outras empresas nao financeiras",Input!$G:$G,"-5")</f>
        <v>0</v>
      </c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</row>
    <row r="35" spans="1:17" x14ac:dyDescent="0.3">
      <c r="A35" s="81" t="s">
        <v>74</v>
      </c>
      <c r="B35" s="81">
        <f>SUMIFS(Input!$L:$L,Input!$K:$K,"1",Input!$E:$E,'5.CC Physical risk'!$D$24,Input!$H:$H,"M*",Input!$D:$D,"outras empresas nao financeiras",Input!$G:$G,"&gt;20")
+SUMIFS(Input!$L:$L,Input!$K:$K,"1",Input!$E:$E,'5.CC Physical risk'!$D$24,Input!$H:$H,"M*",Input!$D:$D,"outras empresas nao financeiras",Input!$G:$G,"-2")
+SUMIFS(Input!$L:$L,Input!$K:$K,"1",Input!$E:$E,'5.CC Physical risk'!$D$24,Input!$H:$H,"M*",Input!$D:$D,"outras empresas nao financeiras",Input!$G:$G,"-3")
+SUMIFS(Input!$L:$L,Input!$K:$K,"1",Input!$E:$E,'5.CC Physical risk'!$D$24,Input!$H:$H,"M*",Input!$D:$D,"outras empresas nao financeiras",Input!$G:$G,"-5")</f>
        <v>0</v>
      </c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</row>
    <row r="36" spans="1:17" x14ac:dyDescent="0.3">
      <c r="A36" s="70"/>
      <c r="B36" s="70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</row>
    <row r="37" spans="1:17" x14ac:dyDescent="0.3"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</row>
    <row r="38" spans="1:17" x14ac:dyDescent="0.3"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</row>
    <row r="39" spans="1:17" x14ac:dyDescent="0.3"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</row>
    <row r="40" spans="1:17" x14ac:dyDescent="0.3">
      <c r="D40" s="88"/>
      <c r="E40" s="88"/>
      <c r="F40" s="88"/>
      <c r="G40" s="92"/>
      <c r="H40" s="92"/>
      <c r="I40" s="92"/>
      <c r="J40" s="92"/>
      <c r="K40" s="92"/>
      <c r="M40" s="92"/>
      <c r="N40" s="92"/>
    </row>
    <row r="41" spans="1:17" x14ac:dyDescent="0.3">
      <c r="D41" s="88"/>
      <c r="E41" s="88"/>
      <c r="F41" s="88"/>
      <c r="G41" s="92"/>
      <c r="K41" s="92"/>
      <c r="M41" s="92"/>
      <c r="N41" s="92"/>
    </row>
    <row r="42" spans="1:17" x14ac:dyDescent="0.3">
      <c r="D42" s="88"/>
      <c r="E42" s="88"/>
      <c r="F42" s="88"/>
      <c r="G42" s="92"/>
      <c r="K42" s="92"/>
      <c r="M42" s="92"/>
      <c r="N42" s="92"/>
    </row>
    <row r="43" spans="1:17" x14ac:dyDescent="0.3">
      <c r="D43" s="88"/>
      <c r="E43" s="88"/>
      <c r="F43" s="88"/>
      <c r="G43" s="92"/>
      <c r="K43" s="92"/>
      <c r="M43" s="92"/>
      <c r="N43" s="92"/>
    </row>
    <row r="44" spans="1:17" x14ac:dyDescent="0.3">
      <c r="D44" s="88"/>
      <c r="E44" s="88"/>
      <c r="F44" s="88"/>
      <c r="G44" s="92"/>
      <c r="K44" s="92"/>
      <c r="M44" s="92"/>
      <c r="N44" s="92"/>
    </row>
    <row r="45" spans="1:17" x14ac:dyDescent="0.3">
      <c r="D45" s="88"/>
      <c r="E45" s="88"/>
      <c r="F45" s="88"/>
      <c r="G45" s="92"/>
      <c r="K45" s="92"/>
      <c r="M45" s="92"/>
      <c r="N45" s="92"/>
    </row>
    <row r="46" spans="1:17" x14ac:dyDescent="0.3">
      <c r="D46" s="88"/>
      <c r="E46" s="88"/>
      <c r="F46" s="88"/>
      <c r="G46" s="92"/>
      <c r="K46" s="92"/>
      <c r="M46" s="92"/>
      <c r="N46" s="92"/>
    </row>
    <row r="47" spans="1:17" x14ac:dyDescent="0.3">
      <c r="D47" s="88"/>
      <c r="E47" s="88"/>
      <c r="F47" s="88"/>
      <c r="G47" s="92"/>
      <c r="K47" s="92"/>
      <c r="M47" s="92"/>
      <c r="N47" s="92"/>
    </row>
    <row r="48" spans="1:17" x14ac:dyDescent="0.3">
      <c r="D48" s="88"/>
      <c r="E48" s="88"/>
      <c r="F48" s="88"/>
      <c r="G48" s="92"/>
      <c r="K48" s="92"/>
      <c r="M48" s="92"/>
      <c r="N48" s="92"/>
    </row>
    <row r="49" spans="4:14" x14ac:dyDescent="0.3">
      <c r="D49" s="88"/>
      <c r="E49" s="88"/>
      <c r="F49" s="88"/>
      <c r="G49" s="92"/>
      <c r="K49" s="92"/>
      <c r="M49" s="92"/>
      <c r="N49" s="92"/>
    </row>
    <row r="50" spans="4:14" x14ac:dyDescent="0.3">
      <c r="D50" s="88"/>
      <c r="E50" s="92"/>
      <c r="F50" s="92"/>
      <c r="G50" s="92"/>
      <c r="K50" s="92"/>
      <c r="M50" s="92"/>
      <c r="N50" s="92"/>
    </row>
    <row r="51" spans="4:14" x14ac:dyDescent="0.3">
      <c r="D51" s="92"/>
      <c r="E51" s="92"/>
      <c r="F51" s="92"/>
      <c r="G51" s="92"/>
      <c r="K51" s="92"/>
      <c r="M51" s="92"/>
      <c r="N51" s="92"/>
    </row>
    <row r="52" spans="4:14" x14ac:dyDescent="0.3">
      <c r="D52" s="92"/>
      <c r="E52" s="92"/>
      <c r="F52" s="92"/>
      <c r="G52" s="92"/>
      <c r="K52" s="92"/>
      <c r="M52" s="92"/>
      <c r="N52" s="92"/>
    </row>
    <row r="53" spans="4:14" x14ac:dyDescent="0.3">
      <c r="D53" s="92"/>
      <c r="E53" s="92"/>
      <c r="F53" s="92"/>
      <c r="G53" s="92"/>
      <c r="K53" s="92"/>
    </row>
    <row r="54" spans="4:14" x14ac:dyDescent="0.3">
      <c r="D54" s="92"/>
      <c r="E54" s="92"/>
      <c r="F54" s="92"/>
      <c r="G54" s="92"/>
      <c r="K54" s="92"/>
    </row>
  </sheetData>
  <mergeCells count="10">
    <mergeCell ref="C5:C8"/>
    <mergeCell ref="D5:Q5"/>
    <mergeCell ref="E6:Q6"/>
    <mergeCell ref="E7:I7"/>
    <mergeCell ref="J7:J8"/>
    <mergeCell ref="K7:K8"/>
    <mergeCell ref="L7:L8"/>
    <mergeCell ref="M7:M8"/>
    <mergeCell ref="N7:N8"/>
    <mergeCell ref="O7:Q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D38DB2-9F46-4FD2-A106-88C01ED2BD71}"/>
</file>

<file path=customXml/itemProps2.xml><?xml version="1.0" encoding="utf-8"?>
<ds:datastoreItem xmlns:ds="http://schemas.openxmlformats.org/officeDocument/2006/customXml" ds:itemID="{CFAA08FF-BA12-4D0A-8953-9C151DD9864F}">
  <ds:schemaRefs>
    <ds:schemaRef ds:uri="572bdb13-c576-4166-8827-65186753b8b5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5.CC Physical risk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Ali Erbilgic</dc:creator>
  <cp:lastModifiedBy>João Ricardo Galhardo Almeida Costa</cp:lastModifiedBy>
  <dcterms:created xsi:type="dcterms:W3CDTF">2021-09-06T12:20:44Z</dcterms:created>
  <dcterms:modified xsi:type="dcterms:W3CDTF">2025-06-30T18:12:03Z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Order">
    <vt:r8>13400</vt:r8>
  </property>
  <property fmtid="{D5CDD505-2E9C-101B-9397-08002B2CF9AE}" pid="18" name="xd_Signature">
    <vt:bool>false</vt:bool>
  </property>
  <property fmtid="{D5CDD505-2E9C-101B-9397-08002B2CF9AE}" pid="19" name="xd_ProgID">
    <vt:lpwstr/>
  </property>
  <property fmtid="{D5CDD505-2E9C-101B-9397-08002B2CF9AE}" pid="20" name="_SourceUrl">
    <vt:lpwstr/>
  </property>
  <property fmtid="{D5CDD505-2E9C-101B-9397-08002B2CF9AE}" pid="21" name="_SharedFileIndex">
    <vt:lpwstr/>
  </property>
  <property fmtid="{D5CDD505-2E9C-101B-9397-08002B2CF9AE}" pid="22" name="ComplianceAssetId">
    <vt:lpwstr/>
  </property>
  <property fmtid="{D5CDD505-2E9C-101B-9397-08002B2CF9AE}" pid="23" name="TemplateUrl">
    <vt:lpwstr/>
  </property>
  <property fmtid="{D5CDD505-2E9C-101B-9397-08002B2CF9AE}" pid="24" name="_ExtendedDescription">
    <vt:lpwstr/>
  </property>
  <property fmtid="{D5CDD505-2E9C-101B-9397-08002B2CF9AE}" pid="25" name="TriggerFlowInfo">
    <vt:lpwstr/>
  </property>
</Properties>
</file>