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923/Shared Documents/Geral/02. Templates Locais/05. Template 5/"/>
    </mc:Choice>
  </mc:AlternateContent>
  <xr:revisionPtr revIDLastSave="4" documentId="11_668425A328F98A85453AAFD5A01BEE9CF4FCD743" xr6:coauthVersionLast="47" xr6:coauthVersionMax="47" xr10:uidLastSave="{A21B026B-215B-420C-90EA-68C696742959}"/>
  <bookViews>
    <workbookView xWindow="-120" yWindow="-120" windowWidth="29040" windowHeight="15720" activeTab="2" xr2:uid="{00000000-000D-0000-FFFF-FFFF00000000}"/>
  </bookViews>
  <sheets>
    <sheet name="Instruções" sheetId="33" r:id="rId1"/>
    <sheet name="Menu" sheetId="29" r:id="rId2"/>
    <sheet name="Input" sheetId="27" r:id="rId3"/>
    <sheet name="5.CC Physical risk" sheetId="32" r:id="rId4"/>
  </sheets>
  <externalReferences>
    <externalReference r:id="rId5"/>
  </externalReferences>
  <definedNames>
    <definedName name="_xlnm._FilterDatabase" localSheetId="3" hidden="1">'5.CC Physical risk'!$A$4:$Q$25</definedName>
    <definedName name="_xlnm._FilterDatabase" localSheetId="2" hidden="1">Input!$C$6:$M$6</definedName>
    <definedName name="BM" localSheetId="0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" i="32" l="1"/>
  <c r="B34" i="32"/>
  <c r="B33" i="32"/>
  <c r="B32" i="32"/>
  <c r="B31" i="32"/>
  <c r="B30" i="32"/>
  <c r="B29" i="32"/>
  <c r="B28" i="32"/>
  <c r="B27" i="32"/>
  <c r="B26" i="32"/>
  <c r="Q23" i="32"/>
  <c r="P23" i="32"/>
  <c r="O23" i="32"/>
  <c r="N23" i="32"/>
  <c r="M23" i="32"/>
  <c r="L23" i="32"/>
  <c r="K23" i="32"/>
  <c r="J23" i="32"/>
  <c r="I23" i="32"/>
  <c r="G23" i="32"/>
  <c r="F23" i="32"/>
  <c r="E23" i="32"/>
  <c r="D23" i="32"/>
  <c r="Q22" i="32"/>
  <c r="P22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Q21" i="32"/>
  <c r="P21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Q20" i="32"/>
  <c r="P20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Q18" i="32"/>
  <c r="P18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Q17" i="32"/>
  <c r="P17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Q16" i="32"/>
  <c r="P16" i="32"/>
  <c r="O16" i="32"/>
  <c r="N16" i="32"/>
  <c r="M16" i="32"/>
  <c r="L16" i="32"/>
  <c r="K16" i="32"/>
  <c r="J16" i="32"/>
  <c r="I16" i="32"/>
  <c r="H16" i="32"/>
  <c r="G16" i="32"/>
  <c r="F16" i="32"/>
  <c r="E16" i="32"/>
  <c r="D16" i="32"/>
  <c r="Q15" i="32"/>
  <c r="P15" i="32"/>
  <c r="O15" i="32"/>
  <c r="N15" i="32"/>
  <c r="M15" i="32"/>
  <c r="L15" i="32"/>
  <c r="K15" i="32"/>
  <c r="J15" i="32"/>
  <c r="I15" i="32"/>
  <c r="H15" i="32"/>
  <c r="G15" i="32"/>
  <c r="F15" i="32"/>
  <c r="E15" i="32"/>
  <c r="D15" i="32"/>
  <c r="Q14" i="32"/>
  <c r="P14" i="32"/>
  <c r="O14" i="32"/>
  <c r="N14" i="32"/>
  <c r="M14" i="32"/>
  <c r="L14" i="32"/>
  <c r="K14" i="32"/>
  <c r="J14" i="32"/>
  <c r="I14" i="32"/>
  <c r="H14" i="32"/>
  <c r="G14" i="32"/>
  <c r="F14" i="32"/>
  <c r="E14" i="32"/>
  <c r="D14" i="32"/>
  <c r="Q13" i="32"/>
  <c r="P13" i="32"/>
  <c r="O13" i="32"/>
  <c r="N13" i="32"/>
  <c r="M13" i="32"/>
  <c r="L13" i="32"/>
  <c r="K13" i="32"/>
  <c r="J13" i="32"/>
  <c r="I13" i="32"/>
  <c r="H13" i="32"/>
  <c r="G13" i="32"/>
  <c r="F13" i="32"/>
  <c r="E13" i="32"/>
  <c r="D13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D12" i="32"/>
  <c r="Q11" i="32"/>
  <c r="P11" i="32"/>
  <c r="O11" i="32"/>
  <c r="N11" i="32"/>
  <c r="M11" i="32"/>
  <c r="L11" i="32"/>
  <c r="K11" i="32"/>
  <c r="J11" i="32"/>
  <c r="I11" i="32"/>
  <c r="H11" i="32"/>
  <c r="G11" i="32"/>
  <c r="F11" i="32"/>
  <c r="E11" i="32"/>
  <c r="D11" i="32"/>
  <c r="Q10" i="32"/>
  <c r="P10" i="32"/>
  <c r="O10" i="32"/>
  <c r="N10" i="32"/>
  <c r="M10" i="32"/>
  <c r="L10" i="32"/>
  <c r="K10" i="32"/>
  <c r="J10" i="32"/>
  <c r="I10" i="32"/>
  <c r="H10" i="32"/>
  <c r="G10" i="32"/>
  <c r="F10" i="32"/>
  <c r="E10" i="32"/>
  <c r="D10" i="32"/>
  <c r="Q9" i="32"/>
  <c r="P9" i="32"/>
  <c r="O9" i="32"/>
  <c r="N9" i="32"/>
  <c r="M9" i="32"/>
  <c r="L9" i="32"/>
  <c r="K9" i="32"/>
  <c r="J9" i="32"/>
  <c r="I9" i="32"/>
  <c r="H9" i="32"/>
  <c r="G9" i="32"/>
  <c r="F9" i="32"/>
  <c r="E9" i="32"/>
  <c r="D9" i="32"/>
  <c r="H23" i="32" l="1"/>
  <c r="F10" i="29" l="1"/>
</calcChain>
</file>

<file path=xl/sharedStrings.xml><?xml version="1.0" encoding="utf-8"?>
<sst xmlns="http://schemas.openxmlformats.org/spreadsheetml/2006/main" count="120" uniqueCount="119">
  <si>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</si>
  <si>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</si>
  <si>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</si>
  <si>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</si>
  <si>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</si>
  <si>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</si>
  <si>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</si>
  <si>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</si>
  <si>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</si>
  <si>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</si>
  <si>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</si>
  <si>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</si>
  <si>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A</t>
  </si>
  <si>
    <t>B</t>
  </si>
  <si>
    <t>C</t>
  </si>
  <si>
    <t>D</t>
  </si>
  <si>
    <t>E</t>
  </si>
  <si>
    <t>F</t>
  </si>
  <si>
    <t>G</t>
  </si>
  <si>
    <t>m</t>
  </si>
  <si>
    <t>n</t>
  </si>
  <si>
    <t>tipo_colateral</t>
  </si>
  <si>
    <t>amount</t>
  </si>
  <si>
    <t>Stock</t>
  </si>
  <si>
    <t>Garantia Residencial</t>
  </si>
  <si>
    <t>Garantia Comercial</t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</si>
  <si>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</si>
  <si>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</si>
  <si>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</si>
  <si>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</si>
  <si>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</si>
  <si>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</si>
  <si>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</si>
  <si>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</si>
  <si>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</si>
  <si>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</si>
  <si>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</si>
  <si>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</si>
  <si>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</si>
  <si>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</si>
  <si>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</si>
  <si>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</si>
  <si>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</si>
  <si>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</si>
  <si>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</si>
  <si>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</si>
  <si>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</si>
  <si>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</si>
  <si>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</si>
  <si>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</si>
  <si>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</si>
  <si>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t>stage</t>
  </si>
  <si>
    <t>contraparte</t>
  </si>
  <si>
    <t>vb_imp</t>
  </si>
  <si>
    <t>maturity</t>
  </si>
  <si>
    <t>cod_nace_esg</t>
  </si>
  <si>
    <t>acute_changes</t>
  </si>
  <si>
    <t>chronic_changes</t>
  </si>
  <si>
    <t>flag_physical_risk</t>
  </si>
  <si>
    <t>aveg_aux</t>
  </si>
  <si>
    <t>imparidade</t>
  </si>
  <si>
    <t>N</t>
  </si>
  <si>
    <t>ACUT1</t>
  </si>
  <si>
    <t>valor bruto</t>
  </si>
  <si>
    <t>stage 2</t>
  </si>
  <si>
    <t>stage 3</t>
  </si>
  <si>
    <t>CHRO1</t>
  </si>
  <si>
    <t>M</t>
  </si>
  <si>
    <t>L</t>
  </si>
  <si>
    <t>I</t>
  </si>
  <si>
    <t>J</t>
  </si>
  <si>
    <t>P</t>
  </si>
  <si>
    <t>Q</t>
  </si>
  <si>
    <t>S</t>
  </si>
  <si>
    <t>K</t>
  </si>
  <si>
    <t>H</t>
  </si>
  <si>
    <t>R</t>
  </si>
  <si>
    <t>O</t>
  </si>
  <si>
    <t>U</t>
  </si>
  <si>
    <t>T</t>
  </si>
  <si>
    <t>Template 5: Banking book - Climate change physical risk: Exposures subject to physical risk</t>
  </si>
  <si>
    <t xml:space="preserve">o </t>
  </si>
  <si>
    <t>Variable: Geographical area subject to climate change physical risk - acute and chronic events</t>
  </si>
  <si>
    <t>Gross carrying amount (Mln EUR)</t>
  </si>
  <si>
    <t>of which exposures sensitive to impact from climate change physical events</t>
  </si>
  <si>
    <t>Breakdown by maturity bucket</t>
  </si>
  <si>
    <t>of which exposures sensitive to impact from chronic climate change events</t>
  </si>
  <si>
    <t>of which exposures sensitive to impact from acute climate change events</t>
  </si>
  <si>
    <t>of which exposures sensitive to impact both from chronic and acute climate change events</t>
  </si>
  <si>
    <t>Of which Stage 2 exposures</t>
  </si>
  <si>
    <t>Of which non-performing exposures</t>
  </si>
  <si>
    <t>Accumulated impairment, accumulated negative changes in fair value due to credit risk and provisions</t>
  </si>
  <si>
    <t xml:space="preserve"> &lt;= 5 years</t>
  </si>
  <si>
    <t>&gt; 5 year &lt;= 10 years</t>
  </si>
  <si>
    <t>&gt; 10 year &lt;= 20 years</t>
  </si>
  <si>
    <t>&gt; 20 years</t>
  </si>
  <si>
    <t>Average weighted maturity</t>
  </si>
  <si>
    <t>of which Stage 2 exposures</t>
  </si>
  <si>
    <t>A - Agriculture, forestry and fishing</t>
  </si>
  <si>
    <t>B - Mining and quarrying</t>
  </si>
  <si>
    <t>C - Manufacturing</t>
  </si>
  <si>
    <t>D - Electricity, gas, steam and air conditioning supply</t>
  </si>
  <si>
    <t>E - Water supply; sewerage, waste management and remediation activities</t>
  </si>
  <si>
    <t>F - Construction</t>
  </si>
  <si>
    <t>G - Wholesale and retail trade; repair of motor vehicles and motorcycles</t>
  </si>
  <si>
    <t>H - Transportation and storage</t>
  </si>
  <si>
    <t>L - Real estate activities</t>
  </si>
  <si>
    <t>Loans collateralised by residential immovable property</t>
  </si>
  <si>
    <t>Loans collateralised by commercial immovable property</t>
  </si>
  <si>
    <t>Repossessed colalterals</t>
  </si>
  <si>
    <t>I - Accommodation and food service activities</t>
  </si>
  <si>
    <t>K - Financial and insurance activities</t>
  </si>
  <si>
    <t>J, M-U</t>
  </si>
  <si>
    <t>Exposures to other sectors (NACE codes J, M - U)</t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</si>
  <si>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"bu_esg_work.ag05_temp_cto_gra".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</si>
  <si>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5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"5.CC Physical risk".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</si>
  <si>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</si>
  <si>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"5.CC Physical risk"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</si>
  <si>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Geração de informação através da corrida dos </t>
    </r>
    <r>
      <rPr>
        <i/>
        <sz val="9"/>
        <color theme="1"/>
        <rFont val="Calibri"/>
        <family val="2"/>
        <scheme val="minor"/>
      </rPr>
      <t>scripts</t>
    </r>
    <r>
      <rPr>
        <sz val="9"/>
        <color theme="1"/>
        <rFont val="Calibri"/>
        <family val="2"/>
        <scheme val="minor"/>
      </rPr>
      <t xml:space="preserve">: "BS_Geracao Template 5 Granular_v2.0.sql" e </t>
    </r>
    <r>
      <rPr>
        <i/>
        <sz val="9"/>
        <color theme="1"/>
        <rFont val="Calibri"/>
        <family val="2"/>
        <scheme val="minor"/>
      </rPr>
      <t>"BS_Geracao Template 5 Agregado_v2.0.sql".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</si>
</sst>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_-* #,##0.0_-;\-* #,##0.0_-;_-* &quot;-&quot;??_-;_-@_-"/>
    <numFmt numFmtId="166" formatCode="_-* #,##0.000_-;\-* #,##0.000_-;_-* &quot;-&quot;??_-;_-@_-"/>
    <numFmt numFmtId="167" formatCode="_-* #,##0.0000_-;\-* #,##0.0000_-;_-* &quot;-&quot;??_-;_-@_-"/>
    <numFmt numFmtId="168" formatCode="_-* #,##0.00000_-;\-* #,##0.00000_-;_-* &quot;-&quot;??_-;_-@_-"/>
  </numFmts>
  <fonts count="28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sz val="10"/>
      <color rgb="FFFF0000"/>
      <name val="Calibri"/>
      <family val="2"/>
      <scheme val="minor"/>
    </font>
    <font>
      <sz val="10"/>
      <color theme="0"/>
      <name val="Calibri"/>
      <family val="2"/>
    </font>
    <font>
      <b/>
      <i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107">
    <xf numFmtId="0" fontId="0" fillId="0" borderId="0" xfId="0"/>
    <xf numFmtId="0" fontId="1" fillId="2" borderId="0" xfId="0" applyFont="1" applyFill="1"/>
    <xf numFmtId="0" fontId="2" fillId="2" borderId="0" xfId="0" applyFont="1" applyFill="1" applyAlignment="1">
      <alignment horizontal="left"/>
    </xf>
    <xf numFmtId="0" fontId="1" fillId="2" borderId="1" xfId="0" applyFont="1" applyFill="1" applyBorder="1" applyAlignment="1">
      <alignment vertical="center" wrapText="1"/>
    </xf>
    <xf numFmtId="0" fontId="0" fillId="3" borderId="0" xfId="0" applyFill="1"/>
    <xf numFmtId="0" fontId="8" fillId="3" borderId="0" xfId="0" applyFont="1" applyFill="1"/>
    <xf numFmtId="0" fontId="8" fillId="3" borderId="11" xfId="0" applyFont="1" applyFill="1" applyBorder="1"/>
    <xf numFmtId="0" fontId="8" fillId="0" borderId="0" xfId="0" applyFont="1"/>
    <xf numFmtId="0" fontId="7" fillId="5" borderId="22" xfId="0" applyFont="1" applyFill="1" applyBorder="1"/>
    <xf numFmtId="0" fontId="7" fillId="5" borderId="23" xfId="0" applyFont="1" applyFill="1" applyBorder="1"/>
    <xf numFmtId="4" fontId="7" fillId="5" borderId="22" xfId="0" applyNumberFormat="1" applyFont="1" applyFill="1" applyBorder="1"/>
    <xf numFmtId="0" fontId="18" fillId="0" borderId="0" xfId="0" applyFont="1"/>
    <xf numFmtId="0" fontId="17" fillId="0" borderId="0" xfId="0" applyFont="1"/>
    <xf numFmtId="0" fontId="6" fillId="0" borderId="0" xfId="0" applyFont="1" applyAlignment="1">
      <alignment vertical="center"/>
    </xf>
    <xf numFmtId="0" fontId="20" fillId="6" borderId="0" xfId="0" applyFont="1" applyFill="1" applyAlignment="1">
      <alignment horizontal="center" vertical="center" wrapText="1"/>
    </xf>
    <xf numFmtId="0" fontId="9" fillId="3" borderId="0" xfId="0" applyFont="1" applyFill="1"/>
    <xf numFmtId="0" fontId="9" fillId="0" borderId="0" xfId="0" applyFont="1"/>
    <xf numFmtId="0" fontId="9" fillId="0" borderId="0" xfId="0" applyFont="1" applyAlignment="1">
      <alignment horizontal="left" indent="1"/>
    </xf>
    <xf numFmtId="0" fontId="9" fillId="3" borderId="0" xfId="0" quotePrefix="1" applyFont="1" applyFill="1" applyAlignment="1">
      <alignment horizontal="left" indent="1"/>
    </xf>
    <xf numFmtId="0" fontId="23" fillId="5" borderId="24" xfId="0" applyFont="1" applyFill="1" applyBorder="1" applyAlignment="1">
      <alignment vertical="center"/>
    </xf>
    <xf numFmtId="0" fontId="7" fillId="5" borderId="24" xfId="0" applyFont="1" applyFill="1" applyBorder="1"/>
    <xf numFmtId="0" fontId="24" fillId="5" borderId="24" xfId="0" applyFont="1" applyFill="1" applyBorder="1"/>
    <xf numFmtId="0" fontId="13" fillId="3" borderId="0" xfId="0" applyFont="1" applyFill="1"/>
    <xf numFmtId="0" fontId="0" fillId="3" borderId="0" xfId="0" applyFill="1" applyProtection="1">
      <protection locked="0"/>
    </xf>
    <xf numFmtId="0" fontId="8" fillId="3" borderId="0" xfId="0" applyFont="1" applyFill="1" applyProtection="1">
      <protection locked="0"/>
    </xf>
    <xf numFmtId="0" fontId="8" fillId="3" borderId="11" xfId="0" applyFont="1" applyFill="1" applyBorder="1" applyProtection="1">
      <protection locked="0"/>
    </xf>
    <xf numFmtId="0" fontId="8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10" fillId="0" borderId="12" xfId="0" applyFont="1" applyBorder="1" applyProtection="1">
      <protection locked="0"/>
    </xf>
    <xf numFmtId="0" fontId="9" fillId="0" borderId="12" xfId="0" applyFont="1" applyBorder="1" applyProtection="1">
      <protection locked="0"/>
    </xf>
    <xf numFmtId="0" fontId="0" fillId="0" borderId="0" xfId="0" applyProtection="1">
      <protection locked="0"/>
    </xf>
    <xf numFmtId="0" fontId="11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9" fillId="3" borderId="13" xfId="0" applyFont="1" applyFill="1" applyBorder="1" applyProtection="1">
      <protection locked="0"/>
    </xf>
    <xf numFmtId="0" fontId="9" fillId="3" borderId="14" xfId="0" applyFont="1" applyFill="1" applyBorder="1" applyProtection="1">
      <protection locked="0"/>
    </xf>
    <xf numFmtId="0" fontId="9" fillId="3" borderId="15" xfId="0" applyFont="1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12" fillId="3" borderId="0" xfId="0" applyFont="1" applyFill="1" applyAlignment="1" applyProtection="1">
      <alignment horizontal="left"/>
      <protection locked="0"/>
    </xf>
    <xf numFmtId="0" fontId="7" fillId="3" borderId="0" xfId="0" applyFont="1" applyFill="1" applyAlignment="1" applyProtection="1">
      <alignment horizontal="centerContinuous"/>
      <protection locked="0"/>
    </xf>
    <xf numFmtId="14" fontId="12" fillId="4" borderId="17" xfId="0" applyNumberFormat="1" applyFont="1" applyFill="1" applyBorder="1" applyAlignment="1" applyProtection="1">
      <alignment horizontal="centerContinuous" wrapText="1"/>
      <protection locked="0"/>
    </xf>
    <xf numFmtId="0" fontId="0" fillId="3" borderId="18" xfId="0" applyFill="1" applyBorder="1" applyProtection="1">
      <protection locked="0"/>
    </xf>
    <xf numFmtId="0" fontId="3" fillId="3" borderId="0" xfId="0" applyFont="1" applyFill="1" applyProtection="1">
      <protection locked="0"/>
    </xf>
    <xf numFmtId="0" fontId="0" fillId="3" borderId="19" xfId="0" applyFill="1" applyBorder="1" applyProtection="1">
      <protection locked="0"/>
    </xf>
    <xf numFmtId="0" fontId="0" fillId="3" borderId="20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15" fillId="0" borderId="0" xfId="0" applyFont="1" applyAlignment="1" applyProtection="1">
      <alignment horizontal="centerContinuous"/>
      <protection locked="0"/>
    </xf>
    <xf numFmtId="0" fontId="0" fillId="3" borderId="18" xfId="0" applyFill="1" applyBorder="1"/>
    <xf numFmtId="0" fontId="3" fillId="2" borderId="0" xfId="0" applyFont="1" applyFill="1"/>
    <xf numFmtId="0" fontId="3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2" borderId="3" xfId="0" applyFont="1" applyFill="1" applyBorder="1" applyAlignment="1">
      <alignment vertical="center" wrapText="1"/>
    </xf>
    <xf numFmtId="0" fontId="1" fillId="2" borderId="0" xfId="0" applyFont="1" applyFill="1" applyAlignment="1">
      <alignment horizontal="left"/>
    </xf>
    <xf numFmtId="0" fontId="1" fillId="0" borderId="9" xfId="0" applyFont="1" applyBorder="1" applyAlignment="1">
      <alignment horizontal="center" vertical="center" wrapText="1"/>
    </xf>
    <xf numFmtId="0" fontId="25" fillId="2" borderId="8" xfId="0" applyFont="1" applyFill="1" applyBorder="1"/>
    <xf numFmtId="0" fontId="1" fillId="0" borderId="2" xfId="0" applyFont="1" applyBorder="1" applyAlignment="1">
      <alignment vertical="center" wrapText="1"/>
    </xf>
    <xf numFmtId="0" fontId="4" fillId="0" borderId="0" xfId="0" applyFont="1"/>
    <xf numFmtId="0" fontId="16" fillId="0" borderId="0" xfId="0" applyFont="1"/>
    <xf numFmtId="0" fontId="3" fillId="2" borderId="2" xfId="0" applyFont="1" applyFill="1" applyBorder="1"/>
    <xf numFmtId="0" fontId="3" fillId="2" borderId="2" xfId="0" applyFont="1" applyFill="1" applyBorder="1" applyAlignment="1">
      <alignment vertical="center"/>
    </xf>
    <xf numFmtId="0" fontId="3" fillId="0" borderId="0" xfId="0" applyFont="1"/>
    <xf numFmtId="0" fontId="3" fillId="2" borderId="2" xfId="0" applyFont="1" applyFill="1" applyBorder="1" applyAlignment="1">
      <alignment vertical="top"/>
    </xf>
    <xf numFmtId="0" fontId="16" fillId="0" borderId="0" xfId="0" quotePrefix="1" applyFont="1"/>
    <xf numFmtId="0" fontId="16" fillId="2" borderId="0" xfId="0" applyFont="1" applyFill="1"/>
    <xf numFmtId="0" fontId="25" fillId="2" borderId="0" xfId="0" applyFont="1" applyFill="1"/>
    <xf numFmtId="0" fontId="25" fillId="0" borderId="0" xfId="0" applyFont="1"/>
    <xf numFmtId="164" fontId="16" fillId="0" borderId="0" xfId="1" applyNumberFormat="1" applyFont="1" applyFill="1" applyBorder="1" applyAlignment="1">
      <alignment vertical="center"/>
    </xf>
    <xf numFmtId="164" fontId="16" fillId="2" borderId="0" xfId="1" applyNumberFormat="1" applyFont="1" applyFill="1" applyBorder="1" applyAlignment="1">
      <alignment vertical="center"/>
    </xf>
    <xf numFmtId="0" fontId="26" fillId="0" borderId="0" xfId="0" applyFont="1"/>
    <xf numFmtId="3" fontId="1" fillId="2" borderId="0" xfId="0" applyNumberFormat="1" applyFont="1" applyFill="1"/>
    <xf numFmtId="164" fontId="1" fillId="0" borderId="0" xfId="1" applyNumberFormat="1" applyFont="1" applyFill="1" applyBorder="1" applyAlignment="1">
      <alignment vertical="center" wrapText="1"/>
    </xf>
    <xf numFmtId="164" fontId="1" fillId="0" borderId="0" xfId="1" applyNumberFormat="1" applyFont="1" applyFill="1" applyBorder="1" applyAlignment="1">
      <alignment vertical="center"/>
    </xf>
    <xf numFmtId="164" fontId="1" fillId="2" borderId="0" xfId="1" applyNumberFormat="1" applyFont="1" applyFill="1" applyBorder="1" applyAlignment="1">
      <alignment vertical="center"/>
    </xf>
    <xf numFmtId="164" fontId="1" fillId="2" borderId="0" xfId="1" quotePrefix="1" applyNumberFormat="1" applyFont="1" applyFill="1" applyBorder="1" applyAlignment="1">
      <alignment vertical="center"/>
    </xf>
    <xf numFmtId="4" fontId="3" fillId="2" borderId="0" xfId="0" applyNumberFormat="1" applyFont="1" applyFill="1"/>
    <xf numFmtId="164" fontId="3" fillId="2" borderId="0" xfId="1" applyNumberFormat="1" applyFont="1" applyFill="1" applyBorder="1" applyAlignment="1">
      <alignment vertical="center"/>
    </xf>
    <xf numFmtId="164" fontId="3" fillId="2" borderId="0" xfId="1" quotePrefix="1" applyNumberFormat="1" applyFont="1" applyFill="1" applyBorder="1" applyAlignment="1">
      <alignment vertical="center"/>
    </xf>
    <xf numFmtId="164" fontId="4" fillId="2" borderId="0" xfId="1" applyNumberFormat="1" applyFont="1" applyFill="1" applyBorder="1" applyAlignment="1">
      <alignment vertical="center"/>
    </xf>
    <xf numFmtId="164" fontId="3" fillId="2" borderId="0" xfId="1" quotePrefix="1" applyNumberFormat="1" applyFont="1" applyFill="1" applyBorder="1" applyAlignment="1">
      <alignment vertical="center" wrapText="1"/>
    </xf>
    <xf numFmtId="164" fontId="3" fillId="2" borderId="0" xfId="0" applyNumberFormat="1" applyFont="1" applyFill="1"/>
    <xf numFmtId="164" fontId="3" fillId="0" borderId="2" xfId="1" applyNumberFormat="1" applyFont="1" applyFill="1" applyBorder="1" applyAlignment="1">
      <alignment vertical="center"/>
    </xf>
    <xf numFmtId="164" fontId="3" fillId="0" borderId="0" xfId="1" applyNumberFormat="1" applyFont="1" applyFill="1" applyBorder="1" applyAlignment="1">
      <alignment vertical="center"/>
    </xf>
    <xf numFmtId="43" fontId="3" fillId="0" borderId="0" xfId="1" applyFont="1" applyFill="1" applyBorder="1" applyAlignment="1">
      <alignment vertical="center"/>
    </xf>
    <xf numFmtId="165" fontId="3" fillId="0" borderId="2" xfId="1" applyNumberFormat="1" applyFont="1" applyFill="1" applyBorder="1" applyAlignment="1">
      <alignment vertical="center"/>
    </xf>
    <xf numFmtId="166" fontId="3" fillId="0" borderId="0" xfId="1" applyNumberFormat="1" applyFont="1" applyFill="1" applyBorder="1" applyAlignment="1">
      <alignment vertical="center"/>
    </xf>
    <xf numFmtId="167" fontId="3" fillId="0" borderId="2" xfId="1" applyNumberFormat="1" applyFont="1" applyFill="1" applyBorder="1" applyAlignment="1">
      <alignment vertical="center"/>
    </xf>
    <xf numFmtId="168" fontId="3" fillId="0" borderId="0" xfId="1" applyNumberFormat="1" applyFont="1" applyFill="1" applyBorder="1" applyAlignment="1">
      <alignment vertical="center"/>
    </xf>
    <xf numFmtId="0" fontId="16" fillId="7" borderId="0" xfId="0" applyFont="1" applyFill="1" applyAlignment="1">
      <alignment horizontal="left" vertical="center" wrapText="1" indent="1"/>
    </xf>
    <xf numFmtId="0" fontId="9" fillId="3" borderId="0" xfId="0" applyFont="1" applyFill="1" applyAlignment="1">
      <alignment horizontal="left" vertical="center" indent="1"/>
    </xf>
    <xf numFmtId="0" fontId="16" fillId="5" borderId="0" xfId="0" applyFont="1" applyFill="1" applyAlignment="1">
      <alignment horizontal="left" vertical="center" wrapText="1" indent="1"/>
    </xf>
    <xf numFmtId="0" fontId="9" fillId="3" borderId="0" xfId="0" applyFont="1" applyFill="1" applyAlignment="1">
      <alignment horizontal="left" vertical="center" wrapText="1" inden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1" fillId="0" borderId="6" xfId="0" applyFont="1" applyBorder="1" applyAlignment="1">
      <alignment horizontal="center" wrapText="1"/>
    </xf>
  </cellXfs>
  <cellStyles count="2">
    <cellStyle name="Comma" xfId="1" builtinId="3"/>
    <cellStyle name="Normal" xfId="0" builtinId="0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9.png"/><Relationship Id="rId4" Type="http://schemas.openxmlformats.org/officeDocument/2006/relationships/image" Target="../media/image4.svg"/><Relationship Id="rId9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09050" y="1803400"/>
          <a:ext cx="1537815" cy="212957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6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62942" y="2578982"/>
          <a:ext cx="1544870" cy="135399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751924" y="1802816"/>
          <a:ext cx="1551220" cy="213016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343719" y="1794504"/>
          <a:ext cx="588458" cy="63739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7959" t="11172" r="14329" b="5667"/>
        <a:stretch/>
      </xdr:blipFill>
      <xdr:spPr>
        <a:xfrm>
          <a:off x="2356880" y="5349528"/>
          <a:ext cx="2381465" cy="4873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rgb="FFFF0000"/>
  </sheetPr>
  <dimension ref="A1:V62"/>
  <sheetViews>
    <sheetView showGridLines="0" zoomScaleNormal="100" workbookViewId="0">
      <pane ySplit="4" topLeftCell="A5" activePane="bottomLeft" state="frozen"/>
      <selection pane="bottomLeft"/>
    </sheetView>
  </sheetViews>
  <sheetFormatPr defaultColWidth="0" defaultRowHeight="14.65" customHeight="1" zeroHeight="1" x14ac:dyDescent="0.25"/>
  <cols>
    <col min="1" max="2" width="3.7109375" customWidth="1"/>
    <col min="3" max="4" width="7.7109375" customWidth="1"/>
    <col min="5" max="5" width="0.42578125" customWidth="1"/>
    <col min="6" max="6" width="7.7109375" customWidth="1"/>
    <col min="7" max="7" width="0.42578125" customWidth="1"/>
    <col min="8" max="20" width="10.7109375" customWidth="1"/>
    <col min="21" max="21" width="8.7109375" customWidth="1"/>
    <col min="22" max="22" width="3.7109375" customWidth="1"/>
  </cols>
  <sheetData>
    <row r="1" spans="1:22" ht="15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</row>
    <row r="2" spans="1:22" ht="15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spans="1:22" ht="15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spans="1:22" ht="15.75" thickBot="1" x14ac:dyDescent="0.3">
      <c r="A4" s="5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4"/>
    </row>
    <row r="5" spans="1:22" s="12" customFormat="1" ht="15.75" thickTop="1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</row>
    <row r="6" spans="1:22" ht="15" customHeight="1" x14ac:dyDescent="0.25">
      <c r="A6" s="7"/>
      <c r="B6" s="19" t="s">
        <v>116</v>
      </c>
      <c r="C6" s="20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7"/>
    </row>
    <row r="7" spans="1:22" ht="7.9" customHeight="1" x14ac:dyDescent="0.25">
      <c r="A7" s="7"/>
      <c r="B7" s="13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</row>
    <row r="8" spans="1:22" s="12" customFormat="1" ht="15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</row>
    <row r="9" spans="1:22" ht="15" x14ac:dyDescent="0.25"/>
    <row r="10" spans="1:22" ht="15" x14ac:dyDescent="0.25"/>
    <row r="11" spans="1:22" ht="15" x14ac:dyDescent="0.25"/>
    <row r="12" spans="1:22" ht="15" x14ac:dyDescent="0.25"/>
    <row r="13" spans="1:22" ht="15" x14ac:dyDescent="0.25"/>
    <row r="14" spans="1:22" ht="15" x14ac:dyDescent="0.25"/>
    <row r="15" spans="1:22" ht="15" x14ac:dyDescent="0.25"/>
    <row r="16" spans="1:22" ht="15" x14ac:dyDescent="0.25"/>
    <row r="17" spans="2:20" ht="15" x14ac:dyDescent="0.25"/>
    <row r="18" spans="2:20" ht="15" x14ac:dyDescent="0.25"/>
    <row r="19" spans="2:20" ht="15" x14ac:dyDescent="0.25"/>
    <row r="20" spans="2:20" ht="15" x14ac:dyDescent="0.25"/>
    <row r="21" spans="2:20" ht="15" x14ac:dyDescent="0.25"/>
    <row r="22" spans="2:20" ht="15" x14ac:dyDescent="0.25"/>
    <row r="23" spans="2:20" ht="15" x14ac:dyDescent="0.25"/>
    <row r="24" spans="2:20" ht="13.15" customHeight="1" x14ac:dyDescent="0.25">
      <c r="B24" s="89" t="s">
        <v>30</v>
      </c>
      <c r="C24" s="89"/>
      <c r="D24" s="89"/>
      <c r="E24" s="14"/>
      <c r="F24" s="90" t="s">
        <v>118</v>
      </c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15"/>
      <c r="R24" s="15"/>
      <c r="S24" s="15"/>
      <c r="T24" s="15"/>
    </row>
    <row r="25" spans="2:20" ht="13.15" customHeight="1" x14ac:dyDescent="0.25">
      <c r="B25" s="89"/>
      <c r="C25" s="89"/>
      <c r="D25" s="89"/>
      <c r="E25" s="14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15"/>
      <c r="R25" s="15"/>
      <c r="S25" s="15"/>
      <c r="T25" s="15"/>
    </row>
    <row r="26" spans="2:20" ht="7.9" customHeight="1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</row>
    <row r="27" spans="2:20" ht="12" customHeight="1" x14ac:dyDescent="0.25">
      <c r="B27" s="16"/>
      <c r="C27" s="87" t="s">
        <v>31</v>
      </c>
      <c r="D27" s="87"/>
      <c r="E27" s="87"/>
      <c r="F27" s="87"/>
      <c r="G27" s="14"/>
      <c r="H27" s="88" t="s">
        <v>114</v>
      </c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</row>
    <row r="28" spans="2:20" ht="12" customHeight="1" x14ac:dyDescent="0.25">
      <c r="B28" s="16"/>
      <c r="C28" s="87"/>
      <c r="D28" s="87"/>
      <c r="E28" s="87"/>
      <c r="F28" s="87"/>
      <c r="G28" s="14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</row>
    <row r="29" spans="2:20" ht="3" customHeight="1" x14ac:dyDescent="0.25">
      <c r="B29" s="16"/>
      <c r="C29" s="17"/>
      <c r="D29" s="17"/>
      <c r="E29" s="17"/>
      <c r="F29" s="17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</row>
    <row r="30" spans="2:20" ht="12" customHeight="1" x14ac:dyDescent="0.25">
      <c r="B30" s="16"/>
      <c r="C30" s="87" t="s">
        <v>32</v>
      </c>
      <c r="D30" s="87"/>
      <c r="E30" s="87"/>
      <c r="F30" s="87"/>
      <c r="G30" s="14"/>
      <c r="H30" s="18" t="s">
        <v>50</v>
      </c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</row>
    <row r="31" spans="2:20" ht="12" customHeight="1" x14ac:dyDescent="0.25">
      <c r="B31" s="16"/>
      <c r="C31" s="87"/>
      <c r="D31" s="87"/>
      <c r="E31" s="87"/>
      <c r="F31" s="87"/>
      <c r="G31" s="14"/>
      <c r="H31" s="18" t="s">
        <v>33</v>
      </c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</row>
    <row r="32" spans="2:20" ht="12" customHeight="1" x14ac:dyDescent="0.25">
      <c r="B32" s="16"/>
      <c r="C32" s="87"/>
      <c r="D32" s="87"/>
      <c r="E32" s="87"/>
      <c r="F32" s="87"/>
      <c r="G32" s="14"/>
      <c r="H32" s="18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</row>
    <row r="33" spans="2:20" ht="12" customHeight="1" x14ac:dyDescent="0.25">
      <c r="B33" s="16"/>
      <c r="C33" s="87"/>
      <c r="D33" s="87"/>
      <c r="E33" s="87"/>
      <c r="F33" s="87"/>
      <c r="G33" s="14"/>
      <c r="H33" s="18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</row>
    <row r="34" spans="2:20" ht="12" customHeight="1" x14ac:dyDescent="0.25">
      <c r="B34" s="16"/>
      <c r="C34" s="87"/>
      <c r="D34" s="87"/>
      <c r="E34" s="87"/>
      <c r="F34" s="87"/>
      <c r="G34" s="14"/>
      <c r="H34" s="18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</row>
    <row r="35" spans="2:20" ht="12" customHeight="1" x14ac:dyDescent="0.25">
      <c r="B35" s="16"/>
      <c r="C35" s="87"/>
      <c r="D35" s="87"/>
      <c r="E35" s="87"/>
      <c r="F35" s="87"/>
      <c r="G35" s="14"/>
      <c r="H35" s="18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</row>
    <row r="36" spans="2:20" ht="12" customHeight="1" x14ac:dyDescent="0.25">
      <c r="B36" s="16"/>
      <c r="C36" s="87"/>
      <c r="D36" s="87"/>
      <c r="E36" s="87"/>
      <c r="F36" s="87"/>
      <c r="G36" s="14"/>
      <c r="H36" s="18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</row>
    <row r="37" spans="2:20" ht="3" customHeight="1" x14ac:dyDescent="0.25"/>
    <row r="38" spans="2:20" ht="12" customHeight="1" x14ac:dyDescent="0.25">
      <c r="B38" s="16"/>
      <c r="C38" s="87" t="s">
        <v>34</v>
      </c>
      <c r="D38" s="87"/>
      <c r="E38" s="87"/>
      <c r="F38" s="87"/>
      <c r="G38" s="14"/>
      <c r="H38" s="18" t="s">
        <v>35</v>
      </c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</row>
    <row r="39" spans="2:20" ht="12" customHeight="1" x14ac:dyDescent="0.25">
      <c r="B39" s="16"/>
      <c r="C39" s="87"/>
      <c r="D39" s="87"/>
      <c r="E39" s="87"/>
      <c r="F39" s="87"/>
      <c r="G39" s="14"/>
      <c r="H39" s="18" t="s">
        <v>36</v>
      </c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</row>
    <row r="40" spans="2:20" ht="3" customHeight="1" x14ac:dyDescent="0.25"/>
    <row r="41" spans="2:20" ht="12" customHeight="1" x14ac:dyDescent="0.25">
      <c r="B41" s="16"/>
      <c r="C41" s="87" t="s">
        <v>37</v>
      </c>
      <c r="D41" s="87"/>
      <c r="E41" s="87"/>
      <c r="F41" s="87"/>
      <c r="G41" s="14"/>
      <c r="H41" s="18" t="s">
        <v>38</v>
      </c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</row>
    <row r="42" spans="2:20" ht="12" customHeight="1" x14ac:dyDescent="0.25">
      <c r="B42" s="16"/>
      <c r="C42" s="87"/>
      <c r="D42" s="87"/>
      <c r="E42" s="87"/>
      <c r="F42" s="87"/>
      <c r="G42" s="14"/>
      <c r="H42" s="18" t="s">
        <v>39</v>
      </c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</row>
    <row r="43" spans="2:20" ht="10.15" customHeight="1" x14ac:dyDescent="0.25"/>
    <row r="44" spans="2:20" ht="13.15" customHeight="1" x14ac:dyDescent="0.25">
      <c r="B44" s="89" t="s">
        <v>40</v>
      </c>
      <c r="C44" s="89"/>
      <c r="D44" s="89"/>
      <c r="E44" s="14"/>
      <c r="F44" s="90" t="s">
        <v>47</v>
      </c>
      <c r="G44" s="90"/>
      <c r="H44" s="90"/>
      <c r="I44" s="90"/>
      <c r="J44" s="90"/>
      <c r="K44" s="90"/>
      <c r="L44" s="90"/>
      <c r="M44" s="90"/>
      <c r="N44" s="90"/>
      <c r="O44" s="90"/>
      <c r="P44" s="90"/>
      <c r="Q44" s="15"/>
      <c r="R44" s="15"/>
      <c r="S44" s="15"/>
      <c r="T44" s="15"/>
    </row>
    <row r="45" spans="2:20" ht="13.15" customHeight="1" x14ac:dyDescent="0.25">
      <c r="B45" s="89"/>
      <c r="C45" s="89"/>
      <c r="D45" s="89"/>
      <c r="E45" s="14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15"/>
      <c r="R45" s="15"/>
      <c r="S45" s="15"/>
      <c r="T45" s="15"/>
    </row>
    <row r="46" spans="2:20" ht="7.9" customHeight="1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</row>
    <row r="47" spans="2:20" ht="12" customHeight="1" x14ac:dyDescent="0.25">
      <c r="B47" s="16"/>
      <c r="C47" s="87" t="s">
        <v>41</v>
      </c>
      <c r="D47" s="87"/>
      <c r="E47" s="87"/>
      <c r="F47" s="87"/>
      <c r="G47" s="14"/>
      <c r="H47" s="88" t="s">
        <v>42</v>
      </c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</row>
    <row r="48" spans="2:20" ht="12" customHeight="1" x14ac:dyDescent="0.25">
      <c r="B48" s="16"/>
      <c r="C48" s="87"/>
      <c r="D48" s="87"/>
      <c r="E48" s="87"/>
      <c r="F48" s="87"/>
      <c r="G48" s="14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</row>
    <row r="49" spans="2:20" ht="3" customHeight="1" x14ac:dyDescent="0.25"/>
    <row r="50" spans="2:20" ht="12" customHeight="1" x14ac:dyDescent="0.25">
      <c r="B50" s="16"/>
      <c r="C50" s="87" t="s">
        <v>43</v>
      </c>
      <c r="D50" s="87"/>
      <c r="E50" s="87"/>
      <c r="F50" s="87"/>
      <c r="G50" s="14"/>
      <c r="H50" s="88" t="s">
        <v>48</v>
      </c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</row>
    <row r="51" spans="2:20" ht="12" customHeight="1" x14ac:dyDescent="0.25">
      <c r="B51" s="16"/>
      <c r="C51" s="87"/>
      <c r="D51" s="87"/>
      <c r="E51" s="87"/>
      <c r="F51" s="87"/>
      <c r="G51" s="14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</row>
    <row r="52" spans="2:20" ht="3" customHeight="1" x14ac:dyDescent="0.25"/>
    <row r="53" spans="2:20" ht="12" customHeight="1" x14ac:dyDescent="0.25">
      <c r="B53" s="16"/>
      <c r="C53" s="87" t="s">
        <v>44</v>
      </c>
      <c r="D53" s="87"/>
      <c r="E53" s="87"/>
      <c r="F53" s="87"/>
      <c r="G53" s="14"/>
      <c r="H53" s="88" t="s">
        <v>49</v>
      </c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</row>
    <row r="54" spans="2:20" ht="12" customHeight="1" x14ac:dyDescent="0.25">
      <c r="B54" s="16"/>
      <c r="C54" s="87"/>
      <c r="D54" s="87"/>
      <c r="E54" s="87"/>
      <c r="F54" s="87"/>
      <c r="G54" s="14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</row>
    <row r="55" spans="2:20" ht="3" customHeight="1" x14ac:dyDescent="0.25"/>
    <row r="56" spans="2:20" ht="12" customHeight="1" x14ac:dyDescent="0.25">
      <c r="B56" s="16"/>
      <c r="C56" s="87" t="s">
        <v>45</v>
      </c>
      <c r="D56" s="87"/>
      <c r="E56" s="87"/>
      <c r="F56" s="87"/>
      <c r="G56" s="14"/>
      <c r="H56" s="88" t="s">
        <v>115</v>
      </c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</row>
    <row r="57" spans="2:20" ht="12" customHeight="1" x14ac:dyDescent="0.25">
      <c r="B57" s="16"/>
      <c r="C57" s="87"/>
      <c r="D57" s="87"/>
      <c r="E57" s="87"/>
      <c r="F57" s="87"/>
      <c r="G57" s="14"/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</row>
    <row r="58" spans="2:20" ht="10.15" customHeight="1" x14ac:dyDescent="0.25"/>
    <row r="59" spans="2:20" ht="13.15" customHeight="1" x14ac:dyDescent="0.25">
      <c r="B59" s="89" t="s">
        <v>46</v>
      </c>
      <c r="C59" s="89"/>
      <c r="D59" s="89"/>
      <c r="E59" s="14"/>
      <c r="F59" s="90" t="s">
        <v>117</v>
      </c>
      <c r="G59" s="90"/>
      <c r="H59" s="90"/>
      <c r="I59" s="90"/>
      <c r="J59" s="90"/>
      <c r="K59" s="90"/>
      <c r="L59" s="90"/>
      <c r="M59" s="90"/>
      <c r="N59" s="90"/>
      <c r="O59" s="90"/>
      <c r="P59" s="90"/>
      <c r="Q59" s="15"/>
      <c r="R59" s="15"/>
      <c r="S59" s="15"/>
      <c r="T59" s="15"/>
    </row>
    <row r="60" spans="2:20" ht="13.15" customHeight="1" x14ac:dyDescent="0.25">
      <c r="B60" s="89"/>
      <c r="C60" s="89"/>
      <c r="D60" s="89"/>
      <c r="E60" s="14"/>
      <c r="F60" s="90"/>
      <c r="G60" s="90"/>
      <c r="H60" s="90"/>
      <c r="I60" s="90"/>
      <c r="J60" s="90"/>
      <c r="K60" s="90"/>
      <c r="L60" s="90"/>
      <c r="M60" s="90"/>
      <c r="N60" s="90"/>
      <c r="O60" s="90"/>
      <c r="P60" s="90"/>
      <c r="Q60" s="15"/>
      <c r="R60" s="15"/>
      <c r="S60" s="15"/>
      <c r="T60" s="15"/>
    </row>
    <row r="61" spans="2:20" ht="15" x14ac:dyDescent="0.25"/>
    <row r="62" spans="2:20" ht="15" hidden="1" x14ac:dyDescent="0.25"/>
  </sheetData>
  <mergeCells count="19">
    <mergeCell ref="C53:F54"/>
    <mergeCell ref="H53:T54"/>
    <mergeCell ref="C56:F57"/>
    <mergeCell ref="H56:T57"/>
    <mergeCell ref="B59:D60"/>
    <mergeCell ref="F59:P60"/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/>
    </sheetView>
  </sheetViews>
  <sheetFormatPr defaultColWidth="0" defaultRowHeight="0" customHeight="1" zeroHeight="1" x14ac:dyDescent="0.25"/>
  <cols>
    <col min="1" max="2" width="3.7109375" style="30" customWidth="1"/>
    <col min="3" max="4" width="10.7109375" style="30" customWidth="1"/>
    <col min="5" max="5" width="5.7109375" style="30" customWidth="1"/>
    <col min="6" max="6" width="10.7109375" style="30" customWidth="1"/>
    <col min="7" max="7" width="8.7109375" style="30" customWidth="1"/>
    <col min="8" max="8" width="3.7109375" style="30" customWidth="1"/>
    <col min="9" max="13" width="10.7109375" style="30" hidden="1" customWidth="1"/>
    <col min="14" max="16384" width="8.7109375" style="30" hidden="1"/>
  </cols>
  <sheetData>
    <row r="1" spans="1:8" s="23" customFormat="1" ht="15" x14ac:dyDescent="0.25"/>
    <row r="2" spans="1:8" s="23" customFormat="1" ht="4.9000000000000004" customHeight="1" x14ac:dyDescent="0.25"/>
    <row r="3" spans="1:8" s="23" customFormat="1" ht="15" x14ac:dyDescent="0.25"/>
    <row r="4" spans="1:8" s="23" customFormat="1" ht="4.9000000000000004" customHeight="1" thickBot="1" x14ac:dyDescent="0.3">
      <c r="A4" s="24"/>
      <c r="B4" s="25"/>
      <c r="C4" s="25"/>
      <c r="D4" s="25"/>
      <c r="E4" s="25"/>
      <c r="F4" s="25"/>
      <c r="G4" s="25"/>
    </row>
    <row r="5" spans="1:8" s="23" customFormat="1" ht="7.9" customHeight="1" thickTop="1" x14ac:dyDescent="0.25">
      <c r="A5" s="26"/>
      <c r="B5" s="26"/>
      <c r="C5" s="26"/>
      <c r="D5" s="26"/>
      <c r="E5" s="26"/>
      <c r="F5" s="26"/>
      <c r="G5" s="26"/>
      <c r="H5" s="26"/>
    </row>
    <row r="6" spans="1:8" s="31" customFormat="1" ht="15" x14ac:dyDescent="0.25">
      <c r="A6" s="27"/>
      <c r="B6" s="28" t="s">
        <v>26</v>
      </c>
      <c r="C6" s="29"/>
      <c r="D6" s="29"/>
      <c r="E6" s="29"/>
      <c r="F6" s="29"/>
      <c r="G6" s="29"/>
      <c r="H6" s="30"/>
    </row>
    <row r="7" spans="1:8" s="31" customFormat="1" ht="4.1500000000000004" customHeight="1" x14ac:dyDescent="0.25">
      <c r="A7" s="27"/>
      <c r="B7" s="32"/>
      <c r="C7" s="27"/>
      <c r="D7" s="27"/>
      <c r="E7" s="27"/>
      <c r="F7" s="27"/>
      <c r="G7" s="27"/>
      <c r="H7" s="30"/>
    </row>
    <row r="8" spans="1:8" s="31" customFormat="1" ht="7.9" customHeight="1" x14ac:dyDescent="0.25">
      <c r="A8" s="27"/>
      <c r="B8" s="33"/>
      <c r="C8" s="34"/>
      <c r="D8" s="34"/>
      <c r="E8" s="34"/>
      <c r="F8" s="34"/>
      <c r="G8" s="35"/>
      <c r="H8" s="30"/>
    </row>
    <row r="9" spans="1:8" s="31" customFormat="1" ht="15" x14ac:dyDescent="0.25">
      <c r="A9" s="30"/>
      <c r="B9" s="36"/>
      <c r="C9" s="37" t="s">
        <v>27</v>
      </c>
      <c r="D9" s="37"/>
      <c r="E9" s="38"/>
      <c r="F9" s="39">
        <v>45838</v>
      </c>
      <c r="G9" s="40"/>
      <c r="H9" s="30"/>
    </row>
    <row r="10" spans="1:8" s="31" customFormat="1" ht="7.9" customHeight="1" x14ac:dyDescent="0.25">
      <c r="A10" s="30"/>
      <c r="B10" s="36"/>
      <c r="C10" s="41"/>
      <c r="D10" s="41"/>
      <c r="E10" s="4"/>
      <c r="F10" s="22" t="str">
        <f>YEAR(F9)&amp;"-"&amp;TEXT(MONTH(F9),"00")&amp;"-"&amp;TEXT(DAY(F9),"00")</f>
        <v>2025-06-30</v>
      </c>
      <c r="G10" s="46"/>
      <c r="H10" s="30"/>
    </row>
    <row r="11" spans="1:8" s="31" customFormat="1" ht="7.9" customHeight="1" x14ac:dyDescent="0.25">
      <c r="A11" s="30"/>
      <c r="B11" s="36"/>
      <c r="C11" s="23"/>
      <c r="D11" s="23"/>
      <c r="E11" s="23"/>
      <c r="F11" s="23"/>
      <c r="G11" s="40"/>
      <c r="H11" s="30"/>
    </row>
    <row r="12" spans="1:8" s="31" customFormat="1" ht="15" x14ac:dyDescent="0.25">
      <c r="A12" s="30"/>
      <c r="B12" s="36"/>
      <c r="C12" s="37" t="s">
        <v>28</v>
      </c>
      <c r="D12" s="37"/>
      <c r="E12" s="38"/>
      <c r="F12" s="38"/>
      <c r="G12" s="40"/>
      <c r="H12" s="30"/>
    </row>
    <row r="13" spans="1:8" s="31" customFormat="1" ht="7.9" customHeight="1" x14ac:dyDescent="0.25">
      <c r="A13" s="30"/>
      <c r="B13" s="36"/>
      <c r="C13" s="23"/>
      <c r="D13" s="23"/>
      <c r="E13" s="23"/>
      <c r="F13" s="23"/>
      <c r="G13" s="40"/>
      <c r="H13" s="30"/>
    </row>
    <row r="14" spans="1:8" s="31" customFormat="1" ht="7.9" customHeight="1" x14ac:dyDescent="0.25">
      <c r="A14" s="30"/>
      <c r="B14" s="36"/>
      <c r="C14" s="23"/>
      <c r="D14" s="23"/>
      <c r="E14" s="23"/>
      <c r="F14" s="23"/>
      <c r="G14" s="40"/>
      <c r="H14" s="30"/>
    </row>
    <row r="15" spans="1:8" s="31" customFormat="1" ht="15" x14ac:dyDescent="0.25">
      <c r="A15" s="30"/>
      <c r="B15" s="36"/>
      <c r="C15" s="37" t="s">
        <v>29</v>
      </c>
      <c r="D15" s="37"/>
      <c r="E15" s="38"/>
      <c r="F15" s="38"/>
      <c r="G15" s="40"/>
      <c r="H15" s="30"/>
    </row>
    <row r="16" spans="1:8" s="31" customFormat="1" ht="7.9" customHeight="1" x14ac:dyDescent="0.25">
      <c r="A16" s="30"/>
      <c r="B16" s="36"/>
      <c r="C16" s="23"/>
      <c r="D16" s="23"/>
      <c r="E16" s="23"/>
      <c r="F16" s="23"/>
      <c r="G16" s="40"/>
      <c r="H16" s="30"/>
    </row>
    <row r="17" spans="1:8" s="31" customFormat="1" ht="7.9" customHeight="1" x14ac:dyDescent="0.25">
      <c r="A17" s="30"/>
      <c r="B17" s="42"/>
      <c r="C17" s="43"/>
      <c r="D17" s="43"/>
      <c r="E17" s="43"/>
      <c r="F17" s="43"/>
      <c r="G17" s="44"/>
      <c r="H17" s="30"/>
    </row>
    <row r="18" spans="1:8" s="31" customFormat="1" ht="15" x14ac:dyDescent="0.25">
      <c r="A18" s="30"/>
      <c r="B18" s="30"/>
      <c r="C18" s="30"/>
      <c r="D18" s="30"/>
      <c r="E18" s="30"/>
      <c r="F18" s="30"/>
      <c r="G18" s="30"/>
      <c r="H18" s="30"/>
    </row>
    <row r="19" spans="1:8" ht="15" hidden="1" x14ac:dyDescent="0.25"/>
    <row r="20" spans="1:8" ht="15" hidden="1" x14ac:dyDescent="0.25"/>
    <row r="21" spans="1:8" ht="15" hidden="1" x14ac:dyDescent="0.25"/>
    <row r="22" spans="1:8" ht="15" hidden="1" x14ac:dyDescent="0.25">
      <c r="F22" s="45"/>
      <c r="G22" s="45"/>
    </row>
    <row r="23" spans="1:8" ht="15" hidden="1" x14ac:dyDescent="0.25"/>
    <row r="24" spans="1:8" ht="15" hidden="1" x14ac:dyDescent="0.25"/>
    <row r="25" spans="1:8" ht="15" hidden="1" x14ac:dyDescent="0.25"/>
    <row r="26" spans="1:8" ht="15" hidden="1" x14ac:dyDescent="0.25"/>
    <row r="27" spans="1:8" ht="15" hidden="1" x14ac:dyDescent="0.25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O6"/>
  <sheetViews>
    <sheetView showGridLines="0" tabSelected="1" workbookViewId="0">
      <pane ySplit="4" topLeftCell="A5" activePane="bottomLeft" state="frozen"/>
      <selection pane="bottomLeft" activeCell="F18" sqref="F18"/>
    </sheetView>
  </sheetViews>
  <sheetFormatPr defaultColWidth="0" defaultRowHeight="15" x14ac:dyDescent="0.25"/>
  <cols>
    <col min="1" max="2" width="3.7109375" customWidth="1"/>
    <col min="3" max="3" width="16" customWidth="1"/>
    <col min="4" max="4" width="10.5703125" customWidth="1"/>
    <col min="5" max="5" width="10.28515625" customWidth="1"/>
    <col min="6" max="12" width="14.7109375" customWidth="1"/>
    <col min="13" max="13" width="15.85546875" bestFit="1" customWidth="1"/>
    <col min="14" max="15" width="3.7109375" customWidth="1"/>
    <col min="16" max="16384" width="8.7109375" hidden="1"/>
  </cols>
  <sheetData>
    <row r="1" spans="1:15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</row>
    <row r="2" spans="1:15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ht="15.75" thickBot="1" x14ac:dyDescent="0.3">
      <c r="A4" s="5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4"/>
    </row>
    <row r="5" spans="1:15" ht="15.75" thickTop="1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</row>
    <row r="6" spans="1:15" x14ac:dyDescent="0.25">
      <c r="C6" s="8" t="s">
        <v>51</v>
      </c>
      <c r="D6" s="9" t="s">
        <v>52</v>
      </c>
      <c r="E6" s="8" t="s">
        <v>53</v>
      </c>
      <c r="F6" s="9" t="s">
        <v>21</v>
      </c>
      <c r="G6" s="8" t="s">
        <v>54</v>
      </c>
      <c r="H6" s="8" t="s">
        <v>55</v>
      </c>
      <c r="I6" s="8" t="s">
        <v>56</v>
      </c>
      <c r="J6" s="8" t="s">
        <v>57</v>
      </c>
      <c r="K6" s="8" t="s">
        <v>58</v>
      </c>
      <c r="L6" s="10" t="s">
        <v>22</v>
      </c>
      <c r="M6" s="9" t="s">
        <v>59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 tint="-0.499984740745262"/>
  </sheetPr>
  <dimension ref="A1:S54"/>
  <sheetViews>
    <sheetView showGridLines="0" zoomScale="90" zoomScaleNormal="90" workbookViewId="0"/>
  </sheetViews>
  <sheetFormatPr defaultColWidth="8.85546875" defaultRowHeight="12.75" x14ac:dyDescent="0.2"/>
  <cols>
    <col min="1" max="1" width="3.85546875" style="47" customWidth="1"/>
    <col min="2" max="2" width="3.42578125" style="47" customWidth="1"/>
    <col min="3" max="3" width="75.5703125" style="47" customWidth="1"/>
    <col min="4" max="4" width="17" style="47" customWidth="1"/>
    <col min="5" max="5" width="16.42578125" style="47" bestFit="1" customWidth="1"/>
    <col min="6" max="11" width="16" style="47" customWidth="1"/>
    <col min="12" max="12" width="17.5703125" style="47" customWidth="1"/>
    <col min="13" max="13" width="14.140625" style="47" bestFit="1" customWidth="1"/>
    <col min="14" max="14" width="14.85546875" style="47" customWidth="1"/>
    <col min="15" max="17" width="13.5703125" style="47" bestFit="1" customWidth="1"/>
    <col min="18" max="16384" width="8.85546875" style="47"/>
  </cols>
  <sheetData>
    <row r="1" spans="1:19" ht="15" x14ac:dyDescent="0.25">
      <c r="C1" s="2" t="s">
        <v>80</v>
      </c>
    </row>
    <row r="4" spans="1:19" x14ac:dyDescent="0.2">
      <c r="C4" s="48" t="s">
        <v>0</v>
      </c>
      <c r="D4" s="49" t="s">
        <v>1</v>
      </c>
      <c r="E4" s="49" t="s">
        <v>2</v>
      </c>
      <c r="F4" s="49" t="s">
        <v>3</v>
      </c>
      <c r="G4" s="49" t="s">
        <v>4</v>
      </c>
      <c r="H4" s="49" t="s">
        <v>5</v>
      </c>
      <c r="I4" s="49" t="s">
        <v>6</v>
      </c>
      <c r="J4" s="49" t="s">
        <v>7</v>
      </c>
      <c r="K4" s="49" t="s">
        <v>8</v>
      </c>
      <c r="L4" s="49" t="s">
        <v>9</v>
      </c>
      <c r="M4" s="49" t="s">
        <v>10</v>
      </c>
      <c r="N4" s="50" t="s">
        <v>11</v>
      </c>
      <c r="O4" s="50" t="s">
        <v>19</v>
      </c>
      <c r="P4" s="50" t="s">
        <v>20</v>
      </c>
      <c r="Q4" s="50" t="s">
        <v>81</v>
      </c>
    </row>
    <row r="5" spans="1:19" x14ac:dyDescent="0.2">
      <c r="C5" s="91" t="s">
        <v>82</v>
      </c>
      <c r="D5" s="94" t="s">
        <v>83</v>
      </c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6"/>
    </row>
    <row r="6" spans="1:19" ht="32.25" customHeight="1" x14ac:dyDescent="0.2">
      <c r="C6" s="92"/>
      <c r="D6" s="51"/>
      <c r="E6" s="97" t="s">
        <v>84</v>
      </c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9"/>
    </row>
    <row r="7" spans="1:19" ht="52.5" customHeight="1" x14ac:dyDescent="0.2">
      <c r="C7" s="92"/>
      <c r="D7" s="51"/>
      <c r="E7" s="97" t="s">
        <v>85</v>
      </c>
      <c r="F7" s="98"/>
      <c r="G7" s="98"/>
      <c r="H7" s="98"/>
      <c r="I7" s="99"/>
      <c r="J7" s="100" t="s">
        <v>86</v>
      </c>
      <c r="K7" s="100" t="s">
        <v>87</v>
      </c>
      <c r="L7" s="102" t="s">
        <v>88</v>
      </c>
      <c r="M7" s="91" t="s">
        <v>89</v>
      </c>
      <c r="N7" s="91" t="s">
        <v>90</v>
      </c>
      <c r="O7" s="104" t="s">
        <v>91</v>
      </c>
      <c r="P7" s="105"/>
      <c r="Q7" s="106"/>
    </row>
    <row r="8" spans="1:19" ht="38.25" x14ac:dyDescent="0.2">
      <c r="A8" s="52"/>
      <c r="C8" s="93"/>
      <c r="D8" s="51"/>
      <c r="E8" s="53" t="s">
        <v>92</v>
      </c>
      <c r="F8" s="53" t="s">
        <v>93</v>
      </c>
      <c r="G8" s="53" t="s">
        <v>94</v>
      </c>
      <c r="H8" s="53" t="s">
        <v>95</v>
      </c>
      <c r="I8" s="3" t="s">
        <v>96</v>
      </c>
      <c r="J8" s="101"/>
      <c r="K8" s="101"/>
      <c r="L8" s="103"/>
      <c r="M8" s="93"/>
      <c r="N8" s="93"/>
      <c r="O8" s="54"/>
      <c r="P8" s="55" t="s">
        <v>97</v>
      </c>
      <c r="Q8" s="55" t="s">
        <v>90</v>
      </c>
      <c r="S8" s="56"/>
    </row>
    <row r="9" spans="1:19" x14ac:dyDescent="0.2">
      <c r="A9" s="57" t="s">
        <v>12</v>
      </c>
      <c r="B9" s="58">
        <v>1</v>
      </c>
      <c r="C9" s="59" t="s">
        <v>98</v>
      </c>
      <c r="D9" s="80">
        <f>(SUMIFS(Input!$L:$L,Input!$E:$E,'5.CC Physical risk'!$D$24,Input!$H:$H,'5.CC Physical risk'!$A9&amp;"*",Input!$D:$D,"outras empresas nao financeiras"))/1000000</f>
        <v>0</v>
      </c>
      <c r="E9" s="85">
        <f>(SUMIFS(Input!$L:$L,Input!$K:$K,"1",Input!$E:$E,'5.CC Physical risk'!$D$24,Input!$H:$H,'5.CC Physical risk'!$A9&amp;"*",Input!$D:$D,"outras empresas nao financeiras",Input!$G:$G,"&gt;=0",Input!$G:$G,"&lt;=5")
+ SUMIFS(Input!$L:$L,Input!$K:$K,"1",Input!$E:$E,'5.CC Physical risk'!$D$24,Input!$H:$H,'5.CC Physical risk'!$A9&amp;"*",Input!$D:$D,"outras empresas nao financeiras",Input!$G:$G,"-4")
+ SUMIFS(Input!$L:$L,Input!$K:$K,"1",Input!$E:$E,'5.CC Physical risk'!$D$24,Input!$H:$H,'5.CC Physical risk'!$A9&amp;"*",Input!$D:$D,"outras empresas nao financeiras",Input!$G:$G,"-1"))/1000000</f>
        <v>0</v>
      </c>
      <c r="F9" s="85">
        <f>(SUMIFS(Input!$L:$L,Input!$K:$K,"1",Input!$E:$E,'5.CC Physical risk'!$D$24,Input!$H:$H,'5.CC Physical risk'!$A9&amp;"*",Input!$D:$D,"outras empresas nao financeiras",Input!$G:$G,"&gt;5",Input!$G:$G,"&lt;=10"))/1000000</f>
        <v>0</v>
      </c>
      <c r="G9" s="85">
        <f>(SUMIFS(Input!$L:$L,Input!$K:$K,"1",Input!$E:$E,'5.CC Physical risk'!$D$24,Input!$H:$H,'5.CC Physical risk'!$A9&amp;"*",Input!$D:$D,"outras empresas nao financeiras",Input!$G:$G,"&gt;10",Input!$G:$G,"&lt;=20"))/1000000</f>
        <v>0</v>
      </c>
      <c r="H9" s="85">
        <f>(SUMIFS(Input!$L:$L,Input!$K:$K,"1",Input!$E:$E,'5.CC Physical risk'!$D$24,Input!$H:$H,'5.CC Physical risk'!$A9&amp;"*",Input!$D:$D,"outras empresas nao financeiras",Input!$G:$G,"&gt;20")
+ SUMIFS(Input!$L:$L,Input!$K:$K,"1",Input!$E:$E,'5.CC Physical risk'!$D$24,Input!$H:$H,'5.CC Physical risk'!$A9&amp;"*",Input!$D:$D,"outras empresas nao financeiras",Input!$G:$G,"-2")
+ SUMIFS(Input!$L:$L,Input!$K:$K,"1",Input!$E:$E,'5.CC Physical risk'!$D$24,Input!$H:$H,'5.CC Physical risk'!$A9&amp;"*",Input!$D:$D,"outras empresas nao financeiras",Input!$G:$G,"-3")
+ SUMIFS(Input!$L:$L,Input!$K:$K,"1",Input!$E:$E,'5.CC Physical risk'!$D$24,Input!$H:$H,'5.CC Physical risk'!$A9&amp;"*",Input!$D:$D,"outras empresas nao financeiras",Input!$G:$G,"-5"))/1000000</f>
        <v>0</v>
      </c>
      <c r="I9" s="80">
        <f>IFERROR(ROUND(SUMIFS(Input!$M:$M,Input!$K:$K,"1",Input!$E:$E,'5.CC Physical risk'!$D$24,Input!$H:$H,'5.CC Physical risk'!$A9&amp;"*",Input!$D:$D,"outras empresas nao financeiras",Input!$G:$G,"&gt;0")
/
SUMIFS(Input!$L:$L,Input!$K:$K,"1",Input!$E:$E,'5.CC Physical risk'!$D$24,Input!$H:$H,'5.CC Physical risk'!$A9&amp;"*",Input!$D:$D,"outras empresas nao financeiras",Input!$G:$G,"&gt;0"),0),0)</f>
        <v>0</v>
      </c>
      <c r="J9" s="80">
        <f>(SUMIFS(Input!$L:$L,Input!$K:$K,"1",Input!$E:$E,'5.CC Physical risk'!$D$24,Input!$H:$H,'5.CC Physical risk'!$A9&amp;"*",Input!$D:$D,"outras empresas nao financeiras",Input!$I:$I,"&lt;&gt;"&amp;$K$24,Input!$J:$J,'5.CC Physical risk'!$J$24))/1000000</f>
        <v>0</v>
      </c>
      <c r="K9" s="80">
        <f>(SUMIFS(Input!$L:$L,Input!$K:$K,"1",Input!$E:$E,'5.CC Physical risk'!$D$24,Input!$H:$H,'5.CC Physical risk'!$A9&amp;"*",Input!$D:$D,"outras empresas nao financeiras",Input!$J:$J,"&lt;&gt;"&amp;$J$24,Input!$I:$I,'5.CC Physical risk'!$K$24))/1000000</f>
        <v>0</v>
      </c>
      <c r="L9" s="80">
        <f>(SUMIFS(Input!$L:$L,
Input!$K:$K,"1",
Input!$E:$E,'5.CC Physical risk'!$D$24,
Input!$H:$H,'5.CC Physical risk'!$A9&amp;"*",
Input!$D:$D,"outras empresas nao financeiras",
Input!$J:$J,'5.CC Physical risk'!$J$24,
Input!$I:$I,'5.CC Physical risk'!$K$24))/1000000</f>
        <v>0</v>
      </c>
      <c r="M9" s="80">
        <f>(SUMIFS(Input!$L:$L,
Input!$K:$K,"1",
Input!$E:$E,'5.CC Physical risk'!$D$24,
Input!$D:$D,"outras empresas nao financeiras",
Input!$H:$H,'5.CC Physical risk'!$A9&amp;"*",
Input!$C:$C,'5.CC Physical risk'!$M$24))/1000000</f>
        <v>0</v>
      </c>
      <c r="N9" s="80">
        <f>(SUMIFS(Input!$L:$L,
Input!$K:$K,"1",
Input!$E:$E,'5.CC Physical risk'!$D$24,
Input!$D:$D,"outras empresas nao financeiras",
Input!$H:$H,'5.CC Physical risk'!$A9&amp;"*",
Input!$C:$C,'5.CC Physical risk'!$N$24))/1000000</f>
        <v>0</v>
      </c>
      <c r="O9" s="80">
        <f>(SUMIFS(Input!$L:$L,
Input!$K:$K,"1",
Input!$E:$E,'5.CC Physical risk'!$O$24,
Input!$D:$D,"outras empresas nao financeiras",
Input!$H:$H,'5.CC Physical risk'!$A9&amp;"*"))/1000000</f>
        <v>0</v>
      </c>
      <c r="P9" s="80">
        <f>(SUMIFS(Input!$L:$L,
Input!$K:$K,"1",
Input!$E:$E,'5.CC Physical risk'!$O$24,
Input!$D:$D,"outras empresas nao financeiras",
Input!$H:$H,'5.CC Physical risk'!$A9&amp;"*",
Input!$C:$C,'5.CC Physical risk'!$M$24))/1000000</f>
        <v>0</v>
      </c>
      <c r="Q9" s="80">
        <f>(SUMIFS(Input!$L:$L,
Input!$K:$K,"1",
Input!$E:$E,'5.CC Physical risk'!$O$24,
Input!$D:$D,"outras empresas nao financeiras",
Input!$H:$H,'5.CC Physical risk'!$A9&amp;"*",
Input!$C:$C,'5.CC Physical risk'!$N$24))/1000000</f>
        <v>0</v>
      </c>
      <c r="S9" s="60"/>
    </row>
    <row r="10" spans="1:19" x14ac:dyDescent="0.2">
      <c r="A10" s="57" t="s">
        <v>13</v>
      </c>
      <c r="B10" s="58">
        <v>2</v>
      </c>
      <c r="C10" s="59" t="s">
        <v>99</v>
      </c>
      <c r="D10" s="80">
        <f>(SUMIFS(Input!$L:$L,Input!$E:$E,'5.CC Physical risk'!$D$24,Input!$H:$H,'5.CC Physical risk'!$A10&amp;"*",Input!$D:$D,"outras empresas nao financeiras"))/1000000</f>
        <v>0</v>
      </c>
      <c r="E10" s="80">
        <f>(SUMIFS(Input!$L:$L,Input!$K:$K,"1",Input!$E:$E,'5.CC Physical risk'!$D$24,Input!$H:$H,'5.CC Physical risk'!$A10&amp;"*",Input!$D:$D,"outras empresas nao financeiras",Input!$G:$G,"&gt;=0",Input!$G:$G,"&lt;=5")
+ SUMIFS(Input!$L:$L,Input!$K:$K,"1",Input!$E:$E,'5.CC Physical risk'!$D$24,Input!$H:$H,'5.CC Physical risk'!$A10&amp;"*",Input!$D:$D,"outras empresas nao financeiras",Input!$G:$G,"-4")
+ SUMIFS(Input!$L:$L,Input!$K:$K,"1",Input!$E:$E,'5.CC Physical risk'!$D$24,Input!$H:$H,'5.CC Physical risk'!$A10&amp;"*",Input!$D:$D,"outras empresas nao financeiras",Input!$G:$G,"-1"))/1000000</f>
        <v>0</v>
      </c>
      <c r="F10" s="80">
        <f>(SUMIFS(Input!$L:$L,Input!$K:$K,"1",Input!$E:$E,'5.CC Physical risk'!$D$24,Input!$H:$H,'5.CC Physical risk'!$A10&amp;"*",Input!$D:$D,"outras empresas nao financeiras",Input!$G:$G,"&gt;5",Input!$G:$G,"&lt;=10"))/1000000</f>
        <v>0</v>
      </c>
      <c r="G10" s="80">
        <f>(SUMIFS(Input!$L:$L,Input!$K:$K,"1",Input!$E:$E,'5.CC Physical risk'!$D$24,Input!$H:$H,'5.CC Physical risk'!$A10&amp;"*",Input!$D:$D,"outras empresas nao financeiras",Input!$G:$G,"&gt;10",Input!$G:$G,"&lt;=20"))/1000000</f>
        <v>0</v>
      </c>
      <c r="H10" s="80">
        <f>(SUMIFS(Input!$L:$L,Input!$K:$K,"1",Input!$E:$E,'5.CC Physical risk'!$D$24,Input!$H:$H,'5.CC Physical risk'!$A10&amp;"*",Input!$D:$D,"outras empresas nao financeiras",Input!$G:$G,"&gt;20")
+ SUMIFS(Input!$L:$L,Input!$K:$K,"1",Input!$E:$E,'5.CC Physical risk'!$D$24,Input!$H:$H,'5.CC Physical risk'!$A10&amp;"*",Input!$D:$D,"outras empresas nao financeiras",Input!$G:$G,"-2")
+ SUMIFS(Input!$L:$L,Input!$K:$K,"1",Input!$E:$E,'5.CC Physical risk'!$D$24,Input!$H:$H,'5.CC Physical risk'!$A10&amp;"*",Input!$D:$D,"outras empresas nao financeiras",Input!$G:$G,"-3")
+ SUMIFS(Input!$L:$L,Input!$K:$K,"1",Input!$E:$E,'5.CC Physical risk'!$D$24,Input!$H:$H,'5.CC Physical risk'!$A10&amp;"*",Input!$D:$D,"outras empresas nao financeiras",Input!$G:$G,"-5"))/1000000</f>
        <v>0</v>
      </c>
      <c r="I10" s="80">
        <f>IFERROR(ROUND(SUMIFS(Input!$M:$M,Input!$K:$K,"1",Input!$E:$E,'5.CC Physical risk'!$D$24,Input!$H:$H,'5.CC Physical risk'!$A10&amp;"*",Input!$D:$D,"outras empresas nao financeiras",Input!$G:$G,"&gt;0")
/
SUMIFS(Input!$L:$L,Input!$K:$K,"1",Input!$E:$E,'5.CC Physical risk'!$D$24,Input!$H:$H,'5.CC Physical risk'!$A10&amp;"*",Input!$D:$D,"outras empresas nao financeiras",Input!$G:$G,"&gt;0"),0),0)</f>
        <v>0</v>
      </c>
      <c r="J10" s="80">
        <f>(SUMIFS(Input!$L:$L,Input!$K:$K,"1",Input!$E:$E,'5.CC Physical risk'!$D$24,Input!$H:$H,'5.CC Physical risk'!$A10&amp;"*",Input!$D:$D,"outras empresas nao financeiras",Input!$I:$I,"&lt;&gt;"&amp;$K$24,Input!$J:$J,'5.CC Physical risk'!$J$24))/1000000</f>
        <v>0</v>
      </c>
      <c r="K10" s="80">
        <f>(SUMIFS(Input!$L:$L,Input!$K:$K,"1",Input!$E:$E,'5.CC Physical risk'!$D$24,Input!$H:$H,'5.CC Physical risk'!$A10&amp;"*",Input!$D:$D,"outras empresas nao financeiras",Input!$J:$J,"&lt;&gt;"&amp;$J$24,Input!$I:$I,'5.CC Physical risk'!$K$24))/1000000</f>
        <v>0</v>
      </c>
      <c r="L10" s="80">
        <f>(SUMIFS(Input!$L:$L,
Input!$K:$K,"1",
Input!$E:$E,'5.CC Physical risk'!$D$24,
Input!$H:$H,'5.CC Physical risk'!$A10&amp;"*",
Input!$D:$D,"outras empresas nao financeiras",
Input!$J:$J,'5.CC Physical risk'!$J$24,
Input!$I:$I,'5.CC Physical risk'!$K$24))/1000000</f>
        <v>0</v>
      </c>
      <c r="M10" s="80">
        <f>(SUMIFS(Input!$L:$L,
Input!$K:$K,"1",
Input!$E:$E,'5.CC Physical risk'!$D$24,
Input!$D:$D,"outras empresas nao financeiras",
Input!$H:$H,'5.CC Physical risk'!$A10&amp;"*",
Input!$C:$C,'5.CC Physical risk'!$M$24))/1000000</f>
        <v>0</v>
      </c>
      <c r="N10" s="80">
        <f>(SUMIFS(Input!$L:$L,
Input!$K:$K,"1",
Input!$E:$E,'5.CC Physical risk'!$D$24,
Input!$D:$D,"outras empresas nao financeiras",
Input!$H:$H,'5.CC Physical risk'!$A10&amp;"*",
Input!$C:$C,'5.CC Physical risk'!$N$24))/1000000</f>
        <v>0</v>
      </c>
      <c r="O10" s="80">
        <f>(SUMIFS(Input!$L:$L,
Input!$K:$K,"1",
Input!$E:$E,'5.CC Physical risk'!$O$24,
Input!$D:$D,"outras empresas nao financeiras",
Input!$H:$H,'5.CC Physical risk'!$A10&amp;"*"))/1000000</f>
        <v>0</v>
      </c>
      <c r="P10" s="80">
        <f>(SUMIFS(Input!$L:$L,
Input!$K:$K,"1",
Input!$E:$E,'5.CC Physical risk'!$O$24,
Input!$D:$D,"outras empresas nao financeiras",
Input!$H:$H,'5.CC Physical risk'!$A10&amp;"*",
Input!$C:$C,'5.CC Physical risk'!$M$24))/1000000</f>
        <v>0</v>
      </c>
      <c r="Q10" s="80">
        <f>(SUMIFS(Input!$L:$L,
Input!$K:$K,"1",
Input!$E:$E,'5.CC Physical risk'!$O$24,
Input!$D:$D,"outras empresas nao financeiras",
Input!$H:$H,'5.CC Physical risk'!$A10&amp;"*",
Input!$C:$C,'5.CC Physical risk'!$N$24))/1000000</f>
        <v>0</v>
      </c>
      <c r="S10" s="60"/>
    </row>
    <row r="11" spans="1:19" x14ac:dyDescent="0.2">
      <c r="A11" s="57" t="s">
        <v>14</v>
      </c>
      <c r="B11" s="58">
        <v>3</v>
      </c>
      <c r="C11" s="59" t="s">
        <v>100</v>
      </c>
      <c r="D11" s="80">
        <f>(SUMIFS(Input!$L:$L,Input!$E:$E,'5.CC Physical risk'!$D$24,Input!$H:$H,'5.CC Physical risk'!$A11&amp;"*",Input!$D:$D,"outras empresas nao financeiras"))/1000000</f>
        <v>0</v>
      </c>
      <c r="E11" s="80">
        <f>(SUMIFS(Input!$L:$L,Input!$K:$K,"1",Input!$E:$E,'5.CC Physical risk'!$D$24,Input!$H:$H,'5.CC Physical risk'!$A11&amp;"*",Input!$D:$D,"outras empresas nao financeiras",Input!$G:$G,"&gt;=0",Input!$G:$G,"&lt;=5")
+ SUMIFS(Input!$L:$L,Input!$K:$K,"1",Input!$E:$E,'5.CC Physical risk'!$D$24,Input!$H:$H,'5.CC Physical risk'!$A11&amp;"*",Input!$D:$D,"outras empresas nao financeiras",Input!$G:$G,"-4")
+ SUMIFS(Input!$L:$L,Input!$K:$K,"1",Input!$E:$E,'5.CC Physical risk'!$D$24,Input!$H:$H,'5.CC Physical risk'!$A11&amp;"*",Input!$D:$D,"outras empresas nao financeiras",Input!$G:$G,"-1"))/1000000</f>
        <v>0</v>
      </c>
      <c r="F11" s="80">
        <f>(SUMIFS(Input!$L:$L,Input!$K:$K,"1",Input!$E:$E,'5.CC Physical risk'!$D$24,Input!$H:$H,'5.CC Physical risk'!$A11&amp;"*",Input!$D:$D,"outras empresas nao financeiras",Input!$G:$G,"&gt;5",Input!$G:$G,"&lt;=10"))/1000000</f>
        <v>0</v>
      </c>
      <c r="G11" s="80">
        <f>(SUMIFS(Input!$L:$L,Input!$K:$K,"1",Input!$E:$E,'5.CC Physical risk'!$D$24,Input!$H:$H,'5.CC Physical risk'!$A11&amp;"*",Input!$D:$D,"outras empresas nao financeiras",Input!$G:$G,"&gt;10",Input!$G:$G,"&lt;=20"))/1000000</f>
        <v>0</v>
      </c>
      <c r="H11" s="80">
        <f>(SUMIFS(Input!$L:$L,Input!$K:$K,"1",Input!$E:$E,'5.CC Physical risk'!$D$24,Input!$H:$H,'5.CC Physical risk'!$A11&amp;"*",Input!$D:$D,"outras empresas nao financeiras",Input!$G:$G,"&gt;20")
+ SUMIFS(Input!$L:$L,Input!$K:$K,"1",Input!$E:$E,'5.CC Physical risk'!$D$24,Input!$H:$H,'5.CC Physical risk'!$A11&amp;"*",Input!$D:$D,"outras empresas nao financeiras",Input!$G:$G,"-2")
+ SUMIFS(Input!$L:$L,Input!$K:$K,"1",Input!$E:$E,'5.CC Physical risk'!$D$24,Input!$H:$H,'5.CC Physical risk'!$A11&amp;"*",Input!$D:$D,"outras empresas nao financeiras",Input!$G:$G,"-3")
+ SUMIFS(Input!$L:$L,Input!$K:$K,"1",Input!$E:$E,'5.CC Physical risk'!$D$24,Input!$H:$H,'5.CC Physical risk'!$A11&amp;"*",Input!$D:$D,"outras empresas nao financeiras",Input!$G:$G,"-5"))/1000000</f>
        <v>0</v>
      </c>
      <c r="I11" s="80">
        <f>IFERROR(ROUND(SUMIFS(Input!$M:$M,Input!$K:$K,"1",Input!$E:$E,'5.CC Physical risk'!$D$24,Input!$H:$H,'5.CC Physical risk'!$A11&amp;"*",Input!$D:$D,"outras empresas nao financeiras",Input!$G:$G,"&gt;0")
/
SUMIFS(Input!$L:$L,Input!$K:$K,"1",Input!$E:$E,'5.CC Physical risk'!$D$24,Input!$H:$H,'5.CC Physical risk'!$A11&amp;"*",Input!$D:$D,"outras empresas nao financeiras",Input!$G:$G,"&gt;0"),0),0)</f>
        <v>0</v>
      </c>
      <c r="J11" s="80">
        <f>(SUMIFS(Input!$L:$L,Input!$K:$K,"1",Input!$E:$E,'5.CC Physical risk'!$D$24,Input!$H:$H,'5.CC Physical risk'!$A11&amp;"*",Input!$D:$D,"outras empresas nao financeiras",Input!$I:$I,"&lt;&gt;"&amp;$K$24,Input!$J:$J,'5.CC Physical risk'!$J$24))/1000000</f>
        <v>0</v>
      </c>
      <c r="K11" s="80">
        <f>(SUMIFS(Input!$L:$L,Input!$K:$K,"1",Input!$E:$E,'5.CC Physical risk'!$D$24,Input!$H:$H,'5.CC Physical risk'!$A11&amp;"*",Input!$D:$D,"outras empresas nao financeiras",Input!$J:$J,"&lt;&gt;"&amp;$J$24,Input!$I:$I,'5.CC Physical risk'!$K$24))/1000000</f>
        <v>0</v>
      </c>
      <c r="L11" s="80">
        <f>(SUMIFS(Input!$L:$L,
Input!$K:$K,"1",
Input!$E:$E,'5.CC Physical risk'!$D$24,
Input!$H:$H,'5.CC Physical risk'!$A11&amp;"*",
Input!$D:$D,"outras empresas nao financeiras",
Input!$J:$J,'5.CC Physical risk'!$J$24,
Input!$I:$I,'5.CC Physical risk'!$K$24))/1000000</f>
        <v>0</v>
      </c>
      <c r="M11" s="80">
        <f>(SUMIFS(Input!$L:$L,
Input!$K:$K,"1",
Input!$E:$E,'5.CC Physical risk'!$D$24,
Input!$D:$D,"outras empresas nao financeiras",
Input!$H:$H,'5.CC Physical risk'!$A11&amp;"*",
Input!$C:$C,'5.CC Physical risk'!$M$24))/1000000</f>
        <v>0</v>
      </c>
      <c r="N11" s="80">
        <f>(SUMIFS(Input!$L:$L,
Input!$K:$K,"1",
Input!$E:$E,'5.CC Physical risk'!$D$24,
Input!$D:$D,"outras empresas nao financeiras",
Input!$H:$H,'5.CC Physical risk'!$A11&amp;"*",
Input!$C:$C,'5.CC Physical risk'!$N$24))/1000000</f>
        <v>0</v>
      </c>
      <c r="O11" s="80">
        <f>(SUMIFS(Input!$L:$L,
Input!$K:$K,"1",
Input!$E:$E,'5.CC Physical risk'!$O$24,
Input!$D:$D,"outras empresas nao financeiras",
Input!$H:$H,'5.CC Physical risk'!$A11&amp;"*"))/1000000</f>
        <v>0</v>
      </c>
      <c r="P11" s="80">
        <f>(SUMIFS(Input!$L:$L,
Input!$K:$K,"1",
Input!$E:$E,'5.CC Physical risk'!$O$24,
Input!$D:$D,"outras empresas nao financeiras",
Input!$H:$H,'5.CC Physical risk'!$A11&amp;"*",
Input!$C:$C,'5.CC Physical risk'!$M$24))/1000000</f>
        <v>0</v>
      </c>
      <c r="Q11" s="80">
        <f>(SUMIFS(Input!$L:$L,
Input!$K:$K,"1",
Input!$E:$E,'5.CC Physical risk'!$O$24,
Input!$D:$D,"outras empresas nao financeiras",
Input!$H:$H,'5.CC Physical risk'!$A11&amp;"*",
Input!$C:$C,'5.CC Physical risk'!$N$24))/1000000</f>
        <v>0</v>
      </c>
      <c r="S11" s="60"/>
    </row>
    <row r="12" spans="1:19" x14ac:dyDescent="0.2">
      <c r="A12" s="57" t="s">
        <v>15</v>
      </c>
      <c r="B12" s="58">
        <v>4</v>
      </c>
      <c r="C12" s="59" t="s">
        <v>101</v>
      </c>
      <c r="D12" s="80">
        <f>(SUMIFS(Input!$L:$L,Input!$E:$E,'5.CC Physical risk'!$D$24,Input!$H:$H,'5.CC Physical risk'!$A12&amp;"*",Input!$D:$D,"outras empresas nao financeiras"))/1000000</f>
        <v>0</v>
      </c>
      <c r="E12" s="80">
        <f>(SUMIFS(Input!$L:$L,Input!$K:$K,"1",Input!$E:$E,'5.CC Physical risk'!$D$24,Input!$H:$H,'5.CC Physical risk'!$A12&amp;"*",Input!$D:$D,"outras empresas nao financeiras",Input!$G:$G,"&gt;=0",Input!$G:$G,"&lt;=5")
+ SUMIFS(Input!$L:$L,Input!$K:$K,"1",Input!$E:$E,'5.CC Physical risk'!$D$24,Input!$H:$H,'5.CC Physical risk'!$A12&amp;"*",Input!$D:$D,"outras empresas nao financeiras",Input!$G:$G,"-4")
+ SUMIFS(Input!$L:$L,Input!$K:$K,"1",Input!$E:$E,'5.CC Physical risk'!$D$24,Input!$H:$H,'5.CC Physical risk'!$A12&amp;"*",Input!$D:$D,"outras empresas nao financeiras",Input!$G:$G,"-1"))/1000000</f>
        <v>0</v>
      </c>
      <c r="F12" s="80">
        <f>(SUMIFS(Input!$L:$L,Input!$K:$K,"1",Input!$E:$E,'5.CC Physical risk'!$D$24,Input!$H:$H,'5.CC Physical risk'!$A12&amp;"*",Input!$D:$D,"outras empresas nao financeiras",Input!$G:$G,"&gt;5",Input!$G:$G,"&lt;=10"))/1000000</f>
        <v>0</v>
      </c>
      <c r="G12" s="80">
        <f>(SUMIFS(Input!$L:$L,Input!$K:$K,"1",Input!$E:$E,'5.CC Physical risk'!$D$24,Input!$H:$H,'5.CC Physical risk'!$A12&amp;"*",Input!$D:$D,"outras empresas nao financeiras",Input!$G:$G,"&gt;10",Input!$G:$G,"&lt;=20"))/1000000</f>
        <v>0</v>
      </c>
      <c r="H12" s="80">
        <f>(SUMIFS(Input!$L:$L,Input!$K:$K,"1",Input!$E:$E,'5.CC Physical risk'!$D$24,Input!$H:$H,'5.CC Physical risk'!$A12&amp;"*",Input!$D:$D,"outras empresas nao financeiras",Input!$G:$G,"&gt;20")
+ SUMIFS(Input!$L:$L,Input!$K:$K,"1",Input!$E:$E,'5.CC Physical risk'!$D$24,Input!$H:$H,'5.CC Physical risk'!$A12&amp;"*",Input!$D:$D,"outras empresas nao financeiras",Input!$G:$G,"-2")
+ SUMIFS(Input!$L:$L,Input!$K:$K,"1",Input!$E:$E,'5.CC Physical risk'!$D$24,Input!$H:$H,'5.CC Physical risk'!$A12&amp;"*",Input!$D:$D,"outras empresas nao financeiras",Input!$G:$G,"-3")
+ SUMIFS(Input!$L:$L,Input!$K:$K,"1",Input!$E:$E,'5.CC Physical risk'!$D$24,Input!$H:$H,'5.CC Physical risk'!$A12&amp;"*",Input!$D:$D,"outras empresas nao financeiras",Input!$G:$G,"-5"))/1000000</f>
        <v>0</v>
      </c>
      <c r="I12" s="80">
        <f>IFERROR(ROUND(SUMIFS(Input!$M:$M,Input!$K:$K,"1",Input!$E:$E,'5.CC Physical risk'!$D$24,Input!$H:$H,'5.CC Physical risk'!$A12&amp;"*",Input!$D:$D,"outras empresas nao financeiras",Input!$G:$G,"&gt;0")
/
SUMIFS(Input!$L:$L,Input!$K:$K,"1",Input!$E:$E,'5.CC Physical risk'!$D$24,Input!$H:$H,'5.CC Physical risk'!$A12&amp;"*",Input!$D:$D,"outras empresas nao financeiras",Input!$G:$G,"&gt;0"),0),0)</f>
        <v>0</v>
      </c>
      <c r="J12" s="80">
        <f>(SUMIFS(Input!$L:$L,Input!$K:$K,"1",Input!$E:$E,'5.CC Physical risk'!$D$24,Input!$H:$H,'5.CC Physical risk'!$A12&amp;"*",Input!$D:$D,"outras empresas nao financeiras",Input!$I:$I,"&lt;&gt;"&amp;$K$24,Input!$J:$J,'5.CC Physical risk'!$J$24))/1000000</f>
        <v>0</v>
      </c>
      <c r="K12" s="80">
        <f>(SUMIFS(Input!$L:$L,Input!$K:$K,"1",Input!$E:$E,'5.CC Physical risk'!$D$24,Input!$H:$H,'5.CC Physical risk'!$A12&amp;"*",Input!$D:$D,"outras empresas nao financeiras",Input!$J:$J,"&lt;&gt;"&amp;$J$24,Input!$I:$I,'5.CC Physical risk'!$K$24))/1000000</f>
        <v>0</v>
      </c>
      <c r="L12" s="80">
        <f>(SUMIFS(Input!$L:$L,
Input!$K:$K,"1",
Input!$E:$E,'5.CC Physical risk'!$D$24,
Input!$H:$H,'5.CC Physical risk'!$A12&amp;"*",
Input!$D:$D,"outras empresas nao financeiras",
Input!$J:$J,'5.CC Physical risk'!$J$24,
Input!$I:$I,'5.CC Physical risk'!$K$24))/1000000</f>
        <v>0</v>
      </c>
      <c r="M12" s="80">
        <f>(SUMIFS(Input!$L:$L,
Input!$K:$K,"1",
Input!$E:$E,'5.CC Physical risk'!$D$24,
Input!$D:$D,"outras empresas nao financeiras",
Input!$H:$H,'5.CC Physical risk'!$A12&amp;"*",
Input!$C:$C,'5.CC Physical risk'!$M$24))/1000000</f>
        <v>0</v>
      </c>
      <c r="N12" s="80">
        <f>(SUMIFS(Input!$L:$L,
Input!$K:$K,"1",
Input!$E:$E,'5.CC Physical risk'!$D$24,
Input!$D:$D,"outras empresas nao financeiras",
Input!$H:$H,'5.CC Physical risk'!$A12&amp;"*",
Input!$C:$C,'5.CC Physical risk'!$N$24))/1000000</f>
        <v>0</v>
      </c>
      <c r="O12" s="80">
        <f>(SUMIFS(Input!$L:$L,
Input!$K:$K,"1",
Input!$E:$E,'5.CC Physical risk'!$O$24,
Input!$D:$D,"outras empresas nao financeiras",
Input!$H:$H,'5.CC Physical risk'!$A12&amp;"*"))/1000000</f>
        <v>0</v>
      </c>
      <c r="P12" s="80">
        <f>(SUMIFS(Input!$L:$L,
Input!$K:$K,"1",
Input!$E:$E,'5.CC Physical risk'!$O$24,
Input!$D:$D,"outras empresas nao financeiras",
Input!$H:$H,'5.CC Physical risk'!$A12&amp;"*",
Input!$C:$C,'5.CC Physical risk'!$M$24))/1000000</f>
        <v>0</v>
      </c>
      <c r="Q12" s="80">
        <f>(SUMIFS(Input!$L:$L,
Input!$K:$K,"1",
Input!$E:$E,'5.CC Physical risk'!$O$24,
Input!$D:$D,"outras empresas nao financeiras",
Input!$H:$H,'5.CC Physical risk'!$A12&amp;"*",
Input!$C:$C,'5.CC Physical risk'!$N$24))/1000000</f>
        <v>0</v>
      </c>
      <c r="S12" s="60"/>
    </row>
    <row r="13" spans="1:19" x14ac:dyDescent="0.2">
      <c r="A13" s="57" t="s">
        <v>16</v>
      </c>
      <c r="B13" s="58">
        <v>5</v>
      </c>
      <c r="C13" s="59" t="s">
        <v>102</v>
      </c>
      <c r="D13" s="80">
        <f>(SUMIFS(Input!$L:$L,Input!$E:$E,'5.CC Physical risk'!$D$24,Input!$H:$H,'5.CC Physical risk'!$A13&amp;"*",Input!$D:$D,"outras empresas nao financeiras"))/1000000</f>
        <v>0</v>
      </c>
      <c r="E13" s="80">
        <f>(SUMIFS(Input!$L:$L,Input!$K:$K,"1",Input!$E:$E,'5.CC Physical risk'!$D$24,Input!$H:$H,'5.CC Physical risk'!$A13&amp;"*",Input!$D:$D,"outras empresas nao financeiras",Input!$G:$G,"&gt;=0",Input!$G:$G,"&lt;=5")
+ SUMIFS(Input!$L:$L,Input!$K:$K,"1",Input!$E:$E,'5.CC Physical risk'!$D$24,Input!$H:$H,'5.CC Physical risk'!$A13&amp;"*",Input!$D:$D,"outras empresas nao financeiras",Input!$G:$G,"-4")
+ SUMIFS(Input!$L:$L,Input!$K:$K,"1",Input!$E:$E,'5.CC Physical risk'!$D$24,Input!$H:$H,'5.CC Physical risk'!$A13&amp;"*",Input!$D:$D,"outras empresas nao financeiras",Input!$G:$G,"-1"))/1000000</f>
        <v>0</v>
      </c>
      <c r="F13" s="80">
        <f>(SUMIFS(Input!$L:$L,Input!$K:$K,"1",Input!$E:$E,'5.CC Physical risk'!$D$24,Input!$H:$H,'5.CC Physical risk'!$A13&amp;"*",Input!$D:$D,"outras empresas nao financeiras",Input!$G:$G,"&gt;5",Input!$G:$G,"&lt;=10"))/1000000</f>
        <v>0</v>
      </c>
      <c r="G13" s="80">
        <f>(SUMIFS(Input!$L:$L,Input!$K:$K,"1",Input!$E:$E,'5.CC Physical risk'!$D$24,Input!$H:$H,'5.CC Physical risk'!$A13&amp;"*",Input!$D:$D,"outras empresas nao financeiras",Input!$G:$G,"&gt;10",Input!$G:$G,"&lt;=20"))/1000000</f>
        <v>0</v>
      </c>
      <c r="H13" s="80">
        <f>(SUMIFS(Input!$L:$L,Input!$K:$K,"1",Input!$E:$E,'5.CC Physical risk'!$D$24,Input!$H:$H,'5.CC Physical risk'!$A13&amp;"*",Input!$D:$D,"outras empresas nao financeiras",Input!$G:$G,"&gt;20")
+ SUMIFS(Input!$L:$L,Input!$K:$K,"1",Input!$E:$E,'5.CC Physical risk'!$D$24,Input!$H:$H,'5.CC Physical risk'!$A13&amp;"*",Input!$D:$D,"outras empresas nao financeiras",Input!$G:$G,"-2")
+ SUMIFS(Input!$L:$L,Input!$K:$K,"1",Input!$E:$E,'5.CC Physical risk'!$D$24,Input!$H:$H,'5.CC Physical risk'!$A13&amp;"*",Input!$D:$D,"outras empresas nao financeiras",Input!$G:$G,"-3")
+ SUMIFS(Input!$L:$L,Input!$K:$K,"1",Input!$E:$E,'5.CC Physical risk'!$D$24,Input!$H:$H,'5.CC Physical risk'!$A13&amp;"*",Input!$D:$D,"outras empresas nao financeiras",Input!$G:$G,"-5"))/1000000</f>
        <v>0</v>
      </c>
      <c r="I13" s="80">
        <f>IFERROR(ROUND(SUMIFS(Input!$M:$M,Input!$K:$K,"1",Input!$E:$E,'5.CC Physical risk'!$D$24,Input!$H:$H,'5.CC Physical risk'!$A13&amp;"*",Input!$D:$D,"outras empresas nao financeiras",Input!$G:$G,"&gt;0")
/
SUMIFS(Input!$L:$L,Input!$K:$K,"1",Input!$E:$E,'5.CC Physical risk'!$D$24,Input!$H:$H,'5.CC Physical risk'!$A13&amp;"*",Input!$D:$D,"outras empresas nao financeiras",Input!$G:$G,"&gt;0"),0),0)</f>
        <v>0</v>
      </c>
      <c r="J13" s="80">
        <f>(SUMIFS(Input!$L:$L,Input!$K:$K,"1",Input!$E:$E,'5.CC Physical risk'!$D$24,Input!$H:$H,'5.CC Physical risk'!$A13&amp;"*",Input!$D:$D,"outras empresas nao financeiras",Input!$I:$I,"&lt;&gt;"&amp;$K$24,Input!$J:$J,'5.CC Physical risk'!$J$24))/1000000</f>
        <v>0</v>
      </c>
      <c r="K13" s="80">
        <f>(SUMIFS(Input!$L:$L,Input!$K:$K,"1",Input!$E:$E,'5.CC Physical risk'!$D$24,Input!$H:$H,'5.CC Physical risk'!$A13&amp;"*",Input!$D:$D,"outras empresas nao financeiras",Input!$J:$J,"&lt;&gt;"&amp;$J$24,Input!$I:$I,'5.CC Physical risk'!$K$24))/1000000</f>
        <v>0</v>
      </c>
      <c r="L13" s="80">
        <f>(SUMIFS(Input!$L:$L,
Input!$K:$K,"1",
Input!$E:$E,'5.CC Physical risk'!$D$24,
Input!$H:$H,'5.CC Physical risk'!$A13&amp;"*",
Input!$D:$D,"outras empresas nao financeiras",
Input!$J:$J,'5.CC Physical risk'!$J$24,
Input!$I:$I,'5.CC Physical risk'!$K$24))/1000000</f>
        <v>0</v>
      </c>
      <c r="M13" s="80">
        <f>(SUMIFS(Input!$L:$L,
Input!$K:$K,"1",
Input!$E:$E,'5.CC Physical risk'!$D$24,
Input!$D:$D,"outras empresas nao financeiras",
Input!$H:$H,'5.CC Physical risk'!$A13&amp;"*",
Input!$C:$C,'5.CC Physical risk'!$M$24))/1000000</f>
        <v>0</v>
      </c>
      <c r="N13" s="80">
        <f>(SUMIFS(Input!$L:$L,
Input!$K:$K,"1",
Input!$E:$E,'5.CC Physical risk'!$D$24,
Input!$D:$D,"outras empresas nao financeiras",
Input!$H:$H,'5.CC Physical risk'!$A13&amp;"*",
Input!$C:$C,'5.CC Physical risk'!$N$24))/1000000</f>
        <v>0</v>
      </c>
      <c r="O13" s="80">
        <f>(SUMIFS(Input!$L:$L,
Input!$K:$K,"1",
Input!$E:$E,'5.CC Physical risk'!$O$24,
Input!$D:$D,"outras empresas nao financeiras",
Input!$H:$H,'5.CC Physical risk'!$A13&amp;"*"))/1000000</f>
        <v>0</v>
      </c>
      <c r="P13" s="80">
        <f>(SUMIFS(Input!$L:$L,
Input!$K:$K,"1",
Input!$E:$E,'5.CC Physical risk'!$O$24,
Input!$D:$D,"outras empresas nao financeiras",
Input!$H:$H,'5.CC Physical risk'!$A13&amp;"*",
Input!$C:$C,'5.CC Physical risk'!$M$24))/1000000</f>
        <v>0</v>
      </c>
      <c r="Q13" s="80">
        <f>(SUMIFS(Input!$L:$L,
Input!$K:$K,"1",
Input!$E:$E,'5.CC Physical risk'!$O$24,
Input!$D:$D,"outras empresas nao financeiras",
Input!$H:$H,'5.CC Physical risk'!$A13&amp;"*",
Input!$C:$C,'5.CC Physical risk'!$N$24))/1000000</f>
        <v>0</v>
      </c>
      <c r="S13" s="60"/>
    </row>
    <row r="14" spans="1:19" x14ac:dyDescent="0.2">
      <c r="A14" s="57" t="s">
        <v>17</v>
      </c>
      <c r="B14" s="58">
        <v>6</v>
      </c>
      <c r="C14" s="59" t="s">
        <v>103</v>
      </c>
      <c r="D14" s="80">
        <f>(SUMIFS(Input!$L:$L,Input!$E:$E,'5.CC Physical risk'!$D$24,Input!$H:$H,'5.CC Physical risk'!$A14&amp;"*",Input!$D:$D,"outras empresas nao financeiras"))/1000000</f>
        <v>0</v>
      </c>
      <c r="E14" s="80">
        <f>(SUMIFS(Input!$L:$L,Input!$K:$K,"1",Input!$E:$E,'5.CC Physical risk'!$D$24,Input!$H:$H,'5.CC Physical risk'!$A14&amp;"*",Input!$D:$D,"outras empresas nao financeiras",Input!$G:$G,"&gt;=0",Input!$G:$G,"&lt;=5")
+ SUMIFS(Input!$L:$L,Input!$K:$K,"1",Input!$E:$E,'5.CC Physical risk'!$D$24,Input!$H:$H,'5.CC Physical risk'!$A14&amp;"*",Input!$D:$D,"outras empresas nao financeiras",Input!$G:$G,"-4")
+ SUMIFS(Input!$L:$L,Input!$K:$K,"1",Input!$E:$E,'5.CC Physical risk'!$D$24,Input!$H:$H,'5.CC Physical risk'!$A14&amp;"*",Input!$D:$D,"outras empresas nao financeiras",Input!$G:$G,"-1"))/1000000</f>
        <v>0</v>
      </c>
      <c r="F14" s="80">
        <f>(SUMIFS(Input!$L:$L,Input!$K:$K,"1",Input!$E:$E,'5.CC Physical risk'!$D$24,Input!$H:$H,'5.CC Physical risk'!$A14&amp;"*",Input!$D:$D,"outras empresas nao financeiras",Input!$G:$G,"&gt;5",Input!$G:$G,"&lt;=10"))/1000000</f>
        <v>0</v>
      </c>
      <c r="G14" s="80">
        <f>(SUMIFS(Input!$L:$L,Input!$K:$K,"1",Input!$E:$E,'5.CC Physical risk'!$D$24,Input!$H:$H,'5.CC Physical risk'!$A14&amp;"*",Input!$D:$D,"outras empresas nao financeiras",Input!$G:$G,"&gt;10",Input!$G:$G,"&lt;=20"))/1000000</f>
        <v>0</v>
      </c>
      <c r="H14" s="80">
        <f>(SUMIFS(Input!$L:$L,Input!$K:$K,"1",Input!$E:$E,'5.CC Physical risk'!$D$24,Input!$H:$H,'5.CC Physical risk'!$A14&amp;"*",Input!$D:$D,"outras empresas nao financeiras",Input!$G:$G,"&gt;20")
+ SUMIFS(Input!$L:$L,Input!$K:$K,"1",Input!$E:$E,'5.CC Physical risk'!$D$24,Input!$H:$H,'5.CC Physical risk'!$A14&amp;"*",Input!$D:$D,"outras empresas nao financeiras",Input!$G:$G,"-2")
+ SUMIFS(Input!$L:$L,Input!$K:$K,"1",Input!$E:$E,'5.CC Physical risk'!$D$24,Input!$H:$H,'5.CC Physical risk'!$A14&amp;"*",Input!$D:$D,"outras empresas nao financeiras",Input!$G:$G,"-3")
+ SUMIFS(Input!$L:$L,Input!$K:$K,"1",Input!$E:$E,'5.CC Physical risk'!$D$24,Input!$H:$H,'5.CC Physical risk'!$A14&amp;"*",Input!$D:$D,"outras empresas nao financeiras",Input!$G:$G,"-5"))/1000000</f>
        <v>0</v>
      </c>
      <c r="I14" s="80">
        <f>IFERROR(ROUND(SUMIFS(Input!$M:$M,Input!$K:$K,"1",Input!$E:$E,'5.CC Physical risk'!$D$24,Input!$H:$H,'5.CC Physical risk'!$A14&amp;"*",Input!$D:$D,"outras empresas nao financeiras",Input!$G:$G,"&gt;0")
/
SUMIFS(Input!$L:$L,Input!$K:$K,"1",Input!$E:$E,'5.CC Physical risk'!$D$24,Input!$H:$H,'5.CC Physical risk'!$A14&amp;"*",Input!$D:$D,"outras empresas nao financeiras",Input!$G:$G,"&gt;0"),0),0)</f>
        <v>0</v>
      </c>
      <c r="J14" s="80">
        <f>(SUMIFS(Input!$L:$L,Input!$K:$K,"1",Input!$E:$E,'5.CC Physical risk'!$D$24,Input!$H:$H,'5.CC Physical risk'!$A14&amp;"*",Input!$D:$D,"outras empresas nao financeiras",Input!$I:$I,"&lt;&gt;"&amp;$K$24,Input!$J:$J,'5.CC Physical risk'!$J$24))/1000000</f>
        <v>0</v>
      </c>
      <c r="K14" s="80">
        <f>(SUMIFS(Input!$L:$L,Input!$K:$K,"1",Input!$E:$E,'5.CC Physical risk'!$D$24,Input!$H:$H,'5.CC Physical risk'!$A14&amp;"*",Input!$D:$D,"outras empresas nao financeiras",Input!$J:$J,"&lt;&gt;"&amp;$J$24,Input!$I:$I,'5.CC Physical risk'!$K$24))/1000000</f>
        <v>0</v>
      </c>
      <c r="L14" s="80">
        <f>(SUMIFS(Input!$L:$L,
Input!$K:$K,"1",
Input!$E:$E,'5.CC Physical risk'!$D$24,
Input!$H:$H,'5.CC Physical risk'!$A14&amp;"*",
Input!$D:$D,"outras empresas nao financeiras",
Input!$J:$J,'5.CC Physical risk'!$J$24,
Input!$I:$I,'5.CC Physical risk'!$K$24))/1000000</f>
        <v>0</v>
      </c>
      <c r="M14" s="80">
        <f>(SUMIFS(Input!$L:$L,
Input!$K:$K,"1",
Input!$E:$E,'5.CC Physical risk'!$D$24,
Input!$D:$D,"outras empresas nao financeiras",
Input!$H:$H,'5.CC Physical risk'!$A14&amp;"*",
Input!$C:$C,'5.CC Physical risk'!$M$24))/1000000</f>
        <v>0</v>
      </c>
      <c r="N14" s="80">
        <f>(SUMIFS(Input!$L:$L,
Input!$K:$K,"1",
Input!$E:$E,'5.CC Physical risk'!$D$24,
Input!$D:$D,"outras empresas nao financeiras",
Input!$H:$H,'5.CC Physical risk'!$A14&amp;"*",
Input!$C:$C,'5.CC Physical risk'!$N$24))/1000000</f>
        <v>0</v>
      </c>
      <c r="O14" s="80">
        <f>(SUMIFS(Input!$L:$L,
Input!$K:$K,"1",
Input!$E:$E,'5.CC Physical risk'!$O$24,
Input!$D:$D,"outras empresas nao financeiras",
Input!$H:$H,'5.CC Physical risk'!$A14&amp;"*"))/1000000</f>
        <v>0</v>
      </c>
      <c r="P14" s="80">
        <f>(SUMIFS(Input!$L:$L,
Input!$K:$K,"1",
Input!$E:$E,'5.CC Physical risk'!$O$24,
Input!$D:$D,"outras empresas nao financeiras",
Input!$H:$H,'5.CC Physical risk'!$A14&amp;"*",
Input!$C:$C,'5.CC Physical risk'!$M$24))/1000000</f>
        <v>0</v>
      </c>
      <c r="Q14" s="80">
        <f>(SUMIFS(Input!$L:$L,
Input!$K:$K,"1",
Input!$E:$E,'5.CC Physical risk'!$O$24,
Input!$D:$D,"outras empresas nao financeiras",
Input!$H:$H,'5.CC Physical risk'!$A14&amp;"*",
Input!$C:$C,'5.CC Physical risk'!$N$24))/1000000</f>
        <v>0</v>
      </c>
      <c r="S14" s="60"/>
    </row>
    <row r="15" spans="1:19" x14ac:dyDescent="0.2">
      <c r="A15" s="57" t="s">
        <v>18</v>
      </c>
      <c r="B15" s="58">
        <v>7</v>
      </c>
      <c r="C15" s="59" t="s">
        <v>104</v>
      </c>
      <c r="D15" s="80">
        <f>(SUMIFS(Input!$L:$L,Input!$E:$E,'5.CC Physical risk'!$D$24,Input!$H:$H,'5.CC Physical risk'!$A15&amp;"*",Input!$D:$D,"outras empresas nao financeiras"))/1000000</f>
        <v>0</v>
      </c>
      <c r="E15" s="80">
        <f>(SUMIFS(Input!$L:$L,Input!$K:$K,"1",Input!$E:$E,'5.CC Physical risk'!$D$24,Input!$H:$H,'5.CC Physical risk'!$A15&amp;"*",Input!$D:$D,"outras empresas nao financeiras",Input!$G:$G,"&gt;=0",Input!$G:$G,"&lt;=5")
+ SUMIFS(Input!$L:$L,Input!$K:$K,"1",Input!$E:$E,'5.CC Physical risk'!$D$24,Input!$H:$H,'5.CC Physical risk'!$A15&amp;"*",Input!$D:$D,"outras empresas nao financeiras",Input!$G:$G,"-4")
+ SUMIFS(Input!$L:$L,Input!$K:$K,"1",Input!$E:$E,'5.CC Physical risk'!$D$24,Input!$H:$H,'5.CC Physical risk'!$A15&amp;"*",Input!$D:$D,"outras empresas nao financeiras",Input!$G:$G,"-1"))/1000000</f>
        <v>0</v>
      </c>
      <c r="F15" s="80">
        <f>(SUMIFS(Input!$L:$L,Input!$K:$K,"1",Input!$E:$E,'5.CC Physical risk'!$D$24,Input!$H:$H,'5.CC Physical risk'!$A15&amp;"*",Input!$D:$D,"outras empresas nao financeiras",Input!$G:$G,"&gt;5",Input!$G:$G,"&lt;=10"))/1000000</f>
        <v>0</v>
      </c>
      <c r="G15" s="80">
        <f>(SUMIFS(Input!$L:$L,Input!$K:$K,"1",Input!$E:$E,'5.CC Physical risk'!$D$24,Input!$H:$H,'5.CC Physical risk'!$A15&amp;"*",Input!$D:$D,"outras empresas nao financeiras",Input!$G:$G,"&gt;10",Input!$G:$G,"&lt;=20"))/1000000</f>
        <v>0</v>
      </c>
      <c r="H15" s="80">
        <f>(SUMIFS(Input!$L:$L,Input!$K:$K,"1",Input!$E:$E,'5.CC Physical risk'!$D$24,Input!$H:$H,'5.CC Physical risk'!$A15&amp;"*",Input!$D:$D,"outras empresas nao financeiras",Input!$G:$G,"&gt;20")
+ SUMIFS(Input!$L:$L,Input!$K:$K,"1",Input!$E:$E,'5.CC Physical risk'!$D$24,Input!$H:$H,'5.CC Physical risk'!$A15&amp;"*",Input!$D:$D,"outras empresas nao financeiras",Input!$G:$G,"-2")
+ SUMIFS(Input!$L:$L,Input!$K:$K,"1",Input!$E:$E,'5.CC Physical risk'!$D$24,Input!$H:$H,'5.CC Physical risk'!$A15&amp;"*",Input!$D:$D,"outras empresas nao financeiras",Input!$G:$G,"-3")
+ SUMIFS(Input!$L:$L,Input!$K:$K,"1",Input!$E:$E,'5.CC Physical risk'!$D$24,Input!$H:$H,'5.CC Physical risk'!$A15&amp;"*",Input!$D:$D,"outras empresas nao financeiras",Input!$G:$G,"-5"))/1000000</f>
        <v>0</v>
      </c>
      <c r="I15" s="80">
        <f>IFERROR(ROUND(SUMIFS(Input!$M:$M,Input!$K:$K,"1",Input!$E:$E,'5.CC Physical risk'!$D$24,Input!$H:$H,'5.CC Physical risk'!$A15&amp;"*",Input!$D:$D,"outras empresas nao financeiras",Input!$G:$G,"&gt;0")
/
SUMIFS(Input!$L:$L,Input!$K:$K,"1",Input!$E:$E,'5.CC Physical risk'!$D$24,Input!$H:$H,'5.CC Physical risk'!$A15&amp;"*",Input!$D:$D,"outras empresas nao financeiras",Input!$G:$G,"&gt;0"),0),0)</f>
        <v>0</v>
      </c>
      <c r="J15" s="80">
        <f>(SUMIFS(Input!$L:$L,Input!$K:$K,"1",Input!$E:$E,'5.CC Physical risk'!$D$24,Input!$H:$H,'5.CC Physical risk'!$A15&amp;"*",Input!$D:$D,"outras empresas nao financeiras",Input!$I:$I,"&lt;&gt;"&amp;$K$24,Input!$J:$J,'5.CC Physical risk'!$J$24))/1000000</f>
        <v>0</v>
      </c>
      <c r="K15" s="80">
        <f>(SUMIFS(Input!$L:$L,Input!$K:$K,"1",Input!$E:$E,'5.CC Physical risk'!$D$24,Input!$H:$H,'5.CC Physical risk'!$A15&amp;"*",Input!$D:$D,"outras empresas nao financeiras",Input!$J:$J,"&lt;&gt;"&amp;$J$24,Input!$I:$I,'5.CC Physical risk'!$K$24))/1000000</f>
        <v>0</v>
      </c>
      <c r="L15" s="80">
        <f>(SUMIFS(Input!$L:$L,
Input!$K:$K,"1",
Input!$E:$E,'5.CC Physical risk'!$D$24,
Input!$H:$H,'5.CC Physical risk'!$A15&amp;"*",
Input!$D:$D,"outras empresas nao financeiras",
Input!$J:$J,'5.CC Physical risk'!$J$24,
Input!$I:$I,'5.CC Physical risk'!$K$24))/1000000</f>
        <v>0</v>
      </c>
      <c r="M15" s="80">
        <f>(SUMIFS(Input!$L:$L,
Input!$K:$K,"1",
Input!$E:$E,'5.CC Physical risk'!$D$24,
Input!$D:$D,"outras empresas nao financeiras",
Input!$H:$H,'5.CC Physical risk'!$A15&amp;"*",
Input!$C:$C,'5.CC Physical risk'!$M$24))/1000000</f>
        <v>0</v>
      </c>
      <c r="N15" s="80">
        <f>(SUMIFS(Input!$L:$L,
Input!$K:$K,"1",
Input!$E:$E,'5.CC Physical risk'!$D$24,
Input!$D:$D,"outras empresas nao financeiras",
Input!$H:$H,'5.CC Physical risk'!$A15&amp;"*",
Input!$C:$C,'5.CC Physical risk'!$N$24))/1000000</f>
        <v>0</v>
      </c>
      <c r="O15" s="80">
        <f>(SUMIFS(Input!$L:$L,
Input!$K:$K,"1",
Input!$E:$E,'5.CC Physical risk'!$O$24,
Input!$D:$D,"outras empresas nao financeiras",
Input!$H:$H,'5.CC Physical risk'!$A15&amp;"*"))/1000000</f>
        <v>0</v>
      </c>
      <c r="P15" s="80">
        <f>(SUMIFS(Input!$L:$L,
Input!$K:$K,"1",
Input!$E:$E,'5.CC Physical risk'!$O$24,
Input!$D:$D,"outras empresas nao financeiras",
Input!$H:$H,'5.CC Physical risk'!$A15&amp;"*",
Input!$C:$C,'5.CC Physical risk'!$M$24))/1000000</f>
        <v>0</v>
      </c>
      <c r="Q15" s="80">
        <f>(SUMIFS(Input!$L:$L,
Input!$K:$K,"1",
Input!$E:$E,'5.CC Physical risk'!$O$24,
Input!$D:$D,"outras empresas nao financeiras",
Input!$H:$H,'5.CC Physical risk'!$A15&amp;"*",
Input!$C:$C,'5.CC Physical risk'!$N$24))/1000000</f>
        <v>0</v>
      </c>
      <c r="S15" s="60"/>
    </row>
    <row r="16" spans="1:19" x14ac:dyDescent="0.2">
      <c r="A16" s="57" t="s">
        <v>75</v>
      </c>
      <c r="B16" s="58">
        <v>8</v>
      </c>
      <c r="C16" s="59" t="s">
        <v>105</v>
      </c>
      <c r="D16" s="80">
        <f>(SUMIFS(Input!$L:$L,Input!$E:$E,'5.CC Physical risk'!$D$24,Input!$H:$H,'5.CC Physical risk'!$A16&amp;"*",Input!$D:$D,"outras empresas nao financeiras"))/1000000</f>
        <v>0</v>
      </c>
      <c r="E16" s="80">
        <f>(SUMIFS(Input!$L:$L,Input!$K:$K,"1",Input!$E:$E,'5.CC Physical risk'!$D$24,Input!$H:$H,'5.CC Physical risk'!$A16&amp;"*",Input!$D:$D,"outras empresas nao financeiras",Input!$G:$G,"&gt;=0",Input!$G:$G,"&lt;=5")
+ SUMIFS(Input!$L:$L,Input!$K:$K,"1",Input!$E:$E,'5.CC Physical risk'!$D$24,Input!$H:$H,'5.CC Physical risk'!$A16&amp;"*",Input!$D:$D,"outras empresas nao financeiras",Input!$G:$G,"-4")
+ SUMIFS(Input!$L:$L,Input!$K:$K,"1",Input!$E:$E,'5.CC Physical risk'!$D$24,Input!$H:$H,'5.CC Physical risk'!$A16&amp;"*",Input!$D:$D,"outras empresas nao financeiras",Input!$G:$G,"-1"))/1000000</f>
        <v>0</v>
      </c>
      <c r="F16" s="80">
        <f>(SUMIFS(Input!$L:$L,Input!$K:$K,"1",Input!$E:$E,'5.CC Physical risk'!$D$24,Input!$H:$H,'5.CC Physical risk'!$A16&amp;"*",Input!$D:$D,"outras empresas nao financeiras",Input!$G:$G,"&gt;5",Input!$G:$G,"&lt;=10"))/1000000</f>
        <v>0</v>
      </c>
      <c r="G16" s="80">
        <f>(SUMIFS(Input!$L:$L,Input!$K:$K,"1",Input!$E:$E,'5.CC Physical risk'!$D$24,Input!$H:$H,'5.CC Physical risk'!$A16&amp;"*",Input!$D:$D,"outras empresas nao financeiras",Input!$G:$G,"&gt;10",Input!$G:$G,"&lt;=20"))/1000000</f>
        <v>0</v>
      </c>
      <c r="H16" s="80">
        <f>(SUMIFS(Input!$L:$L,Input!$K:$K,"1",Input!$E:$E,'5.CC Physical risk'!$D$24,Input!$H:$H,'5.CC Physical risk'!$A16&amp;"*",Input!$D:$D,"outras empresas nao financeiras",Input!$G:$G,"&gt;20")
+ SUMIFS(Input!$L:$L,Input!$K:$K,"1",Input!$E:$E,'5.CC Physical risk'!$D$24,Input!$H:$H,'5.CC Physical risk'!$A16&amp;"*",Input!$D:$D,"outras empresas nao financeiras",Input!$G:$G,"-2")
+ SUMIFS(Input!$L:$L,Input!$K:$K,"1",Input!$E:$E,'5.CC Physical risk'!$D$24,Input!$H:$H,'5.CC Physical risk'!$A16&amp;"*",Input!$D:$D,"outras empresas nao financeiras",Input!$G:$G,"-3")
+ SUMIFS(Input!$L:$L,Input!$K:$K,"1",Input!$E:$E,'5.CC Physical risk'!$D$24,Input!$H:$H,'5.CC Physical risk'!$A16&amp;"*",Input!$D:$D,"outras empresas nao financeiras",Input!$G:$G,"-5"))/1000000</f>
        <v>0</v>
      </c>
      <c r="I16" s="80">
        <f>IFERROR(ROUND(SUMIFS(Input!$M:$M,Input!$K:$K,"1",Input!$E:$E,'5.CC Physical risk'!$D$24,Input!$H:$H,'5.CC Physical risk'!$A16&amp;"*",Input!$D:$D,"outras empresas nao financeiras",Input!$G:$G,"&gt;0")
/
SUMIFS(Input!$L:$L,Input!$K:$K,"1",Input!$E:$E,'5.CC Physical risk'!$D$24,Input!$H:$H,'5.CC Physical risk'!$A16&amp;"*",Input!$D:$D,"outras empresas nao financeiras",Input!$G:$G,"&gt;0"),0),0)</f>
        <v>0</v>
      </c>
      <c r="J16" s="80">
        <f>(SUMIFS(Input!$L:$L,Input!$K:$K,"1",Input!$E:$E,'5.CC Physical risk'!$D$24,Input!$H:$H,'5.CC Physical risk'!$A16&amp;"*",Input!$D:$D,"outras empresas nao financeiras",Input!$I:$I,"&lt;&gt;"&amp;$K$24,Input!$J:$J,'5.CC Physical risk'!$J$24))/1000000</f>
        <v>0</v>
      </c>
      <c r="K16" s="80">
        <f>(SUMIFS(Input!$L:$L,Input!$K:$K,"1",Input!$E:$E,'5.CC Physical risk'!$D$24,Input!$H:$H,'5.CC Physical risk'!$A16&amp;"*",Input!$D:$D,"outras empresas nao financeiras",Input!$J:$J,"&lt;&gt;"&amp;$J$24,Input!$I:$I,'5.CC Physical risk'!$K$24))/1000000</f>
        <v>0</v>
      </c>
      <c r="L16" s="80">
        <f>(SUMIFS(Input!$L:$L,
Input!$K:$K,"1",
Input!$E:$E,'5.CC Physical risk'!$D$24,
Input!$H:$H,'5.CC Physical risk'!$A16&amp;"*",
Input!$D:$D,"outras empresas nao financeiras",
Input!$J:$J,'5.CC Physical risk'!$J$24,
Input!$I:$I,'5.CC Physical risk'!$K$24))/1000000</f>
        <v>0</v>
      </c>
      <c r="M16" s="80">
        <f>(SUMIFS(Input!$L:$L,
Input!$K:$K,"1",
Input!$E:$E,'5.CC Physical risk'!$D$24,
Input!$D:$D,"outras empresas nao financeiras",
Input!$H:$H,'5.CC Physical risk'!$A16&amp;"*",
Input!$C:$C,'5.CC Physical risk'!$M$24))/1000000</f>
        <v>0</v>
      </c>
      <c r="N16" s="80">
        <f>(SUMIFS(Input!$L:$L,
Input!$K:$K,"1",
Input!$E:$E,'5.CC Physical risk'!$D$24,
Input!$D:$D,"outras empresas nao financeiras",
Input!$H:$H,'5.CC Physical risk'!$A16&amp;"*",
Input!$C:$C,'5.CC Physical risk'!$N$24))/1000000</f>
        <v>0</v>
      </c>
      <c r="O16" s="80">
        <f>(SUMIFS(Input!$L:$L,
Input!$K:$K,"1",
Input!$E:$E,'5.CC Physical risk'!$O$24,
Input!$D:$D,"outras empresas nao financeiras",
Input!$H:$H,'5.CC Physical risk'!$A16&amp;"*"))/1000000</f>
        <v>0</v>
      </c>
      <c r="P16" s="80">
        <f>(SUMIFS(Input!$L:$L,
Input!$K:$K,"1",
Input!$E:$E,'5.CC Physical risk'!$O$24,
Input!$D:$D,"outras empresas nao financeiras",
Input!$H:$H,'5.CC Physical risk'!$A16&amp;"*",
Input!$C:$C,'5.CC Physical risk'!$M$24))/1000000</f>
        <v>0</v>
      </c>
      <c r="Q16" s="80">
        <f>(SUMIFS(Input!$L:$L,
Input!$K:$K,"1",
Input!$E:$E,'5.CC Physical risk'!$O$24,
Input!$D:$D,"outras empresas nao financeiras",
Input!$H:$H,'5.CC Physical risk'!$A16&amp;"*",
Input!$C:$C,'5.CC Physical risk'!$N$24))/1000000</f>
        <v>0</v>
      </c>
      <c r="S16" s="60"/>
    </row>
    <row r="17" spans="1:19" x14ac:dyDescent="0.2">
      <c r="A17" s="57" t="s">
        <v>68</v>
      </c>
      <c r="B17" s="58">
        <v>9</v>
      </c>
      <c r="C17" s="59" t="s">
        <v>106</v>
      </c>
      <c r="D17" s="80">
        <f>(SUMIFS(Input!$L:$L,Input!$E:$E,'5.CC Physical risk'!$D$24,Input!$H:$H,'5.CC Physical risk'!$A17&amp;"*",Input!$D:$D,"outras empresas nao financeiras"))/1000000</f>
        <v>0</v>
      </c>
      <c r="E17" s="80">
        <f>(SUMIFS(Input!$L:$L,Input!$K:$K,"1",Input!$E:$E,'5.CC Physical risk'!$D$24,Input!$H:$H,'5.CC Physical risk'!$A17&amp;"*",Input!$D:$D,"outras empresas nao financeiras",Input!$G:$G,"&gt;=0",Input!$G:$G,"&lt;=5")
+ SUMIFS(Input!$L:$L,Input!$K:$K,"1",Input!$E:$E,'5.CC Physical risk'!$D$24,Input!$H:$H,'5.CC Physical risk'!$A17&amp;"*",Input!$D:$D,"outras empresas nao financeiras",Input!$G:$G,"-4")
+ SUMIFS(Input!$L:$L,Input!$K:$K,"1",Input!$E:$E,'5.CC Physical risk'!$D$24,Input!$H:$H,'5.CC Physical risk'!$A17&amp;"*",Input!$D:$D,"outras empresas nao financeiras",Input!$G:$G,"-1"))/1000000</f>
        <v>0</v>
      </c>
      <c r="F17" s="80">
        <f>(SUMIFS(Input!$L:$L,Input!$K:$K,"1",Input!$E:$E,'5.CC Physical risk'!$D$24,Input!$H:$H,'5.CC Physical risk'!$A17&amp;"*",Input!$D:$D,"outras empresas nao financeiras",Input!$G:$G,"&gt;5",Input!$G:$G,"&lt;=10"))/1000000</f>
        <v>0</v>
      </c>
      <c r="G17" s="80">
        <f>(SUMIFS(Input!$L:$L,Input!$K:$K,"1",Input!$E:$E,'5.CC Physical risk'!$D$24,Input!$H:$H,'5.CC Physical risk'!$A17&amp;"*",Input!$D:$D,"outras empresas nao financeiras",Input!$G:$G,"&gt;10",Input!$G:$G,"&lt;=20"))/1000000</f>
        <v>0</v>
      </c>
      <c r="H17" s="80">
        <f>(SUMIFS(Input!$L:$L,Input!$K:$K,"1",Input!$E:$E,'5.CC Physical risk'!$D$24,Input!$H:$H,'5.CC Physical risk'!$A17&amp;"*",Input!$D:$D,"outras empresas nao financeiras",Input!$G:$G,"&gt;20")
+ SUMIFS(Input!$L:$L,Input!$K:$K,"1",Input!$E:$E,'5.CC Physical risk'!$D$24,Input!$H:$H,'5.CC Physical risk'!$A17&amp;"*",Input!$D:$D,"outras empresas nao financeiras",Input!$G:$G,"-2")
+ SUMIFS(Input!$L:$L,Input!$K:$K,"1",Input!$E:$E,'5.CC Physical risk'!$D$24,Input!$H:$H,'5.CC Physical risk'!$A17&amp;"*",Input!$D:$D,"outras empresas nao financeiras",Input!$G:$G,"-3")
+ SUMIFS(Input!$L:$L,Input!$K:$K,"1",Input!$E:$E,'5.CC Physical risk'!$D$24,Input!$H:$H,'5.CC Physical risk'!$A17&amp;"*",Input!$D:$D,"outras empresas nao financeiras",Input!$G:$G,"-5"))/1000000</f>
        <v>0</v>
      </c>
      <c r="I17" s="80">
        <f>IFERROR(ROUND(SUMIFS(Input!$M:$M,Input!$K:$K,"1",Input!$E:$E,'5.CC Physical risk'!$D$24,Input!$H:$H,'5.CC Physical risk'!$A17&amp;"*",Input!$D:$D,"outras empresas nao financeiras",Input!$G:$G,"&gt;0")
/
SUMIFS(Input!$L:$L,Input!$K:$K,"1",Input!$E:$E,'5.CC Physical risk'!$D$24,Input!$H:$H,'5.CC Physical risk'!$A17&amp;"*",Input!$D:$D,"outras empresas nao financeiras",Input!$G:$G,"&gt;0"),0),0)</f>
        <v>0</v>
      </c>
      <c r="J17" s="80">
        <f>(SUMIFS(Input!$L:$L,Input!$K:$K,"1",Input!$E:$E,'5.CC Physical risk'!$D$24,Input!$H:$H,'5.CC Physical risk'!$A17&amp;"*",Input!$D:$D,"outras empresas nao financeiras",Input!$I:$I,"&lt;&gt;"&amp;$K$24,Input!$J:$J,'5.CC Physical risk'!$J$24))/1000000</f>
        <v>0</v>
      </c>
      <c r="K17" s="80">
        <f>(SUMIFS(Input!$L:$L,Input!$K:$K,"1",Input!$E:$E,'5.CC Physical risk'!$D$24,Input!$H:$H,'5.CC Physical risk'!$A17&amp;"*",Input!$D:$D,"outras empresas nao financeiras",Input!$J:$J,"&lt;&gt;"&amp;$J$24,Input!$I:$I,'5.CC Physical risk'!$K$24))/1000000</f>
        <v>0</v>
      </c>
      <c r="L17" s="80">
        <f>(SUMIFS(Input!$L:$L,
Input!$K:$K,"1",
Input!$E:$E,'5.CC Physical risk'!$D$24,
Input!$H:$H,'5.CC Physical risk'!$A17&amp;"*",
Input!$D:$D,"outras empresas nao financeiras",
Input!$J:$J,'5.CC Physical risk'!$J$24,
Input!$I:$I,'5.CC Physical risk'!$K$24))/1000000</f>
        <v>0</v>
      </c>
      <c r="M17" s="80">
        <f>(SUMIFS(Input!$L:$L,
Input!$K:$K,"1",
Input!$E:$E,'5.CC Physical risk'!$D$24,
Input!$D:$D,"outras empresas nao financeiras",
Input!$H:$H,'5.CC Physical risk'!$A17&amp;"*",
Input!$C:$C,'5.CC Physical risk'!$M$24))/1000000</f>
        <v>0</v>
      </c>
      <c r="N17" s="80">
        <f>(SUMIFS(Input!$L:$L,
Input!$K:$K,"1",
Input!$E:$E,'5.CC Physical risk'!$D$24,
Input!$D:$D,"outras empresas nao financeiras",
Input!$H:$H,'5.CC Physical risk'!$A17&amp;"*",
Input!$C:$C,'5.CC Physical risk'!$N$24))/1000000</f>
        <v>0</v>
      </c>
      <c r="O17" s="80">
        <f>(SUMIFS(Input!$L:$L,
Input!$K:$K,"1",
Input!$E:$E,'5.CC Physical risk'!$O$24,
Input!$D:$D,"outras empresas nao financeiras",
Input!$H:$H,'5.CC Physical risk'!$A17&amp;"*"))/1000000</f>
        <v>0</v>
      </c>
      <c r="P17" s="80">
        <f>(SUMIFS(Input!$L:$L,
Input!$K:$K,"1",
Input!$E:$E,'5.CC Physical risk'!$O$24,
Input!$D:$D,"outras empresas nao financeiras",
Input!$H:$H,'5.CC Physical risk'!$A17&amp;"*",
Input!$C:$C,'5.CC Physical risk'!$M$24))/1000000</f>
        <v>0</v>
      </c>
      <c r="Q17" s="80">
        <f>(SUMIFS(Input!$L:$L,
Input!$K:$K,"1",
Input!$E:$E,'5.CC Physical risk'!$O$24,
Input!$D:$D,"outras empresas nao financeiras",
Input!$H:$H,'5.CC Physical risk'!$A17&amp;"*",
Input!$C:$C,'5.CC Physical risk'!$N$24))/1000000</f>
        <v>0</v>
      </c>
      <c r="S17" s="60"/>
    </row>
    <row r="18" spans="1:19" x14ac:dyDescent="0.2">
      <c r="A18" s="57" t="s">
        <v>24</v>
      </c>
      <c r="B18" s="58">
        <v>10</v>
      </c>
      <c r="C18" s="59" t="s">
        <v>107</v>
      </c>
      <c r="D18" s="83">
        <f>(SUMIFS(Input!$L:$L,
Input!$E:$E,'5.CC Physical risk'!$D$24,
Input!$F:$F,'5.CC Physical risk'!$A18&amp;"*"))/1000000</f>
        <v>0</v>
      </c>
      <c r="E18" s="85">
        <f>(SUMIFS(Input!$L:$L,Input!$K:$K,"1",Input!$E:$E,'5.CC Physical risk'!$D$24,Input!$F:$F,'5.CC Physical risk'!$A18,Input!$G:$G,"&gt;=0",Input!$G:$G,"&lt;=5")
+ SUMIFS(Input!$L:$L,Input!$K:$K,"1",Input!$E:$E,'5.CC Physical risk'!$D$24,Input!$F:$F,'5.CC Physical risk'!$A18,Input!$G:$G,"-4")
+ SUMIFS(Input!$L:$L,Input!$K:$K,"1",Input!$E:$E,'5.CC Physical risk'!$D$24,Input!$F:$F,'5.CC Physical risk'!$A18,Input!$G:$G,"-1"))/1000000</f>
        <v>0</v>
      </c>
      <c r="F18" s="85">
        <f>(SUMIFS(Input!$L:$L,Input!$K:$K,"1",Input!$E:$E,'5.CC Physical risk'!$D$24,Input!$F:$F,'5.CC Physical risk'!$A18,Input!$G:$G,"&gt;5",Input!$G:$G,"&lt;=10"))/1000000</f>
        <v>0</v>
      </c>
      <c r="G18" s="85">
        <f>(SUMIFS(Input!$L:$L,Input!$K:$K,"1",Input!$E:$E,'5.CC Physical risk'!$D$24,Input!$F:$F,'5.CC Physical risk'!$A18,Input!$G:$G,"&gt;10",Input!$G:$G,"&lt;=20"))/1000000</f>
        <v>0</v>
      </c>
      <c r="H18" s="85">
        <f>(SUMIFS(Input!$L:$L,Input!$K:$K,"1",Input!$E:$E,'5.CC Physical risk'!$D$24,Input!$F:$F,'5.CC Physical risk'!$A18,Input!$G:$G,"&gt;20")
+ SUMIFS(Input!$L:$L,Input!$K:$K,"1",Input!$E:$E,'5.CC Physical risk'!$D$24,Input!$F:$F,'5.CC Physical risk'!$A18,Input!$G:$G,"-2")
+ SUMIFS(Input!$L:$L,Input!$K:$K,"1",Input!$E:$E,'5.CC Physical risk'!$D$24,Input!$F:$F,'5.CC Physical risk'!$A18,Input!$G:$G,"-3")
+ SUMIFS(Input!$L:$L,Input!$K:$K,"1",Input!$E:$E,'5.CC Physical risk'!$D$24,Input!$F:$F,'5.CC Physical risk'!$A18,Input!$G:$G,"-5"))/1000000</f>
        <v>0</v>
      </c>
      <c r="I18" s="80">
        <f>IFERROR(ROUND(SUMIFS(Input!$M:$M,Input!$K:$K,"1",Input!$E:$E,'5.CC Physical risk'!$D$24,Input!$F:$F,'5.CC Physical risk'!$A18,Input!$G:$G,"&gt;0")
/
SUMIFS(Input!$L:$L,Input!$K:$K,"1",Input!$E:$E,'5.CC Physical risk'!$D$24,Input!$F:$F,'5.CC Physical risk'!$A18,Input!$G:$G,"&gt;0"),0),0)</f>
        <v>0</v>
      </c>
      <c r="J18" s="80">
        <f>(SUMIFS(Input!$L:$L,Input!$K:$K,"1",Input!$E:$E,'5.CC Physical risk'!$D$24,Input!$F:$F,'5.CC Physical risk'!$A18&amp;"*",Input!$J:$J,"CHRO1",Input!$I:$I,"ACUT2"))/1000000</f>
        <v>0</v>
      </c>
      <c r="K18" s="80">
        <f>(SUMIFS(Input!$L:$L,Input!$K:$K,"1",Input!$E:$E,'5.CC Physical risk'!$D$24,Input!$F:$F,'5.CC Physical risk'!$A18&amp;"*",Input!$J:$J,"CHRO2",Input!$I:$I,"ACUT1"))/1000000</f>
        <v>0</v>
      </c>
      <c r="L18" s="80">
        <f>(SUMIFS(Input!$L:$L,Input!$K:$K,"1",Input!$E:$E,'5.CC Physical risk'!$D$24,Input!$F:$F,'5.CC Physical risk'!$A18&amp;"*",Input!$J:$J,"CHRO1",Input!$I:$I,"ACUT1"))/1000000</f>
        <v>0</v>
      </c>
      <c r="M18" s="80">
        <f>SUM(SUMIFS(Input!$L:$L,
Input!$K:$K,"1",
Input!$E:$E,'5.CC Physical risk'!$D$24,
Input!$F:$F,'5.CC Physical risk'!$A18&amp;"*",
Input!$C:$C,'5.CC Physical risk'!$M$24))/1000000</f>
        <v>0</v>
      </c>
      <c r="N18" s="80">
        <f>SUM(SUMIFS(Input!$L:$L,
Input!$K:$K,"1",
Input!$E:$E,'5.CC Physical risk'!$D$24,
Input!$F:$F,'5.CC Physical risk'!$A18&amp;"*",
Input!$C:$C,'5.CC Physical risk'!$N$24))/1000000</f>
        <v>0</v>
      </c>
      <c r="O18" s="80">
        <f>SUM(SUMIFS(Input!$L:$L,
Input!$K:$K,"1",
Input!$E:$E,'5.CC Physical risk'!$O$24,
Input!$F:$F,'5.CC Physical risk'!$A18))/1000000</f>
        <v>0</v>
      </c>
      <c r="P18" s="80">
        <f>SUM(SUMIFS(Input!$L:$L,
Input!$K:$K,"1",
Input!$E:$E,'5.CC Physical risk'!$O$24,
Input!$F:$F,'5.CC Physical risk'!$A18&amp;"*",
Input!$C:$C,'5.CC Physical risk'!$M$24))/1000000</f>
        <v>0</v>
      </c>
      <c r="Q18" s="80">
        <f>SUM(SUMIFS(Input!$L:$L,
Input!$K:$K,"1",
Input!$E:$E,'5.CC Physical risk'!$O$24,
Input!$F:$F,'5.CC Physical risk'!$A18&amp;"*",
Input!$C:$C,'5.CC Physical risk'!$N$24))/1000000</f>
        <v>0</v>
      </c>
      <c r="S18" s="60"/>
    </row>
    <row r="19" spans="1:19" x14ac:dyDescent="0.2">
      <c r="A19" s="57" t="s">
        <v>25</v>
      </c>
      <c r="B19" s="58">
        <v>11</v>
      </c>
      <c r="C19" s="59" t="s">
        <v>108</v>
      </c>
      <c r="D19" s="80">
        <f>(SUMIFS(Input!$L:$L,Input!$E:$E,'5.CC Physical risk'!$D$24,Input!$F:$F,'5.CC Physical risk'!$A19&amp;"*"))/1000000</f>
        <v>0</v>
      </c>
      <c r="E19" s="80">
        <f>(SUMIFS(Input!$L:$L,Input!$K:$K,"1",Input!$E:$E,'5.CC Physical risk'!$D$24,Input!$F:$F,'5.CC Physical risk'!$A19,Input!$G:$G,"&gt;=0",Input!$G:$G,"&lt;=5")
+ SUMIFS(Input!$L:$L,Input!$K:$K,"1",Input!$E:$E,'5.CC Physical risk'!$D$24,Input!$F:$F,'5.CC Physical risk'!$A19,Input!$G:$G,"-4")
+ SUMIFS(Input!$L:$L,Input!$K:$K,"1",Input!$E:$E,'5.CC Physical risk'!$D$24,Input!$F:$F,'5.CC Physical risk'!$A19,Input!$G:$G,"-1"))/1000000</f>
        <v>0</v>
      </c>
      <c r="F19" s="80">
        <f>(SUMIFS(Input!$L:$L,Input!$K:$K,"1",Input!$E:$E,'5.CC Physical risk'!$D$24,Input!$F:$F,'5.CC Physical risk'!$A19,Input!$G:$G,"&gt;5",Input!$G:$G,"&lt;=10"))/1000000</f>
        <v>0</v>
      </c>
      <c r="G19" s="80">
        <f>(SUMIFS(Input!$L:$L,Input!$K:$K,"1",Input!$E:$E,'5.CC Physical risk'!$D$24,Input!$F:$F,'5.CC Physical risk'!$A19,Input!$G:$G,"&gt;10",Input!$G:$G,"&lt;=20"))/1000000</f>
        <v>0</v>
      </c>
      <c r="H19" s="80">
        <f>(SUMIFS(Input!$L:$L,Input!$K:$K,"1",Input!$E:$E,'5.CC Physical risk'!$D$24,Input!$F:$F,'5.CC Physical risk'!$A19,Input!$G:$G,"&gt;20")
+SUMIFS(Input!$L:$L,Input!$K:$K,"1",Input!$E:$E,'5.CC Physical risk'!$D$24,Input!$F:$F,'5.CC Physical risk'!$A19,Input!$G:$G,"-2")
+SUMIFS(Input!$L:$L,Input!$K:$K,"1",Input!$E:$E,'5.CC Physical risk'!$D$24,Input!$F:$F,'5.CC Physical risk'!$A19,Input!$G:$G,"-3")
+SUMIFS(Input!$L:$L,Input!$K:$K,"1",Input!$E:$E,'5.CC Physical risk'!$D$24,Input!$F:$F,'5.CC Physical risk'!$A19,Input!$G:$G,"-5"))/1000000</f>
        <v>0</v>
      </c>
      <c r="I19" s="80">
        <f>IFERROR(ROUND(SUMIFS(Input!$M:$M,Input!$K:$K,"1",Input!$E:$E,'5.CC Physical risk'!$D$24,Input!$F:$F,'5.CC Physical risk'!$A19,Input!$G:$G,"&gt;0")
/
SUMIFS(Input!$L:$L,Input!$K:$K,"1",Input!$E:$E,'5.CC Physical risk'!$D$24,Input!$F:$F,'5.CC Physical risk'!$A19,Input!$G:$G,"&gt;0"),0),0)</f>
        <v>0</v>
      </c>
      <c r="J19" s="80">
        <f>(SUMIFS(Input!$L:$L,Input!$K:$K,"1",Input!$E:$E,'5.CC Physical risk'!$D$24,Input!$F:$F,'5.CC Physical risk'!$A19&amp;"*",Input!$J:$J,"CHRO1",Input!$I:$I,"ACUT2"))/1000000</f>
        <v>0</v>
      </c>
      <c r="K19" s="80">
        <f>(SUMIFS(Input!$L:$L,Input!$K:$K,"1",Input!$E:$E,'5.CC Physical risk'!$D$24,Input!$F:$F,'5.CC Physical risk'!$A19&amp;"*",Input!$J:$J,"CHRO2",Input!$I:$I,"ACUT1"))/1000000</f>
        <v>0</v>
      </c>
      <c r="L19" s="80">
        <f>(SUMIFS(Input!$L:$L,Input!$K:$K,"1",Input!$E:$E,'5.CC Physical risk'!$D$24,Input!$F:$F,'5.CC Physical risk'!$A19&amp;"*",Input!$J:$J,"CHRO1",Input!$I:$I,"ACUT1"))/1000000</f>
        <v>0</v>
      </c>
      <c r="M19" s="80">
        <f>(SUMIFS(Input!$L:$L,Input!$K:$K,"1",Input!$E:$E,'5.CC Physical risk'!$D$24,Input!$F:$F,'5.CC Physical risk'!$A19&amp;"*",Input!$C:$C,'5.CC Physical risk'!$M$24))/1000000</f>
        <v>0</v>
      </c>
      <c r="N19" s="80">
        <f>(SUMIFS(Input!$L:$L,Input!$K:$K,"1",Input!$E:$E,'5.CC Physical risk'!$D$24,Input!$F:$F,'5.CC Physical risk'!$A19&amp;"*",Input!$C:$C,'5.CC Physical risk'!$N$24))/1000000</f>
        <v>0</v>
      </c>
      <c r="O19" s="80">
        <f>(SUMIFS(Input!$L:$L,Input!$K:$K,"1",Input!$E:$E,'5.CC Physical risk'!$O$24,Input!$F:$F,'5.CC Physical risk'!$A19))/1000000</f>
        <v>0</v>
      </c>
      <c r="P19" s="80">
        <f>(SUMIFS(Input!$L:$L,Input!$K:$K,"1",Input!$E:$E,'5.CC Physical risk'!$O$24,Input!$F:$F,'5.CC Physical risk'!$A19&amp;"*",Input!$C:$C,'5.CC Physical risk'!$M$24))/1000000</f>
        <v>0</v>
      </c>
      <c r="Q19" s="80">
        <f>(SUMIFS(Input!$L:$L,Input!$K:$K,"1",Input!$E:$E,'5.CC Physical risk'!$O$24,Input!$F:$F,'5.CC Physical risk'!$A19&amp;"*",Input!$C:$C,'5.CC Physical risk'!$N$24))/1000000</f>
        <v>0</v>
      </c>
      <c r="S19" s="60"/>
    </row>
    <row r="20" spans="1:19" x14ac:dyDescent="0.2">
      <c r="A20" s="57" t="s">
        <v>23</v>
      </c>
      <c r="B20" s="58">
        <v>12</v>
      </c>
      <c r="C20" s="59" t="s">
        <v>109</v>
      </c>
      <c r="D20" s="80">
        <f>(SUMIFS(Input!$L:$L,Input!$E:$E,'5.CC Physical risk'!$D$24,Input!$F:$F,'5.CC Physical risk'!$A20&amp;"*"))/1000000</f>
        <v>0</v>
      </c>
      <c r="E20" s="80">
        <f>(SUMIFS(Input!$L:$L,Input!$K:$K,"1",Input!$E:$E,'5.CC Physical risk'!$D$24,Input!$F:$F,'5.CC Physical risk'!$A20&amp;"*",Input!$G:$G,"&gt;=0",Input!$G:$G,"&lt;=5"))/1000000</f>
        <v>0</v>
      </c>
      <c r="F20" s="80">
        <f>(SUMIFS(Input!$L:$L,Input!$K:$K,"1",Input!$E:$E,'5.CC Physical risk'!$D$24,Input!$F:$F,'5.CC Physical risk'!$A20&amp;"*",Input!$G:$G,"&gt;5",Input!$G:$G,"&lt;=10"))/1000000</f>
        <v>0</v>
      </c>
      <c r="G20" s="80">
        <f>(SUMIFS(Input!$L:$L,Input!$K:$K,"1",Input!$E:$E,'5.CC Physical risk'!$D$24,Input!$F:$F,'5.CC Physical risk'!$A20&amp;"*",Input!$G:$G,"&gt;10",Input!$G:$G,"&lt;=20"))/1000000</f>
        <v>0</v>
      </c>
      <c r="H20" s="80">
        <f>(SUMIFS(Input!$L:$L,Input!$K:$K,"1",Input!$E:$E,'5.CC Physical risk'!$D$24,Input!$F:$F,'5.CC Physical risk'!$A20,Input!$G:$G,"&gt;20")
+SUMIFS(Input!$L:$L,Input!$K:$K,"1",Input!$E:$E,'5.CC Physical risk'!$D$24,Input!$F:$F,'5.CC Physical risk'!$A20,Input!$G:$G,"-2")
+SUMIFS(Input!$L:$L,Input!$K:$K,"1",Input!$E:$E,'5.CC Physical risk'!$D$24,Input!$F:$F,'5.CC Physical risk'!$A20,Input!$G:$G,"-3")
+SUMIFS(Input!$L:$L,Input!$K:$K,"1",Input!$E:$E,'5.CC Physical risk'!$D$24,Input!$F:$F,'5.CC Physical risk'!$A20,Input!$G:$G,"-5"))/1000000</f>
        <v>0</v>
      </c>
      <c r="I20" s="80">
        <f>IFERROR(ROUND(SUMIFS(Input!$M:$M,Input!$K:$K,"1",Input!$E:$E,'5.CC Physical risk'!$D$24,Input!$F:$F,'5.CC Physical risk'!$A20,Input!$G:$G,"&gt;0")
/
SUMIFS(Input!$L:$L,Input!$K:$K,"1",Input!$E:$E,'5.CC Physical risk'!$D$24,Input!$F:$F,'5.CC Physical risk'!$A20,Input!$G:$G,"&gt;0"),0),0)</f>
        <v>0</v>
      </c>
      <c r="J20" s="80">
        <f>(SUMIFS(Input!$L:$L,Input!$K:$K,"1",Input!$E:$E,'5.CC Physical risk'!$D$24,Input!$F:$F,'5.CC Physical risk'!$A20&amp;"*",Input!$J:$J,"CHRO1",Input!$I:$I,"ACUT2"))/1000000</f>
        <v>0</v>
      </c>
      <c r="K20" s="80">
        <f>(SUMIFS(Input!$L:$L,Input!$K:$K,"1",Input!$E:$E,'5.CC Physical risk'!$D$24,Input!$F:$F,'5.CC Physical risk'!$A20&amp;"*",Input!$J:$J,"CHRO2",Input!$I:$I,"ACUT1"))/1000000</f>
        <v>0</v>
      </c>
      <c r="L20" s="80">
        <f>(SUMIFS(Input!$L:$L,Input!$K:$K,"1",Input!$E:$E,'5.CC Physical risk'!$D$24,Input!$F:$F,'5.CC Physical risk'!$A20&amp;"*",Input!$J:$J,"CHRO1",Input!$I:$I,"ACUT1"))/1000000</f>
        <v>0</v>
      </c>
      <c r="M20" s="80">
        <f>(SUMIFS(Input!$L:$L,Input!$E:$E,'5.CC Physical risk'!$D$24,Input!$K:$K,"1",Input!$F:$F,'5.CC Physical risk'!$A20,Input!$C:$C,'5.CC Physical risk'!$M$24))/1000000</f>
        <v>0</v>
      </c>
      <c r="N20" s="80">
        <f>(SUMIFS(Input!$L:$L,Input!$E:$E,'5.CC Physical risk'!$D$24,Input!$K:$K,"1",Input!$K:$K,'5.CC Physical risk'!$A20,Input!$C:$C,'5.CC Physical risk'!$N$24))/1000000</f>
        <v>0</v>
      </c>
      <c r="O20" s="80">
        <f>(SUMIFS(Input!$L:$L,Input!$K:$K,"1",Input!$E:$E,'5.CC Physical risk'!$O$24,Input!$F:$F,'5.CC Physical risk'!$A20))/1000000</f>
        <v>0</v>
      </c>
      <c r="P20" s="80">
        <f>(SUMIFS(Input!$L:$L,Input!$E:$E,'5.CC Physical risk'!$O$24,Input!$K:$K,"1",Input!$F:$F,'5.CC Physical risk'!$A20,Input!$C:$C,'5.CC Physical risk'!$M$24))/1000000</f>
        <v>0</v>
      </c>
      <c r="Q20" s="80">
        <f>(SUMIFS(Input!$L:$L,Input!$E:$E,'5.CC Physical risk'!$O$24,Input!$K:$K,"1",Input!$F:$F,'5.CC Physical risk'!$A20,Input!$C:$C,'5.CC Physical risk'!$N$24))/1000000</f>
        <v>0</v>
      </c>
      <c r="S20" s="60"/>
    </row>
    <row r="21" spans="1:19" x14ac:dyDescent="0.2">
      <c r="A21" s="57" t="s">
        <v>69</v>
      </c>
      <c r="B21" s="58">
        <v>13</v>
      </c>
      <c r="C21" s="61" t="s">
        <v>110</v>
      </c>
      <c r="D21" s="80">
        <f>(SUMIFS(Input!$L:$L,Input!$E:$E,'5.CC Physical risk'!$D$24,Input!$H:$H,'5.CC Physical risk'!$A21&amp;"*",Input!$D:$D,"outras empresas nao financeiras"))/1000000</f>
        <v>0</v>
      </c>
      <c r="E21" s="80">
        <f>(SUMIFS(Input!$L:$L,Input!$K:$K,"1",Input!$E:$E,'5.CC Physical risk'!$D$24,Input!$H:$H,'5.CC Physical risk'!$A21&amp;"*",Input!$D:$D,"outras empresas nao financeiras",Input!$G:$G,"&gt;=0",Input!$G:$G,"&lt;=5")
+ SUMIFS(Input!$L:$L,Input!$K:$K,"1",Input!$E:$E,'5.CC Physical risk'!$D$24,Input!$H:$H,'5.CC Physical risk'!$A21&amp;"*",Input!$D:$D,"outras empresas nao financeiras",Input!$G:$G,"-4")
+ SUMIFS(Input!$L:$L,Input!$K:$K,"1",Input!$E:$E,'5.CC Physical risk'!$D$24,Input!$H:$H,'5.CC Physical risk'!$A21&amp;"*",Input!$D:$D,"outras empresas nao financeiras",Input!$G:$G,"-1"))/1000000</f>
        <v>0</v>
      </c>
      <c r="F21" s="80">
        <f>(SUMIFS(Input!$L:$L,Input!$K:$K,"1",Input!$E:$E,'5.CC Physical risk'!$D$24,Input!$H:$H,'5.CC Physical risk'!$A21&amp;"*",Input!$D:$D,"outras empresas nao financeiras",Input!$G:$G,"&gt;5",Input!$G:$G,"&lt;=10"))/1000000</f>
        <v>0</v>
      </c>
      <c r="G21" s="80">
        <f>(SUMIFS(Input!$L:$L,Input!$K:$K,"1",Input!$E:$E,'5.CC Physical risk'!$D$24,Input!$H:$H,'5.CC Physical risk'!$A21&amp;"*",Input!$D:$D,"outras empresas nao financeiras",Input!$G:$G,"&gt;10",Input!$G:$G,"&lt;=20"))/1000000</f>
        <v>0</v>
      </c>
      <c r="H21" s="80">
        <f>(SUMIFS(Input!$L:$L,Input!$K:$K,"1",Input!$E:$E,'5.CC Physical risk'!$D$24,Input!$H:$H,'5.CC Physical risk'!$A21&amp;"*",Input!$D:$D,"outras empresas nao financeiras",Input!$G:$G,"&gt;20")
+ SUMIFS(Input!$L:$L,Input!$K:$K,"1",Input!$E:$E,'5.CC Physical risk'!$D$24,Input!$H:$H,'5.CC Physical risk'!$A21&amp;"*",Input!$D:$D,"outras empresas nao financeiras",Input!$G:$G,"-2")
+ SUMIFS(Input!$L:$L,Input!$K:$K,"1",Input!$E:$E,'5.CC Physical risk'!$D$24,Input!$H:$H,'5.CC Physical risk'!$A21&amp;"*",Input!$D:$D,"outras empresas nao financeiras",Input!$G:$G,"-3")
+ SUMIFS(Input!$L:$L,Input!$K:$K,"1",Input!$E:$E,'5.CC Physical risk'!$D$24,Input!$H:$H,'5.CC Physical risk'!$A21&amp;"*",Input!$D:$D,"outras empresas nao financeiras",Input!$G:$G,"-5"))/1000000</f>
        <v>0</v>
      </c>
      <c r="I21" s="80">
        <f>IFERROR(ROUND(SUMIFS(Input!$M:$M,Input!$K:$K,"1",Input!$E:$E,'5.CC Physical risk'!$D$24,Input!$H:$H,'5.CC Physical risk'!$A21&amp;"*",Input!$D:$D,"outras empresas nao financeiras",Input!$G:$G,"&gt;0")
/
SUMIFS(Input!$L:$L,Input!$K:$K,"1",Input!$E:$E,'5.CC Physical risk'!$D$24,Input!$H:$H,'5.CC Physical risk'!$A21&amp;"*",Input!$D:$D,"outras empresas nao financeiras",Input!$G:$G,"&gt;0"),0),0)</f>
        <v>0</v>
      </c>
      <c r="J21" s="80">
        <f>(SUMIFS(Input!$L:$L,Input!$K:$K,"1",Input!$E:$E,'5.CC Physical risk'!$D$24,Input!$H:$H,'5.CC Physical risk'!$A21&amp;"*",Input!$D:$D,"outras empresas nao financeiras",Input!$I:$I,"&lt;&gt;"&amp;$K$24,Input!$J:$J,'5.CC Physical risk'!$J$24))/1000000</f>
        <v>0</v>
      </c>
      <c r="K21" s="80">
        <f>(SUMIFS(Input!$L:$L,Input!$K:$K,"1",Input!$E:$E,'5.CC Physical risk'!$D$24,Input!$H:$H,'5.CC Physical risk'!$A21&amp;"*",Input!$D:$D,"outras empresas nao financeiras",Input!$J:$J,"&lt;&gt;"&amp;$J$24,Input!$I:$I,'5.CC Physical risk'!$K$24))/1000000</f>
        <v>0</v>
      </c>
      <c r="L21" s="80">
        <f>(SUMIFS(Input!$L:$L,Input!$K:$K,"1",Input!$E:$E,'5.CC Physical risk'!$D$24,Input!$H:$H,'5.CC Physical risk'!$A21&amp;"*",Input!$D:$D,"outras empresas nao financeiras",Input!$J:$J,'5.CC Physical risk'!$J$24,Input!$I:$I,'5.CC Physical risk'!$K$24))/1000000</f>
        <v>0</v>
      </c>
      <c r="M21" s="80">
        <f>(SUMIFS(Input!$L:$L,
Input!$K:$K,"1",
Input!$E:$E,'5.CC Physical risk'!$D$24,
Input!$D:$D,"outras empresas nao financeiras",
Input!$H:$H,'5.CC Physical risk'!$A21&amp;"*",
Input!$C:$C,'5.CC Physical risk'!$M$24))/1000000</f>
        <v>0</v>
      </c>
      <c r="N21" s="80">
        <f>(SUMIFS(Input!$L:$L,
Input!$K:$K,"1",
Input!$E:$E,'5.CC Physical risk'!$D$24,
Input!$D:$D,"outras empresas nao financeiras",
Input!$H:$H,'5.CC Physical risk'!$A21&amp;"*",
Input!$C:$C,'5.CC Physical risk'!$N$24))/1000000</f>
        <v>0</v>
      </c>
      <c r="O21" s="80">
        <f>(SUMIFS(Input!$L:$L,
Input!$K:$K,"1",
Input!$E:$E,'5.CC Physical risk'!$O$24,
Input!$D:$D,"outras empresas nao financeiras",
Input!$H:$H,'5.CC Physical risk'!$A21&amp;"*"))/1000000</f>
        <v>0</v>
      </c>
      <c r="P21" s="80">
        <f>(SUMIFS(Input!$L:$L,
Input!$K:$K,"1",
Input!$E:$E,'5.CC Physical risk'!$O$24,
Input!$D:$D,"outras empresas nao financeiras",
Input!$H:$H,'5.CC Physical risk'!$A21&amp;"*",
Input!$C:$C,'5.CC Physical risk'!$M$24))/1000000</f>
        <v>0</v>
      </c>
      <c r="Q21" s="80">
        <f>(SUMIFS(Input!$L:$L,
Input!$K:$K,"1",
Input!$E:$E,'5.CC Physical risk'!$O$24,
Input!$D:$D,"outras empresas nao financeiras",
Input!$H:$H,'5.CC Physical risk'!$A21&amp;"*",
Input!$C:$C,'5.CC Physical risk'!$N$24))/1000000</f>
        <v>0</v>
      </c>
      <c r="S21" s="60"/>
    </row>
    <row r="22" spans="1:19" x14ac:dyDescent="0.2">
      <c r="A22" s="57" t="s">
        <v>74</v>
      </c>
      <c r="B22" s="58">
        <v>13</v>
      </c>
      <c r="C22" s="59" t="s">
        <v>111</v>
      </c>
      <c r="D22" s="80">
        <f>(SUMIFS(Input!$L:$L,Input!$E:$E,'5.CC Physical risk'!$D$24,Input!$H:$H,'5.CC Physical risk'!$A22&amp;"*",Input!$D:$D,"outras empresas nao financeiras"))/1000000</f>
        <v>0</v>
      </c>
      <c r="E22" s="80">
        <f>(SUMIFS(Input!$L:$L,Input!$K:$K,"1",Input!$E:$E,'5.CC Physical risk'!$D$24,Input!$H:$H,'5.CC Physical risk'!$A22&amp;"*",Input!$D:$D,"outras empresas nao financeiras",Input!$G:$G,"&gt;=0",Input!$G:$G,"&lt;=5")
+ SUMIFS(Input!$L:$L,Input!$K:$K,"1",Input!$E:$E,'5.CC Physical risk'!$D$24,Input!$H:$H,'5.CC Physical risk'!$A22&amp;"*",Input!$D:$D,"outras empresas nao financeiras",Input!$G:$G,"-4")
+ SUMIFS(Input!$L:$L,Input!$K:$K,"1",Input!$E:$E,'5.CC Physical risk'!$D$24,Input!$H:$H,'5.CC Physical risk'!$A22&amp;"*",Input!$D:$D,"outras empresas nao financeiras",Input!$G:$G,"-1"))/1000000</f>
        <v>0</v>
      </c>
      <c r="F22" s="80">
        <f>(SUMIFS(Input!$L:$L,Input!$K:$K,"1",Input!$E:$E,'5.CC Physical risk'!$D$24,Input!$H:$H,'5.CC Physical risk'!$A22&amp;"*",Input!$D:$D,"outras empresas nao financeiras",Input!$G:$G,"&gt;5",Input!$G:$G,"&lt;=10"))/1000000</f>
        <v>0</v>
      </c>
      <c r="G22" s="80">
        <f>(SUMIFS(Input!$L:$L,Input!$K:$K,"1",Input!$E:$E,'5.CC Physical risk'!$D$24,Input!$H:$H,'5.CC Physical risk'!$A22&amp;"*",Input!$D:$D,"outras empresas nao financeiras",Input!$G:$G,"&gt;10",Input!$G:$G,"&lt;=20"))/1000000</f>
        <v>0</v>
      </c>
      <c r="H22" s="80">
        <f>(SUMIFS(Input!$L:$L,Input!$K:$K,"1",Input!$E:$E,'5.CC Physical risk'!$D$24,Input!$H:$H,'5.CC Physical risk'!$A22&amp;"*",Input!$D:$D,"outras empresas nao financeiras",Input!$G:$G,"&gt;20")
+ SUMIFS(Input!$L:$L,Input!$K:$K,"1",Input!$E:$E,'5.CC Physical risk'!$D$24,Input!$H:$H,'5.CC Physical risk'!$A22&amp;"*",Input!$D:$D,"outras empresas nao financeiras",Input!$G:$G,"-2")
+ SUMIFS(Input!$L:$L,Input!$K:$K,"1",Input!$E:$E,'5.CC Physical risk'!$D$24,Input!$H:$H,'5.CC Physical risk'!$A22&amp;"*",Input!$D:$D,"outras empresas nao financeiras",Input!$G:$G,"-3")
+ SUMIFS(Input!$L:$L,Input!$K:$K,"1",Input!$E:$E,'5.CC Physical risk'!$D$24,Input!$H:$H,'5.CC Physical risk'!$A22&amp;"*",Input!$D:$D,"outras empresas nao financeiras",Input!$G:$G,"-5"))/1000000</f>
        <v>0</v>
      </c>
      <c r="I22" s="80">
        <f>IFERROR(ROUND(SUMIFS(Input!$M:$M,Input!$K:$K,"1",Input!$E:$E,'5.CC Physical risk'!$D$24,Input!$H:$H,'5.CC Physical risk'!$A22&amp;"*",Input!$D:$D,"outras empresas nao financeiras",Input!$G:$G,"&gt;0")
/
SUMIFS(Input!$L:$L,Input!$K:$K,"1",Input!$E:$E,'5.CC Physical risk'!$D$24,Input!$H:$H,'5.CC Physical risk'!$A22&amp;"*",Input!$D:$D,"outras empresas nao financeiras",Input!$G:$G,"&gt;0"),0),0)</f>
        <v>0</v>
      </c>
      <c r="J22" s="80">
        <f>(SUMIFS(Input!$L:$L,Input!$K:$K,"1",Input!$E:$E,'5.CC Physical risk'!$D$24,Input!$H:$H,'5.CC Physical risk'!$A22&amp;"*",Input!$D:$D,"outras empresas nao financeiras",Input!$I:$I,"&lt;&gt;"&amp;$K$24,Input!$J:$J,'5.CC Physical risk'!$J$24))/1000000</f>
        <v>0</v>
      </c>
      <c r="K22" s="80">
        <f>(SUMIFS(Input!$L:$L,Input!$K:$K,"1",Input!$E:$E,'5.CC Physical risk'!$D$24,Input!$H:$H,'5.CC Physical risk'!$A22&amp;"*",Input!$D:$D,"outras empresas nao financeiras",Input!$J:$J,"&lt;&gt;"&amp;$J$24,Input!$I:$I,'5.CC Physical risk'!$K$24))/1000000</f>
        <v>0</v>
      </c>
      <c r="L22" s="80">
        <f>(SUMIFS(Input!$L:$L,Input!$K:$K,"1",Input!$E:$E,'5.CC Physical risk'!$D$24,Input!$H:$H,'5.CC Physical risk'!$A22&amp;"*",Input!$D:$D,"outras empresas nao financeiras",Input!$J:$J,'5.CC Physical risk'!$J$24,Input!$I:$I,'5.CC Physical risk'!$K$24))/1000000</f>
        <v>0</v>
      </c>
      <c r="M22" s="80">
        <f>(SUMIFS(Input!$L:$L,
Input!$K:$K,"1",
Input!$E:$E,'5.CC Physical risk'!$D$24,
Input!$D:$D,"outras empresas nao financeiras",
Input!$H:$H,'5.CC Physical risk'!$A22&amp;"*",
Input!$C:$C,'5.CC Physical risk'!$M$24))/1000000</f>
        <v>0</v>
      </c>
      <c r="N22" s="80">
        <f>(SUMIFS(Input!$L:$L,
Input!$K:$K,"1",
Input!$E:$E,'5.CC Physical risk'!$D$24,
Input!$D:$D,"outras empresas nao financeiras",
Input!$H:$H,'5.CC Physical risk'!$A22&amp;"*",
Input!$C:$C,'5.CC Physical risk'!$N$24))/1000000</f>
        <v>0</v>
      </c>
      <c r="O22" s="80">
        <f>(SUMIFS(Input!$L:$L,
Input!$K:$K,"1",
Input!$E:$E,'5.CC Physical risk'!$O$24,
Input!$D:$D,"outras empresas nao financeiras",
Input!$H:$H,'5.CC Physical risk'!$A22&amp;"*"))/1000000</f>
        <v>0</v>
      </c>
      <c r="P22" s="80">
        <f>(SUMIFS(Input!$L:$L,
Input!$K:$K,"1",
Input!$E:$E,'5.CC Physical risk'!$O$24,
Input!$D:$D,"outras empresas nao financeiras",
Input!$H:$H,'5.CC Physical risk'!$A22&amp;"*",
Input!$C:$C,'5.CC Physical risk'!$M$24))/1000000</f>
        <v>0</v>
      </c>
      <c r="Q22" s="80">
        <f>(SUMIFS(Input!$L:$L,
Input!$K:$K,"1",
Input!$E:$E,'5.CC Physical risk'!$O$24,
Input!$D:$D,"outras empresas nao financeiras",
Input!$H:$H,'5.CC Physical risk'!$A22&amp;"*",
Input!$C:$C,'5.CC Physical risk'!$N$24))/1000000</f>
        <v>0</v>
      </c>
      <c r="S22" s="60"/>
    </row>
    <row r="23" spans="1:19" x14ac:dyDescent="0.2">
      <c r="A23" s="57" t="s">
        <v>112</v>
      </c>
      <c r="B23" s="58">
        <v>13</v>
      </c>
      <c r="C23" s="59" t="s">
        <v>113</v>
      </c>
      <c r="D23" s="80">
        <f>(SUMIFS(Input!$L:$L,Input!$E:$E,'5.CC Physical risk'!$D$24,Input!$H:$H,"J*",Input!$D:$D,"outras empresas nao financeiras")
+SUMIFS(Input!$L:$L,Input!$E:$E,'5.CC Physical risk'!$D$24,Input!$H:$H,"M*",Input!$D:$D,"outras empresas nao financeiras")+
SUMIFS(Input!$L:$L,Input!$E:$E,'5.CC Physical risk'!$D$24,Input!$H:$H,"N*",Input!$D:$D,"outras empresas nao financeiras")+
SUMIFS(Input!$L:$L,Input!$E:$E,'5.CC Physical risk'!$D$24,Input!$H:$H,"O*",Input!$D:$D,"outras empresas nao financeiras")+
SUMIFS(Input!$L:$L,Input!$E:$E,'5.CC Physical risk'!$D$24,Input!$H:$H,"P*",Input!$D:$D,"outras empresas nao financeiras")+
SUMIFS(Input!$L:$L,Input!$E:$E,'5.CC Physical risk'!$D$24,Input!$H:$H,"Q*",Input!$D:$D,"outras empresas nao financeiras")+
SUMIFS(Input!$L:$L,Input!$E:$E,'5.CC Physical risk'!$D$24,Input!$H:$H,"R*",Input!$D:$D,"outras empresas nao financeiras")+
SUMIFS(Input!$L:$L,Input!$E:$E,'5.CC Physical risk'!$D$24,Input!$H:$H,"S*",Input!$D:$D,"outras empresas nao financeiras")+
SUMIFS(Input!$L:$L,Input!$E:$E,'5.CC Physical risk'!$D$24,Input!$H:$H,"T*",Input!$D:$D,"outras empresas nao financeiras")+
SUMIFS(Input!$L:$L,Input!$E:$E,'5.CC Physical risk'!$D$24,Input!$H:$H,"U*",Input!$D:$D,"outras empresas nao financeiras"))/1000000</f>
        <v>0</v>
      </c>
      <c r="E23" s="80">
        <f>(SUMIFS(Input!$L:$L,Input!$D:$D,"outras empresas nao financeiras",Input!$K:$K,"1",Input!$E:$E,'5.CC Physical risk'!$D$24,Input!$H:$H,"J*",Input!$G:$G,"&gt;=0",Input!$G:$G,"&lt;=5")
+ SUMIFS(Input!$L:$L,Input!$D:$D,"outras empresas nao financeiras",Input!$K:$K,"1",Input!$E:$E,'5.CC Physical risk'!$D$24,Input!$H:$H,"J*",Input!$G:$G,"-4")
+ SUMIFS(Input!$L:$L,Input!$D:$D,"outras empresas nao financeiras",Input!$K:$K,"1",Input!$E:$E,'5.CC Physical risk'!$D$24,Input!$H:$H,"J*",Input!$G:$G,"-1")
+SUMIFS(Input!$L:$L,Input!$D:$D,"outras empresas nao financeiras",Input!$K:$K,"1",Input!$E:$E,'5.CC Physical risk'!$D$24,Input!$H:$H,"M*",Input!$G:$G,"&gt;=0",Input!$G:$G,"&lt;=5")
+ SUMIFS(Input!$L:$L,Input!$D:$D,"outras empresas nao financeiras",Input!$K:$K,"1",Input!$E:$E,'5.CC Physical risk'!$D$24,Input!$H:$H,"M*",Input!$G:$G,"-4")
+ SUMIFS(Input!$L:$L,Input!$D:$D,"outras empresas nao financeiras",Input!$K:$K,"1",Input!$E:$E,'5.CC Physical risk'!$D$24,Input!$H:$H,"M*",Input!$G:$G,"-1")
+SUMIFS(Input!$L:$L,Input!$D:$D,"outras empresas nao financeiras",Input!$K:$K,"1",Input!$E:$E,'5.CC Physical risk'!$D$24,Input!$H:$H,"N*",Input!$G:$G,"&gt;=0",Input!$G:$G,"&lt;=5")
+ SUMIFS(Input!$L:$L,Input!$D:$D,"outras empresas nao financeiras",Input!$K:$K,"1",Input!$E:$E,'5.CC Physical risk'!$D$24,Input!$H:$H,"N*",Input!$G:$G,"-4")
+ SUMIFS(Input!$L:$L,Input!$D:$D,"outras empresas nao financeiras",Input!$K:$K,"1",Input!$E:$E,'5.CC Physical risk'!$D$24,Input!$H:$H,"N*",Input!$G:$G,"-1")
+SUMIFS(Input!$L:$L,Input!$D:$D,"outras empresas nao financeiras",Input!$K:$K,"1",Input!$E:$E,'5.CC Physical risk'!$D$24,Input!$H:$H,"O*",Input!$G:$G,"&gt;=0",Input!$G:$G,"&lt;=5")
+ SUMIFS(Input!$L:$L,Input!$D:$D,"outras empresas nao financeiras",Input!$K:$K,"1",Input!$E:$E,'5.CC Physical risk'!$D$24,Input!$H:$H,"O*",Input!$G:$G,"-4")
+ SUMIFS(Input!$L:$L,Input!$D:$D,"outras empresas nao financeiras",Input!$K:$K,"1",Input!$E:$E,'5.CC Physical risk'!$D$24,Input!$H:$H,"O*",Input!$G:$G,"-1")
+SUMIFS(Input!$L:$L,Input!$D:$D,"outras empresas nao financeiras",Input!$K:$K,"1",Input!$E:$E,'5.CC Physical risk'!$D$24,Input!$H:$H,"P*",Input!$G:$G,"&gt;=0",Input!$G:$G,"&lt;=5")
+ SUMIFS(Input!$L:$L,Input!$D:$D,"outras empresas nao financeiras",Input!$K:$K,"1",Input!$E:$E,'5.CC Physical risk'!$D$24,Input!$H:$H,"P*",Input!$G:$G,"-4")
+ SUMIFS(Input!$L:$L,Input!$D:$D,"outras empresas nao financeiras",Input!$K:$K,"1",Input!$E:$E,'5.CC Physical risk'!$D$24,Input!$H:$H,"P*",Input!$G:$G,"-1")
+SUMIFS(Input!$L:$L,Input!$D:$D,"outras empresas nao financeiras",Input!$K:$K,"1",Input!$E:$E,'5.CC Physical risk'!$D$24,Input!$H:$H,"Q*",Input!$G:$G,"&gt;=0",Input!$G:$G,"&lt;=5")
+ SUMIFS(Input!$L:$L,Input!$D:$D,"outras empresas nao financeiras",Input!$K:$K,"1",Input!$E:$E,'5.CC Physical risk'!$D$24,Input!$H:$H,"Q*",Input!$G:$G,"-4")
+ SUMIFS(Input!$L:$L,Input!$D:$D,"outras empresas nao financeiras",Input!$K:$K,"1",Input!$E:$E,'5.CC Physical risk'!$D$24,Input!$H:$H,"Q*",Input!$G:$G,"-1")
+SUMIFS(Input!$L:$L,Input!$D:$D,"outras empresas nao financeiras",Input!$K:$K,"1",Input!$E:$E,'5.CC Physical risk'!$D$24,Input!$H:$H,"R*",Input!$G:$G,"&gt;=0",Input!$G:$G,"&lt;=5")
+ SUMIFS(Input!$L:$L,Input!$D:$D,"outras empresas nao financeiras",Input!$K:$K,"1",Input!$E:$E,'5.CC Physical risk'!$D$24,Input!$H:$H,"R*",Input!$G:$G,"-4")
+ SUMIFS(Input!$L:$L,Input!$D:$D,"outras empresas nao financeiras",Input!$K:$K,"1",Input!$E:$E,'5.CC Physical risk'!$D$24,Input!$H:$H,"R*",Input!$G:$G,"-1")
+SUMIFS(Input!$L:$L,Input!$D:$D,"outras empresas nao financeiras",Input!$K:$K,"1",Input!$E:$E,'5.CC Physical risk'!$D$24,Input!$H:$H,"S*",Input!$G:$G,"&gt;=0",Input!$G:$G,"&lt;=5")
+ SUMIFS(Input!$L:$L,Input!$D:$D,"outras empresas nao financeiras",Input!$K:$K,"1",Input!$E:$E,'5.CC Physical risk'!$D$24,Input!$H:$H,"S*",Input!$G:$G,"-4")
+ SUMIFS(Input!$L:$L,Input!$D:$D,"outras empresas nao financeiras",Input!$K:$K,"1",Input!$E:$E,'5.CC Physical risk'!$D$24,Input!$H:$H,"S*",Input!$G:$G,"-1")
+SUMIFS(Input!$L:$L,Input!$D:$D,"outras empresas nao financeiras",Input!$K:$K,"1",Input!$E:$E,'5.CC Physical risk'!$D$24,Input!$H:$H,"T*",Input!$G:$G,"&gt;=0",Input!$G:$G,"&lt;=5")
+ SUMIFS(Input!$L:$L,Input!$D:$D,"outras empresas nao financeiras",Input!$K:$K,"1",Input!$E:$E,'5.CC Physical risk'!$D$24,Input!$H:$H,"T*",Input!$G:$G,"-4")
+ SUMIFS(Input!$L:$L,Input!$D:$D,"outras empresas nao financeiras",Input!$K:$K,"1",Input!$E:$E,'5.CC Physical risk'!$D$24,Input!$H:$H,"T*",Input!$G:$G,"-1")
+SUMIFS(Input!$L:$L,Input!$D:$D,"outras empresas nao financeiras",Input!$K:$K,"1",Input!$E:$E,'5.CC Physical risk'!$D$24,Input!$H:$H,"U*",Input!$G:$G,"&gt;=0",Input!$G:$G,"&lt;=5")
+ SUMIFS(Input!$L:$L,Input!$D:$D,"outras empresas nao financeiras",Input!$K:$K,"1",Input!$E:$E,'5.CC Physical risk'!$D$24,Input!$H:$H,"U*",Input!$G:$G,"-4")
+ SUMIFS(Input!$L:$L,Input!$D:$D,"outras empresas nao financeiras",Input!$K:$K,"1",Input!$E:$E,'5.CC Physical risk'!$D$24,Input!$H:$H,"U*",Input!$G:$G,"-1"))/1000000</f>
        <v>0</v>
      </c>
      <c r="F23" s="80">
        <f>(SUMIFS(Input!$L:$L,Input!$K:$K,"1",Input!$E:$E,'5.CC Physical risk'!$D$24,Input!$H:$H,"J*",Input!$D:$D,"outras empresas nao financeiras",Input!$G:$G,"&gt;5",Input!$G:$G,"&lt;=10")
+SUMIFS(Input!$L:$L,Input!$K:$K,"1",Input!$E:$E,'5.CC Physical risk'!$D$24,Input!$H:$H,"M*",Input!$D:$D,"outras empresas nao financeiras",Input!$G:$G,"&gt;5",Input!$G:$G,"&lt;=10")
+SUMIFS(Input!$L:$L,Input!$K:$K,"1",Input!$E:$E,'5.CC Physical risk'!$D$24,Input!$H:$H,"N*",Input!$D:$D,"outras empresas nao financeiras",Input!$G:$G,"&gt;5",Input!$G:$G,"&lt;=10")
+SUMIFS(Input!$L:$L,Input!$K:$K,"1",Input!$E:$E,'5.CC Physical risk'!$D$24,Input!$H:$H,"O*",Input!$D:$D,"outras empresas nao financeiras",Input!$G:$G,"&gt;5",Input!$G:$G,"&lt;=10")
+SUMIFS(Input!$L:$L,Input!$K:$K,"1",Input!$E:$E,'5.CC Physical risk'!$D$24,Input!$H:$H,"P*",Input!$D:$D,"outras empresas nao financeiras",Input!$G:$G,"&gt;5",Input!$G:$G,"&lt;=10")
+SUMIFS(Input!$L:$L,Input!$K:$K,"1",Input!$E:$E,'5.CC Physical risk'!$D$24,Input!$H:$H,"Q*",Input!$D:$D,"outras empresas nao financeiras",Input!$G:$G,"&gt;5",Input!$G:$G,"&lt;=10")
+SUMIFS(Input!$L:$L,Input!$K:$K,"1",Input!$E:$E,'5.CC Physical risk'!$D$24,Input!$H:$H,"R*",Input!$D:$D,"outras empresas nao financeiras",Input!$G:$G,"&gt;5",Input!$G:$G,"&lt;=10")
+SUMIFS(Input!$L:$L,Input!$K:$K,"1",Input!$E:$E,'5.CC Physical risk'!$D$24,Input!$H:$H,"S*",Input!$D:$D,"outras empresas nao financeiras",Input!$G:$G,"&gt;5",Input!$G:$G,"&lt;=10")
+SUMIFS(Input!$L:$L,Input!$K:$K,"1",Input!$E:$E,'5.CC Physical risk'!$D$24,Input!$H:$H,"T*",Input!$D:$D,"outras empresas nao financeiras",Input!$G:$G,"&gt;5",Input!$G:$G,"&lt;=10")
+SUMIFS(Input!$L:$L,Input!$K:$K,"1",Input!$E:$E,'5.CC Physical risk'!$D$24,Input!$H:$H,"U*",Input!$D:$D,"outras empresas nao financeiras",Input!$G:$G,"&gt;5",Input!$G:$G,"&lt;=10"))/1000000</f>
        <v>0</v>
      </c>
      <c r="G23" s="80">
        <f>(SUMIFS(Input!$L:$L,Input!$K:$K,"1",Input!$E:$E,'5.CC Physical risk'!$D$24,Input!$H:$H,"J*",Input!$D:$D,"outras empresas nao financeiras",Input!$G:$G,"&gt;10",Input!$G:$G,"&lt;=20")
+SUMIFS(Input!$L:$L,Input!$K:$K,"1",Input!$E:$E,'5.CC Physical risk'!$D$24,Input!$H:$H,"M*",Input!$D:$D,"outras empresas nao financeiras",Input!$G:$G,"&gt;10",Input!$G:$G,"&lt;=20")
+SUMIFS(Input!$L:$L,Input!$K:$K,"1",Input!$E:$E,'5.CC Physical risk'!$D$24,Input!$H:$H,"N*",Input!$D:$D,"outras empresas nao financeiras",Input!$G:$G,"&gt;10",Input!$G:$G,"&lt;=20")
+SUMIFS(Input!$L:$L,Input!$K:$K,"1",Input!$E:$E,'5.CC Physical risk'!$D$24,Input!$H:$H,"O*",Input!$D:$D,"outras empresas nao financeiras",Input!$G:$G,"&gt;10",Input!$G:$G,"&lt;=20")
+SUMIFS(Input!$L:$L,Input!$K:$K,"1",Input!$E:$E,'5.CC Physical risk'!$D$24,Input!$H:$H,"P*",Input!$D:$D,"outras empresas nao financeiras",Input!$G:$G,"&gt;10",Input!$G:$G,"&lt;=20")
+SUMIFS(Input!$L:$L,Input!$K:$K,"1",Input!$E:$E,'5.CC Physical risk'!$D$24,Input!$H:$H,"Q*",Input!$D:$D,"outras empresas nao financeiras",Input!$G:$G,"&gt;10",Input!$G:$G,"&lt;=20")
+SUMIFS(Input!$L:$L,Input!$K:$K,"1",Input!$E:$E,'5.CC Physical risk'!$D$24,Input!$H:$H,"R*",Input!$D:$D,"outras empresas nao financeiras",Input!$G:$G,"&gt;10",Input!$G:$G,"&lt;=20")
+SUMIFS(Input!$L:$L,Input!$K:$K,"1",Input!$E:$E,'5.CC Physical risk'!$D$24,Input!$H:$H,"S*",Input!$D:$D,"outras empresas nao financeiras",Input!$G:$G,"&gt;10",Input!$G:$G,"&lt;=20")
+SUMIFS(Input!$L:$L,Input!$K:$K,"1",Input!$E:$E,'5.CC Physical risk'!$D$24,Input!$H:$H,"T*",Input!$D:$D,"outras empresas nao financeiras",Input!$G:$G,"&gt;10",Input!$G:$G,"&lt;=20")
+SUMIFS(Input!$L:$L,Input!$K:$K,"1",Input!$E:$E,'5.CC Physical risk'!$D$24,Input!$H:$H,"U*",Input!$D:$D,"outras empresas nao financeiras",Input!$G:$G,"&gt;10",Input!$G:$G,"&lt;=20"))/1000000</f>
        <v>0</v>
      </c>
      <c r="H23" s="80">
        <f>SUM(B26:B35)</f>
        <v>0</v>
      </c>
      <c r="I23" s="80">
        <f>IFERROR((SUMIFS(Input!$M:$M,Input!$K:$K,"1",Input!$E:$E,'5.CC Physical risk'!$D$24,Input!$D:$D,"outras empresas nao financeiras",Input!$H:$H,"J*",Input!$G:$G,"&gt;0")
+SUMIFS(Input!$M:$M,Input!$K:$K,"1",Input!$E:$E,'5.CC Physical risk'!$D$24,Input!$D:$D,"outras empresas nao financeiras",Input!$H:$H,"M*",Input!$G:$G,"&gt;0")
+SUMIFS(Input!$M:$M,Input!$K:$K,"1",Input!$E:$E,'5.CC Physical risk'!$D$24,Input!$D:$D,"outras empresas nao financeiras",Input!$H:$H,"N*",Input!$G:$G,"&gt;0")
+SUMIFS(Input!$M:$M,Input!$K:$K,"1",Input!$E:$E,'5.CC Physical risk'!$D$24,Input!$D:$D,"outras empresas nao financeiras",Input!$H:$H,"O*",Input!$G:$G,"&gt;0")
+SUMIFS(Input!$M:$M,Input!$K:$K,"1",Input!$E:$E,'5.CC Physical risk'!$D$24,Input!$D:$D,"outras empresas nao financeiras",Input!$H:$H,"P*",Input!$G:$G,"&gt;0")
+SUMIFS(Input!$M:$M,Input!$K:$K,"1",Input!$E:$E,'5.CC Physical risk'!$D$24,Input!$D:$D,"outras empresas nao financeiras",Input!$H:$H,"Q*",Input!$G:$G,"&gt;0")
+SUMIFS(Input!$M:$M,Input!$K:$K,"1",Input!$E:$E,'5.CC Physical risk'!$D$24,Input!$D:$D,"outras empresas nao financeiras",Input!$H:$H,"R*",Input!$G:$G,"&gt;0")
+SUMIFS(Input!$M:$M,Input!$K:$K,"1",Input!$E:$E,'5.CC Physical risk'!$D$24,Input!$D:$D,"outras empresas nao financeiras",Input!$H:$H,"S*",Input!$G:$G,"&gt;0")
+SUMIFS(Input!$M:$M,Input!$K:$K,"1",Input!$E:$E,'5.CC Physical risk'!$D$24,Input!$D:$D,"outras empresas nao financeiras",Input!$H:$H,"T*",Input!$G:$G,"&gt;0")
+SUMIFS(Input!$M:$M,Input!$K:$K,"1",Input!$E:$E,'5.CC Physical risk'!$D$24,Input!$D:$D,"outras empresas nao financeiras",Input!$H:$H,"U*",Input!$G:$G,"&gt;0"))
/
(SUMIFS(Input!$L:$L,Input!$K:$K,"1",Input!$E:$E,'5.CC Physical risk'!$D$24,Input!$D:$D,"outras empresas nao financeiras",Input!$H:$H,"J*",Input!$G:$G,"&gt;0")
+SUMIFS(Input!$L:$L,Input!$K:$K,"1",Input!$E:$E,'5.CC Physical risk'!$D$24,Input!$D:$D,"outras empresas nao financeiras",Input!$H:$H,"M*",Input!$G:$G,"&gt;0")
+SUMIFS(Input!$L:$L,Input!$K:$K,"1",Input!$E:$E,'5.CC Physical risk'!$D$24,Input!$D:$D,"outras empresas nao financeiras",Input!$H:$H,"N*",Input!$G:$G,"&gt;0")
+SUMIFS(Input!$L:$L,Input!$K:$K,"1",Input!$E:$E,'5.CC Physical risk'!$D$24,Input!$D:$D,"outras empresas nao financeiras",Input!$H:$H,"O*",Input!$G:$G,"&gt;0")
+SUMIFS(Input!$L:$L,Input!$K:$K,"1",Input!$E:$E,'5.CC Physical risk'!$D$24,Input!$D:$D,"outras empresas nao financeiras",Input!$H:$H,"P*",Input!$G:$G,"&gt;0")
+SUMIFS(Input!$L:$L,Input!$K:$K,"1",Input!$E:$E,'5.CC Physical risk'!$D$24,Input!$D:$D,"outras empresas nao financeiras",Input!$H:$H,"Q*",Input!$G:$G,"&gt;0")
+SUMIFS(Input!$L:$L,Input!$K:$K,"1",Input!$E:$E,'5.CC Physical risk'!$D$24,Input!$D:$D,"outras empresas nao financeiras",Input!$H:$H,"R*",Input!$G:$G,"&gt;0")
+SUMIFS(Input!$L:$L,Input!$K:$K,"1",Input!$E:$E,'5.CC Physical risk'!$D$24,Input!$D:$D,"outras empresas nao financeiras",Input!$H:$H,"S*",Input!$G:$G,"&gt;0")
+SUMIFS(Input!$L:$L,Input!$K:$K,"1",Input!$E:$E,'5.CC Physical risk'!$D$24,Input!$D:$D,"outras empresas nao financeiras",Input!$H:$H,"T*",Input!$G:$G,"&gt;0")
+SUMIFS(Input!$L:$L,Input!$K:$K,"1",Input!$E:$E,'5.CC Physical risk'!$D$24,Input!$D:$D,"outras empresas nao financeiras",Input!$H:$H,"U*",Input!$G:$G,"&gt;0")),0)</f>
        <v>0</v>
      </c>
      <c r="J23" s="80">
        <f>(SUMIFS(Input!$L:$L,Input!$K:$K,"1",Input!$E:$E,'5.CC Physical risk'!$D$24,Input!$H:$H,"J*",Input!$D:$D,"outras empresas nao financeiras",Input!$I:$I,"&lt;&gt;"&amp;$K$24,Input!$J:$J,'5.CC Physical risk'!$J$24)+
SUMIFS(Input!$L:$L,Input!$K:$K,"1",Input!$E:$E,'5.CC Physical risk'!$D$24,Input!$H:$H,"M*",Input!$D:$D,"outras empresas nao financeiras",Input!$I:$I,"&lt;&gt;"&amp;$K$24,Input!$J:$J,'5.CC Physical risk'!$J$24)+
SUMIFS(Input!$L:$L,Input!$K:$K,"1",Input!$E:$E,'5.CC Physical risk'!$D$24,Input!$H:$H,"N*",Input!$D:$D,"outras empresas nao financeiras",Input!$I:$I,"&lt;&gt;"&amp;$K$24,Input!$J:$J,'5.CC Physical risk'!$J$24)+
SUMIFS(Input!$L:$L,Input!$K:$K,"1",Input!$E:$E,'5.CC Physical risk'!$D$24,Input!$H:$H,"O*",Input!$D:$D,"outras empresas nao financeiras",Input!$I:$I,"&lt;&gt;"&amp;$K$24,Input!$J:$J,'5.CC Physical risk'!$J$24)+
SUMIFS(Input!$L:$L,Input!$K:$K,"1",Input!$E:$E,'5.CC Physical risk'!$D$24,Input!$H:$H,"P*",Input!$D:$D,"outras empresas nao financeiras",Input!$I:$I,"&lt;&gt;"&amp;$K$24,Input!$J:$J,'5.CC Physical risk'!$J$24)+
SUMIFS(Input!$L:$L,Input!$K:$K,"1",Input!$E:$E,'5.CC Physical risk'!$D$24,Input!$H:$H,"Q*",Input!$D:$D,"outras empresas nao financeiras",Input!$I:$I,"&lt;&gt;"&amp;$K$24,Input!$J:$J,'5.CC Physical risk'!$J$24)+
SUMIFS(Input!$L:$L,Input!$K:$K,"1",Input!$E:$E,'5.CC Physical risk'!$D$24,Input!$H:$H,"R*",Input!$D:$D,"outras empresas nao financeiras",Input!$I:$I,"&lt;&gt;"&amp;$K$24,Input!$J:$J,'5.CC Physical risk'!$J$24)+
SUMIFS(Input!$L:$L,Input!$K:$K,"1",Input!$E:$E,'5.CC Physical risk'!$D$24,Input!$H:$H,"S*",Input!$D:$D,"outras empresas nao financeiras",Input!$I:$I,"&lt;&gt;"&amp;$K$24,Input!$J:$J,'5.CC Physical risk'!$J$24)+
SUMIFS(Input!$L:$L,Input!$K:$K,"1",Input!$E:$E,'5.CC Physical risk'!$D$24,Input!$H:$H,"T*",Input!$D:$D,"outras empresas nao financeiras",Input!$I:$I,"&lt;&gt;"&amp;$K$24,Input!$J:$J,'5.CC Physical risk'!$J$24)+
SUMIFS(Input!$L:$L,Input!$K:$K,"1",Input!$E:$E,'5.CC Physical risk'!$D$24,Input!$H:$H,"U*",Input!$D:$D,"outras empresas nao financeiras",Input!$I:$I,"&lt;&gt;"&amp;$K$24,Input!$J:$J,'5.CC Physical risk'!$J$24))/1000000</f>
        <v>0</v>
      </c>
      <c r="K23" s="80">
        <f>(SUMIFS(Input!$L:$L,Input!$K:$K,"1",Input!$E:$E,'5.CC Physical risk'!$D$24,Input!$H:$H,"J*",Input!$D:$D,"outras empresas nao financeiras",Input!$J:$J,"&lt;&gt;"&amp;$J$24,Input!$I:$I,'5.CC Physical risk'!$K$24)+
SUMIFS(Input!$L:$L,Input!$K:$K,"1",Input!$E:$E,'5.CC Physical risk'!$D$24,Input!$H:$H,"M*",Input!$D:$D,"outras empresas nao financeiras",Input!$J:$J,"&lt;&gt;"&amp;$J$24,Input!$I:$I,'5.CC Physical risk'!$K$24)+
SUMIFS(Input!$L:$L,Input!$K:$K,"1",Input!$E:$E,'5.CC Physical risk'!$D$24,Input!$H:$H,"N*",Input!$D:$D,"outras empresas nao financeiras",Input!$J:$J,"&lt;&gt;"&amp;$J$24,Input!$I:$I,'5.CC Physical risk'!$K$24)+
SUMIFS(Input!$L:$L,Input!$K:$K,"1",Input!$E:$E,'5.CC Physical risk'!$D$24,Input!$H:$H,"O*",Input!$D:$D,"outras empresas nao financeiras",Input!$J:$J,"&lt;&gt;"&amp;$J$24,Input!$I:$I,'5.CC Physical risk'!$K$24)+
SUMIFS(Input!$L:$L,Input!$K:$K,"1",Input!$E:$E,'5.CC Physical risk'!$D$24,Input!$H:$H,"P*",Input!$D:$D,"outras empresas nao financeiras",Input!$J:$J,"&lt;&gt;"&amp;$J$24,Input!$I:$I,'5.CC Physical risk'!$K$24)+
SUMIFS(Input!$L:$L,Input!$K:$K,"1",Input!$E:$E,'5.CC Physical risk'!$D$24,Input!$H:$H,"Q*",Input!$D:$D,"outras empresas nao financeiras",Input!$J:$J,"&lt;&gt;"&amp;$J$24,Input!$I:$I,'5.CC Physical risk'!$K$24)+
SUMIFS(Input!$L:$L,Input!$K:$K,"1",Input!$E:$E,'5.CC Physical risk'!$D$24,Input!$H:$H,"R*",Input!$D:$D,"outras empresas nao financeiras",Input!$J:$J,"&lt;&gt;"&amp;$J$24,Input!$I:$I,'5.CC Physical risk'!$K$24)+
SUMIFS(Input!$L:$L,Input!$K:$K,"1",Input!$E:$E,'5.CC Physical risk'!$D$24,Input!$H:$H,"S*",Input!$D:$D,"outras empresas nao financeiras",Input!$J:$J,"&lt;&gt;"&amp;$J$24,Input!$I:$I,'5.CC Physical risk'!$K$24)+
SUMIFS(Input!$L:$L,Input!$K:$K,"1",Input!$E:$E,'5.CC Physical risk'!$D$24,Input!$H:$H,"T*",Input!$D:$D,"outras empresas nao financeiras",Input!$J:$J,"&lt;&gt;"&amp;$J$24,Input!$I:$I,'5.CC Physical risk'!$K$24)+
SUMIFS(Input!$L:$L,Input!$K:$K,"1",Input!$E:$E,'5.CC Physical risk'!$D$24,Input!$H:$H,"U*",Input!$D:$D,"outras empresas nao financeiras",Input!$J:$J,"&lt;&gt;"&amp;$J$24,Input!$I:$I,'5.CC Physical risk'!$K$24))/1000000</f>
        <v>0</v>
      </c>
      <c r="L23" s="80">
        <f>(SUMIFS(Input!$L:$L,Input!$K:$K,"1",Input!$E:$E,'5.CC Physical risk'!$D$24,Input!$H:$H,"J*",Input!$J:$J,'5.CC Physical risk'!$J$24,Input!$D:$D,"outras empresas nao financeiras",Input!$I:$I,'5.CC Physical risk'!$K$24)
+SUMIFS(Input!$L:$L,Input!$K:$K,"1",Input!$E:$E,'5.CC Physical risk'!$D$24,Input!$H:$H,"M*",Input!$J:$J,'5.CC Physical risk'!$J$24,Input!$D:$D,"outras empresas nao financeiras",Input!$I:$I,'5.CC Physical risk'!$K$24)
+SUMIFS(Input!$L:$L,Input!$K:$K,"1",Input!$E:$E,'5.CC Physical risk'!$D$24,Input!$H:$H,"N*",Input!$J:$J,'5.CC Physical risk'!$J$24,Input!$D:$D,"outras empresas nao financeiras",Input!$I:$I,'5.CC Physical risk'!$K$24)
+SUMIFS(Input!$L:$L,Input!$K:$K,"1",Input!$E:$E,'5.CC Physical risk'!$D$24,Input!$H:$H,"O*",Input!$J:$J,'5.CC Physical risk'!$J$24,Input!$D:$D,"outras empresas nao financeiras",Input!$I:$I,'5.CC Physical risk'!$K$24)
+SUMIFS(Input!$L:$L,Input!$K:$K,"1",Input!$E:$E,'5.CC Physical risk'!$D$24,Input!$H:$H,"P*",Input!$J:$J,'5.CC Physical risk'!$J$24,Input!$D:$D,"outras empresas nao financeiras",Input!$I:$I,'5.CC Physical risk'!$K$24)
+SUMIFS(Input!$L:$L,Input!$K:$K,"1",Input!$E:$E,'5.CC Physical risk'!$D$24,Input!$H:$H,"Q*",Input!$J:$J,'5.CC Physical risk'!$J$24,Input!$D:$D,"outras empresas nao financeiras",Input!$I:$I,'5.CC Physical risk'!$K$24)
+SUMIFS(Input!$L:$L,Input!$K:$K,"1",Input!$E:$E,'5.CC Physical risk'!$D$24,Input!$H:$H,"R*",Input!$J:$J,'5.CC Physical risk'!$J$24,Input!$D:$D,"outras empresas nao financeiras",Input!$I:$I,'5.CC Physical risk'!$K$24)
+SUMIFS(Input!$L:$L,Input!$K:$K,"1",Input!$E:$E,'5.CC Physical risk'!$D$24,Input!$H:$H,"S*",Input!$J:$J,'5.CC Physical risk'!$J$24,Input!$D:$D,"outras empresas nao financeiras",Input!$I:$I,'5.CC Physical risk'!$K$24)
+SUMIFS(Input!$L:$L,Input!$K:$K,"1",Input!$E:$E,'5.CC Physical risk'!$D$24,Input!$H:$H,"T*",Input!$J:$J,'5.CC Physical risk'!$J$24,Input!$D:$D,"outras empresas nao financeiras",Input!$I:$I,'5.CC Physical risk'!$K$24)
+SUMIFS(Input!$L:$L,Input!$K:$K,"1",Input!$E:$E,'5.CC Physical risk'!$D$24,Input!$H:$H,"U*",Input!$J:$J,'5.CC Physical risk'!$J$24,Input!$D:$D,"outras empresas nao financeiras",Input!$I:$I,'5.CC Physical risk'!$K$24))/1000000</f>
        <v>0</v>
      </c>
      <c r="M23" s="80">
        <f>(SUMIFS(Input!$L:$L,Input!$K:$K,"1",Input!$E:$E,'5.CC Physical risk'!$D$24,Input!$H:$H,"J*",Input!$D:$D,"outras empresas nao financeiras",Input!$C:$C,'5.CC Physical risk'!$M$24)
+SUMIFS(Input!$L:$L,Input!$K:$K,"1",Input!$E:$E,'5.CC Physical risk'!$D$24,Input!$H:$H,"M*",Input!$D:$D,"outras empresas nao financeiras",Input!$C:$C,'5.CC Physical risk'!$M$24)
+SUMIFS(Input!$L:$L,Input!$K:$K,"1",Input!$E:$E,'5.CC Physical risk'!$D$24,Input!$H:$H,"N*",Input!$D:$D,"outras empresas nao financeiras",Input!$C:$C,'5.CC Physical risk'!$M$24)
+SUMIFS(Input!$L:$L,Input!$K:$K,"1",Input!$E:$E,'5.CC Physical risk'!$D$24,Input!$H:$H,"O*",Input!$D:$D,"outras empresas nao financeiras",Input!$C:$C,'5.CC Physical risk'!$M$24)
+SUMIFS(Input!$L:$L,Input!$K:$K,"1",Input!$E:$E,'5.CC Physical risk'!$D$24,Input!$H:$H,"P*",Input!$D:$D,"outras empresas nao financeiras",Input!$C:$C,'5.CC Physical risk'!$M$24)
+SUMIFS(Input!$L:$L,Input!$K:$K,"1",Input!$E:$E,'5.CC Physical risk'!$D$24,Input!$H:$H,"Q*",Input!$D:$D,"outras empresas nao financeiras",Input!$C:$C,'5.CC Physical risk'!$M$24)
+SUMIFS(Input!$L:$L,Input!$K:$K,"1",Input!$E:$E,'5.CC Physical risk'!$D$24,Input!$H:$H,"R*",Input!$D:$D,"outras empresas nao financeiras",Input!$C:$C,'5.CC Physical risk'!$M$24)
+SUMIFS(Input!$L:$L,Input!$K:$K,"1",Input!$E:$E,'5.CC Physical risk'!$D$24,Input!$H:$H,"S*",Input!$D:$D,"outras empresas nao financeiras",Input!$C:$C,'5.CC Physical risk'!$M$24)
+SUMIFS(Input!$L:$L,Input!$K:$K,"1",Input!$E:$E,'5.CC Physical risk'!$D$24,Input!$H:$H,"T*",Input!$D:$D,"outras empresas nao financeiras",Input!$C:$C,'5.CC Physical risk'!$M$24)
+SUMIFS(Input!$L:$L,Input!$K:$K,"1",Input!$E:$E,'5.CC Physical risk'!$D$24,Input!$H:$H,"U*",Input!$D:$D,"outras empresas nao financeiras",Input!$C:$C,'5.CC Physical risk'!$M$24))/1000000</f>
        <v>0</v>
      </c>
      <c r="N23" s="80">
        <f>(SUMIFS(Input!$L:$L,Input!$K:$K,"1",Input!$E:$E,'5.CC Physical risk'!$D$24,Input!$D:$D,"outras empresas nao financeiras",Input!$H:$H,"J*",Input!$C:$C,'5.CC Physical risk'!$N$24)
+SUMIFS(Input!$L:$L,Input!$K:$K,"1",Input!$E:$E,'5.CC Physical risk'!$D$24,Input!$D:$D,"outras empresas nao financeiras",Input!$H:$H,"M*",Input!$C:$C,'5.CC Physical risk'!$N$24)
+SUMIFS(Input!$L:$L,Input!$K:$K,"1",Input!$E:$E,'5.CC Physical risk'!$D$24,Input!$D:$D,"outras empresas nao financeiras",Input!$H:$H,"N*",Input!$C:$C,'5.CC Physical risk'!$N$24)
+SUMIFS(Input!$L:$L,Input!$K:$K,"1",Input!$E:$E,'5.CC Physical risk'!$D$24,Input!$D:$D,"outras empresas nao financeiras",Input!$H:$H,"O*",Input!$C:$C,'5.CC Physical risk'!$N$24)
+SUMIFS(Input!$L:$L,Input!$K:$K,"1",Input!$E:$E,'5.CC Physical risk'!$D$24,Input!$D:$D,"outras empresas nao financeiras",Input!$H:$H,"P*",Input!$C:$C,'5.CC Physical risk'!$N$24)
+SUMIFS(Input!$L:$L,Input!$K:$K,"1",Input!$E:$E,'5.CC Physical risk'!$D$24,Input!$D:$D,"outras empresas nao financeiras",Input!$H:$H,"Q*",Input!$C:$C,'5.CC Physical risk'!$N$24)
+SUMIFS(Input!$L:$L,Input!$K:$K,"1",Input!$E:$E,'5.CC Physical risk'!$D$24,Input!$D:$D,"outras empresas nao financeiras",Input!$H:$H,"R*",Input!$C:$C,'5.CC Physical risk'!$N$24)
+SUMIFS(Input!$L:$L,Input!$K:$K,"1",Input!$E:$E,'5.CC Physical risk'!$D$24,Input!$D:$D,"outras empresas nao financeiras",Input!$H:$H,"S*",Input!$C:$C,'5.CC Physical risk'!$N$24)
+SUMIFS(Input!$L:$L,Input!$K:$K,"1",Input!$E:$E,'5.CC Physical risk'!$D$24,Input!$D:$D,"outras empresas nao financeiras",Input!$H:$H,"T*",Input!$C:$C,'5.CC Physical risk'!$N$24)
+SUMIFS(Input!$L:$L,Input!$K:$K,"1",Input!$E:$E,'5.CC Physical risk'!$D$24,Input!$D:$D,"outras empresas nao financeiras",Input!$H:$H,"U*",Input!$C:$C,'5.CC Physical risk'!$N$24))/1000000</f>
        <v>0</v>
      </c>
      <c r="O23" s="80">
        <f>(SUMIFS(Input!$L:$L,Input!$K:$K,"1",Input!$E:$E,'5.CC Physical risk'!$O$24,Input!$D:$D,"outras empresas nao financeiras",Input!$H:$H,"J*")
+SUMIFS(Input!$L:$L,Input!$K:$K,"1",Input!$E:$E,'5.CC Physical risk'!$O$24,Input!$D:$D,"outras empresas nao financeiras",Input!$H:$H,"M*")
+SUMIFS(Input!$L:$L,Input!$K:$K,"1",Input!$E:$E,'5.CC Physical risk'!$O$24,Input!$D:$D,"outras empresas nao financeiras",Input!$H:$H,"N*")
+SUMIFS(Input!$L:$L,Input!$K:$K,"1",Input!$E:$E,'5.CC Physical risk'!$O$24,Input!$D:$D,"outras empresas nao financeiras",Input!$H:$H,"O*")
+SUMIFS(Input!$L:$L,Input!$K:$K,"1",Input!$E:$E,'5.CC Physical risk'!$O$24,Input!$D:$D,"outras empresas nao financeiras",Input!$H:$H,"P*")
+SUMIFS(Input!$L:$L,Input!$K:$K,"1",Input!$E:$E,'5.CC Physical risk'!$O$24,Input!$D:$D,"outras empresas nao financeiras",Input!$H:$H,"Q*")
+SUMIFS(Input!$L:$L,Input!$K:$K,"1",Input!$E:$E,'5.CC Physical risk'!$O$24,Input!$D:$D,"outras empresas nao financeiras",Input!$H:$H,"R*")
+SUMIFS(Input!$L:$L,Input!$K:$K,"1",Input!$E:$E,'5.CC Physical risk'!$O$24,Input!$D:$D,"outras empresas nao financeiras",Input!$H:$H,"S*")
+SUMIFS(Input!$L:$L,Input!$K:$K,"1",Input!$E:$E,'5.CC Physical risk'!$O$24,Input!$D:$D,"outras empresas nao financeiras",Input!$H:$H,"T*")
+SUMIFS(Input!$L:$L,Input!$K:$K,"1",Input!$E:$E,'5.CC Physical risk'!$O$24,Input!$D:$D,"outras empresas nao financeiras",Input!$H:$H,"U*"))/1000000</f>
        <v>0</v>
      </c>
      <c r="P23" s="80">
        <f>(SUMIFS(Input!$L:$L,Input!$K:$K,"1",Input!$E:$E,'5.CC Physical risk'!$O$24,Input!$D:$D,"outras empresas nao financeiras",Input!$H:$H,"J*",Input!$C:$C,'5.CC Physical risk'!$M$24)
+SUMIFS(Input!$L:$L,Input!$K:$K,"1",Input!$E:$E,'5.CC Physical risk'!$O$24,Input!$D:$D,"outras empresas nao financeiras",Input!$H:$H,"M*",Input!$C:$C,'5.CC Physical risk'!$M$24)
+SUMIFS(Input!$L:$L,Input!$K:$K,"1",Input!$E:$E,'5.CC Physical risk'!$O$24,Input!$D:$D,"outras empresas nao financeiras",Input!$H:$H,"N*",Input!$C:$C,'5.CC Physical risk'!$M$24)
+SUMIFS(Input!$L:$L,Input!$K:$K,"1",Input!$E:$E,'5.CC Physical risk'!$O$24,Input!$D:$D,"outras empresas nao financeiras",Input!$H:$H,"O*",Input!$C:$C,'5.CC Physical risk'!$M$24)
+SUMIFS(Input!$L:$L,Input!$K:$K,"1",Input!$E:$E,'5.CC Physical risk'!$O$24,Input!$D:$D,"outras empresas nao financeiras",Input!$H:$H,"P*",Input!$C:$C,'5.CC Physical risk'!$M$24)
+SUMIFS(Input!$L:$L,Input!$K:$K,"1",Input!$E:$E,'5.CC Physical risk'!$O$24,Input!$D:$D,"outras empresas nao financeiras",Input!$H:$H,"Q*",Input!$C:$C,'5.CC Physical risk'!$M$24)
+SUMIFS(Input!$L:$L,Input!$K:$K,"1",Input!$E:$E,'5.CC Physical risk'!$O$24,Input!$D:$D,"outras empresas nao financeiras",Input!$H:$H,"R*",Input!$C:$C,'5.CC Physical risk'!$M$24)
+SUMIFS(Input!$L:$L,Input!$K:$K,"1",Input!$E:$E,'5.CC Physical risk'!$O$24,Input!$D:$D,"outras empresas nao financeiras",Input!$H:$H,"S*",Input!$C:$C,'5.CC Physical risk'!$M$24)
+SUMIFS(Input!$L:$L,Input!$K:$K,"1",Input!$E:$E,'5.CC Physical risk'!$O$24,Input!$D:$D,"outras empresas nao financeiras",Input!$H:$H,"T*",Input!$C:$C,'5.CC Physical risk'!$M$24)
+SUMIFS(Input!$L:$L,Input!$K:$K,"1",Input!$E:$E,'5.CC Physical risk'!$O$24,Input!$D:$D,"outras empresas nao financeiras",Input!$H:$H,"U*",Input!$C:$C,'5.CC Physical risk'!$M$24))/1000000</f>
        <v>0</v>
      </c>
      <c r="Q23" s="80">
        <f>(SUMIFS(Input!$L:$L,Input!$K:$K,"1",Input!$E:$E,'5.CC Physical risk'!$O$24,Input!$D:$D,"outras empresas nao financeiras",Input!$H:$H,"J*",Input!$C:$C,'5.CC Physical risk'!$N$24)
+SUMIFS(Input!$L:$L,Input!$K:$K,"1",Input!$E:$E,'5.CC Physical risk'!$O$24,Input!$D:$D,"outras empresas nao financeiras",Input!$H:$H,"M*",Input!$C:$C,'5.CC Physical risk'!$N$24)
+SUMIFS(Input!$L:$L,Input!$K:$K,"1",Input!$E:$E,'5.CC Physical risk'!$O$24,Input!$D:$D,"outras empresas nao financeiras",Input!$H:$H,"N*",Input!$C:$C,'5.CC Physical risk'!$N$24)
+SUMIFS(Input!$L:$L,Input!$K:$K,"1",Input!$E:$E,'5.CC Physical risk'!$O$24,Input!$D:$D,"outras empresas nao financeiras",Input!$H:$H,"O*",Input!$C:$C,'5.CC Physical risk'!$N$24)
+SUMIFS(Input!$L:$L,Input!$K:$K,"1",Input!$E:$E,'5.CC Physical risk'!$O$24,Input!$D:$D,"outras empresas nao financeiras",Input!$H:$H,"P*",Input!$C:$C,'5.CC Physical risk'!$N$24)
+SUMIFS(Input!$L:$L,Input!$K:$K,"1",Input!$E:$E,'5.CC Physical risk'!$O$24,Input!$D:$D,"outras empresas nao financeiras",Input!$H:$H,"Q*",Input!$C:$C,'5.CC Physical risk'!$N$24)
+SUMIFS(Input!$L:$L,Input!$K:$K,"1",Input!$E:$E,'5.CC Physical risk'!$O$24,Input!$D:$D,"outras empresas nao financeiras",Input!$H:$H,"R*",Input!$C:$C,'5.CC Physical risk'!$N$24)
+SUMIFS(Input!$L:$L,Input!$K:$K,"1",Input!$E:$E,'5.CC Physical risk'!$O$24,Input!$D:$D,"outras empresas nao financeiras",Input!$H:$H,"S*",Input!$C:$C,'5.CC Physical risk'!$N$24)
+SUMIFS(Input!$L:$L,Input!$K:$K,"1",Input!$E:$E,'5.CC Physical risk'!$O$24,Input!$D:$D,"outras empresas nao financeiras",Input!$H:$H,"T*",Input!$C:$C,'5.CC Physical risk'!$N$24)
+SUMIFS(Input!$L:$L,Input!$K:$K,"1",Input!$E:$E,'5.CC Physical risk'!$O$24,Input!$D:$D,"outras empresas nao financeiras",Input!$H:$H,"U*",Input!$C:$C,'5.CC Physical risk'!$N$24))/1000000</f>
        <v>0</v>
      </c>
      <c r="S23" s="60"/>
    </row>
    <row r="24" spans="1:19" s="64" customFormat="1" x14ac:dyDescent="0.2">
      <c r="A24" s="1"/>
      <c r="B24" s="47"/>
      <c r="C24" s="1"/>
      <c r="D24" s="57" t="s">
        <v>63</v>
      </c>
      <c r="E24" s="57">
        <v>1</v>
      </c>
      <c r="F24" s="57"/>
      <c r="G24" s="57"/>
      <c r="H24" s="62"/>
      <c r="I24" s="57"/>
      <c r="J24" s="57" t="s">
        <v>66</v>
      </c>
      <c r="K24" s="57" t="s">
        <v>62</v>
      </c>
      <c r="L24" s="57"/>
      <c r="M24" s="57" t="s">
        <v>64</v>
      </c>
      <c r="N24" s="57" t="s">
        <v>65</v>
      </c>
      <c r="O24" s="57" t="s">
        <v>60</v>
      </c>
      <c r="P24" s="63"/>
      <c r="Q24" s="63"/>
      <c r="S24" s="65"/>
    </row>
    <row r="25" spans="1:19" x14ac:dyDescent="0.2">
      <c r="C25" s="1"/>
      <c r="D25" s="82"/>
      <c r="E25" s="84"/>
      <c r="F25" s="66"/>
      <c r="G25" s="66"/>
      <c r="H25" s="66"/>
      <c r="I25" s="66"/>
      <c r="J25" s="81"/>
      <c r="K25" s="81"/>
      <c r="L25" s="81"/>
      <c r="M25" s="81"/>
      <c r="N25" s="81"/>
      <c r="O25" s="81"/>
      <c r="P25" s="86"/>
      <c r="Q25" s="81"/>
    </row>
    <row r="26" spans="1:19" x14ac:dyDescent="0.2">
      <c r="A26" s="68" t="s">
        <v>70</v>
      </c>
      <c r="B26" s="68">
        <f>SUMIFS(Input!$L:$L,Input!$K:$K,"1",Input!$E:$E,'5.CC Physical risk'!$D$24,Input!$H:$H,"J*",Input!$D:$D,"outras empresas nao financeiras",Input!$G:$G,"&gt;20")
+SUMIFS(Input!$L:$L,Input!$K:$K,"1",Input!$E:$E,'5.CC Physical risk'!$D$24,Input!$H:$H,"J*",Input!$D:$D,"outras empresas nao financeiras",Input!$G:$G,"-2")
+SUMIFS(Input!$L:$L,Input!$K:$K,"1",Input!$E:$E,'5.CC Physical risk'!$D$24,Input!$H:$H,"J*",Input!$D:$D,"outras empresas nao financeiras",Input!$G:$G,"-3")
+SUMIFS(Input!$L:$L,Input!$K:$K,"1",Input!$E:$E,'5.CC Physical risk'!$D$24,Input!$H:$H,"J*",Input!$D:$D,"outras empresas nao financeiras",Input!$G:$G,"-5")</f>
        <v>0</v>
      </c>
      <c r="C26" s="1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</row>
    <row r="27" spans="1:19" x14ac:dyDescent="0.2">
      <c r="A27" s="68" t="s">
        <v>61</v>
      </c>
      <c r="B27" s="68">
        <f>SUMIFS(Input!$L:$L,Input!$K:$K,"1",Input!$E:$E,'5.CC Physical risk'!$D$24,Input!$H:$H,"N*",Input!$D:$D,"outras empresas nao financeiras",Input!$G:$G,"&gt;20")
+SUMIFS(Input!$L:$L,Input!$K:$K,"1",Input!$E:$E,'5.CC Physical risk'!$D$24,Input!$H:$H,"N*",Input!$D:$D,"outras empresas nao financeiras",Input!$G:$G,"-2")
+SUMIFS(Input!$L:$L,Input!$K:$K,"1",Input!$E:$E,'5.CC Physical risk'!$D$24,Input!$H:$H,"N*",Input!$D:$D,"outras empresas nao financeiras",Input!$G:$G,"-3")
+SUMIFS(Input!$L:$L,Input!$K:$K,"1",Input!$E:$E,'5.CC Physical risk'!$D$24,Input!$H:$H,"N*",Input!$D:$D,"outras empresas nao financeiras",Input!$G:$G,"-5")</f>
        <v>0</v>
      </c>
      <c r="C27" s="69"/>
      <c r="D27" s="70"/>
      <c r="E27" s="71"/>
      <c r="F27" s="71"/>
      <c r="G27" s="71"/>
      <c r="H27" s="70"/>
      <c r="I27" s="70"/>
      <c r="J27" s="71"/>
      <c r="K27" s="71"/>
      <c r="L27" s="71"/>
      <c r="M27" s="70"/>
      <c r="N27" s="71"/>
      <c r="O27" s="70"/>
      <c r="P27" s="72"/>
      <c r="Q27" s="72"/>
    </row>
    <row r="28" spans="1:19" x14ac:dyDescent="0.2">
      <c r="A28" s="68" t="s">
        <v>77</v>
      </c>
      <c r="B28" s="68">
        <f>SUMIFS(Input!$L:$L,Input!$K:$K,"1",Input!$E:$E,'5.CC Physical risk'!$D$24,Input!$H:$H,"O*",Input!$D:$D,"outras empresas nao financeiras",Input!$G:$G,"&gt;20")
+SUMIFS(Input!$L:$L,Input!$K:$K,"1",Input!$E:$E,'5.CC Physical risk'!$D$24,Input!$H:$H,"O*",Input!$D:$D,"outras empresas nao financeiras",Input!$G:$G,"-2")
+SUMIFS(Input!$L:$L,Input!$K:$K,"1",Input!$E:$E,'5.CC Physical risk'!$D$24,Input!$H:$H,"O*",Input!$D:$D,"outras empresas nao financeiras",Input!$G:$G,"-3")
+SUMIFS(Input!$L:$L,Input!$K:$K,"1",Input!$E:$E,'5.CC Physical risk'!$D$24,Input!$H:$H,"O*",Input!$D:$D,"outras empresas nao financeiras",Input!$G:$G,"-5")</f>
        <v>0</v>
      </c>
      <c r="C28" s="69"/>
      <c r="D28" s="1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</row>
    <row r="29" spans="1:19" x14ac:dyDescent="0.2">
      <c r="A29" s="68" t="s">
        <v>71</v>
      </c>
      <c r="B29" s="68">
        <f>SUMIFS(Input!$L:$L,Input!$K:$K,"1",Input!$E:$E,'5.CC Physical risk'!$D$24,Input!$H:$H,"P*",Input!$D:$D,"outras empresas nao financeiras",Input!$G:$G,"&gt;20")
+SUMIFS(Input!$L:$L,Input!$K:$K,"1",Input!$E:$E,'5.CC Physical risk'!$D$24,Input!$H:$H,"P*",Input!$D:$D,"outras empresas nao financeiras",Input!$G:$G,"-2")
+SUMIFS(Input!$L:$L,Input!$K:$K,"1",Input!$E:$E,'5.CC Physical risk'!$D$24,Input!$H:$H,"P*",Input!$D:$D,"outras empresas nao financeiras",Input!$G:$G,"-3")
+SUMIFS(Input!$L:$L,Input!$K:$K,"1",Input!$E:$E,'5.CC Physical risk'!$D$24,Input!$H:$H,"P*",Input!$D:$D,"outras empresas nao financeiras",Input!$G:$G,"-5")</f>
        <v>0</v>
      </c>
      <c r="C29" s="69"/>
      <c r="D29" s="72"/>
      <c r="E29" s="72"/>
      <c r="F29" s="72"/>
      <c r="G29" s="72"/>
      <c r="H29" s="72"/>
      <c r="I29" s="72"/>
      <c r="J29" s="73"/>
      <c r="K29" s="72"/>
      <c r="L29" s="72"/>
      <c r="M29" s="72"/>
      <c r="N29" s="72"/>
      <c r="O29" s="72"/>
      <c r="P29" s="72"/>
      <c r="Q29" s="72"/>
    </row>
    <row r="30" spans="1:19" x14ac:dyDescent="0.2">
      <c r="A30" s="68" t="s">
        <v>72</v>
      </c>
      <c r="B30" s="68">
        <f>SUMIFS(Input!$L:$L,Input!$K:$K,"1",Input!$E:$E,'5.CC Physical risk'!$D$24,Input!$H:$H,"Q*",Input!$D:$D,"outras empresas nao financeiras",Input!$G:$G,"&gt;20")
+SUMIFS(Input!$L:$L,Input!$K:$K,"1",Input!$E:$E,'5.CC Physical risk'!$D$24,Input!$H:$H,"Q*",Input!$D:$D,"outras empresas nao financeiras",Input!$G:$G,"-2")
+SUMIFS(Input!$L:$L,Input!$K:$K,"1",Input!$E:$E,'5.CC Physical risk'!$D$24,Input!$H:$H,"Q*",Input!$D:$D,"outras empresas nao financeiras",Input!$G:$G,"-3")
+SUMIFS(Input!$L:$L,Input!$K:$K,"1",Input!$E:$E,'5.CC Physical risk'!$D$24,Input!$H:$H,"Q*",Input!$D:$D,"outras empresas nao financeiras",Input!$G:$G,"-5")</f>
        <v>0</v>
      </c>
      <c r="C30" s="69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</row>
    <row r="31" spans="1:19" x14ac:dyDescent="0.2">
      <c r="A31" s="68" t="s">
        <v>76</v>
      </c>
      <c r="B31" s="68">
        <f>SUMIFS(Input!$L:$L,Input!$K:$K,"1",Input!$E:$E,'5.CC Physical risk'!$D$24,Input!$H:$H,"R*",Input!$D:$D,"outras empresas nao financeiras",Input!$G:$G,"&gt;20")
+SUMIFS(Input!$L:$L,Input!$K:$K,"1",Input!$E:$E,'5.CC Physical risk'!$D$24,Input!$H:$H,"R*",Input!$D:$D,"outras empresas nao financeiras",Input!$G:$G,"-2")
+SUMIFS(Input!$L:$L,Input!$K:$K,"1",Input!$E:$E,'5.CC Physical risk'!$D$24,Input!$H:$H,"R*",Input!$D:$D,"outras empresas nao financeiras",Input!$G:$G,"-3")
+SUMIFS(Input!$L:$L,Input!$K:$K,"1",Input!$E:$E,'5.CC Physical risk'!$D$24,Input!$H:$H,"R*",Input!$D:$D,"outras empresas nao financeiras",Input!$G:$G,"-5")</f>
        <v>0</v>
      </c>
      <c r="C31" s="74"/>
      <c r="D31" s="75"/>
      <c r="E31" s="75"/>
      <c r="F31" s="75"/>
      <c r="G31" s="75"/>
      <c r="H31" s="76"/>
      <c r="I31" s="75"/>
      <c r="J31" s="75"/>
      <c r="K31" s="75"/>
      <c r="L31" s="75"/>
      <c r="M31" s="75"/>
      <c r="N31" s="75"/>
      <c r="O31" s="75"/>
      <c r="P31" s="75"/>
      <c r="Q31" s="75"/>
    </row>
    <row r="32" spans="1:19" x14ac:dyDescent="0.2">
      <c r="A32" s="68" t="s">
        <v>73</v>
      </c>
      <c r="B32" s="68">
        <f>SUMIFS(Input!$L:$L,Input!$K:$K,"1",Input!$E:$E,'5.CC Physical risk'!$D$24,Input!$H:$H,"S*",Input!$D:$D,"outras empresas nao financeiras",Input!$G:$G,"&gt;20")
+SUMIFS(Input!$L:$L,Input!$K:$K,"1",Input!$E:$E,'5.CC Physical risk'!$D$24,Input!$H:$H,"S*",Input!$D:$D,"outras empresas nao financeiras",Input!$G:$G,"-2")
+SUMIFS(Input!$L:$L,Input!$K:$K,"1",Input!$E:$E,'5.CC Physical risk'!$D$24,Input!$H:$H,"S*",Input!$D:$D,"outras empresas nao financeiras",Input!$G:$G,"-3")
+SUMIFS(Input!$L:$L,Input!$K:$K,"1",Input!$E:$E,'5.CC Physical risk'!$D$24,Input!$H:$H,"S*",Input!$D:$D,"outras empresas nao financeiras",Input!$G:$G,"-5")</f>
        <v>0</v>
      </c>
      <c r="D32" s="77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</row>
    <row r="33" spans="1:17" x14ac:dyDescent="0.2">
      <c r="A33" s="68" t="s">
        <v>79</v>
      </c>
      <c r="B33" s="68">
        <f>SUMIFS(Input!$L:$L,Input!$K:$K,"1",Input!$E:$E,'5.CC Physical risk'!$D$24,Input!$H:$H,"T*",Input!$D:$D,"outras empresas nao financeiras",Input!$G:$G,"&gt;20")
+SUMIFS(Input!$L:$L,Input!$K:$K,"1",Input!$E:$E,'5.CC Physical risk'!$D$24,Input!$H:$H,"T*",Input!$D:$D,"outras empresas nao financeiras",Input!$G:$G,"-2")
+SUMIFS(Input!$L:$L,Input!$K:$K,"1",Input!$E:$E,'5.CC Physical risk'!$D$24,Input!$H:$H,"T*",Input!$D:$D,"outras empresas nao financeiras",Input!$G:$G,"-3")
+SUMIFS(Input!$L:$L,Input!$K:$K,"1",Input!$E:$E,'5.CC Physical risk'!$D$24,Input!$H:$H,"T*",Input!$D:$D,"outras empresas nao financeiras",Input!$G:$G,"-5")</f>
        <v>0</v>
      </c>
      <c r="D33" s="75"/>
      <c r="E33" s="75"/>
      <c r="F33" s="75"/>
      <c r="G33" s="75"/>
      <c r="H33" s="78"/>
      <c r="I33" s="75"/>
      <c r="J33" s="75"/>
      <c r="K33" s="75"/>
      <c r="L33" s="75"/>
      <c r="M33" s="75"/>
      <c r="N33" s="75"/>
      <c r="O33" s="75"/>
      <c r="P33" s="75"/>
      <c r="Q33" s="75"/>
    </row>
    <row r="34" spans="1:17" x14ac:dyDescent="0.2">
      <c r="A34" s="68" t="s">
        <v>78</v>
      </c>
      <c r="B34" s="68">
        <f>SUMIFS(Input!$L:$L,Input!$K:$K,"1",Input!$E:$E,'5.CC Physical risk'!$D$24,Input!$H:$H,"U*",Input!$D:$D,"outras empresas nao financeiras",Input!$G:$G,"&gt;20")
+SUMIFS(Input!$L:$L,Input!$K:$K,"1",Input!$E:$E,'5.CC Physical risk'!$D$24,Input!$H:$H,"U*",Input!$D:$D,"outras empresas nao financeiras",Input!$G:$G,"-2")
+SUMIFS(Input!$L:$L,Input!$K:$K,"1",Input!$E:$E,'5.CC Physical risk'!$D$24,Input!$H:$H,"U*",Input!$D:$D,"outras empresas nao financeiras",Input!$G:$G,"-3")
+SUMIFS(Input!$L:$L,Input!$K:$K,"1",Input!$E:$E,'5.CC Physical risk'!$D$24,Input!$H:$H,"U*",Input!$D:$D,"outras empresas nao financeiras",Input!$G:$G,"-5")</f>
        <v>0</v>
      </c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</row>
    <row r="35" spans="1:17" x14ac:dyDescent="0.2">
      <c r="A35" s="68" t="s">
        <v>67</v>
      </c>
      <c r="B35" s="68">
        <f>SUMIFS(Input!$L:$L,Input!$K:$K,"1",Input!$E:$E,'5.CC Physical risk'!$D$24,Input!$H:$H,"M*",Input!$D:$D,"outras empresas nao financeiras",Input!$G:$G,"&gt;20")
+SUMIFS(Input!$L:$L,Input!$K:$K,"1",Input!$E:$E,'5.CC Physical risk'!$D$24,Input!$H:$H,"M*",Input!$D:$D,"outras empresas nao financeiras",Input!$G:$G,"-2")
+SUMIFS(Input!$L:$L,Input!$K:$K,"1",Input!$E:$E,'5.CC Physical risk'!$D$24,Input!$H:$H,"M*",Input!$D:$D,"outras empresas nao financeiras",Input!$G:$G,"-3")
+SUMIFS(Input!$L:$L,Input!$K:$K,"1",Input!$E:$E,'5.CC Physical risk'!$D$24,Input!$H:$H,"M*",Input!$D:$D,"outras empresas nao financeiras",Input!$G:$G,"-5")</f>
        <v>0</v>
      </c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</row>
    <row r="36" spans="1:17" x14ac:dyDescent="0.2">
      <c r="A36" s="57"/>
      <c r="B36" s="57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</row>
    <row r="37" spans="1:17" x14ac:dyDescent="0.2"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</row>
    <row r="38" spans="1:17" x14ac:dyDescent="0.2"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</row>
    <row r="39" spans="1:17" x14ac:dyDescent="0.2"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</row>
    <row r="40" spans="1:17" x14ac:dyDescent="0.2">
      <c r="D40" s="75"/>
      <c r="E40" s="75"/>
      <c r="F40" s="75"/>
      <c r="G40" s="79"/>
      <c r="H40" s="79"/>
      <c r="I40" s="79"/>
      <c r="J40" s="79"/>
      <c r="K40" s="79"/>
      <c r="M40" s="79"/>
      <c r="N40" s="79"/>
    </row>
    <row r="41" spans="1:17" x14ac:dyDescent="0.2">
      <c r="D41" s="75"/>
      <c r="E41" s="75"/>
      <c r="F41" s="75"/>
      <c r="G41" s="79"/>
      <c r="K41" s="79"/>
      <c r="M41" s="79"/>
      <c r="N41" s="79"/>
    </row>
    <row r="42" spans="1:17" x14ac:dyDescent="0.2">
      <c r="D42" s="75"/>
      <c r="E42" s="75"/>
      <c r="F42" s="75"/>
      <c r="G42" s="79"/>
      <c r="K42" s="79"/>
      <c r="M42" s="79"/>
      <c r="N42" s="79"/>
    </row>
    <row r="43" spans="1:17" x14ac:dyDescent="0.2">
      <c r="D43" s="75"/>
      <c r="E43" s="75"/>
      <c r="F43" s="75"/>
      <c r="G43" s="79"/>
      <c r="K43" s="79"/>
      <c r="M43" s="79"/>
      <c r="N43" s="79"/>
    </row>
    <row r="44" spans="1:17" x14ac:dyDescent="0.2">
      <c r="D44" s="75"/>
      <c r="E44" s="75"/>
      <c r="F44" s="75"/>
      <c r="G44" s="79"/>
      <c r="K44" s="79"/>
      <c r="M44" s="79"/>
      <c r="N44" s="79"/>
    </row>
    <row r="45" spans="1:17" x14ac:dyDescent="0.2">
      <c r="D45" s="75"/>
      <c r="E45" s="75"/>
      <c r="F45" s="75"/>
      <c r="G45" s="79"/>
      <c r="K45" s="79"/>
      <c r="M45" s="79"/>
      <c r="N45" s="79"/>
    </row>
    <row r="46" spans="1:17" x14ac:dyDescent="0.2">
      <c r="D46" s="75"/>
      <c r="E46" s="75"/>
      <c r="F46" s="75"/>
      <c r="G46" s="79"/>
      <c r="K46" s="79"/>
      <c r="M46" s="79"/>
      <c r="N46" s="79"/>
    </row>
    <row r="47" spans="1:17" x14ac:dyDescent="0.2">
      <c r="D47" s="75"/>
      <c r="E47" s="75"/>
      <c r="F47" s="75"/>
      <c r="G47" s="79"/>
      <c r="K47" s="79"/>
      <c r="M47" s="79"/>
      <c r="N47" s="79"/>
    </row>
    <row r="48" spans="1:17" x14ac:dyDescent="0.2">
      <c r="D48" s="75"/>
      <c r="E48" s="75"/>
      <c r="F48" s="75"/>
      <c r="G48" s="79"/>
      <c r="K48" s="79"/>
      <c r="M48" s="79"/>
      <c r="N48" s="79"/>
    </row>
    <row r="49" spans="4:14" x14ac:dyDescent="0.2">
      <c r="D49" s="75"/>
      <c r="E49" s="75"/>
      <c r="F49" s="75"/>
      <c r="G49" s="79"/>
      <c r="K49" s="79"/>
      <c r="M49" s="79"/>
      <c r="N49" s="79"/>
    </row>
    <row r="50" spans="4:14" x14ac:dyDescent="0.2">
      <c r="D50" s="75"/>
      <c r="E50" s="79"/>
      <c r="F50" s="79"/>
      <c r="G50" s="79"/>
      <c r="K50" s="79"/>
      <c r="M50" s="79"/>
      <c r="N50" s="79"/>
    </row>
    <row r="51" spans="4:14" x14ac:dyDescent="0.2">
      <c r="D51" s="79"/>
      <c r="E51" s="79"/>
      <c r="F51" s="79"/>
      <c r="G51" s="79"/>
      <c r="K51" s="79"/>
      <c r="M51" s="79"/>
      <c r="N51" s="79"/>
    </row>
    <row r="52" spans="4:14" x14ac:dyDescent="0.2">
      <c r="D52" s="79"/>
      <c r="E52" s="79"/>
      <c r="F52" s="79"/>
      <c r="G52" s="79"/>
      <c r="K52" s="79"/>
      <c r="M52" s="79"/>
      <c r="N52" s="79"/>
    </row>
    <row r="53" spans="4:14" x14ac:dyDescent="0.2">
      <c r="D53" s="79"/>
      <c r="E53" s="79"/>
      <c r="F53" s="79"/>
      <c r="G53" s="79"/>
      <c r="K53" s="79"/>
    </row>
    <row r="54" spans="4:14" x14ac:dyDescent="0.2">
      <c r="D54" s="79"/>
      <c r="E54" s="79"/>
      <c r="F54" s="79"/>
      <c r="G54" s="79"/>
      <c r="K54" s="79"/>
    </row>
  </sheetData>
  <mergeCells count="10">
    <mergeCell ref="C5:C8"/>
    <mergeCell ref="D5:Q5"/>
    <mergeCell ref="E6:Q6"/>
    <mergeCell ref="E7:I7"/>
    <mergeCell ref="J7:J8"/>
    <mergeCell ref="K7:K8"/>
    <mergeCell ref="L7:L8"/>
    <mergeCell ref="M7:M8"/>
    <mergeCell ref="N7:N8"/>
    <mergeCell ref="O7:Q7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307D328052CE49BABEAF1D5BD19CE8" ma:contentTypeVersion="6" ma:contentTypeDescription="Criar um novo documento." ma:contentTypeScope="" ma:versionID="fde5c3d7620414ec2c460f4e76cee867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8e0aedba81db8e393c852bb59c03b88f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09F8A91-3D57-4F41-BFD4-AD214BB51B4D}"/>
</file>

<file path=customXml/itemProps3.xml><?xml version="1.0" encoding="utf-8"?>
<ds:datastoreItem xmlns:ds="http://schemas.openxmlformats.org/officeDocument/2006/customXml" ds:itemID="{CFAA08FF-BA12-4D0A-8953-9C151DD9864F}">
  <ds:schemaRefs>
    <ds:schemaRef ds:uri="http://www.w3.org/XML/1998/namespace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microsoft.com/sharepoint/v3"/>
    <ds:schemaRef ds:uri="http://schemas.openxmlformats.org/package/2006/metadata/core-properties"/>
    <ds:schemaRef ds:uri="d297a1aa-811d-49d5-a4de-68f130ff291c"/>
    <ds:schemaRef ds:uri="http://purl.org/dc/terms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5.CC Physical risk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Hélder Filipe Felicidade Fernandes</cp:lastModifiedBy>
  <dcterms:created xsi:type="dcterms:W3CDTF">2021-09-06T12:20:44Z</dcterms:created>
  <dcterms:modified xsi:type="dcterms:W3CDTF">2025-10-17T17:59:47Z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0x01010033307D328052CE49BABEAF1D5BD19CE8</vt:lpwstr>
  </property>
  <property fmtid="{D5CDD505-2E9C-101B-9397-08002B2CF9AE}" pid="17" name="SV_QUERY_LIST_4F35BF76-6C0D-4D9B-82B2-816C12CF3733">
    <vt:lpwstr>empty_477D106A-C0D6-4607-AEBD-E2C9D60EA279</vt:lpwstr>
  </property>
  <property fmtid="{D5CDD505-2E9C-101B-9397-08002B2CF9AE}" pid="18" name="SV_HIDDEN_GRID_QUERY_LIST_4F35BF76-6C0D-4D9B-82B2-816C12CF3733">
    <vt:lpwstr>empty_477D106A-C0D6-4607-AEBD-E2C9D60EA279</vt:lpwstr>
  </property>
</Properties>
</file>